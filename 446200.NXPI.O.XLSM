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080" yWindow="45" windowWidth="19140" windowHeight="11310" tabRatio="871" firstSheet="2" activeTab="2"/>
  </bookViews>
  <sheets>
    <sheet name="__FDSCACHE__" sheetId="7" state="veryHidden" r:id="rId1"/>
    <sheet name="MW-Cache" sheetId="9" state="veryHidden" r:id="rId2"/>
    <sheet name="ImportantDisclosures" sheetId="86" r:id="rId3"/>
    <sheet name="IS Inc FSL" sheetId="71" r:id="rId4"/>
    <sheet name="BS" sheetId="2" r:id="rId5"/>
    <sheet name="CFS" sheetId="3" r:id="rId6"/>
    <sheet name="NXP BU-Segment" sheetId="13" r:id="rId7"/>
    <sheet name="IndexInformation" sheetId="87" r:id="rId8"/>
    <sheet name="ModPubIndex" sheetId="88" r:id="rId9"/>
  </sheets>
  <externalReferences>
    <externalReference r:id="rId10"/>
    <externalReference r:id="rId11"/>
  </externalReferences>
  <definedNames>
    <definedName name="__FDS_HYPERLINK_TOGGLE_STATE__" hidden="1">"ON"</definedName>
    <definedName name="__FDS_UNIQUE_RANGE_ID_GENERATOR_COUNTER" hidden="1">1</definedName>
    <definedName name="_1__FDSAUDITLINK__" hidden="1">{"fdsup://Directions/FactSet Auditing Viewer?action=AUDIT_VALUE&amp;DB=129&amp;ID1=03265410&amp;VALUEID=02001&amp;SDATE=201103&amp;PERIODTYPE=QTR_STD&amp;SCFT=3&amp;window=popup_no_bar&amp;width=385&amp;height=120&amp;START_MAXIMIZED=FALSE&amp;creator=factset&amp;display_string=Audit"}</definedName>
    <definedName name="_10__FDSAUDITLINK__" hidden="1">{"fdsup://Directions/FactSet Auditing Viewer?action=AUDIT_VALUE&amp;DB=129&amp;ID1=74752510&amp;VALUEID=05194&amp;SDATE=201103&amp;PERIODTYPE=QTR_STD&amp;SCFT=3&amp;window=popup_no_bar&amp;width=385&amp;height=120&amp;START_MAXIMIZED=FALSE&amp;creator=factset&amp;display_string=Audit"}</definedName>
    <definedName name="_100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1000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1001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2__FDSAUDITLINK__" hidden="1">{"fdsup://Directions/FactSet Auditing Viewer?action=AUDIT_VALUE&amp;DB=129&amp;ID1=24702R10&amp;VALUEID=02001&amp;SDATE=200902&amp;PERIODTYPE=QTR_STD&amp;SCFT=3&amp;window=popup_no_bar&amp;width=385&amp;height=120&amp;START_MAXIMIZED=FALSE&amp;creator=factset&amp;display_string=Audit"}</definedName>
    <definedName name="_1003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4__FDSAUDITLINK__" hidden="1">{"fdsup://Directions/FactSet Auditing Viewer?action=AUDIT_VALUE&amp;DB=129&amp;ID1=23257210&amp;VALUEID=02001&amp;SDATE=200902&amp;PERIODTYPE=QTR_STD&amp;SCFT=3&amp;window=popup_no_bar&amp;width=385&amp;height=120&amp;START_MAXIMIZED=FALSE&amp;creator=factset&amp;display_string=Audit"}</definedName>
    <definedName name="_1005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6__FDSAUDITLINK__" hidden="1">{"fdsup://Directions/FactSet Auditing Viewer?action=AUDIT_VALUE&amp;DB=129&amp;ID1=23280610&amp;VALUEID=02001&amp;SDATE=200902&amp;PERIODTYPE=QTR_STD&amp;SCFT=3&amp;window=popup_no_bar&amp;width=385&amp;height=120&amp;START_MAXIMIZED=FALSE&amp;creator=factset&amp;display_string=Audit"}</definedName>
    <definedName name="_1007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8__FDSAUDITLINK__" hidden="1">{"fdsup://Directions/FactSet Auditing Viewer?action=AUDIT_VALUE&amp;DB=129&amp;ID1=20714230&amp;VALUEID=02001&amp;SDATE=200903&amp;PERIODTYPE=QTR_STD&amp;SCFT=3&amp;window=popup_no_bar&amp;width=385&amp;height=120&amp;START_MAXIMIZED=FALSE&amp;creator=factset&amp;display_string=Audit"}</definedName>
    <definedName name="_1009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10__FDSAUDITLINK__" hidden="1">{"fdsup://Directions/FactSet Auditing Viewer?action=AUDIT_VALUE&amp;DB=129&amp;ID1=12738710&amp;VALUEID=02001&amp;SDATE=200902&amp;PERIODTYPE=QTR_STD&amp;SCFT=3&amp;window=popup_no_bar&amp;width=385&amp;height=120&amp;START_MAXIMIZED=FALSE&amp;creator=factset&amp;display_string=Audit"}</definedName>
    <definedName name="_1011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2__FDSAUDITLINK__" hidden="1">{"fdsup://Directions/FactSet Auditing Viewer?action=AUDIT_VALUE&amp;DB=129&amp;ID1=14964U10&amp;VALUEID=02001&amp;SDATE=200902&amp;PERIODTYPE=QTR_STD&amp;SCFT=3&amp;window=popup_no_bar&amp;width=385&amp;height=120&amp;START_MAXIMIZED=FALSE&amp;creator=factset&amp;display_string=Audit"}</definedName>
    <definedName name="_1013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4__FDSAUDITLINK__" hidden="1">{"fdsup://Directions/FactSet Auditing Viewer?action=AUDIT_VALUE&amp;DB=129&amp;ID1=11162130&amp;VALUEID=02001&amp;SDATE=200903&amp;PERIODTYPE=QTR_STD&amp;SCFT=3&amp;window=popup_no_bar&amp;width=385&amp;height=120&amp;START_MAXIMIZED=FALSE&amp;creator=factset&amp;display_string=Audit"}</definedName>
    <definedName name="_1015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6__FDSAUDITLINK__" hidden="1">{"fdsup://Directions/FactSet Auditing Viewer?action=AUDIT_VALUE&amp;DB=129&amp;ID1=Y0486S10&amp;VALUEID=02001&amp;SDATE=200903&amp;PERIODTYPE=QTR_STD&amp;SCFT=3&amp;window=popup_no_bar&amp;width=385&amp;height=120&amp;START_MAXIMIZED=FALSE&amp;creator=factset&amp;display_string=Audit"}</definedName>
    <definedName name="_1017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8__FDSAUDITLINK__" hidden="1">{"fdsup://Directions/FactSet Auditing Viewer?action=AUDIT_VALUE&amp;DB=129&amp;ID1=04743P10&amp;VALUEID=02001&amp;SDATE=200902&amp;PERIODTYPE=QTR_STD&amp;SCFT=3&amp;window=popup_no_bar&amp;width=385&amp;height=120&amp;START_MAXIMIZED=FALSE&amp;creator=factset&amp;display_string=Audit"}</definedName>
    <definedName name="_1019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__FDSAUDITLINK__" hidden="1">{"fdsup://Directions/FactSet Auditing Viewer?action=AUDIT_VALUE&amp;DB=129&amp;ID1=45811810&amp;VALUEID=02001&amp;SDATE=201004&amp;PERIODTYPE=QTR_STD&amp;SCFT=3&amp;window=popup_no_bar&amp;width=385&amp;height=120&amp;START_MAXIMIZED=FALSE&amp;creator=factset&amp;display_string=Audit"}</definedName>
    <definedName name="_1020__FDSAUDITLINK__" hidden="1">{"fdsup://Directions/FactSet Auditing Viewer?action=AUDIT_VALUE&amp;DB=129&amp;ID1=03251510&amp;VALUEID=02001&amp;SDATE=200902&amp;PERIODTYPE=QTR_STD&amp;SCFT=3&amp;window=popup_no_bar&amp;width=385&amp;height=120&amp;START_MAXIMIZED=FALSE&amp;creator=factset&amp;display_string=Audit"}</definedName>
    <definedName name="_1021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2__FDSAUDITLINK__" hidden="1">{"fdsup://Directions/FactSet Auditing Viewer?action=AUDIT_VALUE&amp;DB=129&amp;ID1=00790310&amp;VALUEID=02001&amp;SDATE=200902&amp;PERIODTYPE=QTR_STD&amp;SCFT=3&amp;window=popup_no_bar&amp;width=385&amp;height=120&amp;START_MAXIMIZED=FALSE&amp;creator=factset&amp;display_string=Audit"}</definedName>
    <definedName name="_1023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4__FDSAUDITLINK__" hidden="1">{"fdsup://Directions/FactSet Auditing Viewer?action=AUDIT_VALUE&amp;DB=129&amp;ID1=03822W40&amp;VALUEID=02001&amp;SDATE=200901&amp;PERIODTYPE=QTR_STD&amp;SCFT=3&amp;window=popup_no_bar&amp;width=385&amp;height=120&amp;START_MAXIMIZED=FALSE&amp;creator=factset&amp;display_string=Audit"}</definedName>
    <definedName name="_1025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6__FDSAUDITLINK__" hidden="1">{"fdsup://Directions/FactSet Auditing Viewer?action=AUDIT_VALUE&amp;DB=129&amp;ID1=03822210&amp;VALUEID=02001&amp;SDATE=200903&amp;PERIODTYPE=QTR_STD&amp;SCFT=3&amp;window=popup_no_bar&amp;width=385&amp;height=120&amp;START_MAXIMIZED=FALSE&amp;creator=factset&amp;display_string=Audit"}</definedName>
    <definedName name="_1027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8__FDSAUDITLINK__" hidden="1">{"fdsup://Directions/FactSet Auditing Viewer?action=AUDIT_VALUE&amp;DB=129&amp;ID1=02144110&amp;VALUEID=02001&amp;SDATE=200902&amp;PERIODTYPE=QTR_STD&amp;SCFT=3&amp;window=popup_no_bar&amp;width=385&amp;height=120&amp;START_MAXIMIZED=FALSE&amp;creator=factset&amp;display_string=Audit"}</definedName>
    <definedName name="_1029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30__FDSAUDITLINK__" hidden="1">{"fdsup://Directions/FactSet Auditing Viewer?action=AUDIT_VALUE&amp;DB=129&amp;ID1=03265410&amp;VALUEID=02001&amp;SDATE=200903&amp;PERIODTYPE=QTR_STD&amp;SCFT=3&amp;window=popup_no_bar&amp;width=385&amp;height=120&amp;START_MAXIMIZED=FALSE&amp;creator=factset&amp;display_string=Audit"}</definedName>
    <definedName name="_1031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2__FDSAUDITLINK__" hidden="1">{"fdsup://Directions/FactSet Auditing Viewer?action=AUDIT_VALUE&amp;DB=129&amp;ID1=00752J10&amp;VALUEID=02001&amp;SDATE=200902&amp;PERIODTYPE=QTR_STD&amp;SCFT=3&amp;window=popup_no_bar&amp;width=385&amp;height=120&amp;START_MAXIMIZED=FALSE&amp;creator=factset&amp;display_string=Audit"}</definedName>
    <definedName name="_1033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4__FDSAUDITLINK__" hidden="1">{"fdsup://Directions/FactSet Auditing Viewer?action=AUDIT_VALUE&amp;DB=129&amp;ID1=98975F10&amp;VALUEID=02001&amp;SDATE=200901&amp;PERIODTYPE=QTR_STD&amp;SCFT=3&amp;window=popup_no_bar&amp;width=385&amp;height=120&amp;START_MAXIMIZED=FALSE&amp;creator=factset&amp;display_string=Audit"}</definedName>
    <definedName name="_1035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6__FDSAUDITLINK__" hidden="1">{"fdsup://Directions/FactSet Auditing Viewer?action=AUDIT_VALUE&amp;DB=129&amp;ID1=95810210&amp;VALUEID=02001&amp;SDATE=200903&amp;PERIODTYPE=QTR_STD&amp;SCFT=3&amp;window=popup_no_bar&amp;width=385&amp;height=120&amp;START_MAXIMIZED=FALSE&amp;creator=factset&amp;display_string=Audit"}</definedName>
    <definedName name="_1037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8__FDSAUDITLINK__" hidden="1">{"fdsup://Directions/FactSet Auditing Viewer?action=AUDIT_VALUE&amp;DB=129&amp;ID1=92849730&amp;VALUEID=02001&amp;SDATE=200902&amp;PERIODTYPE=QTR_STD&amp;SCFT=3&amp;window=popup_no_bar&amp;width=385&amp;height=120&amp;START_MAXIMIZED=FALSE&amp;creator=factset&amp;display_string=Audit"}</definedName>
    <definedName name="_1039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__FDSAUDITLINK__" hidden="1">{"fdsup://Directions/FactSet Auditing Viewer?action=AUDIT_VALUE&amp;DB=129&amp;ID1=42823610&amp;VALUEID=02001&amp;SDATE=201102&amp;PERIODTYPE=QTR_STD&amp;SCFT=3&amp;window=popup_no_bar&amp;width=385&amp;height=120&amp;START_MAXIMIZED=FALSE&amp;creator=factset&amp;display_string=Audit"}</definedName>
    <definedName name="_1040__FDSAUDITLINK__" hidden="1">{"fdsup://Directions/FactSet Auditing Viewer?action=AUDIT_VALUE&amp;DB=129&amp;ID1=92829810&amp;VALUEID=02001&amp;SDATE=200901&amp;PERIODTYPE=QTR_STD&amp;SCFT=3&amp;window=popup_no_bar&amp;width=385&amp;height=120&amp;START_MAXIMIZED=FALSE&amp;creator=factset&amp;display_string=Audit"}</definedName>
    <definedName name="_1041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2__FDSAUDITLINK__" hidden="1">{"fdsup://Directions/FactSet Auditing Viewer?action=AUDIT_VALUE&amp;DB=129&amp;ID1=88250810&amp;VALUEID=02001&amp;SDATE=200901&amp;PERIODTYPE=QTR_STD&amp;SCFT=3&amp;window=popup_no_bar&amp;width=385&amp;height=120&amp;START_MAXIMIZED=FALSE&amp;creator=factset&amp;display_string=Audit"}</definedName>
    <definedName name="_1043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4__FDSAUDITLINK__" hidden="1">{"fdsup://Directions/FactSet Auditing Viewer?action=AUDIT_VALUE&amp;DB=129&amp;ID1=89674K10&amp;VALUEID=02001&amp;SDATE=200901&amp;PERIODTYPE=QTR_STD&amp;SCFT=3&amp;window=popup_no_bar&amp;width=385&amp;height=120&amp;START_MAXIMIZED=FALSE&amp;creator=factset&amp;display_string=Audit"}</definedName>
    <definedName name="_1045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6__FDSAUDITLINK__" hidden="1">{"fdsup://Directions/FactSet Auditing Viewer?action=AUDIT_VALUE&amp;DB=129&amp;ID1=83088M10&amp;VALUEID=02001&amp;SDATE=200902&amp;PERIODTYPE=QTR_STD&amp;SCFT=3&amp;window=popup_no_bar&amp;width=385&amp;height=120&amp;START_MAXIMIZED=FALSE&amp;creator=factset&amp;display_string=Audit"}</definedName>
    <definedName name="_1047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8__FDSAUDITLINK__" hidden="1">{"fdsup://Directions/FactSet Auditing Viewer?action=AUDIT_VALUE&amp;DB=129&amp;ID1=G7945M10&amp;VALUEID=02001&amp;SDATE=200903&amp;PERIODTYPE=QTR_STD&amp;SCFT=3&amp;window=popup_no_bar&amp;width=385&amp;height=120&amp;START_MAXIMIZED=FALSE&amp;creator=factset&amp;display_string=Audit"}</definedName>
    <definedName name="_1049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50__FDSAUDITLINK__" hidden="1">{"fdsup://Directions/FactSet Auditing Viewer?action=AUDIT_VALUE&amp;DB=129&amp;ID1=78477410&amp;VALUEID=02001&amp;SDATE=200901&amp;PERIODTYPE=QTR_STD&amp;SCFT=3&amp;window=popup_no_bar&amp;width=385&amp;height=120&amp;START_MAXIMIZED=FALSE&amp;creator=factset&amp;display_string=Audit"}</definedName>
    <definedName name="_1051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2__FDSAUDITLINK__" hidden="1">{"fdsup://Directions/FactSet Auditing Viewer?action=AUDIT_VALUE&amp;DB=129&amp;ID1=82705710&amp;VALUEID=02001&amp;SDATE=200901&amp;PERIODTYPE=QTR_STD&amp;SCFT=3&amp;window=popup_no_bar&amp;width=385&amp;height=120&amp;START_MAXIMIZED=FALSE&amp;creator=factset&amp;display_string=Audit"}</definedName>
    <definedName name="_1053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4__FDSAUDITLINK__" hidden="1">{"fdsup://Directions/FactSet Auditing Viewer?action=AUDIT_VALUE&amp;DB=129&amp;ID1=83547010&amp;VALUEID=02001&amp;SDATE=200901&amp;PERIODTYPE=QTR_STD&amp;SCFT=3&amp;window=popup_no_bar&amp;width=385&amp;height=120&amp;START_MAXIMIZED=FALSE&amp;creator=factset&amp;display_string=Audit"}</definedName>
    <definedName name="_1055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6__FDSAUDITLINK__" hidden="1">{"fdsup://Directions/FactSet Auditing Viewer?action=AUDIT_VALUE&amp;DB=129&amp;ID1=80004C10&amp;VALUEID=02001&amp;SDATE=200901&amp;PERIODTYPE=QTR_STD&amp;SCFT=3&amp;window=popup_no_bar&amp;width=385&amp;height=120&amp;START_MAXIMIZED=FALSE&amp;creator=factset&amp;display_string=Audit"}</definedName>
    <definedName name="_1057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8__FDSAUDITLINK__" hidden="1">{"fdsup://Directions/FactSet Auditing Viewer?action=AUDIT_VALUE&amp;DB=129&amp;ID1=82691910&amp;VALUEID=02001&amp;SDATE=200901&amp;PERIODTYPE=QTR_STD&amp;SCFT=3&amp;window=popup_no_bar&amp;width=385&amp;height=120&amp;START_MAXIMIZED=FALSE&amp;creator=factset&amp;display_string=Audit"}</definedName>
    <definedName name="_1059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__FDSAUDITLINK__" hidden="1">{"fdsup://Directions/FactSet Auditing Viewer?action=AUDIT_VALUE&amp;DB=129&amp;ID1=H2906T10&amp;VALUEID=02001&amp;SDATE=201101&amp;PERIODTYPE=QTR_STD&amp;SCFT=3&amp;window=popup_no_bar&amp;width=385&amp;height=120&amp;START_MAXIMIZED=FALSE&amp;creator=factset&amp;display_string=Audit"}</definedName>
    <definedName name="_1060__FDSAUDITLINK__" hidden="1">{"fdsup://Directions/FactSet Auditing Viewer?action=AUDIT_VALUE&amp;DB=129&amp;ID1=82705T10&amp;VALUEID=02001&amp;SDATE=200901&amp;PERIODTYPE=QTR_STD&amp;SCFT=3&amp;window=popup_no_bar&amp;width=385&amp;height=120&amp;START_MAXIMIZED=FALSE&amp;creator=factset&amp;display_string=Audit"}</definedName>
    <definedName name="_1061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2__FDSAUDITLINK__" hidden="1">{"fdsup://Directions/FactSet Auditing Viewer?action=AUDIT_VALUE&amp;DB=129&amp;ID1=75091710&amp;VALUEID=02001&amp;SDATE=200901&amp;PERIODTYPE=QTR_STD&amp;SCFT=3&amp;window=popup_no_bar&amp;width=385&amp;height=120&amp;START_MAXIMIZED=FALSE&amp;creator=factset&amp;display_string=Audit"}</definedName>
    <definedName name="_1063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4__FDSAUDITLINK__" hidden="1">{"fdsup://Directions/FactSet Auditing Viewer?action=AUDIT_VALUE&amp;DB=129&amp;ID1=74752510&amp;VALUEID=02001&amp;SDATE=200902&amp;PERIODTYPE=QTR_STD&amp;SCFT=3&amp;window=popup_no_bar&amp;width=385&amp;height=120&amp;START_MAXIMIZED=FALSE&amp;creator=factset&amp;display_string=Audit"}</definedName>
    <definedName name="_1065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6__FDSAUDITLINK__" hidden="1">{"fdsup://Directions/FactSet Auditing Viewer?action=AUDIT_VALUE&amp;DB=129&amp;ID1=72581M30&amp;VALUEID=02001&amp;SDATE=200901&amp;PERIODTYPE=QTR_STD&amp;SCFT=3&amp;window=popup_no_bar&amp;width=385&amp;height=120&amp;START_MAXIMIZED=FALSE&amp;creator=factset&amp;display_string=Audit"}</definedName>
    <definedName name="_1067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8__FDSAUDITLINK__" hidden="1">{"fdsup://Directions/FactSet Auditing Viewer?action=AUDIT_VALUE&amp;DB=129&amp;ID1=73927610&amp;VALUEID=02001&amp;SDATE=200901&amp;PERIODTYPE=QTR_STD&amp;SCFT=3&amp;window=popup_no_bar&amp;width=385&amp;height=120&amp;START_MAXIMIZED=FALSE&amp;creator=factset&amp;display_string=Audit"}</definedName>
    <definedName name="_1069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70__FDSAUDITLINK__" hidden="1">{"fdsup://Directions/FactSet Auditing Viewer?action=AUDIT_VALUE&amp;DB=129&amp;ID1=69344F10&amp;VALUEID=02001&amp;SDATE=200901&amp;PERIODTYPE=QTR_STD&amp;SCFT=3&amp;window=popup_no_bar&amp;width=385&amp;height=120&amp;START_MAXIMIZED=FALSE&amp;creator=factset&amp;display_string=Audit"}</definedName>
    <definedName name="_1071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2__FDSAUDITLINK__" hidden="1">{"fdsup://Directions/FactSet Auditing Viewer?action=AUDIT_VALUE&amp;DB=129&amp;ID1=69341710&amp;VALUEID=02001&amp;SDATE=200901&amp;PERIODTYPE=QTR_STD&amp;SCFT=3&amp;window=popup_no_bar&amp;width=385&amp;height=120&amp;START_MAXIMIZED=FALSE&amp;creator=factset&amp;display_string=Audit"}</definedName>
    <definedName name="_1073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4__FDSAUDITLINK__" hidden="1">{"fdsup://Directions/FactSet Auditing Viewer?action=AUDIT_VALUE&amp;DB=129&amp;ID1=68218910&amp;VALUEID=02001&amp;SDATE=200901&amp;PERIODTYPE=QTR_STD&amp;SCFT=3&amp;window=popup_no_bar&amp;width=385&amp;height=120&amp;START_MAXIMIZED=FALSE&amp;creator=factset&amp;display_string=Audit"}</definedName>
    <definedName name="_1075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6__FDSAUDITLINK__" hidden="1">{"fdsup://Directions/FactSet Auditing Viewer?action=AUDIT_VALUE&amp;DB=129&amp;ID1=B505PN&amp;VALUEID=02001&amp;SDATE=200901&amp;PERIODTYPE=QTR_STD&amp;SCFT=3&amp;window=popup_no_bar&amp;width=385&amp;height=120&amp;START_MAXIMIZED=FALSE&amp;creator=factset&amp;display_string=Audit"}</definedName>
    <definedName name="_1077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8__FDSAUDITLINK__" hidden="1">{"fdsup://Directions/FactSet Auditing Viewer?action=AUDIT_VALUE&amp;DB=129&amp;ID1=67000810&amp;VALUEID=02001&amp;SDATE=200901&amp;PERIODTYPE=QTR_STD&amp;SCFT=3&amp;window=popup_no_bar&amp;width=385&amp;height=120&amp;START_MAXIMIZED=FALSE&amp;creator=factset&amp;display_string=Audit"}</definedName>
    <definedName name="_1079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__FDSAUDITLINK__" hidden="1">{"fdsup://Directions/FactSet Auditing Viewer?action=AUDIT_VALUE&amp;DB=129&amp;ID1=34637510&amp;VALUEID=02001&amp;SDATE=201101&amp;PERIODTYPE=QTR_STD&amp;SCFT=3&amp;window=popup_no_bar&amp;width=385&amp;height=120&amp;START_MAXIMIZED=FALSE&amp;creator=factset&amp;display_string=Audit"}</definedName>
    <definedName name="_1080__FDSAUDITLINK__" hidden="1">{"fdsup://Directions/FactSet Auditing Viewer?action=AUDIT_VALUE&amp;DB=129&amp;ID1=63764010&amp;VALUEID=02001&amp;SDATE=200803&amp;PERIODTYPE=QTR_STD&amp;SCFT=3&amp;window=popup_no_bar&amp;width=385&amp;height=120&amp;START_MAXIMIZED=FALSE&amp;creator=factset&amp;display_string=Audit"}</definedName>
    <definedName name="_1081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2__FDSAUDITLINK__" hidden="1">{"fdsup://Directions/FactSet Auditing Viewer?action=AUDIT_VALUE&amp;DB=129&amp;ID1=64118B10&amp;VALUEID=02001&amp;SDATE=200901&amp;PERIODTYPE=QTR_STD&amp;SCFT=3&amp;window=popup_no_bar&amp;width=385&amp;height=120&amp;START_MAXIMIZED=FALSE&amp;creator=factset&amp;display_string=Audit"}</definedName>
    <definedName name="_1083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4__FDSAUDITLINK__" hidden="1">{"fdsup://Directions/FactSet Auditing Viewer?action=AUDIT_VALUE&amp;DB=129&amp;ID1=57772K10&amp;VALUEID=02001&amp;SDATE=200903&amp;PERIODTYPE=QTR_STD&amp;SCFT=3&amp;window=popup_no_bar&amp;width=385&amp;height=120&amp;START_MAXIMIZED=FALSE&amp;creator=factset&amp;display_string=Audit"}</definedName>
    <definedName name="_1085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6__FDSAUDITLINK__" hidden="1">{"fdsup://Directions/FactSet Auditing Viewer?action=AUDIT_VALUE&amp;DB=129&amp;ID1=59511210&amp;VALUEID=02001&amp;SDATE=200902&amp;PERIODTYPE=QTR_STD&amp;SCFT=3&amp;window=popup_no_bar&amp;width=385&amp;height=120&amp;START_MAXIMIZED=FALSE&amp;creator=factset&amp;display_string=Audit"}</definedName>
    <definedName name="_1087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8__FDSAUDITLINK__" hidden="1">{"fdsup://Directions/FactSet Auditing Viewer?action=AUDIT_VALUE&amp;DB=129&amp;ID1=59513710&amp;VALUEID=02001&amp;SDATE=200902&amp;PERIODTYPE=QTR_STD&amp;SCFT=3&amp;window=popup_no_bar&amp;width=385&amp;height=120&amp;START_MAXIMIZED=FALSE&amp;creator=factset&amp;display_string=Audit"}</definedName>
    <definedName name="_1089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090__FDSAUDITLINK__" hidden="1">{"fdsup://Directions/FactSet Auditing Viewer?action=AUDIT_VALUE&amp;DB=129&amp;ID1=62007630&amp;VALUEID=02001&amp;SDATE=200901&amp;PERIODTYPE=QTR_STD&amp;SCFT=3&amp;window=popup_no_bar&amp;width=385&amp;height=120&amp;START_MAXIMIZED=FALSE&amp;creator=factset&amp;display_string=Audit"}</definedName>
    <definedName name="_1091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2__FDSAUDITLINK__" hidden="1">{"fdsup://Directions/FactSet Auditing Viewer?action=AUDIT_VALUE&amp;DB=129&amp;ID1=59479310&amp;VALUEID=02001&amp;SDATE=200901&amp;PERIODTYPE=QTR_STD&amp;SCFT=3&amp;window=popup_no_bar&amp;width=385&amp;height=120&amp;START_MAXIMIZED=FALSE&amp;creator=factset&amp;display_string=Audit"}</definedName>
    <definedName name="_1093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4__FDSAUDITLINK__" hidden="1">{"fdsup://Directions/FactSet Auditing Viewer?action=AUDIT_VALUE&amp;DB=129&amp;ID1=50216110&amp;VALUEID=02001&amp;SDATE=200901&amp;PERIODTYPE=QTR_STD&amp;SCFT=3&amp;window=popup_no_bar&amp;width=385&amp;height=120&amp;START_MAXIMIZED=FALSE&amp;creator=factset&amp;display_string=Audit"}</definedName>
    <definedName name="_1095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6__FDSAUDITLINK__" hidden="1">{"fdsup://Directions/FactSet Auditing Viewer?action=AUDIT_VALUE&amp;DB=129&amp;ID1=51841510&amp;VALUEID=02001&amp;SDATE=200901&amp;PERIODTYPE=QTR_STD&amp;SCFT=3&amp;window=popup_no_bar&amp;width=385&amp;height=120&amp;START_MAXIMIZED=FALSE&amp;creator=factset&amp;display_string=Audit"}</definedName>
    <definedName name="_1097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8__FDSAUDITLINK__" hidden="1">{"fdsup://Directions/FactSet Auditing Viewer?action=AUDIT_VALUE&amp;DB=129&amp;ID1=51280710&amp;VALUEID=02001&amp;SDATE=200903&amp;PERIODTYPE=QTR_STD&amp;SCFT=3&amp;window=popup_no_bar&amp;width=385&amp;height=120&amp;START_MAXIMIZED=FALSE&amp;creator=factset&amp;display_string=Audit"}</definedName>
    <definedName name="_1099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__FDSAUDITLINK__" hidden="1">{"fdsup://Directions/FactSet Auditing Viewer?action=AUDIT_VALUE&amp;DB=129&amp;ID1=596233&amp;VALUEID=02001&amp;SDATE=201103&amp;PERIODTYPE=QTR_STD&amp;SCFT=3&amp;window=popup_no_bar&amp;width=385&amp;height=120&amp;START_MAXIMIZED=FALSE&amp;creator=factset&amp;display_string=Audit"}</definedName>
    <definedName name="_110__FDSAUDITLINK__" hidden="1">{"fdsup://Directions/FactSet Auditing Viewer?action=AUDIT_VALUE&amp;DB=129&amp;ID1=31561610&amp;VALUEID=02001&amp;SDATE=201102&amp;PERIODTYPE=QTR_STD&amp;SCFT=3&amp;window=popup_no_bar&amp;width=385&amp;height=120&amp;START_MAXIMIZED=FALSE&amp;creator=factset&amp;display_string=Audit"}</definedName>
    <definedName name="_1100__FDSAUDITLINK__" hidden="1">{"fdsup://Directions/FactSet Auditing Viewer?action=AUDIT_VALUE&amp;DB=129&amp;ID1=53567810&amp;VALUEID=02001&amp;SDATE=200903&amp;PERIODTYPE=QTR_STD&amp;SCFT=3&amp;window=popup_no_bar&amp;width=385&amp;height=120&amp;START_MAXIMIZED=FALSE&amp;creator=factset&amp;display_string=Audit"}</definedName>
    <definedName name="_1101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2__FDSAUDITLINK__" hidden="1">{"fdsup://Directions/FactSet Auditing Viewer?action=AUDIT_VALUE&amp;DB=129&amp;ID1=48248010&amp;VALUEID=02001&amp;SDATE=200903&amp;PERIODTYPE=QTR_STD&amp;SCFT=3&amp;window=popup_no_bar&amp;width=385&amp;height=120&amp;START_MAXIMIZED=FALSE&amp;creator=factset&amp;display_string=Audit"}</definedName>
    <definedName name="_1103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4__FDSAUDITLINK__" hidden="1">{"fdsup://Directions/FactSet Auditing Viewer?action=AUDIT_VALUE&amp;DB=129&amp;ID1=48203R10&amp;VALUEID=02001&amp;SDATE=200901&amp;PERIODTYPE=QTR_STD&amp;SCFT=3&amp;window=popup_no_bar&amp;width=385&amp;height=120&amp;START_MAXIMIZED=FALSE&amp;creator=factset&amp;display_string=Audit"}</definedName>
    <definedName name="_1105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6__FDSAUDITLINK__" hidden="1">{"fdsup://Directions/FactSet Auditing Viewer?action=AUDIT_VALUE&amp;DB=129&amp;ID1=86681020&amp;VALUEID=02001&amp;SDATE=200903&amp;PERIODTYPE=QTR_STD&amp;SCFT=3&amp;window=popup_no_bar&amp;width=385&amp;height=120&amp;START_MAXIMIZED=FALSE&amp;creator=factset&amp;display_string=Audit"}</definedName>
    <definedName name="_1107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8__FDSAUDITLINK__" hidden="1">{"fdsup://Directions/FactSet Auditing Viewer?action=AUDIT_VALUE&amp;DB=129&amp;ID1=46069S10&amp;VALUEID=02001&amp;SDATE=200901&amp;PERIODTYPE=QTR_STD&amp;SCFT=3&amp;window=popup_no_bar&amp;width=385&amp;height=120&amp;START_MAXIMIZED=FALSE&amp;creator=factset&amp;display_string=Audit"}</definedName>
    <definedName name="_1109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10__FDSAUDITLINK__" hidden="1">{"fdsup://Directions/FactSet Auditing Viewer?action=AUDIT_VALUE&amp;DB=129&amp;ID1=46025410&amp;VALUEID=02001&amp;SDATE=200903&amp;PERIODTYPE=QTR_STD&amp;SCFT=3&amp;window=popup_no_bar&amp;width=385&amp;height=120&amp;START_MAXIMIZED=FALSE&amp;creator=factset&amp;display_string=Audit"}</definedName>
    <definedName name="_1111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2__FDSAUDITLINK__" hidden="1">{"fdsup://Directions/FactSet Auditing Viewer?action=AUDIT_VALUE&amp;DB=129&amp;ID1=45814010&amp;VALUEID=02001&amp;SDATE=200901&amp;PERIODTYPE=QTR_STD&amp;SCFT=3&amp;window=popup_no_bar&amp;width=385&amp;height=120&amp;START_MAXIMIZED=FALSE&amp;creator=factset&amp;display_string=Audit"}</definedName>
    <definedName name="_1113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4__FDSAUDITLINK__" hidden="1">{"fdsup://Directions/FactSet Auditing Viewer?action=AUDIT_VALUE&amp;DB=129&amp;ID1=42823610&amp;VALUEID=02001&amp;SDATE=200902&amp;PERIODTYPE=QTR_STD&amp;SCFT=3&amp;window=popup_no_bar&amp;width=385&amp;height=120&amp;START_MAXIMIZED=FALSE&amp;creator=factset&amp;display_string=Audit"}</definedName>
    <definedName name="_1115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6__FDSAUDITLINK__" hidden="1">{"fdsup://Directions/FactSet Auditing Viewer?action=AUDIT_VALUE&amp;DB=129&amp;ID1=H2906T10&amp;VALUEID=02001&amp;SDATE=200901&amp;PERIODTYPE=QTR_STD&amp;SCFT=3&amp;window=popup_no_bar&amp;width=385&amp;height=120&amp;START_MAXIMIZED=FALSE&amp;creator=factset&amp;display_string=Audit"}</definedName>
    <definedName name="_1117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8__FDSAUDITLINK__" hidden="1">{"fdsup://Directions/FactSet Auditing Viewer?action=AUDIT_VALUE&amp;DB=129&amp;ID1=34637510&amp;VALUEID=02001&amp;SDATE=200901&amp;PERIODTYPE=QTR_STD&amp;SCFT=3&amp;window=popup_no_bar&amp;width=385&amp;height=120&amp;START_MAXIMIZED=FALSE&amp;creator=factset&amp;display_string=Audit"}</definedName>
    <definedName name="_1119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__FDSAUDITLINK__" hidden="1">{"fdsup://Directions/FactSet Auditing Viewer?action=AUDIT_VALUE&amp;DB=129&amp;ID1=29247520&amp;VALUEID=02001&amp;SDATE=201103&amp;PERIODTYPE=QTR_STD&amp;SCFT=3&amp;window=popup_no_bar&amp;width=385&amp;height=120&amp;START_MAXIMIZED=FALSE&amp;creator=factset&amp;display_string=Audit"}</definedName>
    <definedName name="_1120__FDSAUDITLINK__" hidden="1">{"fdsup://Directions/FactSet Auditing Viewer?action=AUDIT_VALUE&amp;DB=129&amp;ID1=31561610&amp;VALUEID=02001&amp;SDATE=200902&amp;PERIODTYPE=QTR_STD&amp;SCFT=3&amp;window=popup_no_bar&amp;width=385&amp;height=120&amp;START_MAXIMIZED=FALSE&amp;creator=factset&amp;display_string=Audit"}</definedName>
    <definedName name="_1121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2__FDSAUDITLINK__" hidden="1">{"fdsup://Directions/FactSet Auditing Viewer?action=AUDIT_VALUE&amp;DB=129&amp;ID1=29247520&amp;VALUEID=02001&amp;SDATE=200903&amp;PERIODTYPE=QTR_STD&amp;SCFT=3&amp;window=popup_no_bar&amp;width=385&amp;height=120&amp;START_MAXIMIZED=FALSE&amp;creator=factset&amp;display_string=Audit"}</definedName>
    <definedName name="_1123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4__FDSAUDITLINK__" hidden="1">{"fdsup://Directions/FactSet Auditing Viewer?action=AUDIT_VALUE&amp;DB=129&amp;ID1=25454310&amp;VALUEID=02001&amp;SDATE=200901&amp;PERIODTYPE=QTR_STD&amp;SCFT=3&amp;window=popup_no_bar&amp;width=385&amp;height=120&amp;START_MAXIMIZED=FALSE&amp;creator=factset&amp;display_string=Audit"}</definedName>
    <definedName name="_1125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6__FDSAUDITLINK__" hidden="1">{"fdsup://Directions/FactSet Auditing Viewer?action=AUDIT_VALUE&amp;DB=129&amp;ID1=23257210&amp;VALUEID=02001&amp;SDATE=200901&amp;PERIODTYPE=QTR_STD&amp;SCFT=3&amp;window=popup_no_bar&amp;width=385&amp;height=120&amp;START_MAXIMIZED=FALSE&amp;creator=factset&amp;display_string=Audit"}</definedName>
    <definedName name="_1127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8__FDSAUDITLINK__" hidden="1">{"fdsup://Directions/FactSet Auditing Viewer?action=AUDIT_VALUE&amp;DB=129&amp;ID1=23280610&amp;VALUEID=02001&amp;SDATE=200901&amp;PERIODTYPE=QTR_STD&amp;SCFT=3&amp;window=popup_no_bar&amp;width=385&amp;height=120&amp;START_MAXIMIZED=FALSE&amp;creator=factset&amp;display_string=Audit"}</definedName>
    <definedName name="_1129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30__FDSAUDITLINK__" hidden="1">{"fdsup://Directions/FactSet Auditing Viewer?action=AUDIT_VALUE&amp;DB=129&amp;ID1=17275R10&amp;VALUEID=02001&amp;SDATE=200903&amp;PERIODTYPE=QTR_STD&amp;SCFT=3&amp;window=popup_no_bar&amp;width=385&amp;height=120&amp;START_MAXIMIZED=FALSE&amp;creator=factset&amp;display_string=Audit"}</definedName>
    <definedName name="_1131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2__FDSAUDITLINK__" hidden="1">{"fdsup://Directions/FactSet Auditing Viewer?action=AUDIT_VALUE&amp;DB=129&amp;ID1=22544710&amp;VALUEID=02001&amp;SDATE=200903&amp;PERIODTYPE=QTR_STD&amp;SCFT=3&amp;window=popup_no_bar&amp;width=385&amp;height=120&amp;START_MAXIMIZED=FALSE&amp;creator=factset&amp;display_string=Audit"}</definedName>
    <definedName name="_1133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4__FDSAUDITLINK__" hidden="1">{"fdsup://Directions/FactSet Auditing Viewer?action=AUDIT_VALUE&amp;DB=129&amp;ID1=20714230&amp;VALUEID=02001&amp;SDATE=200902&amp;PERIODTYPE=QTR_STD&amp;SCFT=3&amp;window=popup_no_bar&amp;width=385&amp;height=120&amp;START_MAXIMIZED=FALSE&amp;creator=factset&amp;display_string=Audit"}</definedName>
    <definedName name="_1135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6__FDSAUDITLINK__" hidden="1">{"fdsup://Directions/FactSet Auditing Viewer?action=AUDIT_VALUE&amp;DB=129&amp;ID1=12738710&amp;VALUEID=02001&amp;SDATE=200901&amp;PERIODTYPE=QTR_STD&amp;SCFT=3&amp;window=popup_no_bar&amp;width=385&amp;height=120&amp;START_MAXIMIZED=FALSE&amp;creator=factset&amp;display_string=Audit"}</definedName>
    <definedName name="_1137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8__FDSAUDITLINK__" hidden="1">{"fdsup://Directions/FactSet Auditing Viewer?action=AUDIT_VALUE&amp;DB=129&amp;ID1=14964U10&amp;VALUEID=02001&amp;SDATE=200901&amp;PERIODTYPE=QTR_STD&amp;SCFT=3&amp;window=popup_no_bar&amp;width=385&amp;height=120&amp;START_MAXIMIZED=FALSE&amp;creator=factset&amp;display_string=Audit"}</definedName>
    <definedName name="_1139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__FDSAUDITLINK__" hidden="1">{"fdsup://Directions/FactSet Auditing Viewer?action=AUDIT_VALUE&amp;DB=129&amp;ID1=25454310&amp;VALUEID=02001&amp;SDATE=201101&amp;PERIODTYPE=QTR_STD&amp;SCFT=3&amp;window=popup_no_bar&amp;width=385&amp;height=120&amp;START_MAXIMIZED=FALSE&amp;creator=factset&amp;display_string=Audit"}</definedName>
    <definedName name="_1140__FDSAUDITLINK__" hidden="1">{"fdsup://Directions/FactSet Auditing Viewer?action=AUDIT_VALUE&amp;DB=129&amp;ID1=11162130&amp;VALUEID=02001&amp;SDATE=200902&amp;PERIODTYPE=QTR_STD&amp;SCFT=3&amp;window=popup_no_bar&amp;width=385&amp;height=120&amp;START_MAXIMIZED=FALSE&amp;creator=factset&amp;display_string=Audit"}</definedName>
    <definedName name="_1141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2__FDSAUDITLINK__" hidden="1">{"fdsup://Directions/FactSet Auditing Viewer?action=AUDIT_VALUE&amp;DB=129&amp;ID1=Y0486S10&amp;VALUEID=02001&amp;SDATE=200902&amp;PERIODTYPE=QTR_STD&amp;SCFT=3&amp;window=popup_no_bar&amp;width=385&amp;height=120&amp;START_MAXIMIZED=FALSE&amp;creator=factset&amp;display_string=Audit"}</definedName>
    <definedName name="_1143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4__FDSAUDITLINK__" hidden="1">{"fdsup://Directions/FactSet Auditing Viewer?action=AUDIT_VALUE&amp;DB=129&amp;ID1=04743P10&amp;VALUEID=02001&amp;SDATE=200901&amp;PERIODTYPE=QTR_STD&amp;SCFT=3&amp;window=popup_no_bar&amp;width=385&amp;height=120&amp;START_MAXIMIZED=FALSE&amp;creator=factset&amp;display_string=Audit"}</definedName>
    <definedName name="_1145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6__FDSAUDITLINK__" hidden="1">{"fdsup://Directions/FactSet Auditing Viewer?action=AUDIT_VALUE&amp;DB=129&amp;ID1=03251510&amp;VALUEID=02001&amp;SDATE=200901&amp;PERIODTYPE=QTR_STD&amp;SCFT=3&amp;window=popup_no_bar&amp;width=385&amp;height=120&amp;START_MAXIMIZED=FALSE&amp;creator=factset&amp;display_string=Audit"}</definedName>
    <definedName name="_1147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8__FDSAUDITLINK__" hidden="1">{"fdsup://Directions/FactSet Auditing Viewer?action=AUDIT_VALUE&amp;DB=129&amp;ID1=00790310&amp;VALUEID=02001&amp;SDATE=200901&amp;PERIODTYPE=QTR_STD&amp;SCFT=3&amp;window=popup_no_bar&amp;width=385&amp;height=120&amp;START_MAXIMIZED=FALSE&amp;creator=factset&amp;display_string=Audit"}</definedName>
    <definedName name="_1149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50__FDSAUDITLINK__" hidden="1">{"fdsup://Directions/FactSet Auditing Viewer?action=AUDIT_VALUE&amp;DB=129&amp;ID1=02144110&amp;VALUEID=02001&amp;SDATE=200901&amp;PERIODTYPE=QTR_STD&amp;SCFT=3&amp;window=popup_no_bar&amp;width=385&amp;height=120&amp;START_MAXIMIZED=FALSE&amp;creator=factset&amp;display_string=Audit"}</definedName>
    <definedName name="_1151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2__FDSAUDITLINK__" hidden="1">{"fdsup://Directions/FactSet Auditing Viewer?action=AUDIT_VALUE&amp;DB=129&amp;ID1=00752J10&amp;VALUEID=02001&amp;SDATE=200901&amp;PERIODTYPE=QTR_STD&amp;SCFT=3&amp;window=popup_no_bar&amp;width=385&amp;height=120&amp;START_MAXIMIZED=FALSE&amp;creator=factset&amp;display_string=Audit"}</definedName>
    <definedName name="_1153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4__FDSAUDITLINK__" hidden="1">{"fdsup://Directions/FactSet Auditing Viewer?action=AUDIT_VALUE&amp;DB=129&amp;ID1=98391910&amp;VALUEID=02001&amp;SDATE=200803&amp;PERIODTYPE=QTR_STD&amp;SCFT=3&amp;window=popup_no_bar&amp;width=385&amp;height=120&amp;START_MAXIMIZED=FALSE&amp;creator=factset&amp;display_string=Audit"}</definedName>
    <definedName name="_1155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6__FDSAUDITLINK__" hidden="1">{"fdsup://Directions/FactSet Auditing Viewer?action=AUDIT_VALUE&amp;DB=129&amp;ID1=95810210&amp;VALUEID=02001&amp;SDATE=200902&amp;PERIODTYPE=QTR_STD&amp;SCFT=3&amp;window=popup_no_bar&amp;width=385&amp;height=120&amp;START_MAXIMIZED=FALSE&amp;creator=factset&amp;display_string=Audit"}</definedName>
    <definedName name="_1157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8__FDSAUDITLINK__" hidden="1">{"fdsup://Directions/FactSet Auditing Viewer?action=AUDIT_VALUE&amp;DB=129&amp;ID1=92849730&amp;VALUEID=02001&amp;SDATE=200901&amp;PERIODTYPE=QTR_STD&amp;SCFT=3&amp;window=popup_no_bar&amp;width=385&amp;height=120&amp;START_MAXIMIZED=FALSE&amp;creator=factset&amp;display_string=Audit"}</definedName>
    <definedName name="_1159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__FDSAUDITLINK__" hidden="1">{"fdsup://Directions/FactSet Auditing Viewer?action=AUDIT_VALUE&amp;DB=129&amp;ID1=24702R10&amp;VALUEID=02001&amp;SDATE=201101&amp;PERIODTYPE=QTR_STD&amp;SCFT=3&amp;window=popup_no_bar&amp;width=385&amp;height=120&amp;START_MAXIMIZED=FALSE&amp;creator=factset&amp;display_string=Audit"}</definedName>
    <definedName name="_1160__FDSAUDITLINK__" hidden="1">{"fdsup://Directions/FactSet Auditing Viewer?action=AUDIT_VALUE&amp;DB=129&amp;ID1=83088M10&amp;VALUEID=02001&amp;SDATE=200901&amp;PERIODTYPE=QTR_STD&amp;SCFT=3&amp;window=popup_no_bar&amp;width=385&amp;height=120&amp;START_MAXIMIZED=FALSE&amp;creator=factset&amp;display_string=Audit"}</definedName>
    <definedName name="_1161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2__FDSAUDITLINK__" hidden="1">{"fdsup://Directions/FactSet Auditing Viewer?action=AUDIT_VALUE&amp;DB=129&amp;ID1=G7945M10&amp;VALUEID=02001&amp;SDATE=200902&amp;PERIODTYPE=QTR_STD&amp;SCFT=3&amp;window=popup_no_bar&amp;width=385&amp;height=120&amp;START_MAXIMIZED=FALSE&amp;creator=factset&amp;display_string=Audit"}</definedName>
    <definedName name="_1163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4__FDSAUDITLINK__" hidden="1">{"fdsup://Directions/FactSet Auditing Viewer?action=AUDIT_VALUE&amp;DB=129&amp;ID1=87160710&amp;VALUEID=02001&amp;SDATE=200901&amp;PERIODTYPE=QTR_STD&amp;SCFT=3&amp;window=popup_no_bar&amp;width=385&amp;height=120&amp;START_MAXIMIZED=FALSE&amp;creator=factset&amp;display_string=Audit"}</definedName>
    <definedName name="_1165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6__FDSAUDITLINK__" hidden="1">{"fdsup://Directions/FactSet Auditing Viewer?action=AUDIT_VALUE&amp;DB=129&amp;ID1=74994110&amp;VALUEID=02001&amp;SDATE=200803&amp;PERIODTYPE=QTR_STD&amp;SCFT=3&amp;window=popup_no_bar&amp;width=385&amp;height=120&amp;START_MAXIMIZED=FALSE&amp;creator=factset&amp;display_string=Audit"}</definedName>
    <definedName name="_1167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8__FDSAUDITLINK__" hidden="1">{"fdsup://Directions/FactSet Auditing Viewer?action=AUDIT_VALUE&amp;DB=129&amp;ID1=74727710&amp;VALUEID=02001&amp;SDATE=200803&amp;PERIODTYPE=QTR_STD&amp;SCFT=3&amp;window=popup_no_bar&amp;width=385&amp;height=120&amp;START_MAXIMIZED=FALSE&amp;creator=factset&amp;display_string=Audit"}</definedName>
    <definedName name="_1169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70__FDSAUDITLINK__" hidden="1">{"fdsup://Directions/FactSet Auditing Viewer?action=AUDIT_VALUE&amp;DB=129&amp;ID1=74752510&amp;VALUEID=02001&amp;SDATE=200901&amp;PERIODTYPE=QTR_STD&amp;SCFT=3&amp;window=popup_no_bar&amp;width=385&amp;height=120&amp;START_MAXIMIZED=FALSE&amp;creator=factset&amp;display_string=Audit"}</definedName>
    <definedName name="_1171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2__FDSAUDITLINK__" hidden="1">{"fdsup://Directions/FactSet Auditing Viewer?action=AUDIT_VALUE&amp;DB=129&amp;ID1=B505PN&amp;VALUEID=02001&amp;SDATE=200804&amp;PERIODTYPE=QTR_STD&amp;SCFT=3&amp;window=popup_no_bar&amp;width=385&amp;height=120&amp;START_MAXIMIZED=FALSE&amp;creator=factset&amp;display_string=Audit"}</definedName>
    <definedName name="_1173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4__FDSAUDITLINK__" hidden="1">{"fdsup://Directions/FactSet Auditing Viewer?action=AUDIT_VALUE&amp;DB=129&amp;ID1=63764010&amp;VALUEID=02001&amp;SDATE=200802&amp;PERIODTYPE=QTR_STD&amp;SCFT=3&amp;window=popup_no_bar&amp;width=385&amp;height=120&amp;START_MAXIMIZED=FALSE&amp;creator=factset&amp;display_string=Audit"}</definedName>
    <definedName name="_1175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6__FDSAUDITLINK__" hidden="1">{"fdsup://Directions/FactSet Auditing Viewer?action=AUDIT_VALUE&amp;DB=129&amp;ID1=57772K10&amp;VALUEID=02001&amp;SDATE=200902&amp;PERIODTYPE=QTR_STD&amp;SCFT=3&amp;window=popup_no_bar&amp;width=385&amp;height=120&amp;START_MAXIMIZED=FALSE&amp;creator=factset&amp;display_string=Audit"}</definedName>
    <definedName name="_1177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8__FDSAUDITLINK__" hidden="1">{"fdsup://Directions/FactSet Auditing Viewer?action=AUDIT_VALUE&amp;DB=129&amp;ID1=59511210&amp;VALUEID=02001&amp;SDATE=200901&amp;PERIODTYPE=QTR_STD&amp;SCFT=3&amp;window=popup_no_bar&amp;width=385&amp;height=120&amp;START_MAXIMIZED=FALSE&amp;creator=factset&amp;display_string=Audit"}</definedName>
    <definedName name="_1179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__FDSAUDITLINK__" hidden="1">{"fdsup://Directions/FactSet Auditing Viewer?action=AUDIT_VALUE&amp;DB=129&amp;ID1=23257210&amp;VALUEID=02001&amp;SDATE=201101&amp;PERIODTYPE=QTR_STD&amp;SCFT=3&amp;window=popup_no_bar&amp;width=385&amp;height=120&amp;START_MAXIMIZED=FALSE&amp;creator=factset&amp;display_string=Audit"}</definedName>
    <definedName name="_1180__FDSAUDITLINK__" hidden="1">{"fdsup://Directions/FactSet Auditing Viewer?action=AUDIT_VALUE&amp;DB=129&amp;ID1=59513710&amp;VALUEID=02001&amp;SDATE=200901&amp;PERIODTYPE=QTR_STD&amp;SCFT=3&amp;window=popup_no_bar&amp;width=385&amp;height=120&amp;START_MAXIMIZED=FALSE&amp;creator=factset&amp;display_string=Audit"}</definedName>
    <definedName name="_1181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2__FDSAUDITLINK__" hidden="1">{"fdsup://Directions/FactSet Auditing Viewer?action=AUDIT_VALUE&amp;DB=129&amp;ID1=59501710&amp;VALUEID=02001&amp;SDATE=200803&amp;PERIODTYPE=QTR_STD&amp;SCFT=3&amp;window=popup_no_bar&amp;width=385&amp;height=120&amp;START_MAXIMIZED=FALSE&amp;creator=factset&amp;display_string=Audit"}</definedName>
    <definedName name="_1183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4__FDSAUDITLINK__" hidden="1">{"fdsup://Directions/FactSet Auditing Viewer?action=AUDIT_VALUE&amp;DB=129&amp;ID1=51280710&amp;VALUEID=02001&amp;SDATE=200902&amp;PERIODTYPE=QTR_STD&amp;SCFT=3&amp;window=popup_no_bar&amp;width=385&amp;height=120&amp;START_MAXIMIZED=FALSE&amp;creator=factset&amp;display_string=Audit"}</definedName>
    <definedName name="_1185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6__FDSAUDITLINK__" hidden="1">{"fdsup://Directions/FactSet Auditing Viewer?action=AUDIT_VALUE&amp;DB=129&amp;ID1=53567810&amp;VALUEID=02001&amp;SDATE=200902&amp;PERIODTYPE=QTR_STD&amp;SCFT=3&amp;window=popup_no_bar&amp;width=385&amp;height=120&amp;START_MAXIMIZED=FALSE&amp;creator=factset&amp;display_string=Audit"}</definedName>
    <definedName name="_1187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8__FDSAUDITLINK__" hidden="1">{"fdsup://Directions/FactSet Auditing Viewer?action=AUDIT_VALUE&amp;DB=129&amp;ID1=48248010&amp;VALUEID=02001&amp;SDATE=200902&amp;PERIODTYPE=QTR_STD&amp;SCFT=3&amp;window=popup_no_bar&amp;width=385&amp;height=120&amp;START_MAXIMIZED=FALSE&amp;creator=factset&amp;display_string=Audit"}</definedName>
    <definedName name="_1189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190__FDSAUDITLINK__" hidden="1">{"fdsup://Directions/FactSet Auditing Viewer?action=AUDIT_VALUE&amp;DB=129&amp;ID1=48836020&amp;VALUEID=02001&amp;SDATE=200803&amp;PERIODTYPE=QTR_STD&amp;SCFT=3&amp;window=popup_no_bar&amp;width=385&amp;height=120&amp;START_MAXIMIZED=FALSE&amp;creator=factset&amp;display_string=Audit"}</definedName>
    <definedName name="_1191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2__FDSAUDITLINK__" hidden="1">{"fdsup://Directions/FactSet Auditing Viewer?action=AUDIT_VALUE&amp;DB=129&amp;ID1=86681020&amp;VALUEID=02001&amp;SDATE=200902&amp;PERIODTYPE=QTR_STD&amp;SCFT=3&amp;window=popup_no_bar&amp;width=385&amp;height=120&amp;START_MAXIMIZED=FALSE&amp;creator=factset&amp;display_string=Audit"}</definedName>
    <definedName name="_1193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4__FDSAUDITLINK__" hidden="1">{"fdsup://Directions/FactSet Auditing Viewer?action=AUDIT_VALUE&amp;DB=129&amp;ID1=46025410&amp;VALUEID=02001&amp;SDATE=200902&amp;PERIODTYPE=QTR_STD&amp;SCFT=3&amp;window=popup_no_bar&amp;width=385&amp;height=120&amp;START_MAXIMIZED=FALSE&amp;creator=factset&amp;display_string=Audit"}</definedName>
    <definedName name="_1195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6__FDSAUDITLINK__" hidden="1">{"fdsup://Directions/FactSet Auditing Viewer?action=AUDIT_VALUE&amp;DB=129&amp;ID1=45811810&amp;VALUEID=02001&amp;SDATE=200803&amp;PERIODTYPE=QTR_STD&amp;SCFT=3&amp;window=popup_no_bar&amp;width=385&amp;height=120&amp;START_MAXIMIZED=FALSE&amp;creator=factset&amp;display_string=Audit"}</definedName>
    <definedName name="_1197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8__FDSAUDITLINK__" hidden="1">{"fdsup://Directions/FactSet Auditing Viewer?action=AUDIT_VALUE&amp;DB=129&amp;ID1=42823610&amp;VALUEID=02001&amp;SDATE=200901&amp;PERIODTYPE=QTR_STD&amp;SCFT=3&amp;window=popup_no_bar&amp;width=385&amp;height=120&amp;START_MAXIMIZED=FALSE&amp;creator=factset&amp;display_string=Audit"}</definedName>
    <definedName name="_1199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__FDSAUDITLINK__" hidden="1">{"fdsup://Directions/FactSet Auditing Viewer?action=AUDIT_VALUE&amp;DB=129&amp;ID1=74752510&amp;VALUEID=02001&amp;SDATE=201104&amp;PERIODTYPE=QTR_STD&amp;SCFT=3&amp;window=popup_no_bar&amp;width=385&amp;height=120&amp;START_MAXIMIZED=FALSE&amp;creator=factset&amp;display_string=Audit"}</definedName>
    <definedName name="_120__FDSAUDITLINK__" hidden="1">{"fdsup://Directions/FactSet Auditing Viewer?action=AUDIT_VALUE&amp;DB=129&amp;ID1=23280610&amp;VALUEID=02001&amp;SDATE=201101&amp;PERIODTYPE=QTR_STD&amp;SCFT=3&amp;window=popup_no_bar&amp;width=385&amp;height=120&amp;START_MAXIMIZED=FALSE&amp;creator=factset&amp;display_string=Audit"}</definedName>
    <definedName name="_1200__FDSAUDITLINK__" hidden="1">{"fdsup://Directions/FactSet Auditing Viewer?action=AUDIT_VALUE&amp;DB=129&amp;ID1=31561610&amp;VALUEID=02001&amp;SDATE=200901&amp;PERIODTYPE=QTR_STD&amp;SCFT=3&amp;window=popup_no_bar&amp;width=385&amp;height=120&amp;START_MAXIMIZED=FALSE&amp;creator=factset&amp;display_string=Audit"}</definedName>
    <definedName name="_1201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2__FDSAUDITLINK__" hidden="1">{"fdsup://Directions/FactSet Auditing Viewer?action=AUDIT_VALUE&amp;DB=129&amp;ID1=29247520&amp;VALUEID=02001&amp;SDATE=200902&amp;PERIODTYPE=QTR_STD&amp;SCFT=3&amp;window=popup_no_bar&amp;width=385&amp;height=120&amp;START_MAXIMIZED=FALSE&amp;creator=factset&amp;display_string=Audit"}</definedName>
    <definedName name="_1203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4__FDSAUDITLINK__" hidden="1">{"fdsup://Directions/FactSet Auditing Viewer?action=AUDIT_VALUE&amp;DB=129&amp;ID1=17275R10&amp;VALUEID=02001&amp;SDATE=200902&amp;PERIODTYPE=QTR_STD&amp;SCFT=3&amp;window=popup_no_bar&amp;width=385&amp;height=120&amp;START_MAXIMIZED=FALSE&amp;creator=factset&amp;display_string=Audit"}</definedName>
    <definedName name="_1205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6__FDSAUDITLINK__" hidden="1">{"fdsup://Directions/FactSet Auditing Viewer?action=AUDIT_VALUE&amp;DB=129&amp;ID1=22544710&amp;VALUEID=02001&amp;SDATE=200902&amp;PERIODTYPE=QTR_STD&amp;SCFT=3&amp;window=popup_no_bar&amp;width=385&amp;height=120&amp;START_MAXIMIZED=FALSE&amp;creator=factset&amp;display_string=Audit"}</definedName>
    <definedName name="_1207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8__FDSAUDITLINK__" hidden="1">{"fdsup://Directions/FactSet Auditing Viewer?action=AUDIT_VALUE&amp;DB=129&amp;ID1=20714230&amp;VALUEID=02001&amp;SDATE=200901&amp;PERIODTYPE=QTR_STD&amp;SCFT=3&amp;window=popup_no_bar&amp;width=385&amp;height=120&amp;START_MAXIMIZED=FALSE&amp;creator=factset&amp;display_string=Audit"}</definedName>
    <definedName name="_1209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10__FDSAUDITLINK__" hidden="1">{"fdsup://Directions/FactSet Auditing Viewer?action=AUDIT_VALUE&amp;DB=129&amp;ID1=11162130&amp;VALUEID=02001&amp;SDATE=200901&amp;PERIODTYPE=QTR_STD&amp;SCFT=3&amp;window=popup_no_bar&amp;width=385&amp;height=120&amp;START_MAXIMIZED=FALSE&amp;creator=factset&amp;display_string=Audit"}</definedName>
    <definedName name="_1211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2__FDSAUDITLINK__" hidden="1">{"fdsup://Directions/FactSet Auditing Viewer?action=AUDIT_VALUE&amp;DB=129&amp;ID1=Y0486S10&amp;VALUEID=02001&amp;SDATE=200901&amp;PERIODTYPE=QTR_STD&amp;SCFT=3&amp;window=popup_no_bar&amp;width=385&amp;height=120&amp;START_MAXIMIZED=FALSE&amp;creator=factset&amp;display_string=Audit"}</definedName>
    <definedName name="_1213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4__FDSAUDITLINK__" hidden="1">{"fdsup://Directions/FactSet Auditing Viewer?action=AUDIT_VALUE&amp;DB=129&amp;ID1=03822W40&amp;VALUEID=02001&amp;SDATE=200803&amp;PERIODTYPE=QTR_STD&amp;SCFT=3&amp;window=popup_no_bar&amp;width=385&amp;height=120&amp;START_MAXIMIZED=FALSE&amp;creator=factset&amp;display_string=Audit"}</definedName>
    <definedName name="_1215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6__FDSAUDITLINK__" hidden="1">{"fdsup://Directions/FactSet Auditing Viewer?action=AUDIT_VALUE&amp;DB=129&amp;ID1=03822210&amp;VALUEID=02001&amp;SDATE=200901&amp;PERIODTYPE=QTR_STD&amp;SCFT=3&amp;window=popup_no_bar&amp;width=385&amp;height=120&amp;START_MAXIMIZED=FALSE&amp;creator=factset&amp;display_string=Audit"}</definedName>
    <definedName name="_1217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8__FDSAUDITLINK__" hidden="1">{"fdsup://Directions/FactSet Auditing Viewer?action=AUDIT_VALUE&amp;DB=129&amp;ID1=03265410&amp;VALUEID=02001&amp;SDATE=200901&amp;PERIODTYPE=QTR_STD&amp;SCFT=3&amp;window=popup_no_bar&amp;width=385&amp;height=120&amp;START_MAXIMIZED=FALSE&amp;creator=factset&amp;display_string=Audit"}</definedName>
    <definedName name="_1219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__FDSAUDITLINK__" hidden="1">{"fdsup://Directions/FactSet Auditing Viewer?action=AUDIT_VALUE&amp;DB=129&amp;ID1=17275R10&amp;VALUEID=02001&amp;SDATE=201103&amp;PERIODTYPE=QTR_STD&amp;SCFT=3&amp;window=popup_no_bar&amp;width=385&amp;height=120&amp;START_MAXIMIZED=FALSE&amp;creator=factset&amp;display_string=Audit"}</definedName>
    <definedName name="_1220__FDSAUDITLINK__" hidden="1">{"fdsup://Directions/FactSet Auditing Viewer?action=AUDIT_VALUE&amp;DB=129&amp;ID1=98975F10&amp;VALUEID=02001&amp;SDATE=200803&amp;PERIODTYPE=QTR_STD&amp;SCFT=3&amp;window=popup_no_bar&amp;width=385&amp;height=120&amp;START_MAXIMIZED=FALSE&amp;creator=factset&amp;display_string=Audit"}</definedName>
    <definedName name="_1221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2__FDSAUDITLINK__" hidden="1">{"fdsup://Directions/FactSet Auditing Viewer?action=AUDIT_VALUE&amp;DB=129&amp;ID1=98391910&amp;VALUEID=02001&amp;SDATE=200802&amp;PERIODTYPE=QTR_STD&amp;SCFT=3&amp;window=popup_no_bar&amp;width=385&amp;height=120&amp;START_MAXIMIZED=FALSE&amp;creator=factset&amp;display_string=Audit"}</definedName>
    <definedName name="_1223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4__FDSAUDITLINK__" hidden="1">{"fdsup://Directions/FactSet Auditing Viewer?action=AUDIT_VALUE&amp;DB=129&amp;ID1=95810210&amp;VALUEID=02001&amp;SDATE=200901&amp;PERIODTYPE=QTR_STD&amp;SCFT=3&amp;window=popup_no_bar&amp;width=385&amp;height=120&amp;START_MAXIMIZED=FALSE&amp;creator=factset&amp;display_string=Audit"}</definedName>
    <definedName name="_1225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6__FDSAUDITLINK__" hidden="1">{"fdsup://Directions/FactSet Auditing Viewer?action=AUDIT_VALUE&amp;DB=129&amp;ID1=92829810&amp;VALUEID=02001&amp;SDATE=200803&amp;PERIODTYPE=QTR_STD&amp;SCFT=3&amp;window=popup_no_bar&amp;width=385&amp;height=120&amp;START_MAXIMIZED=FALSE&amp;creator=factset&amp;display_string=Audit"}</definedName>
    <definedName name="_1227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8__FDSAUDITLINK__" hidden="1">{"fdsup://Directions/FactSet Auditing Viewer?action=AUDIT_VALUE&amp;DB=129&amp;ID1=88250810&amp;VALUEID=02001&amp;SDATE=200803&amp;PERIODTYPE=QTR_STD&amp;SCFT=3&amp;window=popup_no_bar&amp;width=385&amp;height=120&amp;START_MAXIMIZED=FALSE&amp;creator=factset&amp;display_string=Audit"}</definedName>
    <definedName name="_1229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30__FDSAUDITLINK__" hidden="1">{"fdsup://Directions/FactSet Auditing Viewer?action=AUDIT_VALUE&amp;DB=129&amp;ID1=89674K10&amp;VALUEID=02001&amp;SDATE=200803&amp;PERIODTYPE=QTR_STD&amp;SCFT=3&amp;window=popup_no_bar&amp;width=385&amp;height=120&amp;START_MAXIMIZED=FALSE&amp;creator=factset&amp;display_string=Audit"}</definedName>
    <definedName name="_1231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2__FDSAUDITLINK__" hidden="1">{"fdsup://Directions/FactSet Auditing Viewer?action=AUDIT_VALUE&amp;DB=129&amp;ID1=G7945M10&amp;VALUEID=02001&amp;SDATE=200901&amp;PERIODTYPE=QTR_STD&amp;SCFT=3&amp;window=popup_no_bar&amp;width=385&amp;height=120&amp;START_MAXIMIZED=FALSE&amp;creator=factset&amp;display_string=Audit"}</definedName>
    <definedName name="_1233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4__FDSAUDITLINK__" hidden="1">{"fdsup://Directions/FactSet Auditing Viewer?action=AUDIT_VALUE&amp;DB=129&amp;ID1=78477410&amp;VALUEID=02001&amp;SDATE=200803&amp;PERIODTYPE=QTR_STD&amp;SCFT=3&amp;window=popup_no_bar&amp;width=385&amp;height=120&amp;START_MAXIMIZED=FALSE&amp;creator=factset&amp;display_string=Audit"}</definedName>
    <definedName name="_1235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6__FDSAUDITLINK__" hidden="1">{"fdsup://Directions/FactSet Auditing Viewer?action=AUDIT_VALUE&amp;DB=129&amp;ID1=82705710&amp;VALUEID=02001&amp;SDATE=200803&amp;PERIODTYPE=QTR_STD&amp;SCFT=3&amp;window=popup_no_bar&amp;width=385&amp;height=120&amp;START_MAXIMIZED=FALSE&amp;creator=factset&amp;display_string=Audit"}</definedName>
    <definedName name="_1237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8__FDSAUDITLINK__" hidden="1">{"fdsup://Directions/FactSet Auditing Viewer?action=AUDIT_VALUE&amp;DB=129&amp;ID1=83547010&amp;VALUEID=02001&amp;SDATE=200803&amp;PERIODTYPE=QTR_STD&amp;SCFT=3&amp;window=popup_no_bar&amp;width=385&amp;height=120&amp;START_MAXIMIZED=FALSE&amp;creator=factset&amp;display_string=Audit"}</definedName>
    <definedName name="_1239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__FDSAUDITLINK__" hidden="1">{"fdsup://Directions/FactSet Auditing Viewer?action=AUDIT_VALUE&amp;DB=129&amp;ID1=22544710&amp;VALUEID=02001&amp;SDATE=201103&amp;PERIODTYPE=QTR_STD&amp;SCFT=3&amp;window=popup_no_bar&amp;width=385&amp;height=120&amp;START_MAXIMIZED=FALSE&amp;creator=factset&amp;display_string=Audit"}</definedName>
    <definedName name="_1240__FDSAUDITLINK__" hidden="1">{"fdsup://Directions/FactSet Auditing Viewer?action=AUDIT_VALUE&amp;DB=129&amp;ID1=80004C10&amp;VALUEID=02001&amp;SDATE=200803&amp;PERIODTYPE=QTR_STD&amp;SCFT=3&amp;window=popup_no_bar&amp;width=385&amp;height=120&amp;START_MAXIMIZED=FALSE&amp;creator=factset&amp;display_string=Audit"}</definedName>
    <definedName name="_1241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2__FDSAUDITLINK__" hidden="1">{"fdsup://Directions/FactSet Auditing Viewer?action=AUDIT_VALUE&amp;DB=129&amp;ID1=81685010&amp;VALUEID=02001&amp;SDATE=200803&amp;PERIODTYPE=QTR_STD&amp;SCFT=3&amp;window=popup_no_bar&amp;width=385&amp;height=120&amp;START_MAXIMIZED=FALSE&amp;creator=factset&amp;display_string=Audit"}</definedName>
    <definedName name="_1243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4__FDSAUDITLINK__" hidden="1">{"fdsup://Directions/FactSet Auditing Viewer?action=AUDIT_VALUE&amp;DB=129&amp;ID1=82691910&amp;VALUEID=02001&amp;SDATE=200803&amp;PERIODTYPE=QTR_STD&amp;SCFT=3&amp;window=popup_no_bar&amp;width=385&amp;height=120&amp;START_MAXIMIZED=FALSE&amp;creator=factset&amp;display_string=Audit"}</definedName>
    <definedName name="_1245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6__FDSAUDITLINK__" hidden="1">{"fdsup://Directions/FactSet Auditing Viewer?action=AUDIT_VALUE&amp;DB=129&amp;ID1=82705T10&amp;VALUEID=02001&amp;SDATE=200803&amp;PERIODTYPE=QTR_STD&amp;SCFT=3&amp;window=popup_no_bar&amp;width=385&amp;height=120&amp;START_MAXIMIZED=FALSE&amp;creator=factset&amp;display_string=Audit"}</definedName>
    <definedName name="_1247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8__FDSAUDITLINK__" hidden="1">{"fdsup://Directions/FactSet Auditing Viewer?action=AUDIT_VALUE&amp;DB=129&amp;ID1=75091710&amp;VALUEID=02001&amp;SDATE=200803&amp;PERIODTYPE=QTR_STD&amp;SCFT=3&amp;window=popup_no_bar&amp;width=385&amp;height=120&amp;START_MAXIMIZED=FALSE&amp;creator=factset&amp;display_string=Audit"}</definedName>
    <definedName name="_1249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50__FDSAUDITLINK__" hidden="1">{"fdsup://Directions/FactSet Auditing Viewer?action=AUDIT_VALUE&amp;DB=129&amp;ID1=74994110&amp;VALUEID=02001&amp;SDATE=200802&amp;PERIODTYPE=QTR_STD&amp;SCFT=3&amp;window=popup_no_bar&amp;width=385&amp;height=120&amp;START_MAXIMIZED=FALSE&amp;creator=factset&amp;display_string=Audit"}</definedName>
    <definedName name="_1251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2__FDSAUDITLINK__" hidden="1">{"fdsup://Directions/FactSet Auditing Viewer?action=AUDIT_VALUE&amp;DB=129&amp;ID1=74727710&amp;VALUEID=02001&amp;SDATE=200802&amp;PERIODTYPE=QTR_STD&amp;SCFT=3&amp;window=popup_no_bar&amp;width=385&amp;height=120&amp;START_MAXIMIZED=FALSE&amp;creator=factset&amp;display_string=Audit"}</definedName>
    <definedName name="_1253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4__FDSAUDITLINK__" hidden="1">{"fdsup://Directions/FactSet Auditing Viewer?action=AUDIT_VALUE&amp;DB=129&amp;ID1=72581M30&amp;VALUEID=02001&amp;SDATE=200803&amp;PERIODTYPE=QTR_STD&amp;SCFT=3&amp;window=popup_no_bar&amp;width=385&amp;height=120&amp;START_MAXIMIZED=FALSE&amp;creator=factset&amp;display_string=Audit"}</definedName>
    <definedName name="_1255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6__FDSAUDITLINK__" hidden="1">{"fdsup://Directions/FactSet Auditing Viewer?action=AUDIT_VALUE&amp;DB=129&amp;ID1=73927610&amp;VALUEID=02001&amp;SDATE=200803&amp;PERIODTYPE=QTR_STD&amp;SCFT=3&amp;window=popup_no_bar&amp;width=385&amp;height=120&amp;START_MAXIMIZED=FALSE&amp;creator=factset&amp;display_string=Audit"}</definedName>
    <definedName name="_1257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8__FDSAUDITLINK__" hidden="1">{"fdsup://Directions/FactSet Auditing Viewer?action=AUDIT_VALUE&amp;DB=129&amp;ID1=69344F10&amp;VALUEID=02001&amp;SDATE=200803&amp;PERIODTYPE=QTR_STD&amp;SCFT=3&amp;window=popup_no_bar&amp;width=385&amp;height=120&amp;START_MAXIMIZED=FALSE&amp;creator=factset&amp;display_string=Audit"}</definedName>
    <definedName name="_1259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__FDSAUDITLINK__" hidden="1">{"fdsup://Directions/FactSet Auditing Viewer?action=AUDIT_VALUE&amp;DB=129&amp;ID1=20714230&amp;VALUEID=02001&amp;SDATE=201102&amp;PERIODTYPE=QTR_STD&amp;SCFT=3&amp;window=popup_no_bar&amp;width=385&amp;height=120&amp;START_MAXIMIZED=FALSE&amp;creator=factset&amp;display_string=Audit"}</definedName>
    <definedName name="_1260__FDSAUDITLINK__" hidden="1">{"fdsup://Directions/FactSet Auditing Viewer?action=AUDIT_VALUE&amp;DB=129&amp;ID1=69341710&amp;VALUEID=02001&amp;SDATE=200803&amp;PERIODTYPE=QTR_STD&amp;SCFT=3&amp;window=popup_no_bar&amp;width=385&amp;height=120&amp;START_MAXIMIZED=FALSE&amp;creator=factset&amp;display_string=Audit"}</definedName>
    <definedName name="_1261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2__FDSAUDITLINK__" hidden="1">{"fdsup://Directions/FactSet Auditing Viewer?action=AUDIT_VALUE&amp;DB=129&amp;ID1=68218910&amp;VALUEID=02001&amp;SDATE=200803&amp;PERIODTYPE=QTR_STD&amp;SCFT=3&amp;window=popup_no_bar&amp;width=385&amp;height=120&amp;START_MAXIMIZED=FALSE&amp;creator=factset&amp;display_string=Audit"}</definedName>
    <definedName name="_1263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4__FDSAUDITLINK__" hidden="1">{"fdsup://Directions/FactSet Auditing Viewer?action=AUDIT_VALUE&amp;DB=129&amp;ID1=B505PN&amp;VALUEID=02001&amp;SDATE=200803&amp;PERIODTYPE=QTR_STD&amp;SCFT=3&amp;window=popup_no_bar&amp;width=385&amp;height=120&amp;START_MAXIMIZED=FALSE&amp;creator=factset&amp;display_string=Audit"}</definedName>
    <definedName name="_1265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6__FDSAUDITLINK__" hidden="1">{"fdsup://Directions/FactSet Auditing Viewer?action=AUDIT_VALUE&amp;DB=129&amp;ID1=67000810&amp;VALUEID=02001&amp;SDATE=200803&amp;PERIODTYPE=QTR_STD&amp;SCFT=3&amp;window=popup_no_bar&amp;width=385&amp;height=120&amp;START_MAXIMIZED=FALSE&amp;creator=factset&amp;display_string=Audit"}</definedName>
    <definedName name="_1267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8__FDSAUDITLINK__" hidden="1">{"fdsup://Directions/FactSet Auditing Viewer?action=AUDIT_VALUE&amp;DB=129&amp;ID1=67066G10&amp;VALUEID=02001&amp;SDATE=200803&amp;PERIODTYPE=QTR_STD&amp;SCFT=3&amp;window=popup_no_bar&amp;width=385&amp;height=120&amp;START_MAXIMIZED=FALSE&amp;creator=factset&amp;display_string=Audit"}</definedName>
    <definedName name="_1269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70__FDSAUDITLINK__" hidden="1">{"fdsup://Directions/FactSet Auditing Viewer?action=AUDIT_VALUE&amp;DB=129&amp;ID1=63764010&amp;VALUEID=02001&amp;SDATE=200801&amp;PERIODTYPE=QTR_STD&amp;SCFT=3&amp;window=popup_no_bar&amp;width=385&amp;height=120&amp;START_MAXIMIZED=FALSE&amp;creator=factset&amp;display_string=Audit"}</definedName>
    <definedName name="_1271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2__FDSAUDITLINK__" hidden="1">{"fdsup://Directions/FactSet Auditing Viewer?action=AUDIT_VALUE&amp;DB=129&amp;ID1=64118B10&amp;VALUEID=02001&amp;SDATE=200803&amp;PERIODTYPE=QTR_STD&amp;SCFT=3&amp;window=popup_no_bar&amp;width=385&amp;height=120&amp;START_MAXIMIZED=FALSE&amp;creator=factset&amp;display_string=Audit"}</definedName>
    <definedName name="_1273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4__FDSAUDITLINK__" hidden="1">{"fdsup://Directions/FactSet Auditing Viewer?action=AUDIT_VALUE&amp;DB=129&amp;ID1=G5876H10&amp;VALUEID=02001&amp;SDATE=200803&amp;PERIODTYPE=QTR_STD&amp;SCFT=3&amp;window=popup_no_bar&amp;width=385&amp;height=120&amp;START_MAXIMIZED=FALSE&amp;creator=factset&amp;display_string=Audit"}</definedName>
    <definedName name="_1275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6__FDSAUDITLINK__" hidden="1">{"fdsup://Directions/FactSet Auditing Viewer?action=AUDIT_VALUE&amp;DB=129&amp;ID1=62007630&amp;VALUEID=02001&amp;SDATE=200803&amp;PERIODTYPE=QTR_STD&amp;SCFT=3&amp;window=popup_no_bar&amp;width=385&amp;height=120&amp;START_MAXIMIZED=FALSE&amp;creator=factset&amp;display_string=Audit"}</definedName>
    <definedName name="_1277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8__FDSAUDITLINK__" hidden="1">{"fdsup://Directions/FactSet Auditing Viewer?action=AUDIT_VALUE&amp;DB=129&amp;ID1=60456710&amp;VALUEID=02001&amp;SDATE=200901&amp;PERIODTYPE=QTR_STD&amp;SCFT=3&amp;window=popup_no_bar&amp;width=385&amp;height=120&amp;START_MAXIMIZED=FALSE&amp;creator=factset&amp;display_string=Audit"}</definedName>
    <definedName name="_1279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__FDSAUDITLINK__" hidden="1">{"fdsup://Directions/FactSet Auditing Viewer?action=AUDIT_VALUE&amp;DB=129&amp;ID1=12738710&amp;VALUEID=02001&amp;SDATE=201101&amp;PERIODTYPE=QTR_STD&amp;SCFT=3&amp;window=popup_no_bar&amp;width=385&amp;height=120&amp;START_MAXIMIZED=FALSE&amp;creator=factset&amp;display_string=Audit"}</definedName>
    <definedName name="_1280__FDSAUDITLINK__" hidden="1">{"fdsup://Directions/FactSet Auditing Viewer?action=AUDIT_VALUE&amp;DB=129&amp;ID1=59479310&amp;VALUEID=02001&amp;SDATE=200803&amp;PERIODTYPE=QTR_STD&amp;SCFT=3&amp;window=popup_no_bar&amp;width=385&amp;height=120&amp;START_MAXIMIZED=FALSE&amp;creator=factset&amp;display_string=Audit"}</definedName>
    <definedName name="_1281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2__FDSAUDITLINK__" hidden="1">{"fdsup://Directions/FactSet Auditing Viewer?action=AUDIT_VALUE&amp;DB=129&amp;ID1=59501710&amp;VALUEID=02001&amp;SDATE=200802&amp;PERIODTYPE=QTR_STD&amp;SCFT=3&amp;window=popup_no_bar&amp;width=385&amp;height=120&amp;START_MAXIMIZED=FALSE&amp;creator=factset&amp;display_string=Audit"}</definedName>
    <definedName name="_1283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4__FDSAUDITLINK__" hidden="1">{"fdsup://Directions/FactSet Auditing Viewer?action=AUDIT_VALUE&amp;DB=129&amp;ID1=50216110&amp;VALUEID=02001&amp;SDATE=200803&amp;PERIODTYPE=QTR_STD&amp;SCFT=3&amp;window=popup_no_bar&amp;width=385&amp;height=120&amp;START_MAXIMIZED=FALSE&amp;creator=factset&amp;display_string=Audit"}</definedName>
    <definedName name="_1285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6__FDSAUDITLINK__" hidden="1">{"fdsup://Directions/FactSet Auditing Viewer?action=AUDIT_VALUE&amp;DB=129&amp;ID1=51841510&amp;VALUEID=02001&amp;SDATE=200803&amp;PERIODTYPE=QTR_STD&amp;SCFT=3&amp;window=popup_no_bar&amp;width=385&amp;height=120&amp;START_MAXIMIZED=FALSE&amp;creator=factset&amp;display_string=Audit"}</definedName>
    <definedName name="_1287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8__FDSAUDITLINK__" hidden="1">{"fdsup://Directions/FactSet Auditing Viewer?action=AUDIT_VALUE&amp;DB=129&amp;ID1=51280710&amp;VALUEID=02001&amp;SDATE=200901&amp;PERIODTYPE=QTR_STD&amp;SCFT=3&amp;window=popup_no_bar&amp;width=385&amp;height=120&amp;START_MAXIMIZED=FALSE&amp;creator=factset&amp;display_string=Audit"}</definedName>
    <definedName name="_1289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290__FDSAUDITLINK__" hidden="1">{"fdsup://Directions/FactSet Auditing Viewer?action=AUDIT_VALUE&amp;DB=129&amp;ID1=53567810&amp;VALUEID=02001&amp;SDATE=200901&amp;PERIODTYPE=QTR_STD&amp;SCFT=3&amp;window=popup_no_bar&amp;width=385&amp;height=120&amp;START_MAXIMIZED=FALSE&amp;creator=factset&amp;display_string=Audit"}</definedName>
    <definedName name="_1291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2__FDSAUDITLINK__" hidden="1">{"fdsup://Directions/FactSet Auditing Viewer?action=AUDIT_VALUE&amp;DB=129&amp;ID1=48248010&amp;VALUEID=02001&amp;SDATE=200901&amp;PERIODTYPE=QTR_STD&amp;SCFT=3&amp;window=popup_no_bar&amp;width=385&amp;height=120&amp;START_MAXIMIZED=FALSE&amp;creator=factset&amp;display_string=Audit"}</definedName>
    <definedName name="_1293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4__FDSAUDITLINK__" hidden="1">{"fdsup://Directions/FactSet Auditing Viewer?action=AUDIT_VALUE&amp;DB=129&amp;ID1=48836020&amp;VALUEID=02001&amp;SDATE=200802&amp;PERIODTYPE=QTR_STD&amp;SCFT=3&amp;window=popup_no_bar&amp;width=385&amp;height=120&amp;START_MAXIMIZED=FALSE&amp;creator=factset&amp;display_string=Audit"}</definedName>
    <definedName name="_1295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6__FDSAUDITLINK__" hidden="1">{"fdsup://Directions/FactSet Auditing Viewer?action=AUDIT_VALUE&amp;DB=129&amp;ID1=48203R10&amp;VALUEID=02001&amp;SDATE=200803&amp;PERIODTYPE=QTR_STD&amp;SCFT=3&amp;window=popup_no_bar&amp;width=385&amp;height=120&amp;START_MAXIMIZED=FALSE&amp;creator=factset&amp;display_string=Audit"}</definedName>
    <definedName name="_1297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8__FDSAUDITLINK__" hidden="1">{"fdsup://Directions/FactSet Auditing Viewer?action=AUDIT_VALUE&amp;DB=129&amp;ID1=86681020&amp;VALUEID=02001&amp;SDATE=200901&amp;PERIODTYPE=QTR_STD&amp;SCFT=3&amp;window=popup_no_bar&amp;width=385&amp;height=120&amp;START_MAXIMIZED=FALSE&amp;creator=factset&amp;display_string=Audit"}</definedName>
    <definedName name="_1299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__FDSAUDITLINK__" hidden="1">{"fdsup://Directions/FactSet Auditing Viewer?action=AUDIT_VALUE&amp;DB=129&amp;ID1=74752510&amp;VALUEID=05194&amp;SDATE=201104&amp;PERIODTYPE=QTR_STD&amp;SCFT=3&amp;window=popup_no_bar&amp;width=385&amp;height=120&amp;START_MAXIMIZED=FALSE&amp;creator=factset&amp;display_string=Audit"}</definedName>
    <definedName name="_130__FDSAUDITLINK__" hidden="1">{"fdsup://Directions/FactSet Auditing Viewer?action=AUDIT_VALUE&amp;DB=129&amp;ID1=14964U10&amp;VALUEID=02001&amp;SDATE=201101&amp;PERIODTYPE=QTR_STD&amp;SCFT=3&amp;window=popup_no_bar&amp;width=385&amp;height=120&amp;START_MAXIMIZED=FALSE&amp;creator=factset&amp;display_string=Audit"}</definedName>
    <definedName name="_1300__FDSAUDITLINK__" hidden="1">{"fdsup://Directions/FactSet Auditing Viewer?action=AUDIT_VALUE&amp;DB=129&amp;ID1=46069S10&amp;VALUEID=02001&amp;SDATE=200803&amp;PERIODTYPE=QTR_STD&amp;SCFT=3&amp;window=popup_no_bar&amp;width=385&amp;height=120&amp;START_MAXIMIZED=FALSE&amp;creator=factset&amp;display_string=Audit"}</definedName>
    <definedName name="_1301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2__FDSAUDITLINK__" hidden="1">{"fdsup://Directions/FactSet Auditing Viewer?action=AUDIT_VALUE&amp;DB=129&amp;ID1=46025410&amp;VALUEID=02001&amp;SDATE=200901&amp;PERIODTYPE=QTR_STD&amp;SCFT=3&amp;window=popup_no_bar&amp;width=385&amp;height=120&amp;START_MAXIMIZED=FALSE&amp;creator=factset&amp;display_string=Audit"}</definedName>
    <definedName name="_1303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4__FDSAUDITLINK__" hidden="1">{"fdsup://Directions/FactSet Auditing Viewer?action=AUDIT_VALUE&amp;DB=129&amp;ID1=45814010&amp;VALUEID=02001&amp;SDATE=200803&amp;PERIODTYPE=QTR_STD&amp;SCFT=3&amp;window=popup_no_bar&amp;width=385&amp;height=120&amp;START_MAXIMIZED=FALSE&amp;creator=factset&amp;display_string=Audit"}</definedName>
    <definedName name="_1305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6__FDSAUDITLINK__" hidden="1">{"fdsup://Directions/FactSet Auditing Viewer?action=AUDIT_VALUE&amp;DB=129&amp;ID1=45811810&amp;VALUEID=02001&amp;SDATE=200802&amp;PERIODTYPE=QTR_STD&amp;SCFT=3&amp;window=popup_no_bar&amp;width=385&amp;height=120&amp;START_MAXIMIZED=FALSE&amp;creator=factset&amp;display_string=Audit"}</definedName>
    <definedName name="_1307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8__FDSAUDITLINK__" hidden="1">{"fdsup://Directions/FactSet Auditing Viewer?action=AUDIT_VALUE&amp;DB=129&amp;ID1=H2906T10&amp;VALUEID=02001&amp;SDATE=200803&amp;PERIODTYPE=QTR_STD&amp;SCFT=3&amp;window=popup_no_bar&amp;width=385&amp;height=120&amp;START_MAXIMIZED=FALSE&amp;creator=factset&amp;display_string=Audit"}</definedName>
    <definedName name="_1309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10__FDSAUDITLINK__" hidden="1">{"fdsup://Directions/FactSet Auditing Viewer?action=AUDIT_VALUE&amp;DB=129&amp;ID1=34637510&amp;VALUEID=02001&amp;SDATE=200803&amp;PERIODTYPE=QTR_STD&amp;SCFT=3&amp;window=popup_no_bar&amp;width=385&amp;height=120&amp;START_MAXIMIZED=FALSE&amp;creator=factset&amp;display_string=Audit"}</definedName>
    <definedName name="_1311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2__FDSAUDITLINK__" hidden="1">{"fdsup://Directions/FactSet Auditing Viewer?action=AUDIT_VALUE&amp;DB=129&amp;ID1=29247520&amp;VALUEID=02001&amp;SDATE=200901&amp;PERIODTYPE=QTR_STD&amp;SCFT=3&amp;window=popup_no_bar&amp;width=385&amp;height=120&amp;START_MAXIMIZED=FALSE&amp;creator=factset&amp;display_string=Audit"}</definedName>
    <definedName name="_1313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4__FDSAUDITLINK__" hidden="1">{"fdsup://Directions/FactSet Auditing Viewer?action=AUDIT_VALUE&amp;DB=129&amp;ID1=25454310&amp;VALUEID=02001&amp;SDATE=200803&amp;PERIODTYPE=QTR_STD&amp;SCFT=3&amp;window=popup_no_bar&amp;width=385&amp;height=120&amp;START_MAXIMIZED=FALSE&amp;creator=factset&amp;display_string=Audit"}</definedName>
    <definedName name="_1315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6__FDSAUDITLINK__" hidden="1">{"fdsup://Directions/FactSet Auditing Viewer?action=AUDIT_VALUE&amp;DB=129&amp;ID1=24702R10&amp;VALUEID=02001&amp;SDATE=200803&amp;PERIODTYPE=QTR_STD&amp;SCFT=3&amp;window=popup_no_bar&amp;width=385&amp;height=120&amp;START_MAXIMIZED=FALSE&amp;creator=factset&amp;display_string=Audit"}</definedName>
    <definedName name="_1317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8__FDSAUDITLINK__" hidden="1">{"fdsup://Directions/FactSet Auditing Viewer?action=AUDIT_VALUE&amp;DB=129&amp;ID1=23257210&amp;VALUEID=02001&amp;SDATE=200803&amp;PERIODTYPE=QTR_STD&amp;SCFT=3&amp;window=popup_no_bar&amp;width=385&amp;height=120&amp;START_MAXIMIZED=FALSE&amp;creator=factset&amp;display_string=Audit"}</definedName>
    <definedName name="_1319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__FDSAUDITLINK__" hidden="1">{"fdsup://Directions/FactSet Auditing Viewer?action=AUDIT_VALUE&amp;DB=129&amp;ID1=11162130&amp;VALUEID=02001&amp;SDATE=201102&amp;PERIODTYPE=QTR_STD&amp;SCFT=3&amp;window=popup_no_bar&amp;width=385&amp;height=120&amp;START_MAXIMIZED=FALSE&amp;creator=factset&amp;display_string=Audit"}</definedName>
    <definedName name="_1320__FDSAUDITLINK__" hidden="1">{"fdsup://Directions/FactSet Auditing Viewer?action=AUDIT_VALUE&amp;DB=129&amp;ID1=23280610&amp;VALUEID=02001&amp;SDATE=200803&amp;PERIODTYPE=QTR_STD&amp;SCFT=3&amp;window=popup_no_bar&amp;width=385&amp;height=120&amp;START_MAXIMIZED=FALSE&amp;creator=factset&amp;display_string=Audit"}</definedName>
    <definedName name="_1321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2__FDSAUDITLINK__" hidden="1">{"fdsup://Directions/FactSet Auditing Viewer?action=AUDIT_VALUE&amp;DB=129&amp;ID1=17275R10&amp;VALUEID=02001&amp;SDATE=200901&amp;PERIODTYPE=QTR_STD&amp;SCFT=3&amp;window=popup_no_bar&amp;width=385&amp;height=120&amp;START_MAXIMIZED=FALSE&amp;creator=factset&amp;display_string=Audit"}</definedName>
    <definedName name="_1323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4__FDSAUDITLINK__" hidden="1">{"fdsup://Directions/FactSet Auditing Viewer?action=AUDIT_VALUE&amp;DB=129&amp;ID1=22544710&amp;VALUEID=02001&amp;SDATE=200901&amp;PERIODTYPE=QTR_STD&amp;SCFT=3&amp;window=popup_no_bar&amp;width=385&amp;height=120&amp;START_MAXIMIZED=FALSE&amp;creator=factset&amp;display_string=Audit"}</definedName>
    <definedName name="_1325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6__FDSAUDITLINK__" hidden="1">{"fdsup://Directions/FactSet Auditing Viewer?action=AUDIT_VALUE&amp;DB=129&amp;ID1=12738710&amp;VALUEID=02001&amp;SDATE=200803&amp;PERIODTYPE=QTR_STD&amp;SCFT=3&amp;window=popup_no_bar&amp;width=385&amp;height=120&amp;START_MAXIMIZED=FALSE&amp;creator=factset&amp;display_string=Audit"}</definedName>
    <definedName name="_1327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8__FDSAUDITLINK__" hidden="1">{"fdsup://Directions/FactSet Auditing Viewer?action=AUDIT_VALUE&amp;DB=129&amp;ID1=14964U10&amp;VALUEID=02001&amp;SDATE=200803&amp;PERIODTYPE=QTR_STD&amp;SCFT=3&amp;window=popup_no_bar&amp;width=385&amp;height=120&amp;START_MAXIMIZED=FALSE&amp;creator=factset&amp;display_string=Audit"}</definedName>
    <definedName name="_1329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30__FDSAUDITLINK__" hidden="1">{"fdsup://Directions/FactSet Auditing Viewer?action=AUDIT_VALUE&amp;DB=129&amp;ID1=04743P10&amp;VALUEID=02001&amp;SDATE=200803&amp;PERIODTYPE=QTR_STD&amp;SCFT=3&amp;window=popup_no_bar&amp;width=385&amp;height=120&amp;START_MAXIMIZED=FALSE&amp;creator=factset&amp;display_string=Audit"}</definedName>
    <definedName name="_1331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2__FDSAUDITLINK__" hidden="1">{"fdsup://Directions/FactSet Auditing Viewer?action=AUDIT_VALUE&amp;DB=129&amp;ID1=03251510&amp;VALUEID=02001&amp;SDATE=200803&amp;PERIODTYPE=QTR_STD&amp;SCFT=3&amp;window=popup_no_bar&amp;width=385&amp;height=120&amp;START_MAXIMIZED=FALSE&amp;creator=factset&amp;display_string=Audit"}</definedName>
    <definedName name="_1333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4__FDSAUDITLINK__" hidden="1">{"fdsup://Directions/FactSet Auditing Viewer?action=AUDIT_VALUE&amp;DB=129&amp;ID1=00790310&amp;VALUEID=02001&amp;SDATE=200803&amp;PERIODTYPE=QTR_STD&amp;SCFT=3&amp;window=popup_no_bar&amp;width=385&amp;height=120&amp;START_MAXIMIZED=FALSE&amp;creator=factset&amp;display_string=Audit"}</definedName>
    <definedName name="_1335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6__FDSAUDITLINK__" hidden="1">{"fdsup://Directions/FactSet Auditing Viewer?action=AUDIT_VALUE&amp;DB=129&amp;ID1=03822W40&amp;VALUEID=02001&amp;SDATE=200802&amp;PERIODTYPE=QTR_STD&amp;SCFT=3&amp;window=popup_no_bar&amp;width=385&amp;height=120&amp;START_MAXIMIZED=FALSE&amp;creator=factset&amp;display_string=Audit"}</definedName>
    <definedName name="_1337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8__FDSAUDITLINK__" hidden="1">{"fdsup://Directions/FactSet Auditing Viewer?action=AUDIT_VALUE&amp;DB=129&amp;ID1=02144110&amp;VALUEID=02001&amp;SDATE=200803&amp;PERIODTYPE=QTR_STD&amp;SCFT=3&amp;window=popup_no_bar&amp;width=385&amp;height=120&amp;START_MAXIMIZED=FALSE&amp;creator=factset&amp;display_string=Audit"}</definedName>
    <definedName name="_1339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__FDSAUDITLINK__" hidden="1">{"fdsup://Directions/FactSet Auditing Viewer?action=AUDIT_VALUE&amp;DB=129&amp;ID1=Y0486S10&amp;VALUEID=02001&amp;SDATE=201102&amp;PERIODTYPE=QTR_STD&amp;SCFT=3&amp;window=popup_no_bar&amp;width=385&amp;height=120&amp;START_MAXIMIZED=FALSE&amp;creator=factset&amp;display_string=Audit"}</definedName>
    <definedName name="_1340__FDSAUDITLINK__" hidden="1">{"fdsup://Directions/FactSet Auditing Viewer?action=AUDIT_VALUE&amp;DB=129&amp;ID1=00752J10&amp;VALUEID=02001&amp;SDATE=200803&amp;PERIODTYPE=QTR_STD&amp;SCFT=3&amp;window=popup_no_bar&amp;width=385&amp;height=120&amp;START_MAXIMIZED=FALSE&amp;creator=factset&amp;display_string=Audit"}</definedName>
    <definedName name="_1341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2__FDSAUDITLINK__" hidden="1">{"fdsup://Directions/FactSet Auditing Viewer?action=AUDIT_VALUE&amp;DB=129&amp;ID1=98975F10&amp;VALUEID=02001&amp;SDATE=200802&amp;PERIODTYPE=QTR_STD&amp;SCFT=3&amp;window=popup_no_bar&amp;width=385&amp;height=120&amp;START_MAXIMIZED=FALSE&amp;creator=factset&amp;display_string=Audit"}</definedName>
    <definedName name="_1343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4__FDSAUDITLINK__" hidden="1">{"fdsup://Directions/FactSet Auditing Viewer?action=AUDIT_VALUE&amp;DB=129&amp;ID1=98391910&amp;VALUEID=02001&amp;SDATE=200801&amp;PERIODTYPE=QTR_STD&amp;SCFT=3&amp;window=popup_no_bar&amp;width=385&amp;height=120&amp;START_MAXIMIZED=FALSE&amp;creator=factset&amp;display_string=Audit"}</definedName>
    <definedName name="_1345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6__FDSAUDITLINK__" hidden="1">{"fdsup://Directions/FactSet Auditing Viewer?action=AUDIT_VALUE&amp;DB=129&amp;ID1=92849730&amp;VALUEID=02001&amp;SDATE=200803&amp;PERIODTYPE=QTR_STD&amp;SCFT=3&amp;window=popup_no_bar&amp;width=385&amp;height=120&amp;START_MAXIMIZED=FALSE&amp;creator=factset&amp;display_string=Audit"}</definedName>
    <definedName name="_1347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8__FDSAUDITLINK__" hidden="1">{"fdsup://Directions/FactSet Auditing Viewer?action=AUDIT_VALUE&amp;DB=129&amp;ID1=92829810&amp;VALUEID=02001&amp;SDATE=200802&amp;PERIODTYPE=QTR_STD&amp;SCFT=3&amp;window=popup_no_bar&amp;width=385&amp;height=120&amp;START_MAXIMIZED=FALSE&amp;creator=factset&amp;display_string=Audit"}</definedName>
    <definedName name="_1349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50__FDSAUDITLINK__" hidden="1">{"fdsup://Directions/FactSet Auditing Viewer?action=AUDIT_VALUE&amp;DB=129&amp;ID1=88250810&amp;VALUEID=02001&amp;SDATE=200802&amp;PERIODTYPE=QTR_STD&amp;SCFT=3&amp;window=popup_no_bar&amp;width=385&amp;height=120&amp;START_MAXIMIZED=FALSE&amp;creator=factset&amp;display_string=Audit"}</definedName>
    <definedName name="_1351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2__FDSAUDITLINK__" hidden="1">{"fdsup://Directions/FactSet Auditing Viewer?action=AUDIT_VALUE&amp;DB=129&amp;ID1=89674K10&amp;VALUEID=02001&amp;SDATE=200802&amp;PERIODTYPE=QTR_STD&amp;SCFT=3&amp;window=popup_no_bar&amp;width=385&amp;height=120&amp;START_MAXIMIZED=FALSE&amp;creator=factset&amp;display_string=Audit"}</definedName>
    <definedName name="_1353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4__FDSAUDITLINK__" hidden="1">{"fdsup://Directions/FactSet Auditing Viewer?action=AUDIT_VALUE&amp;DB=129&amp;ID1=83088M10&amp;VALUEID=02001&amp;SDATE=200803&amp;PERIODTYPE=QTR_STD&amp;SCFT=3&amp;window=popup_no_bar&amp;width=385&amp;height=120&amp;START_MAXIMIZED=FALSE&amp;creator=factset&amp;display_string=Audit"}</definedName>
    <definedName name="_1355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6__FDSAUDITLINK__" hidden="1">{"fdsup://Directions/FactSet Auditing Viewer?action=AUDIT_VALUE&amp;DB=129&amp;ID1=78477410&amp;VALUEID=02001&amp;SDATE=200802&amp;PERIODTYPE=QTR_STD&amp;SCFT=3&amp;window=popup_no_bar&amp;width=385&amp;height=120&amp;START_MAXIMIZED=FALSE&amp;creator=factset&amp;display_string=Audit"}</definedName>
    <definedName name="_1357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8__FDSAUDITLINK__" hidden="1">{"fdsup://Directions/FactSet Auditing Viewer?action=AUDIT_VALUE&amp;DB=129&amp;ID1=82705710&amp;VALUEID=02001&amp;SDATE=200802&amp;PERIODTYPE=QTR_STD&amp;SCFT=3&amp;window=popup_no_bar&amp;width=385&amp;height=120&amp;START_MAXIMIZED=FALSE&amp;creator=factset&amp;display_string=Audit"}</definedName>
    <definedName name="_1359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__FDSAUDITLINK__" hidden="1">{"fdsup://Directions/FactSet Auditing Viewer?action=AUDIT_VALUE&amp;DB=129&amp;ID1=04743P10&amp;VALUEID=02001&amp;SDATE=201101&amp;PERIODTYPE=QTR_STD&amp;SCFT=3&amp;window=popup_no_bar&amp;width=385&amp;height=120&amp;START_MAXIMIZED=FALSE&amp;creator=factset&amp;display_string=Audit"}</definedName>
    <definedName name="_1360__FDSAUDITLINK__" hidden="1">{"fdsup://Directions/FactSet Auditing Viewer?action=AUDIT_VALUE&amp;DB=129&amp;ID1=83547010&amp;VALUEID=02001&amp;SDATE=200802&amp;PERIODTYPE=QTR_STD&amp;SCFT=3&amp;window=popup_no_bar&amp;width=385&amp;height=120&amp;START_MAXIMIZED=FALSE&amp;creator=factset&amp;display_string=Audit"}</definedName>
    <definedName name="_1361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2__FDSAUDITLINK__" hidden="1">{"fdsup://Directions/FactSet Auditing Viewer?action=AUDIT_VALUE&amp;DB=129&amp;ID1=87160710&amp;VALUEID=02001&amp;SDATE=200803&amp;PERIODTYPE=QTR_STD&amp;SCFT=3&amp;window=popup_no_bar&amp;width=385&amp;height=120&amp;START_MAXIMIZED=FALSE&amp;creator=factset&amp;display_string=Audit"}</definedName>
    <definedName name="_1363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4__FDSAUDITLINK__" hidden="1">{"fdsup://Directions/FactSet Auditing Viewer?action=AUDIT_VALUE&amp;DB=129&amp;ID1=80004C10&amp;VALUEID=02001&amp;SDATE=200802&amp;PERIODTYPE=QTR_STD&amp;SCFT=3&amp;window=popup_no_bar&amp;width=385&amp;height=120&amp;START_MAXIMIZED=FALSE&amp;creator=factset&amp;display_string=Audit"}</definedName>
    <definedName name="_1365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6__FDSAUDITLINK__" hidden="1">{"fdsup://Directions/FactSet Auditing Viewer?action=AUDIT_VALUE&amp;DB=129&amp;ID1=81685010&amp;VALUEID=02001&amp;SDATE=200802&amp;PERIODTYPE=QTR_STD&amp;SCFT=3&amp;window=popup_no_bar&amp;width=385&amp;height=120&amp;START_MAXIMIZED=FALSE&amp;creator=factset&amp;display_string=Audit"}</definedName>
    <definedName name="_1367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8__FDSAUDITLINK__" hidden="1">{"fdsup://Directions/FactSet Auditing Viewer?action=AUDIT_VALUE&amp;DB=129&amp;ID1=82691910&amp;VALUEID=02001&amp;SDATE=200802&amp;PERIODTYPE=QTR_STD&amp;SCFT=3&amp;window=popup_no_bar&amp;width=385&amp;height=120&amp;START_MAXIMIZED=FALSE&amp;creator=factset&amp;display_string=Audit"}</definedName>
    <definedName name="_1369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70__FDSAUDITLINK__" hidden="1">{"fdsup://Directions/FactSet Auditing Viewer?action=AUDIT_VALUE&amp;DB=129&amp;ID1=82705T10&amp;VALUEID=02001&amp;SDATE=200802&amp;PERIODTYPE=QTR_STD&amp;SCFT=3&amp;window=popup_no_bar&amp;width=385&amp;height=120&amp;START_MAXIMIZED=FALSE&amp;creator=factset&amp;display_string=Audit"}</definedName>
    <definedName name="_1371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2__FDSAUDITLINK__" hidden="1">{"fdsup://Directions/FactSet Auditing Viewer?action=AUDIT_VALUE&amp;DB=129&amp;ID1=75091710&amp;VALUEID=02001&amp;SDATE=200802&amp;PERIODTYPE=QTR_STD&amp;SCFT=3&amp;window=popup_no_bar&amp;width=385&amp;height=120&amp;START_MAXIMIZED=FALSE&amp;creator=factset&amp;display_string=Audit"}</definedName>
    <definedName name="_1373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4__FDSAUDITLINK__" hidden="1">{"fdsup://Directions/FactSet Auditing Viewer?action=AUDIT_VALUE&amp;DB=129&amp;ID1=74994110&amp;VALUEID=02001&amp;SDATE=200801&amp;PERIODTYPE=QTR_STD&amp;SCFT=3&amp;window=popup_no_bar&amp;width=385&amp;height=120&amp;START_MAXIMIZED=FALSE&amp;creator=factset&amp;display_string=Audit"}</definedName>
    <definedName name="_1375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6__FDSAUDITLINK__" hidden="1">{"fdsup://Directions/FactSet Auditing Viewer?action=AUDIT_VALUE&amp;DB=129&amp;ID1=74727710&amp;VALUEID=02001&amp;SDATE=200801&amp;PERIODTYPE=QTR_STD&amp;SCFT=3&amp;window=popup_no_bar&amp;width=385&amp;height=120&amp;START_MAXIMIZED=FALSE&amp;creator=factset&amp;display_string=Audit"}</definedName>
    <definedName name="_1377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8__FDSAUDITLINK__" hidden="1">{"fdsup://Directions/FactSet Auditing Viewer?action=AUDIT_VALUE&amp;DB=129&amp;ID1=74752510&amp;VALUEID=02001&amp;SDATE=200803&amp;PERIODTYPE=QTR_STD&amp;SCFT=3&amp;window=popup_no_bar&amp;width=385&amp;height=120&amp;START_MAXIMIZED=FALSE&amp;creator=factset&amp;display_string=Audit"}</definedName>
    <definedName name="_1379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__FDSAUDITLINK__" hidden="1">{"fdsup://Directions/FactSet Auditing Viewer?action=AUDIT_VALUE&amp;DB=129&amp;ID1=03251510&amp;VALUEID=02001&amp;SDATE=201101&amp;PERIODTYPE=QTR_STD&amp;SCFT=3&amp;window=popup_no_bar&amp;width=385&amp;height=120&amp;START_MAXIMIZED=FALSE&amp;creator=factset&amp;display_string=Audit"}</definedName>
    <definedName name="_1380__FDSAUDITLINK__" hidden="1">{"fdsup://Directions/FactSet Auditing Viewer?action=AUDIT_VALUE&amp;DB=129&amp;ID1=72581M30&amp;VALUEID=02001&amp;SDATE=200802&amp;PERIODTYPE=QTR_STD&amp;SCFT=3&amp;window=popup_no_bar&amp;width=385&amp;height=120&amp;START_MAXIMIZED=FALSE&amp;creator=factset&amp;display_string=Audit"}</definedName>
    <definedName name="_1381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2__FDSAUDITLINK__" hidden="1">{"fdsup://Directions/FactSet Auditing Viewer?action=AUDIT_VALUE&amp;DB=129&amp;ID1=73927610&amp;VALUEID=02001&amp;SDATE=200802&amp;PERIODTYPE=QTR_STD&amp;SCFT=3&amp;window=popup_no_bar&amp;width=385&amp;height=120&amp;START_MAXIMIZED=FALSE&amp;creator=factset&amp;display_string=Audit"}</definedName>
    <definedName name="_1383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4__FDSAUDITLINK__" hidden="1">{"fdsup://Directions/FactSet Auditing Viewer?action=AUDIT_VALUE&amp;DB=129&amp;ID1=69344F10&amp;VALUEID=02001&amp;SDATE=200802&amp;PERIODTYPE=QTR_STD&amp;SCFT=3&amp;window=popup_no_bar&amp;width=385&amp;height=120&amp;START_MAXIMIZED=FALSE&amp;creator=factset&amp;display_string=Audit"}</definedName>
    <definedName name="_1385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6__FDSAUDITLINK__" hidden="1">{"fdsup://Directions/FactSet Auditing Viewer?action=AUDIT_VALUE&amp;DB=129&amp;ID1=69341710&amp;VALUEID=02001&amp;SDATE=200802&amp;PERIODTYPE=QTR_STD&amp;SCFT=3&amp;window=popup_no_bar&amp;width=385&amp;height=120&amp;START_MAXIMIZED=FALSE&amp;creator=factset&amp;display_string=Audit"}</definedName>
    <definedName name="_1387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8__FDSAUDITLINK__" hidden="1">{"fdsup://Directions/FactSet Auditing Viewer?action=AUDIT_VALUE&amp;DB=129&amp;ID1=68218910&amp;VALUEID=02001&amp;SDATE=200802&amp;PERIODTYPE=QTR_STD&amp;SCFT=3&amp;window=popup_no_bar&amp;width=385&amp;height=120&amp;START_MAXIMIZED=FALSE&amp;creator=factset&amp;display_string=Audit"}</definedName>
    <definedName name="_1389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390__FDSAUDITLINK__" hidden="1">{"fdsup://Directions/FactSet Auditing Viewer?action=AUDIT_VALUE&amp;DB=129&amp;ID1=B505PN&amp;VALUEID=02001&amp;SDATE=200802&amp;PERIODTYPE=QTR_STD&amp;SCFT=3&amp;window=popup_no_bar&amp;width=385&amp;height=120&amp;START_MAXIMIZED=FALSE&amp;creator=factset&amp;display_string=Audit"}</definedName>
    <definedName name="_1391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2__FDSAUDITLINK__" hidden="1">{"fdsup://Directions/FactSet Auditing Viewer?action=AUDIT_VALUE&amp;DB=129&amp;ID1=67000810&amp;VALUEID=02001&amp;SDATE=200802&amp;PERIODTYPE=QTR_STD&amp;SCFT=3&amp;window=popup_no_bar&amp;width=385&amp;height=120&amp;START_MAXIMIZED=FALSE&amp;creator=factset&amp;display_string=Audit"}</definedName>
    <definedName name="_1393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4__FDSAUDITLINK__" hidden="1">{"fdsup://Directions/FactSet Auditing Viewer?action=AUDIT_VALUE&amp;DB=129&amp;ID1=67066G10&amp;VALUEID=02001&amp;SDATE=200802&amp;PERIODTYPE=QTR_STD&amp;SCFT=3&amp;window=popup_no_bar&amp;width=385&amp;height=120&amp;START_MAXIMIZED=FALSE&amp;creator=factset&amp;display_string=Audit"}</definedName>
    <definedName name="_1395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6__FDSAUDITLINK__" hidden="1">{"fdsup://Directions/FactSet Auditing Viewer?action=AUDIT_VALUE&amp;DB=129&amp;ID1=64118B10&amp;VALUEID=02001&amp;SDATE=200802&amp;PERIODTYPE=QTR_STD&amp;SCFT=3&amp;window=popup_no_bar&amp;width=385&amp;height=120&amp;START_MAXIMIZED=FALSE&amp;creator=factset&amp;display_string=Audit"}</definedName>
    <definedName name="_1397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8__FDSAUDITLINK__" hidden="1">{"fdsup://Directions/FactSet Auditing Viewer?action=AUDIT_VALUE&amp;DB=129&amp;ID1=59511210&amp;VALUEID=02001&amp;SDATE=200803&amp;PERIODTYPE=QTR_STD&amp;SCFT=3&amp;window=popup_no_bar&amp;width=385&amp;height=120&amp;START_MAXIMIZED=FALSE&amp;creator=factset&amp;display_string=Audit"}</definedName>
    <definedName name="_1399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__FDSAUDITLINK__" hidden="1">{"fdsup://Directions/FactSet Auditing Viewer?action=AUDIT_VALUE&amp;DB=129&amp;ID1=67066G10&amp;VALUEID=02001&amp;SDATE=201103&amp;PERIODTYPE=QTR_STD&amp;SCFT=3&amp;window=popup_no_bar&amp;width=385&amp;height=120&amp;START_MAXIMIZED=FALSE&amp;creator=factset&amp;display_string=Audit"}</definedName>
    <definedName name="_140__FDSAUDITLINK__" hidden="1">{"fdsup://Directions/FactSet Auditing Viewer?action=AUDIT_VALUE&amp;DB=129&amp;ID1=00790310&amp;VALUEID=02001&amp;SDATE=201101&amp;PERIODTYPE=QTR_STD&amp;SCFT=3&amp;window=popup_no_bar&amp;width=385&amp;height=120&amp;START_MAXIMIZED=FALSE&amp;creator=factset&amp;display_string=Audit"}</definedName>
    <definedName name="_1400__FDSAUDITLINK__" hidden="1">{"fdsup://Directions/FactSet Auditing Viewer?action=AUDIT_VALUE&amp;DB=129&amp;ID1=59513710&amp;VALUEID=02001&amp;SDATE=200803&amp;PERIODTYPE=QTR_STD&amp;SCFT=3&amp;window=popup_no_bar&amp;width=385&amp;height=120&amp;START_MAXIMIZED=FALSE&amp;creator=factset&amp;display_string=Audit"}</definedName>
    <definedName name="_1401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2__FDSAUDITLINK__" hidden="1">{"fdsup://Directions/FactSet Auditing Viewer?action=AUDIT_VALUE&amp;DB=129&amp;ID1=G5876H10&amp;VALUEID=02001&amp;SDATE=200802&amp;PERIODTYPE=QTR_STD&amp;SCFT=3&amp;window=popup_no_bar&amp;width=385&amp;height=120&amp;START_MAXIMIZED=FALSE&amp;creator=factset&amp;display_string=Audit"}</definedName>
    <definedName name="_1403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4__FDSAUDITLINK__" hidden="1">{"fdsup://Directions/FactSet Auditing Viewer?action=AUDIT_VALUE&amp;DB=129&amp;ID1=62007630&amp;VALUEID=02001&amp;SDATE=200802&amp;PERIODTYPE=QTR_STD&amp;SCFT=3&amp;window=popup_no_bar&amp;width=385&amp;height=120&amp;START_MAXIMIZED=FALSE&amp;creator=factset&amp;display_string=Audit"}</definedName>
    <definedName name="_1405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6__FDSAUDITLINK__" hidden="1">{"fdsup://Directions/FactSet Auditing Viewer?action=AUDIT_VALUE&amp;DB=129&amp;ID1=59479310&amp;VALUEID=02001&amp;SDATE=200802&amp;PERIODTYPE=QTR_STD&amp;SCFT=3&amp;window=popup_no_bar&amp;width=385&amp;height=120&amp;START_MAXIMIZED=FALSE&amp;creator=factset&amp;display_string=Audit"}</definedName>
    <definedName name="_1407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8__FDSAUDITLINK__" hidden="1">{"fdsup://Directions/FactSet Auditing Viewer?action=AUDIT_VALUE&amp;DB=129&amp;ID1=59501710&amp;VALUEID=02001&amp;SDATE=200801&amp;PERIODTYPE=QTR_STD&amp;SCFT=3&amp;window=popup_no_bar&amp;width=385&amp;height=120&amp;START_MAXIMIZED=FALSE&amp;creator=factset&amp;display_string=Audit"}</definedName>
    <definedName name="_1409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10__FDSAUDITLINK__" hidden="1">{"fdsup://Directions/FactSet Auditing Viewer?action=AUDIT_VALUE&amp;DB=129&amp;ID1=50216110&amp;VALUEID=02001&amp;SDATE=200802&amp;PERIODTYPE=QTR_STD&amp;SCFT=3&amp;window=popup_no_bar&amp;width=385&amp;height=120&amp;START_MAXIMIZED=FALSE&amp;creator=factset&amp;display_string=Audit"}</definedName>
    <definedName name="_1411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2__FDSAUDITLINK__" hidden="1">{"fdsup://Directions/FactSet Auditing Viewer?action=AUDIT_VALUE&amp;DB=129&amp;ID1=51841510&amp;VALUEID=02001&amp;SDATE=200802&amp;PERIODTYPE=QTR_STD&amp;SCFT=3&amp;window=popup_no_bar&amp;width=385&amp;height=120&amp;START_MAXIMIZED=FALSE&amp;creator=factset&amp;display_string=Audit"}</definedName>
    <definedName name="_1413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4__FDSAUDITLINK__" hidden="1">{"fdsup://Directions/FactSet Auditing Viewer?action=AUDIT_VALUE&amp;DB=129&amp;ID1=48836020&amp;VALUEID=02001&amp;SDATE=200801&amp;PERIODTYPE=QTR_STD&amp;SCFT=3&amp;window=popup_no_bar&amp;width=385&amp;height=120&amp;START_MAXIMIZED=FALSE&amp;creator=factset&amp;display_string=Audit"}</definedName>
    <definedName name="_1415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6__FDSAUDITLINK__" hidden="1">{"fdsup://Directions/FactSet Auditing Viewer?action=AUDIT_VALUE&amp;DB=129&amp;ID1=48203R10&amp;VALUEID=02001&amp;SDATE=200802&amp;PERIODTYPE=QTR_STD&amp;SCFT=3&amp;window=popup_no_bar&amp;width=385&amp;height=120&amp;START_MAXIMIZED=FALSE&amp;creator=factset&amp;display_string=Audit"}</definedName>
    <definedName name="_1417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8__FDSAUDITLINK__" hidden="1">{"fdsup://Directions/FactSet Auditing Viewer?action=AUDIT_VALUE&amp;DB=129&amp;ID1=46069S10&amp;VALUEID=02001&amp;SDATE=200802&amp;PERIODTYPE=QTR_STD&amp;SCFT=3&amp;window=popup_no_bar&amp;width=385&amp;height=120&amp;START_MAXIMIZED=FALSE&amp;creator=factset&amp;display_string=Audit"}</definedName>
    <definedName name="_1419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__FDSAUDITLINK__" hidden="1">{"fdsup://Directions/FactSet Auditing Viewer?action=AUDIT_VALUE&amp;DB=129&amp;ID1=03822W40&amp;VALUEID=02001&amp;SDATE=201004&amp;PERIODTYPE=QTR_STD&amp;SCFT=3&amp;window=popup_no_bar&amp;width=385&amp;height=120&amp;START_MAXIMIZED=FALSE&amp;creator=factset&amp;display_string=Audit"}</definedName>
    <definedName name="_1420__FDSAUDITLINK__" hidden="1">{"fdsup://Directions/FactSet Auditing Viewer?action=AUDIT_VALUE&amp;DB=129&amp;ID1=45814010&amp;VALUEID=02001&amp;SDATE=200802&amp;PERIODTYPE=QTR_STD&amp;SCFT=3&amp;window=popup_no_bar&amp;width=385&amp;height=120&amp;START_MAXIMIZED=FALSE&amp;creator=factset&amp;display_string=Audit"}</definedName>
    <definedName name="_1421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2__FDSAUDITLINK__" hidden="1">{"fdsup://Directions/FactSet Auditing Viewer?action=AUDIT_VALUE&amp;DB=129&amp;ID1=45811810&amp;VALUEID=02001&amp;SDATE=200801&amp;PERIODTYPE=QTR_STD&amp;SCFT=3&amp;window=popup_no_bar&amp;width=385&amp;height=120&amp;START_MAXIMIZED=FALSE&amp;creator=factset&amp;display_string=Audit"}</definedName>
    <definedName name="_1423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4__FDSAUDITLINK__" hidden="1">{"fdsup://Directions/FactSet Auditing Viewer?action=AUDIT_VALUE&amp;DB=129&amp;ID1=42823610&amp;VALUEID=02001&amp;SDATE=200803&amp;PERIODTYPE=QTR_STD&amp;SCFT=3&amp;window=popup_no_bar&amp;width=385&amp;height=120&amp;START_MAXIMIZED=FALSE&amp;creator=factset&amp;display_string=Audit"}</definedName>
    <definedName name="_1425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6__FDSAUDITLINK__" hidden="1">{"fdsup://Directions/FactSet Auditing Viewer?action=AUDIT_VALUE&amp;DB=129&amp;ID1=H2906T10&amp;VALUEID=02001&amp;SDATE=200802&amp;PERIODTYPE=QTR_STD&amp;SCFT=3&amp;window=popup_no_bar&amp;width=385&amp;height=120&amp;START_MAXIMIZED=FALSE&amp;creator=factset&amp;display_string=Audit"}</definedName>
    <definedName name="_1427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8__FDSAUDITLINK__" hidden="1">{"fdsup://Directions/FactSet Auditing Viewer?action=AUDIT_VALUE&amp;DB=129&amp;ID1=34637510&amp;VALUEID=02001&amp;SDATE=200802&amp;PERIODTYPE=QTR_STD&amp;SCFT=3&amp;window=popup_no_bar&amp;width=385&amp;height=120&amp;START_MAXIMIZED=FALSE&amp;creator=factset&amp;display_string=Audit"}</definedName>
    <definedName name="_1429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30__FDSAUDITLINK__" hidden="1">{"fdsup://Directions/FactSet Auditing Viewer?action=AUDIT_VALUE&amp;DB=129&amp;ID1=31561610&amp;VALUEID=02001&amp;SDATE=200803&amp;PERIODTYPE=QTR_STD&amp;SCFT=3&amp;window=popup_no_bar&amp;width=385&amp;height=120&amp;START_MAXIMIZED=FALSE&amp;creator=factset&amp;display_string=Audit"}</definedName>
    <definedName name="_1431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2__FDSAUDITLINK__" hidden="1">{"fdsup://Directions/FactSet Auditing Viewer?action=AUDIT_VALUE&amp;DB=129&amp;ID1=25454310&amp;VALUEID=02001&amp;SDATE=200802&amp;PERIODTYPE=QTR_STD&amp;SCFT=3&amp;window=popup_no_bar&amp;width=385&amp;height=120&amp;START_MAXIMIZED=FALSE&amp;creator=factset&amp;display_string=Audit"}</definedName>
    <definedName name="_1433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4__FDSAUDITLINK__" hidden="1">{"fdsup://Directions/FactSet Auditing Viewer?action=AUDIT_VALUE&amp;DB=129&amp;ID1=24702R10&amp;VALUEID=02001&amp;SDATE=200802&amp;PERIODTYPE=QTR_STD&amp;SCFT=3&amp;window=popup_no_bar&amp;width=385&amp;height=120&amp;START_MAXIMIZED=FALSE&amp;creator=factset&amp;display_string=Audit"}</definedName>
    <definedName name="_1435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6__FDSAUDITLINK__" hidden="1">{"fdsup://Directions/FactSet Auditing Viewer?action=AUDIT_VALUE&amp;DB=129&amp;ID1=23257210&amp;VALUEID=02001&amp;SDATE=200802&amp;PERIODTYPE=QTR_STD&amp;SCFT=3&amp;window=popup_no_bar&amp;width=385&amp;height=120&amp;START_MAXIMIZED=FALSE&amp;creator=factset&amp;display_string=Audit"}</definedName>
    <definedName name="_1437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8__FDSAUDITLINK__" hidden="1">{"fdsup://Directions/FactSet Auditing Viewer?action=AUDIT_VALUE&amp;DB=129&amp;ID1=23280610&amp;VALUEID=02001&amp;SDATE=200802&amp;PERIODTYPE=QTR_STD&amp;SCFT=3&amp;window=popup_no_bar&amp;width=385&amp;height=120&amp;START_MAXIMIZED=FALSE&amp;creator=factset&amp;display_string=Audit"}</definedName>
    <definedName name="_1439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__FDSAUDITLINK__" hidden="1">{"fdsup://Directions/FactSet Auditing Viewer?action=AUDIT_VALUE&amp;DB=129&amp;ID1=03822210&amp;VALUEID=02001&amp;SDATE=201102&amp;PERIODTYPE=QTR_STD&amp;SCFT=3&amp;window=popup_no_bar&amp;width=385&amp;height=120&amp;START_MAXIMIZED=FALSE&amp;creator=factset&amp;display_string=Audit"}</definedName>
    <definedName name="_1440__FDSAUDITLINK__" hidden="1">{"fdsup://Directions/FactSet Auditing Viewer?action=AUDIT_VALUE&amp;DB=129&amp;ID1=20714230&amp;VALUEID=02001&amp;SDATE=200803&amp;PERIODTYPE=QTR_STD&amp;SCFT=3&amp;window=popup_no_bar&amp;width=385&amp;height=120&amp;START_MAXIMIZED=FALSE&amp;creator=factset&amp;display_string=Audit"}</definedName>
    <definedName name="_1441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2__FDSAUDITLINK__" hidden="1">{"fdsup://Directions/FactSet Auditing Viewer?action=AUDIT_VALUE&amp;DB=129&amp;ID1=12738710&amp;VALUEID=02001&amp;SDATE=200802&amp;PERIODTYPE=QTR_STD&amp;SCFT=3&amp;window=popup_no_bar&amp;width=385&amp;height=120&amp;START_MAXIMIZED=FALSE&amp;creator=factset&amp;display_string=Audit"}</definedName>
    <definedName name="_1443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4__FDSAUDITLINK__" hidden="1">{"fdsup://Directions/FactSet Auditing Viewer?action=AUDIT_VALUE&amp;DB=129&amp;ID1=14964U10&amp;VALUEID=02001&amp;SDATE=200802&amp;PERIODTYPE=QTR_STD&amp;SCFT=3&amp;window=popup_no_bar&amp;width=385&amp;height=120&amp;START_MAXIMIZED=FALSE&amp;creator=factset&amp;display_string=Audit"}</definedName>
    <definedName name="_1445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6__FDSAUDITLINK__" hidden="1">{"fdsup://Directions/FactSet Auditing Viewer?action=AUDIT_VALUE&amp;DB=129&amp;ID1=11162130&amp;VALUEID=02001&amp;SDATE=200803&amp;PERIODTYPE=QTR_STD&amp;SCFT=3&amp;window=popup_no_bar&amp;width=385&amp;height=120&amp;START_MAXIMIZED=FALSE&amp;creator=factset&amp;display_string=Audit"}</definedName>
    <definedName name="_1447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8__FDSAUDITLINK__" hidden="1">{"fdsup://Directions/FactSet Auditing Viewer?action=AUDIT_VALUE&amp;DB=129&amp;ID1=04743P10&amp;VALUEID=02001&amp;SDATE=200802&amp;PERIODTYPE=QTR_STD&amp;SCFT=3&amp;window=popup_no_bar&amp;width=385&amp;height=120&amp;START_MAXIMIZED=FALSE&amp;creator=factset&amp;display_string=Audit"}</definedName>
    <definedName name="_1449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50__FDSAUDITLINK__" hidden="1">{"fdsup://Directions/FactSet Auditing Viewer?action=AUDIT_VALUE&amp;DB=129&amp;ID1=03251510&amp;VALUEID=02001&amp;SDATE=200802&amp;PERIODTYPE=QTR_STD&amp;SCFT=3&amp;window=popup_no_bar&amp;width=385&amp;height=120&amp;START_MAXIMIZED=FALSE&amp;creator=factset&amp;display_string=Audit"}</definedName>
    <definedName name="_1451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2__FDSAUDITLINK__" hidden="1">{"fdsup://Directions/FactSet Auditing Viewer?action=AUDIT_VALUE&amp;DB=129&amp;ID1=00790310&amp;VALUEID=02001&amp;SDATE=200802&amp;PERIODTYPE=QTR_STD&amp;SCFT=3&amp;window=popup_no_bar&amp;width=385&amp;height=120&amp;START_MAXIMIZED=FALSE&amp;creator=factset&amp;display_string=Audit"}</definedName>
    <definedName name="_1453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4__FDSAUDITLINK__" hidden="1">{"fdsup://Directions/FactSet Auditing Viewer?action=AUDIT_VALUE&amp;DB=129&amp;ID1=03822W40&amp;VALUEID=02001&amp;SDATE=200801&amp;PERIODTYPE=QTR_STD&amp;SCFT=3&amp;window=popup_no_bar&amp;width=385&amp;height=120&amp;START_MAXIMIZED=FALSE&amp;creator=factset&amp;display_string=Audit"}</definedName>
    <definedName name="_1455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6__FDSAUDITLINK__" hidden="1">{"fdsup://Directions/FactSet Auditing Viewer?action=AUDIT_VALUE&amp;DB=129&amp;ID1=03822210&amp;VALUEID=02001&amp;SDATE=200803&amp;PERIODTYPE=QTR_STD&amp;SCFT=3&amp;window=popup_no_bar&amp;width=385&amp;height=120&amp;START_MAXIMIZED=FALSE&amp;creator=factset&amp;display_string=Audit"}</definedName>
    <definedName name="_1457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8__FDSAUDITLINK__" hidden="1">{"fdsup://Directions/FactSet Auditing Viewer?action=AUDIT_VALUE&amp;DB=129&amp;ID1=02144110&amp;VALUEID=02001&amp;SDATE=200802&amp;PERIODTYPE=QTR_STD&amp;SCFT=3&amp;window=popup_no_bar&amp;width=385&amp;height=120&amp;START_MAXIMIZED=FALSE&amp;creator=factset&amp;display_string=Audit"}</definedName>
    <definedName name="_1459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__FDSAUDITLINK__" hidden="1">{"fdsup://Directions/FactSet Auditing Viewer?action=AUDIT_VALUE&amp;DB=129&amp;ID1=02144110&amp;VALUEID=02001&amp;SDATE=201101&amp;PERIODTYPE=QTR_STD&amp;SCFT=3&amp;window=popup_no_bar&amp;width=385&amp;height=120&amp;START_MAXIMIZED=FALSE&amp;creator=factset&amp;display_string=Audit"}</definedName>
    <definedName name="_1460__FDSAUDITLINK__" hidden="1">{"fdsup://Directions/FactSet Auditing Viewer?action=AUDIT_VALUE&amp;DB=129&amp;ID1=03265410&amp;VALUEID=02001&amp;SDATE=200803&amp;PERIODTYPE=QTR_STD&amp;SCFT=3&amp;window=popup_no_bar&amp;width=385&amp;height=120&amp;START_MAXIMIZED=FALSE&amp;creator=factset&amp;display_string=Audit"}</definedName>
    <definedName name="_1461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2__FDSAUDITLINK__" hidden="1">{"fdsup://Directions/FactSet Auditing Viewer?action=AUDIT_VALUE&amp;DB=129&amp;ID1=00752J10&amp;VALUEID=02001&amp;SDATE=200802&amp;PERIODTYPE=QTR_STD&amp;SCFT=3&amp;window=popup_no_bar&amp;width=385&amp;height=120&amp;START_MAXIMIZED=FALSE&amp;creator=factset&amp;display_string=Audit"}</definedName>
    <definedName name="_1463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4__FDSAUDITLINK__" hidden="1">{"fdsup://Directions/FactSet Auditing Viewer?action=AUDIT_VALUE&amp;DB=129&amp;ID1=98975F10&amp;VALUEID=02001&amp;SDATE=200801&amp;PERIODTYPE=QTR_STD&amp;SCFT=3&amp;window=popup_no_bar&amp;width=385&amp;height=120&amp;START_MAXIMIZED=FALSE&amp;creator=factset&amp;display_string=Audit"}</definedName>
    <definedName name="_1465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6__FDSAUDITLINK__" hidden="1">{"fdsup://Directions/FactSet Auditing Viewer?action=AUDIT_VALUE&amp;DB=129&amp;ID1=98391910&amp;VALUEID=02001&amp;SDATE=200704&amp;PERIODTYPE=QTR_STD&amp;SCFT=3&amp;window=popup_no_bar&amp;width=385&amp;height=120&amp;START_MAXIMIZED=FALSE&amp;creator=factset&amp;display_string=Audit"}</definedName>
    <definedName name="_1467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8__FDSAUDITLINK__" hidden="1">{"fdsup://Directions/FactSet Auditing Viewer?action=AUDIT_VALUE&amp;DB=129&amp;ID1=95810210&amp;VALUEID=02001&amp;SDATE=200803&amp;PERIODTYPE=QTR_STD&amp;SCFT=3&amp;window=popup_no_bar&amp;width=385&amp;height=120&amp;START_MAXIMIZED=FALSE&amp;creator=factset&amp;display_string=Audit"}</definedName>
    <definedName name="_1469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70__FDSAUDITLINK__" hidden="1">{"fdsup://Directions/FactSet Auditing Viewer?action=AUDIT_VALUE&amp;DB=129&amp;ID1=92849730&amp;VALUEID=02001&amp;SDATE=200802&amp;PERIODTYPE=QTR_STD&amp;SCFT=3&amp;window=popup_no_bar&amp;width=385&amp;height=120&amp;START_MAXIMIZED=FALSE&amp;creator=factset&amp;display_string=Audit"}</definedName>
    <definedName name="_1471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2__FDSAUDITLINK__" hidden="1">{"fdsup://Directions/FactSet Auditing Viewer?action=AUDIT_VALUE&amp;DB=129&amp;ID1=92829810&amp;VALUEID=02001&amp;SDATE=200801&amp;PERIODTYPE=QTR_STD&amp;SCFT=3&amp;window=popup_no_bar&amp;width=385&amp;height=120&amp;START_MAXIMIZED=FALSE&amp;creator=factset&amp;display_string=Audit"}</definedName>
    <definedName name="_1473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4__FDSAUDITLINK__" hidden="1">{"fdsup://Directions/FactSet Auditing Viewer?action=AUDIT_VALUE&amp;DB=129&amp;ID1=88250810&amp;VALUEID=02001&amp;SDATE=200801&amp;PERIODTYPE=QTR_STD&amp;SCFT=3&amp;window=popup_no_bar&amp;width=385&amp;height=120&amp;START_MAXIMIZED=FALSE&amp;creator=factset&amp;display_string=Audit"}</definedName>
    <definedName name="_1475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6__FDSAUDITLINK__" hidden="1">{"fdsup://Directions/FactSet Auditing Viewer?action=AUDIT_VALUE&amp;DB=129&amp;ID1=89674K10&amp;VALUEID=02001&amp;SDATE=200801&amp;PERIODTYPE=QTR_STD&amp;SCFT=3&amp;window=popup_no_bar&amp;width=385&amp;height=120&amp;START_MAXIMIZED=FALSE&amp;creator=factset&amp;display_string=Audit"}</definedName>
    <definedName name="_1477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8__FDSAUDITLINK__" hidden="1">{"fdsup://Directions/FactSet Auditing Viewer?action=AUDIT_VALUE&amp;DB=129&amp;ID1=83088M10&amp;VALUEID=02001&amp;SDATE=200802&amp;PERIODTYPE=QTR_STD&amp;SCFT=3&amp;window=popup_no_bar&amp;width=385&amp;height=120&amp;START_MAXIMIZED=FALSE&amp;creator=factset&amp;display_string=Audit"}</definedName>
    <definedName name="_1479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1480__FDSAUDITLINK__" hidden="1">{"fdsup://Directions/FactSet Auditing Viewer?action=AUDIT_VALUE&amp;DB=129&amp;ID1=G7945M10&amp;VALUEID=02001&amp;SDATE=200803&amp;PERIODTYPE=QTR_STD&amp;SCFT=3&amp;window=popup_no_bar&amp;width=385&amp;height=120&amp;START_MAXIMIZED=FALSE&amp;creator=factset&amp;display_string=Audit"}</definedName>
    <definedName name="_1481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2__FDSAUDITLINK__" hidden="1">{"fdsup://Directions/FactSet Auditing Viewer?action=AUDIT_VALUE&amp;DB=129&amp;ID1=78477410&amp;VALUEID=02001&amp;SDATE=200801&amp;PERIODTYPE=QTR_STD&amp;SCFT=3&amp;window=popup_no_bar&amp;width=385&amp;height=120&amp;START_MAXIMIZED=FALSE&amp;creator=factset&amp;display_string=Audit"}</definedName>
    <definedName name="_1483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4__FDSAUDITLINK__" hidden="1">{"fdsup://Directions/FactSet Auditing Viewer?action=AUDIT_VALUE&amp;DB=129&amp;ID1=82705710&amp;VALUEID=02001&amp;SDATE=200801&amp;PERIODTYPE=QTR_STD&amp;SCFT=3&amp;window=popup_no_bar&amp;width=385&amp;height=120&amp;START_MAXIMIZED=FALSE&amp;creator=factset&amp;display_string=Audit"}</definedName>
    <definedName name="_1485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6__FDSAUDITLINK__" hidden="1">{"fdsup://Directions/FactSet Auditing Viewer?action=AUDIT_VALUE&amp;DB=129&amp;ID1=83547010&amp;VALUEID=02001&amp;SDATE=200801&amp;PERIODTYPE=QTR_STD&amp;SCFT=3&amp;window=popup_no_bar&amp;width=385&amp;height=120&amp;START_MAXIMIZED=FALSE&amp;creator=factset&amp;display_string=Audit"}</definedName>
    <definedName name="_1487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8__FDSAUDITLINK__" hidden="1">{"fdsup://Directions/FactSet Auditing Viewer?action=AUDIT_VALUE&amp;DB=129&amp;ID1=87160710&amp;VALUEID=02001&amp;SDATE=200802&amp;PERIODTYPE=QTR_STD&amp;SCFT=3&amp;window=popup_no_bar&amp;width=385&amp;height=120&amp;START_MAXIMIZED=FALSE&amp;creator=factset&amp;display_string=Audit"}</definedName>
    <definedName name="_1489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490__FDSAUDITLINK__" hidden="1">{"fdsup://Directions/FactSet Auditing Viewer?action=AUDIT_VALUE&amp;DB=129&amp;ID1=80004C10&amp;VALUEID=02001&amp;SDATE=200801&amp;PERIODTYPE=QTR_STD&amp;SCFT=3&amp;window=popup_no_bar&amp;width=385&amp;height=120&amp;START_MAXIMIZED=FALSE&amp;creator=factset&amp;display_string=Audit"}</definedName>
    <definedName name="_1491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2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1493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4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149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1497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8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1499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__FDSAUDITLINK__" hidden="1">{"fdsup://Directions/FactSet Auditing Viewer?action=AUDIT_VALUE&amp;DB=129&amp;ID1=67066G10&amp;VALUEID=05194&amp;SDATE=201103&amp;PERIODTYPE=QTR_STD&amp;SCFT=3&amp;window=popup_no_bar&amp;width=385&amp;height=120&amp;START_MAXIMIZED=FALSE&amp;creator=factset&amp;display_string=Audit"}</definedName>
    <definedName name="_150__FDSAUDITLINK__" hidden="1">{"fdsup://Directions/FactSet Auditing Viewer?action=AUDIT_VALUE&amp;DB=129&amp;ID1=00752J10&amp;VALUEID=02001&amp;SDATE=201101&amp;PERIODTYPE=QTR_STD&amp;SCFT=3&amp;window=popup_no_bar&amp;width=385&amp;height=120&amp;START_MAXIMIZED=FALSE&amp;creator=factset&amp;display_string=Audit"}</definedName>
    <definedName name="_1500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1501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2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150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1505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6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1507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8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1509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10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1511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2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1513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4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1515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6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1517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8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1519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__FDSAUDITLINK__" hidden="1">{"fdsup://Directions/FactSet Auditing Viewer?action=AUDIT_VALUE&amp;DB=129&amp;ID1=98975F10&amp;VALUEID=02001&amp;SDATE=201004&amp;PERIODTYPE=QTR_STD&amp;SCFT=3&amp;window=popup_no_bar&amp;width=385&amp;height=120&amp;START_MAXIMIZED=FALSE&amp;creator=factset&amp;display_string=Audit"}</definedName>
    <definedName name="_1520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152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1523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4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1525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6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15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1529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30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1531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2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153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1535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6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1537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8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153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__FDSAUDITLINK__" hidden="1">{"fdsup://Directions/FactSet Auditing Viewer?action=AUDIT_VALUE&amp;DB=129&amp;ID1=98391910&amp;VALUEID=02001&amp;SDATE=201003&amp;PERIODTYPE=QTR_STD&amp;SCFT=3&amp;window=popup_no_bar&amp;width=385&amp;height=120&amp;START_MAXIMIZED=FALSE&amp;creator=factset&amp;display_string=Audit"}</definedName>
    <definedName name="_154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1541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2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1543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4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1545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6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1547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8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154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5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1551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2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1553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4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1555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6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1557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8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1559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__FDSAUDITLINK__" hidden="1">{"fdsup://Directions/FactSet Auditing Viewer?action=AUDIT_VALUE&amp;DB=129&amp;ID1=95810210&amp;VALUEID=02001&amp;SDATE=201102&amp;PERIODTYPE=QTR_STD&amp;SCFT=3&amp;window=popup_no_bar&amp;width=385&amp;height=120&amp;START_MAXIMIZED=FALSE&amp;creator=factset&amp;display_string=Audit"}</definedName>
    <definedName name="_1560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156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1563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4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1565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6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1567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8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1569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70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1571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2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1573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4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1575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6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157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1579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__FDSAUDITLINK__" hidden="1">{"fdsup://Directions/FactSet Auditing Viewer?action=AUDIT_VALUE&amp;DB=129&amp;ID1=92849730&amp;VALUEID=02001&amp;SDATE=201101&amp;PERIODTYPE=QTR_STD&amp;SCFT=3&amp;window=popup_no_bar&amp;width=385&amp;height=120&amp;START_MAXIMIZED=FALSE&amp;creator=factset&amp;display_string=Audit"}</definedName>
    <definedName name="_1580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1581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2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1583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4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1585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6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1587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8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158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59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1591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2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1593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4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1595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6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1597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8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159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__FDSAUDITLINK__" hidden="1">{"fdsup://Directions/FactSet Auditing Viewer?action=AUDIT_VALUE&amp;DB=129&amp;ID1=637248&amp;VALUEID=02001&amp;SDATE=201103&amp;PERIODTYPE=QTR_STD&amp;SCFT=3&amp;window=popup_no_bar&amp;width=385&amp;height=120&amp;START_MAXIMIZED=FALSE&amp;creator=factset&amp;display_string=Audit"}</definedName>
    <definedName name="_160__FDSAUDITLINK__" hidden="1">{"fdsup://Directions/FactSet Auditing Viewer?action=AUDIT_VALUE&amp;DB=129&amp;ID1=92829810&amp;VALUEID=02001&amp;SDATE=201004&amp;PERIODTYPE=QTR_STD&amp;SCFT=3&amp;window=popup_no_bar&amp;width=385&amp;height=120&amp;START_MAXIMIZED=FALSE&amp;creator=factset&amp;display_string=Audit"}</definedName>
    <definedName name="_160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1601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2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1603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4__FDSAUDITLINK__" hidden="1">{"fdsup://Directions/FactSet Auditing Viewer?action=AUDIT_VALUE&amp;DB=129&amp;ID1=98391910&amp;VALUEID=02001&amp;SDATE=200703&amp;PERIODTYPE=QTR_STD&amp;SCFT=3&amp;window=popup_no_bar&amp;width=385&amp;height=120&amp;START_MAXIMIZED=FALSE&amp;creator=factset&amp;display_string=Audit"}</definedName>
    <definedName name="_1605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6__FDSAUDITLINK__" hidden="1">{"fdsup://Directions/FactSet Auditing Viewer?action=AUDIT_VALUE&amp;DB=129&amp;ID1=95810210&amp;VALUEID=02001&amp;SDATE=200802&amp;PERIODTYPE=QTR_STD&amp;SCFT=3&amp;window=popup_no_bar&amp;width=385&amp;height=120&amp;START_MAXIMIZED=FALSE&amp;creator=factset&amp;display_string=Audit"}</definedName>
    <definedName name="_1607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8__FDSAUDITLINK__" hidden="1">{"fdsup://Directions/FactSet Auditing Viewer?action=AUDIT_VALUE&amp;DB=129&amp;ID1=92849730&amp;VALUEID=02001&amp;SDATE=200801&amp;PERIODTYPE=QTR_STD&amp;SCFT=3&amp;window=popup_no_bar&amp;width=385&amp;height=120&amp;START_MAXIMIZED=FALSE&amp;creator=factset&amp;display_string=Audit"}</definedName>
    <definedName name="_1609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10__FDSAUDITLINK__" hidden="1">{"fdsup://Directions/FactSet Auditing Viewer?action=AUDIT_VALUE&amp;DB=129&amp;ID1=83088M10&amp;VALUEID=02001&amp;SDATE=200801&amp;PERIODTYPE=QTR_STD&amp;SCFT=3&amp;window=popup_no_bar&amp;width=385&amp;height=120&amp;START_MAXIMIZED=FALSE&amp;creator=factset&amp;display_string=Audit"}</definedName>
    <definedName name="_1611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2__FDSAUDITLINK__" hidden="1">{"fdsup://Directions/FactSet Auditing Viewer?action=AUDIT_VALUE&amp;DB=129&amp;ID1=G7945M10&amp;VALUEID=02001&amp;SDATE=200802&amp;PERIODTYPE=QTR_STD&amp;SCFT=3&amp;window=popup_no_bar&amp;width=385&amp;height=120&amp;START_MAXIMIZED=FALSE&amp;creator=factset&amp;display_string=Audit"}</definedName>
    <definedName name="_1613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4__FDSAUDITLINK__" hidden="1">{"fdsup://Directions/FactSet Auditing Viewer?action=AUDIT_VALUE&amp;DB=129&amp;ID1=87160710&amp;VALUEID=02001&amp;SDATE=200801&amp;PERIODTYPE=QTR_STD&amp;SCFT=3&amp;window=popup_no_bar&amp;width=385&amp;height=120&amp;START_MAXIMIZED=FALSE&amp;creator=factset&amp;display_string=Audit"}</definedName>
    <definedName name="_1615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6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1617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8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16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__FDSAUDITLINK__" hidden="1">{"fdsup://Directions/FactSet Auditing Viewer?action=AUDIT_VALUE&amp;DB=129&amp;ID1=88250810&amp;VALUEID=02001&amp;SDATE=201004&amp;PERIODTYPE=QTR_STD&amp;SCFT=3&amp;window=popup_no_bar&amp;width=385&amp;height=120&amp;START_MAXIMIZED=FALSE&amp;creator=factset&amp;display_string=Audit"}</definedName>
    <definedName name="_16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1621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2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1623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4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1625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6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1627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8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1629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30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1631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2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1633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4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163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1637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8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1639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__FDSAUDITLINK__" hidden="1">{"fdsup://Directions/FactSet Auditing Viewer?action=AUDIT_VALUE&amp;DB=129&amp;ID1=89674K10&amp;VALUEID=02001&amp;SDATE=201004&amp;PERIODTYPE=QTR_STD&amp;SCFT=3&amp;window=popup_no_bar&amp;width=385&amp;height=120&amp;START_MAXIMIZED=FALSE&amp;creator=factset&amp;display_string=Audit"}</definedName>
    <definedName name="_1640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1641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2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1643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4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1645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6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164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1649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50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1651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2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1653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4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165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1657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8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1659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__FDSAUDITLINK__" hidden="1">{"fdsup://Directions/FactSet Auditing Viewer?action=AUDIT_VALUE&amp;DB=129&amp;ID1=83088M10&amp;VALUEID=02001&amp;SDATE=201101&amp;PERIODTYPE=QTR_STD&amp;SCFT=3&amp;window=popup_no_bar&amp;width=385&amp;height=120&amp;START_MAXIMIZED=FALSE&amp;creator=factset&amp;display_string=Audit"}</definedName>
    <definedName name="_1660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1661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2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1663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4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1665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6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1667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8__FDSAUDITLINK__" hidden="1">{"fdsup://Directions/FactSet Auditing Viewer?action=AUDIT_VALUE&amp;DB=129&amp;ID1=98975F10&amp;VALUEID=02001&amp;SDATE=200703&amp;PERIODTYPE=QTR_STD&amp;SCFT=3&amp;window=popup_no_bar&amp;width=385&amp;height=120&amp;START_MAXIMIZED=FALSE&amp;creator=factset&amp;display_string=Audit"}</definedName>
    <definedName name="_1669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70__FDSAUDITLINK__" hidden="1">{"fdsup://Directions/FactSet Auditing Viewer?action=AUDIT_VALUE&amp;DB=129&amp;ID1=98391910&amp;VALUEID=02001&amp;SDATE=200702&amp;PERIODTYPE=QTR_STD&amp;SCFT=3&amp;window=popup_no_bar&amp;width=385&amp;height=120&amp;START_MAXIMIZED=FALSE&amp;creator=factset&amp;display_string=Audit"}</definedName>
    <definedName name="_1671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2__FDSAUDITLINK__" hidden="1">{"fdsup://Directions/FactSet Auditing Viewer?action=AUDIT_VALUE&amp;DB=129&amp;ID1=95810210&amp;VALUEID=02001&amp;SDATE=200801&amp;PERIODTYPE=QTR_STD&amp;SCFT=3&amp;window=popup_no_bar&amp;width=385&amp;height=120&amp;START_MAXIMIZED=FALSE&amp;creator=factset&amp;display_string=Audit"}</definedName>
    <definedName name="_1673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4__FDSAUDITLINK__" hidden="1">{"fdsup://Directions/FactSet Auditing Viewer?action=AUDIT_VALUE&amp;DB=129&amp;ID1=92829810&amp;VALUEID=02001&amp;SDATE=200703&amp;PERIODTYPE=QTR_STD&amp;SCFT=3&amp;window=popup_no_bar&amp;width=385&amp;height=120&amp;START_MAXIMIZED=FALSE&amp;creator=factset&amp;display_string=Audit"}</definedName>
    <definedName name="_1675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6__FDSAUDITLINK__" hidden="1">{"fdsup://Directions/FactSet Auditing Viewer?action=AUDIT_VALUE&amp;DB=129&amp;ID1=88250810&amp;VALUEID=02001&amp;SDATE=200703&amp;PERIODTYPE=QTR_STD&amp;SCFT=3&amp;window=popup_no_bar&amp;width=385&amp;height=120&amp;START_MAXIMIZED=FALSE&amp;creator=factset&amp;display_string=Audit"}</definedName>
    <definedName name="_1677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8__FDSAUDITLINK__" hidden="1">{"fdsup://Directions/FactSet Auditing Viewer?action=AUDIT_VALUE&amp;DB=129&amp;ID1=89674K10&amp;VALUEID=02001&amp;SDATE=200703&amp;PERIODTYPE=QTR_STD&amp;SCFT=3&amp;window=popup_no_bar&amp;width=385&amp;height=120&amp;START_MAXIMIZED=FALSE&amp;creator=factset&amp;display_string=Audit"}</definedName>
    <definedName name="_1679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__FDSAUDITLINK__" hidden="1">{"fdsup://Directions/FactSet Auditing Viewer?action=AUDIT_VALUE&amp;DB=129&amp;ID1=G7945M10&amp;VALUEID=02001&amp;SDATE=201102&amp;PERIODTYPE=QTR_STD&amp;SCFT=3&amp;window=popup_no_bar&amp;width=385&amp;height=120&amp;START_MAXIMIZED=FALSE&amp;creator=factset&amp;display_string=Audit"}</definedName>
    <definedName name="_1680__FDSAUDITLINK__" hidden="1">{"fdsup://Directions/FactSet Auditing Viewer?action=AUDIT_VALUE&amp;DB=129&amp;ID1=G7945M10&amp;VALUEID=02001&amp;SDATE=200801&amp;PERIODTYPE=QTR_STD&amp;SCFT=3&amp;window=popup_no_bar&amp;width=385&amp;height=120&amp;START_MAXIMIZED=FALSE&amp;creator=factset&amp;display_string=Audit"}</definedName>
    <definedName name="_1681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2__FDSAUDITLINK__" hidden="1">{"fdsup://Directions/FactSet Auditing Viewer?action=AUDIT_VALUE&amp;DB=129&amp;ID1=78477410&amp;VALUEID=02001&amp;SDATE=200703&amp;PERIODTYPE=QTR_STD&amp;SCFT=3&amp;window=popup_no_bar&amp;width=385&amp;height=120&amp;START_MAXIMIZED=FALSE&amp;creator=factset&amp;display_string=Audit"}</definedName>
    <definedName name="_1683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4__FDSAUDITLINK__" hidden="1">{"fdsup://Directions/FactSet Auditing Viewer?action=AUDIT_VALUE&amp;DB=129&amp;ID1=82705710&amp;VALUEID=02001&amp;SDATE=200703&amp;PERIODTYPE=QTR_STD&amp;SCFT=3&amp;window=popup_no_bar&amp;width=385&amp;height=120&amp;START_MAXIMIZED=FALSE&amp;creator=factset&amp;display_string=Audit"}</definedName>
    <definedName name="_1685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6__FDSAUDITLINK__" hidden="1">{"fdsup://Directions/FactSet Auditing Viewer?action=AUDIT_VALUE&amp;DB=129&amp;ID1=83547010&amp;VALUEID=02001&amp;SDATE=200703&amp;PERIODTYPE=QTR_STD&amp;SCFT=3&amp;window=popup_no_bar&amp;width=385&amp;height=120&amp;START_MAXIMIZED=FALSE&amp;creator=factset&amp;display_string=Audit"}</definedName>
    <definedName name="_1687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8__FDSAUDITLINK__" hidden="1">{"fdsup://Directions/FactSet Auditing Viewer?action=AUDIT_VALUE&amp;DB=129&amp;ID1=80004C10&amp;VALUEID=02001&amp;SDATE=200703&amp;PERIODTYPE=QTR_STD&amp;SCFT=3&amp;window=popup_no_bar&amp;width=385&amp;height=120&amp;START_MAXIMIZED=FALSE&amp;creator=factset&amp;display_string=Audit"}</definedName>
    <definedName name="_1689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690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16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1693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4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1695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6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1697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8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1699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__FDSAUDITLINK__" hidden="1">{"fdsup://Directions/FactSet Auditing Viewer?action=AUDIT_VALUE&amp;DB=129&amp;ID1=637248&amp;VALUEID=05194&amp;SDATE=201103&amp;PERIODTYPE=QTR_STD&amp;SCFT=3&amp;window=popup_no_bar&amp;width=385&amp;height=120&amp;START_MAXIMIZED=FALSE&amp;creator=factset&amp;display_string=Audit"}</definedName>
    <definedName name="_170__FDSAUDITLINK__" hidden="1">{"fdsup://Directions/FactSet Auditing Viewer?action=AUDIT_VALUE&amp;DB=129&amp;ID1=78477410&amp;VALUEID=02001&amp;SDATE=201004&amp;PERIODTYPE=QTR_STD&amp;SCFT=3&amp;window=popup_no_bar&amp;width=385&amp;height=120&amp;START_MAXIMIZED=FALSE&amp;creator=factset&amp;display_string=Audit"}</definedName>
    <definedName name="_1700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1701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2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1703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4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1705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6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1707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8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170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1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1711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2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1713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4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1715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6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1717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8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171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__FDSAUDITLINK__" hidden="1">{"fdsup://Directions/FactSet Auditing Viewer?action=AUDIT_VALUE&amp;DB=129&amp;ID1=87160710&amp;VALUEID=02001&amp;SDATE=201101&amp;PERIODTYPE=QTR_STD&amp;SCFT=3&amp;window=popup_no_bar&amp;width=385&amp;height=120&amp;START_MAXIMIZED=FALSE&amp;creator=factset&amp;display_string=Audit"}</definedName>
    <definedName name="_172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1721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2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1723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4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1725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6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1727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8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1729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30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173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1733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4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1735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6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173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1739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__FDSAUDITLINK__" hidden="1">{"fdsup://Directions/FactSet Auditing Viewer?action=AUDIT_VALUE&amp;DB=129&amp;ID1=80004C10&amp;VALUEID=02001&amp;SDATE=201004&amp;PERIODTYPE=QTR_STD&amp;SCFT=3&amp;window=popup_no_bar&amp;width=385&amp;height=120&amp;START_MAXIMIZED=FALSE&amp;creator=factset&amp;display_string=Audit"}</definedName>
    <definedName name="_1740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1741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2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1743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4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1745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6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1747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8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1749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50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1751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2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17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1755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6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175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175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__FDSAUDITLINK__" hidden="1">{"fdsup://Directions/FactSet Auditing Viewer?action=AUDIT_VALUE&amp;DB=129&amp;ID1=81685010&amp;VALUEID=02001&amp;SDATE=201004&amp;PERIODTYPE=QTR_STD&amp;SCFT=3&amp;window=popup_no_bar&amp;width=385&amp;height=120&amp;START_MAXIMIZED=FALSE&amp;creator=factset&amp;display_string=Audit"}</definedName>
    <definedName name="_176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1761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2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1763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4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1765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6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1767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8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1769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70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1771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2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177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1775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6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1777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8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1779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__FDSAUDITLINK__" hidden="1">{"fdsup://Directions/FactSet Auditing Viewer?action=AUDIT_VALUE&amp;DB=129&amp;ID1=82691910&amp;VALUEID=02001&amp;SDATE=201004&amp;PERIODTYPE=QTR_STD&amp;SCFT=3&amp;window=popup_no_bar&amp;width=385&amp;height=120&amp;START_MAXIMIZED=FALSE&amp;creator=factset&amp;display_string=Audit"}</definedName>
    <definedName name="_1780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178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1783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4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178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1787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8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1789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790__FDSAUDITLINK__" hidden="1">{"fdsup://Directions/FactSet Auditing Viewer?action=AUDIT_VALUE&amp;DB=129&amp;ID1=98975F10&amp;VALUEID=02001&amp;SDATE=200702&amp;PERIODTYPE=QTR_STD&amp;SCFT=3&amp;window=popup_no_bar&amp;width=385&amp;height=120&amp;START_MAXIMIZED=FALSE&amp;creator=factset&amp;display_string=Audit"}</definedName>
    <definedName name="_1791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2__FDSAUDITLINK__" hidden="1">{"fdsup://Directions/FactSet Auditing Viewer?action=AUDIT_VALUE&amp;DB=129&amp;ID1=98391910&amp;VALUEID=02001&amp;SDATE=200701&amp;PERIODTYPE=QTR_STD&amp;SCFT=3&amp;window=popup_no_bar&amp;width=385&amp;height=120&amp;START_MAXIMIZED=FALSE&amp;creator=factset&amp;display_string=Audit"}</definedName>
    <definedName name="_1793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4__FDSAUDITLINK__" hidden="1">{"fdsup://Directions/FactSet Auditing Viewer?action=AUDIT_VALUE&amp;DB=129&amp;ID1=92829810&amp;VALUEID=02001&amp;SDATE=200702&amp;PERIODTYPE=QTR_STD&amp;SCFT=3&amp;window=popup_no_bar&amp;width=385&amp;height=120&amp;START_MAXIMIZED=FALSE&amp;creator=factset&amp;display_string=Audit"}</definedName>
    <definedName name="_1795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6__FDSAUDITLINK__" hidden="1">{"fdsup://Directions/FactSet Auditing Viewer?action=AUDIT_VALUE&amp;DB=129&amp;ID1=88250810&amp;VALUEID=02001&amp;SDATE=200702&amp;PERIODTYPE=QTR_STD&amp;SCFT=3&amp;window=popup_no_bar&amp;width=385&amp;height=120&amp;START_MAXIMIZED=FALSE&amp;creator=factset&amp;display_string=Audit"}</definedName>
    <definedName name="_1797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8__FDSAUDITLINK__" hidden="1">{"fdsup://Directions/FactSet Auditing Viewer?action=AUDIT_VALUE&amp;DB=129&amp;ID1=89674K10&amp;VALUEID=02001&amp;SDATE=200702&amp;PERIODTYPE=QTR_STD&amp;SCFT=3&amp;window=popup_no_bar&amp;width=385&amp;height=120&amp;START_MAXIMIZED=FALSE&amp;creator=factset&amp;display_string=Audit"}</definedName>
    <definedName name="_1799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__FDSAUDITLINK__" hidden="1">{"fdsup://Directions/FactSet Auditing Viewer?action=AUDIT_VALUE&amp;DB=129&amp;ID1=03265410&amp;VALUEID=02001&amp;SDATE=201104&amp;PERIODTYPE=QTR_STD&amp;SCFT=3&amp;window=popup_no_bar&amp;width=385&amp;height=120&amp;START_MAXIMIZED=FALSE&amp;creator=factset&amp;display_string=Audit"}</definedName>
    <definedName name="_180__FDSAUDITLINK__" hidden="1">{"fdsup://Directions/FactSet Auditing Viewer?action=AUDIT_VALUE&amp;DB=129&amp;ID1=82705T10&amp;VALUEID=02001&amp;SDATE=201004&amp;PERIODTYPE=QTR_STD&amp;SCFT=3&amp;window=popup_no_bar&amp;width=385&amp;height=120&amp;START_MAXIMIZED=FALSE&amp;creator=factset&amp;display_string=Audit"}</definedName>
    <definedName name="_1800__FDSAUDITLINK__" hidden="1">{"fdsup://Directions/FactSet Auditing Viewer?action=AUDIT_VALUE&amp;DB=129&amp;ID1=83088M10&amp;VALUEID=02001&amp;SDATE=200703&amp;PERIODTYPE=QTR_STD&amp;SCFT=3&amp;window=popup_no_bar&amp;width=385&amp;height=120&amp;START_MAXIMIZED=FALSE&amp;creator=factset&amp;display_string=Audit"}</definedName>
    <definedName name="_1801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2__FDSAUDITLINK__" hidden="1">{"fdsup://Directions/FactSet Auditing Viewer?action=AUDIT_VALUE&amp;DB=129&amp;ID1=78477410&amp;VALUEID=02001&amp;SDATE=200702&amp;PERIODTYPE=QTR_STD&amp;SCFT=3&amp;window=popup_no_bar&amp;width=385&amp;height=120&amp;START_MAXIMIZED=FALSE&amp;creator=factset&amp;display_string=Audit"}</definedName>
    <definedName name="_1803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4__FDSAUDITLINK__" hidden="1">{"fdsup://Directions/FactSet Auditing Viewer?action=AUDIT_VALUE&amp;DB=129&amp;ID1=82705710&amp;VALUEID=02001&amp;SDATE=200702&amp;PERIODTYPE=QTR_STD&amp;SCFT=3&amp;window=popup_no_bar&amp;width=385&amp;height=120&amp;START_MAXIMIZED=FALSE&amp;creator=factset&amp;display_string=Audit"}</definedName>
    <definedName name="_1805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6__FDSAUDITLINK__" hidden="1">{"fdsup://Directions/FactSet Auditing Viewer?action=AUDIT_VALUE&amp;DB=129&amp;ID1=83547010&amp;VALUEID=02001&amp;SDATE=200702&amp;PERIODTYPE=QTR_STD&amp;SCFT=3&amp;window=popup_no_bar&amp;width=385&amp;height=120&amp;START_MAXIMIZED=FALSE&amp;creator=factset&amp;display_string=Audit"}</definedName>
    <definedName name="_1807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8__FDSAUDITLINK__" hidden="1">{"fdsup://Directions/FactSet Auditing Viewer?action=AUDIT_VALUE&amp;DB=129&amp;ID1=87160710&amp;VALUEID=02001&amp;SDATE=200703&amp;PERIODTYPE=QTR_STD&amp;SCFT=3&amp;window=popup_no_bar&amp;width=385&amp;height=120&amp;START_MAXIMIZED=FALSE&amp;creator=factset&amp;display_string=Audit"}</definedName>
    <definedName name="_1809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10__FDSAUDITLINK__" hidden="1">{"fdsup://Directions/FactSet Auditing Viewer?action=AUDIT_VALUE&amp;DB=129&amp;ID1=80004C10&amp;VALUEID=02001&amp;SDATE=200702&amp;PERIODTYPE=QTR_STD&amp;SCFT=3&amp;window=popup_no_bar&amp;width=385&amp;height=120&amp;START_MAXIMIZED=FALSE&amp;creator=factset&amp;display_string=Audit"}</definedName>
    <definedName name="_1811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2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181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1815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6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1817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8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1819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__FDSAUDITLINK__" hidden="1">{"fdsup://Directions/FactSet Auditing Viewer?action=AUDIT_VALUE&amp;DB=129&amp;ID1=75091710&amp;VALUEID=02001&amp;SDATE=201004&amp;PERIODTYPE=QTR_STD&amp;SCFT=3&amp;window=popup_no_bar&amp;width=385&amp;height=120&amp;START_MAXIMIZED=FALSE&amp;creator=factset&amp;display_string=Audit"}</definedName>
    <definedName name="_1820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1821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2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1823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4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1825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6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1827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8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182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3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1831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2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1833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4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1835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6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1837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8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1839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__FDSAUDITLINK__" hidden="1">{"fdsup://Directions/FactSet Auditing Viewer?action=AUDIT_VALUE&amp;DB=129&amp;ID1=74994110&amp;VALUEID=02001&amp;SDATE=201003&amp;PERIODTYPE=QTR_STD&amp;SCFT=3&amp;window=popup_no_bar&amp;width=385&amp;height=120&amp;START_MAXIMIZED=FALSE&amp;creator=factset&amp;display_string=Audit"}</definedName>
    <definedName name="_1840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1841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2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1843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4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1845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6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1847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8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1849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50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1851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2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185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1855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6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1857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8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1859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__FDSAUDITLINK__" hidden="1">{"fdsup://Directions/FactSet Auditing Viewer?action=AUDIT_VALUE&amp;DB=129&amp;ID1=74727710&amp;VALUEID=02001&amp;SDATE=201003&amp;PERIODTYPE=QTR_STD&amp;SCFT=3&amp;window=popup_no_bar&amp;width=385&amp;height=120&amp;START_MAXIMIZED=FALSE&amp;creator=factset&amp;display_string=Audit"}</definedName>
    <definedName name="_1860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1861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2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1863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4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186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1867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8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1869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70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1871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2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1873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4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1875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6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1877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8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1879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__FDSAUDITLINK__" hidden="1">{"fdsup://Directions/FactSet Auditing Viewer?action=AUDIT_VALUE&amp;DB=129&amp;ID1=74752510&amp;VALUEID=02001&amp;SDATE=201101&amp;PERIODTYPE=QTR_STD&amp;SCFT=3&amp;window=popup_no_bar&amp;width=385&amp;height=120&amp;START_MAXIMIZED=FALSE&amp;creator=factset&amp;display_string=Audit"}</definedName>
    <definedName name="_1880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1881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2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188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1885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6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1887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8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188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89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1891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2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1893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4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1895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6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189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1899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__FDSAUDITLINK__" hidden="1">{"fdsup://Directions/FactSet Auditing Viewer?action=AUDIT_VALUE&amp;DB=129&amp;ID1=03265410&amp;VALUEID=05194&amp;SDATE=201104&amp;PERIODTYPE=QTR_STD&amp;SCFT=3&amp;window=popup_no_bar&amp;width=385&amp;height=120&amp;START_MAXIMIZED=FALSE&amp;creator=factset&amp;display_string=Audit"}</definedName>
    <definedName name="_190__FDSAUDITLINK__" hidden="1">{"fdsup://Directions/FactSet Auditing Viewer?action=AUDIT_VALUE&amp;DB=129&amp;ID1=72581M30&amp;VALUEID=02001&amp;SDATE=201004&amp;PERIODTYPE=QTR_STD&amp;SCFT=3&amp;window=popup_no_bar&amp;width=385&amp;height=120&amp;START_MAXIMIZED=FALSE&amp;creator=factset&amp;display_string=Audit"}</definedName>
    <definedName name="_1900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1901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2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1903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4__FDSAUDITLINK__" hidden="1">{"fdsup://Directions/FactSet Auditing Viewer?action=AUDIT_VALUE&amp;DB=129&amp;ID1=98975F10&amp;VALUEID=02001&amp;SDATE=200701&amp;PERIODTYPE=QTR_STD&amp;SCFT=3&amp;window=popup_no_bar&amp;width=385&amp;height=120&amp;START_MAXIMIZED=FALSE&amp;creator=factset&amp;display_string=Audit"}</definedName>
    <definedName name="_1905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6__FDSAUDITLINK__" hidden="1">{"fdsup://Directions/FactSet Auditing Viewer?action=AUDIT_VALUE&amp;DB=129&amp;ID1=95810210&amp;VALUEID=02001&amp;SDATE=200703&amp;PERIODTYPE=QTR_STD&amp;SCFT=3&amp;window=popup_no_bar&amp;width=385&amp;height=120&amp;START_MAXIMIZED=FALSE&amp;creator=factset&amp;display_string=Audit"}</definedName>
    <definedName name="_1907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8__FDSAUDITLINK__" hidden="1">{"fdsup://Directions/FactSet Auditing Viewer?action=AUDIT_VALUE&amp;DB=129&amp;ID1=92829810&amp;VALUEID=02001&amp;SDATE=200701&amp;PERIODTYPE=QTR_STD&amp;SCFT=3&amp;window=popup_no_bar&amp;width=385&amp;height=120&amp;START_MAXIMIZED=FALSE&amp;creator=factset&amp;display_string=Audit"}</definedName>
    <definedName name="_1909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10__FDSAUDITLINK__" hidden="1">{"fdsup://Directions/FactSet Auditing Viewer?action=AUDIT_VALUE&amp;DB=129&amp;ID1=88250810&amp;VALUEID=02001&amp;SDATE=200701&amp;PERIODTYPE=QTR_STD&amp;SCFT=3&amp;window=popup_no_bar&amp;width=385&amp;height=120&amp;START_MAXIMIZED=FALSE&amp;creator=factset&amp;display_string=Audit"}</definedName>
    <definedName name="_1911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2__FDSAUDITLINK__" hidden="1">{"fdsup://Directions/FactSet Auditing Viewer?action=AUDIT_VALUE&amp;DB=129&amp;ID1=89674K10&amp;VALUEID=02001&amp;SDATE=200701&amp;PERIODTYPE=QTR_STD&amp;SCFT=3&amp;window=popup_no_bar&amp;width=385&amp;height=120&amp;START_MAXIMIZED=FALSE&amp;creator=factset&amp;display_string=Audit"}</definedName>
    <definedName name="_1913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4__FDSAUDITLINK__" hidden="1">{"fdsup://Directions/FactSet Auditing Viewer?action=AUDIT_VALUE&amp;DB=129&amp;ID1=83088M10&amp;VALUEID=02001&amp;SDATE=200702&amp;PERIODTYPE=QTR_STD&amp;SCFT=3&amp;window=popup_no_bar&amp;width=385&amp;height=120&amp;START_MAXIMIZED=FALSE&amp;creator=factset&amp;display_string=Audit"}</definedName>
    <definedName name="_1915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6__FDSAUDITLINK__" hidden="1">{"fdsup://Directions/FactSet Auditing Viewer?action=AUDIT_VALUE&amp;DB=129&amp;ID1=G7945M10&amp;VALUEID=02001&amp;SDATE=200703&amp;PERIODTYPE=QTR_STD&amp;SCFT=3&amp;window=popup_no_bar&amp;width=385&amp;height=120&amp;START_MAXIMIZED=FALSE&amp;creator=factset&amp;display_string=Audit"}</definedName>
    <definedName name="_1917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8__FDSAUDITLINK__" hidden="1">{"fdsup://Directions/FactSet Auditing Viewer?action=AUDIT_VALUE&amp;DB=129&amp;ID1=78477410&amp;VALUEID=02001&amp;SDATE=200701&amp;PERIODTYPE=QTR_STD&amp;SCFT=3&amp;window=popup_no_bar&amp;width=385&amp;height=120&amp;START_MAXIMIZED=FALSE&amp;creator=factset&amp;display_string=Audit"}</definedName>
    <definedName name="_1919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__FDSAUDITLINK__" hidden="1">{"fdsup://Directions/FactSet Auditing Viewer?action=AUDIT_VALUE&amp;DB=129&amp;ID1=73927610&amp;VALUEID=02001&amp;SDATE=201004&amp;PERIODTYPE=QTR_STD&amp;SCFT=3&amp;window=popup_no_bar&amp;width=385&amp;height=120&amp;START_MAXIMIZED=FALSE&amp;creator=factset&amp;display_string=Audit"}</definedName>
    <definedName name="_1920__FDSAUDITLINK__" hidden="1">{"fdsup://Directions/FactSet Auditing Viewer?action=AUDIT_VALUE&amp;DB=129&amp;ID1=82705710&amp;VALUEID=02001&amp;SDATE=200701&amp;PERIODTYPE=QTR_STD&amp;SCFT=3&amp;window=popup_no_bar&amp;width=385&amp;height=120&amp;START_MAXIMIZED=FALSE&amp;creator=factset&amp;display_string=Audit"}</definedName>
    <definedName name="_1921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2__FDSAUDITLINK__" hidden="1">{"fdsup://Directions/FactSet Auditing Viewer?action=AUDIT_VALUE&amp;DB=129&amp;ID1=83547010&amp;VALUEID=02001&amp;SDATE=200701&amp;PERIODTYPE=QTR_STD&amp;SCFT=3&amp;window=popup_no_bar&amp;width=385&amp;height=120&amp;START_MAXIMIZED=FALSE&amp;creator=factset&amp;display_string=Audit"}</definedName>
    <definedName name="_1923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4__FDSAUDITLINK__" hidden="1">{"fdsup://Directions/FactSet Auditing Viewer?action=AUDIT_VALUE&amp;DB=129&amp;ID1=87160710&amp;VALUEID=02001&amp;SDATE=200702&amp;PERIODTYPE=QTR_STD&amp;SCFT=3&amp;window=popup_no_bar&amp;width=385&amp;height=120&amp;START_MAXIMIZED=FALSE&amp;creator=factset&amp;display_string=Audit"}</definedName>
    <definedName name="_1925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6__FDSAUDITLINK__" hidden="1">{"fdsup://Directions/FactSet Auditing Viewer?action=AUDIT_VALUE&amp;DB=129&amp;ID1=80004C10&amp;VALUEID=02001&amp;SDATE=200701&amp;PERIODTYPE=QTR_STD&amp;SCFT=3&amp;window=popup_no_bar&amp;width=385&amp;height=120&amp;START_MAXIMIZED=FALSE&amp;creator=factset&amp;display_string=Audit"}</definedName>
    <definedName name="_1927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8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1929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30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193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1933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4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1935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6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1937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8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1939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__FDSAUDITLINK__" hidden="1">{"fdsup://Directions/FactSet Auditing Viewer?action=AUDIT_VALUE&amp;DB=129&amp;ID1=69344F10&amp;VALUEID=02001&amp;SDATE=201004&amp;PERIODTYPE=QTR_STD&amp;SCFT=3&amp;window=popup_no_bar&amp;width=385&amp;height=120&amp;START_MAXIMIZED=FALSE&amp;creator=factset&amp;display_string=Audit"}</definedName>
    <definedName name="_1940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194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1943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4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1945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6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1947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8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1949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50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195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1953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4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1955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6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195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1959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__FDSAUDITLINK__" hidden="1">{"fdsup://Directions/FactSet Auditing Viewer?action=AUDIT_VALUE&amp;DB=129&amp;ID1=69341710&amp;VALUEID=02001&amp;SDATE=201004&amp;PERIODTYPE=QTR_STD&amp;SCFT=3&amp;window=popup_no_bar&amp;width=385&amp;height=120&amp;START_MAXIMIZED=FALSE&amp;creator=factset&amp;display_string=Audit"}</definedName>
    <definedName name="_1960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1961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2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1963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4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1965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6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1967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8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1969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70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197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1973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4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1975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6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1977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8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1979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__FDSAUDITLINK__" hidden="1">{"fdsup://Directions/FactSet Auditing Viewer?action=AUDIT_VALUE&amp;DB=129&amp;ID1=68218910&amp;VALUEID=02001&amp;SDATE=201004&amp;PERIODTYPE=QTR_STD&amp;SCFT=3&amp;window=popup_no_bar&amp;width=385&amp;height=120&amp;START_MAXIMIZED=FALSE&amp;creator=factset&amp;display_string=Audit"}</definedName>
    <definedName name="_1980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198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1983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4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1985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6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1987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8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1989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1990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1991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2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1993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4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199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1997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8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1999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__FDSAUDITLINK__" hidden="1">{"fdsup://Directions/FactSet Auditing Viewer?action=AUDIT_VALUE&amp;DB=129&amp;ID1=03265410&amp;VALUEID=05194&amp;SDATE=201103&amp;PERIODTYPE=QTR_STD&amp;SCFT=3&amp;window=popup_no_bar&amp;width=385&amp;height=120&amp;START_MAXIMIZED=FALSE&amp;creator=factset&amp;display_string=Audit"}</definedName>
    <definedName name="_20__FDSAUDITLINK__" hidden="1">{"fdsup://Directions/FactSet Auditing Viewer?action=AUDIT_VALUE&amp;DB=129&amp;ID1=83088M10&amp;VALUEID=02001&amp;SDATE=201102&amp;PERIODTYPE=QTR_STD&amp;SCFT=3&amp;window=popup_no_bar&amp;width=385&amp;height=120&amp;START_MAXIMIZED=FALSE&amp;creator=factset&amp;display_string=Audit"}</definedName>
    <definedName name="_200__FDSAUDITLINK__" hidden="1">{"fdsup://Directions/FactSet Auditing Viewer?action=AUDIT_VALUE&amp;DB=129&amp;ID1=B505PN&amp;VALUEID=02001&amp;SDATE=201004&amp;PERIODTYPE=QTR_STD&amp;SCFT=3&amp;window=popup_no_bar&amp;width=385&amp;height=120&amp;START_MAXIMIZED=FALSE&amp;creator=factset&amp;display_string=Audit"}</definedName>
    <definedName name="_2000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200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200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2005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6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2007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8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200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1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2011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2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2013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4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2015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6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2017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8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2019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__FDSAUDITLINK__" hidden="1">{"fdsup://Directions/FactSet Auditing Viewer?action=AUDIT_VALUE&amp;DB=129&amp;ID1=67000810&amp;VALUEID=02001&amp;SDATE=201004&amp;PERIODTYPE=QTR_STD&amp;SCFT=3&amp;window=popup_no_bar&amp;width=385&amp;height=120&amp;START_MAXIMIZED=FALSE&amp;creator=factset&amp;display_string=Audit"}</definedName>
    <definedName name="_2020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2021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2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202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2025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6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2027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8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202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3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2031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2__FDSAUDITLINK__" hidden="1">{"fdsup://Directions/FactSet Auditing Viewer?action=AUDIT_VALUE&amp;DB=129&amp;ID1=98975F10&amp;VALUEID=02001&amp;SDATE=200603&amp;PERIODTYPE=QTR_STD&amp;SCFT=3&amp;window=popup_no_bar&amp;width=385&amp;height=120&amp;START_MAXIMIZED=FALSE&amp;creator=factset&amp;display_string=Audit"}</definedName>
    <definedName name="_2033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4__FDSAUDITLINK__" hidden="1">{"fdsup://Directions/FactSet Auditing Viewer?action=AUDIT_VALUE&amp;DB=129&amp;ID1=98391910&amp;VALUEID=02001&amp;SDATE=200602&amp;PERIODTYPE=QTR_STD&amp;SCFT=3&amp;window=popup_no_bar&amp;width=385&amp;height=120&amp;START_MAXIMIZED=FALSE&amp;creator=factset&amp;display_string=Audit"}</definedName>
    <definedName name="_2035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6__FDSAUDITLINK__" hidden="1">{"fdsup://Directions/FactSet Auditing Viewer?action=AUDIT_VALUE&amp;DB=129&amp;ID1=95810210&amp;VALUEID=02001&amp;SDATE=200701&amp;PERIODTYPE=QTR_STD&amp;SCFT=3&amp;window=popup_no_bar&amp;width=385&amp;height=120&amp;START_MAXIMIZED=FALSE&amp;creator=factset&amp;display_string=Audit"}</definedName>
    <definedName name="_2037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8__FDSAUDITLINK__" hidden="1">{"fdsup://Directions/FactSet Auditing Viewer?action=AUDIT_VALUE&amp;DB=129&amp;ID1=92829810&amp;VALUEID=02001&amp;SDATE=200603&amp;PERIODTYPE=QTR_STD&amp;SCFT=3&amp;window=popup_no_bar&amp;width=385&amp;height=120&amp;START_MAXIMIZED=FALSE&amp;creator=factset&amp;display_string=Audit"}</definedName>
    <definedName name="_2039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__FDSAUDITLINK__" hidden="1">{"fdsup://Directions/FactSet Auditing Viewer?action=AUDIT_VALUE&amp;DB=129&amp;ID1=67066G10&amp;VALUEID=02001&amp;SDATE=201004&amp;PERIODTYPE=QTR_STD&amp;SCFT=3&amp;window=popup_no_bar&amp;width=385&amp;height=120&amp;START_MAXIMIZED=FALSE&amp;creator=factset&amp;display_string=Audit"}</definedName>
    <definedName name="_2040__FDSAUDITLINK__" hidden="1">{"fdsup://Directions/FactSet Auditing Viewer?action=AUDIT_VALUE&amp;DB=129&amp;ID1=88250810&amp;VALUEID=02001&amp;SDATE=200603&amp;PERIODTYPE=QTR_STD&amp;SCFT=3&amp;window=popup_no_bar&amp;width=385&amp;height=120&amp;START_MAXIMIZED=FALSE&amp;creator=factset&amp;display_string=Audit"}</definedName>
    <definedName name="_2041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2__FDSAUDITLINK__" hidden="1">{"fdsup://Directions/FactSet Auditing Viewer?action=AUDIT_VALUE&amp;DB=129&amp;ID1=89674K10&amp;VALUEID=02001&amp;SDATE=200603&amp;PERIODTYPE=QTR_STD&amp;SCFT=3&amp;window=popup_no_bar&amp;width=385&amp;height=120&amp;START_MAXIMIZED=FALSE&amp;creator=factset&amp;display_string=Audit"}</definedName>
    <definedName name="_2043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4__FDSAUDITLINK__" hidden="1">{"fdsup://Directions/FactSet Auditing Viewer?action=AUDIT_VALUE&amp;DB=129&amp;ID1=G7945M10&amp;VALUEID=02001&amp;SDATE=200701&amp;PERIODTYPE=QTR_STD&amp;SCFT=3&amp;window=popup_no_bar&amp;width=385&amp;height=120&amp;START_MAXIMIZED=FALSE&amp;creator=factset&amp;display_string=Audit"}</definedName>
    <definedName name="_2045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6__FDSAUDITLINK__" hidden="1">{"fdsup://Directions/FactSet Auditing Viewer?action=AUDIT_VALUE&amp;DB=129&amp;ID1=78477410&amp;VALUEID=02001&amp;SDATE=200603&amp;PERIODTYPE=QTR_STD&amp;SCFT=3&amp;window=popup_no_bar&amp;width=385&amp;height=120&amp;START_MAXIMIZED=FALSE&amp;creator=factset&amp;display_string=Audit"}</definedName>
    <definedName name="_2047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8__FDSAUDITLINK__" hidden="1">{"fdsup://Directions/FactSet Auditing Viewer?action=AUDIT_VALUE&amp;DB=129&amp;ID1=82705710&amp;VALUEID=02001&amp;SDATE=200603&amp;PERIODTYPE=QTR_STD&amp;SCFT=3&amp;window=popup_no_bar&amp;width=385&amp;height=120&amp;START_MAXIMIZED=FALSE&amp;creator=factset&amp;display_string=Audit"}</definedName>
    <definedName name="_2049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50__FDSAUDITLINK__" hidden="1">{"fdsup://Directions/FactSet Auditing Viewer?action=AUDIT_VALUE&amp;DB=129&amp;ID1=80004C10&amp;VALUEID=02001&amp;SDATE=200603&amp;PERIODTYPE=QTR_STD&amp;SCFT=3&amp;window=popup_no_bar&amp;width=385&amp;height=120&amp;START_MAXIMIZED=FALSE&amp;creator=factset&amp;display_string=Audit"}</definedName>
    <definedName name="_205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2053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4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2055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6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2057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8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2059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__FDSAUDITLINK__" hidden="1">{"fdsup://Directions/FactSet Auditing Viewer?action=AUDIT_VALUE&amp;DB=129&amp;ID1=63764010&amp;VALUEID=02001&amp;SDATE=201002&amp;PERIODTYPE=QTR_STD&amp;SCFT=3&amp;window=popup_no_bar&amp;width=385&amp;height=120&amp;START_MAXIMIZED=FALSE&amp;creator=factset&amp;display_string=Audit"}</definedName>
    <definedName name="_2060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206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2063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4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2065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6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2067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8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206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7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2071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2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2073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4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2075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6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2077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8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207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__FDSAUDITLINK__" hidden="1">{"fdsup://Directions/FactSet Auditing Viewer?action=AUDIT_VALUE&amp;DB=129&amp;ID1=64118B10&amp;VALUEID=02001&amp;SDATE=201004&amp;PERIODTYPE=QTR_STD&amp;SCFT=3&amp;window=popup_no_bar&amp;width=385&amp;height=120&amp;START_MAXIMIZED=FALSE&amp;creator=factset&amp;display_string=Audit"}</definedName>
    <definedName name="_208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2081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2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2083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4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2085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6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2087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8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2089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090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2091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2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2093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4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2095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6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2097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8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2099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10__FDSAUDITLINK__" hidden="1">{"fdsup://Directions/FactSet Auditing Viewer?action=AUDIT_VALUE&amp;DB=129&amp;ID1=57772K10&amp;VALUEID=02001&amp;SDATE=201102&amp;PERIODTYPE=QTR_STD&amp;SCFT=3&amp;window=popup_no_bar&amp;width=385&amp;height=120&amp;START_MAXIMIZED=FALSE&amp;creator=factset&amp;display_string=Audit"}</definedName>
    <definedName name="_2100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2101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2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210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2105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6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2107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8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210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1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2111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2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211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2115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6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2117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8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2119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__FDSAUDITLINK__" hidden="1">{"fdsup://Directions/FactSet Auditing Viewer?action=AUDIT_VALUE&amp;DB=129&amp;ID1=59511210&amp;VALUEID=02001&amp;SDATE=201101&amp;PERIODTYPE=QTR_STD&amp;SCFT=3&amp;window=popup_no_bar&amp;width=385&amp;height=120&amp;START_MAXIMIZED=FALSE&amp;creator=factset&amp;display_string=Audit"}</definedName>
    <definedName name="_2120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2121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2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2123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4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2125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6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2127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8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212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3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2131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2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213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2135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6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213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2139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__FDSAUDITLINK__" hidden="1">{"fdsup://Directions/FactSet Auditing Viewer?action=AUDIT_VALUE&amp;DB=129&amp;ID1=59513710&amp;VALUEID=02001&amp;SDATE=201101&amp;PERIODTYPE=QTR_STD&amp;SCFT=3&amp;window=popup_no_bar&amp;width=385&amp;height=120&amp;START_MAXIMIZED=FALSE&amp;creator=factset&amp;display_string=Audit"}</definedName>
    <definedName name="_2140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2141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2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2143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4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2145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6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2147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8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2149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50__FDSAUDITLINK__" hidden="1">{"fdsup://Directions/FactSet Auditing Viewer?action=AUDIT_VALUE&amp;DB=129&amp;ID1=98975F10&amp;VALUEID=02001&amp;SDATE=200602&amp;PERIODTYPE=QTR_STD&amp;SCFT=3&amp;window=popup_no_bar&amp;width=385&amp;height=120&amp;START_MAXIMIZED=FALSE&amp;creator=factset&amp;display_string=Audit"}</definedName>
    <definedName name="_2151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2__FDSAUDITLINK__" hidden="1">{"fdsup://Directions/FactSet Auditing Viewer?action=AUDIT_VALUE&amp;DB=129&amp;ID1=98391910&amp;VALUEID=02001&amp;SDATE=200601&amp;PERIODTYPE=QTR_STD&amp;SCFT=3&amp;window=popup_no_bar&amp;width=385&amp;height=120&amp;START_MAXIMIZED=FALSE&amp;creator=factset&amp;display_string=Audit"}</definedName>
    <definedName name="_2153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4__FDSAUDITLINK__" hidden="1">{"fdsup://Directions/FactSet Auditing Viewer?action=AUDIT_VALUE&amp;DB=129&amp;ID1=92829810&amp;VALUEID=02001&amp;SDATE=200602&amp;PERIODTYPE=QTR_STD&amp;SCFT=3&amp;window=popup_no_bar&amp;width=385&amp;height=120&amp;START_MAXIMIZED=FALSE&amp;creator=factset&amp;display_string=Audit"}</definedName>
    <definedName name="_2155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6__FDSAUDITLINK__" hidden="1">{"fdsup://Directions/FactSet Auditing Viewer?action=AUDIT_VALUE&amp;DB=129&amp;ID1=88250810&amp;VALUEID=02001&amp;SDATE=200602&amp;PERIODTYPE=QTR_STD&amp;SCFT=3&amp;window=popup_no_bar&amp;width=385&amp;height=120&amp;START_MAXIMIZED=FALSE&amp;creator=factset&amp;display_string=Audit"}</definedName>
    <definedName name="_2157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8__FDSAUDITLINK__" hidden="1">{"fdsup://Directions/FactSet Auditing Viewer?action=AUDIT_VALUE&amp;DB=129&amp;ID1=89674K10&amp;VALUEID=02001&amp;SDATE=200602&amp;PERIODTYPE=QTR_STD&amp;SCFT=3&amp;window=popup_no_bar&amp;width=385&amp;height=120&amp;START_MAXIMIZED=FALSE&amp;creator=factset&amp;display_string=Audit"}</definedName>
    <definedName name="_2159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__FDSAUDITLINK__" hidden="1">{"fdsup://Directions/FactSet Auditing Viewer?action=AUDIT_VALUE&amp;DB=129&amp;ID1=G5876H10&amp;VALUEID=02001&amp;SDATE=201004&amp;PERIODTYPE=QTR_STD&amp;SCFT=3&amp;window=popup_no_bar&amp;width=385&amp;height=120&amp;START_MAXIMIZED=FALSE&amp;creator=factset&amp;display_string=Audit"}</definedName>
    <definedName name="_2160__FDSAUDITLINK__" hidden="1">{"fdsup://Directions/FactSet Auditing Viewer?action=AUDIT_VALUE&amp;DB=129&amp;ID1=83088M10&amp;VALUEID=02001&amp;SDATE=200603&amp;PERIODTYPE=QTR_STD&amp;SCFT=3&amp;window=popup_no_bar&amp;width=385&amp;height=120&amp;START_MAXIMIZED=FALSE&amp;creator=factset&amp;display_string=Audit"}</definedName>
    <definedName name="_2161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2__FDSAUDITLINK__" hidden="1">{"fdsup://Directions/FactSet Auditing Viewer?action=AUDIT_VALUE&amp;DB=129&amp;ID1=78477410&amp;VALUEID=02001&amp;SDATE=200602&amp;PERIODTYPE=QTR_STD&amp;SCFT=3&amp;window=popup_no_bar&amp;width=385&amp;height=120&amp;START_MAXIMIZED=FALSE&amp;creator=factset&amp;display_string=Audit"}</definedName>
    <definedName name="_2163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4__FDSAUDITLINK__" hidden="1">{"fdsup://Directions/FactSet Auditing Viewer?action=AUDIT_VALUE&amp;DB=129&amp;ID1=82705710&amp;VALUEID=02001&amp;SDATE=200602&amp;PERIODTYPE=QTR_STD&amp;SCFT=3&amp;window=popup_no_bar&amp;width=385&amp;height=120&amp;START_MAXIMIZED=FALSE&amp;creator=factset&amp;display_string=Audit"}</definedName>
    <definedName name="_2165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6__FDSAUDITLINK__" hidden="1">{"fdsup://Directions/FactSet Auditing Viewer?action=AUDIT_VALUE&amp;DB=129&amp;ID1=83547010&amp;VALUEID=02001&amp;SDATE=200602&amp;PERIODTYPE=QTR_STD&amp;SCFT=3&amp;window=popup_no_bar&amp;width=385&amp;height=120&amp;START_MAXIMIZED=FALSE&amp;creator=factset&amp;display_string=Audit"}</definedName>
    <definedName name="_2167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8__FDSAUDITLINK__" hidden="1">{"fdsup://Directions/FactSet Auditing Viewer?action=AUDIT_VALUE&amp;DB=129&amp;ID1=87160710&amp;VALUEID=02001&amp;SDATE=200603&amp;PERIODTYPE=QTR_STD&amp;SCFT=3&amp;window=popup_no_bar&amp;width=385&amp;height=120&amp;START_MAXIMIZED=FALSE&amp;creator=factset&amp;display_string=Audit"}</definedName>
    <definedName name="_2169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70__FDSAUDITLINK__" hidden="1">{"fdsup://Directions/FactSet Auditing Viewer?action=AUDIT_VALUE&amp;DB=129&amp;ID1=80004C10&amp;VALUEID=02001&amp;SDATE=200602&amp;PERIODTYPE=QTR_STD&amp;SCFT=3&amp;window=popup_no_bar&amp;width=385&amp;height=120&amp;START_MAXIMIZED=FALSE&amp;creator=factset&amp;display_string=Audit"}</definedName>
    <definedName name="_2171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2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2173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4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217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2177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8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2179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__FDSAUDITLINK__" hidden="1">{"fdsup://Directions/FactSet Auditing Viewer?action=AUDIT_VALUE&amp;DB=129&amp;ID1=62007630&amp;VALUEID=02001&amp;SDATE=201004&amp;PERIODTYPE=QTR_STD&amp;SCFT=3&amp;window=popup_no_bar&amp;width=385&amp;height=120&amp;START_MAXIMIZED=FALSE&amp;creator=factset&amp;display_string=Audit"}</definedName>
    <definedName name="_2180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2181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2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2183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4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2185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6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2187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8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2189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190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219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2193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4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2195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6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2197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8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2199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__FDSAUDITLINK__" hidden="1">{"fdsup://Directions/FactSet Auditing Viewer?action=AUDIT_VALUE&amp;DB=129&amp;ID1=G7945M10&amp;VALUEID=02001&amp;SDATE=201103&amp;PERIODTYPE=QTR_STD&amp;SCFT=3&amp;window=popup_no_bar&amp;width=385&amp;height=120&amp;START_MAXIMIZED=FALSE&amp;creator=factset&amp;display_string=Audit"}</definedName>
    <definedName name="_220__FDSAUDITLINK__" hidden="1">{"fdsup://Directions/FactSet Auditing Viewer?action=AUDIT_VALUE&amp;DB=129&amp;ID1=60456710&amp;VALUEID=02001&amp;SDATE=201102&amp;PERIODTYPE=QTR_STD&amp;SCFT=3&amp;window=popup_no_bar&amp;width=385&amp;height=120&amp;START_MAXIMIZED=FALSE&amp;creator=factset&amp;display_string=Audit"}</definedName>
    <definedName name="_2200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220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2203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4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2205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6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2207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8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220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1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2211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2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2213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4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22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2217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8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221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__FDSAUDITLINK__" hidden="1">{"fdsup://Directions/FactSet Auditing Viewer?action=AUDIT_VALUE&amp;DB=129&amp;ID1=59479310&amp;VALUEID=02001&amp;SDATE=201004&amp;PERIODTYPE=QTR_STD&amp;SCFT=3&amp;window=popup_no_bar&amp;width=385&amp;height=120&amp;START_MAXIMIZED=FALSE&amp;creator=factset&amp;display_string=Audit"}</definedName>
    <definedName name="_222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222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2223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4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2225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6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2227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8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2229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30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2231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2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2233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4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2235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6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2237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8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2239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__FDSAUDITLINK__" hidden="1">{"fdsup://Directions/FactSet Auditing Viewer?action=AUDIT_VALUE&amp;DB=129&amp;ID1=59501710&amp;VALUEID=02001&amp;SDATE=201003&amp;PERIODTYPE=QTR_STD&amp;SCFT=3&amp;window=popup_no_bar&amp;width=385&amp;height=120&amp;START_MAXIMIZED=FALSE&amp;creator=factset&amp;display_string=Audit"}</definedName>
    <definedName name="_2240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224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2243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4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2245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6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2247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8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224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5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2251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2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2253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4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2255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6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225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2259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__FDSAUDITLINK__" hidden="1">{"fdsup://Directions/FactSet Auditing Viewer?action=AUDIT_VALUE&amp;DB=129&amp;ID1=50216110&amp;VALUEID=02001&amp;SDATE=201004&amp;PERIODTYPE=QTR_STD&amp;SCFT=3&amp;window=popup_no_bar&amp;width=385&amp;height=120&amp;START_MAXIMIZED=FALSE&amp;creator=factset&amp;display_string=Audit"}</definedName>
    <definedName name="_2260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2261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2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226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2265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6__FDSAUDITLINK__" hidden="1">{"fdsup://Directions/FactSet Auditing Viewer?action=AUDIT_VALUE&amp;DB=129&amp;ID1=98975F10&amp;VALUEID=02001&amp;SDATE=200601&amp;PERIODTYPE=QTR_STD&amp;SCFT=3&amp;window=popup_no_bar&amp;width=385&amp;height=120&amp;START_MAXIMIZED=FALSE&amp;creator=factset&amp;display_string=Audit"}</definedName>
    <definedName name="_2267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8__FDSAUDITLINK__" hidden="1">{"fdsup://Directions/FactSet Auditing Viewer?action=AUDIT_VALUE&amp;DB=129&amp;ID1=95810210&amp;VALUEID=02001&amp;SDATE=200603&amp;PERIODTYPE=QTR_STD&amp;SCFT=3&amp;window=popup_no_bar&amp;width=385&amp;height=120&amp;START_MAXIMIZED=FALSE&amp;creator=factset&amp;display_string=Audit"}</definedName>
    <definedName name="_2269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70__FDSAUDITLINK__" hidden="1">{"fdsup://Directions/FactSet Auditing Viewer?action=AUDIT_VALUE&amp;DB=129&amp;ID1=92829810&amp;VALUEID=02001&amp;SDATE=200601&amp;PERIODTYPE=QTR_STD&amp;SCFT=3&amp;window=popup_no_bar&amp;width=385&amp;height=120&amp;START_MAXIMIZED=FALSE&amp;creator=factset&amp;display_string=Audit"}</definedName>
    <definedName name="_2271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2__FDSAUDITLINK__" hidden="1">{"fdsup://Directions/FactSet Auditing Viewer?action=AUDIT_VALUE&amp;DB=129&amp;ID1=88250810&amp;VALUEID=02001&amp;SDATE=200601&amp;PERIODTYPE=QTR_STD&amp;SCFT=3&amp;window=popup_no_bar&amp;width=385&amp;height=120&amp;START_MAXIMIZED=FALSE&amp;creator=factset&amp;display_string=Audit"}</definedName>
    <definedName name="_2273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4__FDSAUDITLINK__" hidden="1">{"fdsup://Directions/FactSet Auditing Viewer?action=AUDIT_VALUE&amp;DB=129&amp;ID1=89674K10&amp;VALUEID=02001&amp;SDATE=200601&amp;PERIODTYPE=QTR_STD&amp;SCFT=3&amp;window=popup_no_bar&amp;width=385&amp;height=120&amp;START_MAXIMIZED=FALSE&amp;creator=factset&amp;display_string=Audit"}</definedName>
    <definedName name="_2275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6__FDSAUDITLINK__" hidden="1">{"fdsup://Directions/FactSet Auditing Viewer?action=AUDIT_VALUE&amp;DB=129&amp;ID1=83088M10&amp;VALUEID=02001&amp;SDATE=200602&amp;PERIODTYPE=QTR_STD&amp;SCFT=3&amp;window=popup_no_bar&amp;width=385&amp;height=120&amp;START_MAXIMIZED=FALSE&amp;creator=factset&amp;display_string=Audit"}</definedName>
    <definedName name="_2277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8__FDSAUDITLINK__" hidden="1">{"fdsup://Directions/FactSet Auditing Viewer?action=AUDIT_VALUE&amp;DB=129&amp;ID1=G7945M10&amp;VALUEID=02001&amp;SDATE=200603&amp;PERIODTYPE=QTR_STD&amp;SCFT=3&amp;window=popup_no_bar&amp;width=385&amp;height=120&amp;START_MAXIMIZED=FALSE&amp;creator=factset&amp;display_string=Audit"}</definedName>
    <definedName name="_2279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__FDSAUDITLINK__" hidden="1">{"fdsup://Directions/FactSet Auditing Viewer?action=AUDIT_VALUE&amp;DB=129&amp;ID1=51841510&amp;VALUEID=02001&amp;SDATE=201004&amp;PERIODTYPE=QTR_STD&amp;SCFT=3&amp;window=popup_no_bar&amp;width=385&amp;height=120&amp;START_MAXIMIZED=FALSE&amp;creator=factset&amp;display_string=Audit"}</definedName>
    <definedName name="_2280__FDSAUDITLINK__" hidden="1">{"fdsup://Directions/FactSet Auditing Viewer?action=AUDIT_VALUE&amp;DB=129&amp;ID1=78477410&amp;VALUEID=02001&amp;SDATE=200601&amp;PERIODTYPE=QTR_STD&amp;SCFT=3&amp;window=popup_no_bar&amp;width=385&amp;height=120&amp;START_MAXIMIZED=FALSE&amp;creator=factset&amp;display_string=Audit"}</definedName>
    <definedName name="_2281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2__FDSAUDITLINK__" hidden="1">{"fdsup://Directions/FactSet Auditing Viewer?action=AUDIT_VALUE&amp;DB=129&amp;ID1=83547010&amp;VALUEID=02001&amp;SDATE=200601&amp;PERIODTYPE=QTR_STD&amp;SCFT=3&amp;window=popup_no_bar&amp;width=385&amp;height=120&amp;START_MAXIMIZED=FALSE&amp;creator=factset&amp;display_string=Audit"}</definedName>
    <definedName name="_2283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4__FDSAUDITLINK__" hidden="1">{"fdsup://Directions/FactSet Auditing Viewer?action=AUDIT_VALUE&amp;DB=129&amp;ID1=87160710&amp;VALUEID=02001&amp;SDATE=200602&amp;PERIODTYPE=QTR_STD&amp;SCFT=3&amp;window=popup_no_bar&amp;width=385&amp;height=120&amp;START_MAXIMIZED=FALSE&amp;creator=factset&amp;display_string=Audit"}</definedName>
    <definedName name="_2285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6__FDSAUDITLINK__" hidden="1">{"fdsup://Directions/FactSet Auditing Viewer?action=AUDIT_VALUE&amp;DB=129&amp;ID1=80004C10&amp;VALUEID=02001&amp;SDATE=200601&amp;PERIODTYPE=QTR_STD&amp;SCFT=3&amp;window=popup_no_bar&amp;width=385&amp;height=120&amp;START_MAXIMIZED=FALSE&amp;creator=factset&amp;display_string=Audit"}</definedName>
    <definedName name="_2287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8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2289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290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2291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2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229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2295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6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2297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8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2299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30__FDSAUDITLINK__" hidden="1">{"fdsup://Directions/FactSet Auditing Viewer?action=AUDIT_VALUE&amp;DB=129&amp;ID1=51280710&amp;VALUEID=02001&amp;SDATE=201102&amp;PERIODTYPE=QTR_STD&amp;SCFT=3&amp;window=popup_no_bar&amp;width=385&amp;height=120&amp;START_MAXIMIZED=FALSE&amp;creator=factset&amp;display_string=Audit"}</definedName>
    <definedName name="_2300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2301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2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230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2305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6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2307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8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2309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10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2311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2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231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2315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6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2317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8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231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__FDSAUDITLINK__" hidden="1">{"fdsup://Directions/FactSet Auditing Viewer?action=AUDIT_VALUE&amp;DB=129&amp;ID1=53567810&amp;VALUEID=02001&amp;SDATE=201102&amp;PERIODTYPE=QTR_STD&amp;SCFT=3&amp;window=popup_no_bar&amp;width=385&amp;height=120&amp;START_MAXIMIZED=FALSE&amp;creator=factset&amp;display_string=Audit"}</definedName>
    <definedName name="_232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2321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2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2323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4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232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2327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8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2329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30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2331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2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2333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4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233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2337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8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2339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__FDSAUDITLINK__" hidden="1">{"fdsup://Directions/FactSet Auditing Viewer?action=AUDIT_VALUE&amp;DB=129&amp;ID1=48248010&amp;VALUEID=02001&amp;SDATE=201102&amp;PERIODTYPE=QTR_STD&amp;SCFT=3&amp;window=popup_no_bar&amp;width=385&amp;height=120&amp;START_MAXIMIZED=FALSE&amp;creator=factset&amp;display_string=Audit"}</definedName>
    <definedName name="_2340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2341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2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234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2345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6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234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2349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50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2351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2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2353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4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2355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6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235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2359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__FDSAUDITLINK__" hidden="1">{"fdsup://Directions/FactSet Auditing Viewer?action=AUDIT_VALUE&amp;DB=129&amp;ID1=48836020&amp;VALUEID=02001&amp;SDATE=201003&amp;PERIODTYPE=QTR_STD&amp;SCFT=3&amp;window=popup_no_bar&amp;width=385&amp;height=120&amp;START_MAXIMIZED=FALSE&amp;creator=factset&amp;display_string=Audit"}</definedName>
    <definedName name="_2360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2361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2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2363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4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2365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6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2367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8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2369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70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2371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2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2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2375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6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2377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8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2379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__FDSAUDITLINK__" hidden="1">{"fdsup://Directions/FactSet Auditing Viewer?action=AUDIT_VALUE&amp;DB=129&amp;ID1=48203R10&amp;VALUEID=02001&amp;SDATE=201004&amp;PERIODTYPE=QTR_STD&amp;SCFT=3&amp;window=popup_no_bar&amp;width=385&amp;height=120&amp;START_MAXIMIZED=FALSE&amp;creator=factset&amp;display_string=Audit"}</definedName>
    <definedName name="_2380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238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2383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4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238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2387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8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2389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390__FDSAUDITLINK__" hidden="1">{"fdsup://Directions/FactSet Auditing Viewer?action=AUDIT_VALUE&amp;DB=129&amp;ID1=98391910&amp;VALUEID=02001&amp;SDATE=200503&amp;PERIODTYPE=QTR_STD&amp;SCFT=3&amp;window=popup_no_bar&amp;width=385&amp;height=120&amp;START_MAXIMIZED=FALSE&amp;creator=factset&amp;display_string=Audit"}</definedName>
    <definedName name="_2391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2__FDSAUDITLINK__" hidden="1">{"fdsup://Directions/FactSet Auditing Viewer?action=AUDIT_VALUE&amp;DB=129&amp;ID1=95810210&amp;VALUEID=02001&amp;SDATE=200602&amp;PERIODTYPE=QTR_STD&amp;SCFT=3&amp;window=popup_no_bar&amp;width=385&amp;height=120&amp;START_MAXIMIZED=FALSE&amp;creator=factset&amp;display_string=Audit"}</definedName>
    <definedName name="_2393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4__FDSAUDITLINK__" hidden="1">{"fdsup://Directions/FactSet Auditing Viewer?action=AUDIT_VALUE&amp;DB=129&amp;ID1=92849730&amp;VALUEID=02001&amp;SDATE=200601&amp;PERIODTYPE=QTR_STD&amp;SCFT=3&amp;window=popup_no_bar&amp;width=385&amp;height=120&amp;START_MAXIMIZED=FALSE&amp;creator=factset&amp;display_string=Audit"}</definedName>
    <definedName name="_2395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6__FDSAUDITLINK__" hidden="1">{"fdsup://Directions/FactSet Auditing Viewer?action=AUDIT_VALUE&amp;DB=129&amp;ID1=83088M10&amp;VALUEID=02001&amp;SDATE=200601&amp;PERIODTYPE=QTR_STD&amp;SCFT=3&amp;window=popup_no_bar&amp;width=385&amp;height=120&amp;START_MAXIMIZED=FALSE&amp;creator=factset&amp;display_string=Audit"}</definedName>
    <definedName name="_2397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8__FDSAUDITLINK__" hidden="1">{"fdsup://Directions/FactSet Auditing Viewer?action=AUDIT_VALUE&amp;DB=129&amp;ID1=G7945M10&amp;VALUEID=02001&amp;SDATE=200602&amp;PERIODTYPE=QTR_STD&amp;SCFT=3&amp;window=popup_no_bar&amp;width=385&amp;height=120&amp;START_MAXIMIZED=FALSE&amp;creator=factset&amp;display_string=Audit"}</definedName>
    <definedName name="_2399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__FDSAUDITLINK__" hidden="1">{"fdsup://Directions/FactSet Auditing Viewer?action=AUDIT_VALUE&amp;DB=129&amp;ID1=78477410&amp;VALUEID=02001&amp;SDATE=201101&amp;PERIODTYPE=QTR_STD&amp;SCFT=3&amp;window=popup_no_bar&amp;width=385&amp;height=120&amp;START_MAXIMIZED=FALSE&amp;creator=factset&amp;display_string=Audit"}</definedName>
    <definedName name="_240__FDSAUDITLINK__" hidden="1">{"fdsup://Directions/FactSet Auditing Viewer?action=AUDIT_VALUE&amp;DB=129&amp;ID1=46069S10&amp;VALUEID=02001&amp;SDATE=201004&amp;PERIODTYPE=QTR_STD&amp;SCFT=3&amp;window=popup_no_bar&amp;width=385&amp;height=120&amp;START_MAXIMIZED=FALSE&amp;creator=factset&amp;display_string=Audit"}</definedName>
    <definedName name="_2400__FDSAUDITLINK__" hidden="1">{"fdsup://Directions/FactSet Auditing Viewer?action=AUDIT_VALUE&amp;DB=129&amp;ID1=87160710&amp;VALUEID=02001&amp;SDATE=200601&amp;PERIODTYPE=QTR_STD&amp;SCFT=3&amp;window=popup_no_bar&amp;width=385&amp;height=120&amp;START_MAXIMIZED=FALSE&amp;creator=factset&amp;display_string=Audit"}</definedName>
    <definedName name="_2401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2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2403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4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2405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6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2407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8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240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1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2411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2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2413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4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2415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6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241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2419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__FDSAUDITLINK__" hidden="1">{"fdsup://Directions/FactSet Auditing Viewer?action=AUDIT_VALUE&amp;DB=129&amp;ID1=46025410&amp;VALUEID=02001&amp;SDATE=201102&amp;PERIODTYPE=QTR_STD&amp;SCFT=3&amp;window=popup_no_bar&amp;width=385&amp;height=120&amp;START_MAXIMIZED=FALSE&amp;creator=factset&amp;display_string=Audit"}</definedName>
    <definedName name="_2420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2421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2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242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2425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6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2427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8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2429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30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2431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2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2433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4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2435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6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2437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8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2439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__FDSAUDITLINK__" hidden="1">{"fdsup://Directions/FactSet Auditing Viewer?action=AUDIT_VALUE&amp;DB=129&amp;ID1=45772F10&amp;VALUEID=02001&amp;SDATE=201004&amp;PERIODTYPE=QTR_STD&amp;SCFT=3&amp;window=popup_no_bar&amp;width=385&amp;height=120&amp;START_MAXIMIZED=FALSE&amp;creator=factset&amp;display_string=Audit"}</definedName>
    <definedName name="_2440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2441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2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2443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4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2445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6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2447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8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2449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50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245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2453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4__FDSAUDITLINK__" hidden="1">{"fdsup://Directions/FactSet Auditing Viewer?action=AUDIT_VALUE&amp;DB=129&amp;ID1=98975F10&amp;VALUEID=02001&amp;SDATE=200503&amp;PERIODTYPE=QTR_STD&amp;SCFT=3&amp;window=popup_no_bar&amp;width=385&amp;height=120&amp;START_MAXIMIZED=FALSE&amp;creator=factset&amp;display_string=Audit"}</definedName>
    <definedName name="_2455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6__FDSAUDITLINK__" hidden="1">{"fdsup://Directions/FactSet Auditing Viewer?action=AUDIT_VALUE&amp;DB=129&amp;ID1=98391910&amp;VALUEID=02001&amp;SDATE=200502&amp;PERIODTYPE=QTR_STD&amp;SCFT=3&amp;window=popup_no_bar&amp;width=385&amp;height=120&amp;START_MAXIMIZED=FALSE&amp;creator=factset&amp;display_string=Audit"}</definedName>
    <definedName name="_2457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8__FDSAUDITLINK__" hidden="1">{"fdsup://Directions/FactSet Auditing Viewer?action=AUDIT_VALUE&amp;DB=129&amp;ID1=95810210&amp;VALUEID=02001&amp;SDATE=200601&amp;PERIODTYPE=QTR_STD&amp;SCFT=3&amp;window=popup_no_bar&amp;width=385&amp;height=120&amp;START_MAXIMIZED=FALSE&amp;creator=factset&amp;display_string=Audit"}</definedName>
    <definedName name="_2459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__FDSAUDITLINK__" hidden="1">{"fdsup://Directions/FactSet Auditing Viewer?action=AUDIT_VALUE&amp;DB=129&amp;ID1=45814010&amp;VALUEID=02001&amp;SDATE=201004&amp;PERIODTYPE=QTR_STD&amp;SCFT=3&amp;window=popup_no_bar&amp;width=385&amp;height=120&amp;START_MAXIMIZED=FALSE&amp;creator=factset&amp;display_string=Audit"}</definedName>
    <definedName name="_2460__FDSAUDITLINK__" hidden="1">{"fdsup://Directions/FactSet Auditing Viewer?action=AUDIT_VALUE&amp;DB=129&amp;ID1=88250810&amp;VALUEID=02001&amp;SDATE=200503&amp;PERIODTYPE=QTR_STD&amp;SCFT=3&amp;window=popup_no_bar&amp;width=385&amp;height=120&amp;START_MAXIMIZED=FALSE&amp;creator=factset&amp;display_string=Audit"}</definedName>
    <definedName name="_2461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2__FDSAUDITLINK__" hidden="1">{"fdsup://Directions/FactSet Auditing Viewer?action=AUDIT_VALUE&amp;DB=129&amp;ID1=G7945M10&amp;VALUEID=02001&amp;SDATE=200601&amp;PERIODTYPE=QTR_STD&amp;SCFT=3&amp;window=popup_no_bar&amp;width=385&amp;height=120&amp;START_MAXIMIZED=FALSE&amp;creator=factset&amp;display_string=Audit"}</definedName>
    <definedName name="_2463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4__FDSAUDITLINK__" hidden="1">{"fdsup://Directions/FactSet Auditing Viewer?action=AUDIT_VALUE&amp;DB=129&amp;ID1=78477410&amp;VALUEID=02001&amp;SDATE=200503&amp;PERIODTYPE=QTR_STD&amp;SCFT=3&amp;window=popup_no_bar&amp;width=385&amp;height=120&amp;START_MAXIMIZED=FALSE&amp;creator=factset&amp;display_string=Audit"}</definedName>
    <definedName name="_2465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6__FDSAUDITLINK__" hidden="1">{"fdsup://Directions/FactSet Auditing Viewer?action=AUDIT_VALUE&amp;DB=129&amp;ID1=83547010&amp;VALUEID=02001&amp;SDATE=200503&amp;PERIODTYPE=QTR_STD&amp;SCFT=3&amp;window=popup_no_bar&amp;width=385&amp;height=120&amp;START_MAXIMIZED=FALSE&amp;creator=factset&amp;display_string=Audit"}</definedName>
    <definedName name="_2467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8__FDSAUDITLINK__" hidden="1">{"fdsup://Directions/FactSet Auditing Viewer?action=AUDIT_VALUE&amp;DB=129&amp;ID1=80004C10&amp;VALUEID=02001&amp;SDATE=200503&amp;PERIODTYPE=QTR_STD&amp;SCFT=3&amp;window=popup_no_bar&amp;width=385&amp;height=120&amp;START_MAXIMIZED=FALSE&amp;creator=factset&amp;display_string=Audit"}</definedName>
    <definedName name="_2469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70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2471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2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2473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4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247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2477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8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2479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__FDSAUDITLINK__" hidden="1">{"fdsup://Directions/FactSet Auditing Viewer?action=AUDIT_VALUE&amp;DB=129&amp;ID1=45811810&amp;VALUEID=02001&amp;SDATE=201003&amp;PERIODTYPE=QTR_STD&amp;SCFT=3&amp;window=popup_no_bar&amp;width=385&amp;height=120&amp;START_MAXIMIZED=FALSE&amp;creator=factset&amp;display_string=Audit"}</definedName>
    <definedName name="_2480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2481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2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24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2485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6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2487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8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2489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490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2491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2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249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2495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6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2497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8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2499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50__FDSAUDITLINK__" hidden="1">{"fdsup://Directions/FactSet Auditing Viewer?action=AUDIT_VALUE&amp;DB=129&amp;ID1=42823610&amp;VALUEID=02001&amp;SDATE=201101&amp;PERIODTYPE=QTR_STD&amp;SCFT=3&amp;window=popup_no_bar&amp;width=385&amp;height=120&amp;START_MAXIMIZED=FALSE&amp;creator=factset&amp;display_string=Audit"}</definedName>
    <definedName name="_2500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2501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2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250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2505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6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2507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8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2509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10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2511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2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2513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4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2515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6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2517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8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2519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__FDSAUDITLINK__" hidden="1">{"fdsup://Directions/FactSet Auditing Viewer?action=AUDIT_VALUE&amp;DB=129&amp;ID1=H2906T10&amp;VALUEID=02001&amp;SDATE=201004&amp;PERIODTYPE=QTR_STD&amp;SCFT=3&amp;window=popup_no_bar&amp;width=385&amp;height=120&amp;START_MAXIMIZED=FALSE&amp;creator=factset&amp;display_string=Audit"}</definedName>
    <definedName name="_2520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252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2523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4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2525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6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2527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8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2529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30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2531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2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2533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4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2535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6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2537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8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2539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__FDSAUDITLINK__" hidden="1">{"fdsup://Directions/FactSet Auditing Viewer?action=AUDIT_VALUE&amp;DB=129&amp;ID1=34637510&amp;VALUEID=02001&amp;SDATE=201004&amp;PERIODTYPE=QTR_STD&amp;SCFT=3&amp;window=popup_no_bar&amp;width=385&amp;height=120&amp;START_MAXIMIZED=FALSE&amp;creator=factset&amp;display_string=Audit"}</definedName>
    <definedName name="_2540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2541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2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2543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4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2545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6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2547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8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2549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50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2551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2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2553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4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2555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6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2557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8__FDSAUDITLINK__" hidden="1">{"fdsup://Directions/FactSet Auditing Viewer?action=AUDIT_VALUE&amp;DB=129&amp;ID1=98975F10&amp;VALUEID=02001&amp;SDATE=200502&amp;PERIODTYPE=QTR_STD&amp;SCFT=3&amp;window=popup_no_bar&amp;width=385&amp;height=120&amp;START_MAXIMIZED=FALSE&amp;creator=factset&amp;display_string=Audit"}</definedName>
    <definedName name="_2559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__FDSAUDITLINK__" hidden="1">{"fdsup://Directions/FactSet Auditing Viewer?action=AUDIT_VALUE&amp;DB=129&amp;ID1=31561610&amp;VALUEID=02001&amp;SDATE=201101&amp;PERIODTYPE=QTR_STD&amp;SCFT=3&amp;window=popup_no_bar&amp;width=385&amp;height=120&amp;START_MAXIMIZED=FALSE&amp;creator=factset&amp;display_string=Audit"}</definedName>
    <definedName name="_2560__FDSAUDITLINK__" hidden="1">{"fdsup://Directions/FactSet Auditing Viewer?action=AUDIT_VALUE&amp;DB=129&amp;ID1=98391910&amp;VALUEID=02001&amp;SDATE=200501&amp;PERIODTYPE=QTR_STD&amp;SCFT=3&amp;window=popup_no_bar&amp;width=385&amp;height=120&amp;START_MAXIMIZED=FALSE&amp;creator=factset&amp;display_string=Audit"}</definedName>
    <definedName name="_2561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2__FDSAUDITLINK__" hidden="1">{"fdsup://Directions/FactSet Auditing Viewer?action=AUDIT_VALUE&amp;DB=129&amp;ID1=92849730&amp;VALUEID=02001&amp;SDATE=200503&amp;PERIODTYPE=QTR_STD&amp;SCFT=3&amp;window=popup_no_bar&amp;width=385&amp;height=120&amp;START_MAXIMIZED=FALSE&amp;creator=factset&amp;display_string=Audit"}</definedName>
    <definedName name="_2563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4__FDSAUDITLINK__" hidden="1">{"fdsup://Directions/FactSet Auditing Viewer?action=AUDIT_VALUE&amp;DB=129&amp;ID1=88250810&amp;VALUEID=02001&amp;SDATE=200502&amp;PERIODTYPE=QTR_STD&amp;SCFT=3&amp;window=popup_no_bar&amp;width=385&amp;height=120&amp;START_MAXIMIZED=FALSE&amp;creator=factset&amp;display_string=Audit"}</definedName>
    <definedName name="_2565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6__FDSAUDITLINK__" hidden="1">{"fdsup://Directions/FactSet Auditing Viewer?action=AUDIT_VALUE&amp;DB=129&amp;ID1=89674K10&amp;VALUEID=02001&amp;SDATE=200502&amp;PERIODTYPE=QTR_STD&amp;SCFT=3&amp;window=popup_no_bar&amp;width=385&amp;height=120&amp;START_MAXIMIZED=FALSE&amp;creator=factset&amp;display_string=Audit"}</definedName>
    <definedName name="_2567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8__FDSAUDITLINK__" hidden="1">{"fdsup://Directions/FactSet Auditing Viewer?action=AUDIT_VALUE&amp;DB=129&amp;ID1=83088M10&amp;VALUEID=02001&amp;SDATE=200503&amp;PERIODTYPE=QTR_STD&amp;SCFT=3&amp;window=popup_no_bar&amp;width=385&amp;height=120&amp;START_MAXIMIZED=FALSE&amp;creator=factset&amp;display_string=Audit"}</definedName>
    <definedName name="_2569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70__FDSAUDITLINK__" hidden="1">{"fdsup://Directions/FactSet Auditing Viewer?action=AUDIT_VALUE&amp;DB=129&amp;ID1=78477410&amp;VALUEID=02001&amp;SDATE=200502&amp;PERIODTYPE=QTR_STD&amp;SCFT=3&amp;window=popup_no_bar&amp;width=385&amp;height=120&amp;START_MAXIMIZED=FALSE&amp;creator=factset&amp;display_string=Audit"}</definedName>
    <definedName name="_2571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2__FDSAUDITLINK__" hidden="1">{"fdsup://Directions/FactSet Auditing Viewer?action=AUDIT_VALUE&amp;DB=129&amp;ID1=83547010&amp;VALUEID=02001&amp;SDATE=200502&amp;PERIODTYPE=QTR_STD&amp;SCFT=3&amp;window=popup_no_bar&amp;width=385&amp;height=120&amp;START_MAXIMIZED=FALSE&amp;creator=factset&amp;display_string=Audit"}</definedName>
    <definedName name="_2573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4__FDSAUDITLINK__" hidden="1">{"fdsup://Directions/FactSet Auditing Viewer?action=AUDIT_VALUE&amp;DB=129&amp;ID1=87160710&amp;VALUEID=02001&amp;SDATE=200503&amp;PERIODTYPE=QTR_STD&amp;SCFT=3&amp;window=popup_no_bar&amp;width=385&amp;height=120&amp;START_MAXIMIZED=FALSE&amp;creator=factset&amp;display_string=Audit"}</definedName>
    <definedName name="_2575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6__FDSAUDITLINK__" hidden="1">{"fdsup://Directions/FactSet Auditing Viewer?action=AUDIT_VALUE&amp;DB=129&amp;ID1=80004C10&amp;VALUEID=02001&amp;SDATE=200502&amp;PERIODTYPE=QTR_STD&amp;SCFT=3&amp;window=popup_no_bar&amp;width=385&amp;height=120&amp;START_MAXIMIZED=FALSE&amp;creator=factset&amp;display_string=Audit"}</definedName>
    <definedName name="_2577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8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2579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__FDSAUDITLINK__" hidden="1">{"fdsup://Directions/FactSet Auditing Viewer?action=AUDIT_VALUE&amp;DB=129&amp;ID1=29247520&amp;VALUEID=02001&amp;SDATE=201102&amp;PERIODTYPE=QTR_STD&amp;SCFT=3&amp;window=popup_no_bar&amp;width=385&amp;height=120&amp;START_MAXIMIZED=FALSE&amp;creator=factset&amp;display_string=Audit"}</definedName>
    <definedName name="_2580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258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2583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4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2585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6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2587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8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2589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590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2591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2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2593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4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2595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6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259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2599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__FDSAUDITLINK__" hidden="1">{"fdsup://Directions/FactSet Auditing Viewer?action=AUDIT_VALUE&amp;DB=129&amp;ID1=87160710&amp;VALUEID=02001&amp;SDATE=201102&amp;PERIODTYPE=QTR_STD&amp;SCFT=3&amp;window=popup_no_bar&amp;width=385&amp;height=120&amp;START_MAXIMIZED=FALSE&amp;creator=factset&amp;display_string=Audit"}</definedName>
    <definedName name="_260__FDSAUDITLINK__" hidden="1">{"fdsup://Directions/FactSet Auditing Viewer?action=AUDIT_VALUE&amp;DB=129&amp;ID1=25454310&amp;VALUEID=02001&amp;SDATE=201004&amp;PERIODTYPE=QTR_STD&amp;SCFT=3&amp;window=popup_no_bar&amp;width=385&amp;height=120&amp;START_MAXIMIZED=FALSE&amp;creator=factset&amp;display_string=Audit"}</definedName>
    <definedName name="_2600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2601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2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2603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4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2605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6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260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2609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10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2611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2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2613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4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2615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6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2617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8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2619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__FDSAUDITLINK__" hidden="1">{"fdsup://Directions/FactSet Auditing Viewer?action=AUDIT_VALUE&amp;DB=129&amp;ID1=24702R10&amp;VALUEID=02001&amp;SDATE=201004&amp;PERIODTYPE=QTR_STD&amp;SCFT=3&amp;window=popup_no_bar&amp;width=385&amp;height=120&amp;START_MAXIMIZED=FALSE&amp;creator=factset&amp;display_string=Audit"}</definedName>
    <definedName name="_2620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26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2623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4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2625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6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2627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8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2629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30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2631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2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2633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4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2635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6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2637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8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2639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__FDSAUDITLINK__" hidden="1">{"fdsup://Directions/FactSet Auditing Viewer?action=AUDIT_VALUE&amp;DB=129&amp;ID1=23257210&amp;VALUEID=02001&amp;SDATE=201004&amp;PERIODTYPE=QTR_STD&amp;SCFT=3&amp;window=popup_no_bar&amp;width=385&amp;height=120&amp;START_MAXIMIZED=FALSE&amp;creator=factset&amp;display_string=Audit"}</definedName>
    <definedName name="_2640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2641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2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264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2645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6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2647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8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264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5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265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2653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4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265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2657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8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2659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__FDSAUDITLINK__" hidden="1">{"fdsup://Directions/FactSet Auditing Viewer?action=AUDIT_VALUE&amp;DB=129&amp;ID1=23280610&amp;VALUEID=02001&amp;SDATE=201004&amp;PERIODTYPE=QTR_STD&amp;SCFT=3&amp;window=popup_no_bar&amp;width=385&amp;height=120&amp;START_MAXIMIZED=FALSE&amp;creator=factset&amp;display_string=Audit"}</definedName>
    <definedName name="_2660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2661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2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266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2665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6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2667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8__FDSAUDITLINK__" hidden="1">{"fdsup://Directions/FactSet Auditing Viewer?action=AUDIT_VALUE&amp;DB=129&amp;ID1=98975F10&amp;VALUEID=02001&amp;SDATE=200501&amp;PERIODTYPE=QTR_STD&amp;SCFT=3&amp;window=popup_no_bar&amp;width=385&amp;height=120&amp;START_MAXIMIZED=FALSE&amp;creator=factset&amp;display_string=Audit"}</definedName>
    <definedName name="_2669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70__FDSAUDITLINK__" hidden="1">{"fdsup://Directions/FactSet Auditing Viewer?action=AUDIT_VALUE&amp;DB=129&amp;ID1=95810210&amp;VALUEID=02001&amp;SDATE=200503&amp;PERIODTYPE=QTR_STD&amp;SCFT=3&amp;window=popup_no_bar&amp;width=385&amp;height=120&amp;START_MAXIMIZED=FALSE&amp;creator=factset&amp;display_string=Audit"}</definedName>
    <definedName name="_2671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2__FDSAUDITLINK__" hidden="1">{"fdsup://Directions/FactSet Auditing Viewer?action=AUDIT_VALUE&amp;DB=129&amp;ID1=88250810&amp;VALUEID=02001&amp;SDATE=200501&amp;PERIODTYPE=QTR_STD&amp;SCFT=3&amp;window=popup_no_bar&amp;width=385&amp;height=120&amp;START_MAXIMIZED=FALSE&amp;creator=factset&amp;display_string=Audit"}</definedName>
    <definedName name="_2673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4__FDSAUDITLINK__" hidden="1">{"fdsup://Directions/FactSet Auditing Viewer?action=AUDIT_VALUE&amp;DB=129&amp;ID1=89674K10&amp;VALUEID=02001&amp;SDATE=200501&amp;PERIODTYPE=QTR_STD&amp;SCFT=3&amp;window=popup_no_bar&amp;width=385&amp;height=120&amp;START_MAXIMIZED=FALSE&amp;creator=factset&amp;display_string=Audit"}</definedName>
    <definedName name="_2675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6__FDSAUDITLINK__" hidden="1">{"fdsup://Directions/FactSet Auditing Viewer?action=AUDIT_VALUE&amp;DB=129&amp;ID1=83088M10&amp;VALUEID=02001&amp;SDATE=200502&amp;PERIODTYPE=QTR_STD&amp;SCFT=3&amp;window=popup_no_bar&amp;width=385&amp;height=120&amp;START_MAXIMIZED=FALSE&amp;creator=factset&amp;display_string=Audit"}</definedName>
    <definedName name="_2677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8__FDSAUDITLINK__" hidden="1">{"fdsup://Directions/FactSet Auditing Viewer?action=AUDIT_VALUE&amp;DB=129&amp;ID1=G7945M10&amp;VALUEID=02001&amp;SDATE=200503&amp;PERIODTYPE=QTR_STD&amp;SCFT=3&amp;window=popup_no_bar&amp;width=385&amp;height=120&amp;START_MAXIMIZED=FALSE&amp;creator=factset&amp;display_string=Audit"}</definedName>
    <definedName name="_2679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__FDSAUDITLINK__" hidden="1">{"fdsup://Directions/FactSet Auditing Viewer?action=AUDIT_VALUE&amp;DB=129&amp;ID1=17275R10&amp;VALUEID=02001&amp;SDATE=201102&amp;PERIODTYPE=QTR_STD&amp;SCFT=3&amp;window=popup_no_bar&amp;width=385&amp;height=120&amp;START_MAXIMIZED=FALSE&amp;creator=factset&amp;display_string=Audit"}</definedName>
    <definedName name="_2680__FDSAUDITLINK__" hidden="1">{"fdsup://Directions/FactSet Auditing Viewer?action=AUDIT_VALUE&amp;DB=129&amp;ID1=78477410&amp;VALUEID=02001&amp;SDATE=200501&amp;PERIODTYPE=QTR_STD&amp;SCFT=3&amp;window=popup_no_bar&amp;width=385&amp;height=120&amp;START_MAXIMIZED=FALSE&amp;creator=factset&amp;display_string=Audit"}</definedName>
    <definedName name="_2681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2__FDSAUDITLINK__" hidden="1">{"fdsup://Directions/FactSet Auditing Viewer?action=AUDIT_VALUE&amp;DB=129&amp;ID1=83547010&amp;VALUEID=02001&amp;SDATE=200501&amp;PERIODTYPE=QTR_STD&amp;SCFT=3&amp;window=popup_no_bar&amp;width=385&amp;height=120&amp;START_MAXIMIZED=FALSE&amp;creator=factset&amp;display_string=Audit"}</definedName>
    <definedName name="_2683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4__FDSAUDITLINK__" hidden="1">{"fdsup://Directions/FactSet Auditing Viewer?action=AUDIT_VALUE&amp;DB=129&amp;ID1=87160710&amp;VALUEID=02001&amp;SDATE=200502&amp;PERIODTYPE=QTR_STD&amp;SCFT=3&amp;window=popup_no_bar&amp;width=385&amp;height=120&amp;START_MAXIMIZED=FALSE&amp;creator=factset&amp;display_string=Audit"}</definedName>
    <definedName name="_2685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6__FDSAUDITLINK__" hidden="1">{"fdsup://Directions/FactSet Auditing Viewer?action=AUDIT_VALUE&amp;DB=129&amp;ID1=80004C10&amp;VALUEID=02001&amp;SDATE=200501&amp;PERIODTYPE=QTR_STD&amp;SCFT=3&amp;window=popup_no_bar&amp;width=385&amp;height=120&amp;START_MAXIMIZED=FALSE&amp;creator=factset&amp;display_string=Audit"}</definedName>
    <definedName name="_2687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8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2689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690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2691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2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2693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4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269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2697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8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2699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70__FDSAUDITLINK__" hidden="1">{"fdsup://Directions/FactSet Auditing Viewer?action=AUDIT_VALUE&amp;DB=129&amp;ID1=22544710&amp;VALUEID=02001&amp;SDATE=201102&amp;PERIODTYPE=QTR_STD&amp;SCFT=3&amp;window=popup_no_bar&amp;width=385&amp;height=120&amp;START_MAXIMIZED=FALSE&amp;creator=factset&amp;display_string=Audit"}</definedName>
    <definedName name="_2700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2701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2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2703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4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2705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6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270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2709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10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2711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2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271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2715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6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2717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8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2719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__FDSAUDITLINK__" hidden="1">{"fdsup://Directions/FactSet Auditing Viewer?action=AUDIT_VALUE&amp;DB=129&amp;ID1=20714230&amp;VALUEID=02001&amp;SDATE=201101&amp;PERIODTYPE=QTR_STD&amp;SCFT=3&amp;window=popup_no_bar&amp;width=385&amp;height=120&amp;START_MAXIMIZED=FALSE&amp;creator=factset&amp;display_string=Audit"}</definedName>
    <definedName name="_2720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2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2723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4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2725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6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2727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8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2729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30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2731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2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273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2735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6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273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2739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__FDSAUDITLINK__" hidden="1">{"fdsup://Directions/FactSet Auditing Viewer?action=AUDIT_VALUE&amp;DB=129&amp;ID1=12738710&amp;VALUEID=02001&amp;SDATE=201004&amp;PERIODTYPE=QTR_STD&amp;SCFT=3&amp;window=popup_no_bar&amp;width=385&amp;height=120&amp;START_MAXIMIZED=FALSE&amp;creator=factset&amp;display_string=Audit"}</definedName>
    <definedName name="_2740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2741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2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2743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4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2745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6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2747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8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2749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50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275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2753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4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2755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6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2757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8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2759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__FDSAUDITLINK__" hidden="1">{"fdsup://Directions/FactSet Auditing Viewer?action=AUDIT_VALUE&amp;DB=129&amp;ID1=14964U10&amp;VALUEID=02001&amp;SDATE=201004&amp;PERIODTYPE=QTR_STD&amp;SCFT=3&amp;window=popup_no_bar&amp;width=385&amp;height=120&amp;START_MAXIMIZED=FALSE&amp;creator=factset&amp;display_string=Audit"}</definedName>
    <definedName name="_2760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276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276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2765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6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2767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8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2769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70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2771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2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2773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4__FDSAUDITLINK__" hidden="1">{"fdsup://Directions/FactSet Auditing Viewer?action=AUDIT_VALUE&amp;DB=129&amp;ID1=95810210&amp;VALUEID=02001&amp;SDATE=200502&amp;PERIODTYPE=QTR_STD&amp;SCFT=3&amp;window=popup_no_bar&amp;width=385&amp;height=120&amp;START_MAXIMIZED=FALSE&amp;creator=factset&amp;display_string=Audit"}</definedName>
    <definedName name="_2775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6__FDSAUDITLINK__" hidden="1">{"fdsup://Directions/FactSet Auditing Viewer?action=AUDIT_VALUE&amp;DB=129&amp;ID1=92849730&amp;VALUEID=02001&amp;SDATE=200501&amp;PERIODTYPE=QTR_STD&amp;SCFT=3&amp;window=popup_no_bar&amp;width=385&amp;height=120&amp;START_MAXIMIZED=FALSE&amp;creator=factset&amp;display_string=Audit"}</definedName>
    <definedName name="_2777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8__FDSAUDITLINK__" hidden="1">{"fdsup://Directions/FactSet Auditing Viewer?action=AUDIT_VALUE&amp;DB=129&amp;ID1=83088M10&amp;VALUEID=02001&amp;SDATE=200501&amp;PERIODTYPE=QTR_STD&amp;SCFT=3&amp;window=popup_no_bar&amp;width=385&amp;height=120&amp;START_MAXIMIZED=FALSE&amp;creator=factset&amp;display_string=Audit"}</definedName>
    <definedName name="_2779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__FDSAUDITLINK__" hidden="1">{"fdsup://Directions/FactSet Auditing Viewer?action=AUDIT_VALUE&amp;DB=129&amp;ID1=11162130&amp;VALUEID=02001&amp;SDATE=201101&amp;PERIODTYPE=QTR_STD&amp;SCFT=3&amp;window=popup_no_bar&amp;width=385&amp;height=120&amp;START_MAXIMIZED=FALSE&amp;creator=factset&amp;display_string=Audit"}</definedName>
    <definedName name="_2780__FDSAUDITLINK__" hidden="1">{"fdsup://Directions/FactSet Auditing Viewer?action=AUDIT_VALUE&amp;DB=129&amp;ID1=G7945M10&amp;VALUEID=02001&amp;SDATE=200502&amp;PERIODTYPE=QTR_STD&amp;SCFT=3&amp;window=popup_no_bar&amp;width=385&amp;height=120&amp;START_MAXIMIZED=FALSE&amp;creator=factset&amp;display_string=Audit"}</definedName>
    <definedName name="_2781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2__FDSAUDITLINK__" hidden="1">{"fdsup://Directions/FactSet Auditing Viewer?action=AUDIT_VALUE&amp;DB=129&amp;ID1=87160710&amp;VALUEID=02001&amp;SDATE=200501&amp;PERIODTYPE=QTR_STD&amp;SCFT=3&amp;window=popup_no_bar&amp;width=385&amp;height=120&amp;START_MAXIMIZED=FALSE&amp;creator=factset&amp;display_string=Audit"}</definedName>
    <definedName name="_2783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4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2785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6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278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2789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790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2791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2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2793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4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2795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6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2797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8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2799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__FDSAUDITLINK__" hidden="1">{"fdsup://Directions/FactSet Auditing Viewer?action=AUDIT_VALUE&amp;DB=129&amp;ID1=80004C10&amp;VALUEID=02001&amp;SDATE=201101&amp;PERIODTYPE=QTR_STD&amp;SCFT=3&amp;window=popup_no_bar&amp;width=385&amp;height=120&amp;START_MAXIMIZED=FALSE&amp;creator=factset&amp;display_string=Audit"}</definedName>
    <definedName name="_280__FDSAUDITLINK__" hidden="1">{"fdsup://Directions/FactSet Auditing Viewer?action=AUDIT_VALUE&amp;DB=129&amp;ID1=Y0486S10&amp;VALUEID=02001&amp;SDATE=201101&amp;PERIODTYPE=QTR_STD&amp;SCFT=3&amp;window=popup_no_bar&amp;width=385&amp;height=120&amp;START_MAXIMIZED=FALSE&amp;creator=factset&amp;display_string=Audit"}</definedName>
    <definedName name="_2800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2801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2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280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2805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6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2807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8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280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1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2811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2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2813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4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2815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6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2817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8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2819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__FDSAUDITLINK__" hidden="1">{"fdsup://Directions/FactSet Auditing Viewer?action=AUDIT_VALUE&amp;DB=129&amp;ID1=04743P10&amp;VALUEID=02001&amp;SDATE=201004&amp;PERIODTYPE=QTR_STD&amp;SCFT=3&amp;window=popup_no_bar&amp;width=385&amp;height=120&amp;START_MAXIMIZED=FALSE&amp;creator=factset&amp;display_string=Audit"}</definedName>
    <definedName name="_2820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282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2823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4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2825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6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28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2829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30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2831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2__FDSAUDITLINK__" hidden="1">{"fdsup://Directions/FactSet Auditing Viewer?action=AUDIT_VALUE&amp;DB=129&amp;ID1=98975F10&amp;VALUEID=02001&amp;SDATE=200403&amp;PERIODTYPE=QTR_STD&amp;SCFT=3&amp;window=popup_no_bar&amp;width=385&amp;height=120&amp;START_MAXIMIZED=FALSE&amp;creator=factset&amp;display_string=Audit"}</definedName>
    <definedName name="_2833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4__FDSAUDITLINK__" hidden="1">{"fdsup://Directions/FactSet Auditing Viewer?action=AUDIT_VALUE&amp;DB=129&amp;ID1=98391910&amp;VALUEID=02001&amp;SDATE=200402&amp;PERIODTYPE=QTR_STD&amp;SCFT=3&amp;window=popup_no_bar&amp;width=385&amp;height=120&amp;START_MAXIMIZED=FALSE&amp;creator=factset&amp;display_string=Audit"}</definedName>
    <definedName name="_2835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6__FDSAUDITLINK__" hidden="1">{"fdsup://Directions/FactSet Auditing Viewer?action=AUDIT_VALUE&amp;DB=129&amp;ID1=95810210&amp;VALUEID=02001&amp;SDATE=200501&amp;PERIODTYPE=QTR_STD&amp;SCFT=3&amp;window=popup_no_bar&amp;width=385&amp;height=120&amp;START_MAXIMIZED=FALSE&amp;creator=factset&amp;display_string=Audit"}</definedName>
    <definedName name="_2837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8__FDSAUDITLINK__" hidden="1">{"fdsup://Directions/FactSet Auditing Viewer?action=AUDIT_VALUE&amp;DB=129&amp;ID1=88250810&amp;VALUEID=02001&amp;SDATE=200403&amp;PERIODTYPE=QTR_STD&amp;SCFT=3&amp;window=popup_no_bar&amp;width=385&amp;height=120&amp;START_MAXIMIZED=FALSE&amp;creator=factset&amp;display_string=Audit"}</definedName>
    <definedName name="_2839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__FDSAUDITLINK__" hidden="1">{"fdsup://Directions/FactSet Auditing Viewer?action=AUDIT_VALUE&amp;DB=129&amp;ID1=03251510&amp;VALUEID=02001&amp;SDATE=201004&amp;PERIODTYPE=QTR_STD&amp;SCFT=3&amp;window=popup_no_bar&amp;width=385&amp;height=120&amp;START_MAXIMIZED=FALSE&amp;creator=factset&amp;display_string=Audit"}</definedName>
    <definedName name="_2840__FDSAUDITLINK__" hidden="1">{"fdsup://Directions/FactSet Auditing Viewer?action=AUDIT_VALUE&amp;DB=129&amp;ID1=89674K10&amp;VALUEID=02001&amp;SDATE=200403&amp;PERIODTYPE=QTR_STD&amp;SCFT=3&amp;window=popup_no_bar&amp;width=385&amp;height=120&amp;START_MAXIMIZED=FALSE&amp;creator=factset&amp;display_string=Audit"}</definedName>
    <definedName name="_2841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2__FDSAUDITLINK__" hidden="1">{"fdsup://Directions/FactSet Auditing Viewer?action=AUDIT_VALUE&amp;DB=129&amp;ID1=G7945M10&amp;VALUEID=02001&amp;SDATE=200501&amp;PERIODTYPE=QTR_STD&amp;SCFT=3&amp;window=popup_no_bar&amp;width=385&amp;height=120&amp;START_MAXIMIZED=FALSE&amp;creator=factset&amp;display_string=Audit"}</definedName>
    <definedName name="_2843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4__FDSAUDITLINK__" hidden="1">{"fdsup://Directions/FactSet Auditing Viewer?action=AUDIT_VALUE&amp;DB=129&amp;ID1=78477410&amp;VALUEID=02001&amp;SDATE=200403&amp;PERIODTYPE=QTR_STD&amp;SCFT=3&amp;window=popup_no_bar&amp;width=385&amp;height=120&amp;START_MAXIMIZED=FALSE&amp;creator=factset&amp;display_string=Audit"}</definedName>
    <definedName name="_2845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6__FDSAUDITLINK__" hidden="1">{"fdsup://Directions/FactSet Auditing Viewer?action=AUDIT_VALUE&amp;DB=129&amp;ID1=83547010&amp;VALUEID=02001&amp;SDATE=200403&amp;PERIODTYPE=QTR_STD&amp;SCFT=3&amp;window=popup_no_bar&amp;width=385&amp;height=120&amp;START_MAXIMIZED=FALSE&amp;creator=factset&amp;display_string=Audit"}</definedName>
    <definedName name="_2847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8__FDSAUDITLINK__" hidden="1">{"fdsup://Directions/FactSet Auditing Viewer?action=AUDIT_VALUE&amp;DB=129&amp;ID1=80004C10&amp;VALUEID=02001&amp;SDATE=200403&amp;PERIODTYPE=QTR_STD&amp;SCFT=3&amp;window=popup_no_bar&amp;width=385&amp;height=120&amp;START_MAXIMIZED=FALSE&amp;creator=factset&amp;display_string=Audit"}</definedName>
    <definedName name="_2849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50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2851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2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2853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4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2855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6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285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2859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__FDSAUDITLINK__" hidden="1">{"fdsup://Directions/FactSet Auditing Viewer?action=AUDIT_VALUE&amp;DB=129&amp;ID1=00790310&amp;VALUEID=02001&amp;SDATE=201004&amp;PERIODTYPE=QTR_STD&amp;SCFT=3&amp;window=popup_no_bar&amp;width=385&amp;height=120&amp;START_MAXIMIZED=FALSE&amp;creator=factset&amp;display_string=Audit"}</definedName>
    <definedName name="_2860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2861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2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2863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4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286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2867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8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2869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70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2871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2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2873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4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2875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6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2877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8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2879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__FDSAUDITLINK__" hidden="1">{"fdsup://Directions/FactSet Auditing Viewer?action=AUDIT_VALUE&amp;DB=129&amp;ID1=03822W40&amp;VALUEID=02001&amp;SDATE=201003&amp;PERIODTYPE=QTR_STD&amp;SCFT=3&amp;window=popup_no_bar&amp;width=385&amp;height=120&amp;START_MAXIMIZED=FALSE&amp;creator=factset&amp;display_string=Audit"}</definedName>
    <definedName name="_2880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2881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2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2883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4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288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288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2889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890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2891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2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289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2895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6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2897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8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2899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290__FDSAUDITLINK__" hidden="1">{"fdsup://Directions/FactSet Auditing Viewer?action=AUDIT_VALUE&amp;DB=129&amp;ID1=03822210&amp;VALUEID=02001&amp;SDATE=201101&amp;PERIODTYPE=QTR_STD&amp;SCFT=3&amp;window=popup_no_bar&amp;width=385&amp;height=120&amp;START_MAXIMIZED=FALSE&amp;creator=factset&amp;display_string=Audit"}</definedName>
    <definedName name="_2900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2901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2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2903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4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2905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6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2907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8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2909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10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291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291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2915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6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2917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8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2919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__FDSAUDITLINK__" hidden="1">{"fdsup://Directions/FactSet Auditing Viewer?action=AUDIT_VALUE&amp;DB=129&amp;ID1=02144110&amp;VALUEID=02001&amp;SDATE=201004&amp;PERIODTYPE=QTR_STD&amp;SCFT=3&amp;window=popup_no_bar&amp;width=385&amp;height=120&amp;START_MAXIMIZED=FALSE&amp;creator=factset&amp;display_string=Audit"}</definedName>
    <definedName name="_2920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292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2923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4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2925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6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2927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8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292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3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2931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2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293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2935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6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2937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8__FDSAUDITLINK__" hidden="1">{"fdsup://Directions/FactSet Auditing Viewer?action=AUDIT_VALUE&amp;DB=129&amp;ID1=98975F10&amp;VALUEID=02001&amp;SDATE=200402&amp;PERIODTYPE=QTR_STD&amp;SCFT=3&amp;window=popup_no_bar&amp;width=385&amp;height=120&amp;START_MAXIMIZED=FALSE&amp;creator=factset&amp;display_string=Audit"}</definedName>
    <definedName name="_2939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__FDSAUDITLINK__" hidden="1">{"fdsup://Directions/FactSet Auditing Viewer?action=AUDIT_VALUE&amp;DB=129&amp;ID1=03265410&amp;VALUEID=02001&amp;SDATE=201101&amp;PERIODTYPE=QTR_STD&amp;SCFT=3&amp;window=popup_no_bar&amp;width=385&amp;height=120&amp;START_MAXIMIZED=FALSE&amp;creator=factset&amp;display_string=Audit"}</definedName>
    <definedName name="_2940__FDSAUDITLINK__" hidden="1">{"fdsup://Directions/FactSet Auditing Viewer?action=AUDIT_VALUE&amp;DB=129&amp;ID1=98391910&amp;VALUEID=02001&amp;SDATE=200401&amp;PERIODTYPE=QTR_STD&amp;SCFT=3&amp;window=popup_no_bar&amp;width=385&amp;height=120&amp;START_MAXIMIZED=FALSE&amp;creator=factset&amp;display_string=Audit"}</definedName>
    <definedName name="_2941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2__FDSAUDITLINK__" hidden="1">{"fdsup://Directions/FactSet Auditing Viewer?action=AUDIT_VALUE&amp;DB=129&amp;ID1=92849730&amp;VALUEID=02001&amp;SDATE=200403&amp;PERIODTYPE=QTR_STD&amp;SCFT=3&amp;window=popup_no_bar&amp;width=385&amp;height=120&amp;START_MAXIMIZED=FALSE&amp;creator=factset&amp;display_string=Audit"}</definedName>
    <definedName name="_2943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4__FDSAUDITLINK__" hidden="1">{"fdsup://Directions/FactSet Auditing Viewer?action=AUDIT_VALUE&amp;DB=129&amp;ID1=88250810&amp;VALUEID=02001&amp;SDATE=200402&amp;PERIODTYPE=QTR_STD&amp;SCFT=3&amp;window=popup_no_bar&amp;width=385&amp;height=120&amp;START_MAXIMIZED=FALSE&amp;creator=factset&amp;display_string=Audit"}</definedName>
    <definedName name="_2945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6__FDSAUDITLINK__" hidden="1">{"fdsup://Directions/FactSet Auditing Viewer?action=AUDIT_VALUE&amp;DB=129&amp;ID1=89674K10&amp;VALUEID=02001&amp;SDATE=200402&amp;PERIODTYPE=QTR_STD&amp;SCFT=3&amp;window=popup_no_bar&amp;width=385&amp;height=120&amp;START_MAXIMIZED=FALSE&amp;creator=factset&amp;display_string=Audit"}</definedName>
    <definedName name="_2947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8__FDSAUDITLINK__" hidden="1">{"fdsup://Directions/FactSet Auditing Viewer?action=AUDIT_VALUE&amp;DB=129&amp;ID1=83088M10&amp;VALUEID=02001&amp;SDATE=200403&amp;PERIODTYPE=QTR_STD&amp;SCFT=3&amp;window=popup_no_bar&amp;width=385&amp;height=120&amp;START_MAXIMIZED=FALSE&amp;creator=factset&amp;display_string=Audit"}</definedName>
    <definedName name="_2949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50__FDSAUDITLINK__" hidden="1">{"fdsup://Directions/FactSet Auditing Viewer?action=AUDIT_VALUE&amp;DB=129&amp;ID1=78477410&amp;VALUEID=02001&amp;SDATE=200402&amp;PERIODTYPE=QTR_STD&amp;SCFT=3&amp;window=popup_no_bar&amp;width=385&amp;height=120&amp;START_MAXIMIZED=FALSE&amp;creator=factset&amp;display_string=Audit"}</definedName>
    <definedName name="_2951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2__FDSAUDITLINK__" hidden="1">{"fdsup://Directions/FactSet Auditing Viewer?action=AUDIT_VALUE&amp;DB=129&amp;ID1=83547010&amp;VALUEID=02001&amp;SDATE=200402&amp;PERIODTYPE=QTR_STD&amp;SCFT=3&amp;window=popup_no_bar&amp;width=385&amp;height=120&amp;START_MAXIMIZED=FALSE&amp;creator=factset&amp;display_string=Audit"}</definedName>
    <definedName name="_2953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4__FDSAUDITLINK__" hidden="1">{"fdsup://Directions/FactSet Auditing Viewer?action=AUDIT_VALUE&amp;DB=129&amp;ID1=87160710&amp;VALUEID=02001&amp;SDATE=200403&amp;PERIODTYPE=QTR_STD&amp;SCFT=3&amp;window=popup_no_bar&amp;width=385&amp;height=120&amp;START_MAXIMIZED=FALSE&amp;creator=factset&amp;display_string=Audit"}</definedName>
    <definedName name="_2955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6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2957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8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2959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__FDSAUDITLINK__" hidden="1">{"fdsup://Directions/FactSet Auditing Viewer?action=AUDIT_VALUE&amp;DB=129&amp;ID1=00752J10&amp;VALUEID=02001&amp;SDATE=201004&amp;PERIODTYPE=QTR_STD&amp;SCFT=3&amp;window=popup_no_bar&amp;width=385&amp;height=120&amp;START_MAXIMIZED=FALSE&amp;creator=factset&amp;display_string=Audit"}</definedName>
    <definedName name="_2960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2961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2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29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2965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6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2967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8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296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7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2971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2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2973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4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2975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6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2977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8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2979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__FDSAUDITLINK__" hidden="1">{"fdsup://Directions/FactSet Auditing Viewer?action=AUDIT_VALUE&amp;DB=129&amp;ID1=98975F10&amp;VALUEID=02001&amp;SDATE=201003&amp;PERIODTYPE=QTR_STD&amp;SCFT=3&amp;window=popup_no_bar&amp;width=385&amp;height=120&amp;START_MAXIMIZED=FALSE&amp;creator=factset&amp;display_string=Audit"}</definedName>
    <definedName name="_2980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2981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2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2983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4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2985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6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2987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8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298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299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2991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2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2993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4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2995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6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299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2999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__FDSAUDITLINK__" hidden="1">{"fdsup://Directions/FactSet Auditing Viewer?action=AUDIT_VALUE&amp;DB=129&amp;ID1=67066G10&amp;VALUEID=02001&amp;SDATE=201102&amp;PERIODTYPE=QTR_STD&amp;SCFT=3&amp;window=popup_no_bar&amp;width=385&amp;height=120&amp;START_MAXIMIZED=FALSE&amp;creator=factset&amp;display_string=Audit"}</definedName>
    <definedName name="_30__FDSAUDITLINK__" hidden="1">{"fdsup://Directions/FactSet Auditing Viewer?action=AUDIT_VALUE&amp;DB=129&amp;ID1=81685010&amp;VALUEID=02001&amp;SDATE=201101&amp;PERIODTYPE=QTR_STD&amp;SCFT=3&amp;window=popup_no_bar&amp;width=385&amp;height=120&amp;START_MAXIMIZED=FALSE&amp;creator=factset&amp;display_string=Audit"}</definedName>
    <definedName name="_300__FDSAUDITLINK__" hidden="1">{"fdsup://Directions/FactSet Auditing Viewer?action=AUDIT_VALUE&amp;DB=129&amp;ID1=98391910&amp;VALUEID=02001&amp;SDATE=201002&amp;PERIODTYPE=QTR_STD&amp;SCFT=3&amp;window=popup_no_bar&amp;width=385&amp;height=120&amp;START_MAXIMIZED=FALSE&amp;creator=factset&amp;display_string=Audit"}</definedName>
    <definedName name="_3000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001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2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003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4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005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6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007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8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3009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10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3011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2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3013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4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301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3017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8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3019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__FDSAUDITLINK__" hidden="1">{"fdsup://Directions/FactSet Auditing Viewer?action=AUDIT_VALUE&amp;DB=129&amp;ID1=95810210&amp;VALUEID=02001&amp;SDATE=201101&amp;PERIODTYPE=QTR_STD&amp;SCFT=3&amp;window=popup_no_bar&amp;width=385&amp;height=120&amp;START_MAXIMIZED=FALSE&amp;creator=factset&amp;display_string=Audit"}</definedName>
    <definedName name="_3020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3021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2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3023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4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3025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6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302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3029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30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3031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2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3033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4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3035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6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3037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8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303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__FDSAUDITLINK__" hidden="1">{"fdsup://Directions/FactSet Auditing Viewer?action=AUDIT_VALUE&amp;DB=129&amp;ID1=92849730&amp;VALUEID=02001&amp;SDATE=201004&amp;PERIODTYPE=QTR_STD&amp;SCFT=3&amp;window=popup_no_bar&amp;width=385&amp;height=120&amp;START_MAXIMIZED=FALSE&amp;creator=factset&amp;display_string=Audit"}</definedName>
    <definedName name="_304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3041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2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3043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4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3045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6__FDSAUDITLINK__" hidden="1">{"fdsup://Directions/FactSet Auditing Viewer?action=AUDIT_VALUE&amp;DB=129&amp;ID1=98975F10&amp;VALUEID=02001&amp;SDATE=200401&amp;PERIODTYPE=QTR_STD&amp;SCFT=3&amp;window=popup_no_bar&amp;width=385&amp;height=120&amp;START_MAXIMIZED=FALSE&amp;creator=factset&amp;display_string=Audit"}</definedName>
    <definedName name="_3047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8__FDSAUDITLINK__" hidden="1">{"fdsup://Directions/FactSet Auditing Viewer?action=AUDIT_VALUE&amp;DB=129&amp;ID1=95810210&amp;VALUEID=02001&amp;SDATE=200403&amp;PERIODTYPE=QTR_STD&amp;SCFT=3&amp;window=popup_no_bar&amp;width=385&amp;height=120&amp;START_MAXIMIZED=FALSE&amp;creator=factset&amp;display_string=Audit"}</definedName>
    <definedName name="_3049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50__FDSAUDITLINK__" hidden="1">{"fdsup://Directions/FactSet Auditing Viewer?action=AUDIT_VALUE&amp;DB=129&amp;ID1=92849730&amp;VALUEID=02001&amp;SDATE=200402&amp;PERIODTYPE=QTR_STD&amp;SCFT=3&amp;window=popup_no_bar&amp;width=385&amp;height=120&amp;START_MAXIMIZED=FALSE&amp;creator=factset&amp;display_string=Audit"}</definedName>
    <definedName name="_3051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2__FDSAUDITLINK__" hidden="1">{"fdsup://Directions/FactSet Auditing Viewer?action=AUDIT_VALUE&amp;DB=129&amp;ID1=88250810&amp;VALUEID=02001&amp;SDATE=200401&amp;PERIODTYPE=QTR_STD&amp;SCFT=3&amp;window=popup_no_bar&amp;width=385&amp;height=120&amp;START_MAXIMIZED=FALSE&amp;creator=factset&amp;display_string=Audit"}</definedName>
    <definedName name="_3053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4__FDSAUDITLINK__" hidden="1">{"fdsup://Directions/FactSet Auditing Viewer?action=AUDIT_VALUE&amp;DB=129&amp;ID1=89674K10&amp;VALUEID=02001&amp;SDATE=200401&amp;PERIODTYPE=QTR_STD&amp;SCFT=3&amp;window=popup_no_bar&amp;width=385&amp;height=120&amp;START_MAXIMIZED=FALSE&amp;creator=factset&amp;display_string=Audit"}</definedName>
    <definedName name="_3055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6__FDSAUDITLINK__" hidden="1">{"fdsup://Directions/FactSet Auditing Viewer?action=AUDIT_VALUE&amp;DB=129&amp;ID1=83088M10&amp;VALUEID=02001&amp;SDATE=200402&amp;PERIODTYPE=QTR_STD&amp;SCFT=3&amp;window=popup_no_bar&amp;width=385&amp;height=120&amp;START_MAXIMIZED=FALSE&amp;creator=factset&amp;display_string=Audit"}</definedName>
    <definedName name="_3057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8__FDSAUDITLINK__" hidden="1">{"fdsup://Directions/FactSet Auditing Viewer?action=AUDIT_VALUE&amp;DB=129&amp;ID1=G7945M10&amp;VALUEID=02001&amp;SDATE=200403&amp;PERIODTYPE=QTR_STD&amp;SCFT=3&amp;window=popup_no_bar&amp;width=385&amp;height=120&amp;START_MAXIMIZED=FALSE&amp;creator=factset&amp;display_string=Audit"}</definedName>
    <definedName name="_3059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__FDSAUDITLINK__" hidden="1">{"fdsup://Directions/FactSet Auditing Viewer?action=AUDIT_VALUE&amp;DB=129&amp;ID1=92829810&amp;VALUEID=02001&amp;SDATE=201003&amp;PERIODTYPE=QTR_STD&amp;SCFT=3&amp;window=popup_no_bar&amp;width=385&amp;height=120&amp;START_MAXIMIZED=FALSE&amp;creator=factset&amp;display_string=Audit"}</definedName>
    <definedName name="_3060__FDSAUDITLINK__" hidden="1">{"fdsup://Directions/FactSet Auditing Viewer?action=AUDIT_VALUE&amp;DB=129&amp;ID1=78477410&amp;VALUEID=02001&amp;SDATE=200401&amp;PERIODTYPE=QTR_STD&amp;SCFT=3&amp;window=popup_no_bar&amp;width=385&amp;height=120&amp;START_MAXIMIZED=FALSE&amp;creator=factset&amp;display_string=Audit"}</definedName>
    <definedName name="_3061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2__FDSAUDITLINK__" hidden="1">{"fdsup://Directions/FactSet Auditing Viewer?action=AUDIT_VALUE&amp;DB=129&amp;ID1=83547010&amp;VALUEID=02001&amp;SDATE=200401&amp;PERIODTYPE=QTR_STD&amp;SCFT=3&amp;window=popup_no_bar&amp;width=385&amp;height=120&amp;START_MAXIMIZED=FALSE&amp;creator=factset&amp;display_string=Audit"}</definedName>
    <definedName name="_3063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4__FDSAUDITLINK__" hidden="1">{"fdsup://Directions/FactSet Auditing Viewer?action=AUDIT_VALUE&amp;DB=129&amp;ID1=87160710&amp;VALUEID=02001&amp;SDATE=200402&amp;PERIODTYPE=QTR_STD&amp;SCFT=3&amp;window=popup_no_bar&amp;width=385&amp;height=120&amp;START_MAXIMIZED=FALSE&amp;creator=factset&amp;display_string=Audit"}</definedName>
    <definedName name="_3065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6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06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069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70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071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2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073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4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075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6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07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079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__FDSAUDITLINK__" hidden="1">{"fdsup://Directions/FactSet Auditing Viewer?action=AUDIT_VALUE&amp;DB=129&amp;ID1=88250810&amp;VALUEID=02001&amp;SDATE=201003&amp;PERIODTYPE=QTR_STD&amp;SCFT=3&amp;window=popup_no_bar&amp;width=385&amp;height=120&amp;START_MAXIMIZED=FALSE&amp;creator=factset&amp;display_string=Audit"}</definedName>
    <definedName name="_3080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081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2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083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4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085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6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08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089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090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091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2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093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4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09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097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8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099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10__FDSAUDITLINK__" hidden="1">{"fdsup://Directions/FactSet Auditing Viewer?action=AUDIT_VALUE&amp;DB=129&amp;ID1=89674K10&amp;VALUEID=02001&amp;SDATE=201003&amp;PERIODTYPE=QTR_STD&amp;SCFT=3&amp;window=popup_no_bar&amp;width=385&amp;height=120&amp;START_MAXIMIZED=FALSE&amp;creator=factset&amp;display_string=Audit"}</definedName>
    <definedName name="_3100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1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103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4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105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6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107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8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109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10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11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113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4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115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6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117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8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11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__FDSAUDITLINK__" hidden="1">{"fdsup://Directions/FactSet Auditing Viewer?action=AUDIT_VALUE&amp;DB=129&amp;ID1=83088M10&amp;VALUEID=02001&amp;SDATE=201004&amp;PERIODTYPE=QTR_STD&amp;SCFT=3&amp;window=popup_no_bar&amp;width=385&amp;height=120&amp;START_MAXIMIZED=FALSE&amp;creator=factset&amp;display_string=Audit"}</definedName>
    <definedName name="_312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121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2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123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4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3125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6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312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3129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30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3131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2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313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31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3137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8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3139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__FDSAUDITLINK__" hidden="1">{"fdsup://Directions/FactSet Auditing Viewer?action=AUDIT_VALUE&amp;DB=129&amp;ID1=G7945M10&amp;VALUEID=02001&amp;SDATE=201101&amp;PERIODTYPE=QTR_STD&amp;SCFT=3&amp;window=popup_no_bar&amp;width=385&amp;height=120&amp;START_MAXIMIZED=FALSE&amp;creator=factset&amp;display_string=Audit"}</definedName>
    <definedName name="_3140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3141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2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3143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4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3145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6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314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3149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50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315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3153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4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3155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6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3157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8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3159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__FDSAUDITLINK__" hidden="1">{"fdsup://Directions/FactSet Auditing Viewer?action=AUDIT_VALUE&amp;DB=129&amp;ID1=78477410&amp;VALUEID=02001&amp;SDATE=201003&amp;PERIODTYPE=QTR_STD&amp;SCFT=3&amp;window=popup_no_bar&amp;width=385&amp;height=120&amp;START_MAXIMIZED=FALSE&amp;creator=factset&amp;display_string=Audit"}</definedName>
    <definedName name="_3160__FDSAUDITLINK__" hidden="1">{"fdsup://Directions/FactSet Auditing Viewer?action=AUDIT_VALUE&amp;DB=129&amp;ID1=80004C10&amp;VALUEID=02001&amp;SDATE=200402&amp;PERIODTYPE=QTR_STD&amp;SCFT=3&amp;window=popup_no_bar&amp;width=385&amp;height=120&amp;START_MAXIMIZED=FALSE&amp;creator=factset&amp;display_string=Audit"}</definedName>
    <definedName name="_3161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2__FDSAUDITLINK__" hidden="1">{"fdsup://Directions/FactSet Auditing Viewer?action=AUDIT_VALUE&amp;DB=129&amp;ID1=80004C10&amp;VALUEID=02001&amp;SDATE=200401&amp;PERIODTYPE=QTR_STD&amp;SCFT=3&amp;window=popup_no_bar&amp;width=385&amp;height=120&amp;START_MAXIMIZED=FALSE&amp;creator=factset&amp;display_string=Audit"}</definedName>
    <definedName name="_3163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4__FDSAUDITLINK__" hidden="1">{"fdsup://Directions/FactSet Auditing Viewer?action=AUDIT_VALUE&amp;DB=129&amp;ID1=81685010&amp;VALUEID=02001&amp;SDATE=200801&amp;PERIODTYPE=QTR_STD&amp;SCFT=3&amp;window=popup_no_bar&amp;width=385&amp;height=120&amp;START_MAXIMIZED=FALSE&amp;creator=factset&amp;display_string=Audit"}</definedName>
    <definedName name="_3165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6__FDSAUDITLINK__" hidden="1">{"fdsup://Directions/FactSet Auditing Viewer?action=AUDIT_VALUE&amp;DB=129&amp;ID1=81685010&amp;VALUEID=02001&amp;SDATE=200703&amp;PERIODTYPE=QTR_STD&amp;SCFT=3&amp;window=popup_no_bar&amp;width=385&amp;height=120&amp;START_MAXIMIZED=FALSE&amp;creator=factset&amp;display_string=Audit"}</definedName>
    <definedName name="_3167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8__FDSAUDITLINK__" hidden="1">{"fdsup://Directions/FactSet Auditing Viewer?action=AUDIT_VALUE&amp;DB=129&amp;ID1=81685010&amp;VALUEID=02001&amp;SDATE=200702&amp;PERIODTYPE=QTR_STD&amp;SCFT=3&amp;window=popup_no_bar&amp;width=385&amp;height=120&amp;START_MAXIMIZED=FALSE&amp;creator=factset&amp;display_string=Audit"}</definedName>
    <definedName name="_3169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70__FDSAUDITLINK__" hidden="1">{"fdsup://Directions/FactSet Auditing Viewer?action=AUDIT_VALUE&amp;DB=129&amp;ID1=81685010&amp;VALUEID=02001&amp;SDATE=200701&amp;PERIODTYPE=QTR_STD&amp;SCFT=3&amp;window=popup_no_bar&amp;width=385&amp;height=120&amp;START_MAXIMIZED=FALSE&amp;creator=factset&amp;display_string=Audit"}</definedName>
    <definedName name="_3171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2__FDSAUDITLINK__" hidden="1">{"fdsup://Directions/FactSet Auditing Viewer?action=AUDIT_VALUE&amp;DB=129&amp;ID1=81685010&amp;VALUEID=02001&amp;SDATE=200603&amp;PERIODTYPE=QTR_STD&amp;SCFT=3&amp;window=popup_no_bar&amp;width=385&amp;height=120&amp;START_MAXIMIZED=FALSE&amp;creator=factset&amp;display_string=Audit"}</definedName>
    <definedName name="_3173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4__FDSAUDITLINK__" hidden="1">{"fdsup://Directions/FactSet Auditing Viewer?action=AUDIT_VALUE&amp;DB=129&amp;ID1=81685010&amp;VALUEID=02001&amp;SDATE=200602&amp;PERIODTYPE=QTR_STD&amp;SCFT=3&amp;window=popup_no_bar&amp;width=385&amp;height=120&amp;START_MAXIMIZED=FALSE&amp;creator=factset&amp;display_string=Audit"}</definedName>
    <definedName name="_3175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6__FDSAUDITLINK__" hidden="1">{"fdsup://Directions/FactSet Auditing Viewer?action=AUDIT_VALUE&amp;DB=129&amp;ID1=81685010&amp;VALUEID=02001&amp;SDATE=200601&amp;PERIODTYPE=QTR_STD&amp;SCFT=3&amp;window=popup_no_bar&amp;width=385&amp;height=120&amp;START_MAXIMIZED=FALSE&amp;creator=factset&amp;display_string=Audit"}</definedName>
    <definedName name="_3177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8__FDSAUDITLINK__" hidden="1">{"fdsup://Directions/FactSet Auditing Viewer?action=AUDIT_VALUE&amp;DB=129&amp;ID1=81685010&amp;VALUEID=02001&amp;SDATE=200503&amp;PERIODTYPE=QTR_STD&amp;SCFT=3&amp;window=popup_no_bar&amp;width=385&amp;height=120&amp;START_MAXIMIZED=FALSE&amp;creator=factset&amp;display_string=Audit"}</definedName>
    <definedName name="_3179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__FDSAUDITLINK__" hidden="1">{"fdsup://Directions/FactSet Auditing Viewer?action=AUDIT_VALUE&amp;DB=129&amp;ID1=87160710&amp;VALUEID=02001&amp;SDATE=201004&amp;PERIODTYPE=QTR_STD&amp;SCFT=3&amp;window=popup_no_bar&amp;width=385&amp;height=120&amp;START_MAXIMIZED=FALSE&amp;creator=factset&amp;display_string=Audit"}</definedName>
    <definedName name="_3180__FDSAUDITLINK__" hidden="1">{"fdsup://Directions/FactSet Auditing Viewer?action=AUDIT_VALUE&amp;DB=129&amp;ID1=81685010&amp;VALUEID=02001&amp;SDATE=200502&amp;PERIODTYPE=QTR_STD&amp;SCFT=3&amp;window=popup_no_bar&amp;width=385&amp;height=120&amp;START_MAXIMIZED=FALSE&amp;creator=factset&amp;display_string=Audit"}</definedName>
    <definedName name="_3181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2__FDSAUDITLINK__" hidden="1">{"fdsup://Directions/FactSet Auditing Viewer?action=AUDIT_VALUE&amp;DB=129&amp;ID1=81685010&amp;VALUEID=02001&amp;SDATE=200501&amp;PERIODTYPE=QTR_STD&amp;SCFT=3&amp;window=popup_no_bar&amp;width=385&amp;height=120&amp;START_MAXIMIZED=FALSE&amp;creator=factset&amp;display_string=Audit"}</definedName>
    <definedName name="_3183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4__FDSAUDITLINK__" hidden="1">{"fdsup://Directions/FactSet Auditing Viewer?action=AUDIT_VALUE&amp;DB=129&amp;ID1=81685010&amp;VALUEID=02001&amp;SDATE=200403&amp;PERIODTYPE=QTR_STD&amp;SCFT=3&amp;window=popup_no_bar&amp;width=385&amp;height=120&amp;START_MAXIMIZED=FALSE&amp;creator=factset&amp;display_string=Audit"}</definedName>
    <definedName name="_3185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6__FDSAUDITLINK__" hidden="1">{"fdsup://Directions/FactSet Auditing Viewer?action=AUDIT_VALUE&amp;DB=129&amp;ID1=81685010&amp;VALUEID=02001&amp;SDATE=200402&amp;PERIODTYPE=QTR_STD&amp;SCFT=3&amp;window=popup_no_bar&amp;width=385&amp;height=120&amp;START_MAXIMIZED=FALSE&amp;creator=factset&amp;display_string=Audit"}</definedName>
    <definedName name="_3187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8__FDSAUDITLINK__" hidden="1">{"fdsup://Directions/FactSet Auditing Viewer?action=AUDIT_VALUE&amp;DB=129&amp;ID1=81685010&amp;VALUEID=02001&amp;SDATE=200401&amp;PERIODTYPE=QTR_STD&amp;SCFT=3&amp;window=popup_no_bar&amp;width=385&amp;height=120&amp;START_MAXIMIZED=FALSE&amp;creator=factset&amp;display_string=Audit"}</definedName>
    <definedName name="_3189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190__FDSAUDITLINK__" hidden="1">{"fdsup://Directions/FactSet Auditing Viewer?action=AUDIT_VALUE&amp;DB=129&amp;ID1=82691910&amp;VALUEID=02001&amp;SDATE=200801&amp;PERIODTYPE=QTR_STD&amp;SCFT=3&amp;window=popup_no_bar&amp;width=385&amp;height=120&amp;START_MAXIMIZED=FALSE&amp;creator=factset&amp;display_string=Audit"}</definedName>
    <definedName name="_3191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2__FDSAUDITLINK__" hidden="1">{"fdsup://Directions/FactSet Auditing Viewer?action=AUDIT_VALUE&amp;DB=129&amp;ID1=82691910&amp;VALUEID=02001&amp;SDATE=200703&amp;PERIODTYPE=QTR_STD&amp;SCFT=3&amp;window=popup_no_bar&amp;width=385&amp;height=120&amp;START_MAXIMIZED=FALSE&amp;creator=factset&amp;display_string=Audit"}</definedName>
    <definedName name="_3193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4__FDSAUDITLINK__" hidden="1">{"fdsup://Directions/FactSet Auditing Viewer?action=AUDIT_VALUE&amp;DB=129&amp;ID1=82691910&amp;VALUEID=02001&amp;SDATE=200702&amp;PERIODTYPE=QTR_STD&amp;SCFT=3&amp;window=popup_no_bar&amp;width=385&amp;height=120&amp;START_MAXIMIZED=FALSE&amp;creator=factset&amp;display_string=Audit"}</definedName>
    <definedName name="_3195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6__FDSAUDITLINK__" hidden="1">{"fdsup://Directions/FactSet Auditing Viewer?action=AUDIT_VALUE&amp;DB=129&amp;ID1=82691910&amp;VALUEID=02001&amp;SDATE=200701&amp;PERIODTYPE=QTR_STD&amp;SCFT=3&amp;window=popup_no_bar&amp;width=385&amp;height=120&amp;START_MAXIMIZED=FALSE&amp;creator=factset&amp;display_string=Audit"}</definedName>
    <definedName name="_3197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8__FDSAUDITLINK__" hidden="1">{"fdsup://Directions/FactSet Auditing Viewer?action=AUDIT_VALUE&amp;DB=129&amp;ID1=82691910&amp;VALUEID=02001&amp;SDATE=200603&amp;PERIODTYPE=QTR_STD&amp;SCFT=3&amp;window=popup_no_bar&amp;width=385&amp;height=120&amp;START_MAXIMIZED=FALSE&amp;creator=factset&amp;display_string=Audit"}</definedName>
    <definedName name="_3199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__FDSAUDITLINK__" hidden="1">{"fdsup://Directions/FactSet Auditing Viewer?action=AUDIT_VALUE&amp;DB=129&amp;ID1=82691910&amp;VALUEID=02001&amp;SDATE=201101&amp;PERIODTYPE=QTR_STD&amp;SCFT=3&amp;window=popup_no_bar&amp;width=385&amp;height=120&amp;START_MAXIMIZED=FALSE&amp;creator=factset&amp;display_string=Audit"}</definedName>
    <definedName name="_320__FDSAUDITLINK__" hidden="1">{"fdsup://Directions/FactSet Auditing Viewer?action=AUDIT_VALUE&amp;DB=129&amp;ID1=80004C10&amp;VALUEID=02001&amp;SDATE=201003&amp;PERIODTYPE=QTR_STD&amp;SCFT=3&amp;window=popup_no_bar&amp;width=385&amp;height=120&amp;START_MAXIMIZED=FALSE&amp;creator=factset&amp;display_string=Audit"}</definedName>
    <definedName name="_3200__FDSAUDITLINK__" hidden="1">{"fdsup://Directions/FactSet Auditing Viewer?action=AUDIT_VALUE&amp;DB=129&amp;ID1=82691910&amp;VALUEID=02001&amp;SDATE=200602&amp;PERIODTYPE=QTR_STD&amp;SCFT=3&amp;window=popup_no_bar&amp;width=385&amp;height=120&amp;START_MAXIMIZED=FALSE&amp;creator=factset&amp;display_string=Audit"}</definedName>
    <definedName name="_3201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2__FDSAUDITLINK__" hidden="1">{"fdsup://Directions/FactSet Auditing Viewer?action=AUDIT_VALUE&amp;DB=129&amp;ID1=82691910&amp;VALUEID=02001&amp;SDATE=200601&amp;PERIODTYPE=QTR_STD&amp;SCFT=3&amp;window=popup_no_bar&amp;width=385&amp;height=120&amp;START_MAXIMIZED=FALSE&amp;creator=factset&amp;display_string=Audit"}</definedName>
    <definedName name="_3203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4__FDSAUDITLINK__" hidden="1">{"fdsup://Directions/FactSet Auditing Viewer?action=AUDIT_VALUE&amp;DB=129&amp;ID1=82691910&amp;VALUEID=02001&amp;SDATE=200503&amp;PERIODTYPE=QTR_STD&amp;SCFT=3&amp;window=popup_no_bar&amp;width=385&amp;height=120&amp;START_MAXIMIZED=FALSE&amp;creator=factset&amp;display_string=Audit"}</definedName>
    <definedName name="_3205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6__FDSAUDITLINK__" hidden="1">{"fdsup://Directions/FactSet Auditing Viewer?action=AUDIT_VALUE&amp;DB=129&amp;ID1=82691910&amp;VALUEID=02001&amp;SDATE=200502&amp;PERIODTYPE=QTR_STD&amp;SCFT=3&amp;window=popup_no_bar&amp;width=385&amp;height=120&amp;START_MAXIMIZED=FALSE&amp;creator=factset&amp;display_string=Audit"}</definedName>
    <definedName name="_3207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8__FDSAUDITLINK__" hidden="1">{"fdsup://Directions/FactSet Auditing Viewer?action=AUDIT_VALUE&amp;DB=129&amp;ID1=82691910&amp;VALUEID=02001&amp;SDATE=200501&amp;PERIODTYPE=QTR_STD&amp;SCFT=3&amp;window=popup_no_bar&amp;width=385&amp;height=120&amp;START_MAXIMIZED=FALSE&amp;creator=factset&amp;display_string=Audit"}</definedName>
    <definedName name="_3209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10__FDSAUDITLINK__" hidden="1">{"fdsup://Directions/FactSet Auditing Viewer?action=AUDIT_VALUE&amp;DB=129&amp;ID1=82691910&amp;VALUEID=02001&amp;SDATE=200403&amp;PERIODTYPE=QTR_STD&amp;SCFT=3&amp;window=popup_no_bar&amp;width=385&amp;height=120&amp;START_MAXIMIZED=FALSE&amp;creator=factset&amp;display_string=Audit"}</definedName>
    <definedName name="_3211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2__FDSAUDITLINK__" hidden="1">{"fdsup://Directions/FactSet Auditing Viewer?action=AUDIT_VALUE&amp;DB=129&amp;ID1=82691910&amp;VALUEID=02001&amp;SDATE=200402&amp;PERIODTYPE=QTR_STD&amp;SCFT=3&amp;window=popup_no_bar&amp;width=385&amp;height=120&amp;START_MAXIMIZED=FALSE&amp;creator=factset&amp;display_string=Audit"}</definedName>
    <definedName name="_3213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4__FDSAUDITLINK__" hidden="1">{"fdsup://Directions/FactSet Auditing Viewer?action=AUDIT_VALUE&amp;DB=129&amp;ID1=82691910&amp;VALUEID=02001&amp;SDATE=200401&amp;PERIODTYPE=QTR_STD&amp;SCFT=3&amp;window=popup_no_bar&amp;width=385&amp;height=120&amp;START_MAXIMIZED=FALSE&amp;creator=factset&amp;display_string=Audit"}</definedName>
    <definedName name="_3215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6__FDSAUDITLINK__" hidden="1">{"fdsup://Directions/FactSet Auditing Viewer?action=AUDIT_VALUE&amp;DB=129&amp;ID1=82705T10&amp;VALUEID=02001&amp;SDATE=200801&amp;PERIODTYPE=QTR_STD&amp;SCFT=3&amp;window=popup_no_bar&amp;width=385&amp;height=120&amp;START_MAXIMIZED=FALSE&amp;creator=factset&amp;display_string=Audit"}</definedName>
    <definedName name="_3217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8__FDSAUDITLINK__" hidden="1">{"fdsup://Directions/FactSet Auditing Viewer?action=AUDIT_VALUE&amp;DB=129&amp;ID1=82705T10&amp;VALUEID=02001&amp;SDATE=200703&amp;PERIODTYPE=QTR_STD&amp;SCFT=3&amp;window=popup_no_bar&amp;width=385&amp;height=120&amp;START_MAXIMIZED=FALSE&amp;creator=factset&amp;display_string=Audit"}</definedName>
    <definedName name="_3219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__FDSAUDITLINK__" hidden="1">{"fdsup://Directions/FactSet Auditing Viewer?action=AUDIT_VALUE&amp;DB=129&amp;ID1=81685010&amp;VALUEID=02001&amp;SDATE=201003&amp;PERIODTYPE=QTR_STD&amp;SCFT=3&amp;window=popup_no_bar&amp;width=385&amp;height=120&amp;START_MAXIMIZED=FALSE&amp;creator=factset&amp;display_string=Audit"}</definedName>
    <definedName name="_3220__FDSAUDITLINK__" hidden="1">{"fdsup://Directions/FactSet Auditing Viewer?action=AUDIT_VALUE&amp;DB=129&amp;ID1=82705T10&amp;VALUEID=02001&amp;SDATE=200702&amp;PERIODTYPE=QTR_STD&amp;SCFT=3&amp;window=popup_no_bar&amp;width=385&amp;height=120&amp;START_MAXIMIZED=FALSE&amp;creator=factset&amp;display_string=Audit"}</definedName>
    <definedName name="_3221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2__FDSAUDITLINK__" hidden="1">{"fdsup://Directions/FactSet Auditing Viewer?action=AUDIT_VALUE&amp;DB=129&amp;ID1=82705T10&amp;VALUEID=02001&amp;SDATE=200701&amp;PERIODTYPE=QTR_STD&amp;SCFT=3&amp;window=popup_no_bar&amp;width=385&amp;height=120&amp;START_MAXIMIZED=FALSE&amp;creator=factset&amp;display_string=Audit"}</definedName>
    <definedName name="_3223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4__FDSAUDITLINK__" hidden="1">{"fdsup://Directions/FactSet Auditing Viewer?action=AUDIT_VALUE&amp;DB=129&amp;ID1=82705T10&amp;VALUEID=02001&amp;SDATE=200603&amp;PERIODTYPE=QTR_STD&amp;SCFT=3&amp;window=popup_no_bar&amp;width=385&amp;height=120&amp;START_MAXIMIZED=FALSE&amp;creator=factset&amp;display_string=Audit"}</definedName>
    <definedName name="_3225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6__FDSAUDITLINK__" hidden="1">{"fdsup://Directions/FactSet Auditing Viewer?action=AUDIT_VALUE&amp;DB=129&amp;ID1=82705T10&amp;VALUEID=02001&amp;SDATE=200602&amp;PERIODTYPE=QTR_STD&amp;SCFT=3&amp;window=popup_no_bar&amp;width=385&amp;height=120&amp;START_MAXIMIZED=FALSE&amp;creator=factset&amp;display_string=Audit"}</definedName>
    <definedName name="_3227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8__FDSAUDITLINK__" hidden="1">{"fdsup://Directions/FactSet Auditing Viewer?action=AUDIT_VALUE&amp;DB=129&amp;ID1=82705T10&amp;VALUEID=02001&amp;SDATE=200601&amp;PERIODTYPE=QTR_STD&amp;SCFT=3&amp;window=popup_no_bar&amp;width=385&amp;height=120&amp;START_MAXIMIZED=FALSE&amp;creator=factset&amp;display_string=Audit"}</definedName>
    <definedName name="_3229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30__FDSAUDITLINK__" hidden="1">{"fdsup://Directions/FactSet Auditing Viewer?action=AUDIT_VALUE&amp;DB=129&amp;ID1=82705T10&amp;VALUEID=02001&amp;SDATE=200503&amp;PERIODTYPE=QTR_STD&amp;SCFT=3&amp;window=popup_no_bar&amp;width=385&amp;height=120&amp;START_MAXIMIZED=FALSE&amp;creator=factset&amp;display_string=Audit"}</definedName>
    <definedName name="_3231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2__FDSAUDITLINK__" hidden="1">{"fdsup://Directions/FactSet Auditing Viewer?action=AUDIT_VALUE&amp;DB=129&amp;ID1=82705T10&amp;VALUEID=02001&amp;SDATE=200502&amp;PERIODTYPE=QTR_STD&amp;SCFT=3&amp;window=popup_no_bar&amp;width=385&amp;height=120&amp;START_MAXIMIZED=FALSE&amp;creator=factset&amp;display_string=Audit"}</definedName>
    <definedName name="_3233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4__FDSAUDITLINK__" hidden="1">{"fdsup://Directions/FactSet Auditing Viewer?action=AUDIT_VALUE&amp;DB=129&amp;ID1=82705T10&amp;VALUEID=02001&amp;SDATE=200501&amp;PERIODTYPE=QTR_STD&amp;SCFT=3&amp;window=popup_no_bar&amp;width=385&amp;height=120&amp;START_MAXIMIZED=FALSE&amp;creator=factset&amp;display_string=Audit"}</definedName>
    <definedName name="_3235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6__FDSAUDITLINK__" hidden="1">{"fdsup://Directions/FactSet Auditing Viewer?action=AUDIT_VALUE&amp;DB=129&amp;ID1=82705T10&amp;VALUEID=02001&amp;SDATE=200403&amp;PERIODTYPE=QTR_STD&amp;SCFT=3&amp;window=popup_no_bar&amp;width=385&amp;height=120&amp;START_MAXIMIZED=FALSE&amp;creator=factset&amp;display_string=Audit"}</definedName>
    <definedName name="_3237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8__FDSAUDITLINK__" hidden="1">{"fdsup://Directions/FactSet Auditing Viewer?action=AUDIT_VALUE&amp;DB=129&amp;ID1=82705T10&amp;VALUEID=02001&amp;SDATE=200402&amp;PERIODTYPE=QTR_STD&amp;SCFT=3&amp;window=popup_no_bar&amp;width=385&amp;height=120&amp;START_MAXIMIZED=FALSE&amp;creator=factset&amp;display_string=Audit"}</definedName>
    <definedName name="_3239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__FDSAUDITLINK__" hidden="1">{"fdsup://Directions/FactSet Auditing Viewer?action=AUDIT_VALUE&amp;DB=129&amp;ID1=82691910&amp;VALUEID=02001&amp;SDATE=201003&amp;PERIODTYPE=QTR_STD&amp;SCFT=3&amp;window=popup_no_bar&amp;width=385&amp;height=120&amp;START_MAXIMIZED=FALSE&amp;creator=factset&amp;display_string=Audit"}</definedName>
    <definedName name="_3240__FDSAUDITLINK__" hidden="1">{"fdsup://Directions/FactSet Auditing Viewer?action=AUDIT_VALUE&amp;DB=129&amp;ID1=82705T10&amp;VALUEID=02001&amp;SDATE=200401&amp;PERIODTYPE=QTR_STD&amp;SCFT=3&amp;window=popup_no_bar&amp;width=385&amp;height=120&amp;START_MAXIMIZED=FALSE&amp;creator=factset&amp;display_string=Audit"}</definedName>
    <definedName name="_3241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2__FDSAUDITLINK__" hidden="1">{"fdsup://Directions/FactSet Auditing Viewer?action=AUDIT_VALUE&amp;DB=129&amp;ID1=75091710&amp;VALUEID=02001&amp;SDATE=200801&amp;PERIODTYPE=QTR_STD&amp;SCFT=3&amp;window=popup_no_bar&amp;width=385&amp;height=120&amp;START_MAXIMIZED=FALSE&amp;creator=factset&amp;display_string=Audit"}</definedName>
    <definedName name="_3243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4__FDSAUDITLINK__" hidden="1">{"fdsup://Directions/FactSet Auditing Viewer?action=AUDIT_VALUE&amp;DB=129&amp;ID1=75091710&amp;VALUEID=02001&amp;SDATE=200703&amp;PERIODTYPE=QTR_STD&amp;SCFT=3&amp;window=popup_no_bar&amp;width=385&amp;height=120&amp;START_MAXIMIZED=FALSE&amp;creator=factset&amp;display_string=Audit"}</definedName>
    <definedName name="_3245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6__FDSAUDITLINK__" hidden="1">{"fdsup://Directions/FactSet Auditing Viewer?action=AUDIT_VALUE&amp;DB=129&amp;ID1=75091710&amp;VALUEID=02001&amp;SDATE=200702&amp;PERIODTYPE=QTR_STD&amp;SCFT=3&amp;window=popup_no_bar&amp;width=385&amp;height=120&amp;START_MAXIMIZED=FALSE&amp;creator=factset&amp;display_string=Audit"}</definedName>
    <definedName name="_3247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8__FDSAUDITLINK__" hidden="1">{"fdsup://Directions/FactSet Auditing Viewer?action=AUDIT_VALUE&amp;DB=129&amp;ID1=75091710&amp;VALUEID=02001&amp;SDATE=200701&amp;PERIODTYPE=QTR_STD&amp;SCFT=3&amp;window=popup_no_bar&amp;width=385&amp;height=120&amp;START_MAXIMIZED=FALSE&amp;creator=factset&amp;display_string=Audit"}</definedName>
    <definedName name="_3249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50__FDSAUDITLINK__" hidden="1">{"fdsup://Directions/FactSet Auditing Viewer?action=AUDIT_VALUE&amp;DB=129&amp;ID1=75091710&amp;VALUEID=02001&amp;SDATE=200603&amp;PERIODTYPE=QTR_STD&amp;SCFT=3&amp;window=popup_no_bar&amp;width=385&amp;height=120&amp;START_MAXIMIZED=FALSE&amp;creator=factset&amp;display_string=Audit"}</definedName>
    <definedName name="_3251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2__FDSAUDITLINK__" hidden="1">{"fdsup://Directions/FactSet Auditing Viewer?action=AUDIT_VALUE&amp;DB=129&amp;ID1=75091710&amp;VALUEID=02001&amp;SDATE=200602&amp;PERIODTYPE=QTR_STD&amp;SCFT=3&amp;window=popup_no_bar&amp;width=385&amp;height=120&amp;START_MAXIMIZED=FALSE&amp;creator=factset&amp;display_string=Audit"}</definedName>
    <definedName name="_3253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4__FDSAUDITLINK__" hidden="1">{"fdsup://Directions/FactSet Auditing Viewer?action=AUDIT_VALUE&amp;DB=129&amp;ID1=75091710&amp;VALUEID=02001&amp;SDATE=200601&amp;PERIODTYPE=QTR_STD&amp;SCFT=3&amp;window=popup_no_bar&amp;width=385&amp;height=120&amp;START_MAXIMIZED=FALSE&amp;creator=factset&amp;display_string=Audit"}</definedName>
    <definedName name="_3255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6__FDSAUDITLINK__" hidden="1">{"fdsup://Directions/FactSet Auditing Viewer?action=AUDIT_VALUE&amp;DB=129&amp;ID1=75091710&amp;VALUEID=02001&amp;SDATE=200503&amp;PERIODTYPE=QTR_STD&amp;SCFT=3&amp;window=popup_no_bar&amp;width=385&amp;height=120&amp;START_MAXIMIZED=FALSE&amp;creator=factset&amp;display_string=Audit"}</definedName>
    <definedName name="_3257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8__FDSAUDITLINK__" hidden="1">{"fdsup://Directions/FactSet Auditing Viewer?action=AUDIT_VALUE&amp;DB=129&amp;ID1=75091710&amp;VALUEID=02001&amp;SDATE=200502&amp;PERIODTYPE=QTR_STD&amp;SCFT=3&amp;window=popup_no_bar&amp;width=385&amp;height=120&amp;START_MAXIMIZED=FALSE&amp;creator=factset&amp;display_string=Audit"}</definedName>
    <definedName name="_3259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__FDSAUDITLINK__" hidden="1">{"fdsup://Directions/FactSet Auditing Viewer?action=AUDIT_VALUE&amp;DB=129&amp;ID1=82705T10&amp;VALUEID=02001&amp;SDATE=201003&amp;PERIODTYPE=QTR_STD&amp;SCFT=3&amp;window=popup_no_bar&amp;width=385&amp;height=120&amp;START_MAXIMIZED=FALSE&amp;creator=factset&amp;display_string=Audit"}</definedName>
    <definedName name="_3260__FDSAUDITLINK__" hidden="1">{"fdsup://Directions/FactSet Auditing Viewer?action=AUDIT_VALUE&amp;DB=129&amp;ID1=75091710&amp;VALUEID=02001&amp;SDATE=200501&amp;PERIODTYPE=QTR_STD&amp;SCFT=3&amp;window=popup_no_bar&amp;width=385&amp;height=120&amp;START_MAXIMIZED=FALSE&amp;creator=factset&amp;display_string=Audit"}</definedName>
    <definedName name="_3261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2__FDSAUDITLINK__" hidden="1">{"fdsup://Directions/FactSet Auditing Viewer?action=AUDIT_VALUE&amp;DB=129&amp;ID1=75091710&amp;VALUEID=02001&amp;SDATE=200403&amp;PERIODTYPE=QTR_STD&amp;SCFT=3&amp;window=popup_no_bar&amp;width=385&amp;height=120&amp;START_MAXIMIZED=FALSE&amp;creator=factset&amp;display_string=Audit"}</definedName>
    <definedName name="_3263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4__FDSAUDITLINK__" hidden="1">{"fdsup://Directions/FactSet Auditing Viewer?action=AUDIT_VALUE&amp;DB=129&amp;ID1=75091710&amp;VALUEID=02001&amp;SDATE=200402&amp;PERIODTYPE=QTR_STD&amp;SCFT=3&amp;window=popup_no_bar&amp;width=385&amp;height=120&amp;START_MAXIMIZED=FALSE&amp;creator=factset&amp;display_string=Audit"}</definedName>
    <definedName name="_3265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6__FDSAUDITLINK__" hidden="1">{"fdsup://Directions/FactSet Auditing Viewer?action=AUDIT_VALUE&amp;DB=129&amp;ID1=75091710&amp;VALUEID=02001&amp;SDATE=200401&amp;PERIODTYPE=QTR_STD&amp;SCFT=3&amp;window=popup_no_bar&amp;width=385&amp;height=120&amp;START_MAXIMIZED=FALSE&amp;creator=factset&amp;display_string=Audit"}</definedName>
    <definedName name="_3267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8__FDSAUDITLINK__" hidden="1">{"fdsup://Directions/FactSet Auditing Viewer?action=AUDIT_VALUE&amp;DB=129&amp;ID1=74994110&amp;VALUEID=02001&amp;SDATE=200703&amp;PERIODTYPE=QTR_STD&amp;SCFT=3&amp;window=popup_no_bar&amp;width=385&amp;height=120&amp;START_MAXIMIZED=FALSE&amp;creator=factset&amp;display_string=Audit"}</definedName>
    <definedName name="_3269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70__FDSAUDITLINK__" hidden="1">{"fdsup://Directions/FactSet Auditing Viewer?action=AUDIT_VALUE&amp;DB=129&amp;ID1=74994110&amp;VALUEID=02001&amp;SDATE=200702&amp;PERIODTYPE=QTR_STD&amp;SCFT=3&amp;window=popup_no_bar&amp;width=385&amp;height=120&amp;START_MAXIMIZED=FALSE&amp;creator=factset&amp;display_string=Audit"}</definedName>
    <definedName name="_3271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2__FDSAUDITLINK__" hidden="1">{"fdsup://Directions/FactSet Auditing Viewer?action=AUDIT_VALUE&amp;DB=129&amp;ID1=74994110&amp;VALUEID=02001&amp;SDATE=200701&amp;PERIODTYPE=QTR_STD&amp;SCFT=3&amp;window=popup_no_bar&amp;width=385&amp;height=120&amp;START_MAXIMIZED=FALSE&amp;creator=factset&amp;display_string=Audit"}</definedName>
    <definedName name="_3273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4__FDSAUDITLINK__" hidden="1">{"fdsup://Directions/FactSet Auditing Viewer?action=AUDIT_VALUE&amp;DB=129&amp;ID1=74994110&amp;VALUEID=02001&amp;SDATE=200603&amp;PERIODTYPE=QTR_STD&amp;SCFT=3&amp;window=popup_no_bar&amp;width=385&amp;height=120&amp;START_MAXIMIZED=FALSE&amp;creator=factset&amp;display_string=Audit"}</definedName>
    <definedName name="_3275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6__FDSAUDITLINK__" hidden="1">{"fdsup://Directions/FactSet Auditing Viewer?action=AUDIT_VALUE&amp;DB=129&amp;ID1=74994110&amp;VALUEID=02001&amp;SDATE=200602&amp;PERIODTYPE=QTR_STD&amp;SCFT=3&amp;window=popup_no_bar&amp;width=385&amp;height=120&amp;START_MAXIMIZED=FALSE&amp;creator=factset&amp;display_string=Audit"}</definedName>
    <definedName name="_3277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8__FDSAUDITLINK__" hidden="1">{"fdsup://Directions/FactSet Auditing Viewer?action=AUDIT_VALUE&amp;DB=129&amp;ID1=74994110&amp;VALUEID=02001&amp;SDATE=200601&amp;PERIODTYPE=QTR_STD&amp;SCFT=3&amp;window=popup_no_bar&amp;width=385&amp;height=120&amp;START_MAXIMIZED=FALSE&amp;creator=factset&amp;display_string=Audit"}</definedName>
    <definedName name="_3279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__FDSAUDITLINK__" hidden="1">{"fdsup://Directions/FactSet Auditing Viewer?action=AUDIT_VALUE&amp;DB=129&amp;ID1=75091710&amp;VALUEID=02001&amp;SDATE=201003&amp;PERIODTYPE=QTR_STD&amp;SCFT=3&amp;window=popup_no_bar&amp;width=385&amp;height=120&amp;START_MAXIMIZED=FALSE&amp;creator=factset&amp;display_string=Audit"}</definedName>
    <definedName name="_3280__FDSAUDITLINK__" hidden="1">{"fdsup://Directions/FactSet Auditing Viewer?action=AUDIT_VALUE&amp;DB=129&amp;ID1=74994110&amp;VALUEID=02001&amp;SDATE=200503&amp;PERIODTYPE=QTR_STD&amp;SCFT=3&amp;window=popup_no_bar&amp;width=385&amp;height=120&amp;START_MAXIMIZED=FALSE&amp;creator=factset&amp;display_string=Audit"}</definedName>
    <definedName name="_3281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2__FDSAUDITLINK__" hidden="1">{"fdsup://Directions/FactSet Auditing Viewer?action=AUDIT_VALUE&amp;DB=129&amp;ID1=74994110&amp;VALUEID=02001&amp;SDATE=200502&amp;PERIODTYPE=QTR_STD&amp;SCFT=3&amp;window=popup_no_bar&amp;width=385&amp;height=120&amp;START_MAXIMIZED=FALSE&amp;creator=factset&amp;display_string=Audit"}</definedName>
    <definedName name="_3283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4__FDSAUDITLINK__" hidden="1">{"fdsup://Directions/FactSet Auditing Viewer?action=AUDIT_VALUE&amp;DB=129&amp;ID1=74994110&amp;VALUEID=02001&amp;SDATE=200501&amp;PERIODTYPE=QTR_STD&amp;SCFT=3&amp;window=popup_no_bar&amp;width=385&amp;height=120&amp;START_MAXIMIZED=FALSE&amp;creator=factset&amp;display_string=Audit"}</definedName>
    <definedName name="_3285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6__FDSAUDITLINK__" hidden="1">{"fdsup://Directions/FactSet Auditing Viewer?action=AUDIT_VALUE&amp;DB=129&amp;ID1=74994110&amp;VALUEID=02001&amp;SDATE=200403&amp;PERIODTYPE=QTR_STD&amp;SCFT=3&amp;window=popup_no_bar&amp;width=385&amp;height=120&amp;START_MAXIMIZED=FALSE&amp;creator=factset&amp;display_string=Audit"}</definedName>
    <definedName name="_3287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8__FDSAUDITLINK__" hidden="1">{"fdsup://Directions/FactSet Auditing Viewer?action=AUDIT_VALUE&amp;DB=129&amp;ID1=74994110&amp;VALUEID=02001&amp;SDATE=200402&amp;PERIODTYPE=QTR_STD&amp;SCFT=3&amp;window=popup_no_bar&amp;width=385&amp;height=120&amp;START_MAXIMIZED=FALSE&amp;creator=factset&amp;display_string=Audit"}</definedName>
    <definedName name="_3289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290__FDSAUDITLINK__" hidden="1">{"fdsup://Directions/FactSet Auditing Viewer?action=AUDIT_VALUE&amp;DB=129&amp;ID1=74994110&amp;VALUEID=02001&amp;SDATE=200401&amp;PERIODTYPE=QTR_STD&amp;SCFT=3&amp;window=popup_no_bar&amp;width=385&amp;height=120&amp;START_MAXIMIZED=FALSE&amp;creator=factset&amp;display_string=Audit"}</definedName>
    <definedName name="_3291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2__FDSAUDITLINK__" hidden="1">{"fdsup://Directions/FactSet Auditing Viewer?action=AUDIT_VALUE&amp;DB=129&amp;ID1=74727710&amp;VALUEID=02001&amp;SDATE=200704&amp;PERIODTYPE=QTR_STD&amp;SCFT=3&amp;window=popup_no_bar&amp;width=385&amp;height=120&amp;START_MAXIMIZED=FALSE&amp;creator=factset&amp;display_string=Audit"}</definedName>
    <definedName name="_3293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4__FDSAUDITLINK__" hidden="1">{"fdsup://Directions/FactSet Auditing Viewer?action=AUDIT_VALUE&amp;DB=129&amp;ID1=74727710&amp;VALUEID=02001&amp;SDATE=200703&amp;PERIODTYPE=QTR_STD&amp;SCFT=3&amp;window=popup_no_bar&amp;width=385&amp;height=120&amp;START_MAXIMIZED=FALSE&amp;creator=factset&amp;display_string=Audit"}</definedName>
    <definedName name="_3295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6__FDSAUDITLINK__" hidden="1">{"fdsup://Directions/FactSet Auditing Viewer?action=AUDIT_VALUE&amp;DB=129&amp;ID1=74727710&amp;VALUEID=02001&amp;SDATE=200702&amp;PERIODTYPE=QTR_STD&amp;SCFT=3&amp;window=popup_no_bar&amp;width=385&amp;height=120&amp;START_MAXIMIZED=FALSE&amp;creator=factset&amp;display_string=Audit"}</definedName>
    <definedName name="_3297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8__FDSAUDITLINK__" hidden="1">{"fdsup://Directions/FactSet Auditing Viewer?action=AUDIT_VALUE&amp;DB=129&amp;ID1=74727710&amp;VALUEID=02001&amp;SDATE=200701&amp;PERIODTYPE=QTR_STD&amp;SCFT=3&amp;window=popup_no_bar&amp;width=385&amp;height=120&amp;START_MAXIMIZED=FALSE&amp;creator=factset&amp;display_string=Audit"}</definedName>
    <definedName name="_3299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30__FDSAUDITLINK__" hidden="1">{"fdsup://Directions/FactSet Auditing Viewer?action=AUDIT_VALUE&amp;DB=129&amp;ID1=74994110&amp;VALUEID=02001&amp;SDATE=201002&amp;PERIODTYPE=QTR_STD&amp;SCFT=3&amp;window=popup_no_bar&amp;width=385&amp;height=120&amp;START_MAXIMIZED=FALSE&amp;creator=factset&amp;display_string=Audit"}</definedName>
    <definedName name="_3300__FDSAUDITLINK__" hidden="1">{"fdsup://Directions/FactSet Auditing Viewer?action=AUDIT_VALUE&amp;DB=129&amp;ID1=74727710&amp;VALUEID=02001&amp;SDATE=200603&amp;PERIODTYPE=QTR_STD&amp;SCFT=3&amp;window=popup_no_bar&amp;width=385&amp;height=120&amp;START_MAXIMIZED=FALSE&amp;creator=factset&amp;display_string=Audit"}</definedName>
    <definedName name="_3301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2__FDSAUDITLINK__" hidden="1">{"fdsup://Directions/FactSet Auditing Viewer?action=AUDIT_VALUE&amp;DB=129&amp;ID1=74727710&amp;VALUEID=02001&amp;SDATE=200602&amp;PERIODTYPE=QTR_STD&amp;SCFT=3&amp;window=popup_no_bar&amp;width=385&amp;height=120&amp;START_MAXIMIZED=FALSE&amp;creator=factset&amp;display_string=Audit"}</definedName>
    <definedName name="_3303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4__FDSAUDITLINK__" hidden="1">{"fdsup://Directions/FactSet Auditing Viewer?action=AUDIT_VALUE&amp;DB=129&amp;ID1=74727710&amp;VALUEID=02001&amp;SDATE=200601&amp;PERIODTYPE=QTR_STD&amp;SCFT=3&amp;window=popup_no_bar&amp;width=385&amp;height=120&amp;START_MAXIMIZED=FALSE&amp;creator=factset&amp;display_string=Audit"}</definedName>
    <definedName name="_3305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6__FDSAUDITLINK__" hidden="1">{"fdsup://Directions/FactSet Auditing Viewer?action=AUDIT_VALUE&amp;DB=129&amp;ID1=74727710&amp;VALUEID=02001&amp;SDATE=200503&amp;PERIODTYPE=QTR_STD&amp;SCFT=3&amp;window=popup_no_bar&amp;width=385&amp;height=120&amp;START_MAXIMIZED=FALSE&amp;creator=factset&amp;display_string=Audit"}</definedName>
    <definedName name="_3307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8__FDSAUDITLINK__" hidden="1">{"fdsup://Directions/FactSet Auditing Viewer?action=AUDIT_VALUE&amp;DB=129&amp;ID1=74727710&amp;VALUEID=02001&amp;SDATE=200502&amp;PERIODTYPE=QTR_STD&amp;SCFT=3&amp;window=popup_no_bar&amp;width=385&amp;height=120&amp;START_MAXIMIZED=FALSE&amp;creator=factset&amp;display_string=Audit"}</definedName>
    <definedName name="_3309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10__FDSAUDITLINK__" hidden="1">{"fdsup://Directions/FactSet Auditing Viewer?action=AUDIT_VALUE&amp;DB=129&amp;ID1=74727710&amp;VALUEID=02001&amp;SDATE=200501&amp;PERIODTYPE=QTR_STD&amp;SCFT=3&amp;window=popup_no_bar&amp;width=385&amp;height=120&amp;START_MAXIMIZED=FALSE&amp;creator=factset&amp;display_string=Audit"}</definedName>
    <definedName name="_3311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2__FDSAUDITLINK__" hidden="1">{"fdsup://Directions/FactSet Auditing Viewer?action=AUDIT_VALUE&amp;DB=129&amp;ID1=74727710&amp;VALUEID=02001&amp;SDATE=200403&amp;PERIODTYPE=QTR_STD&amp;SCFT=3&amp;window=popup_no_bar&amp;width=385&amp;height=120&amp;START_MAXIMIZED=FALSE&amp;creator=factset&amp;display_string=Audit"}</definedName>
    <definedName name="_3313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4__FDSAUDITLINK__" hidden="1">{"fdsup://Directions/FactSet Auditing Viewer?action=AUDIT_VALUE&amp;DB=129&amp;ID1=74727710&amp;VALUEID=02001&amp;SDATE=200402&amp;PERIODTYPE=QTR_STD&amp;SCFT=3&amp;window=popup_no_bar&amp;width=385&amp;height=120&amp;START_MAXIMIZED=FALSE&amp;creator=factset&amp;display_string=Audit"}</definedName>
    <definedName name="_3315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6__FDSAUDITLINK__" hidden="1">{"fdsup://Directions/FactSet Auditing Viewer?action=AUDIT_VALUE&amp;DB=129&amp;ID1=74727710&amp;VALUEID=02001&amp;SDATE=200401&amp;PERIODTYPE=QTR_STD&amp;SCFT=3&amp;window=popup_no_bar&amp;width=385&amp;height=120&amp;START_MAXIMIZED=FALSE&amp;creator=factset&amp;display_string=Audit"}</definedName>
    <definedName name="_3317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8__FDSAUDITLINK__" hidden="1">{"fdsup://Directions/FactSet Auditing Viewer?action=AUDIT_VALUE&amp;DB=129&amp;ID1=74752510&amp;VALUEID=02001&amp;SDATE=200802&amp;PERIODTYPE=QTR_STD&amp;SCFT=3&amp;window=popup_no_bar&amp;width=385&amp;height=120&amp;START_MAXIMIZED=FALSE&amp;creator=factset&amp;display_string=Audit"}</definedName>
    <definedName name="_3319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__FDSAUDITLINK__" hidden="1">{"fdsup://Directions/FactSet Auditing Viewer?action=AUDIT_VALUE&amp;DB=129&amp;ID1=74727710&amp;VALUEID=02001&amp;SDATE=201002&amp;PERIODTYPE=QTR_STD&amp;SCFT=3&amp;window=popup_no_bar&amp;width=385&amp;height=120&amp;START_MAXIMIZED=FALSE&amp;creator=factset&amp;display_string=Audit"}</definedName>
    <definedName name="_3320__FDSAUDITLINK__" hidden="1">{"fdsup://Directions/FactSet Auditing Viewer?action=AUDIT_VALUE&amp;DB=129&amp;ID1=74752510&amp;VALUEID=02001&amp;SDATE=200801&amp;PERIODTYPE=QTR_STD&amp;SCFT=3&amp;window=popup_no_bar&amp;width=385&amp;height=120&amp;START_MAXIMIZED=FALSE&amp;creator=factset&amp;display_string=Audit"}</definedName>
    <definedName name="_3321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2__FDSAUDITLINK__" hidden="1">{"fdsup://Directions/FactSet Auditing Viewer?action=AUDIT_VALUE&amp;DB=129&amp;ID1=74752510&amp;VALUEID=02001&amp;SDATE=200703&amp;PERIODTYPE=QTR_STD&amp;SCFT=3&amp;window=popup_no_bar&amp;width=385&amp;height=120&amp;START_MAXIMIZED=FALSE&amp;creator=factset&amp;display_string=Audit"}</definedName>
    <definedName name="_3323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4__FDSAUDITLINK__" hidden="1">{"fdsup://Directions/FactSet Auditing Viewer?action=AUDIT_VALUE&amp;DB=129&amp;ID1=74752510&amp;VALUEID=02001&amp;SDATE=200702&amp;PERIODTYPE=QTR_STD&amp;SCFT=3&amp;window=popup_no_bar&amp;width=385&amp;height=120&amp;START_MAXIMIZED=FALSE&amp;creator=factset&amp;display_string=Audit"}</definedName>
    <definedName name="_3325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6__FDSAUDITLINK__" hidden="1">{"fdsup://Directions/FactSet Auditing Viewer?action=AUDIT_VALUE&amp;DB=129&amp;ID1=74752510&amp;VALUEID=02001&amp;SDATE=200701&amp;PERIODTYPE=QTR_STD&amp;SCFT=3&amp;window=popup_no_bar&amp;width=385&amp;height=120&amp;START_MAXIMIZED=FALSE&amp;creator=factset&amp;display_string=Audit"}</definedName>
    <definedName name="_3327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8__FDSAUDITLINK__" hidden="1">{"fdsup://Directions/FactSet Auditing Viewer?action=AUDIT_VALUE&amp;DB=129&amp;ID1=74752510&amp;VALUEID=02001&amp;SDATE=200603&amp;PERIODTYPE=QTR_STD&amp;SCFT=3&amp;window=popup_no_bar&amp;width=385&amp;height=120&amp;START_MAXIMIZED=FALSE&amp;creator=factset&amp;display_string=Audit"}</definedName>
    <definedName name="_3329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30__FDSAUDITLINK__" hidden="1">{"fdsup://Directions/FactSet Auditing Viewer?action=AUDIT_VALUE&amp;DB=129&amp;ID1=74752510&amp;VALUEID=02001&amp;SDATE=200602&amp;PERIODTYPE=QTR_STD&amp;SCFT=3&amp;window=popup_no_bar&amp;width=385&amp;height=120&amp;START_MAXIMIZED=FALSE&amp;creator=factset&amp;display_string=Audit"}</definedName>
    <definedName name="_3331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2__FDSAUDITLINK__" hidden="1">{"fdsup://Directions/FactSet Auditing Viewer?action=AUDIT_VALUE&amp;DB=129&amp;ID1=74752510&amp;VALUEID=02001&amp;SDATE=200601&amp;PERIODTYPE=QTR_STD&amp;SCFT=3&amp;window=popup_no_bar&amp;width=385&amp;height=120&amp;START_MAXIMIZED=FALSE&amp;creator=factset&amp;display_string=Audit"}</definedName>
    <definedName name="_3333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4__FDSAUDITLINK__" hidden="1">{"fdsup://Directions/FactSet Auditing Viewer?action=AUDIT_VALUE&amp;DB=129&amp;ID1=74752510&amp;VALUEID=02001&amp;SDATE=200503&amp;PERIODTYPE=QTR_STD&amp;SCFT=3&amp;window=popup_no_bar&amp;width=385&amp;height=120&amp;START_MAXIMIZED=FALSE&amp;creator=factset&amp;display_string=Audit"}</definedName>
    <definedName name="_3335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6__FDSAUDITLINK__" hidden="1">{"fdsup://Directions/FactSet Auditing Viewer?action=AUDIT_VALUE&amp;DB=129&amp;ID1=74752510&amp;VALUEID=02001&amp;SDATE=200502&amp;PERIODTYPE=QTR_STD&amp;SCFT=3&amp;window=popup_no_bar&amp;width=385&amp;height=120&amp;START_MAXIMIZED=FALSE&amp;creator=factset&amp;display_string=Audit"}</definedName>
    <definedName name="_3337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8__FDSAUDITLINK__" hidden="1">{"fdsup://Directions/FactSet Auditing Viewer?action=AUDIT_VALUE&amp;DB=129&amp;ID1=74752510&amp;VALUEID=02001&amp;SDATE=200501&amp;PERIODTYPE=QTR_STD&amp;SCFT=3&amp;window=popup_no_bar&amp;width=385&amp;height=120&amp;START_MAXIMIZED=FALSE&amp;creator=factset&amp;display_string=Audit"}</definedName>
    <definedName name="_3339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__FDSAUDITLINK__" hidden="1">{"fdsup://Directions/FactSet Auditing Viewer?action=AUDIT_VALUE&amp;DB=129&amp;ID1=74752510&amp;VALUEID=02001&amp;SDATE=201004&amp;PERIODTYPE=QTR_STD&amp;SCFT=3&amp;window=popup_no_bar&amp;width=385&amp;height=120&amp;START_MAXIMIZED=FALSE&amp;creator=factset&amp;display_string=Audit"}</definedName>
    <definedName name="_3340__FDSAUDITLINK__" hidden="1">{"fdsup://Directions/FactSet Auditing Viewer?action=AUDIT_VALUE&amp;DB=129&amp;ID1=74752510&amp;VALUEID=02001&amp;SDATE=200403&amp;PERIODTYPE=QTR_STD&amp;SCFT=3&amp;window=popup_no_bar&amp;width=385&amp;height=120&amp;START_MAXIMIZED=FALSE&amp;creator=factset&amp;display_string=Audit"}</definedName>
    <definedName name="_3341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2__FDSAUDITLINK__" hidden="1">{"fdsup://Directions/FactSet Auditing Viewer?action=AUDIT_VALUE&amp;DB=129&amp;ID1=74752510&amp;VALUEID=02001&amp;SDATE=200402&amp;PERIODTYPE=QTR_STD&amp;SCFT=3&amp;window=popup_no_bar&amp;width=385&amp;height=120&amp;START_MAXIMIZED=FALSE&amp;creator=factset&amp;display_string=Audit"}</definedName>
    <definedName name="_3343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4__FDSAUDITLINK__" hidden="1">{"fdsup://Directions/FactSet Auditing Viewer?action=AUDIT_VALUE&amp;DB=129&amp;ID1=72581M30&amp;VALUEID=02001&amp;SDATE=200801&amp;PERIODTYPE=QTR_STD&amp;SCFT=3&amp;window=popup_no_bar&amp;width=385&amp;height=120&amp;START_MAXIMIZED=FALSE&amp;creator=factset&amp;display_string=Audit"}</definedName>
    <definedName name="_3345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6__FDSAUDITLINK__" hidden="1">{"fdsup://Directions/FactSet Auditing Viewer?action=AUDIT_VALUE&amp;DB=129&amp;ID1=72581M30&amp;VALUEID=02001&amp;SDATE=200703&amp;PERIODTYPE=QTR_STD&amp;SCFT=3&amp;window=popup_no_bar&amp;width=385&amp;height=120&amp;START_MAXIMIZED=FALSE&amp;creator=factset&amp;display_string=Audit"}</definedName>
    <definedName name="_3347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8__FDSAUDITLINK__" hidden="1">{"fdsup://Directions/FactSet Auditing Viewer?action=AUDIT_VALUE&amp;DB=129&amp;ID1=72581M30&amp;VALUEID=02001&amp;SDATE=200702&amp;PERIODTYPE=QTR_STD&amp;SCFT=3&amp;window=popup_no_bar&amp;width=385&amp;height=120&amp;START_MAXIMIZED=FALSE&amp;creator=factset&amp;display_string=Audit"}</definedName>
    <definedName name="_3349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50__FDSAUDITLINK__" hidden="1">{"fdsup://Directions/FactSet Auditing Viewer?action=AUDIT_VALUE&amp;DB=129&amp;ID1=72581M30&amp;VALUEID=02001&amp;SDATE=200701&amp;PERIODTYPE=QTR_STD&amp;SCFT=3&amp;window=popup_no_bar&amp;width=385&amp;height=120&amp;START_MAXIMIZED=FALSE&amp;creator=factset&amp;display_string=Audit"}</definedName>
    <definedName name="_3351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2__FDSAUDITLINK__" hidden="1">{"fdsup://Directions/FactSet Auditing Viewer?action=AUDIT_VALUE&amp;DB=129&amp;ID1=72581M30&amp;VALUEID=02001&amp;SDATE=200603&amp;PERIODTYPE=QTR_STD&amp;SCFT=3&amp;window=popup_no_bar&amp;width=385&amp;height=120&amp;START_MAXIMIZED=FALSE&amp;creator=factset&amp;display_string=Audit"}</definedName>
    <definedName name="_3353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4__FDSAUDITLINK__" hidden="1">{"fdsup://Directions/FactSet Auditing Viewer?action=AUDIT_VALUE&amp;DB=129&amp;ID1=72581M30&amp;VALUEID=02001&amp;SDATE=200602&amp;PERIODTYPE=QTR_STD&amp;SCFT=3&amp;window=popup_no_bar&amp;width=385&amp;height=120&amp;START_MAXIMIZED=FALSE&amp;creator=factset&amp;display_string=Audit"}</definedName>
    <definedName name="_3355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6__FDSAUDITLINK__" hidden="1">{"fdsup://Directions/FactSet Auditing Viewer?action=AUDIT_VALUE&amp;DB=129&amp;ID1=72581M30&amp;VALUEID=02001&amp;SDATE=200601&amp;PERIODTYPE=QTR_STD&amp;SCFT=3&amp;window=popup_no_bar&amp;width=385&amp;height=120&amp;START_MAXIMIZED=FALSE&amp;creator=factset&amp;display_string=Audit"}</definedName>
    <definedName name="_3357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8__FDSAUDITLINK__" hidden="1">{"fdsup://Directions/FactSet Auditing Viewer?action=AUDIT_VALUE&amp;DB=129&amp;ID1=72581M30&amp;VALUEID=02001&amp;SDATE=200503&amp;PERIODTYPE=QTR_STD&amp;SCFT=3&amp;window=popup_no_bar&amp;width=385&amp;height=120&amp;START_MAXIMIZED=FALSE&amp;creator=factset&amp;display_string=Audit"}</definedName>
    <definedName name="_3359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__FDSAUDITLINK__" hidden="1">{"fdsup://Directions/FactSet Auditing Viewer?action=AUDIT_VALUE&amp;DB=129&amp;ID1=72581M30&amp;VALUEID=02001&amp;SDATE=201003&amp;PERIODTYPE=QTR_STD&amp;SCFT=3&amp;window=popup_no_bar&amp;width=385&amp;height=120&amp;START_MAXIMIZED=FALSE&amp;creator=factset&amp;display_string=Audit"}</definedName>
    <definedName name="_3360__FDSAUDITLINK__" hidden="1">{"fdsup://Directions/FactSet Auditing Viewer?action=AUDIT_VALUE&amp;DB=129&amp;ID1=72581M30&amp;VALUEID=02001&amp;SDATE=200502&amp;PERIODTYPE=QTR_STD&amp;SCFT=3&amp;window=popup_no_bar&amp;width=385&amp;height=120&amp;START_MAXIMIZED=FALSE&amp;creator=factset&amp;display_string=Audit"}</definedName>
    <definedName name="_3361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2__FDSAUDITLINK__" hidden="1">{"fdsup://Directions/FactSet Auditing Viewer?action=AUDIT_VALUE&amp;DB=129&amp;ID1=72581M30&amp;VALUEID=02001&amp;SDATE=200501&amp;PERIODTYPE=QTR_STD&amp;SCFT=3&amp;window=popup_no_bar&amp;width=385&amp;height=120&amp;START_MAXIMIZED=FALSE&amp;creator=factset&amp;display_string=Audit"}</definedName>
    <definedName name="_3363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4__FDSAUDITLINK__" hidden="1">{"fdsup://Directions/FactSet Auditing Viewer?action=AUDIT_VALUE&amp;DB=129&amp;ID1=72581M30&amp;VALUEID=02001&amp;SDATE=200403&amp;PERIODTYPE=QTR_STD&amp;SCFT=3&amp;window=popup_no_bar&amp;width=385&amp;height=120&amp;START_MAXIMIZED=FALSE&amp;creator=factset&amp;display_string=Audit"}</definedName>
    <definedName name="_3365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6__FDSAUDITLINK__" hidden="1">{"fdsup://Directions/FactSet Auditing Viewer?action=AUDIT_VALUE&amp;DB=129&amp;ID1=72581M30&amp;VALUEID=02001&amp;SDATE=200402&amp;PERIODTYPE=QTR_STD&amp;SCFT=3&amp;window=popup_no_bar&amp;width=385&amp;height=120&amp;START_MAXIMIZED=FALSE&amp;creator=factset&amp;display_string=Audit"}</definedName>
    <definedName name="_3367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8__FDSAUDITLINK__" hidden="1">{"fdsup://Directions/FactSet Auditing Viewer?action=AUDIT_VALUE&amp;DB=129&amp;ID1=72581M30&amp;VALUEID=02001&amp;SDATE=200401&amp;PERIODTYPE=QTR_STD&amp;SCFT=3&amp;window=popup_no_bar&amp;width=385&amp;height=120&amp;START_MAXIMIZED=FALSE&amp;creator=factset&amp;display_string=Audit"}</definedName>
    <definedName name="_3369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70__FDSAUDITLINK__" hidden="1">{"fdsup://Directions/FactSet Auditing Viewer?action=AUDIT_VALUE&amp;DB=129&amp;ID1=73927610&amp;VALUEID=02001&amp;SDATE=200801&amp;PERIODTYPE=QTR_STD&amp;SCFT=3&amp;window=popup_no_bar&amp;width=385&amp;height=120&amp;START_MAXIMIZED=FALSE&amp;creator=factset&amp;display_string=Audit"}</definedName>
    <definedName name="_3371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2__FDSAUDITLINK__" hidden="1">{"fdsup://Directions/FactSet Auditing Viewer?action=AUDIT_VALUE&amp;DB=129&amp;ID1=73927610&amp;VALUEID=02001&amp;SDATE=200703&amp;PERIODTYPE=QTR_STD&amp;SCFT=3&amp;window=popup_no_bar&amp;width=385&amp;height=120&amp;START_MAXIMIZED=FALSE&amp;creator=factset&amp;display_string=Audit"}</definedName>
    <definedName name="_3373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4__FDSAUDITLINK__" hidden="1">{"fdsup://Directions/FactSet Auditing Viewer?action=AUDIT_VALUE&amp;DB=129&amp;ID1=73927610&amp;VALUEID=02001&amp;SDATE=200702&amp;PERIODTYPE=QTR_STD&amp;SCFT=3&amp;window=popup_no_bar&amp;width=385&amp;height=120&amp;START_MAXIMIZED=FALSE&amp;creator=factset&amp;display_string=Audit"}</definedName>
    <definedName name="_3375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6__FDSAUDITLINK__" hidden="1">{"fdsup://Directions/FactSet Auditing Viewer?action=AUDIT_VALUE&amp;DB=129&amp;ID1=73927610&amp;VALUEID=02001&amp;SDATE=200701&amp;PERIODTYPE=QTR_STD&amp;SCFT=3&amp;window=popup_no_bar&amp;width=385&amp;height=120&amp;START_MAXIMIZED=FALSE&amp;creator=factset&amp;display_string=Audit"}</definedName>
    <definedName name="_3377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8__FDSAUDITLINK__" hidden="1">{"fdsup://Directions/FactSet Auditing Viewer?action=AUDIT_VALUE&amp;DB=129&amp;ID1=73927610&amp;VALUEID=02001&amp;SDATE=200603&amp;PERIODTYPE=QTR_STD&amp;SCFT=3&amp;window=popup_no_bar&amp;width=385&amp;height=120&amp;START_MAXIMIZED=FALSE&amp;creator=factset&amp;display_string=Audit"}</definedName>
    <definedName name="_3379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__FDSAUDITLINK__" hidden="1">{"fdsup://Directions/FactSet Auditing Viewer?action=AUDIT_VALUE&amp;DB=129&amp;ID1=73927610&amp;VALUEID=02001&amp;SDATE=201003&amp;PERIODTYPE=QTR_STD&amp;SCFT=3&amp;window=popup_no_bar&amp;width=385&amp;height=120&amp;START_MAXIMIZED=FALSE&amp;creator=factset&amp;display_string=Audit"}</definedName>
    <definedName name="_3380__FDSAUDITLINK__" hidden="1">{"fdsup://Directions/FactSet Auditing Viewer?action=AUDIT_VALUE&amp;DB=129&amp;ID1=73927610&amp;VALUEID=02001&amp;SDATE=200602&amp;PERIODTYPE=QTR_STD&amp;SCFT=3&amp;window=popup_no_bar&amp;width=385&amp;height=120&amp;START_MAXIMIZED=FALSE&amp;creator=factset&amp;display_string=Audit"}</definedName>
    <definedName name="_3381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2__FDSAUDITLINK__" hidden="1">{"fdsup://Directions/FactSet Auditing Viewer?action=AUDIT_VALUE&amp;DB=129&amp;ID1=73927610&amp;VALUEID=02001&amp;SDATE=200601&amp;PERIODTYPE=QTR_STD&amp;SCFT=3&amp;window=popup_no_bar&amp;width=385&amp;height=120&amp;START_MAXIMIZED=FALSE&amp;creator=factset&amp;display_string=Audit"}</definedName>
    <definedName name="_3383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4__FDSAUDITLINK__" hidden="1">{"fdsup://Directions/FactSet Auditing Viewer?action=AUDIT_VALUE&amp;DB=129&amp;ID1=73927610&amp;VALUEID=02001&amp;SDATE=200503&amp;PERIODTYPE=QTR_STD&amp;SCFT=3&amp;window=popup_no_bar&amp;width=385&amp;height=120&amp;START_MAXIMIZED=FALSE&amp;creator=factset&amp;display_string=Audit"}</definedName>
    <definedName name="_3385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6__FDSAUDITLINK__" hidden="1">{"fdsup://Directions/FactSet Auditing Viewer?action=AUDIT_VALUE&amp;DB=129&amp;ID1=73927610&amp;VALUEID=02001&amp;SDATE=200502&amp;PERIODTYPE=QTR_STD&amp;SCFT=3&amp;window=popup_no_bar&amp;width=385&amp;height=120&amp;START_MAXIMIZED=FALSE&amp;creator=factset&amp;display_string=Audit"}</definedName>
    <definedName name="_3387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8__FDSAUDITLINK__" hidden="1">{"fdsup://Directions/FactSet Auditing Viewer?action=AUDIT_VALUE&amp;DB=129&amp;ID1=73927610&amp;VALUEID=02001&amp;SDATE=200501&amp;PERIODTYPE=QTR_STD&amp;SCFT=3&amp;window=popup_no_bar&amp;width=385&amp;height=120&amp;START_MAXIMIZED=FALSE&amp;creator=factset&amp;display_string=Audit"}</definedName>
    <definedName name="_3389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390__FDSAUDITLINK__" hidden="1">{"fdsup://Directions/FactSet Auditing Viewer?action=AUDIT_VALUE&amp;DB=129&amp;ID1=73927610&amp;VALUEID=02001&amp;SDATE=200403&amp;PERIODTYPE=QTR_STD&amp;SCFT=3&amp;window=popup_no_bar&amp;width=385&amp;height=120&amp;START_MAXIMIZED=FALSE&amp;creator=factset&amp;display_string=Audit"}</definedName>
    <definedName name="_3391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2__FDSAUDITLINK__" hidden="1">{"fdsup://Directions/FactSet Auditing Viewer?action=AUDIT_VALUE&amp;DB=129&amp;ID1=73927610&amp;VALUEID=02001&amp;SDATE=200402&amp;PERIODTYPE=QTR_STD&amp;SCFT=3&amp;window=popup_no_bar&amp;width=385&amp;height=120&amp;START_MAXIMIZED=FALSE&amp;creator=factset&amp;display_string=Audit"}</definedName>
    <definedName name="_3393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4__FDSAUDITLINK__" hidden="1">{"fdsup://Directions/FactSet Auditing Viewer?action=AUDIT_VALUE&amp;DB=129&amp;ID1=73927610&amp;VALUEID=02001&amp;SDATE=200401&amp;PERIODTYPE=QTR_STD&amp;SCFT=3&amp;window=popup_no_bar&amp;width=385&amp;height=120&amp;START_MAXIMIZED=FALSE&amp;creator=factset&amp;display_string=Audit"}</definedName>
    <definedName name="_3395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6__FDSAUDITLINK__" hidden="1">{"fdsup://Directions/FactSet Auditing Viewer?action=AUDIT_VALUE&amp;DB=129&amp;ID1=69344F10&amp;VALUEID=02001&amp;SDATE=200801&amp;PERIODTYPE=QTR_STD&amp;SCFT=3&amp;window=popup_no_bar&amp;width=385&amp;height=120&amp;START_MAXIMIZED=FALSE&amp;creator=factset&amp;display_string=Audit"}</definedName>
    <definedName name="_3397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8__FDSAUDITLINK__" hidden="1">{"fdsup://Directions/FactSet Auditing Viewer?action=AUDIT_VALUE&amp;DB=129&amp;ID1=69344F10&amp;VALUEID=02001&amp;SDATE=200703&amp;PERIODTYPE=QTR_STD&amp;SCFT=3&amp;window=popup_no_bar&amp;width=385&amp;height=120&amp;START_MAXIMIZED=FALSE&amp;creator=factset&amp;display_string=Audit"}</definedName>
    <definedName name="_3399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__FDSAUDITLINK__" hidden="1">{"fdsup://Directions/FactSet Auditing Viewer?action=AUDIT_VALUE&amp;DB=129&amp;ID1=82705T10&amp;VALUEID=02001&amp;SDATE=201101&amp;PERIODTYPE=QTR_STD&amp;SCFT=3&amp;window=popup_no_bar&amp;width=385&amp;height=120&amp;START_MAXIMIZED=FALSE&amp;creator=factset&amp;display_string=Audit"}</definedName>
    <definedName name="_340__FDSAUDITLINK__" hidden="1">{"fdsup://Directions/FactSet Auditing Viewer?action=AUDIT_VALUE&amp;DB=129&amp;ID1=69344F10&amp;VALUEID=02001&amp;SDATE=201003&amp;PERIODTYPE=QTR_STD&amp;SCFT=3&amp;window=popup_no_bar&amp;width=385&amp;height=120&amp;START_MAXIMIZED=FALSE&amp;creator=factset&amp;display_string=Audit"}</definedName>
    <definedName name="_3400__FDSAUDITLINK__" hidden="1">{"fdsup://Directions/FactSet Auditing Viewer?action=AUDIT_VALUE&amp;DB=129&amp;ID1=69344F10&amp;VALUEID=02001&amp;SDATE=200702&amp;PERIODTYPE=QTR_STD&amp;SCFT=3&amp;window=popup_no_bar&amp;width=385&amp;height=120&amp;START_MAXIMIZED=FALSE&amp;creator=factset&amp;display_string=Audit"}</definedName>
    <definedName name="_3401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2__FDSAUDITLINK__" hidden="1">{"fdsup://Directions/FactSet Auditing Viewer?action=AUDIT_VALUE&amp;DB=129&amp;ID1=69344F10&amp;VALUEID=02001&amp;SDATE=200701&amp;PERIODTYPE=QTR_STD&amp;SCFT=3&amp;window=popup_no_bar&amp;width=385&amp;height=120&amp;START_MAXIMIZED=FALSE&amp;creator=factset&amp;display_string=Audit"}</definedName>
    <definedName name="_3403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4__FDSAUDITLINK__" hidden="1">{"fdsup://Directions/FactSet Auditing Viewer?action=AUDIT_VALUE&amp;DB=129&amp;ID1=69344F10&amp;VALUEID=02001&amp;SDATE=200603&amp;PERIODTYPE=QTR_STD&amp;SCFT=3&amp;window=popup_no_bar&amp;width=385&amp;height=120&amp;START_MAXIMIZED=FALSE&amp;creator=factset&amp;display_string=Audit"}</definedName>
    <definedName name="_3405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6__FDSAUDITLINK__" hidden="1">{"fdsup://Directions/FactSet Auditing Viewer?action=AUDIT_VALUE&amp;DB=129&amp;ID1=69344F10&amp;VALUEID=02001&amp;SDATE=200602&amp;PERIODTYPE=QTR_STD&amp;SCFT=3&amp;window=popup_no_bar&amp;width=385&amp;height=120&amp;START_MAXIMIZED=FALSE&amp;creator=factset&amp;display_string=Audit"}</definedName>
    <definedName name="_3407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8__FDSAUDITLINK__" hidden="1">{"fdsup://Directions/FactSet Auditing Viewer?action=AUDIT_VALUE&amp;DB=129&amp;ID1=69344F10&amp;VALUEID=02001&amp;SDATE=200601&amp;PERIODTYPE=QTR_STD&amp;SCFT=3&amp;window=popup_no_bar&amp;width=385&amp;height=120&amp;START_MAXIMIZED=FALSE&amp;creator=factset&amp;display_string=Audit"}</definedName>
    <definedName name="_3409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10__FDSAUDITLINK__" hidden="1">{"fdsup://Directions/FactSet Auditing Viewer?action=AUDIT_VALUE&amp;DB=129&amp;ID1=69344F10&amp;VALUEID=02001&amp;SDATE=200503&amp;PERIODTYPE=QTR_STD&amp;SCFT=3&amp;window=popup_no_bar&amp;width=385&amp;height=120&amp;START_MAXIMIZED=FALSE&amp;creator=factset&amp;display_string=Audit"}</definedName>
    <definedName name="_3411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2__FDSAUDITLINK__" hidden="1">{"fdsup://Directions/FactSet Auditing Viewer?action=AUDIT_VALUE&amp;DB=129&amp;ID1=69344F10&amp;VALUEID=02001&amp;SDATE=200502&amp;PERIODTYPE=QTR_STD&amp;SCFT=3&amp;window=popup_no_bar&amp;width=385&amp;height=120&amp;START_MAXIMIZED=FALSE&amp;creator=factset&amp;display_string=Audit"}</definedName>
    <definedName name="_3413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4__FDSAUDITLINK__" hidden="1">{"fdsup://Directions/FactSet Auditing Viewer?action=AUDIT_VALUE&amp;DB=129&amp;ID1=69344F10&amp;VALUEID=02001&amp;SDATE=200501&amp;PERIODTYPE=QTR_STD&amp;SCFT=3&amp;window=popup_no_bar&amp;width=385&amp;height=120&amp;START_MAXIMIZED=FALSE&amp;creator=factset&amp;display_string=Audit"}</definedName>
    <definedName name="_3415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6__FDSAUDITLINK__" hidden="1">{"fdsup://Directions/FactSet Auditing Viewer?action=AUDIT_VALUE&amp;DB=129&amp;ID1=69344F10&amp;VALUEID=02001&amp;SDATE=200403&amp;PERIODTYPE=QTR_STD&amp;SCFT=3&amp;window=popup_no_bar&amp;width=385&amp;height=120&amp;START_MAXIMIZED=FALSE&amp;creator=factset&amp;display_string=Audit"}</definedName>
    <definedName name="_3417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8__FDSAUDITLINK__" hidden="1">{"fdsup://Directions/FactSet Auditing Viewer?action=AUDIT_VALUE&amp;DB=129&amp;ID1=69344F10&amp;VALUEID=02001&amp;SDATE=200402&amp;PERIODTYPE=QTR_STD&amp;SCFT=3&amp;window=popup_no_bar&amp;width=385&amp;height=120&amp;START_MAXIMIZED=FALSE&amp;creator=factset&amp;display_string=Audit"}</definedName>
    <definedName name="_3419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__FDSAUDITLINK__" hidden="1">{"fdsup://Directions/FactSet Auditing Viewer?action=AUDIT_VALUE&amp;DB=129&amp;ID1=69341710&amp;VALUEID=02001&amp;SDATE=201003&amp;PERIODTYPE=QTR_STD&amp;SCFT=3&amp;window=popup_no_bar&amp;width=385&amp;height=120&amp;START_MAXIMIZED=FALSE&amp;creator=factset&amp;display_string=Audit"}</definedName>
    <definedName name="_3420__FDSAUDITLINK__" hidden="1">{"fdsup://Directions/FactSet Auditing Viewer?action=AUDIT_VALUE&amp;DB=129&amp;ID1=69344F10&amp;VALUEID=02001&amp;SDATE=200401&amp;PERIODTYPE=QTR_STD&amp;SCFT=3&amp;window=popup_no_bar&amp;width=385&amp;height=120&amp;START_MAXIMIZED=FALSE&amp;creator=factset&amp;display_string=Audit"}</definedName>
    <definedName name="_3421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2__FDSAUDITLINK__" hidden="1">{"fdsup://Directions/FactSet Auditing Viewer?action=AUDIT_VALUE&amp;DB=129&amp;ID1=69341710&amp;VALUEID=02001&amp;SDATE=200801&amp;PERIODTYPE=QTR_STD&amp;SCFT=3&amp;window=popup_no_bar&amp;width=385&amp;height=120&amp;START_MAXIMIZED=FALSE&amp;creator=factset&amp;display_string=Audit"}</definedName>
    <definedName name="_3423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4__FDSAUDITLINK__" hidden="1">{"fdsup://Directions/FactSet Auditing Viewer?action=AUDIT_VALUE&amp;DB=129&amp;ID1=69341710&amp;VALUEID=02001&amp;SDATE=200703&amp;PERIODTYPE=QTR_STD&amp;SCFT=3&amp;window=popup_no_bar&amp;width=385&amp;height=120&amp;START_MAXIMIZED=FALSE&amp;creator=factset&amp;display_string=Audit"}</definedName>
    <definedName name="_3425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6__FDSAUDITLINK__" hidden="1">{"fdsup://Directions/FactSet Auditing Viewer?action=AUDIT_VALUE&amp;DB=129&amp;ID1=69341710&amp;VALUEID=02001&amp;SDATE=200702&amp;PERIODTYPE=QTR_STD&amp;SCFT=3&amp;window=popup_no_bar&amp;width=385&amp;height=120&amp;START_MAXIMIZED=FALSE&amp;creator=factset&amp;display_string=Audit"}</definedName>
    <definedName name="_3427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8__FDSAUDITLINK__" hidden="1">{"fdsup://Directions/FactSet Auditing Viewer?action=AUDIT_VALUE&amp;DB=129&amp;ID1=69341710&amp;VALUEID=02001&amp;SDATE=200701&amp;PERIODTYPE=QTR_STD&amp;SCFT=3&amp;window=popup_no_bar&amp;width=385&amp;height=120&amp;START_MAXIMIZED=FALSE&amp;creator=factset&amp;display_string=Audit"}</definedName>
    <definedName name="_3429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30__FDSAUDITLINK__" hidden="1">{"fdsup://Directions/FactSet Auditing Viewer?action=AUDIT_VALUE&amp;DB=129&amp;ID1=69341710&amp;VALUEID=02001&amp;SDATE=200603&amp;PERIODTYPE=QTR_STD&amp;SCFT=3&amp;window=popup_no_bar&amp;width=385&amp;height=120&amp;START_MAXIMIZED=FALSE&amp;creator=factset&amp;display_string=Audit"}</definedName>
    <definedName name="_3431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2__FDSAUDITLINK__" hidden="1">{"fdsup://Directions/FactSet Auditing Viewer?action=AUDIT_VALUE&amp;DB=129&amp;ID1=69341710&amp;VALUEID=02001&amp;SDATE=200602&amp;PERIODTYPE=QTR_STD&amp;SCFT=3&amp;window=popup_no_bar&amp;width=385&amp;height=120&amp;START_MAXIMIZED=FALSE&amp;creator=factset&amp;display_string=Audit"}</definedName>
    <definedName name="_3433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4__FDSAUDITLINK__" hidden="1">{"fdsup://Directions/FactSet Auditing Viewer?action=AUDIT_VALUE&amp;DB=129&amp;ID1=69341710&amp;VALUEID=02001&amp;SDATE=200601&amp;PERIODTYPE=QTR_STD&amp;SCFT=3&amp;window=popup_no_bar&amp;width=385&amp;height=120&amp;START_MAXIMIZED=FALSE&amp;creator=factset&amp;display_string=Audit"}</definedName>
    <definedName name="_3435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6__FDSAUDITLINK__" hidden="1">{"fdsup://Directions/FactSet Auditing Viewer?action=AUDIT_VALUE&amp;DB=129&amp;ID1=69341710&amp;VALUEID=02001&amp;SDATE=200503&amp;PERIODTYPE=QTR_STD&amp;SCFT=3&amp;window=popup_no_bar&amp;width=385&amp;height=120&amp;START_MAXIMIZED=FALSE&amp;creator=factset&amp;display_string=Audit"}</definedName>
    <definedName name="_3437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8__FDSAUDITLINK__" hidden="1">{"fdsup://Directions/FactSet Auditing Viewer?action=AUDIT_VALUE&amp;DB=129&amp;ID1=69341710&amp;VALUEID=02001&amp;SDATE=200502&amp;PERIODTYPE=QTR_STD&amp;SCFT=3&amp;window=popup_no_bar&amp;width=385&amp;height=120&amp;START_MAXIMIZED=FALSE&amp;creator=factset&amp;display_string=Audit"}</definedName>
    <definedName name="_3439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__FDSAUDITLINK__" hidden="1">{"fdsup://Directions/FactSet Auditing Viewer?action=AUDIT_VALUE&amp;DB=129&amp;ID1=68218910&amp;VALUEID=02001&amp;SDATE=201003&amp;PERIODTYPE=QTR_STD&amp;SCFT=3&amp;window=popup_no_bar&amp;width=385&amp;height=120&amp;START_MAXIMIZED=FALSE&amp;creator=factset&amp;display_string=Audit"}</definedName>
    <definedName name="_3440__FDSAUDITLINK__" hidden="1">{"fdsup://Directions/FactSet Auditing Viewer?action=AUDIT_VALUE&amp;DB=129&amp;ID1=69341710&amp;VALUEID=02001&amp;SDATE=200501&amp;PERIODTYPE=QTR_STD&amp;SCFT=3&amp;window=popup_no_bar&amp;width=385&amp;height=120&amp;START_MAXIMIZED=FALSE&amp;creator=factset&amp;display_string=Audit"}</definedName>
    <definedName name="_3441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2__FDSAUDITLINK__" hidden="1">{"fdsup://Directions/FactSet Auditing Viewer?action=AUDIT_VALUE&amp;DB=129&amp;ID1=69341710&amp;VALUEID=02001&amp;SDATE=200403&amp;PERIODTYPE=QTR_STD&amp;SCFT=3&amp;window=popup_no_bar&amp;width=385&amp;height=120&amp;START_MAXIMIZED=FALSE&amp;creator=factset&amp;display_string=Audit"}</definedName>
    <definedName name="_3443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4__FDSAUDITLINK__" hidden="1">{"fdsup://Directions/FactSet Auditing Viewer?action=AUDIT_VALUE&amp;DB=129&amp;ID1=69341710&amp;VALUEID=02001&amp;SDATE=200402&amp;PERIODTYPE=QTR_STD&amp;SCFT=3&amp;window=popup_no_bar&amp;width=385&amp;height=120&amp;START_MAXIMIZED=FALSE&amp;creator=factset&amp;display_string=Audit"}</definedName>
    <definedName name="_3445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6__FDSAUDITLINK__" hidden="1">{"fdsup://Directions/FactSet Auditing Viewer?action=AUDIT_VALUE&amp;DB=129&amp;ID1=69341710&amp;VALUEID=02001&amp;SDATE=200401&amp;PERIODTYPE=QTR_STD&amp;SCFT=3&amp;window=popup_no_bar&amp;width=385&amp;height=120&amp;START_MAXIMIZED=FALSE&amp;creator=factset&amp;display_string=Audit"}</definedName>
    <definedName name="_3447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8__FDSAUDITLINK__" hidden="1">{"fdsup://Directions/FactSet Auditing Viewer?action=AUDIT_VALUE&amp;DB=129&amp;ID1=68218910&amp;VALUEID=02001&amp;SDATE=200801&amp;PERIODTYPE=QTR_STD&amp;SCFT=3&amp;window=popup_no_bar&amp;width=385&amp;height=120&amp;START_MAXIMIZED=FALSE&amp;creator=factset&amp;display_string=Audit"}</definedName>
    <definedName name="_3449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50__FDSAUDITLINK__" hidden="1">{"fdsup://Directions/FactSet Auditing Viewer?action=AUDIT_VALUE&amp;DB=129&amp;ID1=68218910&amp;VALUEID=02001&amp;SDATE=200703&amp;PERIODTYPE=QTR_STD&amp;SCFT=3&amp;window=popup_no_bar&amp;width=385&amp;height=120&amp;START_MAXIMIZED=FALSE&amp;creator=factset&amp;display_string=Audit"}</definedName>
    <definedName name="_3451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2__FDSAUDITLINK__" hidden="1">{"fdsup://Directions/FactSet Auditing Viewer?action=AUDIT_VALUE&amp;DB=129&amp;ID1=68218910&amp;VALUEID=02001&amp;SDATE=200702&amp;PERIODTYPE=QTR_STD&amp;SCFT=3&amp;window=popup_no_bar&amp;width=385&amp;height=120&amp;START_MAXIMIZED=FALSE&amp;creator=factset&amp;display_string=Audit"}</definedName>
    <definedName name="_3453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4__FDSAUDITLINK__" hidden="1">{"fdsup://Directions/FactSet Auditing Viewer?action=AUDIT_VALUE&amp;DB=129&amp;ID1=68218910&amp;VALUEID=02001&amp;SDATE=200701&amp;PERIODTYPE=QTR_STD&amp;SCFT=3&amp;window=popup_no_bar&amp;width=385&amp;height=120&amp;START_MAXIMIZED=FALSE&amp;creator=factset&amp;display_string=Audit"}</definedName>
    <definedName name="_3455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6__FDSAUDITLINK__" hidden="1">{"fdsup://Directions/FactSet Auditing Viewer?action=AUDIT_VALUE&amp;DB=129&amp;ID1=68218910&amp;VALUEID=02001&amp;SDATE=200603&amp;PERIODTYPE=QTR_STD&amp;SCFT=3&amp;window=popup_no_bar&amp;width=385&amp;height=120&amp;START_MAXIMIZED=FALSE&amp;creator=factset&amp;display_string=Audit"}</definedName>
    <definedName name="_3457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8__FDSAUDITLINK__" hidden="1">{"fdsup://Directions/FactSet Auditing Viewer?action=AUDIT_VALUE&amp;DB=129&amp;ID1=68218910&amp;VALUEID=02001&amp;SDATE=200602&amp;PERIODTYPE=QTR_STD&amp;SCFT=3&amp;window=popup_no_bar&amp;width=385&amp;height=120&amp;START_MAXIMIZED=FALSE&amp;creator=factset&amp;display_string=Audit"}</definedName>
    <definedName name="_3459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__FDSAUDITLINK__" hidden="1">{"fdsup://Directions/FactSet Auditing Viewer?action=AUDIT_VALUE&amp;DB=129&amp;ID1=B505PN&amp;VALUEID=02001&amp;SDATE=201003&amp;PERIODTYPE=QTR_STD&amp;SCFT=3&amp;window=popup_no_bar&amp;width=385&amp;height=120&amp;START_MAXIMIZED=FALSE&amp;creator=factset&amp;display_string=Audit"}</definedName>
    <definedName name="_3460__FDSAUDITLINK__" hidden="1">{"fdsup://Directions/FactSet Auditing Viewer?action=AUDIT_VALUE&amp;DB=129&amp;ID1=68218910&amp;VALUEID=02001&amp;SDATE=200601&amp;PERIODTYPE=QTR_STD&amp;SCFT=3&amp;window=popup_no_bar&amp;width=385&amp;height=120&amp;START_MAXIMIZED=FALSE&amp;creator=factset&amp;display_string=Audit"}</definedName>
    <definedName name="_3461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2__FDSAUDITLINK__" hidden="1">{"fdsup://Directions/FactSet Auditing Viewer?action=AUDIT_VALUE&amp;DB=129&amp;ID1=68218910&amp;VALUEID=02001&amp;SDATE=200503&amp;PERIODTYPE=QTR_STD&amp;SCFT=3&amp;window=popup_no_bar&amp;width=385&amp;height=120&amp;START_MAXIMIZED=FALSE&amp;creator=factset&amp;display_string=Audit"}</definedName>
    <definedName name="_3463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4__FDSAUDITLINK__" hidden="1">{"fdsup://Directions/FactSet Auditing Viewer?action=AUDIT_VALUE&amp;DB=129&amp;ID1=68218910&amp;VALUEID=02001&amp;SDATE=200502&amp;PERIODTYPE=QTR_STD&amp;SCFT=3&amp;window=popup_no_bar&amp;width=385&amp;height=120&amp;START_MAXIMIZED=FALSE&amp;creator=factset&amp;display_string=Audit"}</definedName>
    <definedName name="_3465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6__FDSAUDITLINK__" hidden="1">{"fdsup://Directions/FactSet Auditing Viewer?action=AUDIT_VALUE&amp;DB=129&amp;ID1=68218910&amp;VALUEID=02001&amp;SDATE=200403&amp;PERIODTYPE=QTR_STD&amp;SCFT=3&amp;window=popup_no_bar&amp;width=385&amp;height=120&amp;START_MAXIMIZED=FALSE&amp;creator=factset&amp;display_string=Audit"}</definedName>
    <definedName name="_3467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8__FDSAUDITLINK__" hidden="1">{"fdsup://Directions/FactSet Auditing Viewer?action=AUDIT_VALUE&amp;DB=129&amp;ID1=68218910&amp;VALUEID=02001&amp;SDATE=200402&amp;PERIODTYPE=QTR_STD&amp;SCFT=3&amp;window=popup_no_bar&amp;width=385&amp;height=120&amp;START_MAXIMIZED=FALSE&amp;creator=factset&amp;display_string=Audit"}</definedName>
    <definedName name="_3469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70__FDSAUDITLINK__" hidden="1">{"fdsup://Directions/FactSet Auditing Viewer?action=AUDIT_VALUE&amp;DB=129&amp;ID1=68218910&amp;VALUEID=02001&amp;SDATE=200401&amp;PERIODTYPE=QTR_STD&amp;SCFT=3&amp;window=popup_no_bar&amp;width=385&amp;height=120&amp;START_MAXIMIZED=FALSE&amp;creator=factset&amp;display_string=Audit"}</definedName>
    <definedName name="_3471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2__FDSAUDITLINK__" hidden="1">{"fdsup://Directions/FactSet Auditing Viewer?action=AUDIT_VALUE&amp;DB=129&amp;ID1=B505PN&amp;VALUEID=02001&amp;SDATE=200801&amp;PERIODTYPE=QTR_STD&amp;SCFT=3&amp;window=popup_no_bar&amp;width=385&amp;height=120&amp;START_MAXIMIZED=FALSE&amp;creator=factset&amp;display_string=Audit"}</definedName>
    <definedName name="_3473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4__FDSAUDITLINK__" hidden="1">{"fdsup://Directions/FactSet Auditing Viewer?action=AUDIT_VALUE&amp;DB=129&amp;ID1=67000810&amp;VALUEID=02001&amp;SDATE=200801&amp;PERIODTYPE=QTR_STD&amp;SCFT=3&amp;window=popup_no_bar&amp;width=385&amp;height=120&amp;START_MAXIMIZED=FALSE&amp;creator=factset&amp;display_string=Audit"}</definedName>
    <definedName name="_3475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6__FDSAUDITLINK__" hidden="1">{"fdsup://Directions/FactSet Auditing Viewer?action=AUDIT_VALUE&amp;DB=129&amp;ID1=67000810&amp;VALUEID=02001&amp;SDATE=200703&amp;PERIODTYPE=QTR_STD&amp;SCFT=3&amp;window=popup_no_bar&amp;width=385&amp;height=120&amp;START_MAXIMIZED=FALSE&amp;creator=factset&amp;display_string=Audit"}</definedName>
    <definedName name="_3477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8__FDSAUDITLINK__" hidden="1">{"fdsup://Directions/FactSet Auditing Viewer?action=AUDIT_VALUE&amp;DB=129&amp;ID1=67000810&amp;VALUEID=02001&amp;SDATE=200702&amp;PERIODTYPE=QTR_STD&amp;SCFT=3&amp;window=popup_no_bar&amp;width=385&amp;height=120&amp;START_MAXIMIZED=FALSE&amp;creator=factset&amp;display_string=Audit"}</definedName>
    <definedName name="_3479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__FDSAUDITLINK__" hidden="1">{"fdsup://Directions/FactSet Auditing Viewer?action=AUDIT_VALUE&amp;DB=129&amp;ID1=67000810&amp;VALUEID=02001&amp;SDATE=201003&amp;PERIODTYPE=QTR_STD&amp;SCFT=3&amp;window=popup_no_bar&amp;width=385&amp;height=120&amp;START_MAXIMIZED=FALSE&amp;creator=factset&amp;display_string=Audit"}</definedName>
    <definedName name="_3480__FDSAUDITLINK__" hidden="1">{"fdsup://Directions/FactSet Auditing Viewer?action=AUDIT_VALUE&amp;DB=129&amp;ID1=67000810&amp;VALUEID=02001&amp;SDATE=200701&amp;PERIODTYPE=QTR_STD&amp;SCFT=3&amp;window=popup_no_bar&amp;width=385&amp;height=120&amp;START_MAXIMIZED=FALSE&amp;creator=factset&amp;display_string=Audit"}</definedName>
    <definedName name="_3481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2__FDSAUDITLINK__" hidden="1">{"fdsup://Directions/FactSet Auditing Viewer?action=AUDIT_VALUE&amp;DB=129&amp;ID1=67000810&amp;VALUEID=02001&amp;SDATE=200603&amp;PERIODTYPE=QTR_STD&amp;SCFT=3&amp;window=popup_no_bar&amp;width=385&amp;height=120&amp;START_MAXIMIZED=FALSE&amp;creator=factset&amp;display_string=Audit"}</definedName>
    <definedName name="_3483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4__FDSAUDITLINK__" hidden="1">{"fdsup://Directions/FactSet Auditing Viewer?action=AUDIT_VALUE&amp;DB=129&amp;ID1=67000810&amp;VALUEID=02001&amp;SDATE=200602&amp;PERIODTYPE=QTR_STD&amp;SCFT=3&amp;window=popup_no_bar&amp;width=385&amp;height=120&amp;START_MAXIMIZED=FALSE&amp;creator=factset&amp;display_string=Audit"}</definedName>
    <definedName name="_3485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6__FDSAUDITLINK__" hidden="1">{"fdsup://Directions/FactSet Auditing Viewer?action=AUDIT_VALUE&amp;DB=129&amp;ID1=67000810&amp;VALUEID=02001&amp;SDATE=200601&amp;PERIODTYPE=QTR_STD&amp;SCFT=3&amp;window=popup_no_bar&amp;width=385&amp;height=120&amp;START_MAXIMIZED=FALSE&amp;creator=factset&amp;display_string=Audit"}</definedName>
    <definedName name="_3487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8__FDSAUDITLINK__" hidden="1">{"fdsup://Directions/FactSet Auditing Viewer?action=AUDIT_VALUE&amp;DB=129&amp;ID1=67000810&amp;VALUEID=02001&amp;SDATE=200503&amp;PERIODTYPE=QTR_STD&amp;SCFT=3&amp;window=popup_no_bar&amp;width=385&amp;height=120&amp;START_MAXIMIZED=FALSE&amp;creator=factset&amp;display_string=Audit"}</definedName>
    <definedName name="_3489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490__FDSAUDITLINK__" hidden="1">{"fdsup://Directions/FactSet Auditing Viewer?action=AUDIT_VALUE&amp;DB=129&amp;ID1=67000810&amp;VALUEID=02001&amp;SDATE=200502&amp;PERIODTYPE=QTR_STD&amp;SCFT=3&amp;window=popup_no_bar&amp;width=385&amp;height=120&amp;START_MAXIMIZED=FALSE&amp;creator=factset&amp;display_string=Audit"}</definedName>
    <definedName name="_3491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2__FDSAUDITLINK__" hidden="1">{"fdsup://Directions/FactSet Auditing Viewer?action=AUDIT_VALUE&amp;DB=129&amp;ID1=67000810&amp;VALUEID=02001&amp;SDATE=200501&amp;PERIODTYPE=QTR_STD&amp;SCFT=3&amp;window=popup_no_bar&amp;width=385&amp;height=120&amp;START_MAXIMIZED=FALSE&amp;creator=factset&amp;display_string=Audit"}</definedName>
    <definedName name="_3493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4__FDSAUDITLINK__" hidden="1">{"fdsup://Directions/FactSet Auditing Viewer?action=AUDIT_VALUE&amp;DB=129&amp;ID1=67000810&amp;VALUEID=02001&amp;SDATE=200403&amp;PERIODTYPE=QTR_STD&amp;SCFT=3&amp;window=popup_no_bar&amp;width=385&amp;height=120&amp;START_MAXIMIZED=FALSE&amp;creator=factset&amp;display_string=Audit"}</definedName>
    <definedName name="_3495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6__FDSAUDITLINK__" hidden="1">{"fdsup://Directions/FactSet Auditing Viewer?action=AUDIT_VALUE&amp;DB=129&amp;ID1=67000810&amp;VALUEID=02001&amp;SDATE=200402&amp;PERIODTYPE=QTR_STD&amp;SCFT=3&amp;window=popup_no_bar&amp;width=385&amp;height=120&amp;START_MAXIMIZED=FALSE&amp;creator=factset&amp;display_string=Audit"}</definedName>
    <definedName name="_3497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8__FDSAUDITLINK__" hidden="1">{"fdsup://Directions/FactSet Auditing Viewer?action=AUDIT_VALUE&amp;DB=129&amp;ID1=67000810&amp;VALUEID=02001&amp;SDATE=200401&amp;PERIODTYPE=QTR_STD&amp;SCFT=3&amp;window=popup_no_bar&amp;width=385&amp;height=120&amp;START_MAXIMIZED=FALSE&amp;creator=factset&amp;display_string=Audit"}</definedName>
    <definedName name="_3499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50__FDSAUDITLINK__" hidden="1">{"fdsup://Directions/FactSet Auditing Viewer?action=AUDIT_VALUE&amp;DB=129&amp;ID1=67066G10&amp;VALUEID=02001&amp;SDATE=201003&amp;PERIODTYPE=QTR_STD&amp;SCFT=3&amp;window=popup_no_bar&amp;width=385&amp;height=120&amp;START_MAXIMIZED=FALSE&amp;creator=factset&amp;display_string=Audit"}</definedName>
    <definedName name="_3500__FDSAUDITLINK__" hidden="1">{"fdsup://Directions/FactSet Auditing Viewer?action=AUDIT_VALUE&amp;DB=129&amp;ID1=67066G10&amp;VALUEID=02001&amp;SDATE=200801&amp;PERIODTYPE=QTR_STD&amp;SCFT=3&amp;window=popup_no_bar&amp;width=385&amp;height=120&amp;START_MAXIMIZED=FALSE&amp;creator=factset&amp;display_string=Audit"}</definedName>
    <definedName name="_3501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2__FDSAUDITLINK__" hidden="1">{"fdsup://Directions/FactSet Auditing Viewer?action=AUDIT_VALUE&amp;DB=129&amp;ID1=67066G10&amp;VALUEID=02001&amp;SDATE=200703&amp;PERIODTYPE=QTR_STD&amp;SCFT=3&amp;window=popup_no_bar&amp;width=385&amp;height=120&amp;START_MAXIMIZED=FALSE&amp;creator=factset&amp;display_string=Audit"}</definedName>
    <definedName name="_3503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4__FDSAUDITLINK__" hidden="1">{"fdsup://Directions/FactSet Auditing Viewer?action=AUDIT_VALUE&amp;DB=129&amp;ID1=67066G10&amp;VALUEID=02001&amp;SDATE=200702&amp;PERIODTYPE=QTR_STD&amp;SCFT=3&amp;window=popup_no_bar&amp;width=385&amp;height=120&amp;START_MAXIMIZED=FALSE&amp;creator=factset&amp;display_string=Audit"}</definedName>
    <definedName name="_3505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6__FDSAUDITLINK__" hidden="1">{"fdsup://Directions/FactSet Auditing Viewer?action=AUDIT_VALUE&amp;DB=129&amp;ID1=67066G10&amp;VALUEID=02001&amp;SDATE=200701&amp;PERIODTYPE=QTR_STD&amp;SCFT=3&amp;window=popup_no_bar&amp;width=385&amp;height=120&amp;START_MAXIMIZED=FALSE&amp;creator=factset&amp;display_string=Audit"}</definedName>
    <definedName name="_3507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8__FDSAUDITLINK__" hidden="1">{"fdsup://Directions/FactSet Auditing Viewer?action=AUDIT_VALUE&amp;DB=129&amp;ID1=67066G10&amp;VALUEID=02001&amp;SDATE=200603&amp;PERIODTYPE=QTR_STD&amp;SCFT=3&amp;window=popup_no_bar&amp;width=385&amp;height=120&amp;START_MAXIMIZED=FALSE&amp;creator=factset&amp;display_string=Audit"}</definedName>
    <definedName name="_3509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10__FDSAUDITLINK__" hidden="1">{"fdsup://Directions/FactSet Auditing Viewer?action=AUDIT_VALUE&amp;DB=129&amp;ID1=67066G10&amp;VALUEID=02001&amp;SDATE=200602&amp;PERIODTYPE=QTR_STD&amp;SCFT=3&amp;window=popup_no_bar&amp;width=385&amp;height=120&amp;START_MAXIMIZED=FALSE&amp;creator=factset&amp;display_string=Audit"}</definedName>
    <definedName name="_3511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2__FDSAUDITLINK__" hidden="1">{"fdsup://Directions/FactSet Auditing Viewer?action=AUDIT_VALUE&amp;DB=129&amp;ID1=67066G10&amp;VALUEID=02001&amp;SDATE=200601&amp;PERIODTYPE=QTR_STD&amp;SCFT=3&amp;window=popup_no_bar&amp;width=385&amp;height=120&amp;START_MAXIMIZED=FALSE&amp;creator=factset&amp;display_string=Audit"}</definedName>
    <definedName name="_3513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4__FDSAUDITLINK__" hidden="1">{"fdsup://Directions/FactSet Auditing Viewer?action=AUDIT_VALUE&amp;DB=129&amp;ID1=67066G10&amp;VALUEID=02001&amp;SDATE=200503&amp;PERIODTYPE=QTR_STD&amp;SCFT=3&amp;window=popup_no_bar&amp;width=385&amp;height=120&amp;START_MAXIMIZED=FALSE&amp;creator=factset&amp;display_string=Audit"}</definedName>
    <definedName name="_3515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6__FDSAUDITLINK__" hidden="1">{"fdsup://Directions/FactSet Auditing Viewer?action=AUDIT_VALUE&amp;DB=129&amp;ID1=67066G10&amp;VALUEID=02001&amp;SDATE=200502&amp;PERIODTYPE=QTR_STD&amp;SCFT=3&amp;window=popup_no_bar&amp;width=385&amp;height=120&amp;START_MAXIMIZED=FALSE&amp;creator=factset&amp;display_string=Audit"}</definedName>
    <definedName name="_3517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8__FDSAUDITLINK__" hidden="1">{"fdsup://Directions/FactSet Auditing Viewer?action=AUDIT_VALUE&amp;DB=129&amp;ID1=67066G10&amp;VALUEID=02001&amp;SDATE=200501&amp;PERIODTYPE=QTR_STD&amp;SCFT=3&amp;window=popup_no_bar&amp;width=385&amp;height=120&amp;START_MAXIMIZED=FALSE&amp;creator=factset&amp;display_string=Audit"}</definedName>
    <definedName name="_3519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__FDSAUDITLINK__" hidden="1">{"fdsup://Directions/FactSet Auditing Viewer?action=AUDIT_VALUE&amp;DB=129&amp;ID1=63764010&amp;VALUEID=02001&amp;SDATE=201001&amp;PERIODTYPE=QTR_STD&amp;SCFT=3&amp;window=popup_no_bar&amp;width=385&amp;height=120&amp;START_MAXIMIZED=FALSE&amp;creator=factset&amp;display_string=Audit"}</definedName>
    <definedName name="_3520__FDSAUDITLINK__" hidden="1">{"fdsup://Directions/FactSet Auditing Viewer?action=AUDIT_VALUE&amp;DB=129&amp;ID1=67066G10&amp;VALUEID=02001&amp;SDATE=200403&amp;PERIODTYPE=QTR_STD&amp;SCFT=3&amp;window=popup_no_bar&amp;width=385&amp;height=120&amp;START_MAXIMIZED=FALSE&amp;creator=factset&amp;display_string=Audit"}</definedName>
    <definedName name="_3521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2__FDSAUDITLINK__" hidden="1">{"fdsup://Directions/FactSet Auditing Viewer?action=AUDIT_VALUE&amp;DB=129&amp;ID1=67066G10&amp;VALUEID=02001&amp;SDATE=200402&amp;PERIODTYPE=QTR_STD&amp;SCFT=3&amp;window=popup_no_bar&amp;width=385&amp;height=120&amp;START_MAXIMIZED=FALSE&amp;creator=factset&amp;display_string=Audit"}</definedName>
    <definedName name="_3523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4__FDSAUDITLINK__" hidden="1">{"fdsup://Directions/FactSet Auditing Viewer?action=AUDIT_VALUE&amp;DB=129&amp;ID1=67066G10&amp;VALUEID=02001&amp;SDATE=200401&amp;PERIODTYPE=QTR_STD&amp;SCFT=3&amp;window=popup_no_bar&amp;width=385&amp;height=120&amp;START_MAXIMIZED=FALSE&amp;creator=factset&amp;display_string=Audit"}</definedName>
    <definedName name="_3525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6__FDSAUDITLINK__" hidden="1">{"fdsup://Directions/FactSet Auditing Viewer?action=AUDIT_VALUE&amp;DB=129&amp;ID1=63764010&amp;VALUEID=02001&amp;SDATE=200703&amp;PERIODTYPE=QTR_STD&amp;SCFT=3&amp;window=popup_no_bar&amp;width=385&amp;height=120&amp;START_MAXIMIZED=FALSE&amp;creator=factset&amp;display_string=Audit"}</definedName>
    <definedName name="_3527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8__FDSAUDITLINK__" hidden="1">{"fdsup://Directions/FactSet Auditing Viewer?action=AUDIT_VALUE&amp;DB=129&amp;ID1=63764010&amp;VALUEID=02001&amp;SDATE=200702&amp;PERIODTYPE=QTR_STD&amp;SCFT=3&amp;window=popup_no_bar&amp;width=385&amp;height=120&amp;START_MAXIMIZED=FALSE&amp;creator=factset&amp;display_string=Audit"}</definedName>
    <definedName name="_3529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30__FDSAUDITLINK__" hidden="1">{"fdsup://Directions/FactSet Auditing Viewer?action=AUDIT_VALUE&amp;DB=129&amp;ID1=63764010&amp;VALUEID=02001&amp;SDATE=200701&amp;PERIODTYPE=QTR_STD&amp;SCFT=3&amp;window=popup_no_bar&amp;width=385&amp;height=120&amp;START_MAXIMIZED=FALSE&amp;creator=factset&amp;display_string=Audit"}</definedName>
    <definedName name="_3531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2__FDSAUDITLINK__" hidden="1">{"fdsup://Directions/FactSet Auditing Viewer?action=AUDIT_VALUE&amp;DB=129&amp;ID1=63764010&amp;VALUEID=02001&amp;SDATE=200603&amp;PERIODTYPE=QTR_STD&amp;SCFT=3&amp;window=popup_no_bar&amp;width=385&amp;height=120&amp;START_MAXIMIZED=FALSE&amp;creator=factset&amp;display_string=Audit"}</definedName>
    <definedName name="_3533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4__FDSAUDITLINK__" hidden="1">{"fdsup://Directions/FactSet Auditing Viewer?action=AUDIT_VALUE&amp;DB=129&amp;ID1=63764010&amp;VALUEID=02001&amp;SDATE=200602&amp;PERIODTYPE=QTR_STD&amp;SCFT=3&amp;window=popup_no_bar&amp;width=385&amp;height=120&amp;START_MAXIMIZED=FALSE&amp;creator=factset&amp;display_string=Audit"}</definedName>
    <definedName name="_3535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6__FDSAUDITLINK__" hidden="1">{"fdsup://Directions/FactSet Auditing Viewer?action=AUDIT_VALUE&amp;DB=129&amp;ID1=63764010&amp;VALUEID=02001&amp;SDATE=200601&amp;PERIODTYPE=QTR_STD&amp;SCFT=3&amp;window=popup_no_bar&amp;width=385&amp;height=120&amp;START_MAXIMIZED=FALSE&amp;creator=factset&amp;display_string=Audit"}</definedName>
    <definedName name="_3537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8__FDSAUDITLINK__" hidden="1">{"fdsup://Directions/FactSet Auditing Viewer?action=AUDIT_VALUE&amp;DB=129&amp;ID1=63764010&amp;VALUEID=02001&amp;SDATE=200503&amp;PERIODTYPE=QTR_STD&amp;SCFT=3&amp;window=popup_no_bar&amp;width=385&amp;height=120&amp;START_MAXIMIZED=FALSE&amp;creator=factset&amp;display_string=Audit"}</definedName>
    <definedName name="_3539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__FDSAUDITLINK__" hidden="1">{"fdsup://Directions/FactSet Auditing Viewer?action=AUDIT_VALUE&amp;DB=129&amp;ID1=64118B10&amp;VALUEID=02001&amp;SDATE=201003&amp;PERIODTYPE=QTR_STD&amp;SCFT=3&amp;window=popup_no_bar&amp;width=385&amp;height=120&amp;START_MAXIMIZED=FALSE&amp;creator=factset&amp;display_string=Audit"}</definedName>
    <definedName name="_3540__FDSAUDITLINK__" hidden="1">{"fdsup://Directions/FactSet Auditing Viewer?action=AUDIT_VALUE&amp;DB=129&amp;ID1=63764010&amp;VALUEID=02001&amp;SDATE=200502&amp;PERIODTYPE=QTR_STD&amp;SCFT=3&amp;window=popup_no_bar&amp;width=385&amp;height=120&amp;START_MAXIMIZED=FALSE&amp;creator=factset&amp;display_string=Audit"}</definedName>
    <definedName name="_3541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2__FDSAUDITLINK__" hidden="1">{"fdsup://Directions/FactSet Auditing Viewer?action=AUDIT_VALUE&amp;DB=129&amp;ID1=63764010&amp;VALUEID=02001&amp;SDATE=200501&amp;PERIODTYPE=QTR_STD&amp;SCFT=3&amp;window=popup_no_bar&amp;width=385&amp;height=120&amp;START_MAXIMIZED=FALSE&amp;creator=factset&amp;display_string=Audit"}</definedName>
    <definedName name="_3543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4__FDSAUDITLINK__" hidden="1">{"fdsup://Directions/FactSet Auditing Viewer?action=AUDIT_VALUE&amp;DB=129&amp;ID1=63764010&amp;VALUEID=02001&amp;SDATE=200403&amp;PERIODTYPE=QTR_STD&amp;SCFT=3&amp;window=popup_no_bar&amp;width=385&amp;height=120&amp;START_MAXIMIZED=FALSE&amp;creator=factset&amp;display_string=Audit"}</definedName>
    <definedName name="_3545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6__FDSAUDITLINK__" hidden="1">{"fdsup://Directions/FactSet Auditing Viewer?action=AUDIT_VALUE&amp;DB=129&amp;ID1=63764010&amp;VALUEID=02001&amp;SDATE=200402&amp;PERIODTYPE=QTR_STD&amp;SCFT=3&amp;window=popup_no_bar&amp;width=385&amp;height=120&amp;START_MAXIMIZED=FALSE&amp;creator=factset&amp;display_string=Audit"}</definedName>
    <definedName name="_3547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8__FDSAUDITLINK__" hidden="1">{"fdsup://Directions/FactSet Auditing Viewer?action=AUDIT_VALUE&amp;DB=129&amp;ID1=63764010&amp;VALUEID=02001&amp;SDATE=200401&amp;PERIODTYPE=QTR_STD&amp;SCFT=3&amp;window=popup_no_bar&amp;width=385&amp;height=120&amp;START_MAXIMIZED=FALSE&amp;creator=factset&amp;display_string=Audit"}</definedName>
    <definedName name="_3549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50__FDSAUDITLINK__" hidden="1">{"fdsup://Directions/FactSet Auditing Viewer?action=AUDIT_VALUE&amp;DB=129&amp;ID1=63764010&amp;VALUEID=02001&amp;SDATE=200303&amp;PERIODTYPE=QTR_STD&amp;SCFT=3&amp;window=popup_no_bar&amp;width=385&amp;height=120&amp;START_MAXIMIZED=FALSE&amp;creator=factset&amp;display_string=Audit"}</definedName>
    <definedName name="_3551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2__FDSAUDITLINK__" hidden="1">{"fdsup://Directions/FactSet Auditing Viewer?action=AUDIT_VALUE&amp;DB=129&amp;ID1=64118B10&amp;VALUEID=02001&amp;SDATE=200801&amp;PERIODTYPE=QTR_STD&amp;SCFT=3&amp;window=popup_no_bar&amp;width=385&amp;height=120&amp;START_MAXIMIZED=FALSE&amp;creator=factset&amp;display_string=Audit"}</definedName>
    <definedName name="_3553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4__FDSAUDITLINK__" hidden="1">{"fdsup://Directions/FactSet Auditing Viewer?action=AUDIT_VALUE&amp;DB=129&amp;ID1=64118B10&amp;VALUEID=02001&amp;SDATE=200703&amp;PERIODTYPE=QTR_STD&amp;SCFT=3&amp;window=popup_no_bar&amp;width=385&amp;height=120&amp;START_MAXIMIZED=FALSE&amp;creator=factset&amp;display_string=Audit"}</definedName>
    <definedName name="_3555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6__FDSAUDITLINK__" hidden="1">{"fdsup://Directions/FactSet Auditing Viewer?action=AUDIT_VALUE&amp;DB=129&amp;ID1=64118B10&amp;VALUEID=02001&amp;SDATE=200702&amp;PERIODTYPE=QTR_STD&amp;SCFT=3&amp;window=popup_no_bar&amp;width=385&amp;height=120&amp;START_MAXIMIZED=FALSE&amp;creator=factset&amp;display_string=Audit"}</definedName>
    <definedName name="_3557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8__FDSAUDITLINK__" hidden="1">{"fdsup://Directions/FactSet Auditing Viewer?action=AUDIT_VALUE&amp;DB=129&amp;ID1=64118B10&amp;VALUEID=02001&amp;SDATE=200701&amp;PERIODTYPE=QTR_STD&amp;SCFT=3&amp;window=popup_no_bar&amp;width=385&amp;height=120&amp;START_MAXIMIZED=FALSE&amp;creator=factset&amp;display_string=Audit"}</definedName>
    <definedName name="_3559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__FDSAUDITLINK__" hidden="1">{"fdsup://Directions/FactSet Auditing Viewer?action=AUDIT_VALUE&amp;DB=129&amp;ID1=57772K10&amp;VALUEID=02001&amp;SDATE=201101&amp;PERIODTYPE=QTR_STD&amp;SCFT=3&amp;window=popup_no_bar&amp;width=385&amp;height=120&amp;START_MAXIMIZED=FALSE&amp;creator=factset&amp;display_string=Audit"}</definedName>
    <definedName name="_3560__FDSAUDITLINK__" hidden="1">{"fdsup://Directions/FactSet Auditing Viewer?action=AUDIT_VALUE&amp;DB=129&amp;ID1=64118B10&amp;VALUEID=02001&amp;SDATE=200603&amp;PERIODTYPE=QTR_STD&amp;SCFT=3&amp;window=popup_no_bar&amp;width=385&amp;height=120&amp;START_MAXIMIZED=FALSE&amp;creator=factset&amp;display_string=Audit"}</definedName>
    <definedName name="_3561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2__FDSAUDITLINK__" hidden="1">{"fdsup://Directions/FactSet Auditing Viewer?action=AUDIT_VALUE&amp;DB=129&amp;ID1=64118B10&amp;VALUEID=02001&amp;SDATE=200602&amp;PERIODTYPE=QTR_STD&amp;SCFT=3&amp;window=popup_no_bar&amp;width=385&amp;height=120&amp;START_MAXIMIZED=FALSE&amp;creator=factset&amp;display_string=Audit"}</definedName>
    <definedName name="_3563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4__FDSAUDITLINK__" hidden="1">{"fdsup://Directions/FactSet Auditing Viewer?action=AUDIT_VALUE&amp;DB=129&amp;ID1=64118B10&amp;VALUEID=02001&amp;SDATE=200601&amp;PERIODTYPE=QTR_STD&amp;SCFT=3&amp;window=popup_no_bar&amp;width=385&amp;height=120&amp;START_MAXIMIZED=FALSE&amp;creator=factset&amp;display_string=Audit"}</definedName>
    <definedName name="_3565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6__FDSAUDITLINK__" hidden="1">{"fdsup://Directions/FactSet Auditing Viewer?action=AUDIT_VALUE&amp;DB=129&amp;ID1=64118B10&amp;VALUEID=02001&amp;SDATE=200503&amp;PERIODTYPE=QTR_STD&amp;SCFT=3&amp;window=popup_no_bar&amp;width=385&amp;height=120&amp;START_MAXIMIZED=FALSE&amp;creator=factset&amp;display_string=Audit"}</definedName>
    <definedName name="_3567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8__FDSAUDITLINK__" hidden="1">{"fdsup://Directions/FactSet Auditing Viewer?action=AUDIT_VALUE&amp;DB=129&amp;ID1=64118B10&amp;VALUEID=02001&amp;SDATE=200502&amp;PERIODTYPE=QTR_STD&amp;SCFT=3&amp;window=popup_no_bar&amp;width=385&amp;height=120&amp;START_MAXIMIZED=FALSE&amp;creator=factset&amp;display_string=Audit"}</definedName>
    <definedName name="_3569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70__FDSAUDITLINK__" hidden="1">{"fdsup://Directions/FactSet Auditing Viewer?action=AUDIT_VALUE&amp;DB=129&amp;ID1=64118B10&amp;VALUEID=02001&amp;SDATE=200501&amp;PERIODTYPE=QTR_STD&amp;SCFT=3&amp;window=popup_no_bar&amp;width=385&amp;height=120&amp;START_MAXIMIZED=FALSE&amp;creator=factset&amp;display_string=Audit"}</definedName>
    <definedName name="_3571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2__FDSAUDITLINK__" hidden="1">{"fdsup://Directions/FactSet Auditing Viewer?action=AUDIT_VALUE&amp;DB=129&amp;ID1=64118B10&amp;VALUEID=02001&amp;SDATE=200403&amp;PERIODTYPE=QTR_STD&amp;SCFT=3&amp;window=popup_no_bar&amp;width=385&amp;height=120&amp;START_MAXIMIZED=FALSE&amp;creator=factset&amp;display_string=Audit"}</definedName>
    <definedName name="_3573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4__FDSAUDITLINK__" hidden="1">{"fdsup://Directions/FactSet Auditing Viewer?action=AUDIT_VALUE&amp;DB=129&amp;ID1=64118B10&amp;VALUEID=02001&amp;SDATE=200402&amp;PERIODTYPE=QTR_STD&amp;SCFT=3&amp;window=popup_no_bar&amp;width=385&amp;height=120&amp;START_MAXIMIZED=FALSE&amp;creator=factset&amp;display_string=Audit"}</definedName>
    <definedName name="_3575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6__FDSAUDITLINK__" hidden="1">{"fdsup://Directions/FactSet Auditing Viewer?action=AUDIT_VALUE&amp;DB=129&amp;ID1=57772K10&amp;VALUEID=02001&amp;SDATE=200803&amp;PERIODTYPE=QTR_STD&amp;SCFT=3&amp;window=popup_no_bar&amp;width=385&amp;height=120&amp;START_MAXIMIZED=FALSE&amp;creator=factset&amp;display_string=Audit"}</definedName>
    <definedName name="_3577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8__FDSAUDITLINK__" hidden="1">{"fdsup://Directions/FactSet Auditing Viewer?action=AUDIT_VALUE&amp;DB=129&amp;ID1=57772K10&amp;VALUEID=02001&amp;SDATE=200802&amp;PERIODTYPE=QTR_STD&amp;SCFT=3&amp;window=popup_no_bar&amp;width=385&amp;height=120&amp;START_MAXIMIZED=FALSE&amp;creator=factset&amp;display_string=Audit"}</definedName>
    <definedName name="_3579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__FDSAUDITLINK__" hidden="1">{"fdsup://Directions/FactSet Auditing Viewer?action=AUDIT_VALUE&amp;DB=129&amp;ID1=59511210&amp;VALUEID=02001&amp;SDATE=201004&amp;PERIODTYPE=QTR_STD&amp;SCFT=3&amp;window=popup_no_bar&amp;width=385&amp;height=120&amp;START_MAXIMIZED=FALSE&amp;creator=factset&amp;display_string=Audit"}</definedName>
    <definedName name="_3580__FDSAUDITLINK__" hidden="1">{"fdsup://Directions/FactSet Auditing Viewer?action=AUDIT_VALUE&amp;DB=129&amp;ID1=57772K10&amp;VALUEID=02001&amp;SDATE=200801&amp;PERIODTYPE=QTR_STD&amp;SCFT=3&amp;window=popup_no_bar&amp;width=385&amp;height=120&amp;START_MAXIMIZED=FALSE&amp;creator=factset&amp;display_string=Audit"}</definedName>
    <definedName name="_3581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2__FDSAUDITLINK__" hidden="1">{"fdsup://Directions/FactSet Auditing Viewer?action=AUDIT_VALUE&amp;DB=129&amp;ID1=57772K10&amp;VALUEID=02001&amp;SDATE=200703&amp;PERIODTYPE=QTR_STD&amp;SCFT=3&amp;window=popup_no_bar&amp;width=385&amp;height=120&amp;START_MAXIMIZED=FALSE&amp;creator=factset&amp;display_string=Audit"}</definedName>
    <definedName name="_3583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4__FDSAUDITLINK__" hidden="1">{"fdsup://Directions/FactSet Auditing Viewer?action=AUDIT_VALUE&amp;DB=129&amp;ID1=57772K10&amp;VALUEID=02001&amp;SDATE=200702&amp;PERIODTYPE=QTR_STD&amp;SCFT=3&amp;window=popup_no_bar&amp;width=385&amp;height=120&amp;START_MAXIMIZED=FALSE&amp;creator=factset&amp;display_string=Audit"}</definedName>
    <definedName name="_3585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6__FDSAUDITLINK__" hidden="1">{"fdsup://Directions/FactSet Auditing Viewer?action=AUDIT_VALUE&amp;DB=129&amp;ID1=57772K10&amp;VALUEID=02001&amp;SDATE=200701&amp;PERIODTYPE=QTR_STD&amp;SCFT=3&amp;window=popup_no_bar&amp;width=385&amp;height=120&amp;START_MAXIMIZED=FALSE&amp;creator=factset&amp;display_string=Audit"}</definedName>
    <definedName name="_3587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8__FDSAUDITLINK__" hidden="1">{"fdsup://Directions/FactSet Auditing Viewer?action=AUDIT_VALUE&amp;DB=129&amp;ID1=57772K10&amp;VALUEID=02001&amp;SDATE=200603&amp;PERIODTYPE=QTR_STD&amp;SCFT=3&amp;window=popup_no_bar&amp;width=385&amp;height=120&amp;START_MAXIMIZED=FALSE&amp;creator=factset&amp;display_string=Audit"}</definedName>
    <definedName name="_3589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590__FDSAUDITLINK__" hidden="1">{"fdsup://Directions/FactSet Auditing Viewer?action=AUDIT_VALUE&amp;DB=129&amp;ID1=57772K10&amp;VALUEID=02001&amp;SDATE=200602&amp;PERIODTYPE=QTR_STD&amp;SCFT=3&amp;window=popup_no_bar&amp;width=385&amp;height=120&amp;START_MAXIMIZED=FALSE&amp;creator=factset&amp;display_string=Audit"}</definedName>
    <definedName name="_3591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2__FDSAUDITLINK__" hidden="1">{"fdsup://Directions/FactSet Auditing Viewer?action=AUDIT_VALUE&amp;DB=129&amp;ID1=57772K10&amp;VALUEID=02001&amp;SDATE=200601&amp;PERIODTYPE=QTR_STD&amp;SCFT=3&amp;window=popup_no_bar&amp;width=385&amp;height=120&amp;START_MAXIMIZED=FALSE&amp;creator=factset&amp;display_string=Audit"}</definedName>
    <definedName name="_3593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4__FDSAUDITLINK__" hidden="1">{"fdsup://Directions/FactSet Auditing Viewer?action=AUDIT_VALUE&amp;DB=129&amp;ID1=57772K10&amp;VALUEID=02001&amp;SDATE=200503&amp;PERIODTYPE=QTR_STD&amp;SCFT=3&amp;window=popup_no_bar&amp;width=385&amp;height=120&amp;START_MAXIMIZED=FALSE&amp;creator=factset&amp;display_string=Audit"}</definedName>
    <definedName name="_3595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6__FDSAUDITLINK__" hidden="1">{"fdsup://Directions/FactSet Auditing Viewer?action=AUDIT_VALUE&amp;DB=129&amp;ID1=57772K10&amp;VALUEID=02001&amp;SDATE=200502&amp;PERIODTYPE=QTR_STD&amp;SCFT=3&amp;window=popup_no_bar&amp;width=385&amp;height=120&amp;START_MAXIMIZED=FALSE&amp;creator=factset&amp;display_string=Audit"}</definedName>
    <definedName name="_3597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8__FDSAUDITLINK__" hidden="1">{"fdsup://Directions/FactSet Auditing Viewer?action=AUDIT_VALUE&amp;DB=129&amp;ID1=57772K10&amp;VALUEID=02001&amp;SDATE=200501&amp;PERIODTYPE=QTR_STD&amp;SCFT=3&amp;window=popup_no_bar&amp;width=385&amp;height=120&amp;START_MAXIMIZED=FALSE&amp;creator=factset&amp;display_string=Audit"}</definedName>
    <definedName name="_3599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__FDSAUDITLINK__" hidden="1">{"fdsup://Directions/FactSet Auditing Viewer?action=AUDIT_VALUE&amp;DB=129&amp;ID1=75091710&amp;VALUEID=02001&amp;SDATE=201101&amp;PERIODTYPE=QTR_STD&amp;SCFT=3&amp;window=popup_no_bar&amp;width=385&amp;height=120&amp;START_MAXIMIZED=FALSE&amp;creator=factset&amp;display_string=Audit"}</definedName>
    <definedName name="_360__FDSAUDITLINK__" hidden="1">{"fdsup://Directions/FactSet Auditing Viewer?action=AUDIT_VALUE&amp;DB=129&amp;ID1=59513710&amp;VALUEID=02001&amp;SDATE=201004&amp;PERIODTYPE=QTR_STD&amp;SCFT=3&amp;window=popup_no_bar&amp;width=385&amp;height=120&amp;START_MAXIMIZED=FALSE&amp;creator=factset&amp;display_string=Audit"}</definedName>
    <definedName name="_3600__FDSAUDITLINK__" hidden="1">{"fdsup://Directions/FactSet Auditing Viewer?action=AUDIT_VALUE&amp;DB=129&amp;ID1=57772K10&amp;VALUEID=02001&amp;SDATE=200403&amp;PERIODTYPE=QTR_STD&amp;SCFT=3&amp;window=popup_no_bar&amp;width=385&amp;height=120&amp;START_MAXIMIZED=FALSE&amp;creator=factset&amp;display_string=Audit"}</definedName>
    <definedName name="_3601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2__FDSAUDITLINK__" hidden="1">{"fdsup://Directions/FactSet Auditing Viewer?action=AUDIT_VALUE&amp;DB=129&amp;ID1=59511210&amp;VALUEID=02001&amp;SDATE=200802&amp;PERIODTYPE=QTR_STD&amp;SCFT=3&amp;window=popup_no_bar&amp;width=385&amp;height=120&amp;START_MAXIMIZED=FALSE&amp;creator=factset&amp;display_string=Audit"}</definedName>
    <definedName name="_3603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4__FDSAUDITLINK__" hidden="1">{"fdsup://Directions/FactSet Auditing Viewer?action=AUDIT_VALUE&amp;DB=129&amp;ID1=59511210&amp;VALUEID=02001&amp;SDATE=200801&amp;PERIODTYPE=QTR_STD&amp;SCFT=3&amp;window=popup_no_bar&amp;width=385&amp;height=120&amp;START_MAXIMIZED=FALSE&amp;creator=factset&amp;display_string=Audit"}</definedName>
    <definedName name="_3605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6__FDSAUDITLINK__" hidden="1">{"fdsup://Directions/FactSet Auditing Viewer?action=AUDIT_VALUE&amp;DB=129&amp;ID1=59511210&amp;VALUEID=02001&amp;SDATE=200703&amp;PERIODTYPE=QTR_STD&amp;SCFT=3&amp;window=popup_no_bar&amp;width=385&amp;height=120&amp;START_MAXIMIZED=FALSE&amp;creator=factset&amp;display_string=Audit"}</definedName>
    <definedName name="_3607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8__FDSAUDITLINK__" hidden="1">{"fdsup://Directions/FactSet Auditing Viewer?action=AUDIT_VALUE&amp;DB=129&amp;ID1=59511210&amp;VALUEID=02001&amp;SDATE=200702&amp;PERIODTYPE=QTR_STD&amp;SCFT=3&amp;window=popup_no_bar&amp;width=385&amp;height=120&amp;START_MAXIMIZED=FALSE&amp;creator=factset&amp;display_string=Audit"}</definedName>
    <definedName name="_3609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10__FDSAUDITLINK__" hidden="1">{"fdsup://Directions/FactSet Auditing Viewer?action=AUDIT_VALUE&amp;DB=129&amp;ID1=59511210&amp;VALUEID=02001&amp;SDATE=200701&amp;PERIODTYPE=QTR_STD&amp;SCFT=3&amp;window=popup_no_bar&amp;width=385&amp;height=120&amp;START_MAXIMIZED=FALSE&amp;creator=factset&amp;display_string=Audit"}</definedName>
    <definedName name="_3611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2__FDSAUDITLINK__" hidden="1">{"fdsup://Directions/FactSet Auditing Viewer?action=AUDIT_VALUE&amp;DB=129&amp;ID1=59511210&amp;VALUEID=02001&amp;SDATE=200603&amp;PERIODTYPE=QTR_STD&amp;SCFT=3&amp;window=popup_no_bar&amp;width=385&amp;height=120&amp;START_MAXIMIZED=FALSE&amp;creator=factset&amp;display_string=Audit"}</definedName>
    <definedName name="_3613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4__FDSAUDITLINK__" hidden="1">{"fdsup://Directions/FactSet Auditing Viewer?action=AUDIT_VALUE&amp;DB=129&amp;ID1=59511210&amp;VALUEID=02001&amp;SDATE=200602&amp;PERIODTYPE=QTR_STD&amp;SCFT=3&amp;window=popup_no_bar&amp;width=385&amp;height=120&amp;START_MAXIMIZED=FALSE&amp;creator=factset&amp;display_string=Audit"}</definedName>
    <definedName name="_3615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6__FDSAUDITLINK__" hidden="1">{"fdsup://Directions/FactSet Auditing Viewer?action=AUDIT_VALUE&amp;DB=129&amp;ID1=59511210&amp;VALUEID=02001&amp;SDATE=200601&amp;PERIODTYPE=QTR_STD&amp;SCFT=3&amp;window=popup_no_bar&amp;width=385&amp;height=120&amp;START_MAXIMIZED=FALSE&amp;creator=factset&amp;display_string=Audit"}</definedName>
    <definedName name="_3617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8__FDSAUDITLINK__" hidden="1">{"fdsup://Directions/FactSet Auditing Viewer?action=AUDIT_VALUE&amp;DB=129&amp;ID1=59511210&amp;VALUEID=02001&amp;SDATE=200503&amp;PERIODTYPE=QTR_STD&amp;SCFT=3&amp;window=popup_no_bar&amp;width=385&amp;height=120&amp;START_MAXIMIZED=FALSE&amp;creator=factset&amp;display_string=Audit"}</definedName>
    <definedName name="_3619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__FDSAUDITLINK__" hidden="1">{"fdsup://Directions/FactSet Auditing Viewer?action=AUDIT_VALUE&amp;DB=129&amp;ID1=G5876H10&amp;VALUEID=02001&amp;SDATE=201003&amp;PERIODTYPE=QTR_STD&amp;SCFT=3&amp;window=popup_no_bar&amp;width=385&amp;height=120&amp;START_MAXIMIZED=FALSE&amp;creator=factset&amp;display_string=Audit"}</definedName>
    <definedName name="_3620__FDSAUDITLINK__" hidden="1">{"fdsup://Directions/FactSet Auditing Viewer?action=AUDIT_VALUE&amp;DB=129&amp;ID1=59511210&amp;VALUEID=02001&amp;SDATE=200502&amp;PERIODTYPE=QTR_STD&amp;SCFT=3&amp;window=popup_no_bar&amp;width=385&amp;height=120&amp;START_MAXIMIZED=FALSE&amp;creator=factset&amp;display_string=Audit"}</definedName>
    <definedName name="_3621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2__FDSAUDITLINK__" hidden="1">{"fdsup://Directions/FactSet Auditing Viewer?action=AUDIT_VALUE&amp;DB=129&amp;ID1=59511210&amp;VALUEID=02001&amp;SDATE=200501&amp;PERIODTYPE=QTR_STD&amp;SCFT=3&amp;window=popup_no_bar&amp;width=385&amp;height=120&amp;START_MAXIMIZED=FALSE&amp;creator=factset&amp;display_string=Audit"}</definedName>
    <definedName name="_3623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4__FDSAUDITLINK__" hidden="1">{"fdsup://Directions/FactSet Auditing Viewer?action=AUDIT_VALUE&amp;DB=129&amp;ID1=59511210&amp;VALUEID=02001&amp;SDATE=200403&amp;PERIODTYPE=QTR_STD&amp;SCFT=3&amp;window=popup_no_bar&amp;width=385&amp;height=120&amp;START_MAXIMIZED=FALSE&amp;creator=factset&amp;display_string=Audit"}</definedName>
    <definedName name="_3625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6__FDSAUDITLINK__" hidden="1">{"fdsup://Directions/FactSet Auditing Viewer?action=AUDIT_VALUE&amp;DB=129&amp;ID1=59511210&amp;VALUEID=02001&amp;SDATE=200402&amp;PERIODTYPE=QTR_STD&amp;SCFT=3&amp;window=popup_no_bar&amp;width=385&amp;height=120&amp;START_MAXIMIZED=FALSE&amp;creator=factset&amp;display_string=Audit"}</definedName>
    <definedName name="_3627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8__FDSAUDITLINK__" hidden="1">{"fdsup://Directions/FactSet Auditing Viewer?action=AUDIT_VALUE&amp;DB=129&amp;ID1=59513710&amp;VALUEID=02001&amp;SDATE=200802&amp;PERIODTYPE=QTR_STD&amp;SCFT=3&amp;window=popup_no_bar&amp;width=385&amp;height=120&amp;START_MAXIMIZED=FALSE&amp;creator=factset&amp;display_string=Audit"}</definedName>
    <definedName name="_3629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30__FDSAUDITLINK__" hidden="1">{"fdsup://Directions/FactSet Auditing Viewer?action=AUDIT_VALUE&amp;DB=129&amp;ID1=59513710&amp;VALUEID=02001&amp;SDATE=200801&amp;PERIODTYPE=QTR_STD&amp;SCFT=3&amp;window=popup_no_bar&amp;width=385&amp;height=120&amp;START_MAXIMIZED=FALSE&amp;creator=factset&amp;display_string=Audit"}</definedName>
    <definedName name="_3631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2__FDSAUDITLINK__" hidden="1">{"fdsup://Directions/FactSet Auditing Viewer?action=AUDIT_VALUE&amp;DB=129&amp;ID1=59513710&amp;VALUEID=02001&amp;SDATE=200703&amp;PERIODTYPE=QTR_STD&amp;SCFT=3&amp;window=popup_no_bar&amp;width=385&amp;height=120&amp;START_MAXIMIZED=FALSE&amp;creator=factset&amp;display_string=Audit"}</definedName>
    <definedName name="_3633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4__FDSAUDITLINK__" hidden="1">{"fdsup://Directions/FactSet Auditing Viewer?action=AUDIT_VALUE&amp;DB=129&amp;ID1=59513710&amp;VALUEID=02001&amp;SDATE=200702&amp;PERIODTYPE=QTR_STD&amp;SCFT=3&amp;window=popup_no_bar&amp;width=385&amp;height=120&amp;START_MAXIMIZED=FALSE&amp;creator=factset&amp;display_string=Audit"}</definedName>
    <definedName name="_3635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6__FDSAUDITLINK__" hidden="1">{"fdsup://Directions/FactSet Auditing Viewer?action=AUDIT_VALUE&amp;DB=129&amp;ID1=59513710&amp;VALUEID=02001&amp;SDATE=200701&amp;PERIODTYPE=QTR_STD&amp;SCFT=3&amp;window=popup_no_bar&amp;width=385&amp;height=120&amp;START_MAXIMIZED=FALSE&amp;creator=factset&amp;display_string=Audit"}</definedName>
    <definedName name="_3637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8__FDSAUDITLINK__" hidden="1">{"fdsup://Directions/FactSet Auditing Viewer?action=AUDIT_VALUE&amp;DB=129&amp;ID1=59513710&amp;VALUEID=02001&amp;SDATE=200603&amp;PERIODTYPE=QTR_STD&amp;SCFT=3&amp;window=popup_no_bar&amp;width=385&amp;height=120&amp;START_MAXIMIZED=FALSE&amp;creator=factset&amp;display_string=Audit"}</definedName>
    <definedName name="_3639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__FDSAUDITLINK__" hidden="1">{"fdsup://Directions/FactSet Auditing Viewer?action=AUDIT_VALUE&amp;DB=129&amp;ID1=62007630&amp;VALUEID=02001&amp;SDATE=201003&amp;PERIODTYPE=QTR_STD&amp;SCFT=3&amp;window=popup_no_bar&amp;width=385&amp;height=120&amp;START_MAXIMIZED=FALSE&amp;creator=factset&amp;display_string=Audit"}</definedName>
    <definedName name="_3640__FDSAUDITLINK__" hidden="1">{"fdsup://Directions/FactSet Auditing Viewer?action=AUDIT_VALUE&amp;DB=129&amp;ID1=59513710&amp;VALUEID=02001&amp;SDATE=200602&amp;PERIODTYPE=QTR_STD&amp;SCFT=3&amp;window=popup_no_bar&amp;width=385&amp;height=120&amp;START_MAXIMIZED=FALSE&amp;creator=factset&amp;display_string=Audit"}</definedName>
    <definedName name="_3641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2__FDSAUDITLINK__" hidden="1">{"fdsup://Directions/FactSet Auditing Viewer?action=AUDIT_VALUE&amp;DB=129&amp;ID1=59513710&amp;VALUEID=02001&amp;SDATE=200601&amp;PERIODTYPE=QTR_STD&amp;SCFT=3&amp;window=popup_no_bar&amp;width=385&amp;height=120&amp;START_MAXIMIZED=FALSE&amp;creator=factset&amp;display_string=Audit"}</definedName>
    <definedName name="_3643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4__FDSAUDITLINK__" hidden="1">{"fdsup://Directions/FactSet Auditing Viewer?action=AUDIT_VALUE&amp;DB=129&amp;ID1=59513710&amp;VALUEID=02001&amp;SDATE=200503&amp;PERIODTYPE=QTR_STD&amp;SCFT=3&amp;window=popup_no_bar&amp;width=385&amp;height=120&amp;START_MAXIMIZED=FALSE&amp;creator=factset&amp;display_string=Audit"}</definedName>
    <definedName name="_3645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6__FDSAUDITLINK__" hidden="1">{"fdsup://Directions/FactSet Auditing Viewer?action=AUDIT_VALUE&amp;DB=129&amp;ID1=59513710&amp;VALUEID=02001&amp;SDATE=200502&amp;PERIODTYPE=QTR_STD&amp;SCFT=3&amp;window=popup_no_bar&amp;width=385&amp;height=120&amp;START_MAXIMIZED=FALSE&amp;creator=factset&amp;display_string=Audit"}</definedName>
    <definedName name="_3647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8__FDSAUDITLINK__" hidden="1">{"fdsup://Directions/FactSet Auditing Viewer?action=AUDIT_VALUE&amp;DB=129&amp;ID1=59513710&amp;VALUEID=02001&amp;SDATE=200501&amp;PERIODTYPE=QTR_STD&amp;SCFT=3&amp;window=popup_no_bar&amp;width=385&amp;height=120&amp;START_MAXIMIZED=FALSE&amp;creator=factset&amp;display_string=Audit"}</definedName>
    <definedName name="_3649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50__FDSAUDITLINK__" hidden="1">{"fdsup://Directions/FactSet Auditing Viewer?action=AUDIT_VALUE&amp;DB=129&amp;ID1=59513710&amp;VALUEID=02001&amp;SDATE=200403&amp;PERIODTYPE=QTR_STD&amp;SCFT=3&amp;window=popup_no_bar&amp;width=385&amp;height=120&amp;START_MAXIMIZED=FALSE&amp;creator=factset&amp;display_string=Audit"}</definedName>
    <definedName name="_3651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2__FDSAUDITLINK__" hidden="1">{"fdsup://Directions/FactSet Auditing Viewer?action=AUDIT_VALUE&amp;DB=129&amp;ID1=59513710&amp;VALUEID=02001&amp;SDATE=200402&amp;PERIODTYPE=QTR_STD&amp;SCFT=3&amp;window=popup_no_bar&amp;width=385&amp;height=120&amp;START_MAXIMIZED=FALSE&amp;creator=factset&amp;display_string=Audit"}</definedName>
    <definedName name="_3653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4__FDSAUDITLINK__" hidden="1">{"fdsup://Directions/FactSet Auditing Viewer?action=AUDIT_VALUE&amp;DB=129&amp;ID1=G5876H10&amp;VALUEID=02001&amp;SDATE=200801&amp;PERIODTYPE=QTR_STD&amp;SCFT=3&amp;window=popup_no_bar&amp;width=385&amp;height=120&amp;START_MAXIMIZED=FALSE&amp;creator=factset&amp;display_string=Audit"}</definedName>
    <definedName name="_3655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6__FDSAUDITLINK__" hidden="1">{"fdsup://Directions/FactSet Auditing Viewer?action=AUDIT_VALUE&amp;DB=129&amp;ID1=G5876H10&amp;VALUEID=02001&amp;SDATE=200703&amp;PERIODTYPE=QTR_STD&amp;SCFT=3&amp;window=popup_no_bar&amp;width=385&amp;height=120&amp;START_MAXIMIZED=FALSE&amp;creator=factset&amp;display_string=Audit"}</definedName>
    <definedName name="_3657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8__FDSAUDITLINK__" hidden="1">{"fdsup://Directions/FactSet Auditing Viewer?action=AUDIT_VALUE&amp;DB=129&amp;ID1=G5876H10&amp;VALUEID=02001&amp;SDATE=200702&amp;PERIODTYPE=QTR_STD&amp;SCFT=3&amp;window=popup_no_bar&amp;width=385&amp;height=120&amp;START_MAXIMIZED=FALSE&amp;creator=factset&amp;display_string=Audit"}</definedName>
    <definedName name="_3659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__FDSAUDITLINK__" hidden="1">{"fdsup://Directions/FactSet Auditing Viewer?action=AUDIT_VALUE&amp;DB=129&amp;ID1=60456710&amp;VALUEID=02001&amp;SDATE=201101&amp;PERIODTYPE=QTR_STD&amp;SCFT=3&amp;window=popup_no_bar&amp;width=385&amp;height=120&amp;START_MAXIMIZED=FALSE&amp;creator=factset&amp;display_string=Audit"}</definedName>
    <definedName name="_3660__FDSAUDITLINK__" hidden="1">{"fdsup://Directions/FactSet Auditing Viewer?action=AUDIT_VALUE&amp;DB=129&amp;ID1=G5876H10&amp;VALUEID=02001&amp;SDATE=200701&amp;PERIODTYPE=QTR_STD&amp;SCFT=3&amp;window=popup_no_bar&amp;width=385&amp;height=120&amp;START_MAXIMIZED=FALSE&amp;creator=factset&amp;display_string=Audit"}</definedName>
    <definedName name="_3661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2__FDSAUDITLINK__" hidden="1">{"fdsup://Directions/FactSet Auditing Viewer?action=AUDIT_VALUE&amp;DB=129&amp;ID1=G5876H10&amp;VALUEID=02001&amp;SDATE=200603&amp;PERIODTYPE=QTR_STD&amp;SCFT=3&amp;window=popup_no_bar&amp;width=385&amp;height=120&amp;START_MAXIMIZED=FALSE&amp;creator=factset&amp;display_string=Audit"}</definedName>
    <definedName name="_3663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4__FDSAUDITLINK__" hidden="1">{"fdsup://Directions/FactSet Auditing Viewer?action=AUDIT_VALUE&amp;DB=129&amp;ID1=G5876H10&amp;VALUEID=02001&amp;SDATE=200602&amp;PERIODTYPE=QTR_STD&amp;SCFT=3&amp;window=popup_no_bar&amp;width=385&amp;height=120&amp;START_MAXIMIZED=FALSE&amp;creator=factset&amp;display_string=Audit"}</definedName>
    <definedName name="_3665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6__FDSAUDITLINK__" hidden="1">{"fdsup://Directions/FactSet Auditing Viewer?action=AUDIT_VALUE&amp;DB=129&amp;ID1=G5876H10&amp;VALUEID=02001&amp;SDATE=200601&amp;PERIODTYPE=QTR_STD&amp;SCFT=3&amp;window=popup_no_bar&amp;width=385&amp;height=120&amp;START_MAXIMIZED=FALSE&amp;creator=factset&amp;display_string=Audit"}</definedName>
    <definedName name="_3667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8__FDSAUDITLINK__" hidden="1">{"fdsup://Directions/FactSet Auditing Viewer?action=AUDIT_VALUE&amp;DB=129&amp;ID1=G5876H10&amp;VALUEID=02001&amp;SDATE=200503&amp;PERIODTYPE=QTR_STD&amp;SCFT=3&amp;window=popup_no_bar&amp;width=385&amp;height=120&amp;START_MAXIMIZED=FALSE&amp;creator=factset&amp;display_string=Audit"}</definedName>
    <definedName name="_3669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70__FDSAUDITLINK__" hidden="1">{"fdsup://Directions/FactSet Auditing Viewer?action=AUDIT_VALUE&amp;DB=129&amp;ID1=G5876H10&amp;VALUEID=02001&amp;SDATE=200502&amp;PERIODTYPE=QTR_STD&amp;SCFT=3&amp;window=popup_no_bar&amp;width=385&amp;height=120&amp;START_MAXIMIZED=FALSE&amp;creator=factset&amp;display_string=Audit"}</definedName>
    <definedName name="_3671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2__FDSAUDITLINK__" hidden="1">{"fdsup://Directions/FactSet Auditing Viewer?action=AUDIT_VALUE&amp;DB=129&amp;ID1=G5876H10&amp;VALUEID=02001&amp;SDATE=200501&amp;PERIODTYPE=QTR_STD&amp;SCFT=3&amp;window=popup_no_bar&amp;width=385&amp;height=120&amp;START_MAXIMIZED=FALSE&amp;creator=factset&amp;display_string=Audit"}</definedName>
    <definedName name="_3673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4__FDSAUDITLINK__" hidden="1">{"fdsup://Directions/FactSet Auditing Viewer?action=AUDIT_VALUE&amp;DB=129&amp;ID1=G5876H10&amp;VALUEID=02001&amp;SDATE=200403&amp;PERIODTYPE=QTR_STD&amp;SCFT=3&amp;window=popup_no_bar&amp;width=385&amp;height=120&amp;START_MAXIMIZED=FALSE&amp;creator=factset&amp;display_string=Audit"}</definedName>
    <definedName name="_3675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6__FDSAUDITLINK__" hidden="1">{"fdsup://Directions/FactSet Auditing Viewer?action=AUDIT_VALUE&amp;DB=129&amp;ID1=G5876H10&amp;VALUEID=02001&amp;SDATE=200402&amp;PERIODTYPE=QTR_STD&amp;SCFT=3&amp;window=popup_no_bar&amp;width=385&amp;height=120&amp;START_MAXIMIZED=FALSE&amp;creator=factset&amp;display_string=Audit"}</definedName>
    <definedName name="_3677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8__FDSAUDITLINK__" hidden="1">{"fdsup://Directions/FactSet Auditing Viewer?action=AUDIT_VALUE&amp;DB=129&amp;ID1=G5876H10&amp;VALUEID=02001&amp;SDATE=200401&amp;PERIODTYPE=QTR_STD&amp;SCFT=3&amp;window=popup_no_bar&amp;width=385&amp;height=120&amp;START_MAXIMIZED=FALSE&amp;creator=factset&amp;display_string=Audit"}</definedName>
    <definedName name="_3679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__FDSAUDITLINK__" hidden="1">{"fdsup://Directions/FactSet Auditing Viewer?action=AUDIT_VALUE&amp;DB=129&amp;ID1=59479310&amp;VALUEID=02001&amp;SDATE=201003&amp;PERIODTYPE=QTR_STD&amp;SCFT=3&amp;window=popup_no_bar&amp;width=385&amp;height=120&amp;START_MAXIMIZED=FALSE&amp;creator=factset&amp;display_string=Audit"}</definedName>
    <definedName name="_3680__FDSAUDITLINK__" hidden="1">{"fdsup://Directions/FactSet Auditing Viewer?action=AUDIT_VALUE&amp;DB=129&amp;ID1=62007630&amp;VALUEID=02001&amp;SDATE=200801&amp;PERIODTYPE=QTR_STD&amp;SCFT=3&amp;window=popup_no_bar&amp;width=385&amp;height=120&amp;START_MAXIMIZED=FALSE&amp;creator=factset&amp;display_string=Audit"}</definedName>
    <definedName name="_3681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2__FDSAUDITLINK__" hidden="1">{"fdsup://Directions/FactSet Auditing Viewer?action=AUDIT_VALUE&amp;DB=129&amp;ID1=62007630&amp;VALUEID=02001&amp;SDATE=200703&amp;PERIODTYPE=QTR_STD&amp;SCFT=3&amp;window=popup_no_bar&amp;width=385&amp;height=120&amp;START_MAXIMIZED=FALSE&amp;creator=factset&amp;display_string=Audit"}</definedName>
    <definedName name="_3683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4__FDSAUDITLINK__" hidden="1">{"fdsup://Directions/FactSet Auditing Viewer?action=AUDIT_VALUE&amp;DB=129&amp;ID1=62007630&amp;VALUEID=02001&amp;SDATE=200702&amp;PERIODTYPE=QTR_STD&amp;SCFT=3&amp;window=popup_no_bar&amp;width=385&amp;height=120&amp;START_MAXIMIZED=FALSE&amp;creator=factset&amp;display_string=Audit"}</definedName>
    <definedName name="_3685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6__FDSAUDITLINK__" hidden="1">{"fdsup://Directions/FactSet Auditing Viewer?action=AUDIT_VALUE&amp;DB=129&amp;ID1=62007630&amp;VALUEID=02001&amp;SDATE=200701&amp;PERIODTYPE=QTR_STD&amp;SCFT=3&amp;window=popup_no_bar&amp;width=385&amp;height=120&amp;START_MAXIMIZED=FALSE&amp;creator=factset&amp;display_string=Audit"}</definedName>
    <definedName name="_3687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8__FDSAUDITLINK__" hidden="1">{"fdsup://Directions/FactSet Auditing Viewer?action=AUDIT_VALUE&amp;DB=129&amp;ID1=62007630&amp;VALUEID=02001&amp;SDATE=200603&amp;PERIODTYPE=QTR_STD&amp;SCFT=3&amp;window=popup_no_bar&amp;width=385&amp;height=120&amp;START_MAXIMIZED=FALSE&amp;creator=factset&amp;display_string=Audit"}</definedName>
    <definedName name="_3689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690__FDSAUDITLINK__" hidden="1">{"fdsup://Directions/FactSet Auditing Viewer?action=AUDIT_VALUE&amp;DB=129&amp;ID1=62007630&amp;VALUEID=02001&amp;SDATE=200602&amp;PERIODTYPE=QTR_STD&amp;SCFT=3&amp;window=popup_no_bar&amp;width=385&amp;height=120&amp;START_MAXIMIZED=FALSE&amp;creator=factset&amp;display_string=Audit"}</definedName>
    <definedName name="_3691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2__FDSAUDITLINK__" hidden="1">{"fdsup://Directions/FactSet Auditing Viewer?action=AUDIT_VALUE&amp;DB=129&amp;ID1=62007630&amp;VALUEID=02001&amp;SDATE=200601&amp;PERIODTYPE=QTR_STD&amp;SCFT=3&amp;window=popup_no_bar&amp;width=385&amp;height=120&amp;START_MAXIMIZED=FALSE&amp;creator=factset&amp;display_string=Audit"}</definedName>
    <definedName name="_3693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4__FDSAUDITLINK__" hidden="1">{"fdsup://Directions/FactSet Auditing Viewer?action=AUDIT_VALUE&amp;DB=129&amp;ID1=62007630&amp;VALUEID=02001&amp;SDATE=200503&amp;PERIODTYPE=QTR_STD&amp;SCFT=3&amp;window=popup_no_bar&amp;width=385&amp;height=120&amp;START_MAXIMIZED=FALSE&amp;creator=factset&amp;display_string=Audit"}</definedName>
    <definedName name="_3695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6__FDSAUDITLINK__" hidden="1">{"fdsup://Directions/FactSet Auditing Viewer?action=AUDIT_VALUE&amp;DB=129&amp;ID1=62007630&amp;VALUEID=02001&amp;SDATE=200502&amp;PERIODTYPE=QTR_STD&amp;SCFT=3&amp;window=popup_no_bar&amp;width=385&amp;height=120&amp;START_MAXIMIZED=FALSE&amp;creator=factset&amp;display_string=Audit"}</definedName>
    <definedName name="_3697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8__FDSAUDITLINK__" hidden="1">{"fdsup://Directions/FactSet Auditing Viewer?action=AUDIT_VALUE&amp;DB=129&amp;ID1=62007630&amp;VALUEID=02001&amp;SDATE=200403&amp;PERIODTYPE=QTR_STD&amp;SCFT=3&amp;window=popup_no_bar&amp;width=385&amp;height=120&amp;START_MAXIMIZED=FALSE&amp;creator=factset&amp;display_string=Audit"}</definedName>
    <definedName name="_3699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70__FDSAUDITLINK__" hidden="1">{"fdsup://Directions/FactSet Auditing Viewer?action=AUDIT_VALUE&amp;DB=129&amp;ID1=59501710&amp;VALUEID=02001&amp;SDATE=201002&amp;PERIODTYPE=QTR_STD&amp;SCFT=3&amp;window=popup_no_bar&amp;width=385&amp;height=120&amp;START_MAXIMIZED=FALSE&amp;creator=factset&amp;display_string=Audit"}</definedName>
    <definedName name="_3700__FDSAUDITLINK__" hidden="1">{"fdsup://Directions/FactSet Auditing Viewer?action=AUDIT_VALUE&amp;DB=129&amp;ID1=62007630&amp;VALUEID=02001&amp;SDATE=200402&amp;PERIODTYPE=QTR_STD&amp;SCFT=3&amp;window=popup_no_bar&amp;width=385&amp;height=120&amp;START_MAXIMIZED=FALSE&amp;creator=factset&amp;display_string=Audit"}</definedName>
    <definedName name="_3701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2__FDSAUDITLINK__" hidden="1">{"fdsup://Directions/FactSet Auditing Viewer?action=AUDIT_VALUE&amp;DB=129&amp;ID1=62007630&amp;VALUEID=02001&amp;SDATE=200401&amp;PERIODTYPE=QTR_STD&amp;SCFT=3&amp;window=popup_no_bar&amp;width=385&amp;height=120&amp;START_MAXIMIZED=FALSE&amp;creator=factset&amp;display_string=Audit"}</definedName>
    <definedName name="_3703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4__FDSAUDITLINK__" hidden="1">{"fdsup://Directions/FactSet Auditing Viewer?action=AUDIT_VALUE&amp;DB=129&amp;ID1=60456710&amp;VALUEID=02001&amp;SDATE=200803&amp;PERIODTYPE=QTR_STD&amp;SCFT=3&amp;window=popup_no_bar&amp;width=385&amp;height=120&amp;START_MAXIMIZED=FALSE&amp;creator=factset&amp;display_string=Audit"}</definedName>
    <definedName name="_3705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6__FDSAUDITLINK__" hidden="1">{"fdsup://Directions/FactSet Auditing Viewer?action=AUDIT_VALUE&amp;DB=129&amp;ID1=60456710&amp;VALUEID=02001&amp;SDATE=200802&amp;PERIODTYPE=QTR_STD&amp;SCFT=3&amp;window=popup_no_bar&amp;width=385&amp;height=120&amp;START_MAXIMIZED=FALSE&amp;creator=factset&amp;display_string=Audit"}</definedName>
    <definedName name="_3707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8__FDSAUDITLINK__" hidden="1">{"fdsup://Directions/FactSet Auditing Viewer?action=AUDIT_VALUE&amp;DB=129&amp;ID1=60456710&amp;VALUEID=02001&amp;SDATE=200801&amp;PERIODTYPE=QTR_STD&amp;SCFT=3&amp;window=popup_no_bar&amp;width=385&amp;height=120&amp;START_MAXIMIZED=FALSE&amp;creator=factset&amp;display_string=Audit"}</definedName>
    <definedName name="_3709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10__FDSAUDITLINK__" hidden="1">{"fdsup://Directions/FactSet Auditing Viewer?action=AUDIT_VALUE&amp;DB=129&amp;ID1=60456710&amp;VALUEID=02001&amp;SDATE=200703&amp;PERIODTYPE=QTR_STD&amp;SCFT=3&amp;window=popup_no_bar&amp;width=385&amp;height=120&amp;START_MAXIMIZED=FALSE&amp;creator=factset&amp;display_string=Audit"}</definedName>
    <definedName name="_3711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2__FDSAUDITLINK__" hidden="1">{"fdsup://Directions/FactSet Auditing Viewer?action=AUDIT_VALUE&amp;DB=129&amp;ID1=60456710&amp;VALUEID=02001&amp;SDATE=200702&amp;PERIODTYPE=QTR_STD&amp;SCFT=3&amp;window=popup_no_bar&amp;width=385&amp;height=120&amp;START_MAXIMIZED=FALSE&amp;creator=factset&amp;display_string=Audit"}</definedName>
    <definedName name="_3713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4__FDSAUDITLINK__" hidden="1">{"fdsup://Directions/FactSet Auditing Viewer?action=AUDIT_VALUE&amp;DB=129&amp;ID1=60456710&amp;VALUEID=02001&amp;SDATE=200701&amp;PERIODTYPE=QTR_STD&amp;SCFT=3&amp;window=popup_no_bar&amp;width=385&amp;height=120&amp;START_MAXIMIZED=FALSE&amp;creator=factset&amp;display_string=Audit"}</definedName>
    <definedName name="_3715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6__FDSAUDITLINK__" hidden="1">{"fdsup://Directions/FactSet Auditing Viewer?action=AUDIT_VALUE&amp;DB=129&amp;ID1=60456710&amp;VALUEID=02001&amp;SDATE=200603&amp;PERIODTYPE=QTR_STD&amp;SCFT=3&amp;window=popup_no_bar&amp;width=385&amp;height=120&amp;START_MAXIMIZED=FALSE&amp;creator=factset&amp;display_string=Audit"}</definedName>
    <definedName name="_3717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8__FDSAUDITLINK__" hidden="1">{"fdsup://Directions/FactSet Auditing Viewer?action=AUDIT_VALUE&amp;DB=129&amp;ID1=60456710&amp;VALUEID=02001&amp;SDATE=200602&amp;PERIODTYPE=QTR_STD&amp;SCFT=3&amp;window=popup_no_bar&amp;width=385&amp;height=120&amp;START_MAXIMIZED=FALSE&amp;creator=factset&amp;display_string=Audit"}</definedName>
    <definedName name="_3719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__FDSAUDITLINK__" hidden="1">{"fdsup://Directions/FactSet Auditing Viewer?action=AUDIT_VALUE&amp;DB=129&amp;ID1=50216110&amp;VALUEID=02001&amp;SDATE=201003&amp;PERIODTYPE=QTR_STD&amp;SCFT=3&amp;window=popup_no_bar&amp;width=385&amp;height=120&amp;START_MAXIMIZED=FALSE&amp;creator=factset&amp;display_string=Audit"}</definedName>
    <definedName name="_3720__FDSAUDITLINK__" hidden="1">{"fdsup://Directions/FactSet Auditing Viewer?action=AUDIT_VALUE&amp;DB=129&amp;ID1=60456710&amp;VALUEID=02001&amp;SDATE=200601&amp;PERIODTYPE=QTR_STD&amp;SCFT=3&amp;window=popup_no_bar&amp;width=385&amp;height=120&amp;START_MAXIMIZED=FALSE&amp;creator=factset&amp;display_string=Audit"}</definedName>
    <definedName name="_3721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2__FDSAUDITLINK__" hidden="1">{"fdsup://Directions/FactSet Auditing Viewer?action=AUDIT_VALUE&amp;DB=129&amp;ID1=60456710&amp;VALUEID=02001&amp;SDATE=200503&amp;PERIODTYPE=QTR_STD&amp;SCFT=3&amp;window=popup_no_bar&amp;width=385&amp;height=120&amp;START_MAXIMIZED=FALSE&amp;creator=factset&amp;display_string=Audit"}</definedName>
    <definedName name="_3723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4__FDSAUDITLINK__" hidden="1">{"fdsup://Directions/FactSet Auditing Viewer?action=AUDIT_VALUE&amp;DB=129&amp;ID1=60456710&amp;VALUEID=02001&amp;SDATE=200502&amp;PERIODTYPE=QTR_STD&amp;SCFT=3&amp;window=popup_no_bar&amp;width=385&amp;height=120&amp;START_MAXIMIZED=FALSE&amp;creator=factset&amp;display_string=Audit"}</definedName>
    <definedName name="_3725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6__FDSAUDITLINK__" hidden="1">{"fdsup://Directions/FactSet Auditing Viewer?action=AUDIT_VALUE&amp;DB=129&amp;ID1=60456710&amp;VALUEID=02001&amp;SDATE=200501&amp;PERIODTYPE=QTR_STD&amp;SCFT=3&amp;window=popup_no_bar&amp;width=385&amp;height=120&amp;START_MAXIMIZED=FALSE&amp;creator=factset&amp;display_string=Audit"}</definedName>
    <definedName name="_3727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8__FDSAUDITLINK__" hidden="1">{"fdsup://Directions/FactSet Auditing Viewer?action=AUDIT_VALUE&amp;DB=129&amp;ID1=60456710&amp;VALUEID=02001&amp;SDATE=200403&amp;PERIODTYPE=QTR_STD&amp;SCFT=3&amp;window=popup_no_bar&amp;width=385&amp;height=120&amp;START_MAXIMIZED=FALSE&amp;creator=factset&amp;display_string=Audit"}</definedName>
    <definedName name="_3729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30__FDSAUDITLINK__" hidden="1">{"fdsup://Directions/FactSet Auditing Viewer?action=AUDIT_VALUE&amp;DB=129&amp;ID1=59479310&amp;VALUEID=02001&amp;SDATE=200801&amp;PERIODTYPE=QTR_STD&amp;SCFT=3&amp;window=popup_no_bar&amp;width=385&amp;height=120&amp;START_MAXIMIZED=FALSE&amp;creator=factset&amp;display_string=Audit"}</definedName>
    <definedName name="_3731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2__FDSAUDITLINK__" hidden="1">{"fdsup://Directions/FactSet Auditing Viewer?action=AUDIT_VALUE&amp;DB=129&amp;ID1=59479310&amp;VALUEID=02001&amp;SDATE=200703&amp;PERIODTYPE=QTR_STD&amp;SCFT=3&amp;window=popup_no_bar&amp;width=385&amp;height=120&amp;START_MAXIMIZED=FALSE&amp;creator=factset&amp;display_string=Audit"}</definedName>
    <definedName name="_3733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4__FDSAUDITLINK__" hidden="1">{"fdsup://Directions/FactSet Auditing Viewer?action=AUDIT_VALUE&amp;DB=129&amp;ID1=59479310&amp;VALUEID=02001&amp;SDATE=200702&amp;PERIODTYPE=QTR_STD&amp;SCFT=3&amp;window=popup_no_bar&amp;width=385&amp;height=120&amp;START_MAXIMIZED=FALSE&amp;creator=factset&amp;display_string=Audit"}</definedName>
    <definedName name="_3735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6__FDSAUDITLINK__" hidden="1">{"fdsup://Directions/FactSet Auditing Viewer?action=AUDIT_VALUE&amp;DB=129&amp;ID1=59479310&amp;VALUEID=02001&amp;SDATE=200701&amp;PERIODTYPE=QTR_STD&amp;SCFT=3&amp;window=popup_no_bar&amp;width=385&amp;height=120&amp;START_MAXIMIZED=FALSE&amp;creator=factset&amp;display_string=Audit"}</definedName>
    <definedName name="_3737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8__FDSAUDITLINK__" hidden="1">{"fdsup://Directions/FactSet Auditing Viewer?action=AUDIT_VALUE&amp;DB=129&amp;ID1=59479310&amp;VALUEID=02001&amp;SDATE=200603&amp;PERIODTYPE=QTR_STD&amp;SCFT=3&amp;window=popup_no_bar&amp;width=385&amp;height=120&amp;START_MAXIMIZED=FALSE&amp;creator=factset&amp;display_string=Audit"}</definedName>
    <definedName name="_3739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__FDSAUDITLINK__" hidden="1">{"fdsup://Directions/FactSet Auditing Viewer?action=AUDIT_VALUE&amp;DB=129&amp;ID1=51841510&amp;VALUEID=02001&amp;SDATE=201003&amp;PERIODTYPE=QTR_STD&amp;SCFT=3&amp;window=popup_no_bar&amp;width=385&amp;height=120&amp;START_MAXIMIZED=FALSE&amp;creator=factset&amp;display_string=Audit"}</definedName>
    <definedName name="_3740__FDSAUDITLINK__" hidden="1">{"fdsup://Directions/FactSet Auditing Viewer?action=AUDIT_VALUE&amp;DB=129&amp;ID1=59479310&amp;VALUEID=02001&amp;SDATE=200602&amp;PERIODTYPE=QTR_STD&amp;SCFT=3&amp;window=popup_no_bar&amp;width=385&amp;height=120&amp;START_MAXIMIZED=FALSE&amp;creator=factset&amp;display_string=Audit"}</definedName>
    <definedName name="_3741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2__FDSAUDITLINK__" hidden="1">{"fdsup://Directions/FactSet Auditing Viewer?action=AUDIT_VALUE&amp;DB=129&amp;ID1=59479310&amp;VALUEID=02001&amp;SDATE=200601&amp;PERIODTYPE=QTR_STD&amp;SCFT=3&amp;window=popup_no_bar&amp;width=385&amp;height=120&amp;START_MAXIMIZED=FALSE&amp;creator=factset&amp;display_string=Audit"}</definedName>
    <definedName name="_3743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4__FDSAUDITLINK__" hidden="1">{"fdsup://Directions/FactSet Auditing Viewer?action=AUDIT_VALUE&amp;DB=129&amp;ID1=59479310&amp;VALUEID=02001&amp;SDATE=200502&amp;PERIODTYPE=QTR_STD&amp;SCFT=3&amp;window=popup_no_bar&amp;width=385&amp;height=120&amp;START_MAXIMIZED=FALSE&amp;creator=factset&amp;display_string=Audit"}</definedName>
    <definedName name="_3745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6__FDSAUDITLINK__" hidden="1">{"fdsup://Directions/FactSet Auditing Viewer?action=AUDIT_VALUE&amp;DB=129&amp;ID1=59479310&amp;VALUEID=02001&amp;SDATE=200501&amp;PERIODTYPE=QTR_STD&amp;SCFT=3&amp;window=popup_no_bar&amp;width=385&amp;height=120&amp;START_MAXIMIZED=FALSE&amp;creator=factset&amp;display_string=Audit"}</definedName>
    <definedName name="_3747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8__FDSAUDITLINK__" hidden="1">{"fdsup://Directions/FactSet Auditing Viewer?action=AUDIT_VALUE&amp;DB=129&amp;ID1=59479310&amp;VALUEID=02001&amp;SDATE=200403&amp;PERIODTYPE=QTR_STD&amp;SCFT=3&amp;window=popup_no_bar&amp;width=385&amp;height=120&amp;START_MAXIMIZED=FALSE&amp;creator=factset&amp;display_string=Audit"}</definedName>
    <definedName name="_3749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50__FDSAUDITLINK__" hidden="1">{"fdsup://Directions/FactSet Auditing Viewer?action=AUDIT_VALUE&amp;DB=129&amp;ID1=59479310&amp;VALUEID=02001&amp;SDATE=200402&amp;PERIODTYPE=QTR_STD&amp;SCFT=3&amp;window=popup_no_bar&amp;width=385&amp;height=120&amp;START_MAXIMIZED=FALSE&amp;creator=factset&amp;display_string=Audit"}</definedName>
    <definedName name="_3751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2__FDSAUDITLINK__" hidden="1">{"fdsup://Directions/FactSet Auditing Viewer?action=AUDIT_VALUE&amp;DB=129&amp;ID1=59479310&amp;VALUEID=02001&amp;SDATE=200401&amp;PERIODTYPE=QTR_STD&amp;SCFT=3&amp;window=popup_no_bar&amp;width=385&amp;height=120&amp;START_MAXIMIZED=FALSE&amp;creator=factset&amp;display_string=Audit"}</definedName>
    <definedName name="_3753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4__FDSAUDITLINK__" hidden="1">{"fdsup://Directions/FactSet Auditing Viewer?action=AUDIT_VALUE&amp;DB=129&amp;ID1=59501710&amp;VALUEID=02001&amp;SDATE=200704&amp;PERIODTYPE=QTR_STD&amp;SCFT=3&amp;window=popup_no_bar&amp;width=385&amp;height=120&amp;START_MAXIMIZED=FALSE&amp;creator=factset&amp;display_string=Audit"}</definedName>
    <definedName name="_3755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6__FDSAUDITLINK__" hidden="1">{"fdsup://Directions/FactSet Auditing Viewer?action=AUDIT_VALUE&amp;DB=129&amp;ID1=59501710&amp;VALUEID=02001&amp;SDATE=200703&amp;PERIODTYPE=QTR_STD&amp;SCFT=3&amp;window=popup_no_bar&amp;width=385&amp;height=120&amp;START_MAXIMIZED=FALSE&amp;creator=factset&amp;display_string=Audit"}</definedName>
    <definedName name="_3757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8__FDSAUDITLINK__" hidden="1">{"fdsup://Directions/FactSet Auditing Viewer?action=AUDIT_VALUE&amp;DB=129&amp;ID1=59501710&amp;VALUEID=02001&amp;SDATE=200702&amp;PERIODTYPE=QTR_STD&amp;SCFT=3&amp;window=popup_no_bar&amp;width=385&amp;height=120&amp;START_MAXIMIZED=FALSE&amp;creator=factset&amp;display_string=Audit"}</definedName>
    <definedName name="_3759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__FDSAUDITLINK__" hidden="1">{"fdsup://Directions/FactSet Auditing Viewer?action=AUDIT_VALUE&amp;DB=129&amp;ID1=51280710&amp;VALUEID=02001&amp;SDATE=201101&amp;PERIODTYPE=QTR_STD&amp;SCFT=3&amp;window=popup_no_bar&amp;width=385&amp;height=120&amp;START_MAXIMIZED=FALSE&amp;creator=factset&amp;display_string=Audit"}</definedName>
    <definedName name="_3760__FDSAUDITLINK__" hidden="1">{"fdsup://Directions/FactSet Auditing Viewer?action=AUDIT_VALUE&amp;DB=129&amp;ID1=59501710&amp;VALUEID=02001&amp;SDATE=200701&amp;PERIODTYPE=QTR_STD&amp;SCFT=3&amp;window=popup_no_bar&amp;width=385&amp;height=120&amp;START_MAXIMIZED=FALSE&amp;creator=factset&amp;display_string=Audit"}</definedName>
    <definedName name="_3761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2__FDSAUDITLINK__" hidden="1">{"fdsup://Directions/FactSet Auditing Viewer?action=AUDIT_VALUE&amp;DB=129&amp;ID1=59501710&amp;VALUEID=02001&amp;SDATE=200603&amp;PERIODTYPE=QTR_STD&amp;SCFT=3&amp;window=popup_no_bar&amp;width=385&amp;height=120&amp;START_MAXIMIZED=FALSE&amp;creator=factset&amp;display_string=Audit"}</definedName>
    <definedName name="_3763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4__FDSAUDITLINK__" hidden="1">{"fdsup://Directions/FactSet Auditing Viewer?action=AUDIT_VALUE&amp;DB=129&amp;ID1=59501710&amp;VALUEID=02001&amp;SDATE=200602&amp;PERIODTYPE=QTR_STD&amp;SCFT=3&amp;window=popup_no_bar&amp;width=385&amp;height=120&amp;START_MAXIMIZED=FALSE&amp;creator=factset&amp;display_string=Audit"}</definedName>
    <definedName name="_3765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6__FDSAUDITLINK__" hidden="1">{"fdsup://Directions/FactSet Auditing Viewer?action=AUDIT_VALUE&amp;DB=129&amp;ID1=59501710&amp;VALUEID=02001&amp;SDATE=200601&amp;PERIODTYPE=QTR_STD&amp;SCFT=3&amp;window=popup_no_bar&amp;width=385&amp;height=120&amp;START_MAXIMIZED=FALSE&amp;creator=factset&amp;display_string=Audit"}</definedName>
    <definedName name="_3767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8__FDSAUDITLINK__" hidden="1">{"fdsup://Directions/FactSet Auditing Viewer?action=AUDIT_VALUE&amp;DB=129&amp;ID1=59501710&amp;VALUEID=02001&amp;SDATE=200503&amp;PERIODTYPE=QTR_STD&amp;SCFT=3&amp;window=popup_no_bar&amp;width=385&amp;height=120&amp;START_MAXIMIZED=FALSE&amp;creator=factset&amp;display_string=Audit"}</definedName>
    <definedName name="_3769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70__FDSAUDITLINK__" hidden="1">{"fdsup://Directions/FactSet Auditing Viewer?action=AUDIT_VALUE&amp;DB=129&amp;ID1=59501710&amp;VALUEID=02001&amp;SDATE=200502&amp;PERIODTYPE=QTR_STD&amp;SCFT=3&amp;window=popup_no_bar&amp;width=385&amp;height=120&amp;START_MAXIMIZED=FALSE&amp;creator=factset&amp;display_string=Audit"}</definedName>
    <definedName name="_3771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2__FDSAUDITLINK__" hidden="1">{"fdsup://Directions/FactSet Auditing Viewer?action=AUDIT_VALUE&amp;DB=129&amp;ID1=59501710&amp;VALUEID=02001&amp;SDATE=200501&amp;PERIODTYPE=QTR_STD&amp;SCFT=3&amp;window=popup_no_bar&amp;width=385&amp;height=120&amp;START_MAXIMIZED=FALSE&amp;creator=factset&amp;display_string=Audit"}</definedName>
    <definedName name="_3773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4__FDSAUDITLINK__" hidden="1">{"fdsup://Directions/FactSet Auditing Viewer?action=AUDIT_VALUE&amp;DB=129&amp;ID1=59501710&amp;VALUEID=02001&amp;SDATE=200403&amp;PERIODTYPE=QTR_STD&amp;SCFT=3&amp;window=popup_no_bar&amp;width=385&amp;height=120&amp;START_MAXIMIZED=FALSE&amp;creator=factset&amp;display_string=Audit"}</definedName>
    <definedName name="_3775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6__FDSAUDITLINK__" hidden="1">{"fdsup://Directions/FactSet Auditing Viewer?action=AUDIT_VALUE&amp;DB=129&amp;ID1=59501710&amp;VALUEID=02001&amp;SDATE=200402&amp;PERIODTYPE=QTR_STD&amp;SCFT=3&amp;window=popup_no_bar&amp;width=385&amp;height=120&amp;START_MAXIMIZED=FALSE&amp;creator=factset&amp;display_string=Audit"}</definedName>
    <definedName name="_3777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8__FDSAUDITLINK__" hidden="1">{"fdsup://Directions/FactSet Auditing Viewer?action=AUDIT_VALUE&amp;DB=129&amp;ID1=59501710&amp;VALUEID=02001&amp;SDATE=200401&amp;PERIODTYPE=QTR_STD&amp;SCFT=3&amp;window=popup_no_bar&amp;width=385&amp;height=120&amp;START_MAXIMIZED=FALSE&amp;creator=factset&amp;display_string=Audit"}</definedName>
    <definedName name="_3779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__FDSAUDITLINK__" hidden="1">{"fdsup://Directions/FactSet Auditing Viewer?action=AUDIT_VALUE&amp;DB=129&amp;ID1=53567810&amp;VALUEID=02001&amp;SDATE=201101&amp;PERIODTYPE=QTR_STD&amp;SCFT=3&amp;window=popup_no_bar&amp;width=385&amp;height=120&amp;START_MAXIMIZED=FALSE&amp;creator=factset&amp;display_string=Audit"}</definedName>
    <definedName name="_3780__FDSAUDITLINK__" hidden="1">{"fdsup://Directions/FactSet Auditing Viewer?action=AUDIT_VALUE&amp;DB=129&amp;ID1=50216110&amp;VALUEID=02001&amp;SDATE=200801&amp;PERIODTYPE=QTR_STD&amp;SCFT=3&amp;window=popup_no_bar&amp;width=385&amp;height=120&amp;START_MAXIMIZED=FALSE&amp;creator=factset&amp;display_string=Audit"}</definedName>
    <definedName name="_3781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2__FDSAUDITLINK__" hidden="1">{"fdsup://Directions/FactSet Auditing Viewer?action=AUDIT_VALUE&amp;DB=129&amp;ID1=50216110&amp;VALUEID=02001&amp;SDATE=200703&amp;PERIODTYPE=QTR_STD&amp;SCFT=3&amp;window=popup_no_bar&amp;width=385&amp;height=120&amp;START_MAXIMIZED=FALSE&amp;creator=factset&amp;display_string=Audit"}</definedName>
    <definedName name="_3783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4__FDSAUDITLINK__" hidden="1">{"fdsup://Directions/FactSet Auditing Viewer?action=AUDIT_VALUE&amp;DB=129&amp;ID1=50216110&amp;VALUEID=02001&amp;SDATE=200702&amp;PERIODTYPE=QTR_STD&amp;SCFT=3&amp;window=popup_no_bar&amp;width=385&amp;height=120&amp;START_MAXIMIZED=FALSE&amp;creator=factset&amp;display_string=Audit"}</definedName>
    <definedName name="_3785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6__FDSAUDITLINK__" hidden="1">{"fdsup://Directions/FactSet Auditing Viewer?action=AUDIT_VALUE&amp;DB=129&amp;ID1=50216110&amp;VALUEID=02001&amp;SDATE=200701&amp;PERIODTYPE=QTR_STD&amp;SCFT=3&amp;window=popup_no_bar&amp;width=385&amp;height=120&amp;START_MAXIMIZED=FALSE&amp;creator=factset&amp;display_string=Audit"}</definedName>
    <definedName name="_3787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8__FDSAUDITLINK__" hidden="1">{"fdsup://Directions/FactSet Auditing Viewer?action=AUDIT_VALUE&amp;DB=129&amp;ID1=50216110&amp;VALUEID=02001&amp;SDATE=200603&amp;PERIODTYPE=QTR_STD&amp;SCFT=3&amp;window=popup_no_bar&amp;width=385&amp;height=120&amp;START_MAXIMIZED=FALSE&amp;creator=factset&amp;display_string=Audit"}</definedName>
    <definedName name="_3789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790__FDSAUDITLINK__" hidden="1">{"fdsup://Directions/FactSet Auditing Viewer?action=AUDIT_VALUE&amp;DB=129&amp;ID1=50216110&amp;VALUEID=02001&amp;SDATE=200602&amp;PERIODTYPE=QTR_STD&amp;SCFT=3&amp;window=popup_no_bar&amp;width=385&amp;height=120&amp;START_MAXIMIZED=FALSE&amp;creator=factset&amp;display_string=Audit"}</definedName>
    <definedName name="_3791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2__FDSAUDITLINK__" hidden="1">{"fdsup://Directions/FactSet Auditing Viewer?action=AUDIT_VALUE&amp;DB=129&amp;ID1=50216110&amp;VALUEID=02001&amp;SDATE=200601&amp;PERIODTYPE=QTR_STD&amp;SCFT=3&amp;window=popup_no_bar&amp;width=385&amp;height=120&amp;START_MAXIMIZED=FALSE&amp;creator=factset&amp;display_string=Audit"}</definedName>
    <definedName name="_3793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4__FDSAUDITLINK__" hidden="1">{"fdsup://Directions/FactSet Auditing Viewer?action=AUDIT_VALUE&amp;DB=129&amp;ID1=50216110&amp;VALUEID=02001&amp;SDATE=200503&amp;PERIODTYPE=QTR_STD&amp;SCFT=3&amp;window=popup_no_bar&amp;width=385&amp;height=120&amp;START_MAXIMIZED=FALSE&amp;creator=factset&amp;display_string=Audit"}</definedName>
    <definedName name="_3795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6__FDSAUDITLINK__" hidden="1">{"fdsup://Directions/FactSet Auditing Viewer?action=AUDIT_VALUE&amp;DB=129&amp;ID1=50216110&amp;VALUEID=02001&amp;SDATE=200502&amp;PERIODTYPE=QTR_STD&amp;SCFT=3&amp;window=popup_no_bar&amp;width=385&amp;height=120&amp;START_MAXIMIZED=FALSE&amp;creator=factset&amp;display_string=Audit"}</definedName>
    <definedName name="_3797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8__FDSAUDITLINK__" hidden="1">{"fdsup://Directions/FactSet Auditing Viewer?action=AUDIT_VALUE&amp;DB=129&amp;ID1=50216110&amp;VALUEID=02001&amp;SDATE=200501&amp;PERIODTYPE=QTR_STD&amp;SCFT=3&amp;window=popup_no_bar&amp;width=385&amp;height=120&amp;START_MAXIMIZED=FALSE&amp;creator=factset&amp;display_string=Audit"}</definedName>
    <definedName name="_3799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__FDSAUDITLINK__" hidden="1">{"fdsup://Directions/FactSet Auditing Viewer?action=AUDIT_VALUE&amp;DB=129&amp;ID1=74994110&amp;VALUEID=02001&amp;SDATE=201004&amp;PERIODTYPE=QTR_STD&amp;SCFT=3&amp;window=popup_no_bar&amp;width=385&amp;height=120&amp;START_MAXIMIZED=FALSE&amp;creator=factset&amp;display_string=Audit"}</definedName>
    <definedName name="_380__FDSAUDITLINK__" hidden="1">{"fdsup://Directions/FactSet Auditing Viewer?action=AUDIT_VALUE&amp;DB=129&amp;ID1=48248010&amp;VALUEID=02001&amp;SDATE=201101&amp;PERIODTYPE=QTR_STD&amp;SCFT=3&amp;window=popup_no_bar&amp;width=385&amp;height=120&amp;START_MAXIMIZED=FALSE&amp;creator=factset&amp;display_string=Audit"}</definedName>
    <definedName name="_3800__FDSAUDITLINK__" hidden="1">{"fdsup://Directions/FactSet Auditing Viewer?action=AUDIT_VALUE&amp;DB=129&amp;ID1=50216110&amp;VALUEID=02001&amp;SDATE=200403&amp;PERIODTYPE=QTR_STD&amp;SCFT=3&amp;window=popup_no_bar&amp;width=385&amp;height=120&amp;START_MAXIMIZED=FALSE&amp;creator=factset&amp;display_string=Audit"}</definedName>
    <definedName name="_3801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2__FDSAUDITLINK__" hidden="1">{"fdsup://Directions/FactSet Auditing Viewer?action=AUDIT_VALUE&amp;DB=129&amp;ID1=50216110&amp;VALUEID=02001&amp;SDATE=200402&amp;PERIODTYPE=QTR_STD&amp;SCFT=3&amp;window=popup_no_bar&amp;width=385&amp;height=120&amp;START_MAXIMIZED=FALSE&amp;creator=factset&amp;display_string=Audit"}</definedName>
    <definedName name="_3803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4__FDSAUDITLINK__" hidden="1">{"fdsup://Directions/FactSet Auditing Viewer?action=AUDIT_VALUE&amp;DB=129&amp;ID1=50216110&amp;VALUEID=02001&amp;SDATE=200401&amp;PERIODTYPE=QTR_STD&amp;SCFT=3&amp;window=popup_no_bar&amp;width=385&amp;height=120&amp;START_MAXIMIZED=FALSE&amp;creator=factset&amp;display_string=Audit"}</definedName>
    <definedName name="_3805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6__FDSAUDITLINK__" hidden="1">{"fdsup://Directions/FactSet Auditing Viewer?action=AUDIT_VALUE&amp;DB=129&amp;ID1=51841510&amp;VALUEID=02001&amp;SDATE=200801&amp;PERIODTYPE=QTR_STD&amp;SCFT=3&amp;window=popup_no_bar&amp;width=385&amp;height=120&amp;START_MAXIMIZED=FALSE&amp;creator=factset&amp;display_string=Audit"}</definedName>
    <definedName name="_3807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8__FDSAUDITLINK__" hidden="1">{"fdsup://Directions/FactSet Auditing Viewer?action=AUDIT_VALUE&amp;DB=129&amp;ID1=51841510&amp;VALUEID=02001&amp;SDATE=200703&amp;PERIODTYPE=QTR_STD&amp;SCFT=3&amp;window=popup_no_bar&amp;width=385&amp;height=120&amp;START_MAXIMIZED=FALSE&amp;creator=factset&amp;display_string=Audit"}</definedName>
    <definedName name="_3809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10__FDSAUDITLINK__" hidden="1">{"fdsup://Directions/FactSet Auditing Viewer?action=AUDIT_VALUE&amp;DB=129&amp;ID1=51841510&amp;VALUEID=02001&amp;SDATE=200702&amp;PERIODTYPE=QTR_STD&amp;SCFT=3&amp;window=popup_no_bar&amp;width=385&amp;height=120&amp;START_MAXIMIZED=FALSE&amp;creator=factset&amp;display_string=Audit"}</definedName>
    <definedName name="_3811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2__FDSAUDITLINK__" hidden="1">{"fdsup://Directions/FactSet Auditing Viewer?action=AUDIT_VALUE&amp;DB=129&amp;ID1=51841510&amp;VALUEID=02001&amp;SDATE=200701&amp;PERIODTYPE=QTR_STD&amp;SCFT=3&amp;window=popup_no_bar&amp;width=385&amp;height=120&amp;START_MAXIMIZED=FALSE&amp;creator=factset&amp;display_string=Audit"}</definedName>
    <definedName name="_3813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4__FDSAUDITLINK__" hidden="1">{"fdsup://Directions/FactSet Auditing Viewer?action=AUDIT_VALUE&amp;DB=129&amp;ID1=51841510&amp;VALUEID=02001&amp;SDATE=200603&amp;PERIODTYPE=QTR_STD&amp;SCFT=3&amp;window=popup_no_bar&amp;width=385&amp;height=120&amp;START_MAXIMIZED=FALSE&amp;creator=factset&amp;display_string=Audit"}</definedName>
    <definedName name="_3815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6__FDSAUDITLINK__" hidden="1">{"fdsup://Directions/FactSet Auditing Viewer?action=AUDIT_VALUE&amp;DB=129&amp;ID1=51841510&amp;VALUEID=02001&amp;SDATE=200602&amp;PERIODTYPE=QTR_STD&amp;SCFT=3&amp;window=popup_no_bar&amp;width=385&amp;height=120&amp;START_MAXIMIZED=FALSE&amp;creator=factset&amp;display_string=Audit"}</definedName>
    <definedName name="_3817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8__FDSAUDITLINK__" hidden="1">{"fdsup://Directions/FactSet Auditing Viewer?action=AUDIT_VALUE&amp;DB=129&amp;ID1=51841510&amp;VALUEID=02001&amp;SDATE=200601&amp;PERIODTYPE=QTR_STD&amp;SCFT=3&amp;window=popup_no_bar&amp;width=385&amp;height=120&amp;START_MAXIMIZED=FALSE&amp;creator=factset&amp;display_string=Audit"}</definedName>
    <definedName name="_3819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__FDSAUDITLINK__" hidden="1">{"fdsup://Directions/FactSet Auditing Viewer?action=AUDIT_VALUE&amp;DB=129&amp;ID1=48836020&amp;VALUEID=02001&amp;SDATE=201002&amp;PERIODTYPE=QTR_STD&amp;SCFT=3&amp;window=popup_no_bar&amp;width=385&amp;height=120&amp;START_MAXIMIZED=FALSE&amp;creator=factset&amp;display_string=Audit"}</definedName>
    <definedName name="_3820__FDSAUDITLINK__" hidden="1">{"fdsup://Directions/FactSet Auditing Viewer?action=AUDIT_VALUE&amp;DB=129&amp;ID1=51841510&amp;VALUEID=02001&amp;SDATE=200503&amp;PERIODTYPE=QTR_STD&amp;SCFT=3&amp;window=popup_no_bar&amp;width=385&amp;height=120&amp;START_MAXIMIZED=FALSE&amp;creator=factset&amp;display_string=Audit"}</definedName>
    <definedName name="_3821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2__FDSAUDITLINK__" hidden="1">{"fdsup://Directions/FactSet Auditing Viewer?action=AUDIT_VALUE&amp;DB=129&amp;ID1=51841510&amp;VALUEID=02001&amp;SDATE=200502&amp;PERIODTYPE=QTR_STD&amp;SCFT=3&amp;window=popup_no_bar&amp;width=385&amp;height=120&amp;START_MAXIMIZED=FALSE&amp;creator=factset&amp;display_string=Audit"}</definedName>
    <definedName name="_3823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4__FDSAUDITLINK__" hidden="1">{"fdsup://Directions/FactSet Auditing Viewer?action=AUDIT_VALUE&amp;DB=129&amp;ID1=51841510&amp;VALUEID=02001&amp;SDATE=200403&amp;PERIODTYPE=QTR_STD&amp;SCFT=3&amp;window=popup_no_bar&amp;width=385&amp;height=120&amp;START_MAXIMIZED=FALSE&amp;creator=factset&amp;display_string=Audit"}</definedName>
    <definedName name="_3825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6__FDSAUDITLINK__" hidden="1">{"fdsup://Directions/FactSet Auditing Viewer?action=AUDIT_VALUE&amp;DB=129&amp;ID1=51841510&amp;VALUEID=02001&amp;SDATE=200402&amp;PERIODTYPE=QTR_STD&amp;SCFT=3&amp;window=popup_no_bar&amp;width=385&amp;height=120&amp;START_MAXIMIZED=FALSE&amp;creator=factset&amp;display_string=Audit"}</definedName>
    <definedName name="_3827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8__FDSAUDITLINK__" hidden="1">{"fdsup://Directions/FactSet Auditing Viewer?action=AUDIT_VALUE&amp;DB=129&amp;ID1=51841510&amp;VALUEID=02001&amp;SDATE=200401&amp;PERIODTYPE=QTR_STD&amp;SCFT=3&amp;window=popup_no_bar&amp;width=385&amp;height=120&amp;START_MAXIMIZED=FALSE&amp;creator=factset&amp;display_string=Audit"}</definedName>
    <definedName name="_3829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30__FDSAUDITLINK__" hidden="1">{"fdsup://Directions/FactSet Auditing Viewer?action=AUDIT_VALUE&amp;DB=129&amp;ID1=51280710&amp;VALUEID=02001&amp;SDATE=200803&amp;PERIODTYPE=QTR_STD&amp;SCFT=3&amp;window=popup_no_bar&amp;width=385&amp;height=120&amp;START_MAXIMIZED=FALSE&amp;creator=factset&amp;display_string=Audit"}</definedName>
    <definedName name="_3831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2__FDSAUDITLINK__" hidden="1">{"fdsup://Directions/FactSet Auditing Viewer?action=AUDIT_VALUE&amp;DB=129&amp;ID1=51280710&amp;VALUEID=02001&amp;SDATE=200802&amp;PERIODTYPE=QTR_STD&amp;SCFT=3&amp;window=popup_no_bar&amp;width=385&amp;height=120&amp;START_MAXIMIZED=FALSE&amp;creator=factset&amp;display_string=Audit"}</definedName>
    <definedName name="_3833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4__FDSAUDITLINK__" hidden="1">{"fdsup://Directions/FactSet Auditing Viewer?action=AUDIT_VALUE&amp;DB=129&amp;ID1=51280710&amp;VALUEID=02001&amp;SDATE=200801&amp;PERIODTYPE=QTR_STD&amp;SCFT=3&amp;window=popup_no_bar&amp;width=385&amp;height=120&amp;START_MAXIMIZED=FALSE&amp;creator=factset&amp;display_string=Audit"}</definedName>
    <definedName name="_3835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6__FDSAUDITLINK__" hidden="1">{"fdsup://Directions/FactSet Auditing Viewer?action=AUDIT_VALUE&amp;DB=129&amp;ID1=51280710&amp;VALUEID=02001&amp;SDATE=200703&amp;PERIODTYPE=QTR_STD&amp;SCFT=3&amp;window=popup_no_bar&amp;width=385&amp;height=120&amp;START_MAXIMIZED=FALSE&amp;creator=factset&amp;display_string=Audit"}</definedName>
    <definedName name="_3837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8__FDSAUDITLINK__" hidden="1">{"fdsup://Directions/FactSet Auditing Viewer?action=AUDIT_VALUE&amp;DB=129&amp;ID1=51280710&amp;VALUEID=02001&amp;SDATE=200702&amp;PERIODTYPE=QTR_STD&amp;SCFT=3&amp;window=popup_no_bar&amp;width=385&amp;height=120&amp;START_MAXIMIZED=FALSE&amp;creator=factset&amp;display_string=Audit"}</definedName>
    <definedName name="_3839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__FDSAUDITLINK__" hidden="1">{"fdsup://Directions/FactSet Auditing Viewer?action=AUDIT_VALUE&amp;DB=129&amp;ID1=48203R10&amp;VALUEID=02001&amp;SDATE=201003&amp;PERIODTYPE=QTR_STD&amp;SCFT=3&amp;window=popup_no_bar&amp;width=385&amp;height=120&amp;START_MAXIMIZED=FALSE&amp;creator=factset&amp;display_string=Audit"}</definedName>
    <definedName name="_3840__FDSAUDITLINK__" hidden="1">{"fdsup://Directions/FactSet Auditing Viewer?action=AUDIT_VALUE&amp;DB=129&amp;ID1=51280710&amp;VALUEID=02001&amp;SDATE=200701&amp;PERIODTYPE=QTR_STD&amp;SCFT=3&amp;window=popup_no_bar&amp;width=385&amp;height=120&amp;START_MAXIMIZED=FALSE&amp;creator=factset&amp;display_string=Audit"}</definedName>
    <definedName name="_3841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2__FDSAUDITLINK__" hidden="1">{"fdsup://Directions/FactSet Auditing Viewer?action=AUDIT_VALUE&amp;DB=129&amp;ID1=51280710&amp;VALUEID=02001&amp;SDATE=200603&amp;PERIODTYPE=QTR_STD&amp;SCFT=3&amp;window=popup_no_bar&amp;width=385&amp;height=120&amp;START_MAXIMIZED=FALSE&amp;creator=factset&amp;display_string=Audit"}</definedName>
    <definedName name="_3843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4__FDSAUDITLINK__" hidden="1">{"fdsup://Directions/FactSet Auditing Viewer?action=AUDIT_VALUE&amp;DB=129&amp;ID1=51280710&amp;VALUEID=02001&amp;SDATE=200602&amp;PERIODTYPE=QTR_STD&amp;SCFT=3&amp;window=popup_no_bar&amp;width=385&amp;height=120&amp;START_MAXIMIZED=FALSE&amp;creator=factset&amp;display_string=Audit"}</definedName>
    <definedName name="_3845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6__FDSAUDITLINK__" hidden="1">{"fdsup://Directions/FactSet Auditing Viewer?action=AUDIT_VALUE&amp;DB=129&amp;ID1=51280710&amp;VALUEID=02001&amp;SDATE=200601&amp;PERIODTYPE=QTR_STD&amp;SCFT=3&amp;window=popup_no_bar&amp;width=385&amp;height=120&amp;START_MAXIMIZED=FALSE&amp;creator=factset&amp;display_string=Audit"}</definedName>
    <definedName name="_3847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8__FDSAUDITLINK__" hidden="1">{"fdsup://Directions/FactSet Auditing Viewer?action=AUDIT_VALUE&amp;DB=129&amp;ID1=51280710&amp;VALUEID=02001&amp;SDATE=200502&amp;PERIODTYPE=QTR_STD&amp;SCFT=3&amp;window=popup_no_bar&amp;width=385&amp;height=120&amp;START_MAXIMIZED=FALSE&amp;creator=factset&amp;display_string=Audit"}</definedName>
    <definedName name="_3849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50__FDSAUDITLINK__" hidden="1">{"fdsup://Directions/FactSet Auditing Viewer?action=AUDIT_VALUE&amp;DB=129&amp;ID1=51280710&amp;VALUEID=02001&amp;SDATE=200501&amp;PERIODTYPE=QTR_STD&amp;SCFT=3&amp;window=popup_no_bar&amp;width=385&amp;height=120&amp;START_MAXIMIZED=FALSE&amp;creator=factset&amp;display_string=Audit"}</definedName>
    <definedName name="_3851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2__FDSAUDITLINK__" hidden="1">{"fdsup://Directions/FactSet Auditing Viewer?action=AUDIT_VALUE&amp;DB=129&amp;ID1=51280710&amp;VALUEID=02001&amp;SDATE=200403&amp;PERIODTYPE=QTR_STD&amp;SCFT=3&amp;window=popup_no_bar&amp;width=385&amp;height=120&amp;START_MAXIMIZED=FALSE&amp;creator=factset&amp;display_string=Audit"}</definedName>
    <definedName name="_3853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4__FDSAUDITLINK__" hidden="1">{"fdsup://Directions/FactSet Auditing Viewer?action=AUDIT_VALUE&amp;DB=129&amp;ID1=53567810&amp;VALUEID=02001&amp;SDATE=200803&amp;PERIODTYPE=QTR_STD&amp;SCFT=3&amp;window=popup_no_bar&amp;width=385&amp;height=120&amp;START_MAXIMIZED=FALSE&amp;creator=factset&amp;display_string=Audit"}</definedName>
    <definedName name="_3855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6__FDSAUDITLINK__" hidden="1">{"fdsup://Directions/FactSet Auditing Viewer?action=AUDIT_VALUE&amp;DB=129&amp;ID1=53567810&amp;VALUEID=02001&amp;SDATE=200802&amp;PERIODTYPE=QTR_STD&amp;SCFT=3&amp;window=popup_no_bar&amp;width=385&amp;height=120&amp;START_MAXIMIZED=FALSE&amp;creator=factset&amp;display_string=Audit"}</definedName>
    <definedName name="_3857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8__FDSAUDITLINK__" hidden="1">{"fdsup://Directions/FactSet Auditing Viewer?action=AUDIT_VALUE&amp;DB=129&amp;ID1=53567810&amp;VALUEID=02001&amp;SDATE=200801&amp;PERIODTYPE=QTR_STD&amp;SCFT=3&amp;window=popup_no_bar&amp;width=385&amp;height=120&amp;START_MAXIMIZED=FALSE&amp;creator=factset&amp;display_string=Audit"}</definedName>
    <definedName name="_3859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__FDSAUDITLINK__" hidden="1">{"fdsup://Directions/FactSet Auditing Viewer?action=AUDIT_VALUE&amp;DB=129&amp;ID1=46069S10&amp;VALUEID=02001&amp;SDATE=201003&amp;PERIODTYPE=QTR_STD&amp;SCFT=3&amp;window=popup_no_bar&amp;width=385&amp;height=120&amp;START_MAXIMIZED=FALSE&amp;creator=factset&amp;display_string=Audit"}</definedName>
    <definedName name="_3860__FDSAUDITLINK__" hidden="1">{"fdsup://Directions/FactSet Auditing Viewer?action=AUDIT_VALUE&amp;DB=129&amp;ID1=53567810&amp;VALUEID=02001&amp;SDATE=200703&amp;PERIODTYPE=QTR_STD&amp;SCFT=3&amp;window=popup_no_bar&amp;width=385&amp;height=120&amp;START_MAXIMIZED=FALSE&amp;creator=factset&amp;display_string=Audit"}</definedName>
    <definedName name="_3861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2__FDSAUDITLINK__" hidden="1">{"fdsup://Directions/FactSet Auditing Viewer?action=AUDIT_VALUE&amp;DB=129&amp;ID1=53567810&amp;VALUEID=02001&amp;SDATE=200702&amp;PERIODTYPE=QTR_STD&amp;SCFT=3&amp;window=popup_no_bar&amp;width=385&amp;height=120&amp;START_MAXIMIZED=FALSE&amp;creator=factset&amp;display_string=Audit"}</definedName>
    <definedName name="_3863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4__FDSAUDITLINK__" hidden="1">{"fdsup://Directions/FactSet Auditing Viewer?action=AUDIT_VALUE&amp;DB=129&amp;ID1=53567810&amp;VALUEID=02001&amp;SDATE=200701&amp;PERIODTYPE=QTR_STD&amp;SCFT=3&amp;window=popup_no_bar&amp;width=385&amp;height=120&amp;START_MAXIMIZED=FALSE&amp;creator=factset&amp;display_string=Audit"}</definedName>
    <definedName name="_3865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6__FDSAUDITLINK__" hidden="1">{"fdsup://Directions/FactSet Auditing Viewer?action=AUDIT_VALUE&amp;DB=129&amp;ID1=53567810&amp;VALUEID=02001&amp;SDATE=200603&amp;PERIODTYPE=QTR_STD&amp;SCFT=3&amp;window=popup_no_bar&amp;width=385&amp;height=120&amp;START_MAXIMIZED=FALSE&amp;creator=factset&amp;display_string=Audit"}</definedName>
    <definedName name="_3867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8__FDSAUDITLINK__" hidden="1">{"fdsup://Directions/FactSet Auditing Viewer?action=AUDIT_VALUE&amp;DB=129&amp;ID1=53567810&amp;VALUEID=02001&amp;SDATE=200602&amp;PERIODTYPE=QTR_STD&amp;SCFT=3&amp;window=popup_no_bar&amp;width=385&amp;height=120&amp;START_MAXIMIZED=FALSE&amp;creator=factset&amp;display_string=Audit"}</definedName>
    <definedName name="_3869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70__FDSAUDITLINK__" hidden="1">{"fdsup://Directions/FactSet Auditing Viewer?action=AUDIT_VALUE&amp;DB=129&amp;ID1=53567810&amp;VALUEID=02001&amp;SDATE=200601&amp;PERIODTYPE=QTR_STD&amp;SCFT=3&amp;window=popup_no_bar&amp;width=385&amp;height=120&amp;START_MAXIMIZED=FALSE&amp;creator=factset&amp;display_string=Audit"}</definedName>
    <definedName name="_3871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2__FDSAUDITLINK__" hidden="1">{"fdsup://Directions/FactSet Auditing Viewer?action=AUDIT_VALUE&amp;DB=129&amp;ID1=53567810&amp;VALUEID=02001&amp;SDATE=200503&amp;PERIODTYPE=QTR_STD&amp;SCFT=3&amp;window=popup_no_bar&amp;width=385&amp;height=120&amp;START_MAXIMIZED=FALSE&amp;creator=factset&amp;display_string=Audit"}</definedName>
    <definedName name="_3873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4__FDSAUDITLINK__" hidden="1">{"fdsup://Directions/FactSet Auditing Viewer?action=AUDIT_VALUE&amp;DB=129&amp;ID1=53567810&amp;VALUEID=02001&amp;SDATE=200502&amp;PERIODTYPE=QTR_STD&amp;SCFT=3&amp;window=popup_no_bar&amp;width=385&amp;height=120&amp;START_MAXIMIZED=FALSE&amp;creator=factset&amp;display_string=Audit"}</definedName>
    <definedName name="_3875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6__FDSAUDITLINK__" hidden="1">{"fdsup://Directions/FactSet Auditing Viewer?action=AUDIT_VALUE&amp;DB=129&amp;ID1=53567810&amp;VALUEID=02001&amp;SDATE=200501&amp;PERIODTYPE=QTR_STD&amp;SCFT=3&amp;window=popup_no_bar&amp;width=385&amp;height=120&amp;START_MAXIMIZED=FALSE&amp;creator=factset&amp;display_string=Audit"}</definedName>
    <definedName name="_3877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8__FDSAUDITLINK__" hidden="1">{"fdsup://Directions/FactSet Auditing Viewer?action=AUDIT_VALUE&amp;DB=129&amp;ID1=53567810&amp;VALUEID=02001&amp;SDATE=200403&amp;PERIODTYPE=QTR_STD&amp;SCFT=3&amp;window=popup_no_bar&amp;width=385&amp;height=120&amp;START_MAXIMIZED=FALSE&amp;creator=factset&amp;display_string=Audit"}</definedName>
    <definedName name="_3879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__FDSAUDITLINK__" hidden="1">{"fdsup://Directions/FactSet Auditing Viewer?action=AUDIT_VALUE&amp;DB=129&amp;ID1=46025410&amp;VALUEID=02001&amp;SDATE=201101&amp;PERIODTYPE=QTR_STD&amp;SCFT=3&amp;window=popup_no_bar&amp;width=385&amp;height=120&amp;START_MAXIMIZED=FALSE&amp;creator=factset&amp;display_string=Audit"}</definedName>
    <definedName name="_3880__FDSAUDITLINK__" hidden="1">{"fdsup://Directions/FactSet Auditing Viewer?action=AUDIT_VALUE&amp;DB=129&amp;ID1=48248010&amp;VALUEID=02001&amp;SDATE=200803&amp;PERIODTYPE=QTR_STD&amp;SCFT=3&amp;window=popup_no_bar&amp;width=385&amp;height=120&amp;START_MAXIMIZED=FALSE&amp;creator=factset&amp;display_string=Audit"}</definedName>
    <definedName name="_3881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2__FDSAUDITLINK__" hidden="1">{"fdsup://Directions/FactSet Auditing Viewer?action=AUDIT_VALUE&amp;DB=129&amp;ID1=48248010&amp;VALUEID=02001&amp;SDATE=200802&amp;PERIODTYPE=QTR_STD&amp;SCFT=3&amp;window=popup_no_bar&amp;width=385&amp;height=120&amp;START_MAXIMIZED=FALSE&amp;creator=factset&amp;display_string=Audit"}</definedName>
    <definedName name="_3883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4__FDSAUDITLINK__" hidden="1">{"fdsup://Directions/FactSet Auditing Viewer?action=AUDIT_VALUE&amp;DB=129&amp;ID1=48248010&amp;VALUEID=02001&amp;SDATE=200801&amp;PERIODTYPE=QTR_STD&amp;SCFT=3&amp;window=popup_no_bar&amp;width=385&amp;height=120&amp;START_MAXIMIZED=FALSE&amp;creator=factset&amp;display_string=Audit"}</definedName>
    <definedName name="_3885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6__FDSAUDITLINK__" hidden="1">{"fdsup://Directions/FactSet Auditing Viewer?action=AUDIT_VALUE&amp;DB=129&amp;ID1=48248010&amp;VALUEID=02001&amp;SDATE=200703&amp;PERIODTYPE=QTR_STD&amp;SCFT=3&amp;window=popup_no_bar&amp;width=385&amp;height=120&amp;START_MAXIMIZED=FALSE&amp;creator=factset&amp;display_string=Audit"}</definedName>
    <definedName name="_3887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8__FDSAUDITLINK__" hidden="1">{"fdsup://Directions/FactSet Auditing Viewer?action=AUDIT_VALUE&amp;DB=129&amp;ID1=48248010&amp;VALUEID=02001&amp;SDATE=200702&amp;PERIODTYPE=QTR_STD&amp;SCFT=3&amp;window=popup_no_bar&amp;width=385&amp;height=120&amp;START_MAXIMIZED=FALSE&amp;creator=factset&amp;display_string=Audit"}</definedName>
    <definedName name="_3889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890__FDSAUDITLINK__" hidden="1">{"fdsup://Directions/FactSet Auditing Viewer?action=AUDIT_VALUE&amp;DB=129&amp;ID1=48248010&amp;VALUEID=02001&amp;SDATE=200701&amp;PERIODTYPE=QTR_STD&amp;SCFT=3&amp;window=popup_no_bar&amp;width=385&amp;height=120&amp;START_MAXIMIZED=FALSE&amp;creator=factset&amp;display_string=Audit"}</definedName>
    <definedName name="_3891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2__FDSAUDITLINK__" hidden="1">{"fdsup://Directions/FactSet Auditing Viewer?action=AUDIT_VALUE&amp;DB=129&amp;ID1=48248010&amp;VALUEID=02001&amp;SDATE=200603&amp;PERIODTYPE=QTR_STD&amp;SCFT=3&amp;window=popup_no_bar&amp;width=385&amp;height=120&amp;START_MAXIMIZED=FALSE&amp;creator=factset&amp;display_string=Audit"}</definedName>
    <definedName name="_3893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4__FDSAUDITLINK__" hidden="1">{"fdsup://Directions/FactSet Auditing Viewer?action=AUDIT_VALUE&amp;DB=129&amp;ID1=48248010&amp;VALUEID=02001&amp;SDATE=200602&amp;PERIODTYPE=QTR_STD&amp;SCFT=3&amp;window=popup_no_bar&amp;width=385&amp;height=120&amp;START_MAXIMIZED=FALSE&amp;creator=factset&amp;display_string=Audit"}</definedName>
    <definedName name="_3895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6__FDSAUDITLINK__" hidden="1">{"fdsup://Directions/FactSet Auditing Viewer?action=AUDIT_VALUE&amp;DB=129&amp;ID1=48248010&amp;VALUEID=02001&amp;SDATE=200601&amp;PERIODTYPE=QTR_STD&amp;SCFT=3&amp;window=popup_no_bar&amp;width=385&amp;height=120&amp;START_MAXIMIZED=FALSE&amp;creator=factset&amp;display_string=Audit"}</definedName>
    <definedName name="_3897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8__FDSAUDITLINK__" hidden="1">{"fdsup://Directions/FactSet Auditing Viewer?action=AUDIT_VALUE&amp;DB=129&amp;ID1=48248010&amp;VALUEID=02001&amp;SDATE=200503&amp;PERIODTYPE=QTR_STD&amp;SCFT=3&amp;window=popup_no_bar&amp;width=385&amp;height=120&amp;START_MAXIMIZED=FALSE&amp;creator=factset&amp;display_string=Audit"}</definedName>
    <definedName name="_3899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390__FDSAUDITLINK__" hidden="1">{"fdsup://Directions/FactSet Auditing Viewer?action=AUDIT_VALUE&amp;DB=129&amp;ID1=45772F10&amp;VALUEID=02001&amp;SDATE=201003&amp;PERIODTYPE=QTR_STD&amp;SCFT=3&amp;window=popup_no_bar&amp;width=385&amp;height=120&amp;START_MAXIMIZED=FALSE&amp;creator=factset&amp;display_string=Audit"}</definedName>
    <definedName name="_3900__FDSAUDITLINK__" hidden="1">{"fdsup://Directions/FactSet Auditing Viewer?action=AUDIT_VALUE&amp;DB=129&amp;ID1=48248010&amp;VALUEID=02001&amp;SDATE=200502&amp;PERIODTYPE=QTR_STD&amp;SCFT=3&amp;window=popup_no_bar&amp;width=385&amp;height=120&amp;START_MAXIMIZED=FALSE&amp;creator=factset&amp;display_string=Audit"}</definedName>
    <definedName name="_3901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2__FDSAUDITLINK__" hidden="1">{"fdsup://Directions/FactSet Auditing Viewer?action=AUDIT_VALUE&amp;DB=129&amp;ID1=48248010&amp;VALUEID=02001&amp;SDATE=200501&amp;PERIODTYPE=QTR_STD&amp;SCFT=3&amp;window=popup_no_bar&amp;width=385&amp;height=120&amp;START_MAXIMIZED=FALSE&amp;creator=factset&amp;display_string=Audit"}</definedName>
    <definedName name="_3903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4__FDSAUDITLINK__" hidden="1">{"fdsup://Directions/FactSet Auditing Viewer?action=AUDIT_VALUE&amp;DB=129&amp;ID1=48248010&amp;VALUEID=02001&amp;SDATE=200403&amp;PERIODTYPE=QTR_STD&amp;SCFT=3&amp;window=popup_no_bar&amp;width=385&amp;height=120&amp;START_MAXIMIZED=FALSE&amp;creator=factset&amp;display_string=Audit"}</definedName>
    <definedName name="_3905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6__FDSAUDITLINK__" hidden="1">{"fdsup://Directions/FactSet Auditing Viewer?action=AUDIT_VALUE&amp;DB=129&amp;ID1=48836020&amp;VALUEID=02001&amp;SDATE=200703&amp;PERIODTYPE=QTR_STD&amp;SCFT=3&amp;window=popup_no_bar&amp;width=385&amp;height=120&amp;START_MAXIMIZED=FALSE&amp;creator=factset&amp;display_string=Audit"}</definedName>
    <definedName name="_3907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8__FDSAUDITLINK__" hidden="1">{"fdsup://Directions/FactSet Auditing Viewer?action=AUDIT_VALUE&amp;DB=129&amp;ID1=48836020&amp;VALUEID=02001&amp;SDATE=200702&amp;PERIODTYPE=QTR_STD&amp;SCFT=3&amp;window=popup_no_bar&amp;width=385&amp;height=120&amp;START_MAXIMIZED=FALSE&amp;creator=factset&amp;display_string=Audit"}</definedName>
    <definedName name="_3909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10__FDSAUDITLINK__" hidden="1">{"fdsup://Directions/FactSet Auditing Viewer?action=AUDIT_VALUE&amp;DB=129&amp;ID1=48836020&amp;VALUEID=02001&amp;SDATE=200701&amp;PERIODTYPE=QTR_STD&amp;SCFT=3&amp;window=popup_no_bar&amp;width=385&amp;height=120&amp;START_MAXIMIZED=FALSE&amp;creator=factset&amp;display_string=Audit"}</definedName>
    <definedName name="_3911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2__FDSAUDITLINK__" hidden="1">{"fdsup://Directions/FactSet Auditing Viewer?action=AUDIT_VALUE&amp;DB=129&amp;ID1=48836020&amp;VALUEID=02001&amp;SDATE=200603&amp;PERIODTYPE=QTR_STD&amp;SCFT=3&amp;window=popup_no_bar&amp;width=385&amp;height=120&amp;START_MAXIMIZED=FALSE&amp;creator=factset&amp;display_string=Audit"}</definedName>
    <definedName name="_3913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4__FDSAUDITLINK__" hidden="1">{"fdsup://Directions/FactSet Auditing Viewer?action=AUDIT_VALUE&amp;DB=129&amp;ID1=48836020&amp;VALUEID=02001&amp;SDATE=200602&amp;PERIODTYPE=QTR_STD&amp;SCFT=3&amp;window=popup_no_bar&amp;width=385&amp;height=120&amp;START_MAXIMIZED=FALSE&amp;creator=factset&amp;display_string=Audit"}</definedName>
    <definedName name="_3915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6__FDSAUDITLINK__" hidden="1">{"fdsup://Directions/FactSet Auditing Viewer?action=AUDIT_VALUE&amp;DB=129&amp;ID1=48836020&amp;VALUEID=02001&amp;SDATE=200601&amp;PERIODTYPE=QTR_STD&amp;SCFT=3&amp;window=popup_no_bar&amp;width=385&amp;height=120&amp;START_MAXIMIZED=FALSE&amp;creator=factset&amp;display_string=Audit"}</definedName>
    <definedName name="_3917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8__FDSAUDITLINK__" hidden="1">{"fdsup://Directions/FactSet Auditing Viewer?action=AUDIT_VALUE&amp;DB=129&amp;ID1=48836020&amp;VALUEID=02001&amp;SDATE=200503&amp;PERIODTYPE=QTR_STD&amp;SCFT=3&amp;window=popup_no_bar&amp;width=385&amp;height=120&amp;START_MAXIMIZED=FALSE&amp;creator=factset&amp;display_string=Audit"}</definedName>
    <definedName name="_3919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__FDSAUDITLINK__" hidden="1">{"fdsup://Directions/FactSet Auditing Viewer?action=AUDIT_VALUE&amp;DB=129&amp;ID1=45814010&amp;VALUEID=02001&amp;SDATE=201003&amp;PERIODTYPE=QTR_STD&amp;SCFT=3&amp;window=popup_no_bar&amp;width=385&amp;height=120&amp;START_MAXIMIZED=FALSE&amp;creator=factset&amp;display_string=Audit"}</definedName>
    <definedName name="_3920__FDSAUDITLINK__" hidden="1">{"fdsup://Directions/FactSet Auditing Viewer?action=AUDIT_VALUE&amp;DB=129&amp;ID1=48203R10&amp;VALUEID=02001&amp;SDATE=200801&amp;PERIODTYPE=QTR_STD&amp;SCFT=3&amp;window=popup_no_bar&amp;width=385&amp;height=120&amp;START_MAXIMIZED=FALSE&amp;creator=factset&amp;display_string=Audit"}</definedName>
    <definedName name="_3921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2__FDSAUDITLINK__" hidden="1">{"fdsup://Directions/FactSet Auditing Viewer?action=AUDIT_VALUE&amp;DB=129&amp;ID1=48203R10&amp;VALUEID=02001&amp;SDATE=200703&amp;PERIODTYPE=QTR_STD&amp;SCFT=3&amp;window=popup_no_bar&amp;width=385&amp;height=120&amp;START_MAXIMIZED=FALSE&amp;creator=factset&amp;display_string=Audit"}</definedName>
    <definedName name="_3923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4__FDSAUDITLINK__" hidden="1">{"fdsup://Directions/FactSet Auditing Viewer?action=AUDIT_VALUE&amp;DB=129&amp;ID1=48203R10&amp;VALUEID=02001&amp;SDATE=200702&amp;PERIODTYPE=QTR_STD&amp;SCFT=3&amp;window=popup_no_bar&amp;width=385&amp;height=120&amp;START_MAXIMIZED=FALSE&amp;creator=factset&amp;display_string=Audit"}</definedName>
    <definedName name="_3925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6__FDSAUDITLINK__" hidden="1">{"fdsup://Directions/FactSet Auditing Viewer?action=AUDIT_VALUE&amp;DB=129&amp;ID1=48203R10&amp;VALUEID=02001&amp;SDATE=200701&amp;PERIODTYPE=QTR_STD&amp;SCFT=3&amp;window=popup_no_bar&amp;width=385&amp;height=120&amp;START_MAXIMIZED=FALSE&amp;creator=factset&amp;display_string=Audit"}</definedName>
    <definedName name="_3927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8__FDSAUDITLINK__" hidden="1">{"fdsup://Directions/FactSet Auditing Viewer?action=AUDIT_VALUE&amp;DB=129&amp;ID1=48203R10&amp;VALUEID=02001&amp;SDATE=200603&amp;PERIODTYPE=QTR_STD&amp;SCFT=3&amp;window=popup_no_bar&amp;width=385&amp;height=120&amp;START_MAXIMIZED=FALSE&amp;creator=factset&amp;display_string=Audit"}</definedName>
    <definedName name="_3929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30__FDSAUDITLINK__" hidden="1">{"fdsup://Directions/FactSet Auditing Viewer?action=AUDIT_VALUE&amp;DB=129&amp;ID1=48203R10&amp;VALUEID=02001&amp;SDATE=200602&amp;PERIODTYPE=QTR_STD&amp;SCFT=3&amp;window=popup_no_bar&amp;width=385&amp;height=120&amp;START_MAXIMIZED=FALSE&amp;creator=factset&amp;display_string=Audit"}</definedName>
    <definedName name="_3931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2__FDSAUDITLINK__" hidden="1">{"fdsup://Directions/FactSet Auditing Viewer?action=AUDIT_VALUE&amp;DB=129&amp;ID1=48203R10&amp;VALUEID=02001&amp;SDATE=200601&amp;PERIODTYPE=QTR_STD&amp;SCFT=3&amp;window=popup_no_bar&amp;width=385&amp;height=120&amp;START_MAXIMIZED=FALSE&amp;creator=factset&amp;display_string=Audit"}</definedName>
    <definedName name="_3933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4__FDSAUDITLINK__" hidden="1">{"fdsup://Directions/FactSet Auditing Viewer?action=AUDIT_VALUE&amp;DB=129&amp;ID1=48203R10&amp;VALUEID=02001&amp;SDATE=200503&amp;PERIODTYPE=QTR_STD&amp;SCFT=3&amp;window=popup_no_bar&amp;width=385&amp;height=120&amp;START_MAXIMIZED=FALSE&amp;creator=factset&amp;display_string=Audit"}</definedName>
    <definedName name="_3935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6__FDSAUDITLINK__" hidden="1">{"fdsup://Directions/FactSet Auditing Viewer?action=AUDIT_VALUE&amp;DB=129&amp;ID1=48203R10&amp;VALUEID=02001&amp;SDATE=200502&amp;PERIODTYPE=QTR_STD&amp;SCFT=3&amp;window=popup_no_bar&amp;width=385&amp;height=120&amp;START_MAXIMIZED=FALSE&amp;creator=factset&amp;display_string=Audit"}</definedName>
    <definedName name="_3937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8__FDSAUDITLINK__" hidden="1">{"fdsup://Directions/FactSet Auditing Viewer?action=AUDIT_VALUE&amp;DB=129&amp;ID1=48203R10&amp;VALUEID=02001&amp;SDATE=200501&amp;PERIODTYPE=QTR_STD&amp;SCFT=3&amp;window=popup_no_bar&amp;width=385&amp;height=120&amp;START_MAXIMIZED=FALSE&amp;creator=factset&amp;display_string=Audit"}</definedName>
    <definedName name="_3939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__FDSAUDITLINK__" hidden="1">{"fdsup://Directions/FactSet Auditing Viewer?action=AUDIT_VALUE&amp;DB=129&amp;ID1=45811810&amp;VALUEID=02001&amp;SDATE=201002&amp;PERIODTYPE=QTR_STD&amp;SCFT=3&amp;window=popup_no_bar&amp;width=385&amp;height=120&amp;START_MAXIMIZED=FALSE&amp;creator=factset&amp;display_string=Audit"}</definedName>
    <definedName name="_3940__FDSAUDITLINK__" hidden="1">{"fdsup://Directions/FactSet Auditing Viewer?action=AUDIT_VALUE&amp;DB=129&amp;ID1=48203R10&amp;VALUEID=02001&amp;SDATE=200403&amp;PERIODTYPE=QTR_STD&amp;SCFT=3&amp;window=popup_no_bar&amp;width=385&amp;height=120&amp;START_MAXIMIZED=FALSE&amp;creator=factset&amp;display_string=Audit"}</definedName>
    <definedName name="_3941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2__FDSAUDITLINK__" hidden="1">{"fdsup://Directions/FactSet Auditing Viewer?action=AUDIT_VALUE&amp;DB=129&amp;ID1=48203R10&amp;VALUEID=02001&amp;SDATE=200402&amp;PERIODTYPE=QTR_STD&amp;SCFT=3&amp;window=popup_no_bar&amp;width=385&amp;height=120&amp;START_MAXIMIZED=FALSE&amp;creator=factset&amp;display_string=Audit"}</definedName>
    <definedName name="_3943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4__FDSAUDITLINK__" hidden="1">{"fdsup://Directions/FactSet Auditing Viewer?action=AUDIT_VALUE&amp;DB=129&amp;ID1=48203R10&amp;VALUEID=02001&amp;SDATE=200401&amp;PERIODTYPE=QTR_STD&amp;SCFT=3&amp;window=popup_no_bar&amp;width=385&amp;height=120&amp;START_MAXIMIZED=FALSE&amp;creator=factset&amp;display_string=Audit"}</definedName>
    <definedName name="_3945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6__FDSAUDITLINK__" hidden="1">{"fdsup://Directions/FactSet Auditing Viewer?action=AUDIT_VALUE&amp;DB=129&amp;ID1=86681020&amp;VALUEID=02001&amp;SDATE=200803&amp;PERIODTYPE=QTR_STD&amp;SCFT=3&amp;window=popup_no_bar&amp;width=385&amp;height=120&amp;START_MAXIMIZED=FALSE&amp;creator=factset&amp;display_string=Audit"}</definedName>
    <definedName name="_3947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8__FDSAUDITLINK__" hidden="1">{"fdsup://Directions/FactSet Auditing Viewer?action=AUDIT_VALUE&amp;DB=129&amp;ID1=86681020&amp;VALUEID=02001&amp;SDATE=200802&amp;PERIODTYPE=QTR_STD&amp;SCFT=3&amp;window=popup_no_bar&amp;width=385&amp;height=120&amp;START_MAXIMIZED=FALSE&amp;creator=factset&amp;display_string=Audit"}</definedName>
    <definedName name="_3949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50__FDSAUDITLINK__" hidden="1">{"fdsup://Directions/FactSet Auditing Viewer?action=AUDIT_VALUE&amp;DB=129&amp;ID1=86681020&amp;VALUEID=02001&amp;SDATE=200801&amp;PERIODTYPE=QTR_STD&amp;SCFT=3&amp;window=popup_no_bar&amp;width=385&amp;height=120&amp;START_MAXIMIZED=FALSE&amp;creator=factset&amp;display_string=Audit"}</definedName>
    <definedName name="_3951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2__FDSAUDITLINK__" hidden="1">{"fdsup://Directions/FactSet Auditing Viewer?action=AUDIT_VALUE&amp;DB=129&amp;ID1=86681020&amp;VALUEID=02001&amp;SDATE=200703&amp;PERIODTYPE=QTR_STD&amp;SCFT=3&amp;window=popup_no_bar&amp;width=385&amp;height=120&amp;START_MAXIMIZED=FALSE&amp;creator=factset&amp;display_string=Audit"}</definedName>
    <definedName name="_3953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4__FDSAUDITLINK__" hidden="1">{"fdsup://Directions/FactSet Auditing Viewer?action=AUDIT_VALUE&amp;DB=129&amp;ID1=86681020&amp;VALUEID=02001&amp;SDATE=200702&amp;PERIODTYPE=QTR_STD&amp;SCFT=3&amp;window=popup_no_bar&amp;width=385&amp;height=120&amp;START_MAXIMIZED=FALSE&amp;creator=factset&amp;display_string=Audit"}</definedName>
    <definedName name="_3955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6__FDSAUDITLINK__" hidden="1">{"fdsup://Directions/FactSet Auditing Viewer?action=AUDIT_VALUE&amp;DB=129&amp;ID1=86681020&amp;VALUEID=02001&amp;SDATE=200701&amp;PERIODTYPE=QTR_STD&amp;SCFT=3&amp;window=popup_no_bar&amp;width=385&amp;height=120&amp;START_MAXIMIZED=FALSE&amp;creator=factset&amp;display_string=Audit"}</definedName>
    <definedName name="_3957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8__FDSAUDITLINK__" hidden="1">{"fdsup://Directions/FactSet Auditing Viewer?action=AUDIT_VALUE&amp;DB=129&amp;ID1=86681020&amp;VALUEID=02001&amp;SDATE=200603&amp;PERIODTYPE=QTR_STD&amp;SCFT=3&amp;window=popup_no_bar&amp;width=385&amp;height=120&amp;START_MAXIMIZED=FALSE&amp;creator=factset&amp;display_string=Audit"}</definedName>
    <definedName name="_3959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__FDSAUDITLINK__" hidden="1">{"fdsup://Directions/FactSet Auditing Viewer?action=AUDIT_VALUE&amp;DB=129&amp;ID1=42823610&amp;VALUEID=02001&amp;SDATE=201004&amp;PERIODTYPE=QTR_STD&amp;SCFT=3&amp;window=popup_no_bar&amp;width=385&amp;height=120&amp;START_MAXIMIZED=FALSE&amp;creator=factset&amp;display_string=Audit"}</definedName>
    <definedName name="_3960__FDSAUDITLINK__" hidden="1">{"fdsup://Directions/FactSet Auditing Viewer?action=AUDIT_VALUE&amp;DB=129&amp;ID1=86681020&amp;VALUEID=02001&amp;SDATE=200602&amp;PERIODTYPE=QTR_STD&amp;SCFT=3&amp;window=popup_no_bar&amp;width=385&amp;height=120&amp;START_MAXIMIZED=FALSE&amp;creator=factset&amp;display_string=Audit"}</definedName>
    <definedName name="_3961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2__FDSAUDITLINK__" hidden="1">{"fdsup://Directions/FactSet Auditing Viewer?action=AUDIT_VALUE&amp;DB=129&amp;ID1=86681020&amp;VALUEID=02001&amp;SDATE=200601&amp;PERIODTYPE=QTR_STD&amp;SCFT=3&amp;window=popup_no_bar&amp;width=385&amp;height=120&amp;START_MAXIMIZED=FALSE&amp;creator=factset&amp;display_string=Audit"}</definedName>
    <definedName name="_3963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4__FDSAUDITLINK__" hidden="1">{"fdsup://Directions/FactSet Auditing Viewer?action=AUDIT_VALUE&amp;DB=129&amp;ID1=86681020&amp;VALUEID=02001&amp;SDATE=200503&amp;PERIODTYPE=QTR_STD&amp;SCFT=3&amp;window=popup_no_bar&amp;width=385&amp;height=120&amp;START_MAXIMIZED=FALSE&amp;creator=factset&amp;display_string=Audit"}</definedName>
    <definedName name="_3965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6__FDSAUDITLINK__" hidden="1">{"fdsup://Directions/FactSet Auditing Viewer?action=AUDIT_VALUE&amp;DB=129&amp;ID1=86681020&amp;VALUEID=02001&amp;SDATE=200502&amp;PERIODTYPE=QTR_STD&amp;SCFT=3&amp;window=popup_no_bar&amp;width=385&amp;height=120&amp;START_MAXIMIZED=FALSE&amp;creator=factset&amp;display_string=Audit"}</definedName>
    <definedName name="_3967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8__FDSAUDITLINK__" hidden="1">{"fdsup://Directions/FactSet Auditing Viewer?action=AUDIT_VALUE&amp;DB=129&amp;ID1=86681020&amp;VALUEID=02001&amp;SDATE=200501&amp;PERIODTYPE=QTR_STD&amp;SCFT=3&amp;window=popup_no_bar&amp;width=385&amp;height=120&amp;START_MAXIMIZED=FALSE&amp;creator=factset&amp;display_string=Audit"}</definedName>
    <definedName name="_3969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70__FDSAUDITLINK__" hidden="1">{"fdsup://Directions/FactSet Auditing Viewer?action=AUDIT_VALUE&amp;DB=129&amp;ID1=86681020&amp;VALUEID=02001&amp;SDATE=200403&amp;PERIODTYPE=QTR_STD&amp;SCFT=3&amp;window=popup_no_bar&amp;width=385&amp;height=120&amp;START_MAXIMIZED=FALSE&amp;creator=factset&amp;display_string=Audit"}</definedName>
    <definedName name="_3971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2__FDSAUDITLINK__" hidden="1">{"fdsup://Directions/FactSet Auditing Viewer?action=AUDIT_VALUE&amp;DB=129&amp;ID1=46069S10&amp;VALUEID=02001&amp;SDATE=200801&amp;PERIODTYPE=QTR_STD&amp;SCFT=3&amp;window=popup_no_bar&amp;width=385&amp;height=120&amp;START_MAXIMIZED=FALSE&amp;creator=factset&amp;display_string=Audit"}</definedName>
    <definedName name="_3973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4__FDSAUDITLINK__" hidden="1">{"fdsup://Directions/FactSet Auditing Viewer?action=AUDIT_VALUE&amp;DB=129&amp;ID1=46069S10&amp;VALUEID=02001&amp;SDATE=200703&amp;PERIODTYPE=QTR_STD&amp;SCFT=3&amp;window=popup_no_bar&amp;width=385&amp;height=120&amp;START_MAXIMIZED=FALSE&amp;creator=factset&amp;display_string=Audit"}</definedName>
    <definedName name="_3975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6__FDSAUDITLINK__" hidden="1">{"fdsup://Directions/FactSet Auditing Viewer?action=AUDIT_VALUE&amp;DB=129&amp;ID1=46069S10&amp;VALUEID=02001&amp;SDATE=200702&amp;PERIODTYPE=QTR_STD&amp;SCFT=3&amp;window=popup_no_bar&amp;width=385&amp;height=120&amp;START_MAXIMIZED=FALSE&amp;creator=factset&amp;display_string=Audit"}</definedName>
    <definedName name="_3977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8__FDSAUDITLINK__" hidden="1">{"fdsup://Directions/FactSet Auditing Viewer?action=AUDIT_VALUE&amp;DB=129&amp;ID1=46069S10&amp;VALUEID=02001&amp;SDATE=200701&amp;PERIODTYPE=QTR_STD&amp;SCFT=3&amp;window=popup_no_bar&amp;width=385&amp;height=120&amp;START_MAXIMIZED=FALSE&amp;creator=factset&amp;display_string=Audit"}</definedName>
    <definedName name="_3979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__FDSAUDITLINK__" hidden="1">{"fdsup://Directions/FactSet Auditing Viewer?action=AUDIT_VALUE&amp;DB=129&amp;ID1=H2906T10&amp;VALUEID=02001&amp;SDATE=201003&amp;PERIODTYPE=QTR_STD&amp;SCFT=3&amp;window=popup_no_bar&amp;width=385&amp;height=120&amp;START_MAXIMIZED=FALSE&amp;creator=factset&amp;display_string=Audit"}</definedName>
    <definedName name="_3980__FDSAUDITLINK__" hidden="1">{"fdsup://Directions/FactSet Auditing Viewer?action=AUDIT_VALUE&amp;DB=129&amp;ID1=46069S10&amp;VALUEID=02001&amp;SDATE=200603&amp;PERIODTYPE=QTR_STD&amp;SCFT=3&amp;window=popup_no_bar&amp;width=385&amp;height=120&amp;START_MAXIMIZED=FALSE&amp;creator=factset&amp;display_string=Audit"}</definedName>
    <definedName name="_3981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2__FDSAUDITLINK__" hidden="1">{"fdsup://Directions/FactSet Auditing Viewer?action=AUDIT_VALUE&amp;DB=129&amp;ID1=46069S10&amp;VALUEID=02001&amp;SDATE=200602&amp;PERIODTYPE=QTR_STD&amp;SCFT=3&amp;window=popup_no_bar&amp;width=385&amp;height=120&amp;START_MAXIMIZED=FALSE&amp;creator=factset&amp;display_string=Audit"}</definedName>
    <definedName name="_3983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4__FDSAUDITLINK__" hidden="1">{"fdsup://Directions/FactSet Auditing Viewer?action=AUDIT_VALUE&amp;DB=129&amp;ID1=46069S10&amp;VALUEID=02001&amp;SDATE=200601&amp;PERIODTYPE=QTR_STD&amp;SCFT=3&amp;window=popup_no_bar&amp;width=385&amp;height=120&amp;START_MAXIMIZED=FALSE&amp;creator=factset&amp;display_string=Audit"}</definedName>
    <definedName name="_3985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6__FDSAUDITLINK__" hidden="1">{"fdsup://Directions/FactSet Auditing Viewer?action=AUDIT_VALUE&amp;DB=129&amp;ID1=46069S10&amp;VALUEID=02001&amp;SDATE=200503&amp;PERIODTYPE=QTR_STD&amp;SCFT=3&amp;window=popup_no_bar&amp;width=385&amp;height=120&amp;START_MAXIMIZED=FALSE&amp;creator=factset&amp;display_string=Audit"}</definedName>
    <definedName name="_3987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8__FDSAUDITLINK__" hidden="1">{"fdsup://Directions/FactSet Auditing Viewer?action=AUDIT_VALUE&amp;DB=129&amp;ID1=46069S10&amp;VALUEID=02001&amp;SDATE=200502&amp;PERIODTYPE=QTR_STD&amp;SCFT=3&amp;window=popup_no_bar&amp;width=385&amp;height=120&amp;START_MAXIMIZED=FALSE&amp;creator=factset&amp;display_string=Audit"}</definedName>
    <definedName name="_3989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3990__FDSAUDITLINK__" hidden="1">{"fdsup://Directions/FactSet Auditing Viewer?action=AUDIT_VALUE&amp;DB=129&amp;ID1=46069S10&amp;VALUEID=02001&amp;SDATE=200501&amp;PERIODTYPE=QTR_STD&amp;SCFT=3&amp;window=popup_no_bar&amp;width=385&amp;height=120&amp;START_MAXIMIZED=FALSE&amp;creator=factset&amp;display_string=Audit"}</definedName>
    <definedName name="_3991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2__FDSAUDITLINK__" hidden="1">{"fdsup://Directions/FactSet Auditing Viewer?action=AUDIT_VALUE&amp;DB=129&amp;ID1=46069S10&amp;VALUEID=02001&amp;SDATE=200403&amp;PERIODTYPE=QTR_STD&amp;SCFT=3&amp;window=popup_no_bar&amp;width=385&amp;height=120&amp;START_MAXIMIZED=FALSE&amp;creator=factset&amp;display_string=Audit"}</definedName>
    <definedName name="_3993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4__FDSAUDITLINK__" hidden="1">{"fdsup://Directions/FactSet Auditing Viewer?action=AUDIT_VALUE&amp;DB=129&amp;ID1=46069S10&amp;VALUEID=02001&amp;SDATE=200402&amp;PERIODTYPE=QTR_STD&amp;SCFT=3&amp;window=popup_no_bar&amp;width=385&amp;height=120&amp;START_MAXIMIZED=FALSE&amp;creator=factset&amp;display_string=Audit"}</definedName>
    <definedName name="_3995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6__FDSAUDITLINK__" hidden="1">{"fdsup://Directions/FactSet Auditing Viewer?action=AUDIT_VALUE&amp;DB=129&amp;ID1=46069S10&amp;VALUEID=02001&amp;SDATE=200401&amp;PERIODTYPE=QTR_STD&amp;SCFT=3&amp;window=popup_no_bar&amp;width=385&amp;height=120&amp;START_MAXIMIZED=FALSE&amp;creator=factset&amp;display_string=Audit"}</definedName>
    <definedName name="_3997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8__FDSAUDITLINK__" hidden="1">{"fdsup://Directions/FactSet Auditing Viewer?action=AUDIT_VALUE&amp;DB=129&amp;ID1=46025410&amp;VALUEID=02001&amp;SDATE=200803&amp;PERIODTYPE=QTR_STD&amp;SCFT=3&amp;window=popup_no_bar&amp;width=385&amp;height=120&amp;START_MAXIMIZED=FALSE&amp;creator=factset&amp;display_string=Audit"}</definedName>
    <definedName name="_3999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__FDSAUDITLINK__" hidden="1">{"fdsup://Directions/FactSet Auditing Viewer?action=AUDIT_VALUE&amp;DB=129&amp;ID1=67066G10&amp;VALUEID=05194&amp;SDATE=201102&amp;PERIODTYPE=QTR_STD&amp;SCFT=3&amp;window=popup_no_bar&amp;width=385&amp;height=120&amp;START_MAXIMIZED=FALSE&amp;creator=factset&amp;display_string=Audit"}</definedName>
    <definedName name="_40__FDSAUDITLINK__" hidden="1">{"fdsup://Directions/FactSet Auditing Viewer?action=AUDIT_VALUE&amp;DB=129&amp;ID1=74727710&amp;VALUEID=02001&amp;SDATE=201004&amp;PERIODTYPE=QTR_STD&amp;SCFT=3&amp;window=popup_no_bar&amp;width=385&amp;height=120&amp;START_MAXIMIZED=FALSE&amp;creator=factset&amp;display_string=Audit"}</definedName>
    <definedName name="_400__FDSAUDITLINK__" hidden="1">{"fdsup://Directions/FactSet Auditing Viewer?action=AUDIT_VALUE&amp;DB=129&amp;ID1=34637510&amp;VALUEID=02001&amp;SDATE=201003&amp;PERIODTYPE=QTR_STD&amp;SCFT=3&amp;window=popup_no_bar&amp;width=385&amp;height=120&amp;START_MAXIMIZED=FALSE&amp;creator=factset&amp;display_string=Audit"}</definedName>
    <definedName name="_4000__FDSAUDITLINK__" hidden="1">{"fdsup://Directions/FactSet Auditing Viewer?action=AUDIT_VALUE&amp;DB=129&amp;ID1=46025410&amp;VALUEID=02001&amp;SDATE=200802&amp;PERIODTYPE=QTR_STD&amp;SCFT=3&amp;window=popup_no_bar&amp;width=385&amp;height=120&amp;START_MAXIMIZED=FALSE&amp;creator=factset&amp;display_string=Audit"}</definedName>
    <definedName name="_4001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2__FDSAUDITLINK__" hidden="1">{"fdsup://Directions/FactSet Auditing Viewer?action=AUDIT_VALUE&amp;DB=129&amp;ID1=46025410&amp;VALUEID=02001&amp;SDATE=200801&amp;PERIODTYPE=QTR_STD&amp;SCFT=3&amp;window=popup_no_bar&amp;width=385&amp;height=120&amp;START_MAXIMIZED=FALSE&amp;creator=factset&amp;display_string=Audit"}</definedName>
    <definedName name="_4003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4__FDSAUDITLINK__" hidden="1">{"fdsup://Directions/FactSet Auditing Viewer?action=AUDIT_VALUE&amp;DB=129&amp;ID1=46025410&amp;VALUEID=02001&amp;SDATE=200703&amp;PERIODTYPE=QTR_STD&amp;SCFT=3&amp;window=popup_no_bar&amp;width=385&amp;height=120&amp;START_MAXIMIZED=FALSE&amp;creator=factset&amp;display_string=Audit"}</definedName>
    <definedName name="_4005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6__FDSAUDITLINK__" hidden="1">{"fdsup://Directions/FactSet Auditing Viewer?action=AUDIT_VALUE&amp;DB=129&amp;ID1=46025410&amp;VALUEID=02001&amp;SDATE=200702&amp;PERIODTYPE=QTR_STD&amp;SCFT=3&amp;window=popup_no_bar&amp;width=385&amp;height=120&amp;START_MAXIMIZED=FALSE&amp;creator=factset&amp;display_string=Audit"}</definedName>
    <definedName name="_4007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8__FDSAUDITLINK__" hidden="1">{"fdsup://Directions/FactSet Auditing Viewer?action=AUDIT_VALUE&amp;DB=129&amp;ID1=46025410&amp;VALUEID=02001&amp;SDATE=200701&amp;PERIODTYPE=QTR_STD&amp;SCFT=3&amp;window=popup_no_bar&amp;width=385&amp;height=120&amp;START_MAXIMIZED=FALSE&amp;creator=factset&amp;display_string=Audit"}</definedName>
    <definedName name="_4009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10__FDSAUDITLINK__" hidden="1">{"fdsup://Directions/FactSet Auditing Viewer?action=AUDIT_VALUE&amp;DB=129&amp;ID1=46025410&amp;VALUEID=02001&amp;SDATE=200603&amp;PERIODTYPE=QTR_STD&amp;SCFT=3&amp;window=popup_no_bar&amp;width=385&amp;height=120&amp;START_MAXIMIZED=FALSE&amp;creator=factset&amp;display_string=Audit"}</definedName>
    <definedName name="_4011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2__FDSAUDITLINK__" hidden="1">{"fdsup://Directions/FactSet Auditing Viewer?action=AUDIT_VALUE&amp;DB=129&amp;ID1=46025410&amp;VALUEID=02001&amp;SDATE=200602&amp;PERIODTYPE=QTR_STD&amp;SCFT=3&amp;window=popup_no_bar&amp;width=385&amp;height=120&amp;START_MAXIMIZED=FALSE&amp;creator=factset&amp;display_string=Audit"}</definedName>
    <definedName name="_4013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4__FDSAUDITLINK__" hidden="1">{"fdsup://Directions/FactSet Auditing Viewer?action=AUDIT_VALUE&amp;DB=129&amp;ID1=46025410&amp;VALUEID=02001&amp;SDATE=200601&amp;PERIODTYPE=QTR_STD&amp;SCFT=3&amp;window=popup_no_bar&amp;width=385&amp;height=120&amp;START_MAXIMIZED=FALSE&amp;creator=factset&amp;display_string=Audit"}</definedName>
    <definedName name="_4015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6__FDSAUDITLINK__" hidden="1">{"fdsup://Directions/FactSet Auditing Viewer?action=AUDIT_VALUE&amp;DB=129&amp;ID1=46025410&amp;VALUEID=02001&amp;SDATE=200504&amp;PERIODTYPE=QTR_STD&amp;SCFT=3&amp;window=popup_no_bar&amp;width=385&amp;height=120&amp;START_MAXIMIZED=FALSE&amp;creator=factset&amp;display_string=Audit"}</definedName>
    <definedName name="_4017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8__FDSAUDITLINK__" hidden="1">{"fdsup://Directions/FactSet Auditing Viewer?action=AUDIT_VALUE&amp;DB=129&amp;ID1=46025410&amp;VALUEID=02001&amp;SDATE=200503&amp;PERIODTYPE=QTR_STD&amp;SCFT=3&amp;window=popup_no_bar&amp;width=385&amp;height=120&amp;START_MAXIMIZED=FALSE&amp;creator=factset&amp;display_string=Audit"}</definedName>
    <definedName name="_4019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__FDSAUDITLINK__" hidden="1">{"fdsup://Directions/FactSet Auditing Viewer?action=AUDIT_VALUE&amp;DB=129&amp;ID1=31561610&amp;VALUEID=02001&amp;SDATE=201004&amp;PERIODTYPE=QTR_STD&amp;SCFT=3&amp;window=popup_no_bar&amp;width=385&amp;height=120&amp;START_MAXIMIZED=FALSE&amp;creator=factset&amp;display_string=Audit"}</definedName>
    <definedName name="_4020__FDSAUDITLINK__" hidden="1">{"fdsup://Directions/FactSet Auditing Viewer?action=AUDIT_VALUE&amp;DB=129&amp;ID1=46025410&amp;VALUEID=02001&amp;SDATE=200502&amp;PERIODTYPE=QTR_STD&amp;SCFT=3&amp;window=popup_no_bar&amp;width=385&amp;height=120&amp;START_MAXIMIZED=FALSE&amp;creator=factset&amp;display_string=Audit"}</definedName>
    <definedName name="_4021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2__FDSAUDITLINK__" hidden="1">{"fdsup://Directions/FactSet Auditing Viewer?action=AUDIT_VALUE&amp;DB=129&amp;ID1=46025410&amp;VALUEID=02001&amp;SDATE=200501&amp;PERIODTYPE=QTR_STD&amp;SCFT=3&amp;window=popup_no_bar&amp;width=385&amp;height=120&amp;START_MAXIMIZED=FALSE&amp;creator=factset&amp;display_string=Audit"}</definedName>
    <definedName name="_4023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4__FDSAUDITLINK__" hidden="1">{"fdsup://Directions/FactSet Auditing Viewer?action=AUDIT_VALUE&amp;DB=129&amp;ID1=46025410&amp;VALUEID=02001&amp;SDATE=200404&amp;PERIODTYPE=QTR_STD&amp;SCFT=3&amp;window=popup_no_bar&amp;width=385&amp;height=120&amp;START_MAXIMIZED=FALSE&amp;creator=factset&amp;display_string=Audit"}</definedName>
    <definedName name="_4025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6__FDSAUDITLINK__" hidden="1">{"fdsup://Directions/FactSet Auditing Viewer?action=AUDIT_VALUE&amp;DB=129&amp;ID1=45814010&amp;VALUEID=02001&amp;SDATE=200801&amp;PERIODTYPE=QTR_STD&amp;SCFT=3&amp;window=popup_no_bar&amp;width=385&amp;height=120&amp;START_MAXIMIZED=FALSE&amp;creator=factset&amp;display_string=Audit"}</definedName>
    <definedName name="_4027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8__FDSAUDITLINK__" hidden="1">{"fdsup://Directions/FactSet Auditing Viewer?action=AUDIT_VALUE&amp;DB=129&amp;ID1=45814010&amp;VALUEID=02001&amp;SDATE=200703&amp;PERIODTYPE=QTR_STD&amp;SCFT=3&amp;window=popup_no_bar&amp;width=385&amp;height=120&amp;START_MAXIMIZED=FALSE&amp;creator=factset&amp;display_string=Audit"}</definedName>
    <definedName name="_4029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30__FDSAUDITLINK__" hidden="1">{"fdsup://Directions/FactSet Auditing Viewer?action=AUDIT_VALUE&amp;DB=129&amp;ID1=45814010&amp;VALUEID=02001&amp;SDATE=200702&amp;PERIODTYPE=QTR_STD&amp;SCFT=3&amp;window=popup_no_bar&amp;width=385&amp;height=120&amp;START_MAXIMIZED=FALSE&amp;creator=factset&amp;display_string=Audit"}</definedName>
    <definedName name="_4031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2__FDSAUDITLINK__" hidden="1">{"fdsup://Directions/FactSet Auditing Viewer?action=AUDIT_VALUE&amp;DB=129&amp;ID1=45814010&amp;VALUEID=02001&amp;SDATE=200701&amp;PERIODTYPE=QTR_STD&amp;SCFT=3&amp;window=popup_no_bar&amp;width=385&amp;height=120&amp;START_MAXIMIZED=FALSE&amp;creator=factset&amp;display_string=Audit"}</definedName>
    <definedName name="_4033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4__FDSAUDITLINK__" hidden="1">{"fdsup://Directions/FactSet Auditing Viewer?action=AUDIT_VALUE&amp;DB=129&amp;ID1=45814010&amp;VALUEID=02001&amp;SDATE=200603&amp;PERIODTYPE=QTR_STD&amp;SCFT=3&amp;window=popup_no_bar&amp;width=385&amp;height=120&amp;START_MAXIMIZED=FALSE&amp;creator=factset&amp;display_string=Audit"}</definedName>
    <definedName name="_4035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6__FDSAUDITLINK__" hidden="1">{"fdsup://Directions/FactSet Auditing Viewer?action=AUDIT_VALUE&amp;DB=129&amp;ID1=45814010&amp;VALUEID=02001&amp;SDATE=200602&amp;PERIODTYPE=QTR_STD&amp;SCFT=3&amp;window=popup_no_bar&amp;width=385&amp;height=120&amp;START_MAXIMIZED=FALSE&amp;creator=factset&amp;display_string=Audit"}</definedName>
    <definedName name="_4037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8__FDSAUDITLINK__" hidden="1">{"fdsup://Directions/FactSet Auditing Viewer?action=AUDIT_VALUE&amp;DB=129&amp;ID1=45814010&amp;VALUEID=02001&amp;SDATE=200601&amp;PERIODTYPE=QTR_STD&amp;SCFT=3&amp;window=popup_no_bar&amp;width=385&amp;height=120&amp;START_MAXIMIZED=FALSE&amp;creator=factset&amp;display_string=Audit"}</definedName>
    <definedName name="_4039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__FDSAUDITLINK__" hidden="1">{"fdsup://Directions/FactSet Auditing Viewer?action=AUDIT_VALUE&amp;DB=129&amp;ID1=29247520&amp;VALUEID=02001&amp;SDATE=201101&amp;PERIODTYPE=QTR_STD&amp;SCFT=3&amp;window=popup_no_bar&amp;width=385&amp;height=120&amp;START_MAXIMIZED=FALSE&amp;creator=factset&amp;display_string=Audit"}</definedName>
    <definedName name="_4040__FDSAUDITLINK__" hidden="1">{"fdsup://Directions/FactSet Auditing Viewer?action=AUDIT_VALUE&amp;DB=129&amp;ID1=45814010&amp;VALUEID=02001&amp;SDATE=200503&amp;PERIODTYPE=QTR_STD&amp;SCFT=3&amp;window=popup_no_bar&amp;width=385&amp;height=120&amp;START_MAXIMIZED=FALSE&amp;creator=factset&amp;display_string=Audit"}</definedName>
    <definedName name="_4041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2__FDSAUDITLINK__" hidden="1">{"fdsup://Directions/FactSet Auditing Viewer?action=AUDIT_VALUE&amp;DB=129&amp;ID1=45814010&amp;VALUEID=02001&amp;SDATE=200502&amp;PERIODTYPE=QTR_STD&amp;SCFT=3&amp;window=popup_no_bar&amp;width=385&amp;height=120&amp;START_MAXIMIZED=FALSE&amp;creator=factset&amp;display_string=Audit"}</definedName>
    <definedName name="_4043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4__FDSAUDITLINK__" hidden="1">{"fdsup://Directions/FactSet Auditing Viewer?action=AUDIT_VALUE&amp;DB=129&amp;ID1=45814010&amp;VALUEID=02001&amp;SDATE=200501&amp;PERIODTYPE=QTR_STD&amp;SCFT=3&amp;window=popup_no_bar&amp;width=385&amp;height=120&amp;START_MAXIMIZED=FALSE&amp;creator=factset&amp;display_string=Audit"}</definedName>
    <definedName name="_4045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6__FDSAUDITLINK__" hidden="1">{"fdsup://Directions/FactSet Auditing Viewer?action=AUDIT_VALUE&amp;DB=129&amp;ID1=45814010&amp;VALUEID=02001&amp;SDATE=200403&amp;PERIODTYPE=QTR_STD&amp;SCFT=3&amp;window=popup_no_bar&amp;width=385&amp;height=120&amp;START_MAXIMIZED=FALSE&amp;creator=factset&amp;display_string=Audit"}</definedName>
    <definedName name="_4047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8__FDSAUDITLINK__" hidden="1">{"fdsup://Directions/FactSet Auditing Viewer?action=AUDIT_VALUE&amp;DB=129&amp;ID1=45814010&amp;VALUEID=02001&amp;SDATE=200402&amp;PERIODTYPE=QTR_STD&amp;SCFT=3&amp;window=popup_no_bar&amp;width=385&amp;height=120&amp;START_MAXIMIZED=FALSE&amp;creator=factset&amp;display_string=Audit"}</definedName>
    <definedName name="_4049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50__FDSAUDITLINK__" hidden="1">{"fdsup://Directions/FactSet Auditing Viewer?action=AUDIT_VALUE&amp;DB=129&amp;ID1=45814010&amp;VALUEID=02001&amp;SDATE=200401&amp;PERIODTYPE=QTR_STD&amp;SCFT=3&amp;window=popup_no_bar&amp;width=385&amp;height=120&amp;START_MAXIMIZED=FALSE&amp;creator=factset&amp;display_string=Audit"}</definedName>
    <definedName name="_4051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2__FDSAUDITLINK__" hidden="1">{"fdsup://Directions/FactSet Auditing Viewer?action=AUDIT_VALUE&amp;DB=129&amp;ID1=45811810&amp;VALUEID=02001&amp;SDATE=200703&amp;PERIODTYPE=QTR_STD&amp;SCFT=3&amp;window=popup_no_bar&amp;width=385&amp;height=120&amp;START_MAXIMIZED=FALSE&amp;creator=factset&amp;display_string=Audit"}</definedName>
    <definedName name="_4053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4__FDSAUDITLINK__" hidden="1">{"fdsup://Directions/FactSet Auditing Viewer?action=AUDIT_VALUE&amp;DB=129&amp;ID1=45811810&amp;VALUEID=02001&amp;SDATE=200702&amp;PERIODTYPE=QTR_STD&amp;SCFT=3&amp;window=popup_no_bar&amp;width=385&amp;height=120&amp;START_MAXIMIZED=FALSE&amp;creator=factset&amp;display_string=Audit"}</definedName>
    <definedName name="_4055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6__FDSAUDITLINK__" hidden="1">{"fdsup://Directions/FactSet Auditing Viewer?action=AUDIT_VALUE&amp;DB=129&amp;ID1=45811810&amp;VALUEID=02001&amp;SDATE=200701&amp;PERIODTYPE=QTR_STD&amp;SCFT=3&amp;window=popup_no_bar&amp;width=385&amp;height=120&amp;START_MAXIMIZED=FALSE&amp;creator=factset&amp;display_string=Audit"}</definedName>
    <definedName name="_4057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8__FDSAUDITLINK__" hidden="1">{"fdsup://Directions/FactSet Auditing Viewer?action=AUDIT_VALUE&amp;DB=129&amp;ID1=45811810&amp;VALUEID=02001&amp;SDATE=200603&amp;PERIODTYPE=QTR_STD&amp;SCFT=3&amp;window=popup_no_bar&amp;width=385&amp;height=120&amp;START_MAXIMIZED=FALSE&amp;creator=factset&amp;display_string=Audit"}</definedName>
    <definedName name="_4059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__FDSAUDITLINK__" hidden="1">{"fdsup://Directions/FactSet Auditing Viewer?action=AUDIT_VALUE&amp;DB=129&amp;ID1=25454310&amp;VALUEID=02001&amp;SDATE=201003&amp;PERIODTYPE=QTR_STD&amp;SCFT=3&amp;window=popup_no_bar&amp;width=385&amp;height=120&amp;START_MAXIMIZED=FALSE&amp;creator=factset&amp;display_string=Audit"}</definedName>
    <definedName name="_4060__FDSAUDITLINK__" hidden="1">{"fdsup://Directions/FactSet Auditing Viewer?action=AUDIT_VALUE&amp;DB=129&amp;ID1=45811810&amp;VALUEID=02001&amp;SDATE=200602&amp;PERIODTYPE=QTR_STD&amp;SCFT=3&amp;window=popup_no_bar&amp;width=385&amp;height=120&amp;START_MAXIMIZED=FALSE&amp;creator=factset&amp;display_string=Audit"}</definedName>
    <definedName name="_4061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2__FDSAUDITLINK__" hidden="1">{"fdsup://Directions/FactSet Auditing Viewer?action=AUDIT_VALUE&amp;DB=129&amp;ID1=45811810&amp;VALUEID=02001&amp;SDATE=200601&amp;PERIODTYPE=QTR_STD&amp;SCFT=3&amp;window=popup_no_bar&amp;width=385&amp;height=120&amp;START_MAXIMIZED=FALSE&amp;creator=factset&amp;display_string=Audit"}</definedName>
    <definedName name="_4063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4__FDSAUDITLINK__" hidden="1">{"fdsup://Directions/FactSet Auditing Viewer?action=AUDIT_VALUE&amp;DB=129&amp;ID1=45811810&amp;VALUEID=02001&amp;SDATE=200503&amp;PERIODTYPE=QTR_STD&amp;SCFT=3&amp;window=popup_no_bar&amp;width=385&amp;height=120&amp;START_MAXIMIZED=FALSE&amp;creator=factset&amp;display_string=Audit"}</definedName>
    <definedName name="_4065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6__FDSAUDITLINK__" hidden="1">{"fdsup://Directions/FactSet Auditing Viewer?action=AUDIT_VALUE&amp;DB=129&amp;ID1=45811810&amp;VALUEID=02001&amp;SDATE=200502&amp;PERIODTYPE=QTR_STD&amp;SCFT=3&amp;window=popup_no_bar&amp;width=385&amp;height=120&amp;START_MAXIMIZED=FALSE&amp;creator=factset&amp;display_string=Audit"}</definedName>
    <definedName name="_4067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8__FDSAUDITLINK__" hidden="1">{"fdsup://Directions/FactSet Auditing Viewer?action=AUDIT_VALUE&amp;DB=129&amp;ID1=45811810&amp;VALUEID=02001&amp;SDATE=200501&amp;PERIODTYPE=QTR_STD&amp;SCFT=3&amp;window=popup_no_bar&amp;width=385&amp;height=120&amp;START_MAXIMIZED=FALSE&amp;creator=factset&amp;display_string=Audit"}</definedName>
    <definedName name="_4069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70__FDSAUDITLINK__" hidden="1">{"fdsup://Directions/FactSet Auditing Viewer?action=AUDIT_VALUE&amp;DB=129&amp;ID1=45811810&amp;VALUEID=02001&amp;SDATE=200403&amp;PERIODTYPE=QTR_STD&amp;SCFT=3&amp;window=popup_no_bar&amp;width=385&amp;height=120&amp;START_MAXIMIZED=FALSE&amp;creator=factset&amp;display_string=Audit"}</definedName>
    <definedName name="_4071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2__FDSAUDITLINK__" hidden="1">{"fdsup://Directions/FactSet Auditing Viewer?action=AUDIT_VALUE&amp;DB=129&amp;ID1=45811810&amp;VALUEID=02001&amp;SDATE=200402&amp;PERIODTYPE=QTR_STD&amp;SCFT=3&amp;window=popup_no_bar&amp;width=385&amp;height=120&amp;START_MAXIMIZED=FALSE&amp;creator=factset&amp;display_string=Audit"}</definedName>
    <definedName name="_4073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4__FDSAUDITLINK__" hidden="1">{"fdsup://Directions/FactSet Auditing Viewer?action=AUDIT_VALUE&amp;DB=129&amp;ID1=45811810&amp;VALUEID=02001&amp;SDATE=200401&amp;PERIODTYPE=QTR_STD&amp;SCFT=3&amp;window=popup_no_bar&amp;width=385&amp;height=120&amp;START_MAXIMIZED=FALSE&amp;creator=factset&amp;display_string=Audit"}</definedName>
    <definedName name="_4075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6__FDSAUDITLINK__" hidden="1">{"fdsup://Directions/FactSet Auditing Viewer?action=AUDIT_VALUE&amp;DB=129&amp;ID1=42823610&amp;VALUEID=02001&amp;SDATE=200802&amp;PERIODTYPE=QTR_STD&amp;SCFT=3&amp;window=popup_no_bar&amp;width=385&amp;height=120&amp;START_MAXIMIZED=FALSE&amp;creator=factset&amp;display_string=Audit"}</definedName>
    <definedName name="_4077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8__FDSAUDITLINK__" hidden="1">{"fdsup://Directions/FactSet Auditing Viewer?action=AUDIT_VALUE&amp;DB=129&amp;ID1=42823610&amp;VALUEID=02001&amp;SDATE=200801&amp;PERIODTYPE=QTR_STD&amp;SCFT=3&amp;window=popup_no_bar&amp;width=385&amp;height=120&amp;START_MAXIMIZED=FALSE&amp;creator=factset&amp;display_string=Audit"}</definedName>
    <definedName name="_4079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__FDSAUDITLINK__" hidden="1">{"fdsup://Directions/FactSet Auditing Viewer?action=AUDIT_VALUE&amp;DB=129&amp;ID1=24702R10&amp;VALUEID=02001&amp;SDATE=201003&amp;PERIODTYPE=QTR_STD&amp;SCFT=3&amp;window=popup_no_bar&amp;width=385&amp;height=120&amp;START_MAXIMIZED=FALSE&amp;creator=factset&amp;display_string=Audit"}</definedName>
    <definedName name="_4080__FDSAUDITLINK__" hidden="1">{"fdsup://Directions/FactSet Auditing Viewer?action=AUDIT_VALUE&amp;DB=129&amp;ID1=42823610&amp;VALUEID=02001&amp;SDATE=200703&amp;PERIODTYPE=QTR_STD&amp;SCFT=3&amp;window=popup_no_bar&amp;width=385&amp;height=120&amp;START_MAXIMIZED=FALSE&amp;creator=factset&amp;display_string=Audit"}</definedName>
    <definedName name="_4081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2__FDSAUDITLINK__" hidden="1">{"fdsup://Directions/FactSet Auditing Viewer?action=AUDIT_VALUE&amp;DB=129&amp;ID1=42823610&amp;VALUEID=02001&amp;SDATE=200702&amp;PERIODTYPE=QTR_STD&amp;SCFT=3&amp;window=popup_no_bar&amp;width=385&amp;height=120&amp;START_MAXIMIZED=FALSE&amp;creator=factset&amp;display_string=Audit"}</definedName>
    <definedName name="_4083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4__FDSAUDITLINK__" hidden="1">{"fdsup://Directions/FactSet Auditing Viewer?action=AUDIT_VALUE&amp;DB=129&amp;ID1=42823610&amp;VALUEID=02001&amp;SDATE=200701&amp;PERIODTYPE=QTR_STD&amp;SCFT=3&amp;window=popup_no_bar&amp;width=385&amp;height=120&amp;START_MAXIMIZED=FALSE&amp;creator=factset&amp;display_string=Audit"}</definedName>
    <definedName name="_4085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6__FDSAUDITLINK__" hidden="1">{"fdsup://Directions/FactSet Auditing Viewer?action=AUDIT_VALUE&amp;DB=129&amp;ID1=42823610&amp;VALUEID=02001&amp;SDATE=200603&amp;PERIODTYPE=QTR_STD&amp;SCFT=3&amp;window=popup_no_bar&amp;width=385&amp;height=120&amp;START_MAXIMIZED=FALSE&amp;creator=factset&amp;display_string=Audit"}</definedName>
    <definedName name="_4087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8__FDSAUDITLINK__" hidden="1">{"fdsup://Directions/FactSet Auditing Viewer?action=AUDIT_VALUE&amp;DB=129&amp;ID1=42823610&amp;VALUEID=02001&amp;SDATE=200602&amp;PERIODTYPE=QTR_STD&amp;SCFT=3&amp;window=popup_no_bar&amp;width=385&amp;height=120&amp;START_MAXIMIZED=FALSE&amp;creator=factset&amp;display_string=Audit"}</definedName>
    <definedName name="_4089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090__FDSAUDITLINK__" hidden="1">{"fdsup://Directions/FactSet Auditing Viewer?action=AUDIT_VALUE&amp;DB=129&amp;ID1=42823610&amp;VALUEID=02001&amp;SDATE=200601&amp;PERIODTYPE=QTR_STD&amp;SCFT=3&amp;window=popup_no_bar&amp;width=385&amp;height=120&amp;START_MAXIMIZED=FALSE&amp;creator=factset&amp;display_string=Audit"}</definedName>
    <definedName name="_4091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2__FDSAUDITLINK__" hidden="1">{"fdsup://Directions/FactSet Auditing Viewer?action=AUDIT_VALUE&amp;DB=129&amp;ID1=42823610&amp;VALUEID=02001&amp;SDATE=200503&amp;PERIODTYPE=QTR_STD&amp;SCFT=3&amp;window=popup_no_bar&amp;width=385&amp;height=120&amp;START_MAXIMIZED=FALSE&amp;creator=factset&amp;display_string=Audit"}</definedName>
    <definedName name="_4093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4__FDSAUDITLINK__" hidden="1">{"fdsup://Directions/FactSet Auditing Viewer?action=AUDIT_VALUE&amp;DB=129&amp;ID1=42823610&amp;VALUEID=02001&amp;SDATE=200502&amp;PERIODTYPE=QTR_STD&amp;SCFT=3&amp;window=popup_no_bar&amp;width=385&amp;height=120&amp;START_MAXIMIZED=FALSE&amp;creator=factset&amp;display_string=Audit"}</definedName>
    <definedName name="_4095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6__FDSAUDITLINK__" hidden="1">{"fdsup://Directions/FactSet Auditing Viewer?action=AUDIT_VALUE&amp;DB=129&amp;ID1=42823610&amp;VALUEID=02001&amp;SDATE=200501&amp;PERIODTYPE=QTR_STD&amp;SCFT=3&amp;window=popup_no_bar&amp;width=385&amp;height=120&amp;START_MAXIMIZED=FALSE&amp;creator=factset&amp;display_string=Audit"}</definedName>
    <definedName name="_4097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8__FDSAUDITLINK__" hidden="1">{"fdsup://Directions/FactSet Auditing Viewer?action=AUDIT_VALUE&amp;DB=129&amp;ID1=42823610&amp;VALUEID=02001&amp;SDATE=200403&amp;PERIODTYPE=QTR_STD&amp;SCFT=3&amp;window=popup_no_bar&amp;width=385&amp;height=120&amp;START_MAXIMIZED=FALSE&amp;creator=factset&amp;display_string=Audit"}</definedName>
    <definedName name="_4099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10__FDSAUDITLINK__" hidden="1">{"fdsup://Directions/FactSet Auditing Viewer?action=AUDIT_VALUE&amp;DB=129&amp;ID1=23257210&amp;VALUEID=02001&amp;SDATE=201003&amp;PERIODTYPE=QTR_STD&amp;SCFT=3&amp;window=popup_no_bar&amp;width=385&amp;height=120&amp;START_MAXIMIZED=FALSE&amp;creator=factset&amp;display_string=Audit"}</definedName>
    <definedName name="_4100__FDSAUDITLINK__" hidden="1">{"fdsup://Directions/FactSet Auditing Viewer?action=AUDIT_VALUE&amp;DB=129&amp;ID1=42823610&amp;VALUEID=02001&amp;SDATE=200402&amp;PERIODTYPE=QTR_STD&amp;SCFT=3&amp;window=popup_no_bar&amp;width=385&amp;height=120&amp;START_MAXIMIZED=FALSE&amp;creator=factset&amp;display_string=Audit"}</definedName>
    <definedName name="_4101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2__FDSAUDITLINK__" hidden="1">{"fdsup://Directions/FactSet Auditing Viewer?action=AUDIT_VALUE&amp;DB=129&amp;ID1=H2906T10&amp;VALUEID=02001&amp;SDATE=200801&amp;PERIODTYPE=QTR_STD&amp;SCFT=3&amp;window=popup_no_bar&amp;width=385&amp;height=120&amp;START_MAXIMIZED=FALSE&amp;creator=factset&amp;display_string=Audit"}</definedName>
    <definedName name="_4103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4__FDSAUDITLINK__" hidden="1">{"fdsup://Directions/FactSet Auditing Viewer?action=AUDIT_VALUE&amp;DB=129&amp;ID1=H2906T10&amp;VALUEID=02001&amp;SDATE=200703&amp;PERIODTYPE=QTR_STD&amp;SCFT=3&amp;window=popup_no_bar&amp;width=385&amp;height=120&amp;START_MAXIMIZED=FALSE&amp;creator=factset&amp;display_string=Audit"}</definedName>
    <definedName name="_4105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6__FDSAUDITLINK__" hidden="1">{"fdsup://Directions/FactSet Auditing Viewer?action=AUDIT_VALUE&amp;DB=129&amp;ID1=H2906T10&amp;VALUEID=02001&amp;SDATE=200702&amp;PERIODTYPE=QTR_STD&amp;SCFT=3&amp;window=popup_no_bar&amp;width=385&amp;height=120&amp;START_MAXIMIZED=FALSE&amp;creator=factset&amp;display_string=Audit"}</definedName>
    <definedName name="_4107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8__FDSAUDITLINK__" hidden="1">{"fdsup://Directions/FactSet Auditing Viewer?action=AUDIT_VALUE&amp;DB=129&amp;ID1=H2906T10&amp;VALUEID=02001&amp;SDATE=200701&amp;PERIODTYPE=QTR_STD&amp;SCFT=3&amp;window=popup_no_bar&amp;width=385&amp;height=120&amp;START_MAXIMIZED=FALSE&amp;creator=factset&amp;display_string=Audit"}</definedName>
    <definedName name="_4109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10__FDSAUDITLINK__" hidden="1">{"fdsup://Directions/FactSet Auditing Viewer?action=AUDIT_VALUE&amp;DB=129&amp;ID1=H2906T10&amp;VALUEID=02001&amp;SDATE=200603&amp;PERIODTYPE=QTR_STD&amp;SCFT=3&amp;window=popup_no_bar&amp;width=385&amp;height=120&amp;START_MAXIMIZED=FALSE&amp;creator=factset&amp;display_string=Audit"}</definedName>
    <definedName name="_4111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2__FDSAUDITLINK__" hidden="1">{"fdsup://Directions/FactSet Auditing Viewer?action=AUDIT_VALUE&amp;DB=129&amp;ID1=H2906T10&amp;VALUEID=02001&amp;SDATE=200602&amp;PERIODTYPE=QTR_STD&amp;SCFT=3&amp;window=popup_no_bar&amp;width=385&amp;height=120&amp;START_MAXIMIZED=FALSE&amp;creator=factset&amp;display_string=Audit"}</definedName>
    <definedName name="_4113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4__FDSAUDITLINK__" hidden="1">{"fdsup://Directions/FactSet Auditing Viewer?action=AUDIT_VALUE&amp;DB=129&amp;ID1=H2906T10&amp;VALUEID=02001&amp;SDATE=200601&amp;PERIODTYPE=QTR_STD&amp;SCFT=3&amp;window=popup_no_bar&amp;width=385&amp;height=120&amp;START_MAXIMIZED=FALSE&amp;creator=factset&amp;display_string=Audit"}</definedName>
    <definedName name="_4115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6__FDSAUDITLINK__" hidden="1">{"fdsup://Directions/FactSet Auditing Viewer?action=AUDIT_VALUE&amp;DB=129&amp;ID1=34637510&amp;VALUEID=02001&amp;SDATE=200801&amp;PERIODTYPE=QTR_STD&amp;SCFT=3&amp;window=popup_no_bar&amp;width=385&amp;height=120&amp;START_MAXIMIZED=FALSE&amp;creator=factset&amp;display_string=Audit"}</definedName>
    <definedName name="_4117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8__FDSAUDITLINK__" hidden="1">{"fdsup://Directions/FactSet Auditing Viewer?action=AUDIT_VALUE&amp;DB=129&amp;ID1=34637510&amp;VALUEID=02001&amp;SDATE=200703&amp;PERIODTYPE=QTR_STD&amp;SCFT=3&amp;window=popup_no_bar&amp;width=385&amp;height=120&amp;START_MAXIMIZED=FALSE&amp;creator=factset&amp;display_string=Audit"}</definedName>
    <definedName name="_4119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__FDSAUDITLINK__" hidden="1">{"fdsup://Directions/FactSet Auditing Viewer?action=AUDIT_VALUE&amp;DB=129&amp;ID1=23280610&amp;VALUEID=02001&amp;SDATE=201003&amp;PERIODTYPE=QTR_STD&amp;SCFT=3&amp;window=popup_no_bar&amp;width=385&amp;height=120&amp;START_MAXIMIZED=FALSE&amp;creator=factset&amp;display_string=Audit"}</definedName>
    <definedName name="_4120__FDSAUDITLINK__" hidden="1">{"fdsup://Directions/FactSet Auditing Viewer?action=AUDIT_VALUE&amp;DB=129&amp;ID1=34637510&amp;VALUEID=02001&amp;SDATE=200701&amp;PERIODTYPE=QTR_STD&amp;SCFT=3&amp;window=popup_no_bar&amp;width=385&amp;height=120&amp;START_MAXIMIZED=FALSE&amp;creator=factset&amp;display_string=Audit"}</definedName>
    <definedName name="_4121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2__FDSAUDITLINK__" hidden="1">{"fdsup://Directions/FactSet Auditing Viewer?action=AUDIT_VALUE&amp;DB=129&amp;ID1=34637510&amp;VALUEID=02001&amp;SDATE=200603&amp;PERIODTYPE=QTR_STD&amp;SCFT=3&amp;window=popup_no_bar&amp;width=385&amp;height=120&amp;START_MAXIMIZED=FALSE&amp;creator=factset&amp;display_string=Audit"}</definedName>
    <definedName name="_4123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4__FDSAUDITLINK__" hidden="1">{"fdsup://Directions/FactSet Auditing Viewer?action=AUDIT_VALUE&amp;DB=129&amp;ID1=34637510&amp;VALUEID=02001&amp;SDATE=200602&amp;PERIODTYPE=QTR_STD&amp;SCFT=3&amp;window=popup_no_bar&amp;width=385&amp;height=120&amp;START_MAXIMIZED=FALSE&amp;creator=factset&amp;display_string=Audit"}</definedName>
    <definedName name="_4125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6__FDSAUDITLINK__" hidden="1">{"fdsup://Directions/FactSet Auditing Viewer?action=AUDIT_VALUE&amp;DB=129&amp;ID1=34637510&amp;VALUEID=02001&amp;SDATE=200601&amp;PERIODTYPE=QTR_STD&amp;SCFT=3&amp;window=popup_no_bar&amp;width=385&amp;height=120&amp;START_MAXIMIZED=FALSE&amp;creator=factset&amp;display_string=Audit"}</definedName>
    <definedName name="_4127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8__FDSAUDITLINK__" hidden="1">{"fdsup://Directions/FactSet Auditing Viewer?action=AUDIT_VALUE&amp;DB=129&amp;ID1=34637510&amp;VALUEID=02001&amp;SDATE=200503&amp;PERIODTYPE=QTR_STD&amp;SCFT=3&amp;window=popup_no_bar&amp;width=385&amp;height=120&amp;START_MAXIMIZED=FALSE&amp;creator=factset&amp;display_string=Audit"}</definedName>
    <definedName name="_4129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30__FDSAUDITLINK__" hidden="1">{"fdsup://Directions/FactSet Auditing Viewer?action=AUDIT_VALUE&amp;DB=129&amp;ID1=34637510&amp;VALUEID=02001&amp;SDATE=200502&amp;PERIODTYPE=QTR_STD&amp;SCFT=3&amp;window=popup_no_bar&amp;width=385&amp;height=120&amp;START_MAXIMIZED=FALSE&amp;creator=factset&amp;display_string=Audit"}</definedName>
    <definedName name="_4131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2__FDSAUDITLINK__" hidden="1">{"fdsup://Directions/FactSet Auditing Viewer?action=AUDIT_VALUE&amp;DB=129&amp;ID1=34637510&amp;VALUEID=02001&amp;SDATE=200501&amp;PERIODTYPE=QTR_STD&amp;SCFT=3&amp;window=popup_no_bar&amp;width=385&amp;height=120&amp;START_MAXIMIZED=FALSE&amp;creator=factset&amp;display_string=Audit"}</definedName>
    <definedName name="_4133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4__FDSAUDITLINK__" hidden="1">{"fdsup://Directions/FactSet Auditing Viewer?action=AUDIT_VALUE&amp;DB=129&amp;ID1=34637510&amp;VALUEID=02001&amp;SDATE=200403&amp;PERIODTYPE=QTR_STD&amp;SCFT=3&amp;window=popup_no_bar&amp;width=385&amp;height=120&amp;START_MAXIMIZED=FALSE&amp;creator=factset&amp;display_string=Audit"}</definedName>
    <definedName name="_4135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6__FDSAUDITLINK__" hidden="1">{"fdsup://Directions/FactSet Auditing Viewer?action=AUDIT_VALUE&amp;DB=129&amp;ID1=34637510&amp;VALUEID=02001&amp;SDATE=200402&amp;PERIODTYPE=QTR_STD&amp;SCFT=3&amp;window=popup_no_bar&amp;width=385&amp;height=120&amp;START_MAXIMIZED=FALSE&amp;creator=factset&amp;display_string=Audit"}</definedName>
    <definedName name="_4137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8__FDSAUDITLINK__" hidden="1">{"fdsup://Directions/FactSet Auditing Viewer?action=AUDIT_VALUE&amp;DB=129&amp;ID1=34637510&amp;VALUEID=02001&amp;SDATE=200401&amp;PERIODTYPE=QTR_STD&amp;SCFT=3&amp;window=popup_no_bar&amp;width=385&amp;height=120&amp;START_MAXIMIZED=FALSE&amp;creator=factset&amp;display_string=Audit"}</definedName>
    <definedName name="_4139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__FDSAUDITLINK__" hidden="1">{"fdsup://Directions/FactSet Auditing Viewer?action=AUDIT_VALUE&amp;DB=129&amp;ID1=17275R10&amp;VALUEID=02001&amp;SDATE=201101&amp;PERIODTYPE=QTR_STD&amp;SCFT=3&amp;window=popup_no_bar&amp;width=385&amp;height=120&amp;START_MAXIMIZED=FALSE&amp;creator=factset&amp;display_string=Audit"}</definedName>
    <definedName name="_4140__FDSAUDITLINK__" hidden="1">{"fdsup://Directions/FactSet Auditing Viewer?action=AUDIT_VALUE&amp;DB=129&amp;ID1=31561610&amp;VALUEID=02001&amp;SDATE=200802&amp;PERIODTYPE=QTR_STD&amp;SCFT=3&amp;window=popup_no_bar&amp;width=385&amp;height=120&amp;START_MAXIMIZED=FALSE&amp;creator=factset&amp;display_string=Audit"}</definedName>
    <definedName name="_4141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2__FDSAUDITLINK__" hidden="1">{"fdsup://Directions/FactSet Auditing Viewer?action=AUDIT_VALUE&amp;DB=129&amp;ID1=31561610&amp;VALUEID=02001&amp;SDATE=200801&amp;PERIODTYPE=QTR_STD&amp;SCFT=3&amp;window=popup_no_bar&amp;width=385&amp;height=120&amp;START_MAXIMIZED=FALSE&amp;creator=factset&amp;display_string=Audit"}</definedName>
    <definedName name="_4143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4__FDSAUDITLINK__" hidden="1">{"fdsup://Directions/FactSet Auditing Viewer?action=AUDIT_VALUE&amp;DB=129&amp;ID1=31561610&amp;VALUEID=02001&amp;SDATE=200703&amp;PERIODTYPE=QTR_STD&amp;SCFT=3&amp;window=popup_no_bar&amp;width=385&amp;height=120&amp;START_MAXIMIZED=FALSE&amp;creator=factset&amp;display_string=Audit"}</definedName>
    <definedName name="_4145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6__FDSAUDITLINK__" hidden="1">{"fdsup://Directions/FactSet Auditing Viewer?action=AUDIT_VALUE&amp;DB=129&amp;ID1=31561610&amp;VALUEID=02001&amp;SDATE=200702&amp;PERIODTYPE=QTR_STD&amp;SCFT=3&amp;window=popup_no_bar&amp;width=385&amp;height=120&amp;START_MAXIMIZED=FALSE&amp;creator=factset&amp;display_string=Audit"}</definedName>
    <definedName name="_4147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8__FDSAUDITLINK__" hidden="1">{"fdsup://Directions/FactSet Auditing Viewer?action=AUDIT_VALUE&amp;DB=129&amp;ID1=31561610&amp;VALUEID=02001&amp;SDATE=200701&amp;PERIODTYPE=QTR_STD&amp;SCFT=3&amp;window=popup_no_bar&amp;width=385&amp;height=120&amp;START_MAXIMIZED=FALSE&amp;creator=factset&amp;display_string=Audit"}</definedName>
    <definedName name="_4149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50__FDSAUDITLINK__" hidden="1">{"fdsup://Directions/FactSet Auditing Viewer?action=AUDIT_VALUE&amp;DB=129&amp;ID1=31561610&amp;VALUEID=02001&amp;SDATE=200603&amp;PERIODTYPE=QTR_STD&amp;SCFT=3&amp;window=popup_no_bar&amp;width=385&amp;height=120&amp;START_MAXIMIZED=FALSE&amp;creator=factset&amp;display_string=Audit"}</definedName>
    <definedName name="_4151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2__FDSAUDITLINK__" hidden="1">{"fdsup://Directions/FactSet Auditing Viewer?action=AUDIT_VALUE&amp;DB=129&amp;ID1=31561610&amp;VALUEID=02001&amp;SDATE=200602&amp;PERIODTYPE=QTR_STD&amp;SCFT=3&amp;window=popup_no_bar&amp;width=385&amp;height=120&amp;START_MAXIMIZED=FALSE&amp;creator=factset&amp;display_string=Audit"}</definedName>
    <definedName name="_4153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4__FDSAUDITLINK__" hidden="1">{"fdsup://Directions/FactSet Auditing Viewer?action=AUDIT_VALUE&amp;DB=129&amp;ID1=31561610&amp;VALUEID=02001&amp;SDATE=200601&amp;PERIODTYPE=QTR_STD&amp;SCFT=3&amp;window=popup_no_bar&amp;width=385&amp;height=120&amp;START_MAXIMIZED=FALSE&amp;creator=factset&amp;display_string=Audit"}</definedName>
    <definedName name="_4155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6__FDSAUDITLINK__" hidden="1">{"fdsup://Directions/FactSet Auditing Viewer?action=AUDIT_VALUE&amp;DB=129&amp;ID1=31561610&amp;VALUEID=02001&amp;SDATE=200503&amp;PERIODTYPE=QTR_STD&amp;SCFT=3&amp;window=popup_no_bar&amp;width=385&amp;height=120&amp;START_MAXIMIZED=FALSE&amp;creator=factset&amp;display_string=Audit"}</definedName>
    <definedName name="_4157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8__FDSAUDITLINK__" hidden="1">{"fdsup://Directions/FactSet Auditing Viewer?action=AUDIT_VALUE&amp;DB=129&amp;ID1=31561610&amp;VALUEID=02001&amp;SDATE=200502&amp;PERIODTYPE=QTR_STD&amp;SCFT=3&amp;window=popup_no_bar&amp;width=385&amp;height=120&amp;START_MAXIMIZED=FALSE&amp;creator=factset&amp;display_string=Audit"}</definedName>
    <definedName name="_4159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__FDSAUDITLINK__" hidden="1">{"fdsup://Directions/FactSet Auditing Viewer?action=AUDIT_VALUE&amp;DB=129&amp;ID1=22544710&amp;VALUEID=02001&amp;SDATE=201101&amp;PERIODTYPE=QTR_STD&amp;SCFT=3&amp;window=popup_no_bar&amp;width=385&amp;height=120&amp;START_MAXIMIZED=FALSE&amp;creator=factset&amp;display_string=Audit"}</definedName>
    <definedName name="_4160__FDSAUDITLINK__" hidden="1">{"fdsup://Directions/FactSet Auditing Viewer?action=AUDIT_VALUE&amp;DB=129&amp;ID1=31561610&amp;VALUEID=02001&amp;SDATE=200501&amp;PERIODTYPE=QTR_STD&amp;SCFT=3&amp;window=popup_no_bar&amp;width=385&amp;height=120&amp;START_MAXIMIZED=FALSE&amp;creator=factset&amp;display_string=Audit"}</definedName>
    <definedName name="_4161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2__FDSAUDITLINK__" hidden="1">{"fdsup://Directions/FactSet Auditing Viewer?action=AUDIT_VALUE&amp;DB=129&amp;ID1=31561610&amp;VALUEID=02001&amp;SDATE=200403&amp;PERIODTYPE=QTR_STD&amp;SCFT=3&amp;window=popup_no_bar&amp;width=385&amp;height=120&amp;START_MAXIMIZED=FALSE&amp;creator=factset&amp;display_string=Audit"}</definedName>
    <definedName name="_4163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4__FDSAUDITLINK__" hidden="1">{"fdsup://Directions/FactSet Auditing Viewer?action=AUDIT_VALUE&amp;DB=129&amp;ID1=31561610&amp;VALUEID=02001&amp;SDATE=200402&amp;PERIODTYPE=QTR_STD&amp;SCFT=3&amp;window=popup_no_bar&amp;width=385&amp;height=120&amp;START_MAXIMIZED=FALSE&amp;creator=factset&amp;display_string=Audit"}</definedName>
    <definedName name="_4165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6__FDSAUDITLINK__" hidden="1">{"fdsup://Directions/FactSet Auditing Viewer?action=AUDIT_VALUE&amp;DB=129&amp;ID1=29247520&amp;VALUEID=02001&amp;SDATE=200803&amp;PERIODTYPE=QTR_STD&amp;SCFT=3&amp;window=popup_no_bar&amp;width=385&amp;height=120&amp;START_MAXIMIZED=FALSE&amp;creator=factset&amp;display_string=Audit"}</definedName>
    <definedName name="_4167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8__FDSAUDITLINK__" hidden="1">{"fdsup://Directions/FactSet Auditing Viewer?action=AUDIT_VALUE&amp;DB=129&amp;ID1=29247520&amp;VALUEID=02001&amp;SDATE=200802&amp;PERIODTYPE=QTR_STD&amp;SCFT=3&amp;window=popup_no_bar&amp;width=385&amp;height=120&amp;START_MAXIMIZED=FALSE&amp;creator=factset&amp;display_string=Audit"}</definedName>
    <definedName name="_4169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70__FDSAUDITLINK__" hidden="1">{"fdsup://Directions/FactSet Auditing Viewer?action=AUDIT_VALUE&amp;DB=129&amp;ID1=29247520&amp;VALUEID=02001&amp;SDATE=200801&amp;PERIODTYPE=QTR_STD&amp;SCFT=3&amp;window=popup_no_bar&amp;width=385&amp;height=120&amp;START_MAXIMIZED=FALSE&amp;creator=factset&amp;display_string=Audit"}</definedName>
    <definedName name="_4171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2__FDSAUDITLINK__" hidden="1">{"fdsup://Directions/FactSet Auditing Viewer?action=AUDIT_VALUE&amp;DB=129&amp;ID1=29247520&amp;VALUEID=02001&amp;SDATE=200703&amp;PERIODTYPE=QTR_STD&amp;SCFT=3&amp;window=popup_no_bar&amp;width=385&amp;height=120&amp;START_MAXIMIZED=FALSE&amp;creator=factset&amp;display_string=Audit"}</definedName>
    <definedName name="_4173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4__FDSAUDITLINK__" hidden="1">{"fdsup://Directions/FactSet Auditing Viewer?action=AUDIT_VALUE&amp;DB=129&amp;ID1=29247520&amp;VALUEID=02001&amp;SDATE=200702&amp;PERIODTYPE=QTR_STD&amp;SCFT=3&amp;window=popup_no_bar&amp;width=385&amp;height=120&amp;START_MAXIMIZED=FALSE&amp;creator=factset&amp;display_string=Audit"}</definedName>
    <definedName name="_4175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6__FDSAUDITLINK__" hidden="1">{"fdsup://Directions/FactSet Auditing Viewer?action=AUDIT_VALUE&amp;DB=129&amp;ID1=29247520&amp;VALUEID=02001&amp;SDATE=200701&amp;PERIODTYPE=QTR_STD&amp;SCFT=3&amp;window=popup_no_bar&amp;width=385&amp;height=120&amp;START_MAXIMIZED=FALSE&amp;creator=factset&amp;display_string=Audit"}</definedName>
    <definedName name="_4177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8__FDSAUDITLINK__" hidden="1">{"fdsup://Directions/FactSet Auditing Viewer?action=AUDIT_VALUE&amp;DB=129&amp;ID1=29247520&amp;VALUEID=02001&amp;SDATE=200603&amp;PERIODTYPE=QTR_STD&amp;SCFT=3&amp;window=popup_no_bar&amp;width=385&amp;height=120&amp;START_MAXIMIZED=FALSE&amp;creator=factset&amp;display_string=Audit"}</definedName>
    <definedName name="_4179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__FDSAUDITLINK__" hidden="1">{"fdsup://Directions/FactSet Auditing Viewer?action=AUDIT_VALUE&amp;DB=129&amp;ID1=20714230&amp;VALUEID=02001&amp;SDATE=201004&amp;PERIODTYPE=QTR_STD&amp;SCFT=3&amp;window=popup_no_bar&amp;width=385&amp;height=120&amp;START_MAXIMIZED=FALSE&amp;creator=factset&amp;display_string=Audit"}</definedName>
    <definedName name="_4180__FDSAUDITLINK__" hidden="1">{"fdsup://Directions/FactSet Auditing Viewer?action=AUDIT_VALUE&amp;DB=129&amp;ID1=29247520&amp;VALUEID=02001&amp;SDATE=200602&amp;PERIODTYPE=QTR_STD&amp;SCFT=3&amp;window=popup_no_bar&amp;width=385&amp;height=120&amp;START_MAXIMIZED=FALSE&amp;creator=factset&amp;display_string=Audit"}</definedName>
    <definedName name="_4181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2__FDSAUDITLINK__" hidden="1">{"fdsup://Directions/FactSet Auditing Viewer?action=AUDIT_VALUE&amp;DB=129&amp;ID1=29247520&amp;VALUEID=02001&amp;SDATE=200601&amp;PERIODTYPE=QTR_STD&amp;SCFT=3&amp;window=popup_no_bar&amp;width=385&amp;height=120&amp;START_MAXIMIZED=FALSE&amp;creator=factset&amp;display_string=Audit"}</definedName>
    <definedName name="_4183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4__FDSAUDITLINK__" hidden="1">{"fdsup://Directions/FactSet Auditing Viewer?action=AUDIT_VALUE&amp;DB=129&amp;ID1=29247520&amp;VALUEID=02001&amp;SDATE=200503&amp;PERIODTYPE=QTR_STD&amp;SCFT=3&amp;window=popup_no_bar&amp;width=385&amp;height=120&amp;START_MAXIMIZED=FALSE&amp;creator=factset&amp;display_string=Audit"}</definedName>
    <definedName name="_4185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6__FDSAUDITLINK__" hidden="1">{"fdsup://Directions/FactSet Auditing Viewer?action=AUDIT_VALUE&amp;DB=129&amp;ID1=29247520&amp;VALUEID=02001&amp;SDATE=200502&amp;PERIODTYPE=QTR_STD&amp;SCFT=3&amp;window=popup_no_bar&amp;width=385&amp;height=120&amp;START_MAXIMIZED=FALSE&amp;creator=factset&amp;display_string=Audit"}</definedName>
    <definedName name="_4187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8__FDSAUDITLINK__" hidden="1">{"fdsup://Directions/FactSet Auditing Viewer?action=AUDIT_VALUE&amp;DB=129&amp;ID1=29247520&amp;VALUEID=02001&amp;SDATE=200501&amp;PERIODTYPE=QTR_STD&amp;SCFT=3&amp;window=popup_no_bar&amp;width=385&amp;height=120&amp;START_MAXIMIZED=FALSE&amp;creator=factset&amp;display_string=Audit"}</definedName>
    <definedName name="_4189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190__FDSAUDITLINK__" hidden="1">{"fdsup://Directions/FactSet Auditing Viewer?action=AUDIT_VALUE&amp;DB=129&amp;ID1=29247520&amp;VALUEID=02001&amp;SDATE=200403&amp;PERIODTYPE=QTR_STD&amp;SCFT=3&amp;window=popup_no_bar&amp;width=385&amp;height=120&amp;START_MAXIMIZED=FALSE&amp;creator=factset&amp;display_string=Audit"}</definedName>
    <definedName name="_4191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2__FDSAUDITLINK__" hidden="1">{"fdsup://Directions/FactSet Auditing Viewer?action=AUDIT_VALUE&amp;DB=129&amp;ID1=25454310&amp;VALUEID=02001&amp;SDATE=200801&amp;PERIODTYPE=QTR_STD&amp;SCFT=3&amp;window=popup_no_bar&amp;width=385&amp;height=120&amp;START_MAXIMIZED=FALSE&amp;creator=factset&amp;display_string=Audit"}</definedName>
    <definedName name="_4193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4__FDSAUDITLINK__" hidden="1">{"fdsup://Directions/FactSet Auditing Viewer?action=AUDIT_VALUE&amp;DB=129&amp;ID1=25454310&amp;VALUEID=02001&amp;SDATE=200703&amp;PERIODTYPE=QTR_STD&amp;SCFT=3&amp;window=popup_no_bar&amp;width=385&amp;height=120&amp;START_MAXIMIZED=FALSE&amp;creator=factset&amp;display_string=Audit"}</definedName>
    <definedName name="_4195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6__FDSAUDITLINK__" hidden="1">{"fdsup://Directions/FactSet Auditing Viewer?action=AUDIT_VALUE&amp;DB=129&amp;ID1=25454310&amp;VALUEID=02001&amp;SDATE=200701&amp;PERIODTYPE=QTR_STD&amp;SCFT=3&amp;window=popup_no_bar&amp;width=385&amp;height=120&amp;START_MAXIMIZED=FALSE&amp;creator=factset&amp;display_string=Audit"}</definedName>
    <definedName name="_4197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8__FDSAUDITLINK__" hidden="1">{"fdsup://Directions/FactSet Auditing Viewer?action=AUDIT_VALUE&amp;DB=129&amp;ID1=25454310&amp;VALUEID=02001&amp;SDATE=200603&amp;PERIODTYPE=QTR_STD&amp;SCFT=3&amp;window=popup_no_bar&amp;width=385&amp;height=120&amp;START_MAXIMIZED=FALSE&amp;creator=factset&amp;display_string=Audit"}</definedName>
    <definedName name="_4199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20__FDSAUDITLINK__" hidden="1">{"fdsup://Directions/FactSet Auditing Viewer?action=AUDIT_VALUE&amp;DB=129&amp;ID1=12738710&amp;VALUEID=02001&amp;SDATE=201003&amp;PERIODTYPE=QTR_STD&amp;SCFT=3&amp;window=popup_no_bar&amp;width=385&amp;height=120&amp;START_MAXIMIZED=FALSE&amp;creator=factset&amp;display_string=Audit"}</definedName>
    <definedName name="_4200__FDSAUDITLINK__" hidden="1">{"fdsup://Directions/FactSet Auditing Viewer?action=AUDIT_VALUE&amp;DB=129&amp;ID1=25454310&amp;VALUEID=02001&amp;SDATE=200602&amp;PERIODTYPE=QTR_STD&amp;SCFT=3&amp;window=popup_no_bar&amp;width=385&amp;height=120&amp;START_MAXIMIZED=FALSE&amp;creator=factset&amp;display_string=Audit"}</definedName>
    <definedName name="_4201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2__FDSAUDITLINK__" hidden="1">{"fdsup://Directions/FactSet Auditing Viewer?action=AUDIT_VALUE&amp;DB=129&amp;ID1=25454310&amp;VALUEID=02001&amp;SDATE=200601&amp;PERIODTYPE=QTR_STD&amp;SCFT=3&amp;window=popup_no_bar&amp;width=385&amp;height=120&amp;START_MAXIMIZED=FALSE&amp;creator=factset&amp;display_string=Audit"}</definedName>
    <definedName name="_4203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4__FDSAUDITLINK__" hidden="1">{"fdsup://Directions/FactSet Auditing Viewer?action=AUDIT_VALUE&amp;DB=129&amp;ID1=25454310&amp;VALUEID=02001&amp;SDATE=200503&amp;PERIODTYPE=QTR_STD&amp;SCFT=3&amp;window=popup_no_bar&amp;width=385&amp;height=120&amp;START_MAXIMIZED=FALSE&amp;creator=factset&amp;display_string=Audit"}</definedName>
    <definedName name="_4205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6__FDSAUDITLINK__" hidden="1">{"fdsup://Directions/FactSet Auditing Viewer?action=AUDIT_VALUE&amp;DB=129&amp;ID1=25454310&amp;VALUEID=02001&amp;SDATE=200502&amp;PERIODTYPE=QTR_STD&amp;SCFT=3&amp;window=popup_no_bar&amp;width=385&amp;height=120&amp;START_MAXIMIZED=FALSE&amp;creator=factset&amp;display_string=Audit"}</definedName>
    <definedName name="_4207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8__FDSAUDITLINK__" hidden="1">{"fdsup://Directions/FactSet Auditing Viewer?action=AUDIT_VALUE&amp;DB=129&amp;ID1=25454310&amp;VALUEID=02001&amp;SDATE=200501&amp;PERIODTYPE=QTR_STD&amp;SCFT=3&amp;window=popup_no_bar&amp;width=385&amp;height=120&amp;START_MAXIMIZED=FALSE&amp;creator=factset&amp;display_string=Audit"}</definedName>
    <definedName name="_4209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10__FDSAUDITLINK__" hidden="1">{"fdsup://Directions/FactSet Auditing Viewer?action=AUDIT_VALUE&amp;DB=129&amp;ID1=25454310&amp;VALUEID=02001&amp;SDATE=200403&amp;PERIODTYPE=QTR_STD&amp;SCFT=3&amp;window=popup_no_bar&amp;width=385&amp;height=120&amp;START_MAXIMIZED=FALSE&amp;creator=factset&amp;display_string=Audit"}</definedName>
    <definedName name="_4211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2__FDSAUDITLINK__" hidden="1">{"fdsup://Directions/FactSet Auditing Viewer?action=AUDIT_VALUE&amp;DB=129&amp;ID1=25454310&amp;VALUEID=02001&amp;SDATE=200402&amp;PERIODTYPE=QTR_STD&amp;SCFT=3&amp;window=popup_no_bar&amp;width=385&amp;height=120&amp;START_MAXIMIZED=FALSE&amp;creator=factset&amp;display_string=Audit"}</definedName>
    <definedName name="_4213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4__FDSAUDITLINK__" hidden="1">{"fdsup://Directions/FactSet Auditing Viewer?action=AUDIT_VALUE&amp;DB=129&amp;ID1=25454310&amp;VALUEID=02001&amp;SDATE=200401&amp;PERIODTYPE=QTR_STD&amp;SCFT=3&amp;window=popup_no_bar&amp;width=385&amp;height=120&amp;START_MAXIMIZED=FALSE&amp;creator=factset&amp;display_string=Audit"}</definedName>
    <definedName name="_4215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6__FDSAUDITLINK__" hidden="1">{"fdsup://Directions/FactSet Auditing Viewer?action=AUDIT_VALUE&amp;DB=129&amp;ID1=24702R10&amp;VALUEID=02001&amp;SDATE=200801&amp;PERIODTYPE=QTR_STD&amp;SCFT=3&amp;window=popup_no_bar&amp;width=385&amp;height=120&amp;START_MAXIMIZED=FALSE&amp;creator=factset&amp;display_string=Audit"}</definedName>
    <definedName name="_4217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8__FDSAUDITLINK__" hidden="1">{"fdsup://Directions/FactSet Auditing Viewer?action=AUDIT_VALUE&amp;DB=129&amp;ID1=24702R10&amp;VALUEID=02001&amp;SDATE=200703&amp;PERIODTYPE=QTR_STD&amp;SCFT=3&amp;window=popup_no_bar&amp;width=385&amp;height=120&amp;START_MAXIMIZED=FALSE&amp;creator=factset&amp;display_string=Audit"}</definedName>
    <definedName name="_4219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__FDSAUDITLINK__" hidden="1">{"fdsup://Directions/FactSet Auditing Viewer?action=AUDIT_VALUE&amp;DB=129&amp;ID1=14964U10&amp;VALUEID=02001&amp;SDATE=201003&amp;PERIODTYPE=QTR_STD&amp;SCFT=3&amp;window=popup_no_bar&amp;width=385&amp;height=120&amp;START_MAXIMIZED=FALSE&amp;creator=factset&amp;display_string=Audit"}</definedName>
    <definedName name="_4220__FDSAUDITLINK__" hidden="1">{"fdsup://Directions/FactSet Auditing Viewer?action=AUDIT_VALUE&amp;DB=129&amp;ID1=24702R10&amp;VALUEID=02001&amp;SDATE=200702&amp;PERIODTYPE=QTR_STD&amp;SCFT=3&amp;window=popup_no_bar&amp;width=385&amp;height=120&amp;START_MAXIMIZED=FALSE&amp;creator=factset&amp;display_string=Audit"}</definedName>
    <definedName name="_4221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2__FDSAUDITLINK__" hidden="1">{"fdsup://Directions/FactSet Auditing Viewer?action=AUDIT_VALUE&amp;DB=129&amp;ID1=24702R10&amp;VALUEID=02001&amp;SDATE=200701&amp;PERIODTYPE=QTR_STD&amp;SCFT=3&amp;window=popup_no_bar&amp;width=385&amp;height=120&amp;START_MAXIMIZED=FALSE&amp;creator=factset&amp;display_string=Audit"}</definedName>
    <definedName name="_4223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4__FDSAUDITLINK__" hidden="1">{"fdsup://Directions/FactSet Auditing Viewer?action=AUDIT_VALUE&amp;DB=129&amp;ID1=24702R10&amp;VALUEID=02001&amp;SDATE=200603&amp;PERIODTYPE=QTR_STD&amp;SCFT=3&amp;window=popup_no_bar&amp;width=385&amp;height=120&amp;START_MAXIMIZED=FALSE&amp;creator=factset&amp;display_string=Audit"}</definedName>
    <definedName name="_4225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6__FDSAUDITLINK__" hidden="1">{"fdsup://Directions/FactSet Auditing Viewer?action=AUDIT_VALUE&amp;DB=129&amp;ID1=24702R10&amp;VALUEID=02001&amp;SDATE=200602&amp;PERIODTYPE=QTR_STD&amp;SCFT=3&amp;window=popup_no_bar&amp;width=385&amp;height=120&amp;START_MAXIMIZED=FALSE&amp;creator=factset&amp;display_string=Audit"}</definedName>
    <definedName name="_4227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8__FDSAUDITLINK__" hidden="1">{"fdsup://Directions/FactSet Auditing Viewer?action=AUDIT_VALUE&amp;DB=129&amp;ID1=24702R10&amp;VALUEID=02001&amp;SDATE=200601&amp;PERIODTYPE=QTR_STD&amp;SCFT=3&amp;window=popup_no_bar&amp;width=385&amp;height=120&amp;START_MAXIMIZED=FALSE&amp;creator=factset&amp;display_string=Audit"}</definedName>
    <definedName name="_4229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30__FDSAUDITLINK__" hidden="1">{"fdsup://Directions/FactSet Auditing Viewer?action=AUDIT_VALUE&amp;DB=129&amp;ID1=24702R10&amp;VALUEID=02001&amp;SDATE=200502&amp;PERIODTYPE=QTR_STD&amp;SCFT=3&amp;window=popup_no_bar&amp;width=385&amp;height=120&amp;START_MAXIMIZED=FALSE&amp;creator=factset&amp;display_string=Audit"}</definedName>
    <definedName name="_4231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2__FDSAUDITLINK__" hidden="1">{"fdsup://Directions/FactSet Auditing Viewer?action=AUDIT_VALUE&amp;DB=129&amp;ID1=24702R10&amp;VALUEID=02001&amp;SDATE=200501&amp;PERIODTYPE=QTR_STD&amp;SCFT=3&amp;window=popup_no_bar&amp;width=385&amp;height=120&amp;START_MAXIMIZED=FALSE&amp;creator=factset&amp;display_string=Audit"}</definedName>
    <definedName name="_4233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4__FDSAUDITLINK__" hidden="1">{"fdsup://Directions/FactSet Auditing Viewer?action=AUDIT_VALUE&amp;DB=129&amp;ID1=24702R10&amp;VALUEID=02001&amp;SDATE=200402&amp;PERIODTYPE=QTR_STD&amp;SCFT=3&amp;window=popup_no_bar&amp;width=385&amp;height=120&amp;START_MAXIMIZED=FALSE&amp;creator=factset&amp;display_string=Audit"}</definedName>
    <definedName name="_4235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6__FDSAUDITLINK__" hidden="1">{"fdsup://Directions/FactSet Auditing Viewer?action=AUDIT_VALUE&amp;DB=129&amp;ID1=24702R10&amp;VALUEID=02001&amp;SDATE=200401&amp;PERIODTYPE=QTR_STD&amp;SCFT=3&amp;window=popup_no_bar&amp;width=385&amp;height=120&amp;START_MAXIMIZED=FALSE&amp;creator=factset&amp;display_string=Audit"}</definedName>
    <definedName name="_4237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8__FDSAUDITLINK__" hidden="1">{"fdsup://Directions/FactSet Auditing Viewer?action=AUDIT_VALUE&amp;DB=129&amp;ID1=23257210&amp;VALUEID=02001&amp;SDATE=200801&amp;PERIODTYPE=QTR_STD&amp;SCFT=3&amp;window=popup_no_bar&amp;width=385&amp;height=120&amp;START_MAXIMIZED=FALSE&amp;creator=factset&amp;display_string=Audit"}</definedName>
    <definedName name="_4239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__FDSAUDITLINK__" hidden="1">{"fdsup://Directions/FactSet Auditing Viewer?action=AUDIT_VALUE&amp;DB=129&amp;ID1=11162130&amp;VALUEID=02001&amp;SDATE=201004&amp;PERIODTYPE=QTR_STD&amp;SCFT=3&amp;window=popup_no_bar&amp;width=385&amp;height=120&amp;START_MAXIMIZED=FALSE&amp;creator=factset&amp;display_string=Audit"}</definedName>
    <definedName name="_4240__FDSAUDITLINK__" hidden="1">{"fdsup://Directions/FactSet Auditing Viewer?action=AUDIT_VALUE&amp;DB=129&amp;ID1=23257210&amp;VALUEID=02001&amp;SDATE=200703&amp;PERIODTYPE=QTR_STD&amp;SCFT=3&amp;window=popup_no_bar&amp;width=385&amp;height=120&amp;START_MAXIMIZED=FALSE&amp;creator=factset&amp;display_string=Audit"}</definedName>
    <definedName name="_4241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2__FDSAUDITLINK__" hidden="1">{"fdsup://Directions/FactSet Auditing Viewer?action=AUDIT_VALUE&amp;DB=129&amp;ID1=23257210&amp;VALUEID=02001&amp;SDATE=200702&amp;PERIODTYPE=QTR_STD&amp;SCFT=3&amp;window=popup_no_bar&amp;width=385&amp;height=120&amp;START_MAXIMIZED=FALSE&amp;creator=factset&amp;display_string=Audit"}</definedName>
    <definedName name="_4243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4__FDSAUDITLINK__" hidden="1">{"fdsup://Directions/FactSet Auditing Viewer?action=AUDIT_VALUE&amp;DB=129&amp;ID1=23257210&amp;VALUEID=02001&amp;SDATE=200701&amp;PERIODTYPE=QTR_STD&amp;SCFT=3&amp;window=popup_no_bar&amp;width=385&amp;height=120&amp;START_MAXIMIZED=FALSE&amp;creator=factset&amp;display_string=Audit"}</definedName>
    <definedName name="_4245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6__FDSAUDITLINK__" hidden="1">{"fdsup://Directions/FactSet Auditing Viewer?action=AUDIT_VALUE&amp;DB=129&amp;ID1=23257210&amp;VALUEID=02001&amp;SDATE=200603&amp;PERIODTYPE=QTR_STD&amp;SCFT=3&amp;window=popup_no_bar&amp;width=385&amp;height=120&amp;START_MAXIMIZED=FALSE&amp;creator=factset&amp;display_string=Audit"}</definedName>
    <definedName name="_4247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8__FDSAUDITLINK__" hidden="1">{"fdsup://Directions/FactSet Auditing Viewer?action=AUDIT_VALUE&amp;DB=129&amp;ID1=23257210&amp;VALUEID=02001&amp;SDATE=200602&amp;PERIODTYPE=QTR_STD&amp;SCFT=3&amp;window=popup_no_bar&amp;width=385&amp;height=120&amp;START_MAXIMIZED=FALSE&amp;creator=factset&amp;display_string=Audit"}</definedName>
    <definedName name="_4249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50__FDSAUDITLINK__" hidden="1">{"fdsup://Directions/FactSet Auditing Viewer?action=AUDIT_VALUE&amp;DB=129&amp;ID1=23257210&amp;VALUEID=02001&amp;SDATE=200601&amp;PERIODTYPE=QTR_STD&amp;SCFT=3&amp;window=popup_no_bar&amp;width=385&amp;height=120&amp;START_MAXIMIZED=FALSE&amp;creator=factset&amp;display_string=Audit"}</definedName>
    <definedName name="_4251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2__FDSAUDITLINK__" hidden="1">{"fdsup://Directions/FactSet Auditing Viewer?action=AUDIT_VALUE&amp;DB=129&amp;ID1=23257210&amp;VALUEID=02001&amp;SDATE=200503&amp;PERIODTYPE=QTR_STD&amp;SCFT=3&amp;window=popup_no_bar&amp;width=385&amp;height=120&amp;START_MAXIMIZED=FALSE&amp;creator=factset&amp;display_string=Audit"}</definedName>
    <definedName name="_4253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4__FDSAUDITLINK__" hidden="1">{"fdsup://Directions/FactSet Auditing Viewer?action=AUDIT_VALUE&amp;DB=129&amp;ID1=23257210&amp;VALUEID=02001&amp;SDATE=200502&amp;PERIODTYPE=QTR_STD&amp;SCFT=3&amp;window=popup_no_bar&amp;width=385&amp;height=120&amp;START_MAXIMIZED=FALSE&amp;creator=factset&amp;display_string=Audit"}</definedName>
    <definedName name="_4255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6__FDSAUDITLINK__" hidden="1">{"fdsup://Directions/FactSet Auditing Viewer?action=AUDIT_VALUE&amp;DB=129&amp;ID1=23257210&amp;VALUEID=02001&amp;SDATE=200501&amp;PERIODTYPE=QTR_STD&amp;SCFT=3&amp;window=popup_no_bar&amp;width=385&amp;height=120&amp;START_MAXIMIZED=FALSE&amp;creator=factset&amp;display_string=Audit"}</definedName>
    <definedName name="_4257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8__FDSAUDITLINK__" hidden="1">{"fdsup://Directions/FactSet Auditing Viewer?action=AUDIT_VALUE&amp;DB=129&amp;ID1=23257210&amp;VALUEID=02001&amp;SDATE=200403&amp;PERIODTYPE=QTR_STD&amp;SCFT=3&amp;window=popup_no_bar&amp;width=385&amp;height=120&amp;START_MAXIMIZED=FALSE&amp;creator=factset&amp;display_string=Audit"}</definedName>
    <definedName name="_4259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__FDSAUDITLINK__" hidden="1">{"fdsup://Directions/FactSet Auditing Viewer?action=AUDIT_VALUE&amp;DB=129&amp;ID1=Y0486S10&amp;VALUEID=02001&amp;SDATE=201004&amp;PERIODTYPE=QTR_STD&amp;SCFT=3&amp;window=popup_no_bar&amp;width=385&amp;height=120&amp;START_MAXIMIZED=FALSE&amp;creator=factset&amp;display_string=Audit"}</definedName>
    <definedName name="_4260__FDSAUDITLINK__" hidden="1">{"fdsup://Directions/FactSet Auditing Viewer?action=AUDIT_VALUE&amp;DB=129&amp;ID1=23257210&amp;VALUEID=02001&amp;SDATE=200402&amp;PERIODTYPE=QTR_STD&amp;SCFT=3&amp;window=popup_no_bar&amp;width=385&amp;height=120&amp;START_MAXIMIZED=FALSE&amp;creator=factset&amp;display_string=Audit"}</definedName>
    <definedName name="_4261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2__FDSAUDITLINK__" hidden="1">{"fdsup://Directions/FactSet Auditing Viewer?action=AUDIT_VALUE&amp;DB=129&amp;ID1=23280610&amp;VALUEID=02001&amp;SDATE=200801&amp;PERIODTYPE=QTR_STD&amp;SCFT=3&amp;window=popup_no_bar&amp;width=385&amp;height=120&amp;START_MAXIMIZED=FALSE&amp;creator=factset&amp;display_string=Audit"}</definedName>
    <definedName name="_4263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4__FDSAUDITLINK__" hidden="1">{"fdsup://Directions/FactSet Auditing Viewer?action=AUDIT_VALUE&amp;DB=129&amp;ID1=23280610&amp;VALUEID=02001&amp;SDATE=200703&amp;PERIODTYPE=QTR_STD&amp;SCFT=3&amp;window=popup_no_bar&amp;width=385&amp;height=120&amp;START_MAXIMIZED=FALSE&amp;creator=factset&amp;display_string=Audit"}</definedName>
    <definedName name="_4265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6__FDSAUDITLINK__" hidden="1">{"fdsup://Directions/FactSet Auditing Viewer?action=AUDIT_VALUE&amp;DB=129&amp;ID1=23280610&amp;VALUEID=02001&amp;SDATE=200702&amp;PERIODTYPE=QTR_STD&amp;SCFT=3&amp;window=popup_no_bar&amp;width=385&amp;height=120&amp;START_MAXIMIZED=FALSE&amp;creator=factset&amp;display_string=Audit"}</definedName>
    <definedName name="_4267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8__FDSAUDITLINK__" hidden="1">{"fdsup://Directions/FactSet Auditing Viewer?action=AUDIT_VALUE&amp;DB=129&amp;ID1=23280610&amp;VALUEID=02001&amp;SDATE=200701&amp;PERIODTYPE=QTR_STD&amp;SCFT=3&amp;window=popup_no_bar&amp;width=385&amp;height=120&amp;START_MAXIMIZED=FALSE&amp;creator=factset&amp;display_string=Audit"}</definedName>
    <definedName name="_4269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70__FDSAUDITLINK__" hidden="1">{"fdsup://Directions/FactSet Auditing Viewer?action=AUDIT_VALUE&amp;DB=129&amp;ID1=23280610&amp;VALUEID=02001&amp;SDATE=200603&amp;PERIODTYPE=QTR_STD&amp;SCFT=3&amp;window=popup_no_bar&amp;width=385&amp;height=120&amp;START_MAXIMIZED=FALSE&amp;creator=factset&amp;display_string=Audit"}</definedName>
    <definedName name="_4271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2__FDSAUDITLINK__" hidden="1">{"fdsup://Directions/FactSet Auditing Viewer?action=AUDIT_VALUE&amp;DB=129&amp;ID1=23280610&amp;VALUEID=02001&amp;SDATE=200602&amp;PERIODTYPE=QTR_STD&amp;SCFT=3&amp;window=popup_no_bar&amp;width=385&amp;height=120&amp;START_MAXIMIZED=FALSE&amp;creator=factset&amp;display_string=Audit"}</definedName>
    <definedName name="_4273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4__FDSAUDITLINK__" hidden="1">{"fdsup://Directions/FactSet Auditing Viewer?action=AUDIT_VALUE&amp;DB=129&amp;ID1=23280610&amp;VALUEID=02001&amp;SDATE=200601&amp;PERIODTYPE=QTR_STD&amp;SCFT=3&amp;window=popup_no_bar&amp;width=385&amp;height=120&amp;START_MAXIMIZED=FALSE&amp;creator=factset&amp;display_string=Audit"}</definedName>
    <definedName name="_4275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6__FDSAUDITLINK__" hidden="1">{"fdsup://Directions/FactSet Auditing Viewer?action=AUDIT_VALUE&amp;DB=129&amp;ID1=23280610&amp;VALUEID=02001&amp;SDATE=200503&amp;PERIODTYPE=QTR_STD&amp;SCFT=3&amp;window=popup_no_bar&amp;width=385&amp;height=120&amp;START_MAXIMIZED=FALSE&amp;creator=factset&amp;display_string=Audit"}</definedName>
    <definedName name="_4277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8__FDSAUDITLINK__" hidden="1">{"fdsup://Directions/FactSet Auditing Viewer?action=AUDIT_VALUE&amp;DB=129&amp;ID1=23280610&amp;VALUEID=02001&amp;SDATE=200502&amp;PERIODTYPE=QTR_STD&amp;SCFT=3&amp;window=popup_no_bar&amp;width=385&amp;height=120&amp;START_MAXIMIZED=FALSE&amp;creator=factset&amp;display_string=Audit"}</definedName>
    <definedName name="_4279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__FDSAUDITLINK__" hidden="1">{"fdsup://Directions/FactSet Auditing Viewer?action=AUDIT_VALUE&amp;DB=129&amp;ID1=04743P10&amp;VALUEID=02001&amp;SDATE=201003&amp;PERIODTYPE=QTR_STD&amp;SCFT=3&amp;window=popup_no_bar&amp;width=385&amp;height=120&amp;START_MAXIMIZED=FALSE&amp;creator=factset&amp;display_string=Audit"}</definedName>
    <definedName name="_4280__FDSAUDITLINK__" hidden="1">{"fdsup://Directions/FactSet Auditing Viewer?action=AUDIT_VALUE&amp;DB=129&amp;ID1=23280610&amp;VALUEID=02001&amp;SDATE=200501&amp;PERIODTYPE=QTR_STD&amp;SCFT=3&amp;window=popup_no_bar&amp;width=385&amp;height=120&amp;START_MAXIMIZED=FALSE&amp;creator=factset&amp;display_string=Audit"}</definedName>
    <definedName name="_4281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2__FDSAUDITLINK__" hidden="1">{"fdsup://Directions/FactSet Auditing Viewer?action=AUDIT_VALUE&amp;DB=129&amp;ID1=23280610&amp;VALUEID=02001&amp;SDATE=200403&amp;PERIODTYPE=QTR_STD&amp;SCFT=3&amp;window=popup_no_bar&amp;width=385&amp;height=120&amp;START_MAXIMIZED=FALSE&amp;creator=factset&amp;display_string=Audit"}</definedName>
    <definedName name="_4283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4__FDSAUDITLINK__" hidden="1">{"fdsup://Directions/FactSet Auditing Viewer?action=AUDIT_VALUE&amp;DB=129&amp;ID1=23280610&amp;VALUEID=02001&amp;SDATE=200402&amp;PERIODTYPE=QTR_STD&amp;SCFT=3&amp;window=popup_no_bar&amp;width=385&amp;height=120&amp;START_MAXIMIZED=FALSE&amp;creator=factset&amp;display_string=Audit"}</definedName>
    <definedName name="_4285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6__FDSAUDITLINK__" hidden="1">{"fdsup://Directions/FactSet Auditing Viewer?action=AUDIT_VALUE&amp;DB=129&amp;ID1=23280610&amp;VALUEID=02001&amp;SDATE=200401&amp;PERIODTYPE=QTR_STD&amp;SCFT=3&amp;window=popup_no_bar&amp;width=385&amp;height=120&amp;START_MAXIMIZED=FALSE&amp;creator=factset&amp;display_string=Audit"}</definedName>
    <definedName name="_4287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8__FDSAUDITLINK__" hidden="1">{"fdsup://Directions/FactSet Auditing Viewer?action=AUDIT_VALUE&amp;DB=129&amp;ID1=17275R10&amp;VALUEID=02001&amp;SDATE=200803&amp;PERIODTYPE=QTR_STD&amp;SCFT=3&amp;window=popup_no_bar&amp;width=385&amp;height=120&amp;START_MAXIMIZED=FALSE&amp;creator=factset&amp;display_string=Audit"}</definedName>
    <definedName name="_4289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290__FDSAUDITLINK__" hidden="1">{"fdsup://Directions/FactSet Auditing Viewer?action=AUDIT_VALUE&amp;DB=129&amp;ID1=17275R10&amp;VALUEID=02001&amp;SDATE=200802&amp;PERIODTYPE=QTR_STD&amp;SCFT=3&amp;window=popup_no_bar&amp;width=385&amp;height=120&amp;START_MAXIMIZED=FALSE&amp;creator=factset&amp;display_string=Audit"}</definedName>
    <definedName name="_4291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2__FDSAUDITLINK__" hidden="1">{"fdsup://Directions/FactSet Auditing Viewer?action=AUDIT_VALUE&amp;DB=129&amp;ID1=17275R10&amp;VALUEID=02001&amp;SDATE=200801&amp;PERIODTYPE=QTR_STD&amp;SCFT=3&amp;window=popup_no_bar&amp;width=385&amp;height=120&amp;START_MAXIMIZED=FALSE&amp;creator=factset&amp;display_string=Audit"}</definedName>
    <definedName name="_4293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4__FDSAUDITLINK__" hidden="1">{"fdsup://Directions/FactSet Auditing Viewer?action=AUDIT_VALUE&amp;DB=129&amp;ID1=17275R10&amp;VALUEID=02001&amp;SDATE=200703&amp;PERIODTYPE=QTR_STD&amp;SCFT=3&amp;window=popup_no_bar&amp;width=385&amp;height=120&amp;START_MAXIMIZED=FALSE&amp;creator=factset&amp;display_string=Audit"}</definedName>
    <definedName name="_4295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6__FDSAUDITLINK__" hidden="1">{"fdsup://Directions/FactSet Auditing Viewer?action=AUDIT_VALUE&amp;DB=129&amp;ID1=17275R10&amp;VALUEID=02001&amp;SDATE=200702&amp;PERIODTYPE=QTR_STD&amp;SCFT=3&amp;window=popup_no_bar&amp;width=385&amp;height=120&amp;START_MAXIMIZED=FALSE&amp;creator=factset&amp;display_string=Audit"}</definedName>
    <definedName name="_4297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8__FDSAUDITLINK__" hidden="1">{"fdsup://Directions/FactSet Auditing Viewer?action=AUDIT_VALUE&amp;DB=129&amp;ID1=17275R10&amp;VALUEID=02001&amp;SDATE=200701&amp;PERIODTYPE=QTR_STD&amp;SCFT=3&amp;window=popup_no_bar&amp;width=385&amp;height=120&amp;START_MAXIMIZED=FALSE&amp;creator=factset&amp;display_string=Audit"}</definedName>
    <definedName name="_4299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30__FDSAUDITLINK__" hidden="1">{"fdsup://Directions/FactSet Auditing Viewer?action=AUDIT_VALUE&amp;DB=129&amp;ID1=03251510&amp;VALUEID=02001&amp;SDATE=201003&amp;PERIODTYPE=QTR_STD&amp;SCFT=3&amp;window=popup_no_bar&amp;width=385&amp;height=120&amp;START_MAXIMIZED=FALSE&amp;creator=factset&amp;display_string=Audit"}</definedName>
    <definedName name="_4300__FDSAUDITLINK__" hidden="1">{"fdsup://Directions/FactSet Auditing Viewer?action=AUDIT_VALUE&amp;DB=129&amp;ID1=17275R10&amp;VALUEID=02001&amp;SDATE=200603&amp;PERIODTYPE=QTR_STD&amp;SCFT=3&amp;window=popup_no_bar&amp;width=385&amp;height=120&amp;START_MAXIMIZED=FALSE&amp;creator=factset&amp;display_string=Audit"}</definedName>
    <definedName name="_4301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2__FDSAUDITLINK__" hidden="1">{"fdsup://Directions/FactSet Auditing Viewer?action=AUDIT_VALUE&amp;DB=129&amp;ID1=17275R10&amp;VALUEID=02001&amp;SDATE=200602&amp;PERIODTYPE=QTR_STD&amp;SCFT=3&amp;window=popup_no_bar&amp;width=385&amp;height=120&amp;START_MAXIMIZED=FALSE&amp;creator=factset&amp;display_string=Audit"}</definedName>
    <definedName name="_4303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4__FDSAUDITLINK__" hidden="1">{"fdsup://Directions/FactSet Auditing Viewer?action=AUDIT_VALUE&amp;DB=129&amp;ID1=17275R10&amp;VALUEID=02001&amp;SDATE=200601&amp;PERIODTYPE=QTR_STD&amp;SCFT=3&amp;window=popup_no_bar&amp;width=385&amp;height=120&amp;START_MAXIMIZED=FALSE&amp;creator=factset&amp;display_string=Audit"}</definedName>
    <definedName name="_4305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6__FDSAUDITLINK__" hidden="1">{"fdsup://Directions/FactSet Auditing Viewer?action=AUDIT_VALUE&amp;DB=129&amp;ID1=17275R10&amp;VALUEID=02001&amp;SDATE=200503&amp;PERIODTYPE=QTR_STD&amp;SCFT=3&amp;window=popup_no_bar&amp;width=385&amp;height=120&amp;START_MAXIMIZED=FALSE&amp;creator=factset&amp;display_string=Audit"}</definedName>
    <definedName name="_4307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8__FDSAUDITLINK__" hidden="1">{"fdsup://Directions/FactSet Auditing Viewer?action=AUDIT_VALUE&amp;DB=129&amp;ID1=17275R10&amp;VALUEID=02001&amp;SDATE=200502&amp;PERIODTYPE=QTR_STD&amp;SCFT=3&amp;window=popup_no_bar&amp;width=385&amp;height=120&amp;START_MAXIMIZED=FALSE&amp;creator=factset&amp;display_string=Audit"}</definedName>
    <definedName name="_4309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10__FDSAUDITLINK__" hidden="1">{"fdsup://Directions/FactSet Auditing Viewer?action=AUDIT_VALUE&amp;DB=129&amp;ID1=17275R10&amp;VALUEID=02001&amp;SDATE=200501&amp;PERIODTYPE=QTR_STD&amp;SCFT=3&amp;window=popup_no_bar&amp;width=385&amp;height=120&amp;START_MAXIMIZED=FALSE&amp;creator=factset&amp;display_string=Audit"}</definedName>
    <definedName name="_4311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2__FDSAUDITLINK__" hidden="1">{"fdsup://Directions/FactSet Auditing Viewer?action=AUDIT_VALUE&amp;DB=129&amp;ID1=17275R10&amp;VALUEID=02001&amp;SDATE=200403&amp;PERIODTYPE=QTR_STD&amp;SCFT=3&amp;window=popup_no_bar&amp;width=385&amp;height=120&amp;START_MAXIMIZED=FALSE&amp;creator=factset&amp;display_string=Audit"}</definedName>
    <definedName name="_4313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4__FDSAUDITLINK__" hidden="1">{"fdsup://Directions/FactSet Auditing Viewer?action=AUDIT_VALUE&amp;DB=129&amp;ID1=22544710&amp;VALUEID=02001&amp;SDATE=200803&amp;PERIODTYPE=QTR_STD&amp;SCFT=3&amp;window=popup_no_bar&amp;width=385&amp;height=120&amp;START_MAXIMIZED=FALSE&amp;creator=factset&amp;display_string=Audit"}</definedName>
    <definedName name="_4315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6__FDSAUDITLINK__" hidden="1">{"fdsup://Directions/FactSet Auditing Viewer?action=AUDIT_VALUE&amp;DB=129&amp;ID1=22544710&amp;VALUEID=02001&amp;SDATE=200802&amp;PERIODTYPE=QTR_STD&amp;SCFT=3&amp;window=popup_no_bar&amp;width=385&amp;height=120&amp;START_MAXIMIZED=FALSE&amp;creator=factset&amp;display_string=Audit"}</definedName>
    <definedName name="_4317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8__FDSAUDITLINK__" hidden="1">{"fdsup://Directions/FactSet Auditing Viewer?action=AUDIT_VALUE&amp;DB=129&amp;ID1=22544710&amp;VALUEID=02001&amp;SDATE=200801&amp;PERIODTYPE=QTR_STD&amp;SCFT=3&amp;window=popup_no_bar&amp;width=385&amp;height=120&amp;START_MAXIMIZED=FALSE&amp;creator=factset&amp;display_string=Audit"}</definedName>
    <definedName name="_4319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__FDSAUDITLINK__" hidden="1">{"fdsup://Directions/FactSet Auditing Viewer?action=AUDIT_VALUE&amp;DB=129&amp;ID1=00790310&amp;VALUEID=02001&amp;SDATE=201003&amp;PERIODTYPE=QTR_STD&amp;SCFT=3&amp;window=popup_no_bar&amp;width=385&amp;height=120&amp;START_MAXIMIZED=FALSE&amp;creator=factset&amp;display_string=Audit"}</definedName>
    <definedName name="_4320__FDSAUDITLINK__" hidden="1">{"fdsup://Directions/FactSet Auditing Viewer?action=AUDIT_VALUE&amp;DB=129&amp;ID1=22544710&amp;VALUEID=02001&amp;SDATE=200703&amp;PERIODTYPE=QTR_STD&amp;SCFT=3&amp;window=popup_no_bar&amp;width=385&amp;height=120&amp;START_MAXIMIZED=FALSE&amp;creator=factset&amp;display_string=Audit"}</definedName>
    <definedName name="_4321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2__FDSAUDITLINK__" hidden="1">{"fdsup://Directions/FactSet Auditing Viewer?action=AUDIT_VALUE&amp;DB=129&amp;ID1=22544710&amp;VALUEID=02001&amp;SDATE=200702&amp;PERIODTYPE=QTR_STD&amp;SCFT=3&amp;window=popup_no_bar&amp;width=385&amp;height=120&amp;START_MAXIMIZED=FALSE&amp;creator=factset&amp;display_string=Audit"}</definedName>
    <definedName name="_4323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4__FDSAUDITLINK__" hidden="1">{"fdsup://Directions/FactSet Auditing Viewer?action=AUDIT_VALUE&amp;DB=129&amp;ID1=22544710&amp;VALUEID=02001&amp;SDATE=200701&amp;PERIODTYPE=QTR_STD&amp;SCFT=3&amp;window=popup_no_bar&amp;width=385&amp;height=120&amp;START_MAXIMIZED=FALSE&amp;creator=factset&amp;display_string=Audit"}</definedName>
    <definedName name="_4325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6__FDSAUDITLINK__" hidden="1">{"fdsup://Directions/FactSet Auditing Viewer?action=AUDIT_VALUE&amp;DB=129&amp;ID1=22544710&amp;VALUEID=02001&amp;SDATE=200603&amp;PERIODTYPE=QTR_STD&amp;SCFT=3&amp;window=popup_no_bar&amp;width=385&amp;height=120&amp;START_MAXIMIZED=FALSE&amp;creator=factset&amp;display_string=Audit"}</definedName>
    <definedName name="_4327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8__FDSAUDITLINK__" hidden="1">{"fdsup://Directions/FactSet Auditing Viewer?action=AUDIT_VALUE&amp;DB=129&amp;ID1=22544710&amp;VALUEID=02001&amp;SDATE=200602&amp;PERIODTYPE=QTR_STD&amp;SCFT=3&amp;window=popup_no_bar&amp;width=385&amp;height=120&amp;START_MAXIMIZED=FALSE&amp;creator=factset&amp;display_string=Audit"}</definedName>
    <definedName name="_4329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30__FDSAUDITLINK__" hidden="1">{"fdsup://Directions/FactSet Auditing Viewer?action=AUDIT_VALUE&amp;DB=129&amp;ID1=22544710&amp;VALUEID=02001&amp;SDATE=200601&amp;PERIODTYPE=QTR_STD&amp;SCFT=3&amp;window=popup_no_bar&amp;width=385&amp;height=120&amp;START_MAXIMIZED=FALSE&amp;creator=factset&amp;display_string=Audit"}</definedName>
    <definedName name="_4331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2__FDSAUDITLINK__" hidden="1">{"fdsup://Directions/FactSet Auditing Viewer?action=AUDIT_VALUE&amp;DB=129&amp;ID1=22544710&amp;VALUEID=02001&amp;SDATE=200502&amp;PERIODTYPE=QTR_STD&amp;SCFT=3&amp;window=popup_no_bar&amp;width=385&amp;height=120&amp;START_MAXIMIZED=FALSE&amp;creator=factset&amp;display_string=Audit"}</definedName>
    <definedName name="_4333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4__FDSAUDITLINK__" hidden="1">{"fdsup://Directions/FactSet Auditing Viewer?action=AUDIT_VALUE&amp;DB=129&amp;ID1=22544710&amp;VALUEID=02001&amp;SDATE=200501&amp;PERIODTYPE=QTR_STD&amp;SCFT=3&amp;window=popup_no_bar&amp;width=385&amp;height=120&amp;START_MAXIMIZED=FALSE&amp;creator=factset&amp;display_string=Audit"}</definedName>
    <definedName name="_4335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6__FDSAUDITLINK__" hidden="1">{"fdsup://Directions/FactSet Auditing Viewer?action=AUDIT_VALUE&amp;DB=129&amp;ID1=22544710&amp;VALUEID=02001&amp;SDATE=200403&amp;PERIODTYPE=QTR_STD&amp;SCFT=3&amp;window=popup_no_bar&amp;width=385&amp;height=120&amp;START_MAXIMIZED=FALSE&amp;creator=factset&amp;display_string=Audit"}</definedName>
    <definedName name="_4337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8__FDSAUDITLINK__" hidden="1">{"fdsup://Directions/FactSet Auditing Viewer?action=AUDIT_VALUE&amp;DB=129&amp;ID1=20714230&amp;VALUEID=02001&amp;SDATE=200802&amp;PERIODTYPE=QTR_STD&amp;SCFT=3&amp;window=popup_no_bar&amp;width=385&amp;height=120&amp;START_MAXIMIZED=FALSE&amp;creator=factset&amp;display_string=Audit"}</definedName>
    <definedName name="_4339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__FDSAUDITLINK__" hidden="1">{"fdsup://Directions/FactSet Auditing Viewer?action=AUDIT_VALUE&amp;DB=129&amp;ID1=03822W40&amp;VALUEID=02001&amp;SDATE=201002&amp;PERIODTYPE=QTR_STD&amp;SCFT=3&amp;window=popup_no_bar&amp;width=385&amp;height=120&amp;START_MAXIMIZED=FALSE&amp;creator=factset&amp;display_string=Audit"}</definedName>
    <definedName name="_4340__FDSAUDITLINK__" hidden="1">{"fdsup://Directions/FactSet Auditing Viewer?action=AUDIT_VALUE&amp;DB=129&amp;ID1=20714230&amp;VALUEID=02001&amp;SDATE=200801&amp;PERIODTYPE=QTR_STD&amp;SCFT=3&amp;window=popup_no_bar&amp;width=385&amp;height=120&amp;START_MAXIMIZED=FALSE&amp;creator=factset&amp;display_string=Audit"}</definedName>
    <definedName name="_4341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2__FDSAUDITLINK__" hidden="1">{"fdsup://Directions/FactSet Auditing Viewer?action=AUDIT_VALUE&amp;DB=129&amp;ID1=20714230&amp;VALUEID=02001&amp;SDATE=200703&amp;PERIODTYPE=QTR_STD&amp;SCFT=3&amp;window=popup_no_bar&amp;width=385&amp;height=120&amp;START_MAXIMIZED=FALSE&amp;creator=factset&amp;display_string=Audit"}</definedName>
    <definedName name="_4343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4__FDSAUDITLINK__" hidden="1">{"fdsup://Directions/FactSet Auditing Viewer?action=AUDIT_VALUE&amp;DB=129&amp;ID1=20714230&amp;VALUEID=02001&amp;SDATE=200702&amp;PERIODTYPE=QTR_STD&amp;SCFT=3&amp;window=popup_no_bar&amp;width=385&amp;height=120&amp;START_MAXIMIZED=FALSE&amp;creator=factset&amp;display_string=Audit"}</definedName>
    <definedName name="_4345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6__FDSAUDITLINK__" hidden="1">{"fdsup://Directions/FactSet Auditing Viewer?action=AUDIT_VALUE&amp;DB=129&amp;ID1=20714230&amp;VALUEID=02001&amp;SDATE=200701&amp;PERIODTYPE=QTR_STD&amp;SCFT=3&amp;window=popup_no_bar&amp;width=385&amp;height=120&amp;START_MAXIMIZED=FALSE&amp;creator=factset&amp;display_string=Audit"}</definedName>
    <definedName name="_4347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8__FDSAUDITLINK__" hidden="1">{"fdsup://Directions/FactSet Auditing Viewer?action=AUDIT_VALUE&amp;DB=129&amp;ID1=20714230&amp;VALUEID=02001&amp;SDATE=200603&amp;PERIODTYPE=QTR_STD&amp;SCFT=3&amp;window=popup_no_bar&amp;width=385&amp;height=120&amp;START_MAXIMIZED=FALSE&amp;creator=factset&amp;display_string=Audit"}</definedName>
    <definedName name="_4349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50__FDSAUDITLINK__" hidden="1">{"fdsup://Directions/FactSet Auditing Viewer?action=AUDIT_VALUE&amp;DB=129&amp;ID1=20714230&amp;VALUEID=02001&amp;SDATE=200602&amp;PERIODTYPE=QTR_STD&amp;SCFT=3&amp;window=popup_no_bar&amp;width=385&amp;height=120&amp;START_MAXIMIZED=FALSE&amp;creator=factset&amp;display_string=Audit"}</definedName>
    <definedName name="_4351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2__FDSAUDITLINK__" hidden="1">{"fdsup://Directions/FactSet Auditing Viewer?action=AUDIT_VALUE&amp;DB=129&amp;ID1=20714230&amp;VALUEID=02001&amp;SDATE=200503&amp;PERIODTYPE=QTR_STD&amp;SCFT=3&amp;window=popup_no_bar&amp;width=385&amp;height=120&amp;START_MAXIMIZED=FALSE&amp;creator=factset&amp;display_string=Audit"}</definedName>
    <definedName name="_4353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4__FDSAUDITLINK__" hidden="1">{"fdsup://Directions/FactSet Auditing Viewer?action=AUDIT_VALUE&amp;DB=129&amp;ID1=20714230&amp;VALUEID=02001&amp;SDATE=200502&amp;PERIODTYPE=QTR_STD&amp;SCFT=3&amp;window=popup_no_bar&amp;width=385&amp;height=120&amp;START_MAXIMIZED=FALSE&amp;creator=factset&amp;display_string=Audit"}</definedName>
    <definedName name="_4355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6__FDSAUDITLINK__" hidden="1">{"fdsup://Directions/FactSet Auditing Viewer?action=AUDIT_VALUE&amp;DB=129&amp;ID1=20714230&amp;VALUEID=02001&amp;SDATE=200501&amp;PERIODTYPE=QTR_STD&amp;SCFT=3&amp;window=popup_no_bar&amp;width=385&amp;height=120&amp;START_MAXIMIZED=FALSE&amp;creator=factset&amp;display_string=Audit"}</definedName>
    <definedName name="_4357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8__FDSAUDITLINK__" hidden="1">{"fdsup://Directions/FactSet Auditing Viewer?action=AUDIT_VALUE&amp;DB=129&amp;ID1=20714230&amp;VALUEID=02001&amp;SDATE=200403&amp;PERIODTYPE=QTR_STD&amp;SCFT=3&amp;window=popup_no_bar&amp;width=385&amp;height=120&amp;START_MAXIMIZED=FALSE&amp;creator=factset&amp;display_string=Audit"}</definedName>
    <definedName name="_4359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__FDSAUDITLINK__" hidden="1">{"fdsup://Directions/FactSet Auditing Viewer?action=AUDIT_VALUE&amp;DB=129&amp;ID1=03822210&amp;VALUEID=02001&amp;SDATE=201004&amp;PERIODTYPE=QTR_STD&amp;SCFT=3&amp;window=popup_no_bar&amp;width=385&amp;height=120&amp;START_MAXIMIZED=FALSE&amp;creator=factset&amp;display_string=Audit"}</definedName>
    <definedName name="_4360__FDSAUDITLINK__" hidden="1">{"fdsup://Directions/FactSet Auditing Viewer?action=AUDIT_VALUE&amp;DB=129&amp;ID1=20714230&amp;VALUEID=02001&amp;SDATE=200402&amp;PERIODTYPE=QTR_STD&amp;SCFT=3&amp;window=popup_no_bar&amp;width=385&amp;height=120&amp;START_MAXIMIZED=FALSE&amp;creator=factset&amp;display_string=Audit"}</definedName>
    <definedName name="_4361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2__FDSAUDITLINK__" hidden="1">{"fdsup://Directions/FactSet Auditing Viewer?action=AUDIT_VALUE&amp;DB=129&amp;ID1=12738710&amp;VALUEID=02001&amp;SDATE=200801&amp;PERIODTYPE=QTR_STD&amp;SCFT=3&amp;window=popup_no_bar&amp;width=385&amp;height=120&amp;START_MAXIMIZED=FALSE&amp;creator=factset&amp;display_string=Audit"}</definedName>
    <definedName name="_4363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4__FDSAUDITLINK__" hidden="1">{"fdsup://Directions/FactSet Auditing Viewer?action=AUDIT_VALUE&amp;DB=129&amp;ID1=12738710&amp;VALUEID=02001&amp;SDATE=200703&amp;PERIODTYPE=QTR_STD&amp;SCFT=3&amp;window=popup_no_bar&amp;width=385&amp;height=120&amp;START_MAXIMIZED=FALSE&amp;creator=factset&amp;display_string=Audit"}</definedName>
    <definedName name="_4365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6__FDSAUDITLINK__" hidden="1">{"fdsup://Directions/FactSet Auditing Viewer?action=AUDIT_VALUE&amp;DB=129&amp;ID1=12738710&amp;VALUEID=02001&amp;SDATE=200702&amp;PERIODTYPE=QTR_STD&amp;SCFT=3&amp;window=popup_no_bar&amp;width=385&amp;height=120&amp;START_MAXIMIZED=FALSE&amp;creator=factset&amp;display_string=Audit"}</definedName>
    <definedName name="_4367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8__FDSAUDITLINK__" hidden="1">{"fdsup://Directions/FactSet Auditing Viewer?action=AUDIT_VALUE&amp;DB=129&amp;ID1=12738710&amp;VALUEID=02001&amp;SDATE=200701&amp;PERIODTYPE=QTR_STD&amp;SCFT=3&amp;window=popup_no_bar&amp;width=385&amp;height=120&amp;START_MAXIMIZED=FALSE&amp;creator=factset&amp;display_string=Audit"}</definedName>
    <definedName name="_4369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70__FDSAUDITLINK__" hidden="1">{"fdsup://Directions/FactSet Auditing Viewer?action=AUDIT_VALUE&amp;DB=129&amp;ID1=12738710&amp;VALUEID=02001&amp;SDATE=200603&amp;PERIODTYPE=QTR_STD&amp;SCFT=3&amp;window=popup_no_bar&amp;width=385&amp;height=120&amp;START_MAXIMIZED=FALSE&amp;creator=factset&amp;display_string=Audit"}</definedName>
    <definedName name="_4371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2__FDSAUDITLINK__" hidden="1">{"fdsup://Directions/FactSet Auditing Viewer?action=AUDIT_VALUE&amp;DB=129&amp;ID1=12738710&amp;VALUEID=02001&amp;SDATE=200602&amp;PERIODTYPE=QTR_STD&amp;SCFT=3&amp;window=popup_no_bar&amp;width=385&amp;height=120&amp;START_MAXIMIZED=FALSE&amp;creator=factset&amp;display_string=Audit"}</definedName>
    <definedName name="_4373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4__FDSAUDITLINK__" hidden="1">{"fdsup://Directions/FactSet Auditing Viewer?action=AUDIT_VALUE&amp;DB=129&amp;ID1=12738710&amp;VALUEID=02001&amp;SDATE=200601&amp;PERIODTYPE=QTR_STD&amp;SCFT=3&amp;window=popup_no_bar&amp;width=385&amp;height=120&amp;START_MAXIMIZED=FALSE&amp;creator=factset&amp;display_string=Audit"}</definedName>
    <definedName name="_4375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6__FDSAUDITLINK__" hidden="1">{"fdsup://Directions/FactSet Auditing Viewer?action=AUDIT_VALUE&amp;DB=129&amp;ID1=12738710&amp;VALUEID=02001&amp;SDATE=200504&amp;PERIODTYPE=QTR_STD&amp;SCFT=3&amp;window=popup_no_bar&amp;width=385&amp;height=120&amp;START_MAXIMIZED=FALSE&amp;creator=factset&amp;display_string=Audit"}</definedName>
    <definedName name="_4377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8__FDSAUDITLINK__" hidden="1">{"fdsup://Directions/FactSet Auditing Viewer?action=AUDIT_VALUE&amp;DB=129&amp;ID1=12738710&amp;VALUEID=02001&amp;SDATE=200503&amp;PERIODTYPE=QTR_STD&amp;SCFT=3&amp;window=popup_no_bar&amp;width=385&amp;height=120&amp;START_MAXIMIZED=FALSE&amp;creator=factset&amp;display_string=Audit"}</definedName>
    <definedName name="_4379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__FDSAUDITLINK__" hidden="1">{"fdsup://Directions/FactSet Auditing Viewer?action=AUDIT_VALUE&amp;DB=129&amp;ID1=02144110&amp;VALUEID=02001&amp;SDATE=201003&amp;PERIODTYPE=QTR_STD&amp;SCFT=3&amp;window=popup_no_bar&amp;width=385&amp;height=120&amp;START_MAXIMIZED=FALSE&amp;creator=factset&amp;display_string=Audit"}</definedName>
    <definedName name="_4380__FDSAUDITLINK__" hidden="1">{"fdsup://Directions/FactSet Auditing Viewer?action=AUDIT_VALUE&amp;DB=129&amp;ID1=12738710&amp;VALUEID=02001&amp;SDATE=200502&amp;PERIODTYPE=QTR_STD&amp;SCFT=3&amp;window=popup_no_bar&amp;width=385&amp;height=120&amp;START_MAXIMIZED=FALSE&amp;creator=factset&amp;display_string=Audit"}</definedName>
    <definedName name="_4381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2__FDSAUDITLINK__" hidden="1">{"fdsup://Directions/FactSet Auditing Viewer?action=AUDIT_VALUE&amp;DB=129&amp;ID1=12738710&amp;VALUEID=02001&amp;SDATE=200501&amp;PERIODTYPE=QTR_STD&amp;SCFT=3&amp;window=popup_no_bar&amp;width=385&amp;height=120&amp;START_MAXIMIZED=FALSE&amp;creator=factset&amp;display_string=Audit"}</definedName>
    <definedName name="_4383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4__FDSAUDITLINK__" hidden="1">{"fdsup://Directions/FactSet Auditing Viewer?action=AUDIT_VALUE&amp;DB=129&amp;ID1=12738710&amp;VALUEID=02001&amp;SDATE=200403&amp;PERIODTYPE=QTR_STD&amp;SCFT=3&amp;window=popup_no_bar&amp;width=385&amp;height=120&amp;START_MAXIMIZED=FALSE&amp;creator=factset&amp;display_string=Audit"}</definedName>
    <definedName name="_4385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6__FDSAUDITLINK__" hidden="1">{"fdsup://Directions/FactSet Auditing Viewer?action=AUDIT_VALUE&amp;DB=129&amp;ID1=12738710&amp;VALUEID=02001&amp;SDATE=200402&amp;PERIODTYPE=QTR_STD&amp;SCFT=3&amp;window=popup_no_bar&amp;width=385&amp;height=120&amp;START_MAXIMIZED=FALSE&amp;creator=factset&amp;display_string=Audit"}</definedName>
    <definedName name="_4387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8__FDSAUDITLINK__" hidden="1">{"fdsup://Directions/FactSet Auditing Viewer?action=AUDIT_VALUE&amp;DB=129&amp;ID1=12738710&amp;VALUEID=02001&amp;SDATE=200401&amp;PERIODTYPE=QTR_STD&amp;SCFT=3&amp;window=popup_no_bar&amp;width=385&amp;height=120&amp;START_MAXIMIZED=FALSE&amp;creator=factset&amp;display_string=Audit"}</definedName>
    <definedName name="_4389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390__FDSAUDITLINK__" hidden="1">{"fdsup://Directions/FactSet Auditing Viewer?action=AUDIT_VALUE&amp;DB=129&amp;ID1=14964U10&amp;VALUEID=02001&amp;SDATE=200801&amp;PERIODTYPE=QTR_STD&amp;SCFT=3&amp;window=popup_no_bar&amp;width=385&amp;height=120&amp;START_MAXIMIZED=FALSE&amp;creator=factset&amp;display_string=Audit"}</definedName>
    <definedName name="_4391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2__FDSAUDITLINK__" hidden="1">{"fdsup://Directions/FactSet Auditing Viewer?action=AUDIT_VALUE&amp;DB=129&amp;ID1=14964U10&amp;VALUEID=02001&amp;SDATE=200703&amp;PERIODTYPE=QTR_STD&amp;SCFT=3&amp;window=popup_no_bar&amp;width=385&amp;height=120&amp;START_MAXIMIZED=FALSE&amp;creator=factset&amp;display_string=Audit"}</definedName>
    <definedName name="_4393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4__FDSAUDITLINK__" hidden="1">{"fdsup://Directions/FactSet Auditing Viewer?action=AUDIT_VALUE&amp;DB=129&amp;ID1=14964U10&amp;VALUEID=02001&amp;SDATE=200702&amp;PERIODTYPE=QTR_STD&amp;SCFT=3&amp;window=popup_no_bar&amp;width=385&amp;height=120&amp;START_MAXIMIZED=FALSE&amp;creator=factset&amp;display_string=Audit"}</definedName>
    <definedName name="_4395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6__FDSAUDITLINK__" hidden="1">{"fdsup://Directions/FactSet Auditing Viewer?action=AUDIT_VALUE&amp;DB=129&amp;ID1=11162130&amp;VALUEID=02001&amp;SDATE=200802&amp;PERIODTYPE=QTR_STD&amp;SCFT=3&amp;window=popup_no_bar&amp;width=385&amp;height=120&amp;START_MAXIMIZED=FALSE&amp;creator=factset&amp;display_string=Audit"}</definedName>
    <definedName name="_4397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8__FDSAUDITLINK__" hidden="1">{"fdsup://Directions/FactSet Auditing Viewer?action=AUDIT_VALUE&amp;DB=129&amp;ID1=11162130&amp;VALUEID=02001&amp;SDATE=200801&amp;PERIODTYPE=QTR_STD&amp;SCFT=3&amp;window=popup_no_bar&amp;width=385&amp;height=120&amp;START_MAXIMIZED=FALSE&amp;creator=factset&amp;display_string=Audit"}</definedName>
    <definedName name="_4399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__FDSAUDITLINK__" hidden="1">{"fdsup://Directions/FactSet Auditing Viewer?action=AUDIT_VALUE&amp;DB=129&amp;ID1=72581M30&amp;VALUEID=02001&amp;SDATE=201101&amp;PERIODTYPE=QTR_STD&amp;SCFT=3&amp;window=popup_no_bar&amp;width=385&amp;height=120&amp;START_MAXIMIZED=FALSE&amp;creator=factset&amp;display_string=Audit"}</definedName>
    <definedName name="_440__FDSAUDITLINK__" hidden="1">{"fdsup://Directions/FactSet Auditing Viewer?action=AUDIT_VALUE&amp;DB=129&amp;ID1=03265410&amp;VALUEID=02001&amp;SDATE=201004&amp;PERIODTYPE=QTR_STD&amp;SCFT=3&amp;window=popup_no_bar&amp;width=385&amp;height=120&amp;START_MAXIMIZED=FALSE&amp;creator=factset&amp;display_string=Audit"}</definedName>
    <definedName name="_4400__FDSAUDITLINK__" hidden="1">{"fdsup://Directions/FactSet Auditing Viewer?action=AUDIT_VALUE&amp;DB=129&amp;ID1=11162130&amp;VALUEID=02001&amp;SDATE=200703&amp;PERIODTYPE=QTR_STD&amp;SCFT=3&amp;window=popup_no_bar&amp;width=385&amp;height=120&amp;START_MAXIMIZED=FALSE&amp;creator=factset&amp;display_string=Audit"}</definedName>
    <definedName name="_4401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2__FDSAUDITLINK__" hidden="1">{"fdsup://Directions/FactSet Auditing Viewer?action=AUDIT_VALUE&amp;DB=129&amp;ID1=11162130&amp;VALUEID=02001&amp;SDATE=200702&amp;PERIODTYPE=QTR_STD&amp;SCFT=3&amp;window=popup_no_bar&amp;width=385&amp;height=120&amp;START_MAXIMIZED=FALSE&amp;creator=factset&amp;display_string=Audit"}</definedName>
    <definedName name="_4403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4__FDSAUDITLINK__" hidden="1">{"fdsup://Directions/FactSet Auditing Viewer?action=AUDIT_VALUE&amp;DB=129&amp;ID1=11162130&amp;VALUEID=02001&amp;SDATE=200701&amp;PERIODTYPE=QTR_STD&amp;SCFT=3&amp;window=popup_no_bar&amp;width=385&amp;height=120&amp;START_MAXIMIZED=FALSE&amp;creator=factset&amp;display_string=Audit"}</definedName>
    <definedName name="_4405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6__FDSAUDITLINK__" hidden="1">{"fdsup://Directions/FactSet Auditing Viewer?action=AUDIT_VALUE&amp;DB=129&amp;ID1=11162130&amp;VALUEID=02001&amp;SDATE=200603&amp;PERIODTYPE=QTR_STD&amp;SCFT=3&amp;window=popup_no_bar&amp;width=385&amp;height=120&amp;START_MAXIMIZED=FALSE&amp;creator=factset&amp;display_string=Audit"}</definedName>
    <definedName name="_4407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8__FDSAUDITLINK__" hidden="1">{"fdsup://Directions/FactSet Auditing Viewer?action=AUDIT_VALUE&amp;DB=129&amp;ID1=11162130&amp;VALUEID=02001&amp;SDATE=200602&amp;PERIODTYPE=QTR_STD&amp;SCFT=3&amp;window=popup_no_bar&amp;width=385&amp;height=120&amp;START_MAXIMIZED=FALSE&amp;creator=factset&amp;display_string=Audit"}</definedName>
    <definedName name="_4409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10__FDSAUDITLINK__" hidden="1">{"fdsup://Directions/FactSet Auditing Viewer?action=AUDIT_VALUE&amp;DB=129&amp;ID1=11162130&amp;VALUEID=02001&amp;SDATE=200601&amp;PERIODTYPE=QTR_STD&amp;SCFT=3&amp;window=popup_no_bar&amp;width=385&amp;height=120&amp;START_MAXIMIZED=FALSE&amp;creator=factset&amp;display_string=Audit"}</definedName>
    <definedName name="_4411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2__FDSAUDITLINK__" hidden="1">{"fdsup://Directions/FactSet Auditing Viewer?action=AUDIT_VALUE&amp;DB=129&amp;ID1=11162130&amp;VALUEID=02001&amp;SDATE=200503&amp;PERIODTYPE=QTR_STD&amp;SCFT=3&amp;window=popup_no_bar&amp;width=385&amp;height=120&amp;START_MAXIMIZED=FALSE&amp;creator=factset&amp;display_string=Audit"}</definedName>
    <definedName name="_4413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4__FDSAUDITLINK__" hidden="1">{"fdsup://Directions/FactSet Auditing Viewer?action=AUDIT_VALUE&amp;DB=129&amp;ID1=11162130&amp;VALUEID=02001&amp;SDATE=200502&amp;PERIODTYPE=QTR_STD&amp;SCFT=3&amp;window=popup_no_bar&amp;width=385&amp;height=120&amp;START_MAXIMIZED=FALSE&amp;creator=factset&amp;display_string=Audit"}</definedName>
    <definedName name="_4415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6__FDSAUDITLINK__" hidden="1">{"fdsup://Directions/FactSet Auditing Viewer?action=AUDIT_VALUE&amp;DB=129&amp;ID1=11162130&amp;VALUEID=02001&amp;SDATE=200403&amp;PERIODTYPE=QTR_STD&amp;SCFT=3&amp;window=popup_no_bar&amp;width=385&amp;height=120&amp;START_MAXIMIZED=FALSE&amp;creator=factset&amp;display_string=Audit"}</definedName>
    <definedName name="_4417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8__FDSAUDITLINK__" hidden="1">{"fdsup://Directions/FactSet Auditing Viewer?action=AUDIT_VALUE&amp;DB=129&amp;ID1=11162130&amp;VALUEID=02001&amp;SDATE=200402&amp;PERIODTYPE=QTR_STD&amp;SCFT=3&amp;window=popup_no_bar&amp;width=385&amp;height=120&amp;START_MAXIMIZED=FALSE&amp;creator=factset&amp;display_string=Audit"}</definedName>
    <definedName name="_4419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__FDSAUDITLINK__" hidden="1">{"fdsup://Directions/FactSet Auditing Viewer?action=AUDIT_VALUE&amp;DB=129&amp;ID1=00752J10&amp;VALUEID=02001&amp;SDATE=201003&amp;PERIODTYPE=QTR_STD&amp;SCFT=3&amp;window=popup_no_bar&amp;width=385&amp;height=120&amp;START_MAXIMIZED=FALSE&amp;creator=factset&amp;display_string=Audit"}</definedName>
    <definedName name="_4420__FDSAUDITLINK__" hidden="1">{"fdsup://Directions/FactSet Auditing Viewer?action=AUDIT_VALUE&amp;DB=129&amp;ID1=04743P10&amp;VALUEID=02001&amp;SDATE=200801&amp;PERIODTYPE=QTR_STD&amp;SCFT=3&amp;window=popup_no_bar&amp;width=385&amp;height=120&amp;START_MAXIMIZED=FALSE&amp;creator=factset&amp;display_string=Audit"}</definedName>
    <definedName name="_4421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2__FDSAUDITLINK__" hidden="1">{"fdsup://Directions/FactSet Auditing Viewer?action=AUDIT_VALUE&amp;DB=129&amp;ID1=04743P10&amp;VALUEID=02001&amp;SDATE=200703&amp;PERIODTYPE=QTR_STD&amp;SCFT=3&amp;window=popup_no_bar&amp;width=385&amp;height=120&amp;START_MAXIMIZED=FALSE&amp;creator=factset&amp;display_string=Audit"}</definedName>
    <definedName name="_4423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4__FDSAUDITLINK__" hidden="1">{"fdsup://Directions/FactSet Auditing Viewer?action=AUDIT_VALUE&amp;DB=129&amp;ID1=04743P10&amp;VALUEID=02001&amp;SDATE=200702&amp;PERIODTYPE=QTR_STD&amp;SCFT=3&amp;window=popup_no_bar&amp;width=385&amp;height=120&amp;START_MAXIMIZED=FALSE&amp;creator=factset&amp;display_string=Audit"}</definedName>
    <definedName name="_4425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6__FDSAUDITLINK__" hidden="1">{"fdsup://Directions/FactSet Auditing Viewer?action=AUDIT_VALUE&amp;DB=129&amp;ID1=04743P10&amp;VALUEID=02001&amp;SDATE=200701&amp;PERIODTYPE=QTR_STD&amp;SCFT=3&amp;window=popup_no_bar&amp;width=385&amp;height=120&amp;START_MAXIMIZED=FALSE&amp;creator=factset&amp;display_string=Audit"}</definedName>
    <definedName name="_4427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8__FDSAUDITLINK__" hidden="1">{"fdsup://Directions/FactSet Auditing Viewer?action=AUDIT_VALUE&amp;DB=129&amp;ID1=04743P10&amp;VALUEID=02001&amp;SDATE=200603&amp;PERIODTYPE=QTR_STD&amp;SCFT=3&amp;window=popup_no_bar&amp;width=385&amp;height=120&amp;START_MAXIMIZED=FALSE&amp;creator=factset&amp;display_string=Audit"}</definedName>
    <definedName name="_4429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30__FDSAUDITLINK__" hidden="1">{"fdsup://Directions/FactSet Auditing Viewer?action=AUDIT_VALUE&amp;DB=129&amp;ID1=04743P10&amp;VALUEID=02001&amp;SDATE=200602&amp;PERIODTYPE=QTR_STD&amp;SCFT=3&amp;window=popup_no_bar&amp;width=385&amp;height=120&amp;START_MAXIMIZED=FALSE&amp;creator=factset&amp;display_string=Audit"}</definedName>
    <definedName name="_4431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2__FDSAUDITLINK__" hidden="1">{"fdsup://Directions/FactSet Auditing Viewer?action=AUDIT_VALUE&amp;DB=129&amp;ID1=04743P10&amp;VALUEID=02001&amp;SDATE=200601&amp;PERIODTYPE=QTR_STD&amp;SCFT=3&amp;window=popup_no_bar&amp;width=385&amp;height=120&amp;START_MAXIMIZED=FALSE&amp;creator=factset&amp;display_string=Audit"}</definedName>
    <definedName name="_4433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4__FDSAUDITLINK__" hidden="1">{"fdsup://Directions/FactSet Auditing Viewer?action=AUDIT_VALUE&amp;DB=129&amp;ID1=04743P10&amp;VALUEID=02001&amp;SDATE=200503&amp;PERIODTYPE=QTR_STD&amp;SCFT=3&amp;window=popup_no_bar&amp;width=385&amp;height=120&amp;START_MAXIMIZED=FALSE&amp;creator=factset&amp;display_string=Audit"}</definedName>
    <definedName name="_4435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6__FDSAUDITLINK__" hidden="1">{"fdsup://Directions/FactSet Auditing Viewer?action=AUDIT_VALUE&amp;DB=129&amp;ID1=04743P10&amp;VALUEID=02001&amp;SDATE=200502&amp;PERIODTYPE=QTR_STD&amp;SCFT=3&amp;window=popup_no_bar&amp;width=385&amp;height=120&amp;START_MAXIMIZED=FALSE&amp;creator=factset&amp;display_string=Audit"}</definedName>
    <definedName name="_4437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8__FDSAUDITLINK__" hidden="1">{"fdsup://Directions/FactSet Auditing Viewer?action=AUDIT_VALUE&amp;DB=129&amp;ID1=04743P10&amp;VALUEID=02001&amp;SDATE=200501&amp;PERIODTYPE=QTR_STD&amp;SCFT=3&amp;window=popup_no_bar&amp;width=385&amp;height=120&amp;START_MAXIMIZED=FALSE&amp;creator=factset&amp;display_string=Audit"}</definedName>
    <definedName name="_4439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__FDSAUDITLINK__" hidden="1">{"fdsup://Directions/FactSet Auditing Viewer?action=AUDIT_VALUE&amp;DB=129&amp;ID1=98975F10&amp;VALUEID=02001&amp;SDATE=201002&amp;PERIODTYPE=QTR_STD&amp;SCFT=3&amp;window=popup_no_bar&amp;width=385&amp;height=120&amp;START_MAXIMIZED=FALSE&amp;creator=factset&amp;display_string=Audit"}</definedName>
    <definedName name="_4440__FDSAUDITLINK__" hidden="1">{"fdsup://Directions/FactSet Auditing Viewer?action=AUDIT_VALUE&amp;DB=129&amp;ID1=04743P10&amp;VALUEID=02001&amp;SDATE=200403&amp;PERIODTYPE=QTR_STD&amp;SCFT=3&amp;window=popup_no_bar&amp;width=385&amp;height=120&amp;START_MAXIMIZED=FALSE&amp;creator=factset&amp;display_string=Audit"}</definedName>
    <definedName name="_4441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2__FDSAUDITLINK__" hidden="1">{"fdsup://Directions/FactSet Auditing Viewer?action=AUDIT_VALUE&amp;DB=129&amp;ID1=04743P10&amp;VALUEID=02001&amp;SDATE=200402&amp;PERIODTYPE=QTR_STD&amp;SCFT=3&amp;window=popup_no_bar&amp;width=385&amp;height=120&amp;START_MAXIMIZED=FALSE&amp;creator=factset&amp;display_string=Audit"}</definedName>
    <definedName name="_4443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4__FDSAUDITLINK__" hidden="1">{"fdsup://Directions/FactSet Auditing Viewer?action=AUDIT_VALUE&amp;DB=129&amp;ID1=04743P10&amp;VALUEID=02001&amp;SDATE=200401&amp;PERIODTYPE=QTR_STD&amp;SCFT=3&amp;window=popup_no_bar&amp;width=385&amp;height=120&amp;START_MAXIMIZED=FALSE&amp;creator=factset&amp;display_string=Audit"}</definedName>
    <definedName name="_4445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6__FDSAUDITLINK__" hidden="1">{"fdsup://Directions/FactSet Auditing Viewer?action=AUDIT_VALUE&amp;DB=129&amp;ID1=03251510&amp;VALUEID=02001&amp;SDATE=200801&amp;PERIODTYPE=QTR_STD&amp;SCFT=3&amp;window=popup_no_bar&amp;width=385&amp;height=120&amp;START_MAXIMIZED=FALSE&amp;creator=factset&amp;display_string=Audit"}</definedName>
    <definedName name="_4447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8__FDSAUDITLINK__" hidden="1">{"fdsup://Directions/FactSet Auditing Viewer?action=AUDIT_VALUE&amp;DB=129&amp;ID1=03251510&amp;VALUEID=02001&amp;SDATE=200703&amp;PERIODTYPE=QTR_STD&amp;SCFT=3&amp;window=popup_no_bar&amp;width=385&amp;height=120&amp;START_MAXIMIZED=FALSE&amp;creator=factset&amp;display_string=Audit"}</definedName>
    <definedName name="_4449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50__FDSAUDITLINK__" hidden="1">{"fdsup://Directions/FactSet Auditing Viewer?action=AUDIT_VALUE&amp;DB=129&amp;ID1=03251510&amp;VALUEID=02001&amp;SDATE=200702&amp;PERIODTYPE=QTR_STD&amp;SCFT=3&amp;window=popup_no_bar&amp;width=385&amp;height=120&amp;START_MAXIMIZED=FALSE&amp;creator=factset&amp;display_string=Audit"}</definedName>
    <definedName name="_4451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2__FDSAUDITLINK__" hidden="1">{"fdsup://Directions/FactSet Auditing Viewer?action=AUDIT_VALUE&amp;DB=129&amp;ID1=03251510&amp;VALUEID=02001&amp;SDATE=200701&amp;PERIODTYPE=QTR_STD&amp;SCFT=3&amp;window=popup_no_bar&amp;width=385&amp;height=120&amp;START_MAXIMIZED=FALSE&amp;creator=factset&amp;display_string=Audit"}</definedName>
    <definedName name="_4453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4__FDSAUDITLINK__" hidden="1">{"fdsup://Directions/FactSet Auditing Viewer?action=AUDIT_VALUE&amp;DB=129&amp;ID1=03251510&amp;VALUEID=02001&amp;SDATE=200603&amp;PERIODTYPE=QTR_STD&amp;SCFT=3&amp;window=popup_no_bar&amp;width=385&amp;height=120&amp;START_MAXIMIZED=FALSE&amp;creator=factset&amp;display_string=Audit"}</definedName>
    <definedName name="_4455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6__FDSAUDITLINK__" hidden="1">{"fdsup://Directions/FactSet Auditing Viewer?action=AUDIT_VALUE&amp;DB=129&amp;ID1=03251510&amp;VALUEID=02001&amp;SDATE=200602&amp;PERIODTYPE=QTR_STD&amp;SCFT=3&amp;window=popup_no_bar&amp;width=385&amp;height=120&amp;START_MAXIMIZED=FALSE&amp;creator=factset&amp;display_string=Audit"}</definedName>
    <definedName name="_4457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8__FDSAUDITLINK__" hidden="1">{"fdsup://Directions/FactSet Auditing Viewer?action=AUDIT_VALUE&amp;DB=129&amp;ID1=03251510&amp;VALUEID=02001&amp;SDATE=200601&amp;PERIODTYPE=QTR_STD&amp;SCFT=3&amp;window=popup_no_bar&amp;width=385&amp;height=120&amp;START_MAXIMIZED=FALSE&amp;creator=factset&amp;display_string=Audit"}</definedName>
    <definedName name="_4459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__FDSAUDITLINK__" hidden="1">{"fdsup://Directions/FactSet Auditing Viewer?action=AUDIT_VALUE&amp;DB=129&amp;ID1=98391910&amp;VALUEID=02001&amp;SDATE=201001&amp;PERIODTYPE=QTR_STD&amp;SCFT=3&amp;window=popup_no_bar&amp;width=385&amp;height=120&amp;START_MAXIMIZED=FALSE&amp;creator=factset&amp;display_string=Audit"}</definedName>
    <definedName name="_4460__FDSAUDITLINK__" hidden="1">{"fdsup://Directions/FactSet Auditing Viewer?action=AUDIT_VALUE&amp;DB=129&amp;ID1=00790310&amp;VALUEID=02001&amp;SDATE=200801&amp;PERIODTYPE=QTR_STD&amp;SCFT=3&amp;window=popup_no_bar&amp;width=385&amp;height=120&amp;START_MAXIMIZED=FALSE&amp;creator=factset&amp;display_string=Audit"}</definedName>
    <definedName name="_4461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2__FDSAUDITLINK__" hidden="1">{"fdsup://Directions/FactSet Auditing Viewer?action=AUDIT_VALUE&amp;DB=129&amp;ID1=00790310&amp;VALUEID=02001&amp;SDATE=200703&amp;PERIODTYPE=QTR_STD&amp;SCFT=3&amp;window=popup_no_bar&amp;width=385&amp;height=120&amp;START_MAXIMIZED=FALSE&amp;creator=factset&amp;display_string=Audit"}</definedName>
    <definedName name="_4463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4__FDSAUDITLINK__" hidden="1">{"fdsup://Directions/FactSet Auditing Viewer?action=AUDIT_VALUE&amp;DB=129&amp;ID1=00790310&amp;VALUEID=02001&amp;SDATE=200702&amp;PERIODTYPE=QTR_STD&amp;SCFT=3&amp;window=popup_no_bar&amp;width=385&amp;height=120&amp;START_MAXIMIZED=FALSE&amp;creator=factset&amp;display_string=Audit"}</definedName>
    <definedName name="_4465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6__FDSAUDITLINK__" hidden="1">{"fdsup://Directions/FactSet Auditing Viewer?action=AUDIT_VALUE&amp;DB=129&amp;ID1=00790310&amp;VALUEID=02001&amp;SDATE=200701&amp;PERIODTYPE=QTR_STD&amp;SCFT=3&amp;window=popup_no_bar&amp;width=385&amp;height=120&amp;START_MAXIMIZED=FALSE&amp;creator=factset&amp;display_string=Audit"}</definedName>
    <definedName name="_4467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8__FDSAUDITLINK__" hidden="1">{"fdsup://Directions/FactSet Auditing Viewer?action=AUDIT_VALUE&amp;DB=129&amp;ID1=00790310&amp;VALUEID=02001&amp;SDATE=200603&amp;PERIODTYPE=QTR_STD&amp;SCFT=3&amp;window=popup_no_bar&amp;width=385&amp;height=120&amp;START_MAXIMIZED=FALSE&amp;creator=factset&amp;display_string=Audit"}</definedName>
    <definedName name="_4469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70__FDSAUDITLINK__" hidden="1">{"fdsup://Directions/FactSet Auditing Viewer?action=AUDIT_VALUE&amp;DB=129&amp;ID1=00790310&amp;VALUEID=02001&amp;SDATE=200602&amp;PERIODTYPE=QTR_STD&amp;SCFT=3&amp;window=popup_no_bar&amp;width=385&amp;height=120&amp;START_MAXIMIZED=FALSE&amp;creator=factset&amp;display_string=Audit"}</definedName>
    <definedName name="_4471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2__FDSAUDITLINK__" hidden="1">{"fdsup://Directions/FactSet Auditing Viewer?action=AUDIT_VALUE&amp;DB=129&amp;ID1=00790310&amp;VALUEID=02001&amp;SDATE=200601&amp;PERIODTYPE=QTR_STD&amp;SCFT=3&amp;window=popup_no_bar&amp;width=385&amp;height=120&amp;START_MAXIMIZED=FALSE&amp;creator=factset&amp;display_string=Audit"}</definedName>
    <definedName name="_4473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4__FDSAUDITLINK__" hidden="1">{"fdsup://Directions/FactSet Auditing Viewer?action=AUDIT_VALUE&amp;DB=129&amp;ID1=00790310&amp;VALUEID=02001&amp;SDATE=200503&amp;PERIODTYPE=QTR_STD&amp;SCFT=3&amp;window=popup_no_bar&amp;width=385&amp;height=120&amp;START_MAXIMIZED=FALSE&amp;creator=factset&amp;display_string=Audit"}</definedName>
    <definedName name="_4475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6__FDSAUDITLINK__" hidden="1">{"fdsup://Directions/FactSet Auditing Viewer?action=AUDIT_VALUE&amp;DB=129&amp;ID1=00790310&amp;VALUEID=02001&amp;SDATE=200502&amp;PERIODTYPE=QTR_STD&amp;SCFT=3&amp;window=popup_no_bar&amp;width=385&amp;height=120&amp;START_MAXIMIZED=FALSE&amp;creator=factset&amp;display_string=Audit"}</definedName>
    <definedName name="_4477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8__FDSAUDITLINK__" hidden="1">{"fdsup://Directions/FactSet Auditing Viewer?action=AUDIT_VALUE&amp;DB=129&amp;ID1=00790310&amp;VALUEID=02001&amp;SDATE=200403&amp;PERIODTYPE=QTR_STD&amp;SCFT=3&amp;window=popup_no_bar&amp;width=385&amp;height=120&amp;START_MAXIMIZED=FALSE&amp;creator=factset&amp;display_string=Audit"}</definedName>
    <definedName name="_4479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__FDSAUDITLINK__" hidden="1">{"fdsup://Directions/FactSet Auditing Viewer?action=AUDIT_VALUE&amp;DB=129&amp;ID1=95810210&amp;VALUEID=02001&amp;SDATE=201004&amp;PERIODTYPE=QTR_STD&amp;SCFT=3&amp;window=popup_no_bar&amp;width=385&amp;height=120&amp;START_MAXIMIZED=FALSE&amp;creator=factset&amp;display_string=Audit"}</definedName>
    <definedName name="_4480__FDSAUDITLINK__" hidden="1">{"fdsup://Directions/FactSet Auditing Viewer?action=AUDIT_VALUE&amp;DB=129&amp;ID1=00790310&amp;VALUEID=02001&amp;SDATE=200402&amp;PERIODTYPE=QTR_STD&amp;SCFT=3&amp;window=popup_no_bar&amp;width=385&amp;height=120&amp;START_MAXIMIZED=FALSE&amp;creator=factset&amp;display_string=Audit"}</definedName>
    <definedName name="_4481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2__FDSAUDITLINK__" hidden="1">{"fdsup://Directions/FactSet Auditing Viewer?action=AUDIT_VALUE&amp;DB=129&amp;ID1=00790310&amp;VALUEID=02001&amp;SDATE=200401&amp;PERIODTYPE=QTR_STD&amp;SCFT=3&amp;window=popup_no_bar&amp;width=385&amp;height=120&amp;START_MAXIMIZED=FALSE&amp;creator=factset&amp;display_string=Audit"}</definedName>
    <definedName name="_4483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4__FDSAUDITLINK__" hidden="1">{"fdsup://Directions/FactSet Auditing Viewer?action=AUDIT_VALUE&amp;DB=129&amp;ID1=03822W40&amp;VALUEID=02001&amp;SDATE=200703&amp;PERIODTYPE=QTR_STD&amp;SCFT=3&amp;window=popup_no_bar&amp;width=385&amp;height=120&amp;START_MAXIMIZED=FALSE&amp;creator=factset&amp;display_string=Audit"}</definedName>
    <definedName name="_4485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6__FDSAUDITLINK__" hidden="1">{"fdsup://Directions/FactSet Auditing Viewer?action=AUDIT_VALUE&amp;DB=129&amp;ID1=03822W40&amp;VALUEID=02001&amp;SDATE=200702&amp;PERIODTYPE=QTR_STD&amp;SCFT=3&amp;window=popup_no_bar&amp;width=385&amp;height=120&amp;START_MAXIMIZED=FALSE&amp;creator=factset&amp;display_string=Audit"}</definedName>
    <definedName name="_4487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8__FDSAUDITLINK__" hidden="1">{"fdsup://Directions/FactSet Auditing Viewer?action=AUDIT_VALUE&amp;DB=129&amp;ID1=03822W40&amp;VALUEID=02001&amp;SDATE=200701&amp;PERIODTYPE=QTR_STD&amp;SCFT=3&amp;window=popup_no_bar&amp;width=385&amp;height=120&amp;START_MAXIMIZED=FALSE&amp;creator=factset&amp;display_string=Audit"}</definedName>
    <definedName name="_4489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490__FDSAUDITLINK__" hidden="1">{"fdsup://Directions/FactSet Auditing Viewer?action=AUDIT_VALUE&amp;DB=129&amp;ID1=03822W40&amp;VALUEID=02001&amp;SDATE=200603&amp;PERIODTYPE=QTR_STD&amp;SCFT=3&amp;window=popup_no_bar&amp;width=385&amp;height=120&amp;START_MAXIMIZED=FALSE&amp;creator=factset&amp;display_string=Audit"}</definedName>
    <definedName name="_4491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2__FDSAUDITLINK__" hidden="1">{"fdsup://Directions/FactSet Auditing Viewer?action=AUDIT_VALUE&amp;DB=129&amp;ID1=03822W40&amp;VALUEID=02001&amp;SDATE=200602&amp;PERIODTYPE=QTR_STD&amp;SCFT=3&amp;window=popup_no_bar&amp;width=385&amp;height=120&amp;START_MAXIMIZED=FALSE&amp;creator=factset&amp;display_string=Audit"}</definedName>
    <definedName name="_4493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4__FDSAUDITLINK__" hidden="1">{"fdsup://Directions/FactSet Auditing Viewer?action=AUDIT_VALUE&amp;DB=129&amp;ID1=03822W40&amp;VALUEID=02001&amp;SDATE=200601&amp;PERIODTYPE=QTR_STD&amp;SCFT=3&amp;window=popup_no_bar&amp;width=385&amp;height=120&amp;START_MAXIMIZED=FALSE&amp;creator=factset&amp;display_string=Audit"}</definedName>
    <definedName name="_4495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6__FDSAUDITLINK__" hidden="1">{"fdsup://Directions/FactSet Auditing Viewer?action=AUDIT_VALUE&amp;DB=129&amp;ID1=03822W40&amp;VALUEID=02001&amp;SDATE=200503&amp;PERIODTYPE=QTR_STD&amp;SCFT=3&amp;window=popup_no_bar&amp;width=385&amp;height=120&amp;START_MAXIMIZED=FALSE&amp;creator=factset&amp;display_string=Audit"}</definedName>
    <definedName name="_4497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8__FDSAUDITLINK__" hidden="1">{"fdsup://Directions/FactSet Auditing Viewer?action=AUDIT_VALUE&amp;DB=129&amp;ID1=03822W40&amp;VALUEID=02001&amp;SDATE=200502&amp;PERIODTYPE=QTR_STD&amp;SCFT=3&amp;window=popup_no_bar&amp;width=385&amp;height=120&amp;START_MAXIMIZED=FALSE&amp;creator=factset&amp;display_string=Audit"}</definedName>
    <definedName name="_4499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50__FDSAUDITLINK__" hidden="1">{"fdsup://Directions/FactSet Auditing Viewer?action=AUDIT_VALUE&amp;DB=129&amp;ID1=92849730&amp;VALUEID=02001&amp;SDATE=201003&amp;PERIODTYPE=QTR_STD&amp;SCFT=3&amp;window=popup_no_bar&amp;width=385&amp;height=120&amp;START_MAXIMIZED=FALSE&amp;creator=factset&amp;display_string=Audit"}</definedName>
    <definedName name="_4500__FDSAUDITLINK__" hidden="1">{"fdsup://Directions/FactSet Auditing Viewer?action=AUDIT_VALUE&amp;DB=129&amp;ID1=03822W40&amp;VALUEID=02001&amp;SDATE=200501&amp;PERIODTYPE=QTR_STD&amp;SCFT=3&amp;window=popup_no_bar&amp;width=385&amp;height=120&amp;START_MAXIMIZED=FALSE&amp;creator=factset&amp;display_string=Audit"}</definedName>
    <definedName name="_4501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2__FDSAUDITLINK__" hidden="1">{"fdsup://Directions/FactSet Auditing Viewer?action=AUDIT_VALUE&amp;DB=129&amp;ID1=03822W40&amp;VALUEID=02001&amp;SDATE=200403&amp;PERIODTYPE=QTR_STD&amp;SCFT=3&amp;window=popup_no_bar&amp;width=385&amp;height=120&amp;START_MAXIMIZED=FALSE&amp;creator=factset&amp;display_string=Audit"}</definedName>
    <definedName name="_4503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4__FDSAUDITLINK__" hidden="1">{"fdsup://Directions/FactSet Auditing Viewer?action=AUDIT_VALUE&amp;DB=129&amp;ID1=03822W40&amp;VALUEID=02001&amp;SDATE=200402&amp;PERIODTYPE=QTR_STD&amp;SCFT=3&amp;window=popup_no_bar&amp;width=385&amp;height=120&amp;START_MAXIMIZED=FALSE&amp;creator=factset&amp;display_string=Audit"}</definedName>
    <definedName name="_4505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6__FDSAUDITLINK__" hidden="1">{"fdsup://Directions/FactSet Auditing Viewer?action=AUDIT_VALUE&amp;DB=129&amp;ID1=03822W40&amp;VALUEID=02001&amp;SDATE=200401&amp;PERIODTYPE=QTR_STD&amp;SCFT=3&amp;window=popup_no_bar&amp;width=385&amp;height=120&amp;START_MAXIMIZED=FALSE&amp;creator=factset&amp;display_string=Audit"}</definedName>
    <definedName name="_4507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8__FDSAUDITLINK__" hidden="1">{"fdsup://Directions/FactSet Auditing Viewer?action=AUDIT_VALUE&amp;DB=129&amp;ID1=03822210&amp;VALUEID=02001&amp;SDATE=200802&amp;PERIODTYPE=QTR_STD&amp;SCFT=3&amp;window=popup_no_bar&amp;width=385&amp;height=120&amp;START_MAXIMIZED=FALSE&amp;creator=factset&amp;display_string=Audit"}</definedName>
    <definedName name="_4509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10__FDSAUDITLINK__" hidden="1">{"fdsup://Directions/FactSet Auditing Viewer?action=AUDIT_VALUE&amp;DB=129&amp;ID1=03822210&amp;VALUEID=02001&amp;SDATE=200801&amp;PERIODTYPE=QTR_STD&amp;SCFT=3&amp;window=popup_no_bar&amp;width=385&amp;height=120&amp;START_MAXIMIZED=FALSE&amp;creator=factset&amp;display_string=Audit"}</definedName>
    <definedName name="_4511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2__FDSAUDITLINK__" hidden="1">{"fdsup://Directions/FactSet Auditing Viewer?action=AUDIT_VALUE&amp;DB=129&amp;ID1=03822210&amp;VALUEID=02001&amp;SDATE=200703&amp;PERIODTYPE=QTR_STD&amp;SCFT=3&amp;window=popup_no_bar&amp;width=385&amp;height=120&amp;START_MAXIMIZED=FALSE&amp;creator=factset&amp;display_string=Audit"}</definedName>
    <definedName name="_4513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4__FDSAUDITLINK__" hidden="1">{"fdsup://Directions/FactSet Auditing Viewer?action=AUDIT_VALUE&amp;DB=129&amp;ID1=03822210&amp;VALUEID=02001&amp;SDATE=200702&amp;PERIODTYPE=QTR_STD&amp;SCFT=3&amp;window=popup_no_bar&amp;width=385&amp;height=120&amp;START_MAXIMIZED=FALSE&amp;creator=factset&amp;display_string=Audit"}</definedName>
    <definedName name="_4515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6__FDSAUDITLINK__" hidden="1">{"fdsup://Directions/FactSet Auditing Viewer?action=AUDIT_VALUE&amp;DB=129&amp;ID1=03822210&amp;VALUEID=02001&amp;SDATE=200701&amp;PERIODTYPE=QTR_STD&amp;SCFT=3&amp;window=popup_no_bar&amp;width=385&amp;height=120&amp;START_MAXIMIZED=FALSE&amp;creator=factset&amp;display_string=Audit"}</definedName>
    <definedName name="_4517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8__FDSAUDITLINK__" hidden="1">{"fdsup://Directions/FactSet Auditing Viewer?action=AUDIT_VALUE&amp;DB=129&amp;ID1=03822210&amp;VALUEID=02001&amp;SDATE=200603&amp;PERIODTYPE=QTR_STD&amp;SCFT=3&amp;window=popup_no_bar&amp;width=385&amp;height=120&amp;START_MAXIMIZED=FALSE&amp;creator=factset&amp;display_string=Audit"}</definedName>
    <definedName name="_4519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__FDSAUDITLINK__" hidden="1">{"fdsup://Directions/FactSet Auditing Viewer?action=AUDIT_VALUE&amp;DB=129&amp;ID1=92829810&amp;VALUEID=02001&amp;SDATE=201002&amp;PERIODTYPE=QTR_STD&amp;SCFT=3&amp;window=popup_no_bar&amp;width=385&amp;height=120&amp;START_MAXIMIZED=FALSE&amp;creator=factset&amp;display_string=Audit"}</definedName>
    <definedName name="_4520__FDSAUDITLINK__" hidden="1">{"fdsup://Directions/FactSet Auditing Viewer?action=AUDIT_VALUE&amp;DB=129&amp;ID1=03822210&amp;VALUEID=02001&amp;SDATE=200602&amp;PERIODTYPE=QTR_STD&amp;SCFT=3&amp;window=popup_no_bar&amp;width=385&amp;height=120&amp;START_MAXIMIZED=FALSE&amp;creator=factset&amp;display_string=Audit"}</definedName>
    <definedName name="_4521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2__FDSAUDITLINK__" hidden="1">{"fdsup://Directions/FactSet Auditing Viewer?action=AUDIT_VALUE&amp;DB=129&amp;ID1=03822210&amp;VALUEID=02001&amp;SDATE=200601&amp;PERIODTYPE=QTR_STD&amp;SCFT=3&amp;window=popup_no_bar&amp;width=385&amp;height=120&amp;START_MAXIMIZED=FALSE&amp;creator=factset&amp;display_string=Audit"}</definedName>
    <definedName name="_4523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4__FDSAUDITLINK__" hidden="1">{"fdsup://Directions/FactSet Auditing Viewer?action=AUDIT_VALUE&amp;DB=129&amp;ID1=03822210&amp;VALUEID=02001&amp;SDATE=200503&amp;PERIODTYPE=QTR_STD&amp;SCFT=3&amp;window=popup_no_bar&amp;width=385&amp;height=120&amp;START_MAXIMIZED=FALSE&amp;creator=factset&amp;display_string=Audit"}</definedName>
    <definedName name="_4525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6__FDSAUDITLINK__" hidden="1">{"fdsup://Directions/FactSet Auditing Viewer?action=AUDIT_VALUE&amp;DB=129&amp;ID1=03822210&amp;VALUEID=02001&amp;SDATE=200502&amp;PERIODTYPE=QTR_STD&amp;SCFT=3&amp;window=popup_no_bar&amp;width=385&amp;height=120&amp;START_MAXIMIZED=FALSE&amp;creator=factset&amp;display_string=Audit"}</definedName>
    <definedName name="_4527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8__FDSAUDITLINK__" hidden="1">{"fdsup://Directions/FactSet Auditing Viewer?action=AUDIT_VALUE&amp;DB=129&amp;ID1=03822210&amp;VALUEID=02001&amp;SDATE=200501&amp;PERIODTYPE=QTR_STD&amp;SCFT=3&amp;window=popup_no_bar&amp;width=385&amp;height=120&amp;START_MAXIMIZED=FALSE&amp;creator=factset&amp;display_string=Audit"}</definedName>
    <definedName name="_4529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30__FDSAUDITLINK__" hidden="1">{"fdsup://Directions/FactSet Auditing Viewer?action=AUDIT_VALUE&amp;DB=129&amp;ID1=03822210&amp;VALUEID=02001&amp;SDATE=200403&amp;PERIODTYPE=QTR_STD&amp;SCFT=3&amp;window=popup_no_bar&amp;width=385&amp;height=120&amp;START_MAXIMIZED=FALSE&amp;creator=factset&amp;display_string=Audit"}</definedName>
    <definedName name="_4531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2__FDSAUDITLINK__" hidden="1">{"fdsup://Directions/FactSet Auditing Viewer?action=AUDIT_VALUE&amp;DB=129&amp;ID1=03822210&amp;VALUEID=02001&amp;SDATE=200402&amp;PERIODTYPE=QTR_STD&amp;SCFT=3&amp;window=popup_no_bar&amp;width=385&amp;height=120&amp;START_MAXIMIZED=FALSE&amp;creator=factset&amp;display_string=Audit"}</definedName>
    <definedName name="_4533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4__FDSAUDITLINK__" hidden="1">{"fdsup://Directions/FactSet Auditing Viewer?action=AUDIT_VALUE&amp;DB=129&amp;ID1=02144110&amp;VALUEID=02001&amp;SDATE=200801&amp;PERIODTYPE=QTR_STD&amp;SCFT=3&amp;window=popup_no_bar&amp;width=385&amp;height=120&amp;START_MAXIMIZED=FALSE&amp;creator=factset&amp;display_string=Audit"}</definedName>
    <definedName name="_4535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6__FDSAUDITLINK__" hidden="1">{"fdsup://Directions/FactSet Auditing Viewer?action=AUDIT_VALUE&amp;DB=129&amp;ID1=02144110&amp;VALUEID=02001&amp;SDATE=200703&amp;PERIODTYPE=QTR_STD&amp;SCFT=3&amp;window=popup_no_bar&amp;width=385&amp;height=120&amp;START_MAXIMIZED=FALSE&amp;creator=factset&amp;display_string=Audit"}</definedName>
    <definedName name="_4537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8__FDSAUDITLINK__" hidden="1">{"fdsup://Directions/FactSet Auditing Viewer?action=AUDIT_VALUE&amp;DB=129&amp;ID1=02144110&amp;VALUEID=02001&amp;SDATE=200702&amp;PERIODTYPE=QTR_STD&amp;SCFT=3&amp;window=popup_no_bar&amp;width=385&amp;height=120&amp;START_MAXIMIZED=FALSE&amp;creator=factset&amp;display_string=Audit"}</definedName>
    <definedName name="_4539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__FDSAUDITLINK__" hidden="1">{"fdsup://Directions/FactSet Auditing Viewer?action=AUDIT_VALUE&amp;DB=129&amp;ID1=88250810&amp;VALUEID=02001&amp;SDATE=201002&amp;PERIODTYPE=QTR_STD&amp;SCFT=3&amp;window=popup_no_bar&amp;width=385&amp;height=120&amp;START_MAXIMIZED=FALSE&amp;creator=factset&amp;display_string=Audit"}</definedName>
    <definedName name="_4540__FDSAUDITLINK__" hidden="1">{"fdsup://Directions/FactSet Auditing Viewer?action=AUDIT_VALUE&amp;DB=129&amp;ID1=02144110&amp;VALUEID=02001&amp;SDATE=200701&amp;PERIODTYPE=QTR_STD&amp;SCFT=3&amp;window=popup_no_bar&amp;width=385&amp;height=120&amp;START_MAXIMIZED=FALSE&amp;creator=factset&amp;display_string=Audit"}</definedName>
    <definedName name="_4541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2__FDSAUDITLINK__" hidden="1">{"fdsup://Directions/FactSet Auditing Viewer?action=AUDIT_VALUE&amp;DB=129&amp;ID1=02144110&amp;VALUEID=02001&amp;SDATE=200603&amp;PERIODTYPE=QTR_STD&amp;SCFT=3&amp;window=popup_no_bar&amp;width=385&amp;height=120&amp;START_MAXIMIZED=FALSE&amp;creator=factset&amp;display_string=Audit"}</definedName>
    <definedName name="_4543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4__FDSAUDITLINK__" hidden="1">{"fdsup://Directions/FactSet Auditing Viewer?action=AUDIT_VALUE&amp;DB=129&amp;ID1=02144110&amp;VALUEID=02001&amp;SDATE=200602&amp;PERIODTYPE=QTR_STD&amp;SCFT=3&amp;window=popup_no_bar&amp;width=385&amp;height=120&amp;START_MAXIMIZED=FALSE&amp;creator=factset&amp;display_string=Audit"}</definedName>
    <definedName name="_4545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6__FDSAUDITLINK__" hidden="1">{"fdsup://Directions/FactSet Auditing Viewer?action=AUDIT_VALUE&amp;DB=129&amp;ID1=02144110&amp;VALUEID=02001&amp;SDATE=200601&amp;PERIODTYPE=QTR_STD&amp;SCFT=3&amp;window=popup_no_bar&amp;width=385&amp;height=120&amp;START_MAXIMIZED=FALSE&amp;creator=factset&amp;display_string=Audit"}</definedName>
    <definedName name="_4547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8__FDSAUDITLINK__" hidden="1">{"fdsup://Directions/FactSet Auditing Viewer?action=AUDIT_VALUE&amp;DB=129&amp;ID1=02144110&amp;VALUEID=02001&amp;SDATE=200503&amp;PERIODTYPE=QTR_STD&amp;SCFT=3&amp;window=popup_no_bar&amp;width=385&amp;height=120&amp;START_MAXIMIZED=FALSE&amp;creator=factset&amp;display_string=Audit"}</definedName>
    <definedName name="_4549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50__FDSAUDITLINK__" hidden="1">{"fdsup://Directions/FactSet Auditing Viewer?action=AUDIT_VALUE&amp;DB=129&amp;ID1=02144110&amp;VALUEID=02001&amp;SDATE=200502&amp;PERIODTYPE=QTR_STD&amp;SCFT=3&amp;window=popup_no_bar&amp;width=385&amp;height=120&amp;START_MAXIMIZED=FALSE&amp;creator=factset&amp;display_string=Audit"}</definedName>
    <definedName name="_4551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2__FDSAUDITLINK__" hidden="1">{"fdsup://Directions/FactSet Auditing Viewer?action=AUDIT_VALUE&amp;DB=129&amp;ID1=02144110&amp;VALUEID=02001&amp;SDATE=200501&amp;PERIODTYPE=QTR_STD&amp;SCFT=3&amp;window=popup_no_bar&amp;width=385&amp;height=120&amp;START_MAXIMIZED=FALSE&amp;creator=factset&amp;display_string=Audit"}</definedName>
    <definedName name="_4553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4__FDSAUDITLINK__" hidden="1">{"fdsup://Directions/FactSet Auditing Viewer?action=AUDIT_VALUE&amp;DB=129&amp;ID1=02144110&amp;VALUEID=02001&amp;SDATE=200403&amp;PERIODTYPE=QTR_STD&amp;SCFT=3&amp;window=popup_no_bar&amp;width=385&amp;height=120&amp;START_MAXIMIZED=FALSE&amp;creator=factset&amp;display_string=Audit"}</definedName>
    <definedName name="_4555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6__FDSAUDITLINK__" hidden="1">{"fdsup://Directions/FactSet Auditing Viewer?action=AUDIT_VALUE&amp;DB=129&amp;ID1=02144110&amp;VALUEID=02001&amp;SDATE=200402&amp;PERIODTYPE=QTR_STD&amp;SCFT=3&amp;window=popup_no_bar&amp;width=385&amp;height=120&amp;START_MAXIMIZED=FALSE&amp;creator=factset&amp;display_string=Audit"}</definedName>
    <definedName name="_4557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8__FDSAUDITLINK__" hidden="1">{"fdsup://Directions/FactSet Auditing Viewer?action=AUDIT_VALUE&amp;DB=129&amp;ID1=02144110&amp;VALUEID=02001&amp;SDATE=200401&amp;PERIODTYPE=QTR_STD&amp;SCFT=3&amp;window=popup_no_bar&amp;width=385&amp;height=120&amp;START_MAXIMIZED=FALSE&amp;creator=factset&amp;display_string=Audit"}</definedName>
    <definedName name="_4559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__FDSAUDITLINK__" hidden="1">{"fdsup://Directions/FactSet Auditing Viewer?action=AUDIT_VALUE&amp;DB=129&amp;ID1=89674K10&amp;VALUEID=02001&amp;SDATE=201002&amp;PERIODTYPE=QTR_STD&amp;SCFT=3&amp;window=popup_no_bar&amp;width=385&amp;height=120&amp;START_MAXIMIZED=FALSE&amp;creator=factset&amp;display_string=Audit"}</definedName>
    <definedName name="_4560__FDSAUDITLINK__" hidden="1">{"fdsup://Directions/FactSet Auditing Viewer?action=AUDIT_VALUE&amp;DB=129&amp;ID1=03265410&amp;VALUEID=02001&amp;SDATE=200802&amp;PERIODTYPE=QTR_STD&amp;SCFT=3&amp;window=popup_no_bar&amp;width=385&amp;height=120&amp;START_MAXIMIZED=FALSE&amp;creator=factset&amp;display_string=Audit"}</definedName>
    <definedName name="_4561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2__FDSAUDITLINK__" hidden="1">{"fdsup://Directions/FactSet Auditing Viewer?action=AUDIT_VALUE&amp;DB=129&amp;ID1=03265410&amp;VALUEID=02001&amp;SDATE=200801&amp;PERIODTYPE=QTR_STD&amp;SCFT=3&amp;window=popup_no_bar&amp;width=385&amp;height=120&amp;START_MAXIMIZED=FALSE&amp;creator=factset&amp;display_string=Audit"}</definedName>
    <definedName name="_4563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4__FDSAUDITLINK__" hidden="1">{"fdsup://Directions/FactSet Auditing Viewer?action=AUDIT_VALUE&amp;DB=129&amp;ID1=03265410&amp;VALUEID=02001&amp;SDATE=200703&amp;PERIODTYPE=QTR_STD&amp;SCFT=3&amp;window=popup_no_bar&amp;width=385&amp;height=120&amp;START_MAXIMIZED=FALSE&amp;creator=factset&amp;display_string=Audit"}</definedName>
    <definedName name="_4565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6__FDSAUDITLINK__" hidden="1">{"fdsup://Directions/FactSet Auditing Viewer?action=AUDIT_VALUE&amp;DB=129&amp;ID1=03265410&amp;VALUEID=02001&amp;SDATE=200702&amp;PERIODTYPE=QTR_STD&amp;SCFT=3&amp;window=popup_no_bar&amp;width=385&amp;height=120&amp;START_MAXIMIZED=FALSE&amp;creator=factset&amp;display_string=Audit"}</definedName>
    <definedName name="_4567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8__FDSAUDITLINK__" hidden="1">{"fdsup://Directions/FactSet Auditing Viewer?action=AUDIT_VALUE&amp;DB=129&amp;ID1=03265410&amp;VALUEID=02001&amp;SDATE=200701&amp;PERIODTYPE=QTR_STD&amp;SCFT=3&amp;window=popup_no_bar&amp;width=385&amp;height=120&amp;START_MAXIMIZED=FALSE&amp;creator=factset&amp;display_string=Audit"}</definedName>
    <definedName name="_4569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70__FDSAUDITLINK__" hidden="1">{"fdsup://Directions/FactSet Auditing Viewer?action=AUDIT_VALUE&amp;DB=129&amp;ID1=03265410&amp;VALUEID=02001&amp;SDATE=200603&amp;PERIODTYPE=QTR_STD&amp;SCFT=3&amp;window=popup_no_bar&amp;width=385&amp;height=120&amp;START_MAXIMIZED=FALSE&amp;creator=factset&amp;display_string=Audit"}</definedName>
    <definedName name="_4571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2__FDSAUDITLINK__" hidden="1">{"fdsup://Directions/FactSet Auditing Viewer?action=AUDIT_VALUE&amp;DB=129&amp;ID1=03265410&amp;VALUEID=02001&amp;SDATE=200601&amp;PERIODTYPE=QTR_STD&amp;SCFT=3&amp;window=popup_no_bar&amp;width=385&amp;height=120&amp;START_MAXIMIZED=FALSE&amp;creator=factset&amp;display_string=Audit"}</definedName>
    <definedName name="_4573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4__FDSAUDITLINK__" hidden="1">{"fdsup://Directions/FactSet Auditing Viewer?action=AUDIT_VALUE&amp;DB=129&amp;ID1=03265410&amp;VALUEID=02001&amp;SDATE=200503&amp;PERIODTYPE=QTR_STD&amp;SCFT=3&amp;window=popup_no_bar&amp;width=385&amp;height=120&amp;START_MAXIMIZED=FALSE&amp;creator=factset&amp;display_string=Audit"}</definedName>
    <definedName name="_4575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6__FDSAUDITLINK__" hidden="1">{"fdsup://Directions/FactSet Auditing Viewer?action=AUDIT_VALUE&amp;DB=129&amp;ID1=03265410&amp;VALUEID=02001&amp;SDATE=200502&amp;PERIODTYPE=QTR_STD&amp;SCFT=3&amp;window=popup_no_bar&amp;width=385&amp;height=120&amp;START_MAXIMIZED=FALSE&amp;creator=factset&amp;display_string=Audit"}</definedName>
    <definedName name="_4577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8__FDSAUDITLINK__" hidden="1">{"fdsup://Directions/FactSet Auditing Viewer?action=AUDIT_VALUE&amp;DB=129&amp;ID1=03265410&amp;VALUEID=02001&amp;SDATE=200501&amp;PERIODTYPE=QTR_STD&amp;SCFT=3&amp;window=popup_no_bar&amp;width=385&amp;height=120&amp;START_MAXIMIZED=FALSE&amp;creator=factset&amp;display_string=Audit"}</definedName>
    <definedName name="_4579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__FDSAUDITLINK__" hidden="1">{"fdsup://Directions/FactSet Auditing Viewer?action=AUDIT_VALUE&amp;DB=129&amp;ID1=83088M10&amp;VALUEID=02001&amp;SDATE=201003&amp;PERIODTYPE=QTR_STD&amp;SCFT=3&amp;window=popup_no_bar&amp;width=385&amp;height=120&amp;START_MAXIMIZED=FALSE&amp;creator=factset&amp;display_string=Audit"}</definedName>
    <definedName name="_4580__FDSAUDITLINK__" hidden="1">{"fdsup://Directions/FactSet Auditing Viewer?action=AUDIT_VALUE&amp;DB=129&amp;ID1=03265410&amp;VALUEID=02001&amp;SDATE=200403&amp;PERIODTYPE=QTR_STD&amp;SCFT=3&amp;window=popup_no_bar&amp;width=385&amp;height=120&amp;START_MAXIMIZED=FALSE&amp;creator=factset&amp;display_string=Audit"}</definedName>
    <definedName name="_4581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2__FDSAUDITLINK__" hidden="1">{"fdsup://Directions/FactSet Auditing Viewer?action=AUDIT_VALUE&amp;DB=129&amp;ID1=03265410&amp;VALUEID=02001&amp;SDATE=200402&amp;PERIODTYPE=QTR_STD&amp;SCFT=3&amp;window=popup_no_bar&amp;width=385&amp;height=120&amp;START_MAXIMIZED=FALSE&amp;creator=factset&amp;display_string=Audit"}</definedName>
    <definedName name="_4583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4__FDSAUDITLINK__" hidden="1">{"fdsup://Directions/FactSet Auditing Viewer?action=AUDIT_VALUE&amp;DB=129&amp;ID1=00752J10&amp;VALUEID=02001&amp;SDATE=200801&amp;PERIODTYPE=QTR_STD&amp;SCFT=3&amp;window=popup_no_bar&amp;width=385&amp;height=120&amp;START_MAXIMIZED=FALSE&amp;creator=factset&amp;display_string=Audit"}</definedName>
    <definedName name="_4585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6__FDSAUDITLINK__" hidden="1">{"fdsup://Directions/FactSet Auditing Viewer?action=AUDIT_VALUE&amp;DB=129&amp;ID1=00752J10&amp;VALUEID=02001&amp;SDATE=200703&amp;PERIODTYPE=QTR_STD&amp;SCFT=3&amp;window=popup_no_bar&amp;width=385&amp;height=120&amp;START_MAXIMIZED=FALSE&amp;creator=factset&amp;display_string=Audit"}</definedName>
    <definedName name="_4587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8__FDSAUDITLINK__" hidden="1">{"fdsup://Directions/FactSet Auditing Viewer?action=AUDIT_VALUE&amp;DB=129&amp;ID1=00752J10&amp;VALUEID=02001&amp;SDATE=200702&amp;PERIODTYPE=QTR_STD&amp;SCFT=3&amp;window=popup_no_bar&amp;width=385&amp;height=120&amp;START_MAXIMIZED=FALSE&amp;creator=factset&amp;display_string=Audit"}</definedName>
    <definedName name="_4589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590__FDSAUDITLINK__" hidden="1">{"fdsup://Directions/FactSet Auditing Viewer?action=AUDIT_VALUE&amp;DB=129&amp;ID1=00752J10&amp;VALUEID=02001&amp;SDATE=200701&amp;PERIODTYPE=QTR_STD&amp;SCFT=3&amp;window=popup_no_bar&amp;width=385&amp;height=120&amp;START_MAXIMIZED=FALSE&amp;creator=factset&amp;display_string=Audit"}</definedName>
    <definedName name="_4591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2__FDSAUDITLINK__" hidden="1">{"fdsup://Directions/FactSet Auditing Viewer?action=AUDIT_VALUE&amp;DB=129&amp;ID1=00752J10&amp;VALUEID=02001&amp;SDATE=200603&amp;PERIODTYPE=QTR_STD&amp;SCFT=3&amp;window=popup_no_bar&amp;width=385&amp;height=120&amp;START_MAXIMIZED=FALSE&amp;creator=factset&amp;display_string=Audit"}</definedName>
    <definedName name="_4593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4__FDSAUDITLINK__" hidden="1">{"fdsup://Directions/FactSet Auditing Viewer?action=AUDIT_VALUE&amp;DB=129&amp;ID1=00752J10&amp;VALUEID=02001&amp;SDATE=200602&amp;PERIODTYPE=QTR_STD&amp;SCFT=3&amp;window=popup_no_bar&amp;width=385&amp;height=120&amp;START_MAXIMIZED=FALSE&amp;creator=factset&amp;display_string=Audit"}</definedName>
    <definedName name="_4595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6__FDSAUDITLINK__" hidden="1">{"fdsup://Directions/FactSet Auditing Viewer?action=AUDIT_VALUE&amp;DB=129&amp;ID1=00752J10&amp;VALUEID=02001&amp;SDATE=200601&amp;PERIODTYPE=QTR_STD&amp;SCFT=3&amp;window=popup_no_bar&amp;width=385&amp;height=120&amp;START_MAXIMIZED=FALSE&amp;creator=factset&amp;display_string=Audit"}</definedName>
    <definedName name="_4597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8__FDSAUDITLINK__" hidden="1">{"fdsup://Directions/FactSet Auditing Viewer?action=AUDIT_VALUE&amp;DB=129&amp;ID1=00752J10&amp;VALUEID=02001&amp;SDATE=200503&amp;PERIODTYPE=QTR_STD&amp;SCFT=3&amp;window=popup_no_bar&amp;width=385&amp;height=120&amp;START_MAXIMIZED=FALSE&amp;creator=factset&amp;display_string=Audit"}</definedName>
    <definedName name="_4599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__FDSAUDITLINK__" hidden="1">{"fdsup://Directions/FactSet Auditing Viewer?action=AUDIT_VALUE&amp;DB=129&amp;ID1=73927610&amp;VALUEID=02001&amp;SDATE=201101&amp;PERIODTYPE=QTR_STD&amp;SCFT=3&amp;window=popup_no_bar&amp;width=385&amp;height=120&amp;START_MAXIMIZED=FALSE&amp;creator=factset&amp;display_string=Audit"}</definedName>
    <definedName name="_460__FDSAUDITLINK__" hidden="1">{"fdsup://Directions/FactSet Auditing Viewer?action=AUDIT_VALUE&amp;DB=129&amp;ID1=G7945M10&amp;VALUEID=02001&amp;SDATE=201004&amp;PERIODTYPE=QTR_STD&amp;SCFT=3&amp;window=popup_no_bar&amp;width=385&amp;height=120&amp;START_MAXIMIZED=FALSE&amp;creator=factset&amp;display_string=Audit"}</definedName>
    <definedName name="_4600__FDSAUDITLINK__" hidden="1">{"fdsup://Directions/FactSet Auditing Viewer?action=AUDIT_VALUE&amp;DB=129&amp;ID1=00752J10&amp;VALUEID=02001&amp;SDATE=200502&amp;PERIODTYPE=QTR_STD&amp;SCFT=3&amp;window=popup_no_bar&amp;width=385&amp;height=120&amp;START_MAXIMIZED=FALSE&amp;creator=factset&amp;display_string=Audit"}</definedName>
    <definedName name="_4601__FDSAUDITLINK__" hidden="1">{"fdsup://Directions/FactSet Auditing Viewer?action=AUDIT_VALUE&amp;DB=129&amp;ID1=03265410&amp;VALUEID=02001&amp;SDATE=201102&amp;PERIODTYPE=QTR_STD&amp;SCFT=3&amp;window=popup_no_bar&amp;width=385&amp;height=120&amp;START_MAXIMIZED=FALSE&amp;creator=factset&amp;display_string=Audit"}</definedName>
    <definedName name="_4602__FDSAUDITLINK__" hidden="1">{"fdsup://Directions/FactSet Auditing Viewer?action=AUDIT_VALUE&amp;DB=129&amp;ID1=03265410&amp;VALUEID=05194&amp;SDATE=201102&amp;PERIODTYPE=QTR_STD&amp;SCFT=3&amp;window=popup_no_bar&amp;width=385&amp;height=120&amp;START_MAXIMIZED=FALSE&amp;creator=factset&amp;display_string=Audit"}</definedName>
    <definedName name="_4603__FDSAUDITLINK__" hidden="1">{"fdsup://Directions/FactSet Auditing Viewer?action=AUDIT_VALUE&amp;DB=129&amp;ID1=74752510&amp;VALUEID=02001&amp;SDATE=201102&amp;PERIODTYPE=QTR_STD&amp;SCFT=3&amp;window=popup_no_bar&amp;width=385&amp;height=120&amp;START_MAXIMIZED=FALSE&amp;creator=factset&amp;display_string=Audit"}</definedName>
    <definedName name="_4604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4605__FDSAUDITLINK__" hidden="1">{"fdsup://Directions/FactSet Auditing Viewer?action=AUDIT_VALUE&amp;DB=129&amp;ID1=74752510&amp;VALUEID=05194&amp;SDATE=201102&amp;PERIODTYPE=QTR_STD&amp;SCFT=3&amp;window=popup_no_bar&amp;width=385&amp;height=120&amp;START_MAXIMIZED=FALSE&amp;creator=factset&amp;display_string=Audit"}</definedName>
    <definedName name="_4606__FDSAUDITLINK__" hidden="1">{"fdsup://Directions/FactSet Auditing Viewer?action=AUDIT_VALUE&amp;DB=129&amp;ID1=67066G10&amp;VALUEID=05194&amp;SDATE=201101&amp;PERIODTYPE=QTR_STD&amp;SCFT=3&amp;window=popup_no_bar&amp;width=385&amp;height=120&amp;START_MAXIMIZED=FALSE&amp;creator=factset&amp;display_string=Audit"}</definedName>
    <definedName name="_4607__FDSAUDITLINK__" hidden="1">{"fdsup://Directions/FactSet Auditing Viewer?action=AUDIT_VALUE&amp;DB=129&amp;ID1=637248&amp;VALUEID=02001&amp;SDATE=201101&amp;PERIODTYPE=QTR_STD&amp;SCFT=3&amp;window=popup_no_bar&amp;width=385&amp;height=120&amp;START_MAXIMIZED=FALSE&amp;creator=factset&amp;display_string=Audit"}</definedName>
    <definedName name="_4608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4609__FDSAUDITLINK__" hidden="1">{"fdsup://Directions/FactSet Auditing Viewer?action=AUDIT_VALUE&amp;DB=129&amp;ID1=45814010&amp;VALUEID=05194&amp;SDATE=201101&amp;PERIODTYPE=QTR_STD&amp;SCFT=3&amp;window=popup_no_bar&amp;width=385&amp;height=120&amp;START_MAXIMIZED=FALSE&amp;creator=factset&amp;display_string=Audit"}</definedName>
    <definedName name="_461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2__FDSAUDITLINK__" hidden="1">{"fdsup://Directions/FactSet Auditing Viewer?action=AUDIT_VALUE&amp;DB=129&amp;ID1=78477410&amp;VALUEID=02001&amp;SDATE=201002&amp;PERIODTYPE=QTR_STD&amp;SCFT=3&amp;window=popup_no_bar&amp;width=385&amp;height=120&amp;START_MAXIMIZED=FALSE&amp;creator=factset&amp;display_string=Audit"}</definedName>
    <definedName name="_463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4__FDSAUDITLINK__" hidden="1">{"fdsup://Directions/FactSet Auditing Viewer?action=AUDIT_VALUE&amp;DB=129&amp;ID1=87160710&amp;VALUEID=02001&amp;SDATE=201003&amp;PERIODTYPE=QTR_STD&amp;SCFT=3&amp;window=popup_no_bar&amp;width=385&amp;height=120&amp;START_MAXIMIZED=FALSE&amp;creator=factset&amp;display_string=Audit"}</definedName>
    <definedName name="_465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6__FDSAUDITLINK__" hidden="1">{"fdsup://Directions/FactSet Auditing Viewer?action=AUDIT_VALUE&amp;DB=129&amp;ID1=80004C10&amp;VALUEID=02001&amp;SDATE=201002&amp;PERIODTYPE=QTR_STD&amp;SCFT=3&amp;window=popup_no_bar&amp;width=385&amp;height=120&amp;START_MAXIMIZED=FALSE&amp;creator=factset&amp;display_string=Audit"}</definedName>
    <definedName name="_467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8__FDSAUDITLINK__" hidden="1">{"fdsup://Directions/FactSet Auditing Viewer?action=AUDIT_VALUE&amp;DB=129&amp;ID1=81685010&amp;VALUEID=02001&amp;SDATE=201002&amp;PERIODTYPE=QTR_STD&amp;SCFT=3&amp;window=popup_no_bar&amp;width=385&amp;height=120&amp;START_MAXIMIZED=FALSE&amp;creator=factset&amp;display_string=Audit"}</definedName>
    <definedName name="_469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70__FDSAUDITLINK__" hidden="1">{"fdsup://Directions/FactSet Auditing Viewer?action=AUDIT_VALUE&amp;DB=129&amp;ID1=82691910&amp;VALUEID=02001&amp;SDATE=201002&amp;PERIODTYPE=QTR_STD&amp;SCFT=3&amp;window=popup_no_bar&amp;width=385&amp;height=120&amp;START_MAXIMIZED=FALSE&amp;creator=factset&amp;display_string=Audit"}</definedName>
    <definedName name="_471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2__FDSAUDITLINK__" hidden="1">{"fdsup://Directions/FactSet Auditing Viewer?action=AUDIT_VALUE&amp;DB=129&amp;ID1=82705T10&amp;VALUEID=02001&amp;SDATE=201002&amp;PERIODTYPE=QTR_STD&amp;SCFT=3&amp;window=popup_no_bar&amp;width=385&amp;height=120&amp;START_MAXIMIZED=FALSE&amp;creator=factset&amp;display_string=Audit"}</definedName>
    <definedName name="_473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4__FDSAUDITLINK__" hidden="1">{"fdsup://Directions/FactSet Auditing Viewer?action=AUDIT_VALUE&amp;DB=129&amp;ID1=75091710&amp;VALUEID=02001&amp;SDATE=201002&amp;PERIODTYPE=QTR_STD&amp;SCFT=3&amp;window=popup_no_bar&amp;width=385&amp;height=120&amp;START_MAXIMIZED=FALSE&amp;creator=factset&amp;display_string=Audit"}</definedName>
    <definedName name="_475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6__FDSAUDITLINK__" hidden="1">{"fdsup://Directions/FactSet Auditing Viewer?action=AUDIT_VALUE&amp;DB=129&amp;ID1=74994110&amp;VALUEID=02001&amp;SDATE=201001&amp;PERIODTYPE=QTR_STD&amp;SCFT=3&amp;window=popup_no_bar&amp;width=385&amp;height=120&amp;START_MAXIMIZED=FALSE&amp;creator=factset&amp;display_string=Audit"}</definedName>
    <definedName name="_477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8__FDSAUDITLINK__" hidden="1">{"fdsup://Directions/FactSet Auditing Viewer?action=AUDIT_VALUE&amp;DB=129&amp;ID1=74727710&amp;VALUEID=02001&amp;SDATE=201001&amp;PERIODTYPE=QTR_STD&amp;SCFT=3&amp;window=popup_no_bar&amp;width=385&amp;height=120&amp;START_MAXIMIZED=FALSE&amp;creator=factset&amp;display_string=Audit"}</definedName>
    <definedName name="_479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__FDSAUDITLINK__" hidden="1">{"fdsup://Directions/FactSet Auditing Viewer?action=AUDIT_VALUE&amp;DB=129&amp;ID1=69344F10&amp;VALUEID=02001&amp;SDATE=201101&amp;PERIODTYPE=QTR_STD&amp;SCFT=3&amp;window=popup_no_bar&amp;width=385&amp;height=120&amp;START_MAXIMIZED=FALSE&amp;creator=factset&amp;display_string=Audit"}</definedName>
    <definedName name="_480__FDSAUDITLINK__" hidden="1">{"fdsup://Directions/FactSet Auditing Viewer?action=AUDIT_VALUE&amp;DB=129&amp;ID1=74752510&amp;VALUEID=02001&amp;SDATE=201003&amp;PERIODTYPE=QTR_STD&amp;SCFT=3&amp;window=popup_no_bar&amp;width=385&amp;height=120&amp;START_MAXIMIZED=FALSE&amp;creator=factset&amp;display_string=Audit"}</definedName>
    <definedName name="_481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2__FDSAUDITLINK__" hidden="1">{"fdsup://Directions/FactSet Auditing Viewer?action=AUDIT_VALUE&amp;DB=129&amp;ID1=72581M30&amp;VALUEID=02001&amp;SDATE=201002&amp;PERIODTYPE=QTR_STD&amp;SCFT=3&amp;window=popup_no_bar&amp;width=385&amp;height=120&amp;START_MAXIMIZED=FALSE&amp;creator=factset&amp;display_string=Audit"}</definedName>
    <definedName name="_483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4__FDSAUDITLINK__" hidden="1">{"fdsup://Directions/FactSet Auditing Viewer?action=AUDIT_VALUE&amp;DB=129&amp;ID1=73927610&amp;VALUEID=02001&amp;SDATE=201002&amp;PERIODTYPE=QTR_STD&amp;SCFT=3&amp;window=popup_no_bar&amp;width=385&amp;height=120&amp;START_MAXIMIZED=FALSE&amp;creator=factset&amp;display_string=Audit"}</definedName>
    <definedName name="_485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6__FDSAUDITLINK__" hidden="1">{"fdsup://Directions/FactSet Auditing Viewer?action=AUDIT_VALUE&amp;DB=129&amp;ID1=69344F10&amp;VALUEID=02001&amp;SDATE=201002&amp;PERIODTYPE=QTR_STD&amp;SCFT=3&amp;window=popup_no_bar&amp;width=385&amp;height=120&amp;START_MAXIMIZED=FALSE&amp;creator=factset&amp;display_string=Audit"}</definedName>
    <definedName name="_487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8__FDSAUDITLINK__" hidden="1">{"fdsup://Directions/FactSet Auditing Viewer?action=AUDIT_VALUE&amp;DB=129&amp;ID1=69341710&amp;VALUEID=02001&amp;SDATE=201002&amp;PERIODTYPE=QTR_STD&amp;SCFT=3&amp;window=popup_no_bar&amp;width=385&amp;height=120&amp;START_MAXIMIZED=FALSE&amp;creator=factset&amp;display_string=Audit"}</definedName>
    <definedName name="_489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490__FDSAUDITLINK__" hidden="1">{"fdsup://Directions/FactSet Auditing Viewer?action=AUDIT_VALUE&amp;DB=129&amp;ID1=68218910&amp;VALUEID=02001&amp;SDATE=201002&amp;PERIODTYPE=QTR_STD&amp;SCFT=3&amp;window=popup_no_bar&amp;width=385&amp;height=120&amp;START_MAXIMIZED=FALSE&amp;creator=factset&amp;display_string=Audit"}</definedName>
    <definedName name="_491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2__FDSAUDITLINK__" hidden="1">{"fdsup://Directions/FactSet Auditing Viewer?action=AUDIT_VALUE&amp;DB=129&amp;ID1=B505PN&amp;VALUEID=02001&amp;SDATE=201002&amp;PERIODTYPE=QTR_STD&amp;SCFT=3&amp;window=popup_no_bar&amp;width=385&amp;height=120&amp;START_MAXIMIZED=FALSE&amp;creator=factset&amp;display_string=Audit"}</definedName>
    <definedName name="_493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4__FDSAUDITLINK__" hidden="1">{"fdsup://Directions/FactSet Auditing Viewer?action=AUDIT_VALUE&amp;DB=129&amp;ID1=67000810&amp;VALUEID=02001&amp;SDATE=201002&amp;PERIODTYPE=QTR_STD&amp;SCFT=3&amp;window=popup_no_bar&amp;width=385&amp;height=120&amp;START_MAXIMIZED=FALSE&amp;creator=factset&amp;display_string=Audit"}</definedName>
    <definedName name="_495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6__FDSAUDITLINK__" hidden="1">{"fdsup://Directions/FactSet Auditing Viewer?action=AUDIT_VALUE&amp;DB=129&amp;ID1=67066G10&amp;VALUEID=02001&amp;SDATE=201002&amp;PERIODTYPE=QTR_STD&amp;SCFT=3&amp;window=popup_no_bar&amp;width=385&amp;height=120&amp;START_MAXIMIZED=FALSE&amp;creator=factset&amp;display_string=Audit"}</definedName>
    <definedName name="_497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8__FDSAUDITLINK__" hidden="1">{"fdsup://Directions/FactSet Auditing Viewer?action=AUDIT_VALUE&amp;DB=129&amp;ID1=64118B10&amp;VALUEID=02001&amp;SDATE=201002&amp;PERIODTYPE=QTR_STD&amp;SCFT=3&amp;window=popup_no_bar&amp;width=385&amp;height=120&amp;START_MAXIMIZED=FALSE&amp;creator=factset&amp;display_string=Audit"}</definedName>
    <definedName name="_499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__FDSAUDITLINK__" hidden="1">{"fdsup://Directions/FactSet Auditing Viewer?action=AUDIT_VALUE&amp;DB=129&amp;ID1=637248&amp;VALUEID=02001&amp;SDATE=201102&amp;PERIODTYPE=QTR_STD&amp;SCFT=3&amp;window=popup_no_bar&amp;width=385&amp;height=120&amp;START_MAXIMIZED=FALSE&amp;creator=factset&amp;display_string=Audit"}</definedName>
    <definedName name="_50__FDSAUDITLINK__" hidden="1">{"fdsup://Directions/FactSet Auditing Viewer?action=AUDIT_VALUE&amp;DB=129&amp;ID1=69341710&amp;VALUEID=02001&amp;SDATE=201101&amp;PERIODTYPE=QTR_STD&amp;SCFT=3&amp;window=popup_no_bar&amp;width=385&amp;height=120&amp;START_MAXIMIZED=FALSE&amp;creator=factset&amp;display_string=Audit"}</definedName>
    <definedName name="_500__FDSAUDITLINK__" hidden="1">{"fdsup://Directions/FactSet Auditing Viewer?action=AUDIT_VALUE&amp;DB=129&amp;ID1=57772K10&amp;VALUEID=02001&amp;SDATE=201004&amp;PERIODTYPE=QTR_STD&amp;SCFT=3&amp;window=popup_no_bar&amp;width=385&amp;height=120&amp;START_MAXIMIZED=FALSE&amp;creator=factset&amp;display_string=Audit"}</definedName>
    <definedName name="_501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2__FDSAUDITLINK__" hidden="1">{"fdsup://Directions/FactSet Auditing Viewer?action=AUDIT_VALUE&amp;DB=129&amp;ID1=59511210&amp;VALUEID=02001&amp;SDATE=201003&amp;PERIODTYPE=QTR_STD&amp;SCFT=3&amp;window=popup_no_bar&amp;width=385&amp;height=120&amp;START_MAXIMIZED=FALSE&amp;creator=factset&amp;display_string=Audit"}</definedName>
    <definedName name="_503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4__FDSAUDITLINK__" hidden="1">{"fdsup://Directions/FactSet Auditing Viewer?action=AUDIT_VALUE&amp;DB=129&amp;ID1=59513710&amp;VALUEID=02001&amp;SDATE=201003&amp;PERIODTYPE=QTR_STD&amp;SCFT=3&amp;window=popup_no_bar&amp;width=385&amp;height=120&amp;START_MAXIMIZED=FALSE&amp;creator=factset&amp;display_string=Audit"}</definedName>
    <definedName name="_505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6__FDSAUDITLINK__" hidden="1">{"fdsup://Directions/FactSet Auditing Viewer?action=AUDIT_VALUE&amp;DB=129&amp;ID1=G5876H10&amp;VALUEID=02001&amp;SDATE=201002&amp;PERIODTYPE=QTR_STD&amp;SCFT=3&amp;window=popup_no_bar&amp;width=385&amp;height=120&amp;START_MAXIMIZED=FALSE&amp;creator=factset&amp;display_string=Audit"}</definedName>
    <definedName name="_507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8__FDSAUDITLINK__" hidden="1">{"fdsup://Directions/FactSet Auditing Viewer?action=AUDIT_VALUE&amp;DB=129&amp;ID1=62007630&amp;VALUEID=02001&amp;SDATE=201002&amp;PERIODTYPE=QTR_STD&amp;SCFT=3&amp;window=popup_no_bar&amp;width=385&amp;height=120&amp;START_MAXIMIZED=FALSE&amp;creator=factset&amp;display_string=Audit"}</definedName>
    <definedName name="_509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10__FDSAUDITLINK__" hidden="1">{"fdsup://Directions/FactSet Auditing Viewer?action=AUDIT_VALUE&amp;DB=129&amp;ID1=60456710&amp;VALUEID=02001&amp;SDATE=201004&amp;PERIODTYPE=QTR_STD&amp;SCFT=3&amp;window=popup_no_bar&amp;width=385&amp;height=120&amp;START_MAXIMIZED=FALSE&amp;creator=factset&amp;display_string=Audit"}</definedName>
    <definedName name="_511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2__FDSAUDITLINK__" hidden="1">{"fdsup://Directions/FactSet Auditing Viewer?action=AUDIT_VALUE&amp;DB=129&amp;ID1=59479310&amp;VALUEID=02001&amp;SDATE=201002&amp;PERIODTYPE=QTR_STD&amp;SCFT=3&amp;window=popup_no_bar&amp;width=385&amp;height=120&amp;START_MAXIMIZED=FALSE&amp;creator=factset&amp;display_string=Audit"}</definedName>
    <definedName name="_513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4__FDSAUDITLINK__" hidden="1">{"fdsup://Directions/FactSet Auditing Viewer?action=AUDIT_VALUE&amp;DB=129&amp;ID1=59501710&amp;VALUEID=02001&amp;SDATE=201001&amp;PERIODTYPE=QTR_STD&amp;SCFT=3&amp;window=popup_no_bar&amp;width=385&amp;height=120&amp;START_MAXIMIZED=FALSE&amp;creator=factset&amp;display_string=Audit"}</definedName>
    <definedName name="_515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6__FDSAUDITLINK__" hidden="1">{"fdsup://Directions/FactSet Auditing Viewer?action=AUDIT_VALUE&amp;DB=129&amp;ID1=50216110&amp;VALUEID=02001&amp;SDATE=201002&amp;PERIODTYPE=QTR_STD&amp;SCFT=3&amp;window=popup_no_bar&amp;width=385&amp;height=120&amp;START_MAXIMIZED=FALSE&amp;creator=factset&amp;display_string=Audit"}</definedName>
    <definedName name="_517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8__FDSAUDITLINK__" hidden="1">{"fdsup://Directions/FactSet Auditing Viewer?action=AUDIT_VALUE&amp;DB=129&amp;ID1=51841510&amp;VALUEID=02001&amp;SDATE=201002&amp;PERIODTYPE=QTR_STD&amp;SCFT=3&amp;window=popup_no_bar&amp;width=385&amp;height=120&amp;START_MAXIMIZED=FALSE&amp;creator=factset&amp;display_string=Audit"}</definedName>
    <definedName name="_519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__FDSAUDITLINK__" hidden="1">{"fdsup://Directions/FactSet Auditing Viewer?action=AUDIT_VALUE&amp;DB=129&amp;ID1=68218910&amp;VALUEID=02001&amp;SDATE=201101&amp;PERIODTYPE=QTR_STD&amp;SCFT=3&amp;window=popup_no_bar&amp;width=385&amp;height=120&amp;START_MAXIMIZED=FALSE&amp;creator=factset&amp;display_string=Audit"}</definedName>
    <definedName name="_520__FDSAUDITLINK__" hidden="1">{"fdsup://Directions/FactSet Auditing Viewer?action=AUDIT_VALUE&amp;DB=129&amp;ID1=51280710&amp;VALUEID=02001&amp;SDATE=201004&amp;PERIODTYPE=QTR_STD&amp;SCFT=3&amp;window=popup_no_bar&amp;width=385&amp;height=120&amp;START_MAXIMIZED=FALSE&amp;creator=factset&amp;display_string=Audit"}</definedName>
    <definedName name="_521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2__FDSAUDITLINK__" hidden="1">{"fdsup://Directions/FactSet Auditing Viewer?action=AUDIT_VALUE&amp;DB=129&amp;ID1=53567810&amp;VALUEID=02001&amp;SDATE=201004&amp;PERIODTYPE=QTR_STD&amp;SCFT=3&amp;window=popup_no_bar&amp;width=385&amp;height=120&amp;START_MAXIMIZED=FALSE&amp;creator=factset&amp;display_string=Audit"}</definedName>
    <definedName name="_523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4__FDSAUDITLINK__" hidden="1">{"fdsup://Directions/FactSet Auditing Viewer?action=AUDIT_VALUE&amp;DB=129&amp;ID1=48248010&amp;VALUEID=02001&amp;SDATE=201004&amp;PERIODTYPE=QTR_STD&amp;SCFT=3&amp;window=popup_no_bar&amp;width=385&amp;height=120&amp;START_MAXIMIZED=FALSE&amp;creator=factset&amp;display_string=Audit"}</definedName>
    <definedName name="_525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6__FDSAUDITLINK__" hidden="1">{"fdsup://Directions/FactSet Auditing Viewer?action=AUDIT_VALUE&amp;DB=129&amp;ID1=48836020&amp;VALUEID=02001&amp;SDATE=201001&amp;PERIODTYPE=QTR_STD&amp;SCFT=3&amp;window=popup_no_bar&amp;width=385&amp;height=120&amp;START_MAXIMIZED=FALSE&amp;creator=factset&amp;display_string=Audit"}</definedName>
    <definedName name="_527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8__FDSAUDITLINK__" hidden="1">{"fdsup://Directions/FactSet Auditing Viewer?action=AUDIT_VALUE&amp;DB=129&amp;ID1=48203R10&amp;VALUEID=02001&amp;SDATE=201002&amp;PERIODTYPE=QTR_STD&amp;SCFT=3&amp;window=popup_no_bar&amp;width=385&amp;height=120&amp;START_MAXIMIZED=FALSE&amp;creator=factset&amp;display_string=Audit"}</definedName>
    <definedName name="_529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30__FDSAUDITLINK__" hidden="1">{"fdsup://Directions/FactSet Auditing Viewer?action=AUDIT_VALUE&amp;DB=129&amp;ID1=46069S10&amp;VALUEID=02001&amp;SDATE=201002&amp;PERIODTYPE=QTR_STD&amp;SCFT=3&amp;window=popup_no_bar&amp;width=385&amp;height=120&amp;START_MAXIMIZED=FALSE&amp;creator=factset&amp;display_string=Audit"}</definedName>
    <definedName name="_531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2__FDSAUDITLINK__" hidden="1">{"fdsup://Directions/FactSet Auditing Viewer?action=AUDIT_VALUE&amp;DB=129&amp;ID1=46025410&amp;VALUEID=02001&amp;SDATE=201004&amp;PERIODTYPE=QTR_STD&amp;SCFT=3&amp;window=popup_no_bar&amp;width=385&amp;height=120&amp;START_MAXIMIZED=FALSE&amp;creator=factset&amp;display_string=Audit"}</definedName>
    <definedName name="_533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4__FDSAUDITLINK__" hidden="1">{"fdsup://Directions/FactSet Auditing Viewer?action=AUDIT_VALUE&amp;DB=129&amp;ID1=45814010&amp;VALUEID=02001&amp;SDATE=201002&amp;PERIODTYPE=QTR_STD&amp;SCFT=3&amp;window=popup_no_bar&amp;width=385&amp;height=120&amp;START_MAXIMIZED=FALSE&amp;creator=factset&amp;display_string=Audit"}</definedName>
    <definedName name="_535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6__FDSAUDITLINK__" hidden="1">{"fdsup://Directions/FactSet Auditing Viewer?action=AUDIT_VALUE&amp;DB=129&amp;ID1=45811810&amp;VALUEID=02001&amp;SDATE=201001&amp;PERIODTYPE=QTR_STD&amp;SCFT=3&amp;window=popup_no_bar&amp;width=385&amp;height=120&amp;START_MAXIMIZED=FALSE&amp;creator=factset&amp;display_string=Audit"}</definedName>
    <definedName name="_537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8__FDSAUDITLINK__" hidden="1">{"fdsup://Directions/FactSet Auditing Viewer?action=AUDIT_VALUE&amp;DB=129&amp;ID1=42823610&amp;VALUEID=02001&amp;SDATE=201003&amp;PERIODTYPE=QTR_STD&amp;SCFT=3&amp;window=popup_no_bar&amp;width=385&amp;height=120&amp;START_MAXIMIZED=FALSE&amp;creator=factset&amp;display_string=Audit"}</definedName>
    <definedName name="_539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__FDSAUDITLINK__" hidden="1">{"fdsup://Directions/FactSet Auditing Viewer?action=AUDIT_VALUE&amp;DB=129&amp;ID1=B505PN&amp;VALUEID=02001&amp;SDATE=201101&amp;PERIODTYPE=QTR_STD&amp;SCFT=3&amp;window=popup_no_bar&amp;width=385&amp;height=120&amp;START_MAXIMIZED=FALSE&amp;creator=factset&amp;display_string=Audit"}</definedName>
    <definedName name="_540__FDSAUDITLINK__" hidden="1">{"fdsup://Directions/FactSet Auditing Viewer?action=AUDIT_VALUE&amp;DB=129&amp;ID1=H2906T10&amp;VALUEID=02001&amp;SDATE=201002&amp;PERIODTYPE=QTR_STD&amp;SCFT=3&amp;window=popup_no_bar&amp;width=385&amp;height=120&amp;START_MAXIMIZED=FALSE&amp;creator=factset&amp;display_string=Audit"}</definedName>
    <definedName name="_541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2__FDSAUDITLINK__" hidden="1">{"fdsup://Directions/FactSet Auditing Viewer?action=AUDIT_VALUE&amp;DB=129&amp;ID1=34637510&amp;VALUEID=02001&amp;SDATE=201002&amp;PERIODTYPE=QTR_STD&amp;SCFT=3&amp;window=popup_no_bar&amp;width=385&amp;height=120&amp;START_MAXIMIZED=FALSE&amp;creator=factset&amp;display_string=Audit"}</definedName>
    <definedName name="_543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4__FDSAUDITLINK__" hidden="1">{"fdsup://Directions/FactSet Auditing Viewer?action=AUDIT_VALUE&amp;DB=129&amp;ID1=31561610&amp;VALUEID=02001&amp;SDATE=201003&amp;PERIODTYPE=QTR_STD&amp;SCFT=3&amp;window=popup_no_bar&amp;width=385&amp;height=120&amp;START_MAXIMIZED=FALSE&amp;creator=factset&amp;display_string=Audit"}</definedName>
    <definedName name="_545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6__FDSAUDITLINK__" hidden="1">{"fdsup://Directions/FactSet Auditing Viewer?action=AUDIT_VALUE&amp;DB=129&amp;ID1=29247520&amp;VALUEID=02001&amp;SDATE=201004&amp;PERIODTYPE=QTR_STD&amp;SCFT=3&amp;window=popup_no_bar&amp;width=385&amp;height=120&amp;START_MAXIMIZED=FALSE&amp;creator=factset&amp;display_string=Audit"}</definedName>
    <definedName name="_547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8__FDSAUDITLINK__" hidden="1">{"fdsup://Directions/FactSet Auditing Viewer?action=AUDIT_VALUE&amp;DB=129&amp;ID1=25454310&amp;VALUEID=02001&amp;SDATE=201002&amp;PERIODTYPE=QTR_STD&amp;SCFT=3&amp;window=popup_no_bar&amp;width=385&amp;height=120&amp;START_MAXIMIZED=FALSE&amp;creator=factset&amp;display_string=Audit"}</definedName>
    <definedName name="_549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50__FDSAUDITLINK__" hidden="1">{"fdsup://Directions/FactSet Auditing Viewer?action=AUDIT_VALUE&amp;DB=129&amp;ID1=24702R10&amp;VALUEID=02001&amp;SDATE=201002&amp;PERIODTYPE=QTR_STD&amp;SCFT=3&amp;window=popup_no_bar&amp;width=385&amp;height=120&amp;START_MAXIMIZED=FALSE&amp;creator=factset&amp;display_string=Audit"}</definedName>
    <definedName name="_551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2__FDSAUDITLINK__" hidden="1">{"fdsup://Directions/FactSet Auditing Viewer?action=AUDIT_VALUE&amp;DB=129&amp;ID1=23257210&amp;VALUEID=02001&amp;SDATE=201002&amp;PERIODTYPE=QTR_STD&amp;SCFT=3&amp;window=popup_no_bar&amp;width=385&amp;height=120&amp;START_MAXIMIZED=FALSE&amp;creator=factset&amp;display_string=Audit"}</definedName>
    <definedName name="_553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4__FDSAUDITLINK__" hidden="1">{"fdsup://Directions/FactSet Auditing Viewer?action=AUDIT_VALUE&amp;DB=129&amp;ID1=23280610&amp;VALUEID=02001&amp;SDATE=201002&amp;PERIODTYPE=QTR_STD&amp;SCFT=3&amp;window=popup_no_bar&amp;width=385&amp;height=120&amp;START_MAXIMIZED=FALSE&amp;creator=factset&amp;display_string=Audit"}</definedName>
    <definedName name="_555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6__FDSAUDITLINK__" hidden="1">{"fdsup://Directions/FactSet Auditing Viewer?action=AUDIT_VALUE&amp;DB=129&amp;ID1=17275R10&amp;VALUEID=02001&amp;SDATE=201004&amp;PERIODTYPE=QTR_STD&amp;SCFT=3&amp;window=popup_no_bar&amp;width=385&amp;height=120&amp;START_MAXIMIZED=FALSE&amp;creator=factset&amp;display_string=Audit"}</definedName>
    <definedName name="_557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8__FDSAUDITLINK__" hidden="1">{"fdsup://Directions/FactSet Auditing Viewer?action=AUDIT_VALUE&amp;DB=129&amp;ID1=22544710&amp;VALUEID=02001&amp;SDATE=201004&amp;PERIODTYPE=QTR_STD&amp;SCFT=3&amp;window=popup_no_bar&amp;width=385&amp;height=120&amp;START_MAXIMIZED=FALSE&amp;creator=factset&amp;display_string=Audit"}</definedName>
    <definedName name="_559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__FDSAUDITLINK__" hidden="1">{"fdsup://Directions/FactSet Auditing Viewer?action=AUDIT_VALUE&amp;DB=129&amp;ID1=67000810&amp;VALUEID=02001&amp;SDATE=201101&amp;PERIODTYPE=QTR_STD&amp;SCFT=3&amp;window=popup_no_bar&amp;width=385&amp;height=120&amp;START_MAXIMIZED=FALSE&amp;creator=factset&amp;display_string=Audit"}</definedName>
    <definedName name="_560__FDSAUDITLINK__" hidden="1">{"fdsup://Directions/FactSet Auditing Viewer?action=AUDIT_VALUE&amp;DB=129&amp;ID1=20714230&amp;VALUEID=02001&amp;SDATE=201003&amp;PERIODTYPE=QTR_STD&amp;SCFT=3&amp;window=popup_no_bar&amp;width=385&amp;height=120&amp;START_MAXIMIZED=FALSE&amp;creator=factset&amp;display_string=Audit"}</definedName>
    <definedName name="_561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2__FDSAUDITLINK__" hidden="1">{"fdsup://Directions/FactSet Auditing Viewer?action=AUDIT_VALUE&amp;DB=129&amp;ID1=12738710&amp;VALUEID=02001&amp;SDATE=201002&amp;PERIODTYPE=QTR_STD&amp;SCFT=3&amp;window=popup_no_bar&amp;width=385&amp;height=120&amp;START_MAXIMIZED=FALSE&amp;creator=factset&amp;display_string=Audit"}</definedName>
    <definedName name="_563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4__FDSAUDITLINK__" hidden="1">{"fdsup://Directions/FactSet Auditing Viewer?action=AUDIT_VALUE&amp;DB=129&amp;ID1=14964U10&amp;VALUEID=02001&amp;SDATE=201002&amp;PERIODTYPE=QTR_STD&amp;SCFT=3&amp;window=popup_no_bar&amp;width=385&amp;height=120&amp;START_MAXIMIZED=FALSE&amp;creator=factset&amp;display_string=Audit"}</definedName>
    <definedName name="_565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6__FDSAUDITLINK__" hidden="1">{"fdsup://Directions/FactSet Auditing Viewer?action=AUDIT_VALUE&amp;DB=129&amp;ID1=11162130&amp;VALUEID=02001&amp;SDATE=201003&amp;PERIODTYPE=QTR_STD&amp;SCFT=3&amp;window=popup_no_bar&amp;width=385&amp;height=120&amp;START_MAXIMIZED=FALSE&amp;creator=factset&amp;display_string=Audit"}</definedName>
    <definedName name="_567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8__FDSAUDITLINK__" hidden="1">{"fdsup://Directions/FactSet Auditing Viewer?action=AUDIT_VALUE&amp;DB=129&amp;ID1=Y0486S10&amp;VALUEID=02001&amp;SDATE=201003&amp;PERIODTYPE=QTR_STD&amp;SCFT=3&amp;window=popup_no_bar&amp;width=385&amp;height=120&amp;START_MAXIMIZED=FALSE&amp;creator=factset&amp;display_string=Audit"}</definedName>
    <definedName name="_569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70__FDSAUDITLINK__" hidden="1">{"fdsup://Directions/FactSet Auditing Viewer?action=AUDIT_VALUE&amp;DB=129&amp;ID1=04743P10&amp;VALUEID=02001&amp;SDATE=201002&amp;PERIODTYPE=QTR_STD&amp;SCFT=3&amp;window=popup_no_bar&amp;width=385&amp;height=120&amp;START_MAXIMIZED=FALSE&amp;creator=factset&amp;display_string=Audit"}</definedName>
    <definedName name="_571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2__FDSAUDITLINK__" hidden="1">{"fdsup://Directions/FactSet Auditing Viewer?action=AUDIT_VALUE&amp;DB=129&amp;ID1=03251510&amp;VALUEID=02001&amp;SDATE=201002&amp;PERIODTYPE=QTR_STD&amp;SCFT=3&amp;window=popup_no_bar&amp;width=385&amp;height=120&amp;START_MAXIMIZED=FALSE&amp;creator=factset&amp;display_string=Audit"}</definedName>
    <definedName name="_573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4__FDSAUDITLINK__" hidden="1">{"fdsup://Directions/FactSet Auditing Viewer?action=AUDIT_VALUE&amp;DB=129&amp;ID1=00790310&amp;VALUEID=02001&amp;SDATE=201002&amp;PERIODTYPE=QTR_STD&amp;SCFT=3&amp;window=popup_no_bar&amp;width=385&amp;height=120&amp;START_MAXIMIZED=FALSE&amp;creator=factset&amp;display_string=Audit"}</definedName>
    <definedName name="_575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6__FDSAUDITLINK__" hidden="1">{"fdsup://Directions/FactSet Auditing Viewer?action=AUDIT_VALUE&amp;DB=129&amp;ID1=03822W40&amp;VALUEID=02001&amp;SDATE=201001&amp;PERIODTYPE=QTR_STD&amp;SCFT=3&amp;window=popup_no_bar&amp;width=385&amp;height=120&amp;START_MAXIMIZED=FALSE&amp;creator=factset&amp;display_string=Audit"}</definedName>
    <definedName name="_577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8__FDSAUDITLINK__" hidden="1">{"fdsup://Directions/FactSet Auditing Viewer?action=AUDIT_VALUE&amp;DB=129&amp;ID1=03822210&amp;VALUEID=02001&amp;SDATE=201003&amp;PERIODTYPE=QTR_STD&amp;SCFT=3&amp;window=popup_no_bar&amp;width=385&amp;height=120&amp;START_MAXIMIZED=FALSE&amp;creator=factset&amp;display_string=Audit"}</definedName>
    <definedName name="_579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__FDSAUDITLINK__" hidden="1">{"fdsup://Directions/FactSet Auditing Viewer?action=AUDIT_VALUE&amp;DB=129&amp;ID1=67066G10&amp;VALUEID=02001&amp;SDATE=201101&amp;PERIODTYPE=QTR_STD&amp;SCFT=3&amp;window=popup_no_bar&amp;width=385&amp;height=120&amp;START_MAXIMIZED=FALSE&amp;creator=factset&amp;display_string=Audit"}</definedName>
    <definedName name="_580__FDSAUDITLINK__" hidden="1">{"fdsup://Directions/FactSet Auditing Viewer?action=AUDIT_VALUE&amp;DB=129&amp;ID1=02144110&amp;VALUEID=02001&amp;SDATE=201002&amp;PERIODTYPE=QTR_STD&amp;SCFT=3&amp;window=popup_no_bar&amp;width=385&amp;height=120&amp;START_MAXIMIZED=FALSE&amp;creator=factset&amp;display_string=Audit"}</definedName>
    <definedName name="_581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2__FDSAUDITLINK__" hidden="1">{"fdsup://Directions/FactSet Auditing Viewer?action=AUDIT_VALUE&amp;DB=129&amp;ID1=03265410&amp;VALUEID=02001&amp;SDATE=201003&amp;PERIODTYPE=QTR_STD&amp;SCFT=3&amp;window=popup_no_bar&amp;width=385&amp;height=120&amp;START_MAXIMIZED=FALSE&amp;creator=factset&amp;display_string=Audit"}</definedName>
    <definedName name="_583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4__FDSAUDITLINK__" hidden="1">{"fdsup://Directions/FactSet Auditing Viewer?action=AUDIT_VALUE&amp;DB=129&amp;ID1=00752J10&amp;VALUEID=02001&amp;SDATE=201002&amp;PERIODTYPE=QTR_STD&amp;SCFT=3&amp;window=popup_no_bar&amp;width=385&amp;height=120&amp;START_MAXIMIZED=FALSE&amp;creator=factset&amp;display_string=Audit"}</definedName>
    <definedName name="_585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6__FDSAUDITLINK__" hidden="1">{"fdsup://Directions/FactSet Auditing Viewer?action=AUDIT_VALUE&amp;DB=129&amp;ID1=98975F10&amp;VALUEID=02001&amp;SDATE=201001&amp;PERIODTYPE=QTR_STD&amp;SCFT=3&amp;window=popup_no_bar&amp;width=385&amp;height=120&amp;START_MAXIMIZED=FALSE&amp;creator=factset&amp;display_string=Audit"}</definedName>
    <definedName name="_587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8__FDSAUDITLINK__" hidden="1">{"fdsup://Directions/FactSet Auditing Viewer?action=AUDIT_VALUE&amp;DB=129&amp;ID1=95810210&amp;VALUEID=02001&amp;SDATE=201003&amp;PERIODTYPE=QTR_STD&amp;SCFT=3&amp;window=popup_no_bar&amp;width=385&amp;height=120&amp;START_MAXIMIZED=FALSE&amp;creator=factset&amp;display_string=Audit"}</definedName>
    <definedName name="_589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590__FDSAUDITLINK__" hidden="1">{"fdsup://Directions/FactSet Auditing Viewer?action=AUDIT_VALUE&amp;DB=129&amp;ID1=92849730&amp;VALUEID=02001&amp;SDATE=201002&amp;PERIODTYPE=QTR_STD&amp;SCFT=3&amp;window=popup_no_bar&amp;width=385&amp;height=120&amp;START_MAXIMIZED=FALSE&amp;creator=factset&amp;display_string=Audit"}</definedName>
    <definedName name="_591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2__FDSAUDITLINK__" hidden="1">{"fdsup://Directions/FactSet Auditing Viewer?action=AUDIT_VALUE&amp;DB=129&amp;ID1=92829810&amp;VALUEID=02001&amp;SDATE=201001&amp;PERIODTYPE=QTR_STD&amp;SCFT=3&amp;window=popup_no_bar&amp;width=385&amp;height=120&amp;START_MAXIMIZED=FALSE&amp;creator=factset&amp;display_string=Audit"}</definedName>
    <definedName name="_593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4__FDSAUDITLINK__" hidden="1">{"fdsup://Directions/FactSet Auditing Viewer?action=AUDIT_VALUE&amp;DB=129&amp;ID1=88250810&amp;VALUEID=02001&amp;SDATE=201001&amp;PERIODTYPE=QTR_STD&amp;SCFT=3&amp;window=popup_no_bar&amp;width=385&amp;height=120&amp;START_MAXIMIZED=FALSE&amp;creator=factset&amp;display_string=Audit"}</definedName>
    <definedName name="_595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6__FDSAUDITLINK__" hidden="1">{"fdsup://Directions/FactSet Auditing Viewer?action=AUDIT_VALUE&amp;DB=129&amp;ID1=89674K10&amp;VALUEID=02001&amp;SDATE=201001&amp;PERIODTYPE=QTR_STD&amp;SCFT=3&amp;window=popup_no_bar&amp;width=385&amp;height=120&amp;START_MAXIMIZED=FALSE&amp;creator=factset&amp;display_string=Audit"}</definedName>
    <definedName name="_597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8__FDSAUDITLINK__" hidden="1">{"fdsup://Directions/FactSet Auditing Viewer?action=AUDIT_VALUE&amp;DB=129&amp;ID1=83088M10&amp;VALUEID=02001&amp;SDATE=201002&amp;PERIODTYPE=QTR_STD&amp;SCFT=3&amp;window=popup_no_bar&amp;width=385&amp;height=120&amp;START_MAXIMIZED=FALSE&amp;creator=factset&amp;display_string=Audit"}</definedName>
    <definedName name="_599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__FDSAUDITLINK__" hidden="1">{"fdsup://Directions/FactSet Auditing Viewer?action=AUDIT_VALUE&amp;DB=129&amp;ID1=45814010&amp;VALUEID=02001&amp;SDATE=201103&amp;PERIODTYPE=QTR_STD&amp;SCFT=3&amp;window=popup_no_bar&amp;width=385&amp;height=120&amp;START_MAXIMIZED=FALSE&amp;creator=factset&amp;display_string=Audit"}</definedName>
    <definedName name="_60__FDSAUDITLINK__" hidden="1">{"fdsup://Directions/FactSet Auditing Viewer?action=AUDIT_VALUE&amp;DB=129&amp;ID1=63764010&amp;VALUEID=02001&amp;SDATE=201003&amp;PERIODTYPE=QTR_STD&amp;SCFT=3&amp;window=popup_no_bar&amp;width=385&amp;height=120&amp;START_MAXIMIZED=FALSE&amp;creator=factset&amp;display_string=Audit"}</definedName>
    <definedName name="_600__FDSAUDITLINK__" hidden="1">{"fdsup://Directions/FactSet Auditing Viewer?action=AUDIT_VALUE&amp;DB=129&amp;ID1=G7945M10&amp;VALUEID=02001&amp;SDATE=201003&amp;PERIODTYPE=QTR_STD&amp;SCFT=3&amp;window=popup_no_bar&amp;width=385&amp;height=120&amp;START_MAXIMIZED=FALSE&amp;creator=factset&amp;display_string=Audit"}</definedName>
    <definedName name="_601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2__FDSAUDITLINK__" hidden="1">{"fdsup://Directions/FactSet Auditing Viewer?action=AUDIT_VALUE&amp;DB=129&amp;ID1=78477410&amp;VALUEID=02001&amp;SDATE=201001&amp;PERIODTYPE=QTR_STD&amp;SCFT=3&amp;window=popup_no_bar&amp;width=385&amp;height=120&amp;START_MAXIMIZED=FALSE&amp;creator=factset&amp;display_string=Audit"}</definedName>
    <definedName name="_603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4__FDSAUDITLINK__" hidden="1">{"fdsup://Directions/FactSet Auditing Viewer?action=AUDIT_VALUE&amp;DB=129&amp;ID1=83547010&amp;VALUEID=02001&amp;SDATE=201001&amp;PERIODTYPE=QTR_STD&amp;SCFT=3&amp;window=popup_no_bar&amp;width=385&amp;height=120&amp;START_MAXIMIZED=FALSE&amp;creator=factset&amp;display_string=Audit"}</definedName>
    <definedName name="_605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6__FDSAUDITLINK__" hidden="1">{"fdsup://Directions/FactSet Auditing Viewer?action=AUDIT_VALUE&amp;DB=129&amp;ID1=87160710&amp;VALUEID=02001&amp;SDATE=201002&amp;PERIODTYPE=QTR_STD&amp;SCFT=3&amp;window=popup_no_bar&amp;width=385&amp;height=120&amp;START_MAXIMIZED=FALSE&amp;creator=factset&amp;display_string=Audit"}</definedName>
    <definedName name="_607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8__FDSAUDITLINK__" hidden="1">{"fdsup://Directions/FactSet Auditing Viewer?action=AUDIT_VALUE&amp;DB=129&amp;ID1=80004C10&amp;VALUEID=02001&amp;SDATE=201001&amp;PERIODTYPE=QTR_STD&amp;SCFT=3&amp;window=popup_no_bar&amp;width=385&amp;height=120&amp;START_MAXIMIZED=FALSE&amp;creator=factset&amp;display_string=Audit"}</definedName>
    <definedName name="_609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10__FDSAUDITLINK__" hidden="1">{"fdsup://Directions/FactSet Auditing Viewer?action=AUDIT_VALUE&amp;DB=129&amp;ID1=81685010&amp;VALUEID=02001&amp;SDATE=201001&amp;PERIODTYPE=QTR_STD&amp;SCFT=3&amp;window=popup_no_bar&amp;width=385&amp;height=120&amp;START_MAXIMIZED=FALSE&amp;creator=factset&amp;display_string=Audit"}</definedName>
    <definedName name="_611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2__FDSAUDITLINK__" hidden="1">{"fdsup://Directions/FactSet Auditing Viewer?action=AUDIT_VALUE&amp;DB=129&amp;ID1=82691910&amp;VALUEID=02001&amp;SDATE=201001&amp;PERIODTYPE=QTR_STD&amp;SCFT=3&amp;window=popup_no_bar&amp;width=385&amp;height=120&amp;START_MAXIMIZED=FALSE&amp;creator=factset&amp;display_string=Audit"}</definedName>
    <definedName name="_613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4__FDSAUDITLINK__" hidden="1">{"fdsup://Directions/FactSet Auditing Viewer?action=AUDIT_VALUE&amp;DB=129&amp;ID1=82705T10&amp;VALUEID=02001&amp;SDATE=201001&amp;PERIODTYPE=QTR_STD&amp;SCFT=3&amp;window=popup_no_bar&amp;width=385&amp;height=120&amp;START_MAXIMIZED=FALSE&amp;creator=factset&amp;display_string=Audit"}</definedName>
    <definedName name="_615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6__FDSAUDITLINK__" hidden="1">{"fdsup://Directions/FactSet Auditing Viewer?action=AUDIT_VALUE&amp;DB=129&amp;ID1=75091710&amp;VALUEID=02001&amp;SDATE=201001&amp;PERIODTYPE=QTR_STD&amp;SCFT=3&amp;window=popup_no_bar&amp;width=385&amp;height=120&amp;START_MAXIMIZED=FALSE&amp;creator=factset&amp;display_string=Audit"}</definedName>
    <definedName name="_617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8__FDSAUDITLINK__" hidden="1">{"fdsup://Directions/FactSet Auditing Viewer?action=AUDIT_VALUE&amp;DB=129&amp;ID1=74752510&amp;VALUEID=02001&amp;SDATE=201002&amp;PERIODTYPE=QTR_STD&amp;SCFT=3&amp;window=popup_no_bar&amp;width=385&amp;height=120&amp;START_MAXIMIZED=FALSE&amp;creator=factset&amp;display_string=Audit"}</definedName>
    <definedName name="_619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__FDSAUDITLINK__" hidden="1">{"fdsup://Directions/FactSet Auditing Viewer?action=AUDIT_VALUE&amp;DB=129&amp;ID1=64118B10&amp;VALUEID=02001&amp;SDATE=201101&amp;PERIODTYPE=QTR_STD&amp;SCFT=3&amp;window=popup_no_bar&amp;width=385&amp;height=120&amp;START_MAXIMIZED=FALSE&amp;creator=factset&amp;display_string=Audit"}</definedName>
    <definedName name="_620__FDSAUDITLINK__" hidden="1">{"fdsup://Directions/FactSet Auditing Viewer?action=AUDIT_VALUE&amp;DB=129&amp;ID1=72581M30&amp;VALUEID=02001&amp;SDATE=201001&amp;PERIODTYPE=QTR_STD&amp;SCFT=3&amp;window=popup_no_bar&amp;width=385&amp;height=120&amp;START_MAXIMIZED=FALSE&amp;creator=factset&amp;display_string=Audit"}</definedName>
    <definedName name="_621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2__FDSAUDITLINK__" hidden="1">{"fdsup://Directions/FactSet Auditing Viewer?action=AUDIT_VALUE&amp;DB=129&amp;ID1=73927610&amp;VALUEID=02001&amp;SDATE=201001&amp;PERIODTYPE=QTR_STD&amp;SCFT=3&amp;window=popup_no_bar&amp;width=385&amp;height=120&amp;START_MAXIMIZED=FALSE&amp;creator=factset&amp;display_string=Audit"}</definedName>
    <definedName name="_623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4__FDSAUDITLINK__" hidden="1">{"fdsup://Directions/FactSet Auditing Viewer?action=AUDIT_VALUE&amp;DB=129&amp;ID1=69344F10&amp;VALUEID=02001&amp;SDATE=201001&amp;PERIODTYPE=QTR_STD&amp;SCFT=3&amp;window=popup_no_bar&amp;width=385&amp;height=120&amp;START_MAXIMIZED=FALSE&amp;creator=factset&amp;display_string=Audit"}</definedName>
    <definedName name="_625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6__FDSAUDITLINK__" hidden="1">{"fdsup://Directions/FactSet Auditing Viewer?action=AUDIT_VALUE&amp;DB=129&amp;ID1=69341710&amp;VALUEID=02001&amp;SDATE=201001&amp;PERIODTYPE=QTR_STD&amp;SCFT=3&amp;window=popup_no_bar&amp;width=385&amp;height=120&amp;START_MAXIMIZED=FALSE&amp;creator=factset&amp;display_string=Audit"}</definedName>
    <definedName name="_627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8__FDSAUDITLINK__" hidden="1">{"fdsup://Directions/FactSet Auditing Viewer?action=AUDIT_VALUE&amp;DB=129&amp;ID1=68218910&amp;VALUEID=02001&amp;SDATE=201001&amp;PERIODTYPE=QTR_STD&amp;SCFT=3&amp;window=popup_no_bar&amp;width=385&amp;height=120&amp;START_MAXIMIZED=FALSE&amp;creator=factset&amp;display_string=Audit"}</definedName>
    <definedName name="_629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30__FDSAUDITLINK__" hidden="1">{"fdsup://Directions/FactSet Auditing Viewer?action=AUDIT_VALUE&amp;DB=129&amp;ID1=B505PN&amp;VALUEID=02001&amp;SDATE=201001&amp;PERIODTYPE=QTR_STD&amp;SCFT=3&amp;window=popup_no_bar&amp;width=385&amp;height=120&amp;START_MAXIMIZED=FALSE&amp;creator=factset&amp;display_string=Audit"}</definedName>
    <definedName name="_631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2__FDSAUDITLINK__" hidden="1">{"fdsup://Directions/FactSet Auditing Viewer?action=AUDIT_VALUE&amp;DB=129&amp;ID1=67000810&amp;VALUEID=02001&amp;SDATE=201001&amp;PERIODTYPE=QTR_STD&amp;SCFT=3&amp;window=popup_no_bar&amp;width=385&amp;height=120&amp;START_MAXIMIZED=FALSE&amp;creator=factset&amp;display_string=Audit"}</definedName>
    <definedName name="_633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4__FDSAUDITLINK__" hidden="1">{"fdsup://Directions/FactSet Auditing Viewer?action=AUDIT_VALUE&amp;DB=129&amp;ID1=67066G10&amp;VALUEID=02001&amp;SDATE=201001&amp;PERIODTYPE=QTR_STD&amp;SCFT=3&amp;window=popup_no_bar&amp;width=385&amp;height=120&amp;START_MAXIMIZED=FALSE&amp;creator=factset&amp;display_string=Audit"}</definedName>
    <definedName name="_635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6__FDSAUDITLINK__" hidden="1">{"fdsup://Directions/FactSet Auditing Viewer?action=AUDIT_VALUE&amp;DB=129&amp;ID1=63764010&amp;VALUEID=02001&amp;SDATE=200903&amp;PERIODTYPE=QTR_STD&amp;SCFT=3&amp;window=popup_no_bar&amp;width=385&amp;height=120&amp;START_MAXIMIZED=FALSE&amp;creator=factset&amp;display_string=Audit"}</definedName>
    <definedName name="_637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8__FDSAUDITLINK__" hidden="1">{"fdsup://Directions/FactSet Auditing Viewer?action=AUDIT_VALUE&amp;DB=129&amp;ID1=64118B10&amp;VALUEID=02001&amp;SDATE=201001&amp;PERIODTYPE=QTR_STD&amp;SCFT=3&amp;window=popup_no_bar&amp;width=385&amp;height=120&amp;START_MAXIMIZED=FALSE&amp;creator=factset&amp;display_string=Audit"}</definedName>
    <definedName name="_639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__FDSAUDITLINK__" hidden="1">{"fdsup://Directions/FactSet Auditing Viewer?action=AUDIT_VALUE&amp;DB=129&amp;ID1=57772K10&amp;VALUEID=02001&amp;SDATE=201103&amp;PERIODTYPE=QTR_STD&amp;SCFT=3&amp;window=popup_no_bar&amp;width=385&amp;height=120&amp;START_MAXIMIZED=FALSE&amp;creator=factset&amp;display_string=Audit"}</definedName>
    <definedName name="_640__FDSAUDITLINK__" hidden="1">{"fdsup://Directions/FactSet Auditing Viewer?action=AUDIT_VALUE&amp;DB=129&amp;ID1=57772K10&amp;VALUEID=02001&amp;SDATE=201003&amp;PERIODTYPE=QTR_STD&amp;SCFT=3&amp;window=popup_no_bar&amp;width=385&amp;height=120&amp;START_MAXIMIZED=FALSE&amp;creator=factset&amp;display_string=Audit"}</definedName>
    <definedName name="_641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2__FDSAUDITLINK__" hidden="1">{"fdsup://Directions/FactSet Auditing Viewer?action=AUDIT_VALUE&amp;DB=129&amp;ID1=59511210&amp;VALUEID=02001&amp;SDATE=201002&amp;PERIODTYPE=QTR_STD&amp;SCFT=3&amp;window=popup_no_bar&amp;width=385&amp;height=120&amp;START_MAXIMIZED=FALSE&amp;creator=factset&amp;display_string=Audit"}</definedName>
    <definedName name="_643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4__FDSAUDITLINK__" hidden="1">{"fdsup://Directions/FactSet Auditing Viewer?action=AUDIT_VALUE&amp;DB=129&amp;ID1=59513710&amp;VALUEID=02001&amp;SDATE=201002&amp;PERIODTYPE=QTR_STD&amp;SCFT=3&amp;window=popup_no_bar&amp;width=385&amp;height=120&amp;START_MAXIMIZED=FALSE&amp;creator=factset&amp;display_string=Audit"}</definedName>
    <definedName name="_645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6__FDSAUDITLINK__" hidden="1">{"fdsup://Directions/FactSet Auditing Viewer?action=AUDIT_VALUE&amp;DB=129&amp;ID1=G5876H10&amp;VALUEID=02001&amp;SDATE=201001&amp;PERIODTYPE=QTR_STD&amp;SCFT=3&amp;window=popup_no_bar&amp;width=385&amp;height=120&amp;START_MAXIMIZED=FALSE&amp;creator=factset&amp;display_string=Audit"}</definedName>
    <definedName name="_647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8__FDSAUDITLINK__" hidden="1">{"fdsup://Directions/FactSet Auditing Viewer?action=AUDIT_VALUE&amp;DB=129&amp;ID1=62007630&amp;VALUEID=02001&amp;SDATE=201001&amp;PERIODTYPE=QTR_STD&amp;SCFT=3&amp;window=popup_no_bar&amp;width=385&amp;height=120&amp;START_MAXIMIZED=FALSE&amp;creator=factset&amp;display_string=Audit"}</definedName>
    <definedName name="_649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50__FDSAUDITLINK__" hidden="1">{"fdsup://Directions/FactSet Auditing Viewer?action=AUDIT_VALUE&amp;DB=129&amp;ID1=60456710&amp;VALUEID=02001&amp;SDATE=201003&amp;PERIODTYPE=QTR_STD&amp;SCFT=3&amp;window=popup_no_bar&amp;width=385&amp;height=120&amp;START_MAXIMIZED=FALSE&amp;creator=factset&amp;display_string=Audit"}</definedName>
    <definedName name="_651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2__FDSAUDITLINK__" hidden="1">{"fdsup://Directions/FactSet Auditing Viewer?action=AUDIT_VALUE&amp;DB=129&amp;ID1=59479310&amp;VALUEID=02001&amp;SDATE=201001&amp;PERIODTYPE=QTR_STD&amp;SCFT=3&amp;window=popup_no_bar&amp;width=385&amp;height=120&amp;START_MAXIMIZED=FALSE&amp;creator=factset&amp;display_string=Audit"}</definedName>
    <definedName name="_653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4__FDSAUDITLINK__" hidden="1">{"fdsup://Directions/FactSet Auditing Viewer?action=AUDIT_VALUE&amp;DB=129&amp;ID1=50216110&amp;VALUEID=02001&amp;SDATE=201001&amp;PERIODTYPE=QTR_STD&amp;SCFT=3&amp;window=popup_no_bar&amp;width=385&amp;height=120&amp;START_MAXIMIZED=FALSE&amp;creator=factset&amp;display_string=Audit"}</definedName>
    <definedName name="_655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6__FDSAUDITLINK__" hidden="1">{"fdsup://Directions/FactSet Auditing Viewer?action=AUDIT_VALUE&amp;DB=129&amp;ID1=51841510&amp;VALUEID=02001&amp;SDATE=201001&amp;PERIODTYPE=QTR_STD&amp;SCFT=3&amp;window=popup_no_bar&amp;width=385&amp;height=120&amp;START_MAXIMIZED=FALSE&amp;creator=factset&amp;display_string=Audit"}</definedName>
    <definedName name="_657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8__FDSAUDITLINK__" hidden="1">{"fdsup://Directions/FactSet Auditing Viewer?action=AUDIT_VALUE&amp;DB=129&amp;ID1=51280710&amp;VALUEID=02001&amp;SDATE=201003&amp;PERIODTYPE=QTR_STD&amp;SCFT=3&amp;window=popup_no_bar&amp;width=385&amp;height=120&amp;START_MAXIMIZED=FALSE&amp;creator=factset&amp;display_string=Audit"}</definedName>
    <definedName name="_659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__FDSAUDITLINK__" hidden="1">{"fdsup://Directions/FactSet Auditing Viewer?action=AUDIT_VALUE&amp;DB=129&amp;ID1=59511210&amp;VALUEID=02001&amp;SDATE=201102&amp;PERIODTYPE=QTR_STD&amp;SCFT=3&amp;window=popup_no_bar&amp;width=385&amp;height=120&amp;START_MAXIMIZED=FALSE&amp;creator=factset&amp;display_string=Audit"}</definedName>
    <definedName name="_660__FDSAUDITLINK__" hidden="1">{"fdsup://Directions/FactSet Auditing Viewer?action=AUDIT_VALUE&amp;DB=129&amp;ID1=53567810&amp;VALUEID=02001&amp;SDATE=201003&amp;PERIODTYPE=QTR_STD&amp;SCFT=3&amp;window=popup_no_bar&amp;width=385&amp;height=120&amp;START_MAXIMIZED=FALSE&amp;creator=factset&amp;display_string=Audit"}</definedName>
    <definedName name="_661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2__FDSAUDITLINK__" hidden="1">{"fdsup://Directions/FactSet Auditing Viewer?action=AUDIT_VALUE&amp;DB=129&amp;ID1=48248010&amp;VALUEID=02001&amp;SDATE=201003&amp;PERIODTYPE=QTR_STD&amp;SCFT=3&amp;window=popup_no_bar&amp;width=385&amp;height=120&amp;START_MAXIMIZED=FALSE&amp;creator=factset&amp;display_string=Audit"}</definedName>
    <definedName name="_663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4__FDSAUDITLINK__" hidden="1">{"fdsup://Directions/FactSet Auditing Viewer?action=AUDIT_VALUE&amp;DB=129&amp;ID1=48203R10&amp;VALUEID=02001&amp;SDATE=201001&amp;PERIODTYPE=QTR_STD&amp;SCFT=3&amp;window=popup_no_bar&amp;width=385&amp;height=120&amp;START_MAXIMIZED=FALSE&amp;creator=factset&amp;display_string=Audit"}</definedName>
    <definedName name="_665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6__FDSAUDITLINK__" hidden="1">{"fdsup://Directions/FactSet Auditing Viewer?action=AUDIT_VALUE&amp;DB=129&amp;ID1=46069S10&amp;VALUEID=02001&amp;SDATE=201001&amp;PERIODTYPE=QTR_STD&amp;SCFT=3&amp;window=popup_no_bar&amp;width=385&amp;height=120&amp;START_MAXIMIZED=FALSE&amp;creator=factset&amp;display_string=Audit"}</definedName>
    <definedName name="_667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8__FDSAUDITLINK__" hidden="1">{"fdsup://Directions/FactSet Auditing Viewer?action=AUDIT_VALUE&amp;DB=129&amp;ID1=46025410&amp;VALUEID=02001&amp;SDATE=201003&amp;PERIODTYPE=QTR_STD&amp;SCFT=3&amp;window=popup_no_bar&amp;width=385&amp;height=120&amp;START_MAXIMIZED=FALSE&amp;creator=factset&amp;display_string=Audit"}</definedName>
    <definedName name="_669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70__FDSAUDITLINK__" hidden="1">{"fdsup://Directions/FactSet Auditing Viewer?action=AUDIT_VALUE&amp;DB=129&amp;ID1=45814010&amp;VALUEID=02001&amp;SDATE=201001&amp;PERIODTYPE=QTR_STD&amp;SCFT=3&amp;window=popup_no_bar&amp;width=385&amp;height=120&amp;START_MAXIMIZED=FALSE&amp;creator=factset&amp;display_string=Audit"}</definedName>
    <definedName name="_671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2__FDSAUDITLINK__" hidden="1">{"fdsup://Directions/FactSet Auditing Viewer?action=AUDIT_VALUE&amp;DB=129&amp;ID1=42823610&amp;VALUEID=02001&amp;SDATE=201002&amp;PERIODTYPE=QTR_STD&amp;SCFT=3&amp;window=popup_no_bar&amp;width=385&amp;height=120&amp;START_MAXIMIZED=FALSE&amp;creator=factset&amp;display_string=Audit"}</definedName>
    <definedName name="_673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4__FDSAUDITLINK__" hidden="1">{"fdsup://Directions/FactSet Auditing Viewer?action=AUDIT_VALUE&amp;DB=129&amp;ID1=H2906T10&amp;VALUEID=02001&amp;SDATE=201001&amp;PERIODTYPE=QTR_STD&amp;SCFT=3&amp;window=popup_no_bar&amp;width=385&amp;height=120&amp;START_MAXIMIZED=FALSE&amp;creator=factset&amp;display_string=Audit"}</definedName>
    <definedName name="_675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6__FDSAUDITLINK__" hidden="1">{"fdsup://Directions/FactSet Auditing Viewer?action=AUDIT_VALUE&amp;DB=129&amp;ID1=34637510&amp;VALUEID=02001&amp;SDATE=201001&amp;PERIODTYPE=QTR_STD&amp;SCFT=3&amp;window=popup_no_bar&amp;width=385&amp;height=120&amp;START_MAXIMIZED=FALSE&amp;creator=factset&amp;display_string=Audit"}</definedName>
    <definedName name="_677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8__FDSAUDITLINK__" hidden="1">{"fdsup://Directions/FactSet Auditing Viewer?action=AUDIT_VALUE&amp;DB=129&amp;ID1=31561610&amp;VALUEID=02001&amp;SDATE=201002&amp;PERIODTYPE=QTR_STD&amp;SCFT=3&amp;window=popup_no_bar&amp;width=385&amp;height=120&amp;START_MAXIMIZED=FALSE&amp;creator=factset&amp;display_string=Audit"}</definedName>
    <definedName name="_679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__FDSAUDITLINK__" hidden="1">{"fdsup://Directions/FactSet Auditing Viewer?action=AUDIT_VALUE&amp;DB=129&amp;ID1=59513710&amp;VALUEID=02001&amp;SDATE=201102&amp;PERIODTYPE=QTR_STD&amp;SCFT=3&amp;window=popup_no_bar&amp;width=385&amp;height=120&amp;START_MAXIMIZED=FALSE&amp;creator=factset&amp;display_string=Audit"}</definedName>
    <definedName name="_680__FDSAUDITLINK__" hidden="1">{"fdsup://Directions/FactSet Auditing Viewer?action=AUDIT_VALUE&amp;DB=129&amp;ID1=29247520&amp;VALUEID=02001&amp;SDATE=201003&amp;PERIODTYPE=QTR_STD&amp;SCFT=3&amp;window=popup_no_bar&amp;width=385&amp;height=120&amp;START_MAXIMIZED=FALSE&amp;creator=factset&amp;display_string=Audit"}</definedName>
    <definedName name="_681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2__FDSAUDITLINK__" hidden="1">{"fdsup://Directions/FactSet Auditing Viewer?action=AUDIT_VALUE&amp;DB=129&amp;ID1=25454310&amp;VALUEID=02001&amp;SDATE=201001&amp;PERIODTYPE=QTR_STD&amp;SCFT=3&amp;window=popup_no_bar&amp;width=385&amp;height=120&amp;START_MAXIMIZED=FALSE&amp;creator=factset&amp;display_string=Audit"}</definedName>
    <definedName name="_683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4__FDSAUDITLINK__" hidden="1">{"fdsup://Directions/FactSet Auditing Viewer?action=AUDIT_VALUE&amp;DB=129&amp;ID1=24702R10&amp;VALUEID=02001&amp;SDATE=201001&amp;PERIODTYPE=QTR_STD&amp;SCFT=3&amp;window=popup_no_bar&amp;width=385&amp;height=120&amp;START_MAXIMIZED=FALSE&amp;creator=factset&amp;display_string=Audit"}</definedName>
    <definedName name="_685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6__FDSAUDITLINK__" hidden="1">{"fdsup://Directions/FactSet Auditing Viewer?action=AUDIT_VALUE&amp;DB=129&amp;ID1=23257210&amp;VALUEID=02001&amp;SDATE=201001&amp;PERIODTYPE=QTR_STD&amp;SCFT=3&amp;window=popup_no_bar&amp;width=385&amp;height=120&amp;START_MAXIMIZED=FALSE&amp;creator=factset&amp;display_string=Audit"}</definedName>
    <definedName name="_687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8__FDSAUDITLINK__" hidden="1">{"fdsup://Directions/FactSet Auditing Viewer?action=AUDIT_VALUE&amp;DB=129&amp;ID1=23280610&amp;VALUEID=02001&amp;SDATE=201001&amp;PERIODTYPE=QTR_STD&amp;SCFT=3&amp;window=popup_no_bar&amp;width=385&amp;height=120&amp;START_MAXIMIZED=FALSE&amp;creator=factset&amp;display_string=Audit"}</definedName>
    <definedName name="_689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690__FDSAUDITLINK__" hidden="1">{"fdsup://Directions/FactSet Auditing Viewer?action=AUDIT_VALUE&amp;DB=129&amp;ID1=17275R10&amp;VALUEID=02001&amp;SDATE=201003&amp;PERIODTYPE=QTR_STD&amp;SCFT=3&amp;window=popup_no_bar&amp;width=385&amp;height=120&amp;START_MAXIMIZED=FALSE&amp;creator=factset&amp;display_string=Audit"}</definedName>
    <definedName name="_691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2__FDSAUDITLINK__" hidden="1">{"fdsup://Directions/FactSet Auditing Viewer?action=AUDIT_VALUE&amp;DB=129&amp;ID1=22544710&amp;VALUEID=02001&amp;SDATE=201003&amp;PERIODTYPE=QTR_STD&amp;SCFT=3&amp;window=popup_no_bar&amp;width=385&amp;height=120&amp;START_MAXIMIZED=FALSE&amp;creator=factset&amp;display_string=Audit"}</definedName>
    <definedName name="_693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4__FDSAUDITLINK__" hidden="1">{"fdsup://Directions/FactSet Auditing Viewer?action=AUDIT_VALUE&amp;DB=129&amp;ID1=20714230&amp;VALUEID=02001&amp;SDATE=201002&amp;PERIODTYPE=QTR_STD&amp;SCFT=3&amp;window=popup_no_bar&amp;width=385&amp;height=120&amp;START_MAXIMIZED=FALSE&amp;creator=factset&amp;display_string=Audit"}</definedName>
    <definedName name="_695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6__FDSAUDITLINK__" hidden="1">{"fdsup://Directions/FactSet Auditing Viewer?action=AUDIT_VALUE&amp;DB=129&amp;ID1=12738710&amp;VALUEID=02001&amp;SDATE=201001&amp;PERIODTYPE=QTR_STD&amp;SCFT=3&amp;window=popup_no_bar&amp;width=385&amp;height=120&amp;START_MAXIMIZED=FALSE&amp;creator=factset&amp;display_string=Audit"}</definedName>
    <definedName name="_697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8__FDSAUDITLINK__" hidden="1">{"fdsup://Directions/FactSet Auditing Viewer?action=AUDIT_VALUE&amp;DB=129&amp;ID1=14964U10&amp;VALUEID=02001&amp;SDATE=201001&amp;PERIODTYPE=QTR_STD&amp;SCFT=3&amp;window=popup_no_bar&amp;width=385&amp;height=120&amp;START_MAXIMIZED=FALSE&amp;creator=factset&amp;display_string=Audit"}</definedName>
    <definedName name="_699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__FDSAUDITLINK__" hidden="1">{"fdsup://Directions/FactSet Auditing Viewer?action=AUDIT_VALUE&amp;DB=129&amp;ID1=637248&amp;VALUEID=05194&amp;SDATE=201102&amp;PERIODTYPE=QTR_STD&amp;SCFT=3&amp;window=popup_no_bar&amp;width=385&amp;height=120&amp;START_MAXIMIZED=FALSE&amp;creator=factset&amp;display_string=Audit"}</definedName>
    <definedName name="_70__FDSAUDITLINK__" hidden="1">{"fdsup://Directions/FactSet Auditing Viewer?action=AUDIT_VALUE&amp;DB=129&amp;ID1=G5876H10&amp;VALUEID=02001&amp;SDATE=201101&amp;PERIODTYPE=QTR_STD&amp;SCFT=3&amp;window=popup_no_bar&amp;width=385&amp;height=120&amp;START_MAXIMIZED=FALSE&amp;creator=factset&amp;display_string=Audit"}</definedName>
    <definedName name="_700__FDSAUDITLINK__" hidden="1">{"fdsup://Directions/FactSet Auditing Viewer?action=AUDIT_VALUE&amp;DB=129&amp;ID1=11162130&amp;VALUEID=02001&amp;SDATE=201002&amp;PERIODTYPE=QTR_STD&amp;SCFT=3&amp;window=popup_no_bar&amp;width=385&amp;height=120&amp;START_MAXIMIZED=FALSE&amp;creator=factset&amp;display_string=Audit"}</definedName>
    <definedName name="_701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2__FDSAUDITLINK__" hidden="1">{"fdsup://Directions/FactSet Auditing Viewer?action=AUDIT_VALUE&amp;DB=129&amp;ID1=Y0486S10&amp;VALUEID=02001&amp;SDATE=201002&amp;PERIODTYPE=QTR_STD&amp;SCFT=3&amp;window=popup_no_bar&amp;width=385&amp;height=120&amp;START_MAXIMIZED=FALSE&amp;creator=factset&amp;display_string=Audit"}</definedName>
    <definedName name="_703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4__FDSAUDITLINK__" hidden="1">{"fdsup://Directions/FactSet Auditing Viewer?action=AUDIT_VALUE&amp;DB=129&amp;ID1=04743P10&amp;VALUEID=02001&amp;SDATE=201001&amp;PERIODTYPE=QTR_STD&amp;SCFT=3&amp;window=popup_no_bar&amp;width=385&amp;height=120&amp;START_MAXIMIZED=FALSE&amp;creator=factset&amp;display_string=Audit"}</definedName>
    <definedName name="_705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6__FDSAUDITLINK__" hidden="1">{"fdsup://Directions/FactSet Auditing Viewer?action=AUDIT_VALUE&amp;DB=129&amp;ID1=03251510&amp;VALUEID=02001&amp;SDATE=201001&amp;PERIODTYPE=QTR_STD&amp;SCFT=3&amp;window=popup_no_bar&amp;width=385&amp;height=120&amp;START_MAXIMIZED=FALSE&amp;creator=factset&amp;display_string=Audit"}</definedName>
    <definedName name="_707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8__FDSAUDITLINK__" hidden="1">{"fdsup://Directions/FactSet Auditing Viewer?action=AUDIT_VALUE&amp;DB=129&amp;ID1=00790310&amp;VALUEID=02001&amp;SDATE=201001&amp;PERIODTYPE=QTR_STD&amp;SCFT=3&amp;window=popup_no_bar&amp;width=385&amp;height=120&amp;START_MAXIMIZED=FALSE&amp;creator=factset&amp;display_string=Audit"}</definedName>
    <definedName name="_709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10__FDSAUDITLINK__" hidden="1">{"fdsup://Directions/FactSet Auditing Viewer?action=AUDIT_VALUE&amp;DB=129&amp;ID1=03822210&amp;VALUEID=02001&amp;SDATE=201002&amp;PERIODTYPE=QTR_STD&amp;SCFT=3&amp;window=popup_no_bar&amp;width=385&amp;height=120&amp;START_MAXIMIZED=FALSE&amp;creator=factset&amp;display_string=Audit"}</definedName>
    <definedName name="_711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2__FDSAUDITLINK__" hidden="1">{"fdsup://Directions/FactSet Auditing Viewer?action=AUDIT_VALUE&amp;DB=129&amp;ID1=02144110&amp;VALUEID=02001&amp;SDATE=201001&amp;PERIODTYPE=QTR_STD&amp;SCFT=3&amp;window=popup_no_bar&amp;width=385&amp;height=120&amp;START_MAXIMIZED=FALSE&amp;creator=factset&amp;display_string=Audit"}</definedName>
    <definedName name="_713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4__FDSAUDITLINK__" hidden="1">{"fdsup://Directions/FactSet Auditing Viewer?action=AUDIT_VALUE&amp;DB=129&amp;ID1=03265410&amp;VALUEID=02001&amp;SDATE=201002&amp;PERIODTYPE=QTR_STD&amp;SCFT=3&amp;window=popup_no_bar&amp;width=385&amp;height=120&amp;START_MAXIMIZED=FALSE&amp;creator=factset&amp;display_string=Audit"}</definedName>
    <definedName name="_715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6__FDSAUDITLINK__" hidden="1">{"fdsup://Directions/FactSet Auditing Viewer?action=AUDIT_VALUE&amp;DB=129&amp;ID1=00752J10&amp;VALUEID=02001&amp;SDATE=201001&amp;PERIODTYPE=QTR_STD&amp;SCFT=3&amp;window=popup_no_bar&amp;width=385&amp;height=120&amp;START_MAXIMIZED=FALSE&amp;creator=factset&amp;display_string=Audit"}</definedName>
    <definedName name="_717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8__FDSAUDITLINK__" hidden="1">{"fdsup://Directions/FactSet Auditing Viewer?action=AUDIT_VALUE&amp;DB=129&amp;ID1=98391910&amp;VALUEID=02001&amp;SDATE=200903&amp;PERIODTYPE=QTR_STD&amp;SCFT=3&amp;window=popup_no_bar&amp;width=385&amp;height=120&amp;START_MAXIMIZED=FALSE&amp;creator=factset&amp;display_string=Audit"}</definedName>
    <definedName name="_719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__FDSAUDITLINK__" hidden="1">{"fdsup://Directions/FactSet Auditing Viewer?action=AUDIT_VALUE&amp;DB=129&amp;ID1=62007630&amp;VALUEID=02001&amp;SDATE=201101&amp;PERIODTYPE=QTR_STD&amp;SCFT=3&amp;window=popup_no_bar&amp;width=385&amp;height=120&amp;START_MAXIMIZED=FALSE&amp;creator=factset&amp;display_string=Audit"}</definedName>
    <definedName name="_720__FDSAUDITLINK__" hidden="1">{"fdsup://Directions/FactSet Auditing Viewer?action=AUDIT_VALUE&amp;DB=129&amp;ID1=95810210&amp;VALUEID=02001&amp;SDATE=201002&amp;PERIODTYPE=QTR_STD&amp;SCFT=3&amp;window=popup_no_bar&amp;width=385&amp;height=120&amp;START_MAXIMIZED=FALSE&amp;creator=factset&amp;display_string=Audit"}</definedName>
    <definedName name="_721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2__FDSAUDITLINK__" hidden="1">{"fdsup://Directions/FactSet Auditing Viewer?action=AUDIT_VALUE&amp;DB=129&amp;ID1=92849730&amp;VALUEID=02001&amp;SDATE=201001&amp;PERIODTYPE=QTR_STD&amp;SCFT=3&amp;window=popup_no_bar&amp;width=385&amp;height=120&amp;START_MAXIMIZED=FALSE&amp;creator=factset&amp;display_string=Audit"}</definedName>
    <definedName name="_723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4__FDSAUDITLINK__" hidden="1">{"fdsup://Directions/FactSet Auditing Viewer?action=AUDIT_VALUE&amp;DB=129&amp;ID1=83088M10&amp;VALUEID=02001&amp;SDATE=201001&amp;PERIODTYPE=QTR_STD&amp;SCFT=3&amp;window=popup_no_bar&amp;width=385&amp;height=120&amp;START_MAXIMIZED=FALSE&amp;creator=factset&amp;display_string=Audit"}</definedName>
    <definedName name="_725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6__FDSAUDITLINK__" hidden="1">{"fdsup://Directions/FactSet Auditing Viewer?action=AUDIT_VALUE&amp;DB=129&amp;ID1=G7945M10&amp;VALUEID=02001&amp;SDATE=201002&amp;PERIODTYPE=QTR_STD&amp;SCFT=3&amp;window=popup_no_bar&amp;width=385&amp;height=120&amp;START_MAXIMIZED=FALSE&amp;creator=factset&amp;display_string=Audit"}</definedName>
    <definedName name="_727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8__FDSAUDITLINK__" hidden="1">{"fdsup://Directions/FactSet Auditing Viewer?action=AUDIT_VALUE&amp;DB=129&amp;ID1=87160710&amp;VALUEID=02001&amp;SDATE=201001&amp;PERIODTYPE=QTR_STD&amp;SCFT=3&amp;window=popup_no_bar&amp;width=385&amp;height=120&amp;START_MAXIMIZED=FALSE&amp;creator=factset&amp;display_string=Audit"}</definedName>
    <definedName name="_729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30__FDSAUDITLINK__" hidden="1">{"fdsup://Directions/FactSet Auditing Viewer?action=AUDIT_VALUE&amp;DB=129&amp;ID1=81685010&amp;VALUEID=02001&amp;SDATE=200904&amp;PERIODTYPE=QTR_STD&amp;SCFT=3&amp;window=popup_no_bar&amp;width=385&amp;height=120&amp;START_MAXIMIZED=FALSE&amp;creator=factset&amp;display_string=Audit"}</definedName>
    <definedName name="_731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2__FDSAUDITLINK__" hidden="1">{"fdsup://Directions/FactSet Auditing Viewer?action=AUDIT_VALUE&amp;DB=129&amp;ID1=74994110&amp;VALUEID=02001&amp;SDATE=200903&amp;PERIODTYPE=QTR_STD&amp;SCFT=3&amp;window=popup_no_bar&amp;width=385&amp;height=120&amp;START_MAXIMIZED=FALSE&amp;creator=factset&amp;display_string=Audit"}</definedName>
    <definedName name="_733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4__FDSAUDITLINK__" hidden="1">{"fdsup://Directions/FactSet Auditing Viewer?action=AUDIT_VALUE&amp;DB=129&amp;ID1=74727710&amp;VALUEID=02001&amp;SDATE=200903&amp;PERIODTYPE=QTR_STD&amp;SCFT=3&amp;window=popup_no_bar&amp;width=385&amp;height=120&amp;START_MAXIMIZED=FALSE&amp;creator=factset&amp;display_string=Audit"}</definedName>
    <definedName name="_735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6__FDSAUDITLINK__" hidden="1">{"fdsup://Directions/FactSet Auditing Viewer?action=AUDIT_VALUE&amp;DB=129&amp;ID1=74752510&amp;VALUEID=02001&amp;SDATE=201001&amp;PERIODTYPE=QTR_STD&amp;SCFT=3&amp;window=popup_no_bar&amp;width=385&amp;height=120&amp;START_MAXIMIZED=FALSE&amp;creator=factset&amp;display_string=Audit"}</definedName>
    <definedName name="_737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8__FDSAUDITLINK__" hidden="1">{"fdsup://Directions/FactSet Auditing Viewer?action=AUDIT_VALUE&amp;DB=129&amp;ID1=B505PN&amp;VALUEID=02001&amp;SDATE=200904&amp;PERIODTYPE=QTR_STD&amp;SCFT=3&amp;window=popup_no_bar&amp;width=385&amp;height=120&amp;START_MAXIMIZED=FALSE&amp;creator=factset&amp;display_string=Audit"}</definedName>
    <definedName name="_739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__FDSAUDITLINK__" hidden="1">{"fdsup://Directions/FactSet Auditing Viewer?action=AUDIT_VALUE&amp;DB=129&amp;ID1=60456710&amp;VALUEID=02001&amp;SDATE=201103&amp;PERIODTYPE=QTR_STD&amp;SCFT=3&amp;window=popup_no_bar&amp;width=385&amp;height=120&amp;START_MAXIMIZED=FALSE&amp;creator=factset&amp;display_string=Audit"}</definedName>
    <definedName name="_740__FDSAUDITLINK__" hidden="1">{"fdsup://Directions/FactSet Auditing Viewer?action=AUDIT_VALUE&amp;DB=129&amp;ID1=63764010&amp;VALUEID=02001&amp;SDATE=200902&amp;PERIODTYPE=QTR_STD&amp;SCFT=3&amp;window=popup_no_bar&amp;width=385&amp;height=120&amp;START_MAXIMIZED=FALSE&amp;creator=factset&amp;display_string=Audit"}</definedName>
    <definedName name="_741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2__FDSAUDITLINK__" hidden="1">{"fdsup://Directions/FactSet Auditing Viewer?action=AUDIT_VALUE&amp;DB=129&amp;ID1=57772K10&amp;VALUEID=02001&amp;SDATE=201002&amp;PERIODTYPE=QTR_STD&amp;SCFT=3&amp;window=popup_no_bar&amp;width=385&amp;height=120&amp;START_MAXIMIZED=FALSE&amp;creator=factset&amp;display_string=Audit"}</definedName>
    <definedName name="_743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4__FDSAUDITLINK__" hidden="1">{"fdsup://Directions/FactSet Auditing Viewer?action=AUDIT_VALUE&amp;DB=129&amp;ID1=59511210&amp;VALUEID=02001&amp;SDATE=201001&amp;PERIODTYPE=QTR_STD&amp;SCFT=3&amp;window=popup_no_bar&amp;width=385&amp;height=120&amp;START_MAXIMIZED=FALSE&amp;creator=factset&amp;display_string=Audit"}</definedName>
    <definedName name="_745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6__FDSAUDITLINK__" hidden="1">{"fdsup://Directions/FactSet Auditing Viewer?action=AUDIT_VALUE&amp;DB=129&amp;ID1=59513710&amp;VALUEID=02001&amp;SDATE=201001&amp;PERIODTYPE=QTR_STD&amp;SCFT=3&amp;window=popup_no_bar&amp;width=385&amp;height=120&amp;START_MAXIMIZED=FALSE&amp;creator=factset&amp;display_string=Audit"}</definedName>
    <definedName name="_747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8__FDSAUDITLINK__" hidden="1">{"fdsup://Directions/FactSet Auditing Viewer?action=AUDIT_VALUE&amp;DB=129&amp;ID1=60456710&amp;VALUEID=02001&amp;SDATE=201002&amp;PERIODTYPE=QTR_STD&amp;SCFT=3&amp;window=popup_no_bar&amp;width=385&amp;height=120&amp;START_MAXIMIZED=FALSE&amp;creator=factset&amp;display_string=Audit"}</definedName>
    <definedName name="_749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50__FDSAUDITLINK__" hidden="1">{"fdsup://Directions/FactSet Auditing Viewer?action=AUDIT_VALUE&amp;DB=129&amp;ID1=59501710&amp;VALUEID=02001&amp;SDATE=200903&amp;PERIODTYPE=QTR_STD&amp;SCFT=3&amp;window=popup_no_bar&amp;width=385&amp;height=120&amp;START_MAXIMIZED=FALSE&amp;creator=factset&amp;display_string=Audit"}</definedName>
    <definedName name="_751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2__FDSAUDITLINK__" hidden="1">{"fdsup://Directions/FactSet Auditing Viewer?action=AUDIT_VALUE&amp;DB=129&amp;ID1=51280710&amp;VALUEID=02001&amp;SDATE=201002&amp;PERIODTYPE=QTR_STD&amp;SCFT=3&amp;window=popup_no_bar&amp;width=385&amp;height=120&amp;START_MAXIMIZED=FALSE&amp;creator=factset&amp;display_string=Audit"}</definedName>
    <definedName name="_753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4__FDSAUDITLINK__" hidden="1">{"fdsup://Directions/FactSet Auditing Viewer?action=AUDIT_VALUE&amp;DB=129&amp;ID1=53567810&amp;VALUEID=02001&amp;SDATE=201002&amp;PERIODTYPE=QTR_STD&amp;SCFT=3&amp;window=popup_no_bar&amp;width=385&amp;height=120&amp;START_MAXIMIZED=FALSE&amp;creator=factset&amp;display_string=Audit"}</definedName>
    <definedName name="_755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6__FDSAUDITLINK__" hidden="1">{"fdsup://Directions/FactSet Auditing Viewer?action=AUDIT_VALUE&amp;DB=129&amp;ID1=48248010&amp;VALUEID=02001&amp;SDATE=201002&amp;PERIODTYPE=QTR_STD&amp;SCFT=3&amp;window=popup_no_bar&amp;width=385&amp;height=120&amp;START_MAXIMIZED=FALSE&amp;creator=factset&amp;display_string=Audit"}</definedName>
    <definedName name="_757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8__FDSAUDITLINK__" hidden="1">{"fdsup://Directions/FactSet Auditing Viewer?action=AUDIT_VALUE&amp;DB=129&amp;ID1=48836020&amp;VALUEID=02001&amp;SDATE=200903&amp;PERIODTYPE=QTR_STD&amp;SCFT=3&amp;window=popup_no_bar&amp;width=385&amp;height=120&amp;START_MAXIMIZED=FALSE&amp;creator=factset&amp;display_string=Audit"}</definedName>
    <definedName name="_759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__FDSAUDITLINK__" hidden="1">{"fdsup://Directions/FactSet Auditing Viewer?action=AUDIT_VALUE&amp;DB=129&amp;ID1=59479310&amp;VALUEID=02001&amp;SDATE=201101&amp;PERIODTYPE=QTR_STD&amp;SCFT=3&amp;window=popup_no_bar&amp;width=385&amp;height=120&amp;START_MAXIMIZED=FALSE&amp;creator=factset&amp;display_string=Audit"}</definedName>
    <definedName name="_760__FDSAUDITLINK__" hidden="1">{"fdsup://Directions/FactSet Auditing Viewer?action=AUDIT_VALUE&amp;DB=129&amp;ID1=46025410&amp;VALUEID=02001&amp;SDATE=201002&amp;PERIODTYPE=QTR_STD&amp;SCFT=3&amp;window=popup_no_bar&amp;width=385&amp;height=120&amp;START_MAXIMIZED=FALSE&amp;creator=factset&amp;display_string=Audit"}</definedName>
    <definedName name="_761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2__FDSAUDITLINK__" hidden="1">{"fdsup://Directions/FactSet Auditing Viewer?action=AUDIT_VALUE&amp;DB=129&amp;ID1=45811810&amp;VALUEID=02001&amp;SDATE=200903&amp;PERIODTYPE=QTR_STD&amp;SCFT=3&amp;window=popup_no_bar&amp;width=385&amp;height=120&amp;START_MAXIMIZED=FALSE&amp;creator=factset&amp;display_string=Audit"}</definedName>
    <definedName name="_763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4__FDSAUDITLINK__" hidden="1">{"fdsup://Directions/FactSet Auditing Viewer?action=AUDIT_VALUE&amp;DB=129&amp;ID1=42823610&amp;VALUEID=02001&amp;SDATE=201001&amp;PERIODTYPE=QTR_STD&amp;SCFT=3&amp;window=popup_no_bar&amp;width=385&amp;height=120&amp;START_MAXIMIZED=FALSE&amp;creator=factset&amp;display_string=Audit"}</definedName>
    <definedName name="_765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6__FDSAUDITLINK__" hidden="1">{"fdsup://Directions/FactSet Auditing Viewer?action=AUDIT_VALUE&amp;DB=129&amp;ID1=31561610&amp;VALUEID=02001&amp;SDATE=201001&amp;PERIODTYPE=QTR_STD&amp;SCFT=3&amp;window=popup_no_bar&amp;width=385&amp;height=120&amp;START_MAXIMIZED=FALSE&amp;creator=factset&amp;display_string=Audit"}</definedName>
    <definedName name="_767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8__FDSAUDITLINK__" hidden="1">{"fdsup://Directions/FactSet Auditing Viewer?action=AUDIT_VALUE&amp;DB=129&amp;ID1=29247520&amp;VALUEID=02001&amp;SDATE=201002&amp;PERIODTYPE=QTR_STD&amp;SCFT=3&amp;window=popup_no_bar&amp;width=385&amp;height=120&amp;START_MAXIMIZED=FALSE&amp;creator=factset&amp;display_string=Audit"}</definedName>
    <definedName name="_769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70__FDSAUDITLINK__" hidden="1">{"fdsup://Directions/FactSet Auditing Viewer?action=AUDIT_VALUE&amp;DB=129&amp;ID1=17275R10&amp;VALUEID=02001&amp;SDATE=201002&amp;PERIODTYPE=QTR_STD&amp;SCFT=3&amp;window=popup_no_bar&amp;width=385&amp;height=120&amp;START_MAXIMIZED=FALSE&amp;creator=factset&amp;display_string=Audit"}</definedName>
    <definedName name="_771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2__FDSAUDITLINK__" hidden="1">{"fdsup://Directions/FactSet Auditing Viewer?action=AUDIT_VALUE&amp;DB=129&amp;ID1=22544710&amp;VALUEID=02001&amp;SDATE=201002&amp;PERIODTYPE=QTR_STD&amp;SCFT=3&amp;window=popup_no_bar&amp;width=385&amp;height=120&amp;START_MAXIMIZED=FALSE&amp;creator=factset&amp;display_string=Audit"}</definedName>
    <definedName name="_773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4__FDSAUDITLINK__" hidden="1">{"fdsup://Directions/FactSet Auditing Viewer?action=AUDIT_VALUE&amp;DB=129&amp;ID1=20714230&amp;VALUEID=02001&amp;SDATE=201001&amp;PERIODTYPE=QTR_STD&amp;SCFT=3&amp;window=popup_no_bar&amp;width=385&amp;height=120&amp;START_MAXIMIZED=FALSE&amp;creator=factset&amp;display_string=Audit"}</definedName>
    <definedName name="_775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6__FDSAUDITLINK__" hidden="1">{"fdsup://Directions/FactSet Auditing Viewer?action=AUDIT_VALUE&amp;DB=129&amp;ID1=12738710&amp;VALUEID=02001&amp;SDATE=200904&amp;PERIODTYPE=QTR_STD&amp;SCFT=3&amp;window=popup_no_bar&amp;width=385&amp;height=120&amp;START_MAXIMIZED=FALSE&amp;creator=factset&amp;display_string=Audit"}</definedName>
    <definedName name="_777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8__FDSAUDITLINK__" hidden="1">{"fdsup://Directions/FactSet Auditing Viewer?action=AUDIT_VALUE&amp;DB=129&amp;ID1=11162130&amp;VALUEID=02001&amp;SDATE=201001&amp;PERIODTYPE=QTR_STD&amp;SCFT=3&amp;window=popup_no_bar&amp;width=385&amp;height=120&amp;START_MAXIMIZED=FALSE&amp;creator=factset&amp;display_string=Audit"}</definedName>
    <definedName name="_779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__FDSAUDITLINK__" hidden="1">{"fdsup://Directions/FactSet Auditing Viewer?action=AUDIT_VALUE&amp;DB=129&amp;ID1=59501710&amp;VALUEID=02001&amp;SDATE=201004&amp;PERIODTYPE=QTR_STD&amp;SCFT=3&amp;window=popup_no_bar&amp;width=385&amp;height=120&amp;START_MAXIMIZED=FALSE&amp;creator=factset&amp;display_string=Audit"}</definedName>
    <definedName name="_780__FDSAUDITLINK__" hidden="1">{"fdsup://Directions/FactSet Auditing Viewer?action=AUDIT_VALUE&amp;DB=129&amp;ID1=Y0486S10&amp;VALUEID=02001&amp;SDATE=201001&amp;PERIODTYPE=QTR_STD&amp;SCFT=3&amp;window=popup_no_bar&amp;width=385&amp;height=120&amp;START_MAXIMIZED=FALSE&amp;creator=factset&amp;display_string=Audit"}</definedName>
    <definedName name="_781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2__FDSAUDITLINK__" hidden="1">{"fdsup://Directions/FactSet Auditing Viewer?action=AUDIT_VALUE&amp;DB=129&amp;ID1=03822W40&amp;VALUEID=02001&amp;SDATE=200903&amp;PERIODTYPE=QTR_STD&amp;SCFT=3&amp;window=popup_no_bar&amp;width=385&amp;height=120&amp;START_MAXIMIZED=FALSE&amp;creator=factset&amp;display_string=Audit"}</definedName>
    <definedName name="_783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4__FDSAUDITLINK__" hidden="1">{"fdsup://Directions/FactSet Auditing Viewer?action=AUDIT_VALUE&amp;DB=129&amp;ID1=03822210&amp;VALUEID=02001&amp;SDATE=201001&amp;PERIODTYPE=QTR_STD&amp;SCFT=3&amp;window=popup_no_bar&amp;width=385&amp;height=120&amp;START_MAXIMIZED=FALSE&amp;creator=factset&amp;display_string=Audit"}</definedName>
    <definedName name="_785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6__FDSAUDITLINK__" hidden="1">{"fdsup://Directions/FactSet Auditing Viewer?action=AUDIT_VALUE&amp;DB=129&amp;ID1=03265410&amp;VALUEID=02001&amp;SDATE=201001&amp;PERIODTYPE=QTR_STD&amp;SCFT=3&amp;window=popup_no_bar&amp;width=385&amp;height=120&amp;START_MAXIMIZED=FALSE&amp;creator=factset&amp;display_string=Audit"}</definedName>
    <definedName name="_787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8__FDSAUDITLINK__" hidden="1">{"fdsup://Directions/FactSet Auditing Viewer?action=AUDIT_VALUE&amp;DB=129&amp;ID1=98975F10&amp;VALUEID=02001&amp;SDATE=200903&amp;PERIODTYPE=QTR_STD&amp;SCFT=3&amp;window=popup_no_bar&amp;width=385&amp;height=120&amp;START_MAXIMIZED=FALSE&amp;creator=factset&amp;display_string=Audit"}</definedName>
    <definedName name="_789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790__FDSAUDITLINK__" hidden="1">{"fdsup://Directions/FactSet Auditing Viewer?action=AUDIT_VALUE&amp;DB=129&amp;ID1=98391910&amp;VALUEID=02001&amp;SDATE=200902&amp;PERIODTYPE=QTR_STD&amp;SCFT=3&amp;window=popup_no_bar&amp;width=385&amp;height=120&amp;START_MAXIMIZED=FALSE&amp;creator=factset&amp;display_string=Audit"}</definedName>
    <definedName name="_791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2__FDSAUDITLINK__" hidden="1">{"fdsup://Directions/FactSet Auditing Viewer?action=AUDIT_VALUE&amp;DB=129&amp;ID1=95810210&amp;VALUEID=02001&amp;SDATE=201001&amp;PERIODTYPE=QTR_STD&amp;SCFT=3&amp;window=popup_no_bar&amp;width=385&amp;height=120&amp;START_MAXIMIZED=FALSE&amp;creator=factset&amp;display_string=Audit"}</definedName>
    <definedName name="_793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4__FDSAUDITLINK__" hidden="1">{"fdsup://Directions/FactSet Auditing Viewer?action=AUDIT_VALUE&amp;DB=129&amp;ID1=92829810&amp;VALUEID=02001&amp;SDATE=200903&amp;PERIODTYPE=QTR_STD&amp;SCFT=3&amp;window=popup_no_bar&amp;width=385&amp;height=120&amp;START_MAXIMIZED=FALSE&amp;creator=factset&amp;display_string=Audit"}</definedName>
    <definedName name="_795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6__FDSAUDITLINK__" hidden="1">{"fdsup://Directions/FactSet Auditing Viewer?action=AUDIT_VALUE&amp;DB=129&amp;ID1=88250810&amp;VALUEID=02001&amp;SDATE=200903&amp;PERIODTYPE=QTR_STD&amp;SCFT=3&amp;window=popup_no_bar&amp;width=385&amp;height=120&amp;START_MAXIMIZED=FALSE&amp;creator=factset&amp;display_string=Audit"}</definedName>
    <definedName name="_797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8__FDSAUDITLINK__" hidden="1">{"fdsup://Directions/FactSet Auditing Viewer?action=AUDIT_VALUE&amp;DB=129&amp;ID1=89674K10&amp;VALUEID=02001&amp;SDATE=200903&amp;PERIODTYPE=QTR_STD&amp;SCFT=3&amp;window=popup_no_bar&amp;width=385&amp;height=120&amp;START_MAXIMIZED=FALSE&amp;creator=factset&amp;display_string=Audit"}</definedName>
    <definedName name="_799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__FDSAUDITLINK__" hidden="1">{"fdsup://Directions/FactSet Auditing Viewer?action=AUDIT_VALUE&amp;DB=129&amp;ID1=45814010&amp;VALUEID=05194&amp;SDATE=201103&amp;PERIODTYPE=QTR_STD&amp;SCFT=3&amp;window=popup_no_bar&amp;width=385&amp;height=120&amp;START_MAXIMIZED=FALSE&amp;creator=factset&amp;display_string=Audit"}</definedName>
    <definedName name="_80__FDSAUDITLINK__" hidden="1">{"fdsup://Directions/FactSet Auditing Viewer?action=AUDIT_VALUE&amp;DB=129&amp;ID1=50216110&amp;VALUEID=02001&amp;SDATE=201101&amp;PERIODTYPE=QTR_STD&amp;SCFT=3&amp;window=popup_no_bar&amp;width=385&amp;height=120&amp;START_MAXIMIZED=FALSE&amp;creator=factset&amp;display_string=Audit"}</definedName>
    <definedName name="_800__FDSAUDITLINK__" hidden="1">{"fdsup://Directions/FactSet Auditing Viewer?action=AUDIT_VALUE&amp;DB=129&amp;ID1=G7945M10&amp;VALUEID=02001&amp;SDATE=201001&amp;PERIODTYPE=QTR_STD&amp;SCFT=3&amp;window=popup_no_bar&amp;width=385&amp;height=120&amp;START_MAXIMIZED=FALSE&amp;creator=factset&amp;display_string=Audit"}</definedName>
    <definedName name="_801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2__FDSAUDITLINK__" hidden="1">{"fdsup://Directions/FactSet Auditing Viewer?action=AUDIT_VALUE&amp;DB=129&amp;ID1=78477410&amp;VALUEID=02001&amp;SDATE=200903&amp;PERIODTYPE=QTR_STD&amp;SCFT=3&amp;window=popup_no_bar&amp;width=385&amp;height=120&amp;START_MAXIMIZED=FALSE&amp;creator=factset&amp;display_string=Audit"}</definedName>
    <definedName name="_803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4__FDSAUDITLINK__" hidden="1">{"fdsup://Directions/FactSet Auditing Viewer?action=AUDIT_VALUE&amp;DB=129&amp;ID1=82705710&amp;VALUEID=02001&amp;SDATE=200903&amp;PERIODTYPE=QTR_STD&amp;SCFT=3&amp;window=popup_no_bar&amp;width=385&amp;height=120&amp;START_MAXIMIZED=FALSE&amp;creator=factset&amp;display_string=Audit"}</definedName>
    <definedName name="_805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6__FDSAUDITLINK__" hidden="1">{"fdsup://Directions/FactSet Auditing Viewer?action=AUDIT_VALUE&amp;DB=129&amp;ID1=83547010&amp;VALUEID=02001&amp;SDATE=200903&amp;PERIODTYPE=QTR_STD&amp;SCFT=3&amp;window=popup_no_bar&amp;width=385&amp;height=120&amp;START_MAXIMIZED=FALSE&amp;creator=factset&amp;display_string=Audit"}</definedName>
    <definedName name="_807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8__FDSAUDITLINK__" hidden="1">{"fdsup://Directions/FactSet Auditing Viewer?action=AUDIT_VALUE&amp;DB=129&amp;ID1=80004C10&amp;VALUEID=02001&amp;SDATE=200903&amp;PERIODTYPE=QTR_STD&amp;SCFT=3&amp;window=popup_no_bar&amp;width=385&amp;height=120&amp;START_MAXIMIZED=FALSE&amp;creator=factset&amp;display_string=Audit"}</definedName>
    <definedName name="_809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10__FDSAUDITLINK__" hidden="1">{"fdsup://Directions/FactSet Auditing Viewer?action=AUDIT_VALUE&amp;DB=129&amp;ID1=81685010&amp;VALUEID=02001&amp;SDATE=200903&amp;PERIODTYPE=QTR_STD&amp;SCFT=3&amp;window=popup_no_bar&amp;width=385&amp;height=120&amp;START_MAXIMIZED=FALSE&amp;creator=factset&amp;display_string=Audit"}</definedName>
    <definedName name="_811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2__FDSAUDITLINK__" hidden="1">{"fdsup://Directions/FactSet Auditing Viewer?action=AUDIT_VALUE&amp;DB=129&amp;ID1=82691910&amp;VALUEID=02001&amp;SDATE=200903&amp;PERIODTYPE=QTR_STD&amp;SCFT=3&amp;window=popup_no_bar&amp;width=385&amp;height=120&amp;START_MAXIMIZED=FALSE&amp;creator=factset&amp;display_string=Audit"}</definedName>
    <definedName name="_813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4__FDSAUDITLINK__" hidden="1">{"fdsup://Directions/FactSet Auditing Viewer?action=AUDIT_VALUE&amp;DB=129&amp;ID1=82705T10&amp;VALUEID=02001&amp;SDATE=200903&amp;PERIODTYPE=QTR_STD&amp;SCFT=3&amp;window=popup_no_bar&amp;width=385&amp;height=120&amp;START_MAXIMIZED=FALSE&amp;creator=factset&amp;display_string=Audit"}</definedName>
    <definedName name="_815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6__FDSAUDITLINK__" hidden="1">{"fdsup://Directions/FactSet Auditing Viewer?action=AUDIT_VALUE&amp;DB=129&amp;ID1=75091710&amp;VALUEID=02001&amp;SDATE=200903&amp;PERIODTYPE=QTR_STD&amp;SCFT=3&amp;window=popup_no_bar&amp;width=385&amp;height=120&amp;START_MAXIMIZED=FALSE&amp;creator=factset&amp;display_string=Audit"}</definedName>
    <definedName name="_817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8__FDSAUDITLINK__" hidden="1">{"fdsup://Directions/FactSet Auditing Viewer?action=AUDIT_VALUE&amp;DB=129&amp;ID1=74994110&amp;VALUEID=02001&amp;SDATE=200902&amp;PERIODTYPE=QTR_STD&amp;SCFT=3&amp;window=popup_no_bar&amp;width=385&amp;height=120&amp;START_MAXIMIZED=FALSE&amp;creator=factset&amp;display_string=Audit"}</definedName>
    <definedName name="_819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__FDSAUDITLINK__" hidden="1">{"fdsup://Directions/FactSet Auditing Viewer?action=AUDIT_VALUE&amp;DB=129&amp;ID1=51841510&amp;VALUEID=02001&amp;SDATE=201101&amp;PERIODTYPE=QTR_STD&amp;SCFT=3&amp;window=popup_no_bar&amp;width=385&amp;height=120&amp;START_MAXIMIZED=FALSE&amp;creator=factset&amp;display_string=Audit"}</definedName>
    <definedName name="_820__FDSAUDITLINK__" hidden="1">{"fdsup://Directions/FactSet Auditing Viewer?action=AUDIT_VALUE&amp;DB=129&amp;ID1=74727710&amp;VALUEID=02001&amp;SDATE=200902&amp;PERIODTYPE=QTR_STD&amp;SCFT=3&amp;window=popup_no_bar&amp;width=385&amp;height=120&amp;START_MAXIMIZED=FALSE&amp;creator=factset&amp;display_string=Audit"}</definedName>
    <definedName name="_821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2__FDSAUDITLINK__" hidden="1">{"fdsup://Directions/FactSet Auditing Viewer?action=AUDIT_VALUE&amp;DB=129&amp;ID1=72581M30&amp;VALUEID=02001&amp;SDATE=200903&amp;PERIODTYPE=QTR_STD&amp;SCFT=3&amp;window=popup_no_bar&amp;width=385&amp;height=120&amp;START_MAXIMIZED=FALSE&amp;creator=factset&amp;display_string=Audit"}</definedName>
    <definedName name="_823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4__FDSAUDITLINK__" hidden="1">{"fdsup://Directions/FactSet Auditing Viewer?action=AUDIT_VALUE&amp;DB=129&amp;ID1=73927610&amp;VALUEID=02001&amp;SDATE=200903&amp;PERIODTYPE=QTR_STD&amp;SCFT=3&amp;window=popup_no_bar&amp;width=385&amp;height=120&amp;START_MAXIMIZED=FALSE&amp;creator=factset&amp;display_string=Audit"}</definedName>
    <definedName name="_825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6__FDSAUDITLINK__" hidden="1">{"fdsup://Directions/FactSet Auditing Viewer?action=AUDIT_VALUE&amp;DB=129&amp;ID1=69344F10&amp;VALUEID=02001&amp;SDATE=200903&amp;PERIODTYPE=QTR_STD&amp;SCFT=3&amp;window=popup_no_bar&amp;width=385&amp;height=120&amp;START_MAXIMIZED=FALSE&amp;creator=factset&amp;display_string=Audit"}</definedName>
    <definedName name="_827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8__FDSAUDITLINK__" hidden="1">{"fdsup://Directions/FactSet Auditing Viewer?action=AUDIT_VALUE&amp;DB=129&amp;ID1=69341710&amp;VALUEID=02001&amp;SDATE=200903&amp;PERIODTYPE=QTR_STD&amp;SCFT=3&amp;window=popup_no_bar&amp;width=385&amp;height=120&amp;START_MAXIMIZED=FALSE&amp;creator=factset&amp;display_string=Audit"}</definedName>
    <definedName name="_829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30__FDSAUDITLINK__" hidden="1">{"fdsup://Directions/FactSet Auditing Viewer?action=AUDIT_VALUE&amp;DB=129&amp;ID1=68218910&amp;VALUEID=02001&amp;SDATE=200903&amp;PERIODTYPE=QTR_STD&amp;SCFT=3&amp;window=popup_no_bar&amp;width=385&amp;height=120&amp;START_MAXIMIZED=FALSE&amp;creator=factset&amp;display_string=Audit"}</definedName>
    <definedName name="_831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2__FDSAUDITLINK__" hidden="1">{"fdsup://Directions/FactSet Auditing Viewer?action=AUDIT_VALUE&amp;DB=129&amp;ID1=B505PN&amp;VALUEID=02001&amp;SDATE=200903&amp;PERIODTYPE=QTR_STD&amp;SCFT=3&amp;window=popup_no_bar&amp;width=385&amp;height=120&amp;START_MAXIMIZED=FALSE&amp;creator=factset&amp;display_string=Audit"}</definedName>
    <definedName name="_833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4__FDSAUDITLINK__" hidden="1">{"fdsup://Directions/FactSet Auditing Viewer?action=AUDIT_VALUE&amp;DB=129&amp;ID1=67000810&amp;VALUEID=02001&amp;SDATE=200903&amp;PERIODTYPE=QTR_STD&amp;SCFT=3&amp;window=popup_no_bar&amp;width=385&amp;height=120&amp;START_MAXIMIZED=FALSE&amp;creator=factset&amp;display_string=Audit"}</definedName>
    <definedName name="_835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6__FDSAUDITLINK__" hidden="1">{"fdsup://Directions/FactSet Auditing Viewer?action=AUDIT_VALUE&amp;DB=129&amp;ID1=67066G10&amp;VALUEID=02001&amp;SDATE=200903&amp;PERIODTYPE=QTR_STD&amp;SCFT=3&amp;window=popup_no_bar&amp;width=385&amp;height=120&amp;START_MAXIMIZED=FALSE&amp;creator=factset&amp;display_string=Audit"}</definedName>
    <definedName name="_837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8__FDSAUDITLINK__" hidden="1">{"fdsup://Directions/FactSet Auditing Viewer?action=AUDIT_VALUE&amp;DB=129&amp;ID1=63764010&amp;VALUEID=02001&amp;SDATE=200901&amp;PERIODTYPE=QTR_STD&amp;SCFT=3&amp;window=popup_no_bar&amp;width=385&amp;height=120&amp;START_MAXIMIZED=FALSE&amp;creator=factset&amp;display_string=Audit"}</definedName>
    <definedName name="_839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__FDSAUDITLINK__" hidden="1">{"fdsup://Directions/FactSet Auditing Viewer?action=AUDIT_VALUE&amp;DB=129&amp;ID1=51280710&amp;VALUEID=02001&amp;SDATE=201103&amp;PERIODTYPE=QTR_STD&amp;SCFT=3&amp;window=popup_no_bar&amp;width=385&amp;height=120&amp;START_MAXIMIZED=FALSE&amp;creator=factset&amp;display_string=Audit"}</definedName>
    <definedName name="_840__FDSAUDITLINK__" hidden="1">{"fdsup://Directions/FactSet Auditing Viewer?action=AUDIT_VALUE&amp;DB=129&amp;ID1=64118B10&amp;VALUEID=02001&amp;SDATE=200903&amp;PERIODTYPE=QTR_STD&amp;SCFT=3&amp;window=popup_no_bar&amp;width=385&amp;height=120&amp;START_MAXIMIZED=FALSE&amp;creator=factset&amp;display_string=Audit"}</definedName>
    <definedName name="_841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2__FDSAUDITLINK__" hidden="1">{"fdsup://Directions/FactSet Auditing Viewer?action=AUDIT_VALUE&amp;DB=129&amp;ID1=57772K10&amp;VALUEID=02001&amp;SDATE=201001&amp;PERIODTYPE=QTR_STD&amp;SCFT=3&amp;window=popup_no_bar&amp;width=385&amp;height=120&amp;START_MAXIMIZED=FALSE&amp;creator=factset&amp;display_string=Audit"}</definedName>
    <definedName name="_843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4__FDSAUDITLINK__" hidden="1">{"fdsup://Directions/FactSet Auditing Viewer?action=AUDIT_VALUE&amp;DB=129&amp;ID1=G5876H10&amp;VALUEID=02001&amp;SDATE=200903&amp;PERIODTYPE=QTR_STD&amp;SCFT=3&amp;window=popup_no_bar&amp;width=385&amp;height=120&amp;START_MAXIMIZED=FALSE&amp;creator=factset&amp;display_string=Audit"}</definedName>
    <definedName name="_845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6__FDSAUDITLINK__" hidden="1">{"fdsup://Directions/FactSet Auditing Viewer?action=AUDIT_VALUE&amp;DB=129&amp;ID1=62007630&amp;VALUEID=02001&amp;SDATE=200903&amp;PERIODTYPE=QTR_STD&amp;SCFT=3&amp;window=popup_no_bar&amp;width=385&amp;height=120&amp;START_MAXIMIZED=FALSE&amp;creator=factset&amp;display_string=Audit"}</definedName>
    <definedName name="_847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8__FDSAUDITLINK__" hidden="1">{"fdsup://Directions/FactSet Auditing Viewer?action=AUDIT_VALUE&amp;DB=129&amp;ID1=60456710&amp;VALUEID=02001&amp;SDATE=201001&amp;PERIODTYPE=QTR_STD&amp;SCFT=3&amp;window=popup_no_bar&amp;width=385&amp;height=120&amp;START_MAXIMIZED=FALSE&amp;creator=factset&amp;display_string=Audit"}</definedName>
    <definedName name="_849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50__FDSAUDITLINK__" hidden="1">{"fdsup://Directions/FactSet Auditing Viewer?action=AUDIT_VALUE&amp;DB=129&amp;ID1=59479310&amp;VALUEID=02001&amp;SDATE=200903&amp;PERIODTYPE=QTR_STD&amp;SCFT=3&amp;window=popup_no_bar&amp;width=385&amp;height=120&amp;START_MAXIMIZED=FALSE&amp;creator=factset&amp;display_string=Audit"}</definedName>
    <definedName name="_851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2__FDSAUDITLINK__" hidden="1">{"fdsup://Directions/FactSet Auditing Viewer?action=AUDIT_VALUE&amp;DB=129&amp;ID1=59501710&amp;VALUEID=02001&amp;SDATE=200902&amp;PERIODTYPE=QTR_STD&amp;SCFT=3&amp;window=popup_no_bar&amp;width=385&amp;height=120&amp;START_MAXIMIZED=FALSE&amp;creator=factset&amp;display_string=Audit"}</definedName>
    <definedName name="_853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4__FDSAUDITLINK__" hidden="1">{"fdsup://Directions/FactSet Auditing Viewer?action=AUDIT_VALUE&amp;DB=129&amp;ID1=50216110&amp;VALUEID=02001&amp;SDATE=200903&amp;PERIODTYPE=QTR_STD&amp;SCFT=3&amp;window=popup_no_bar&amp;width=385&amp;height=120&amp;START_MAXIMIZED=FALSE&amp;creator=factset&amp;display_string=Audit"}</definedName>
    <definedName name="_855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6__FDSAUDITLINK__" hidden="1">{"fdsup://Directions/FactSet Auditing Viewer?action=AUDIT_VALUE&amp;DB=129&amp;ID1=51841510&amp;VALUEID=02001&amp;SDATE=200903&amp;PERIODTYPE=QTR_STD&amp;SCFT=3&amp;window=popup_no_bar&amp;width=385&amp;height=120&amp;START_MAXIMIZED=FALSE&amp;creator=factset&amp;display_string=Audit"}</definedName>
    <definedName name="_857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8__FDSAUDITLINK__" hidden="1">{"fdsup://Directions/FactSet Auditing Viewer?action=AUDIT_VALUE&amp;DB=129&amp;ID1=51280710&amp;VALUEID=02001&amp;SDATE=201001&amp;PERIODTYPE=QTR_STD&amp;SCFT=3&amp;window=popup_no_bar&amp;width=385&amp;height=120&amp;START_MAXIMIZED=FALSE&amp;creator=factset&amp;display_string=Audit"}</definedName>
    <definedName name="_859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__FDSAUDITLINK__" hidden="1">{"fdsup://Directions/FactSet Auditing Viewer?action=AUDIT_VALUE&amp;DB=129&amp;ID1=53567810&amp;VALUEID=02001&amp;SDATE=201103&amp;PERIODTYPE=QTR_STD&amp;SCFT=3&amp;window=popup_no_bar&amp;width=385&amp;height=120&amp;START_MAXIMIZED=FALSE&amp;creator=factset&amp;display_string=Audit"}</definedName>
    <definedName name="_860__FDSAUDITLINK__" hidden="1">{"fdsup://Directions/FactSet Auditing Viewer?action=AUDIT_VALUE&amp;DB=129&amp;ID1=53567810&amp;VALUEID=02001&amp;SDATE=201001&amp;PERIODTYPE=QTR_STD&amp;SCFT=3&amp;window=popup_no_bar&amp;width=385&amp;height=120&amp;START_MAXIMIZED=FALSE&amp;creator=factset&amp;display_string=Audit"}</definedName>
    <definedName name="_861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2__FDSAUDITLINK__" hidden="1">{"fdsup://Directions/FactSet Auditing Viewer?action=AUDIT_VALUE&amp;DB=129&amp;ID1=48248010&amp;VALUEID=02001&amp;SDATE=201001&amp;PERIODTYPE=QTR_STD&amp;SCFT=3&amp;window=popup_no_bar&amp;width=385&amp;height=120&amp;START_MAXIMIZED=FALSE&amp;creator=factset&amp;display_string=Audit"}</definedName>
    <definedName name="_863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4__FDSAUDITLINK__" hidden="1">{"fdsup://Directions/FactSet Auditing Viewer?action=AUDIT_VALUE&amp;DB=129&amp;ID1=48836020&amp;VALUEID=02001&amp;SDATE=200902&amp;PERIODTYPE=QTR_STD&amp;SCFT=3&amp;window=popup_no_bar&amp;width=385&amp;height=120&amp;START_MAXIMIZED=FALSE&amp;creator=factset&amp;display_string=Audit"}</definedName>
    <definedName name="_865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6__FDSAUDITLINK__" hidden="1">{"fdsup://Directions/FactSet Auditing Viewer?action=AUDIT_VALUE&amp;DB=129&amp;ID1=48203R10&amp;VALUEID=02001&amp;SDATE=200903&amp;PERIODTYPE=QTR_STD&amp;SCFT=3&amp;window=popup_no_bar&amp;width=385&amp;height=120&amp;START_MAXIMIZED=FALSE&amp;creator=factset&amp;display_string=Audit"}</definedName>
    <definedName name="_867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8__FDSAUDITLINK__" hidden="1">{"fdsup://Directions/FactSet Auditing Viewer?action=AUDIT_VALUE&amp;DB=129&amp;ID1=86681020&amp;VALUEID=02001&amp;SDATE=201001&amp;PERIODTYPE=QTR_STD&amp;SCFT=3&amp;window=popup_no_bar&amp;width=385&amp;height=120&amp;START_MAXIMIZED=FALSE&amp;creator=factset&amp;display_string=Audit"}</definedName>
    <definedName name="_869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70__FDSAUDITLINK__" hidden="1">{"fdsup://Directions/FactSet Auditing Viewer?action=AUDIT_VALUE&amp;DB=129&amp;ID1=46069S10&amp;VALUEID=02001&amp;SDATE=200903&amp;PERIODTYPE=QTR_STD&amp;SCFT=3&amp;window=popup_no_bar&amp;width=385&amp;height=120&amp;START_MAXIMIZED=FALSE&amp;creator=factset&amp;display_string=Audit"}</definedName>
    <definedName name="_871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2__FDSAUDITLINK__" hidden="1">{"fdsup://Directions/FactSet Auditing Viewer?action=AUDIT_VALUE&amp;DB=129&amp;ID1=46025410&amp;VALUEID=02001&amp;SDATE=201001&amp;PERIODTYPE=QTR_STD&amp;SCFT=3&amp;window=popup_no_bar&amp;width=385&amp;height=120&amp;START_MAXIMIZED=FALSE&amp;creator=factset&amp;display_string=Audit"}</definedName>
    <definedName name="_873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4__FDSAUDITLINK__" hidden="1">{"fdsup://Directions/FactSet Auditing Viewer?action=AUDIT_VALUE&amp;DB=129&amp;ID1=45814010&amp;VALUEID=02001&amp;SDATE=200903&amp;PERIODTYPE=QTR_STD&amp;SCFT=3&amp;window=popup_no_bar&amp;width=385&amp;height=120&amp;START_MAXIMIZED=FALSE&amp;creator=factset&amp;display_string=Audit"}</definedName>
    <definedName name="_875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6__FDSAUDITLINK__" hidden="1">{"fdsup://Directions/FactSet Auditing Viewer?action=AUDIT_VALUE&amp;DB=129&amp;ID1=45811810&amp;VALUEID=02001&amp;SDATE=200902&amp;PERIODTYPE=QTR_STD&amp;SCFT=3&amp;window=popup_no_bar&amp;width=385&amp;height=120&amp;START_MAXIMIZED=FALSE&amp;creator=factset&amp;display_string=Audit"}</definedName>
    <definedName name="_877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8__FDSAUDITLINK__" hidden="1">{"fdsup://Directions/FactSet Auditing Viewer?action=AUDIT_VALUE&amp;DB=129&amp;ID1=H2906T10&amp;VALUEID=02001&amp;SDATE=200903&amp;PERIODTYPE=QTR_STD&amp;SCFT=3&amp;window=popup_no_bar&amp;width=385&amp;height=120&amp;START_MAXIMIZED=FALSE&amp;creator=factset&amp;display_string=Audit"}</definedName>
    <definedName name="_879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__FDSAUDITLINK__" hidden="1">{"fdsup://Directions/FactSet Auditing Viewer?action=AUDIT_VALUE&amp;DB=129&amp;ID1=48248010&amp;VALUEID=02001&amp;SDATE=201103&amp;PERIODTYPE=QTR_STD&amp;SCFT=3&amp;window=popup_no_bar&amp;width=385&amp;height=120&amp;START_MAXIMIZED=FALSE&amp;creator=factset&amp;display_string=Audit"}</definedName>
    <definedName name="_880__FDSAUDITLINK__" hidden="1">{"fdsup://Directions/FactSet Auditing Viewer?action=AUDIT_VALUE&amp;DB=129&amp;ID1=34637510&amp;VALUEID=02001&amp;SDATE=200903&amp;PERIODTYPE=QTR_STD&amp;SCFT=3&amp;window=popup_no_bar&amp;width=385&amp;height=120&amp;START_MAXIMIZED=FALSE&amp;creator=factset&amp;display_string=Audit"}</definedName>
    <definedName name="_881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2__FDSAUDITLINK__" hidden="1">{"fdsup://Directions/FactSet Auditing Viewer?action=AUDIT_VALUE&amp;DB=129&amp;ID1=29247520&amp;VALUEID=02001&amp;SDATE=201001&amp;PERIODTYPE=QTR_STD&amp;SCFT=3&amp;window=popup_no_bar&amp;width=385&amp;height=120&amp;START_MAXIMIZED=FALSE&amp;creator=factset&amp;display_string=Audit"}</definedName>
    <definedName name="_883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4__FDSAUDITLINK__" hidden="1">{"fdsup://Directions/FactSet Auditing Viewer?action=AUDIT_VALUE&amp;DB=129&amp;ID1=25454310&amp;VALUEID=02001&amp;SDATE=200903&amp;PERIODTYPE=QTR_STD&amp;SCFT=3&amp;window=popup_no_bar&amp;width=385&amp;height=120&amp;START_MAXIMIZED=FALSE&amp;creator=factset&amp;display_string=Audit"}</definedName>
    <definedName name="_885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6__FDSAUDITLINK__" hidden="1">{"fdsup://Directions/FactSet Auditing Viewer?action=AUDIT_VALUE&amp;DB=129&amp;ID1=24702R10&amp;VALUEID=02001&amp;SDATE=200903&amp;PERIODTYPE=QTR_STD&amp;SCFT=3&amp;window=popup_no_bar&amp;width=385&amp;height=120&amp;START_MAXIMIZED=FALSE&amp;creator=factset&amp;display_string=Audit"}</definedName>
    <definedName name="_887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8__FDSAUDITLINK__" hidden="1">{"fdsup://Directions/FactSet Auditing Viewer?action=AUDIT_VALUE&amp;DB=129&amp;ID1=23257210&amp;VALUEID=02001&amp;SDATE=200903&amp;PERIODTYPE=QTR_STD&amp;SCFT=3&amp;window=popup_no_bar&amp;width=385&amp;height=120&amp;START_MAXIMIZED=FALSE&amp;creator=factset&amp;display_string=Audit"}</definedName>
    <definedName name="_889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890__FDSAUDITLINK__" hidden="1">{"fdsup://Directions/FactSet Auditing Viewer?action=AUDIT_VALUE&amp;DB=129&amp;ID1=23280610&amp;VALUEID=02001&amp;SDATE=200903&amp;PERIODTYPE=QTR_STD&amp;SCFT=3&amp;window=popup_no_bar&amp;width=385&amp;height=120&amp;START_MAXIMIZED=FALSE&amp;creator=factset&amp;display_string=Audit"}</definedName>
    <definedName name="_891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2__FDSAUDITLINK__" hidden="1">{"fdsup://Directions/FactSet Auditing Viewer?action=AUDIT_VALUE&amp;DB=129&amp;ID1=17275R10&amp;VALUEID=02001&amp;SDATE=201001&amp;PERIODTYPE=QTR_STD&amp;SCFT=3&amp;window=popup_no_bar&amp;width=385&amp;height=120&amp;START_MAXIMIZED=FALSE&amp;creator=factset&amp;display_string=Audit"}</definedName>
    <definedName name="_893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4__FDSAUDITLINK__" hidden="1">{"fdsup://Directions/FactSet Auditing Viewer?action=AUDIT_VALUE&amp;DB=129&amp;ID1=22544710&amp;VALUEID=02001&amp;SDATE=201001&amp;PERIODTYPE=QTR_STD&amp;SCFT=3&amp;window=popup_no_bar&amp;width=385&amp;height=120&amp;START_MAXIMIZED=FALSE&amp;creator=factset&amp;display_string=Audit"}</definedName>
    <definedName name="_895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6__FDSAUDITLINK__" hidden="1">{"fdsup://Directions/FactSet Auditing Viewer?action=AUDIT_VALUE&amp;DB=129&amp;ID1=12738710&amp;VALUEID=02001&amp;SDATE=200903&amp;PERIODTYPE=QTR_STD&amp;SCFT=3&amp;window=popup_no_bar&amp;width=385&amp;height=120&amp;START_MAXIMIZED=FALSE&amp;creator=factset&amp;display_string=Audit"}</definedName>
    <definedName name="_897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8__FDSAUDITLINK__" hidden="1">{"fdsup://Directions/FactSet Auditing Viewer?action=AUDIT_VALUE&amp;DB=129&amp;ID1=14964U10&amp;VALUEID=02001&amp;SDATE=200903&amp;PERIODTYPE=QTR_STD&amp;SCFT=3&amp;window=popup_no_bar&amp;width=385&amp;height=120&amp;START_MAXIMIZED=FALSE&amp;creator=factset&amp;display_string=Audit"}</definedName>
    <definedName name="_899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__FDSAUDITLINK__" hidden="1">{"fdsup://Directions/FactSet Auditing Viewer?action=AUDIT_VALUE&amp;DB=129&amp;ID1=74752510&amp;VALUEID=02001&amp;SDATE=201103&amp;PERIODTYPE=QTR_STD&amp;SCFT=3&amp;window=popup_no_bar&amp;width=385&amp;height=120&amp;START_MAXIMIZED=FALSE&amp;creator=factset&amp;display_string=Audit"}</definedName>
    <definedName name="_90__FDSAUDITLINK__" hidden="1">{"fdsup://Directions/FactSet Auditing Viewer?action=AUDIT_VALUE&amp;DB=129&amp;ID1=48836020&amp;VALUEID=02001&amp;SDATE=201004&amp;PERIODTYPE=QTR_STD&amp;SCFT=3&amp;window=popup_no_bar&amp;width=385&amp;height=120&amp;START_MAXIMIZED=FALSE&amp;creator=factset&amp;display_string=Audit"}</definedName>
    <definedName name="_900__FDSAUDITLINK__" hidden="1">{"fdsup://Directions/FactSet Auditing Viewer?action=AUDIT_VALUE&amp;DB=129&amp;ID1=04743P10&amp;VALUEID=02001&amp;SDATE=200903&amp;PERIODTYPE=QTR_STD&amp;SCFT=3&amp;window=popup_no_bar&amp;width=385&amp;height=120&amp;START_MAXIMIZED=FALSE&amp;creator=factset&amp;display_string=Audit"}</definedName>
    <definedName name="_901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2__FDSAUDITLINK__" hidden="1">{"fdsup://Directions/FactSet Auditing Viewer?action=AUDIT_VALUE&amp;DB=129&amp;ID1=03251510&amp;VALUEID=02001&amp;SDATE=200903&amp;PERIODTYPE=QTR_STD&amp;SCFT=3&amp;window=popup_no_bar&amp;width=385&amp;height=120&amp;START_MAXIMIZED=FALSE&amp;creator=factset&amp;display_string=Audit"}</definedName>
    <definedName name="_903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4__FDSAUDITLINK__" hidden="1">{"fdsup://Directions/FactSet Auditing Viewer?action=AUDIT_VALUE&amp;DB=129&amp;ID1=00790310&amp;VALUEID=02001&amp;SDATE=200903&amp;PERIODTYPE=QTR_STD&amp;SCFT=3&amp;window=popup_no_bar&amp;width=385&amp;height=120&amp;START_MAXIMIZED=FALSE&amp;creator=factset&amp;display_string=Audit"}</definedName>
    <definedName name="_905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6__FDSAUDITLINK__" hidden="1">{"fdsup://Directions/FactSet Auditing Viewer?action=AUDIT_VALUE&amp;DB=129&amp;ID1=03822W40&amp;VALUEID=02001&amp;SDATE=200902&amp;PERIODTYPE=QTR_STD&amp;SCFT=3&amp;window=popup_no_bar&amp;width=385&amp;height=120&amp;START_MAXIMIZED=FALSE&amp;creator=factset&amp;display_string=Audit"}</definedName>
    <definedName name="_907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8__FDSAUDITLINK__" hidden="1">{"fdsup://Directions/FactSet Auditing Viewer?action=AUDIT_VALUE&amp;DB=129&amp;ID1=02144110&amp;VALUEID=02001&amp;SDATE=200903&amp;PERIODTYPE=QTR_STD&amp;SCFT=3&amp;window=popup_no_bar&amp;width=385&amp;height=120&amp;START_MAXIMIZED=FALSE&amp;creator=factset&amp;display_string=Audit"}</definedName>
    <definedName name="_909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10__FDSAUDITLINK__" hidden="1">{"fdsup://Directions/FactSet Auditing Viewer?action=AUDIT_VALUE&amp;DB=129&amp;ID1=00752J10&amp;VALUEID=02001&amp;SDATE=200903&amp;PERIODTYPE=QTR_STD&amp;SCFT=3&amp;window=popup_no_bar&amp;width=385&amp;height=120&amp;START_MAXIMIZED=FALSE&amp;creator=factset&amp;display_string=Audit"}</definedName>
    <definedName name="_911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2__FDSAUDITLINK__" hidden="1">{"fdsup://Directions/FactSet Auditing Viewer?action=AUDIT_VALUE&amp;DB=129&amp;ID1=98975F10&amp;VALUEID=02001&amp;SDATE=200902&amp;PERIODTYPE=QTR_STD&amp;SCFT=3&amp;window=popup_no_bar&amp;width=385&amp;height=120&amp;START_MAXIMIZED=FALSE&amp;creator=factset&amp;display_string=Audit"}</definedName>
    <definedName name="_913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4__FDSAUDITLINK__" hidden="1">{"fdsup://Directions/FactSet Auditing Viewer?action=AUDIT_VALUE&amp;DB=129&amp;ID1=98391910&amp;VALUEID=02001&amp;SDATE=200901&amp;PERIODTYPE=QTR_STD&amp;SCFT=3&amp;window=popup_no_bar&amp;width=385&amp;height=120&amp;START_MAXIMIZED=FALSE&amp;creator=factset&amp;display_string=Audit"}</definedName>
    <definedName name="_915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6__FDSAUDITLINK__" hidden="1">{"fdsup://Directions/FactSet Auditing Viewer?action=AUDIT_VALUE&amp;DB=129&amp;ID1=92849730&amp;VALUEID=02001&amp;SDATE=200903&amp;PERIODTYPE=QTR_STD&amp;SCFT=3&amp;window=popup_no_bar&amp;width=385&amp;height=120&amp;START_MAXIMIZED=FALSE&amp;creator=factset&amp;display_string=Audit"}</definedName>
    <definedName name="_917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8__FDSAUDITLINK__" hidden="1">{"fdsup://Directions/FactSet Auditing Viewer?action=AUDIT_VALUE&amp;DB=129&amp;ID1=92829810&amp;VALUEID=02001&amp;SDATE=200902&amp;PERIODTYPE=QTR_STD&amp;SCFT=3&amp;window=popup_no_bar&amp;width=385&amp;height=120&amp;START_MAXIMIZED=FALSE&amp;creator=factset&amp;display_string=Audit"}</definedName>
    <definedName name="_919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__FDSAUDITLINK__" hidden="1">{"fdsup://Directions/FactSet Auditing Viewer?action=AUDIT_VALUE&amp;DB=129&amp;ID1=48203R10&amp;VALUEID=02001&amp;SDATE=201101&amp;PERIODTYPE=QTR_STD&amp;SCFT=3&amp;window=popup_no_bar&amp;width=385&amp;height=120&amp;START_MAXIMIZED=FALSE&amp;creator=factset&amp;display_string=Audit"}</definedName>
    <definedName name="_920__FDSAUDITLINK__" hidden="1">{"fdsup://Directions/FactSet Auditing Viewer?action=AUDIT_VALUE&amp;DB=129&amp;ID1=88250810&amp;VALUEID=02001&amp;SDATE=200902&amp;PERIODTYPE=QTR_STD&amp;SCFT=3&amp;window=popup_no_bar&amp;width=385&amp;height=120&amp;START_MAXIMIZED=FALSE&amp;creator=factset&amp;display_string=Audit"}</definedName>
    <definedName name="_921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2__FDSAUDITLINK__" hidden="1">{"fdsup://Directions/FactSet Auditing Viewer?action=AUDIT_VALUE&amp;DB=129&amp;ID1=89674K10&amp;VALUEID=02001&amp;SDATE=200902&amp;PERIODTYPE=QTR_STD&amp;SCFT=3&amp;window=popup_no_bar&amp;width=385&amp;height=120&amp;START_MAXIMIZED=FALSE&amp;creator=factset&amp;display_string=Audit"}</definedName>
    <definedName name="_923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4__FDSAUDITLINK__" hidden="1">{"fdsup://Directions/FactSet Auditing Viewer?action=AUDIT_VALUE&amp;DB=129&amp;ID1=83088M10&amp;VALUEID=02001&amp;SDATE=200903&amp;PERIODTYPE=QTR_STD&amp;SCFT=3&amp;window=popup_no_bar&amp;width=385&amp;height=120&amp;START_MAXIMIZED=FALSE&amp;creator=factset&amp;display_string=Audit"}</definedName>
    <definedName name="_925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6__FDSAUDITLINK__" hidden="1">{"fdsup://Directions/FactSet Auditing Viewer?action=AUDIT_VALUE&amp;DB=129&amp;ID1=78477410&amp;VALUEID=02001&amp;SDATE=200902&amp;PERIODTYPE=QTR_STD&amp;SCFT=3&amp;window=popup_no_bar&amp;width=385&amp;height=120&amp;START_MAXIMIZED=FALSE&amp;creator=factset&amp;display_string=Audit"}</definedName>
    <definedName name="_927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8__FDSAUDITLINK__" hidden="1">{"fdsup://Directions/FactSet Auditing Viewer?action=AUDIT_VALUE&amp;DB=129&amp;ID1=82705710&amp;VALUEID=02001&amp;SDATE=200902&amp;PERIODTYPE=QTR_STD&amp;SCFT=3&amp;window=popup_no_bar&amp;width=385&amp;height=120&amp;START_MAXIMIZED=FALSE&amp;creator=factset&amp;display_string=Audit"}</definedName>
    <definedName name="_929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30__FDSAUDITLINK__" hidden="1">{"fdsup://Directions/FactSet Auditing Viewer?action=AUDIT_VALUE&amp;DB=129&amp;ID1=83547010&amp;VALUEID=02001&amp;SDATE=200902&amp;PERIODTYPE=QTR_STD&amp;SCFT=3&amp;window=popup_no_bar&amp;width=385&amp;height=120&amp;START_MAXIMIZED=FALSE&amp;creator=factset&amp;display_string=Audit"}</definedName>
    <definedName name="_931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2__FDSAUDITLINK__" hidden="1">{"fdsup://Directions/FactSet Auditing Viewer?action=AUDIT_VALUE&amp;DB=129&amp;ID1=87160710&amp;VALUEID=02001&amp;SDATE=200903&amp;PERIODTYPE=QTR_STD&amp;SCFT=3&amp;window=popup_no_bar&amp;width=385&amp;height=120&amp;START_MAXIMIZED=FALSE&amp;creator=factset&amp;display_string=Audit"}</definedName>
    <definedName name="_933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4__FDSAUDITLINK__" hidden="1">{"fdsup://Directions/FactSet Auditing Viewer?action=AUDIT_VALUE&amp;DB=129&amp;ID1=80004C10&amp;VALUEID=02001&amp;SDATE=200902&amp;PERIODTYPE=QTR_STD&amp;SCFT=3&amp;window=popup_no_bar&amp;width=385&amp;height=120&amp;START_MAXIMIZED=FALSE&amp;creator=factset&amp;display_string=Audit"}</definedName>
    <definedName name="_935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6__FDSAUDITLINK__" hidden="1">{"fdsup://Directions/FactSet Auditing Viewer?action=AUDIT_VALUE&amp;DB=129&amp;ID1=81685010&amp;VALUEID=02001&amp;SDATE=200902&amp;PERIODTYPE=QTR_STD&amp;SCFT=3&amp;window=popup_no_bar&amp;width=385&amp;height=120&amp;START_MAXIMIZED=FALSE&amp;creator=factset&amp;display_string=Audit"}</definedName>
    <definedName name="_937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8__FDSAUDITLINK__" hidden="1">{"fdsup://Directions/FactSet Auditing Viewer?action=AUDIT_VALUE&amp;DB=129&amp;ID1=82691910&amp;VALUEID=02001&amp;SDATE=200902&amp;PERIODTYPE=QTR_STD&amp;SCFT=3&amp;window=popup_no_bar&amp;width=385&amp;height=120&amp;START_MAXIMIZED=FALSE&amp;creator=factset&amp;display_string=Audit"}</definedName>
    <definedName name="_939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__FDSAUDITLINK__" hidden="1">{"fdsup://Directions/FactSet Auditing Viewer?action=AUDIT_VALUE&amp;DB=129&amp;ID1=46069S10&amp;VALUEID=02001&amp;SDATE=201101&amp;PERIODTYPE=QTR_STD&amp;SCFT=3&amp;window=popup_no_bar&amp;width=385&amp;height=120&amp;START_MAXIMIZED=FALSE&amp;creator=factset&amp;display_string=Audit"}</definedName>
    <definedName name="_940__FDSAUDITLINK__" hidden="1">{"fdsup://Directions/FactSet Auditing Viewer?action=AUDIT_VALUE&amp;DB=129&amp;ID1=82705T10&amp;VALUEID=02001&amp;SDATE=200902&amp;PERIODTYPE=QTR_STD&amp;SCFT=3&amp;window=popup_no_bar&amp;width=385&amp;height=120&amp;START_MAXIMIZED=FALSE&amp;creator=factset&amp;display_string=Audit"}</definedName>
    <definedName name="_941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2__FDSAUDITLINK__" hidden="1">{"fdsup://Directions/FactSet Auditing Viewer?action=AUDIT_VALUE&amp;DB=129&amp;ID1=75091710&amp;VALUEID=02001&amp;SDATE=200902&amp;PERIODTYPE=QTR_STD&amp;SCFT=3&amp;window=popup_no_bar&amp;width=385&amp;height=120&amp;START_MAXIMIZED=FALSE&amp;creator=factset&amp;display_string=Audit"}</definedName>
    <definedName name="_943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4__FDSAUDITLINK__" hidden="1">{"fdsup://Directions/FactSet Auditing Viewer?action=AUDIT_VALUE&amp;DB=129&amp;ID1=74994110&amp;VALUEID=02001&amp;SDATE=200901&amp;PERIODTYPE=QTR_STD&amp;SCFT=3&amp;window=popup_no_bar&amp;width=385&amp;height=120&amp;START_MAXIMIZED=FALSE&amp;creator=factset&amp;display_string=Audit"}</definedName>
    <definedName name="_945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6__FDSAUDITLINK__" hidden="1">{"fdsup://Directions/FactSet Auditing Viewer?action=AUDIT_VALUE&amp;DB=129&amp;ID1=74727710&amp;VALUEID=02001&amp;SDATE=200901&amp;PERIODTYPE=QTR_STD&amp;SCFT=3&amp;window=popup_no_bar&amp;width=385&amp;height=120&amp;START_MAXIMIZED=FALSE&amp;creator=factset&amp;display_string=Audit"}</definedName>
    <definedName name="_947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8__FDSAUDITLINK__" hidden="1">{"fdsup://Directions/FactSet Auditing Viewer?action=AUDIT_VALUE&amp;DB=129&amp;ID1=74752510&amp;VALUEID=02001&amp;SDATE=200903&amp;PERIODTYPE=QTR_STD&amp;SCFT=3&amp;window=popup_no_bar&amp;width=385&amp;height=120&amp;START_MAXIMIZED=FALSE&amp;creator=factset&amp;display_string=Audit"}</definedName>
    <definedName name="_949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50__FDSAUDITLINK__" hidden="1">{"fdsup://Directions/FactSet Auditing Viewer?action=AUDIT_VALUE&amp;DB=129&amp;ID1=72581M30&amp;VALUEID=02001&amp;SDATE=200902&amp;PERIODTYPE=QTR_STD&amp;SCFT=3&amp;window=popup_no_bar&amp;width=385&amp;height=120&amp;START_MAXIMIZED=FALSE&amp;creator=factset&amp;display_string=Audit"}</definedName>
    <definedName name="_951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2__FDSAUDITLINK__" hidden="1">{"fdsup://Directions/FactSet Auditing Viewer?action=AUDIT_VALUE&amp;DB=129&amp;ID1=73927610&amp;VALUEID=02001&amp;SDATE=200902&amp;PERIODTYPE=QTR_STD&amp;SCFT=3&amp;window=popup_no_bar&amp;width=385&amp;height=120&amp;START_MAXIMIZED=FALSE&amp;creator=factset&amp;display_string=Audit"}</definedName>
    <definedName name="_953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4__FDSAUDITLINK__" hidden="1">{"fdsup://Directions/FactSet Auditing Viewer?action=AUDIT_VALUE&amp;DB=129&amp;ID1=69344F10&amp;VALUEID=02001&amp;SDATE=200902&amp;PERIODTYPE=QTR_STD&amp;SCFT=3&amp;window=popup_no_bar&amp;width=385&amp;height=120&amp;START_MAXIMIZED=FALSE&amp;creator=factset&amp;display_string=Audit"}</definedName>
    <definedName name="_955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6__FDSAUDITLINK__" hidden="1">{"fdsup://Directions/FactSet Auditing Viewer?action=AUDIT_VALUE&amp;DB=129&amp;ID1=69341710&amp;VALUEID=02001&amp;SDATE=200902&amp;PERIODTYPE=QTR_STD&amp;SCFT=3&amp;window=popup_no_bar&amp;width=385&amp;height=120&amp;START_MAXIMIZED=FALSE&amp;creator=factset&amp;display_string=Audit"}</definedName>
    <definedName name="_957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8__FDSAUDITLINK__" hidden="1">{"fdsup://Directions/FactSet Auditing Viewer?action=AUDIT_VALUE&amp;DB=129&amp;ID1=68218910&amp;VALUEID=02001&amp;SDATE=200902&amp;PERIODTYPE=QTR_STD&amp;SCFT=3&amp;window=popup_no_bar&amp;width=385&amp;height=120&amp;START_MAXIMIZED=FALSE&amp;creator=factset&amp;display_string=Audit"}</definedName>
    <definedName name="_959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__FDSAUDITLINK__" hidden="1">{"fdsup://Directions/FactSet Auditing Viewer?action=AUDIT_VALUE&amp;DB=129&amp;ID1=46025410&amp;VALUEID=02001&amp;SDATE=201103&amp;PERIODTYPE=QTR_STD&amp;SCFT=3&amp;window=popup_no_bar&amp;width=385&amp;height=120&amp;START_MAXIMIZED=FALSE&amp;creator=factset&amp;display_string=Audit"}</definedName>
    <definedName name="_960__FDSAUDITLINK__" hidden="1">{"fdsup://Directions/FactSet Auditing Viewer?action=AUDIT_VALUE&amp;DB=129&amp;ID1=B505PN&amp;VALUEID=02001&amp;SDATE=200902&amp;PERIODTYPE=QTR_STD&amp;SCFT=3&amp;window=popup_no_bar&amp;width=385&amp;height=120&amp;START_MAXIMIZED=FALSE&amp;creator=factset&amp;display_string=Audit"}</definedName>
    <definedName name="_961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2__FDSAUDITLINK__" hidden="1">{"fdsup://Directions/FactSet Auditing Viewer?action=AUDIT_VALUE&amp;DB=129&amp;ID1=67000810&amp;VALUEID=02001&amp;SDATE=200902&amp;PERIODTYPE=QTR_STD&amp;SCFT=3&amp;window=popup_no_bar&amp;width=385&amp;height=120&amp;START_MAXIMIZED=FALSE&amp;creator=factset&amp;display_string=Audit"}</definedName>
    <definedName name="_963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4__FDSAUDITLINK__" hidden="1">{"fdsup://Directions/FactSet Auditing Viewer?action=AUDIT_VALUE&amp;DB=129&amp;ID1=67066G10&amp;VALUEID=02001&amp;SDATE=200902&amp;PERIODTYPE=QTR_STD&amp;SCFT=3&amp;window=popup_no_bar&amp;width=385&amp;height=120&amp;START_MAXIMIZED=FALSE&amp;creator=factset&amp;display_string=Audit"}</definedName>
    <definedName name="_965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6__FDSAUDITLINK__" hidden="1">{"fdsup://Directions/FactSet Auditing Viewer?action=AUDIT_VALUE&amp;DB=129&amp;ID1=64118B10&amp;VALUEID=02001&amp;SDATE=200902&amp;PERIODTYPE=QTR_STD&amp;SCFT=3&amp;window=popup_no_bar&amp;width=385&amp;height=120&amp;START_MAXIMIZED=FALSE&amp;creator=factset&amp;display_string=Audit"}</definedName>
    <definedName name="_967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8__FDSAUDITLINK__" hidden="1">{"fdsup://Directions/FactSet Auditing Viewer?action=AUDIT_VALUE&amp;DB=129&amp;ID1=59511210&amp;VALUEID=02001&amp;SDATE=200903&amp;PERIODTYPE=QTR_STD&amp;SCFT=3&amp;window=popup_no_bar&amp;width=385&amp;height=120&amp;START_MAXIMIZED=FALSE&amp;creator=factset&amp;display_string=Audit"}</definedName>
    <definedName name="_969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70__FDSAUDITLINK__" hidden="1">{"fdsup://Directions/FactSet Auditing Viewer?action=AUDIT_VALUE&amp;DB=129&amp;ID1=59513710&amp;VALUEID=02001&amp;SDATE=200903&amp;PERIODTYPE=QTR_STD&amp;SCFT=3&amp;window=popup_no_bar&amp;width=385&amp;height=120&amp;START_MAXIMIZED=FALSE&amp;creator=factset&amp;display_string=Audit"}</definedName>
    <definedName name="_971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2__FDSAUDITLINK__" hidden="1">{"fdsup://Directions/FactSet Auditing Viewer?action=AUDIT_VALUE&amp;DB=129&amp;ID1=G5876H10&amp;VALUEID=02001&amp;SDATE=200902&amp;PERIODTYPE=QTR_STD&amp;SCFT=3&amp;window=popup_no_bar&amp;width=385&amp;height=120&amp;START_MAXIMIZED=FALSE&amp;creator=factset&amp;display_string=Audit"}</definedName>
    <definedName name="_973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4__FDSAUDITLINK__" hidden="1">{"fdsup://Directions/FactSet Auditing Viewer?action=AUDIT_VALUE&amp;DB=129&amp;ID1=62007630&amp;VALUEID=02001&amp;SDATE=200902&amp;PERIODTYPE=QTR_STD&amp;SCFT=3&amp;window=popup_no_bar&amp;width=385&amp;height=120&amp;START_MAXIMIZED=FALSE&amp;creator=factset&amp;display_string=Audit"}</definedName>
    <definedName name="_975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6__FDSAUDITLINK__" hidden="1">{"fdsup://Directions/FactSet Auditing Viewer?action=AUDIT_VALUE&amp;DB=129&amp;ID1=59479310&amp;VALUEID=02001&amp;SDATE=200902&amp;PERIODTYPE=QTR_STD&amp;SCFT=3&amp;window=popup_no_bar&amp;width=385&amp;height=120&amp;START_MAXIMIZED=FALSE&amp;creator=factset&amp;display_string=Audit"}</definedName>
    <definedName name="_977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8__FDSAUDITLINK__" hidden="1">{"fdsup://Directions/FactSet Auditing Viewer?action=AUDIT_VALUE&amp;DB=129&amp;ID1=59501710&amp;VALUEID=02001&amp;SDATE=200901&amp;PERIODTYPE=QTR_STD&amp;SCFT=3&amp;window=popup_no_bar&amp;width=385&amp;height=120&amp;START_MAXIMIZED=FALSE&amp;creator=factset&amp;display_string=Audit"}</definedName>
    <definedName name="_979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__FDSAUDITLINK__" hidden="1">{"fdsup://Directions/FactSet Auditing Viewer?action=AUDIT_VALUE&amp;DB=129&amp;ID1=45772F10&amp;VALUEID=02001&amp;SDATE=201101&amp;PERIODTYPE=QTR_STD&amp;SCFT=3&amp;window=popup_no_bar&amp;width=385&amp;height=120&amp;START_MAXIMIZED=FALSE&amp;creator=factset&amp;display_string=Audit"}</definedName>
    <definedName name="_980__FDSAUDITLINK__" hidden="1">{"fdsup://Directions/FactSet Auditing Viewer?action=AUDIT_VALUE&amp;DB=129&amp;ID1=50216110&amp;VALUEID=02001&amp;SDATE=200902&amp;PERIODTYPE=QTR_STD&amp;SCFT=3&amp;window=popup_no_bar&amp;width=385&amp;height=120&amp;START_MAXIMIZED=FALSE&amp;creator=factset&amp;display_string=Audit"}</definedName>
    <definedName name="_981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2__FDSAUDITLINK__" hidden="1">{"fdsup://Directions/FactSet Auditing Viewer?action=AUDIT_VALUE&amp;DB=129&amp;ID1=51841510&amp;VALUEID=02001&amp;SDATE=200902&amp;PERIODTYPE=QTR_STD&amp;SCFT=3&amp;window=popup_no_bar&amp;width=385&amp;height=120&amp;START_MAXIMIZED=FALSE&amp;creator=factset&amp;display_string=Audit"}</definedName>
    <definedName name="_983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4__FDSAUDITLINK__" hidden="1">{"fdsup://Directions/FactSet Auditing Viewer?action=AUDIT_VALUE&amp;DB=129&amp;ID1=48836020&amp;VALUEID=02001&amp;SDATE=200901&amp;PERIODTYPE=QTR_STD&amp;SCFT=3&amp;window=popup_no_bar&amp;width=385&amp;height=120&amp;START_MAXIMIZED=FALSE&amp;creator=factset&amp;display_string=Audit"}</definedName>
    <definedName name="_985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6__FDSAUDITLINK__" hidden="1">{"fdsup://Directions/FactSet Auditing Viewer?action=AUDIT_VALUE&amp;DB=129&amp;ID1=48203R10&amp;VALUEID=02001&amp;SDATE=200902&amp;PERIODTYPE=QTR_STD&amp;SCFT=3&amp;window=popup_no_bar&amp;width=385&amp;height=120&amp;START_MAXIMIZED=FALSE&amp;creator=factset&amp;display_string=Audit"}</definedName>
    <definedName name="_987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8__FDSAUDITLINK__" hidden="1">{"fdsup://Directions/FactSet Auditing Viewer?action=AUDIT_VALUE&amp;DB=129&amp;ID1=46069S10&amp;VALUEID=02001&amp;SDATE=200902&amp;PERIODTYPE=QTR_STD&amp;SCFT=3&amp;window=popup_no_bar&amp;width=385&amp;height=120&amp;START_MAXIMIZED=FALSE&amp;creator=factset&amp;display_string=Audit"}</definedName>
    <definedName name="_989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__FDSAUDITLINK__" hidden="1">{"fdsup://Directions/FactSet Auditing Viewer?action=AUDIT_VALUE&amp;DB=129&amp;ID1=45814010&amp;VALUEID=02001&amp;SDATE=201101&amp;PERIODTYPE=QTR_STD&amp;SCFT=3&amp;window=popup_no_bar&amp;width=385&amp;height=120&amp;START_MAXIMIZED=FALSE&amp;creator=factset&amp;display_string=Audit"}</definedName>
    <definedName name="_990__FDSAUDITLINK__" hidden="1">{"fdsup://Directions/FactSet Auditing Viewer?action=AUDIT_VALUE&amp;DB=129&amp;ID1=45814010&amp;VALUEID=02001&amp;SDATE=200902&amp;PERIODTYPE=QTR_STD&amp;SCFT=3&amp;window=popup_no_bar&amp;width=385&amp;height=120&amp;START_MAXIMIZED=FALSE&amp;creator=factset&amp;display_string=Audit"}</definedName>
    <definedName name="_991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2__FDSAUDITLINK__" hidden="1">{"fdsup://Directions/FactSet Auditing Viewer?action=AUDIT_VALUE&amp;DB=129&amp;ID1=45811810&amp;VALUEID=02001&amp;SDATE=200901&amp;PERIODTYPE=QTR_STD&amp;SCFT=3&amp;window=popup_no_bar&amp;width=385&amp;height=120&amp;START_MAXIMIZED=FALSE&amp;creator=factset&amp;display_string=Audit"}</definedName>
    <definedName name="_993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4__FDSAUDITLINK__" hidden="1">{"fdsup://Directions/FactSet Auditing Viewer?action=AUDIT_VALUE&amp;DB=129&amp;ID1=42823610&amp;VALUEID=02001&amp;SDATE=200903&amp;PERIODTYPE=QTR_STD&amp;SCFT=3&amp;window=popup_no_bar&amp;width=385&amp;height=120&amp;START_MAXIMIZED=FALSE&amp;creator=factset&amp;display_string=Audit"}</definedName>
    <definedName name="_995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6__FDSAUDITLINK__" hidden="1">{"fdsup://Directions/FactSet Auditing Viewer?action=AUDIT_VALUE&amp;DB=129&amp;ID1=34637510&amp;VALUEID=02001&amp;SDATE=200902&amp;PERIODTYPE=QTR_STD&amp;SCFT=3&amp;window=popup_no_bar&amp;width=385&amp;height=120&amp;START_MAXIMIZED=FALSE&amp;creator=factset&amp;display_string=Audit"}</definedName>
    <definedName name="_997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8__FDSAUDITLINK__" hidden="1">{"fdsup://Directions/FactSet Auditing Viewer?action=AUDIT_VALUE&amp;DB=129&amp;ID1=31561610&amp;VALUEID=02001&amp;SDATE=200903&amp;PERIODTYPE=QTR_STD&amp;SCFT=3&amp;window=popup_no_bar&amp;width=385&amp;height=120&amp;START_MAXIMIZED=FALSE&amp;creator=factset&amp;display_string=Audit"}</definedName>
    <definedName name="_999__FDSAUDITLINK__" hidden="1">{"fdsup://Directions/FactSet Auditing Viewer?action=AUDIT_VALUE&amp;DB=129&amp;ID1=25454310&amp;VALUEID=02001&amp;SDATE=200902&amp;PERIODTYPE=QTR_STD&amp;SCFT=3&amp;window=popup_no_bar&amp;width=385&amp;height=120&amp;START_MAXIMIZED=FALSE&amp;creator=factset&amp;display_string=Audit"}</definedName>
    <definedName name="_bdm.02E29E7B1053433EA3CCCBE4E5141596.edm" hidden="1">[1]Sheet1!$A:$IV</definedName>
    <definedName name="_bdm.1DEE08FDE02446A199B2C8AD0A892864.edm" hidden="1">CFS!$1:$1048576</definedName>
    <definedName name="_bdm.20D3CDB43D6241CE9758F12A9445FFC1.edm" hidden="1">#REF!</definedName>
    <definedName name="_bdm.3546D26593F3404A96FAEA635ECBC8A4.edm" localSheetId="5" hidden="1">CFS!$B$8:$BF$54</definedName>
    <definedName name="_bdm.417710F1DDA64B9C9C415D7AAEBB885F.edm" localSheetId="4" hidden="1">BS!$B$8:$BF$41</definedName>
    <definedName name="_bdm.5525B316B6DF439FAF27A0AEA1F987B8.edm" localSheetId="3" hidden="1">'IS Inc FSL'!$A$5:$BF$112</definedName>
    <definedName name="_bdm.63619EFC317D4B49A450116D8DD2FE93.edm" localSheetId="4" hidden="1">BS!$B$7:$BF$41</definedName>
    <definedName name="_bdm.9040A24E68824B4B871151548CF02F3C.edm" hidden="1">BS!$1:$1048576</definedName>
    <definedName name="_bdm.9F3565EA3D934151BB5339FBAF50D66C.edm" localSheetId="5" hidden="1">CFS!$B$7:$BF$54</definedName>
    <definedName name="_bdm.B7BEC46773094BE3A979E14CEDD47D54.edm" localSheetId="3" hidden="1">'IS Inc FSL'!$A$6:$BF$113</definedName>
    <definedName name="_bdm.C587E3FBC3A34DC594D8111245FEB1FF.edm" localSheetId="3" hidden="1">'IS Inc FSL'!$B$6:$BF$112</definedName>
    <definedName name="_bdm.D50883F36A28402DB0BC5B743B05449A.edm" localSheetId="3" hidden="1">'IS Inc FSL'!$B$5:$BF$112</definedName>
    <definedName name="_Order1" hidden="1">255</definedName>
    <definedName name="AdditionalInstructions">IndexInformation!$B$42</definedName>
    <definedName name="Address" localSheetId="2">ImportantDisclosures!$A$2:$A$2</definedName>
    <definedName name="ANA" localSheetId="8">ModPubIndex!$A$7</definedName>
    <definedName name="anscount" hidden="1">1</definedName>
    <definedName name="Authors" localSheetId="2">ImportantDisclosures!$A$7</definedName>
    <definedName name="Authors" localSheetId="7">IndexInformation!$B$18</definedName>
    <definedName name="BRO" localSheetId="8">ModPubIndex!$A$1</definedName>
    <definedName name="BS">BS!$D$43:$BJ$43</definedName>
    <definedName name="CopyrightStamp">ImportantDisclosures!$A$27</definedName>
    <definedName name="COU" localSheetId="8">ModPubIndex!$A$5</definedName>
    <definedName name="CQEnd" localSheetId="7">IndexInformation!$B$31</definedName>
    <definedName name="Currency" localSheetId="7">IndexInformation!$B$24</definedName>
    <definedName name="CurrentStockPrice" localSheetId="7">IndexInformation!$B$23</definedName>
    <definedName name="CurrQtrEPS" localSheetId="7">IndexInformation!$B$29</definedName>
    <definedName name="CurrYearEPS" localSheetId="7">IndexInformation!$B$11</definedName>
    <definedName name="CurrYearTotalRevenue" localSheetId="7">IndexInformation!$B$10</definedName>
    <definedName name="CurrYearTotalRevenueActual" localSheetId="7">IndexInformation!$B$32</definedName>
    <definedName name="CUSIP" localSheetId="7">IndexInformation!$B$20</definedName>
    <definedName name="CYEnd" localSheetId="7">IndexInformation!$B$30</definedName>
    <definedName name="dataseries4">OFFSET([2]c1!$G$12,0,0,COUNTA([2]c1!$G$12:$G$31),1)</definedName>
    <definedName name="Date" localSheetId="2">ImportantDisclosures!$A$8</definedName>
    <definedName name="Deleted" localSheetId="7">IndexInformation!$B$27</definedName>
    <definedName name="Description" localSheetId="7">IndexInformation!$B$7</definedName>
    <definedName name="Discipline" localSheetId="7">IndexInformation!$B$3</definedName>
    <definedName name="DISCIPLINE" localSheetId="8">ModPubIndex!$A$12</definedName>
    <definedName name="DisclosuresText">ImportantDisclosures!$A$22</definedName>
    <definedName name="Distribution" localSheetId="7">IndexInformation!$B$26</definedName>
    <definedName name="DistTable" localSheetId="2">ImportantDisclosures!#REF!</definedName>
    <definedName name="DistTablePreamble" localSheetId="2">ImportantDisclosures!#REF!</definedName>
    <definedName name="DOCDAT" localSheetId="8">ModPubIndex!$A$2</definedName>
    <definedName name="DOCTIME" localSheetId="8">ModPubIndex!$A$3</definedName>
    <definedName name="DocType" localSheetId="7">IndexInformation!$B$5</definedName>
    <definedName name="EMAIL_ALERT" localSheetId="8">ModPubIndex!$A$10</definedName>
    <definedName name="EmailAlert" localSheetId="7">IndexInformation!$B$28</definedName>
    <definedName name="FiveYearGrowthRate" localSheetId="7">IndexInformation!$B$16</definedName>
    <definedName name="FollowingYearEPS" localSheetId="7">IndexInformation!$B$15</definedName>
    <definedName name="FollowingYearTotalRevenue" localSheetId="7">IndexInformation!$B$14</definedName>
    <definedName name="FollowingYearTotalRevenueActual" localSheetId="7">IndexInformation!$B$34</definedName>
    <definedName name="HL" localSheetId="8">ModPubIndex!$A$8</definedName>
    <definedName name="IND" localSheetId="8">ModPubIndex!$A$9</definedName>
    <definedName name="Industry" localSheetId="2">ImportantDisclosures!$A$12</definedName>
    <definedName name="IndustryId">IndexInformation!$B$40</definedName>
    <definedName name="IndustryRating" localSheetId="2">ImportantDisclosures!$A$13</definedName>
    <definedName name="KeepVersions" localSheetId="7">IndexInformation!$B$8</definedName>
    <definedName name="LanguageCode">IndexInformation!$B$38</definedName>
    <definedName name="LastCell" localSheetId="2">ImportantDisclosures!$A$22</definedName>
    <definedName name="Linking_11">BS!$B$7:$AU$41</definedName>
    <definedName name="Linking_14">CFS!$B$7:$BL$54</definedName>
    <definedName name="Linking_24">BS!$AT$30</definedName>
    <definedName name="Linking_31">BS!$B$7:$AY$41</definedName>
    <definedName name="Linking_37">'IS Inc FSL'!$B$5:$BN$113</definedName>
    <definedName name="Linking_38">CFS!$B$7:$BN$54</definedName>
    <definedName name="Linking_5">'IS Inc FSL'!$B$5:$BL$113</definedName>
    <definedName name="Linking_6">'IS Inc FSL'!$B$5:$BM$113</definedName>
    <definedName name="Linking_7">#N/A</definedName>
    <definedName name="Linking_Range_15">BS!$B$7:$AI$41</definedName>
    <definedName name="Linking_Range_22">#REF!</definedName>
    <definedName name="Linking_Range_23">BS!$B$7:$BH$41</definedName>
    <definedName name="Linking_Range_24">CFS!$B$7:$BH$54</definedName>
    <definedName name="Linking_Range_27">#REF!</definedName>
    <definedName name="Linking_Range_30">BS!$B$7:$BI$41</definedName>
    <definedName name="Linking_Range_31">CFS!$B$7:$BI$54</definedName>
    <definedName name="Linking_Range_37">BS!$B$7:$AM$41</definedName>
    <definedName name="Linking_Range_42">#REF!</definedName>
    <definedName name="Linking_Range_43">BS!$B$7:$BJ$41</definedName>
    <definedName name="Linking_Range_44">CFS!$B$7:$BJ$54</definedName>
    <definedName name="Linking_Range_48">#REF!</definedName>
    <definedName name="Linking_Range_5">#REF!</definedName>
    <definedName name="Linking_Range_51">BS!$B$7:$AQ$41</definedName>
    <definedName name="Linking_Range_6">BS!$B$7:$BG$41</definedName>
    <definedName name="Linking_Range_7">CFS!$B$7:$BG$54</definedName>
    <definedName name="Linking_Range_8">#REF!</definedName>
    <definedName name="Linking_Range_9">#REF!</definedName>
    <definedName name="MacroVersion" localSheetId="7">IndexInformation!$B$1</definedName>
    <definedName name="ModelPrice" localSheetId="2">ImportantDisclosures!$A$14</definedName>
    <definedName name="Multiplier" localSheetId="7">IndexInformation!$B$35</definedName>
    <definedName name="NextYearEPS" localSheetId="7">IndexInformation!$B$13</definedName>
    <definedName name="NextYearTotalRevenue" localSheetId="7">IndexInformation!$B$12</definedName>
    <definedName name="NextYearTotalRevenueActual" localSheetId="7">IndexInformation!$B$33</definedName>
    <definedName name="ObjectType">IndexInformation!$B$37</definedName>
    <definedName name="PANA" localSheetId="8">ModPubIndex!$A$11</definedName>
    <definedName name="PathName" localSheetId="7">IndexInformation!$B$25</definedName>
    <definedName name="_xlnm.Print_Area" localSheetId="6">'NXP BU-Segment'!$B$449:$BH$498</definedName>
    <definedName name="PRODUCT" localSheetId="8">ModPubIndex!$A$6</definedName>
    <definedName name="PSYM" localSheetId="8">ModPubIndex!$A$4</definedName>
    <definedName name="PublishDate" localSheetId="7">IndexInformation!$B$2</definedName>
    <definedName name="Rating" localSheetId="7">IndexInformation!$B$9</definedName>
    <definedName name="RatingsDefined" localSheetId="2">ImportantDisclosures!$A$21</definedName>
    <definedName name="RatingsDefs" localSheetId="2">ImportantDisclosures!#REF!</definedName>
    <definedName name="RegACDisclosure" localSheetId="2">ImportantDisclosures!#REF!</definedName>
    <definedName name="ResearchTopic" localSheetId="7">IndexInformation!$B$4</definedName>
    <definedName name="RIC" localSheetId="7">IndexInformation!$B$21</definedName>
    <definedName name="SECSettlement" localSheetId="2">ImportantDisclosures!#REF!</definedName>
    <definedName name="SEDOL" localSheetId="7">IndexInformation!$B$22</definedName>
    <definedName name="sencount" hidden="1">1</definedName>
    <definedName name="SourceDefined" localSheetId="2">ImportantDisclosures!$A$19</definedName>
    <definedName name="StockRating" localSheetId="2">ImportantDisclosures!$A$11</definedName>
    <definedName name="SubjectCode" localSheetId="7">IndexInformation!$B$6</definedName>
    <definedName name="SubmitterUserId">IndexInformation!$B$39</definedName>
    <definedName name="SUPPRESSED" localSheetId="8">ModPubIndex!$A$13</definedName>
    <definedName name="TargetPrice" localSheetId="2">ImportantDisclosures!$A$15</definedName>
    <definedName name="TemplateRegion">IndexInformation!$B$36</definedName>
    <definedName name="Ticker" localSheetId="2">ImportantDisclosures!$A$10</definedName>
    <definedName name="TickerRegion">IndexInformation!$B$41</definedName>
    <definedName name="Tickers" localSheetId="7">IndexInformation!$B$19</definedName>
    <definedName name="UpdateReason" localSheetId="7">IndexInformation!$B$17</definedName>
    <definedName name="USRegDisclosures" localSheetId="2">ImportantDisclosures!#REF!</definedName>
  </definedNames>
  <calcPr calcId="145621" calcMode="autoNoTable" iterate="1"/>
</workbook>
</file>

<file path=xl/calcChain.xml><?xml version="1.0" encoding="utf-8"?>
<calcChain xmlns="http://schemas.openxmlformats.org/spreadsheetml/2006/main">
  <c r="BO48" i="13" l="1"/>
  <c r="BO40" i="13"/>
  <c r="BO32" i="13"/>
  <c r="BO24" i="13"/>
  <c r="BO16" i="13"/>
  <c r="BN116" i="71" l="1"/>
  <c r="BM116" i="71"/>
  <c r="AU71" i="3" l="1"/>
  <c r="AU69" i="3"/>
  <c r="AU72" i="3" s="1"/>
  <c r="AU67" i="3"/>
  <c r="AU62" i="3"/>
  <c r="BM18" i="13" l="1"/>
  <c r="BN18" i="13"/>
  <c r="AV75" i="71"/>
  <c r="AW75" i="71" s="1"/>
  <c r="AX75" i="71" s="1"/>
  <c r="AY75" i="71" s="1"/>
  <c r="AX80" i="3" l="1"/>
  <c r="AY80" i="3" s="1"/>
  <c r="AW80" i="3"/>
  <c r="AV78" i="3"/>
  <c r="AW216" i="13"/>
  <c r="AX216" i="13" s="1"/>
  <c r="BP10" i="71"/>
  <c r="BQ10" i="71"/>
  <c r="AW357" i="13"/>
  <c r="AU357" i="13"/>
  <c r="AX357" i="13" l="1"/>
  <c r="BK66" i="3"/>
  <c r="AU16" i="13"/>
  <c r="AU353" i="13"/>
  <c r="AU352" i="13"/>
  <c r="AU51" i="13"/>
  <c r="AU50" i="13"/>
  <c r="AU49" i="13"/>
  <c r="AU43" i="13"/>
  <c r="AU42" i="13"/>
  <c r="AU41" i="13"/>
  <c r="AU35" i="13"/>
  <c r="AU34" i="13"/>
  <c r="AU33" i="13"/>
  <c r="AU27" i="13"/>
  <c r="AU26" i="13"/>
  <c r="AU25" i="13"/>
  <c r="AU59" i="2"/>
  <c r="AU19" i="3"/>
  <c r="AU29" i="3"/>
  <c r="AU56" i="3"/>
  <c r="AU46" i="3"/>
  <c r="AU38" i="3"/>
  <c r="AU53" i="2"/>
  <c r="AU52" i="2"/>
  <c r="AU50" i="2"/>
  <c r="AU49" i="2"/>
  <c r="AU48" i="2" s="1"/>
  <c r="AU47" i="2"/>
  <c r="AU36" i="2"/>
  <c r="AU27" i="2"/>
  <c r="AU32" i="2"/>
  <c r="AU17" i="2"/>
  <c r="AU24" i="2" s="1"/>
  <c r="AU123" i="71"/>
  <c r="AU77" i="71"/>
  <c r="AU76" i="71"/>
  <c r="AU56" i="71"/>
  <c r="AU57" i="71" s="1"/>
  <c r="AU45" i="71"/>
  <c r="AU32" i="71"/>
  <c r="AU16" i="71"/>
  <c r="AU17" i="71" s="1"/>
  <c r="AU22" i="71" s="1"/>
  <c r="AU126" i="71"/>
  <c r="AU124" i="71"/>
  <c r="AU120" i="71"/>
  <c r="AU54" i="71"/>
  <c r="AU59" i="71" s="1"/>
  <c r="AU103" i="71"/>
  <c r="AU89" i="71"/>
  <c r="AU50" i="71"/>
  <c r="AU51" i="71" s="1"/>
  <c r="AU42" i="71"/>
  <c r="AU29" i="71"/>
  <c r="AU19" i="71"/>
  <c r="AU10" i="71"/>
  <c r="AU9" i="71"/>
  <c r="AY357" i="13" l="1"/>
  <c r="AU18" i="13"/>
  <c r="AU17" i="13"/>
  <c r="AU95" i="71"/>
  <c r="AU64" i="71"/>
  <c r="AU20" i="71"/>
  <c r="AU65" i="71"/>
  <c r="AU23" i="71"/>
  <c r="AU25" i="71"/>
  <c r="AU26" i="71" s="1"/>
  <c r="AU33" i="71"/>
  <c r="AU37" i="71"/>
  <c r="AU38" i="71" s="1"/>
  <c r="AU46" i="71"/>
  <c r="AU47" i="71" s="1"/>
  <c r="AU73" i="71"/>
  <c r="AU79" i="71" s="1"/>
  <c r="AU92" i="71" l="1"/>
  <c r="AU80" i="71"/>
  <c r="AU86" i="71"/>
  <c r="AU62" i="71"/>
  <c r="AU34" i="71"/>
  <c r="AU60" i="71" l="1"/>
  <c r="AU61" i="71" s="1"/>
  <c r="AU70" i="71"/>
  <c r="AU100" i="71"/>
  <c r="AU93" i="71"/>
  <c r="AU71" i="71" l="1"/>
  <c r="AU82" i="71"/>
  <c r="AU107" i="71"/>
  <c r="AU110" i="71" s="1"/>
  <c r="AU101" i="71"/>
  <c r="AU83" i="71" l="1"/>
  <c r="AU96" i="71"/>
  <c r="AU90" i="71"/>
  <c r="AU97" i="71" l="1"/>
  <c r="AU108" i="71"/>
  <c r="AU112" i="71" s="1"/>
  <c r="BG103" i="3" l="1"/>
  <c r="BG98" i="3" s="1"/>
  <c r="AO534" i="13"/>
  <c r="AK534" i="13"/>
  <c r="K534" i="13"/>
  <c r="J534" i="13"/>
  <c r="I534" i="13"/>
  <c r="H534" i="13"/>
  <c r="G534" i="13"/>
  <c r="F534" i="13"/>
  <c r="E534" i="13"/>
  <c r="D534" i="13"/>
  <c r="BN534" i="13"/>
  <c r="BM534" i="13"/>
  <c r="BB534" i="13"/>
  <c r="BA534" i="13"/>
  <c r="BB533" i="13"/>
  <c r="BA533" i="13"/>
  <c r="BB532" i="13"/>
  <c r="BA532" i="13"/>
  <c r="BB531" i="13"/>
  <c r="BA531" i="13"/>
  <c r="K533" i="13"/>
  <c r="J533" i="13"/>
  <c r="I533" i="13"/>
  <c r="H533" i="13"/>
  <c r="G533" i="13"/>
  <c r="F533" i="13"/>
  <c r="E533" i="13"/>
  <c r="D533" i="13"/>
  <c r="K532" i="13"/>
  <c r="J532" i="13"/>
  <c r="I532" i="13"/>
  <c r="H532" i="13"/>
  <c r="G532" i="13"/>
  <c r="F532" i="13"/>
  <c r="E532" i="13"/>
  <c r="D532" i="13"/>
  <c r="K531" i="13"/>
  <c r="J531" i="13"/>
  <c r="I531" i="13"/>
  <c r="H531" i="13"/>
  <c r="G531" i="13"/>
  <c r="F531" i="13"/>
  <c r="E531" i="13"/>
  <c r="D531" i="13"/>
  <c r="BI534" i="13"/>
  <c r="BH534" i="13"/>
  <c r="BH533" i="13"/>
  <c r="BC531" i="13"/>
  <c r="Y141" i="13"/>
  <c r="O531" i="13"/>
  <c r="N531" i="13"/>
  <c r="M531" i="13"/>
  <c r="L531" i="13"/>
  <c r="AN516" i="13"/>
  <c r="L516" i="13"/>
  <c r="AQ516" i="13"/>
  <c r="AP516" i="13"/>
  <c r="AM516" i="13"/>
  <c r="AL516" i="13"/>
  <c r="AJ516" i="13"/>
  <c r="AJ518" i="13" s="1"/>
  <c r="AI516" i="13"/>
  <c r="AM519" i="13" s="1"/>
  <c r="AH516" i="13"/>
  <c r="AG516" i="13"/>
  <c r="AF516" i="13"/>
  <c r="AE516" i="13"/>
  <c r="AD516" i="13"/>
  <c r="AC516" i="13"/>
  <c r="AB516" i="13"/>
  <c r="Y516" i="13"/>
  <c r="X516" i="13"/>
  <c r="W516" i="13"/>
  <c r="V516" i="13"/>
  <c r="U516" i="13"/>
  <c r="U534" i="13" s="1"/>
  <c r="T516" i="13"/>
  <c r="S516" i="13"/>
  <c r="S534" i="13" s="1"/>
  <c r="R516" i="13"/>
  <c r="Q516" i="13"/>
  <c r="Q534" i="13" s="1"/>
  <c r="P516" i="13"/>
  <c r="O516" i="13"/>
  <c r="O534" i="13" s="1"/>
  <c r="N516" i="13"/>
  <c r="M516" i="13"/>
  <c r="M534" i="13" s="1"/>
  <c r="AT510" i="13"/>
  <c r="AS510" i="13"/>
  <c r="L505" i="13"/>
  <c r="AP505" i="13"/>
  <c r="AO505" i="13"/>
  <c r="AN505" i="13"/>
  <c r="AM505" i="13"/>
  <c r="AM532" i="13" s="1"/>
  <c r="AL505" i="13"/>
  <c r="AK505" i="13"/>
  <c r="AK532" i="13" s="1"/>
  <c r="AJ505" i="13"/>
  <c r="AI505" i="13"/>
  <c r="AI532" i="13" s="1"/>
  <c r="AH505" i="13"/>
  <c r="AG505" i="13"/>
  <c r="AG532" i="13" s="1"/>
  <c r="AF505" i="13"/>
  <c r="AE505" i="13"/>
  <c r="AE532" i="13" s="1"/>
  <c r="AD505" i="13"/>
  <c r="AC505" i="13"/>
  <c r="AC532" i="13" s="1"/>
  <c r="AB505" i="13"/>
  <c r="Y505" i="13"/>
  <c r="Y532" i="13" s="1"/>
  <c r="X505" i="13"/>
  <c r="W505" i="13"/>
  <c r="W532" i="13" s="1"/>
  <c r="V505" i="13"/>
  <c r="U505" i="13"/>
  <c r="U532" i="13" s="1"/>
  <c r="T505" i="13"/>
  <c r="S505" i="13"/>
  <c r="S532" i="13" s="1"/>
  <c r="R505" i="13"/>
  <c r="Q505" i="13"/>
  <c r="Q532" i="13" s="1"/>
  <c r="P505" i="13"/>
  <c r="O505" i="13"/>
  <c r="O532" i="13" s="1"/>
  <c r="N505" i="13"/>
  <c r="N532" i="13" s="1"/>
  <c r="M505" i="13"/>
  <c r="M532" i="13" s="1"/>
  <c r="O502" i="13"/>
  <c r="N502" i="13"/>
  <c r="M502" i="13"/>
  <c r="AN501" i="13"/>
  <c r="AN531" i="13" s="1"/>
  <c r="AJ501" i="13"/>
  <c r="AJ531" i="13" s="1"/>
  <c r="AI501" i="13"/>
  <c r="AH501" i="13"/>
  <c r="AH531" i="13" s="1"/>
  <c r="AG501" i="13"/>
  <c r="AF501" i="13"/>
  <c r="AF531" i="13" s="1"/>
  <c r="AE501" i="13"/>
  <c r="AD501" i="13"/>
  <c r="AD531" i="13" s="1"/>
  <c r="AC501" i="13"/>
  <c r="AB501" i="13"/>
  <c r="AB531" i="13" s="1"/>
  <c r="AN483" i="13"/>
  <c r="N470" i="13"/>
  <c r="M470" i="13"/>
  <c r="O469" i="13"/>
  <c r="N469" i="13"/>
  <c r="M469" i="13"/>
  <c r="O467" i="13"/>
  <c r="N467" i="13"/>
  <c r="M467" i="13"/>
  <c r="B463" i="13"/>
  <c r="B476" i="13" s="1"/>
  <c r="B489" i="13" s="1"/>
  <c r="O465" i="13"/>
  <c r="N465" i="13"/>
  <c r="M465" i="13"/>
  <c r="O464" i="13"/>
  <c r="N464" i="13"/>
  <c r="M464" i="13"/>
  <c r="AY458" i="13"/>
  <c r="AX458" i="13"/>
  <c r="AW458" i="13"/>
  <c r="AV458" i="13"/>
  <c r="AU458" i="13"/>
  <c r="AT458" i="13"/>
  <c r="AS458" i="13"/>
  <c r="AR458" i="13"/>
  <c r="AQ458" i="13"/>
  <c r="AP458" i="13"/>
  <c r="AO458" i="13"/>
  <c r="AN458" i="13"/>
  <c r="AM458" i="13"/>
  <c r="AL458" i="13"/>
  <c r="AK458" i="13"/>
  <c r="AJ458" i="13"/>
  <c r="AI458" i="13"/>
  <c r="AH458" i="13"/>
  <c r="AG458" i="13"/>
  <c r="AF458" i="13"/>
  <c r="AE458" i="13"/>
  <c r="AD458" i="13"/>
  <c r="AC458" i="13"/>
  <c r="BG458" i="13" s="1"/>
  <c r="AB458" i="13"/>
  <c r="AA458" i="13"/>
  <c r="Z458" i="13"/>
  <c r="Y458" i="13"/>
  <c r="X458" i="13"/>
  <c r="W458" i="13"/>
  <c r="V458" i="13"/>
  <c r="U458" i="13"/>
  <c r="BE458" i="13" s="1"/>
  <c r="T458" i="13"/>
  <c r="S458" i="13"/>
  <c r="R458" i="13"/>
  <c r="Q458" i="13"/>
  <c r="P458" i="13"/>
  <c r="N458" i="13"/>
  <c r="M458" i="13"/>
  <c r="M471" i="13" s="1"/>
  <c r="L458" i="13"/>
  <c r="AM457" i="13"/>
  <c r="AN470" i="13" s="1"/>
  <c r="AL457" i="13"/>
  <c r="AK457" i="13"/>
  <c r="AI457" i="13"/>
  <c r="AH457" i="13"/>
  <c r="AG457" i="13"/>
  <c r="AF457" i="13"/>
  <c r="AE457" i="13"/>
  <c r="AD457" i="13"/>
  <c r="AC457" i="13"/>
  <c r="AB457" i="13"/>
  <c r="AA457" i="13"/>
  <c r="Z457" i="13"/>
  <c r="Y457" i="13"/>
  <c r="X457" i="13"/>
  <c r="W457" i="13"/>
  <c r="V457" i="13"/>
  <c r="U457" i="13"/>
  <c r="T457" i="13"/>
  <c r="S457" i="13"/>
  <c r="R457" i="13"/>
  <c r="Q457" i="13"/>
  <c r="P457" i="13"/>
  <c r="O457" i="13"/>
  <c r="B453" i="13"/>
  <c r="B466" i="13" s="1"/>
  <c r="B479" i="13" s="1"/>
  <c r="B492" i="13" s="1"/>
  <c r="B452" i="13"/>
  <c r="B465" i="13" s="1"/>
  <c r="B478" i="13" s="1"/>
  <c r="B491" i="13" s="1"/>
  <c r="B451" i="13"/>
  <c r="B464" i="13" s="1"/>
  <c r="B477" i="13" s="1"/>
  <c r="B490" i="13" s="1"/>
  <c r="BN458" i="13"/>
  <c r="BM458" i="13"/>
  <c r="BL458" i="13"/>
  <c r="BJ458" i="13"/>
  <c r="BH458" i="13"/>
  <c r="BF458" i="13"/>
  <c r="BD458" i="13"/>
  <c r="BC458" i="13"/>
  <c r="BI457" i="13"/>
  <c r="BG457" i="13"/>
  <c r="BE457" i="13"/>
  <c r="BC457" i="13"/>
  <c r="BC456" i="13"/>
  <c r="BC455" i="13"/>
  <c r="BC454" i="13"/>
  <c r="BC453" i="13"/>
  <c r="BC452" i="13"/>
  <c r="BC451" i="13"/>
  <c r="AT457" i="13"/>
  <c r="AS457" i="13"/>
  <c r="AR457" i="13"/>
  <c r="AQ457" i="13"/>
  <c r="AP457" i="13"/>
  <c r="AO457" i="13"/>
  <c r="AY455" i="13"/>
  <c r="AX455" i="13"/>
  <c r="AW455" i="13"/>
  <c r="AV455" i="13"/>
  <c r="BL455" i="13" s="1"/>
  <c r="AU455" i="13"/>
  <c r="AT455" i="13"/>
  <c r="AS455" i="13"/>
  <c r="AR455" i="13"/>
  <c r="AQ455" i="13"/>
  <c r="AP455" i="13"/>
  <c r="AO455" i="13"/>
  <c r="AT453" i="13"/>
  <c r="AS453" i="13"/>
  <c r="AR453" i="13"/>
  <c r="AQ453" i="13"/>
  <c r="AP453" i="13"/>
  <c r="AO453" i="13"/>
  <c r="AT452" i="13"/>
  <c r="AS452" i="13"/>
  <c r="AR452" i="13"/>
  <c r="AQ452" i="13"/>
  <c r="AP452" i="13"/>
  <c r="AO452" i="13"/>
  <c r="AT451" i="13"/>
  <c r="AS451" i="13"/>
  <c r="AR451" i="13"/>
  <c r="AQ451" i="13"/>
  <c r="AP451" i="13"/>
  <c r="AO451" i="13"/>
  <c r="AT450" i="13"/>
  <c r="AS450" i="13"/>
  <c r="AR450" i="13"/>
  <c r="AQ450" i="13"/>
  <c r="AP450" i="13"/>
  <c r="AO450" i="13"/>
  <c r="AN455" i="13"/>
  <c r="AM455" i="13"/>
  <c r="AL455" i="13"/>
  <c r="AK455" i="13"/>
  <c r="AJ455" i="13"/>
  <c r="AI455" i="13"/>
  <c r="AH455" i="13"/>
  <c r="AG455" i="13"/>
  <c r="AF455" i="13"/>
  <c r="AE455" i="13"/>
  <c r="AD455" i="13"/>
  <c r="AC455" i="13"/>
  <c r="AB455" i="13"/>
  <c r="AN453" i="13"/>
  <c r="AM453" i="13"/>
  <c r="AL453" i="13"/>
  <c r="AK453" i="13"/>
  <c r="AJ453" i="13"/>
  <c r="AI453" i="13"/>
  <c r="AH453" i="13"/>
  <c r="AG453" i="13"/>
  <c r="AF453" i="13"/>
  <c r="AE453" i="13"/>
  <c r="AD453" i="13"/>
  <c r="AC453" i="13"/>
  <c r="AB453" i="13"/>
  <c r="AA453" i="13"/>
  <c r="Z453" i="13"/>
  <c r="Y453" i="13"/>
  <c r="X453" i="13"/>
  <c r="W453" i="13"/>
  <c r="V453" i="13"/>
  <c r="U453" i="13"/>
  <c r="T453" i="13"/>
  <c r="S453" i="13"/>
  <c r="R453" i="13"/>
  <c r="Q453" i="13"/>
  <c r="P453" i="13"/>
  <c r="AN452" i="13"/>
  <c r="BJ452" i="13" s="1"/>
  <c r="AM452" i="13"/>
  <c r="AL452" i="13"/>
  <c r="AK452" i="13"/>
  <c r="AJ452" i="13"/>
  <c r="AI452" i="13"/>
  <c r="AH452" i="13"/>
  <c r="AG452" i="13"/>
  <c r="AF452" i="13"/>
  <c r="BH452" i="13" s="1"/>
  <c r="AE452" i="13"/>
  <c r="AD452" i="13"/>
  <c r="AC452" i="13"/>
  <c r="AB452" i="13"/>
  <c r="AA452" i="13"/>
  <c r="Z452" i="13"/>
  <c r="Y452" i="13"/>
  <c r="X452" i="13"/>
  <c r="BF452" i="13" s="1"/>
  <c r="W452" i="13"/>
  <c r="V452" i="13"/>
  <c r="U452" i="13"/>
  <c r="T452" i="13"/>
  <c r="S452" i="13"/>
  <c r="R452" i="13"/>
  <c r="Q452" i="13"/>
  <c r="P452" i="13"/>
  <c r="BD452" i="13" s="1"/>
  <c r="AN451" i="13"/>
  <c r="AM451" i="13"/>
  <c r="AL451" i="13"/>
  <c r="AK451" i="13"/>
  <c r="AJ451" i="13"/>
  <c r="AI451" i="13"/>
  <c r="AH451" i="13"/>
  <c r="AG451" i="13"/>
  <c r="AF451" i="13"/>
  <c r="AE451" i="13"/>
  <c r="AD451" i="13"/>
  <c r="AC451" i="13"/>
  <c r="AB451" i="13"/>
  <c r="AA451" i="13"/>
  <c r="Z451" i="13"/>
  <c r="Y451" i="13"/>
  <c r="X451" i="13"/>
  <c r="W451" i="13"/>
  <c r="V451" i="13"/>
  <c r="U451" i="13"/>
  <c r="T451" i="13"/>
  <c r="S451" i="13"/>
  <c r="R451" i="13"/>
  <c r="Q451" i="13"/>
  <c r="P451" i="13"/>
  <c r="AN450" i="13"/>
  <c r="BJ450" i="13" s="1"/>
  <c r="AM450" i="13"/>
  <c r="AL450" i="13"/>
  <c r="AK450" i="13"/>
  <c r="AJ450" i="13"/>
  <c r="AI450" i="13"/>
  <c r="AH450" i="13"/>
  <c r="AG450" i="13"/>
  <c r="AF450" i="13"/>
  <c r="BH450" i="13" s="1"/>
  <c r="AE450" i="13"/>
  <c r="AD450" i="13"/>
  <c r="AC450" i="13"/>
  <c r="AB450" i="13"/>
  <c r="AA450" i="13"/>
  <c r="Z450" i="13"/>
  <c r="Y450" i="13"/>
  <c r="X450" i="13"/>
  <c r="BF450" i="13" s="1"/>
  <c r="W450" i="13"/>
  <c r="V450" i="13"/>
  <c r="U450" i="13"/>
  <c r="T450" i="13"/>
  <c r="S450" i="13"/>
  <c r="R450" i="13"/>
  <c r="Q450" i="13"/>
  <c r="P450" i="13"/>
  <c r="BD450" i="13" s="1"/>
  <c r="O450" i="13"/>
  <c r="N450" i="13"/>
  <c r="M450" i="13"/>
  <c r="L450" i="13"/>
  <c r="Y438" i="13"/>
  <c r="X438" i="13"/>
  <c r="W438" i="13"/>
  <c r="W437" i="13" s="1"/>
  <c r="W443" i="13" s="1"/>
  <c r="V438" i="13"/>
  <c r="V437" i="13" s="1"/>
  <c r="V443" i="13" s="1"/>
  <c r="U438" i="13"/>
  <c r="U437" i="13" s="1"/>
  <c r="U443" i="13" s="1"/>
  <c r="T438" i="13"/>
  <c r="S438" i="13"/>
  <c r="S437" i="13" s="1"/>
  <c r="S443" i="13" s="1"/>
  <c r="R438" i="13"/>
  <c r="R437" i="13" s="1"/>
  <c r="R443" i="13" s="1"/>
  <c r="Q438" i="13"/>
  <c r="BF441" i="13"/>
  <c r="BE441" i="13"/>
  <c r="BD441" i="13"/>
  <c r="BC441" i="13"/>
  <c r="BF440" i="13"/>
  <c r="BE440" i="13"/>
  <c r="BD440" i="13"/>
  <c r="BC440" i="13"/>
  <c r="BF439" i="13"/>
  <c r="BE439" i="13"/>
  <c r="BD439" i="13"/>
  <c r="BC439" i="13"/>
  <c r="BC438" i="13"/>
  <c r="AA437" i="13"/>
  <c r="Z437" i="13"/>
  <c r="X437" i="13"/>
  <c r="X443" i="13" s="1"/>
  <c r="T437" i="13"/>
  <c r="P437" i="13"/>
  <c r="P443" i="13" s="1"/>
  <c r="O437" i="13"/>
  <c r="O443" i="13" s="1"/>
  <c r="O447" i="13" s="1"/>
  <c r="N437" i="13"/>
  <c r="N443" i="13" s="1"/>
  <c r="M437" i="13"/>
  <c r="M443" i="13" s="1"/>
  <c r="M447" i="13" s="1"/>
  <c r="L437" i="13"/>
  <c r="O435" i="13"/>
  <c r="N435" i="13"/>
  <c r="M435" i="13"/>
  <c r="L435" i="13"/>
  <c r="Y434" i="13"/>
  <c r="X434" i="13"/>
  <c r="W434" i="13"/>
  <c r="V434" i="13"/>
  <c r="U434" i="13"/>
  <c r="T434" i="13"/>
  <c r="S434" i="13"/>
  <c r="R434" i="13"/>
  <c r="Q434" i="13"/>
  <c r="P434" i="13"/>
  <c r="O434" i="13"/>
  <c r="N434" i="13"/>
  <c r="M434" i="13"/>
  <c r="L434" i="13"/>
  <c r="Y433" i="13"/>
  <c r="X433" i="13"/>
  <c r="W433" i="13"/>
  <c r="V433" i="13"/>
  <c r="U433" i="13"/>
  <c r="T433" i="13"/>
  <c r="S433" i="13"/>
  <c r="R433" i="13"/>
  <c r="Q433" i="13"/>
  <c r="P433" i="13"/>
  <c r="O433" i="13"/>
  <c r="N433" i="13"/>
  <c r="M433" i="13"/>
  <c r="L433" i="13"/>
  <c r="Y432" i="13"/>
  <c r="X432" i="13"/>
  <c r="W432" i="13"/>
  <c r="V432" i="13"/>
  <c r="U432" i="13"/>
  <c r="T432" i="13"/>
  <c r="S432" i="13"/>
  <c r="R432" i="13"/>
  <c r="Q432" i="13"/>
  <c r="P432" i="13"/>
  <c r="O432" i="13"/>
  <c r="N432" i="13"/>
  <c r="M432" i="13"/>
  <c r="BE431" i="13"/>
  <c r="BE435" i="13" s="1"/>
  <c r="BD431" i="13"/>
  <c r="BC431" i="13"/>
  <c r="BC435" i="13" s="1"/>
  <c r="AA431" i="13"/>
  <c r="AA516" i="13" s="1"/>
  <c r="Z431" i="13"/>
  <c r="Z516" i="13" s="1"/>
  <c r="BF423" i="13"/>
  <c r="BE423" i="13"/>
  <c r="BD423" i="13"/>
  <c r="BC423" i="13"/>
  <c r="BF422" i="13"/>
  <c r="BE422" i="13"/>
  <c r="BD422" i="13"/>
  <c r="BC422" i="13"/>
  <c r="BF421" i="13"/>
  <c r="BE421" i="13"/>
  <c r="BD421" i="13"/>
  <c r="BC421" i="13"/>
  <c r="BF420" i="13"/>
  <c r="BE420" i="13"/>
  <c r="BD420" i="13"/>
  <c r="BC420" i="13"/>
  <c r="AA419" i="13"/>
  <c r="Z419" i="13"/>
  <c r="Y419" i="13"/>
  <c r="Y425" i="13" s="1"/>
  <c r="X419" i="13"/>
  <c r="X425" i="13" s="1"/>
  <c r="W419" i="13"/>
  <c r="W425" i="13" s="1"/>
  <c r="V419" i="13"/>
  <c r="V425" i="13" s="1"/>
  <c r="U419" i="13"/>
  <c r="U425" i="13" s="1"/>
  <c r="T419" i="13"/>
  <c r="T425" i="13" s="1"/>
  <c r="S419" i="13"/>
  <c r="S425" i="13" s="1"/>
  <c r="R419" i="13"/>
  <c r="R425" i="13" s="1"/>
  <c r="Q419" i="13"/>
  <c r="Q425" i="13" s="1"/>
  <c r="P419" i="13"/>
  <c r="P425" i="13" s="1"/>
  <c r="O419" i="13"/>
  <c r="O425" i="13" s="1"/>
  <c r="N419" i="13"/>
  <c r="N425" i="13" s="1"/>
  <c r="M419" i="13"/>
  <c r="M425" i="13" s="1"/>
  <c r="L419" i="13"/>
  <c r="L425" i="13" s="1"/>
  <c r="O417" i="13"/>
  <c r="N417" i="13"/>
  <c r="M417" i="13"/>
  <c r="L417" i="13"/>
  <c r="Y416" i="13"/>
  <c r="X416" i="13"/>
  <c r="W416" i="13"/>
  <c r="V416" i="13"/>
  <c r="U416" i="13"/>
  <c r="T416" i="13"/>
  <c r="S416" i="13"/>
  <c r="R416" i="13"/>
  <c r="Q416" i="13"/>
  <c r="P416" i="13"/>
  <c r="O416" i="13"/>
  <c r="N416" i="13"/>
  <c r="M416" i="13"/>
  <c r="L416" i="13"/>
  <c r="Y415" i="13"/>
  <c r="X415" i="13"/>
  <c r="W415" i="13"/>
  <c r="V415" i="13"/>
  <c r="U415" i="13"/>
  <c r="T415" i="13"/>
  <c r="S415" i="13"/>
  <c r="R415" i="13"/>
  <c r="Q415" i="13"/>
  <c r="P415" i="13"/>
  <c r="O415" i="13"/>
  <c r="N415" i="13"/>
  <c r="M415" i="13"/>
  <c r="L415" i="13"/>
  <c r="Y414" i="13"/>
  <c r="X414" i="13"/>
  <c r="W414" i="13"/>
  <c r="V414" i="13"/>
  <c r="U414" i="13"/>
  <c r="T414" i="13"/>
  <c r="S414" i="13"/>
  <c r="R414" i="13"/>
  <c r="Q414" i="13"/>
  <c r="P414" i="13"/>
  <c r="O414" i="13"/>
  <c r="N414" i="13"/>
  <c r="M414" i="13"/>
  <c r="BE413" i="13"/>
  <c r="BE417" i="13" s="1"/>
  <c r="BD413" i="13"/>
  <c r="BD417" i="13" s="1"/>
  <c r="BC413" i="13"/>
  <c r="BC417" i="13" s="1"/>
  <c r="AA413" i="13"/>
  <c r="AA505" i="13" s="1"/>
  <c r="Z413" i="13"/>
  <c r="Z505" i="13" s="1"/>
  <c r="O411" i="13"/>
  <c r="N411" i="13"/>
  <c r="M411" i="13"/>
  <c r="L411" i="13"/>
  <c r="S410" i="13"/>
  <c r="R410" i="13"/>
  <c r="Q410" i="13"/>
  <c r="P410" i="13"/>
  <c r="O410" i="13"/>
  <c r="N410" i="13"/>
  <c r="M410" i="13"/>
  <c r="L410" i="13"/>
  <c r="AA410" i="13"/>
  <c r="Z410" i="13"/>
  <c r="Y410" i="13"/>
  <c r="X410" i="13"/>
  <c r="W410" i="13"/>
  <c r="V410" i="13"/>
  <c r="U410" i="13"/>
  <c r="AA409" i="13"/>
  <c r="Z409" i="13"/>
  <c r="Y409" i="13"/>
  <c r="X409" i="13"/>
  <c r="W409" i="13"/>
  <c r="V409" i="13"/>
  <c r="U409" i="13"/>
  <c r="T409" i="13"/>
  <c r="S409" i="13"/>
  <c r="R409" i="13"/>
  <c r="Q409" i="13"/>
  <c r="P409" i="13"/>
  <c r="O409" i="13"/>
  <c r="N409" i="13"/>
  <c r="M409" i="13"/>
  <c r="BF408" i="13"/>
  <c r="BF411" i="13" s="1"/>
  <c r="BE408" i="13"/>
  <c r="BE411" i="13" s="1"/>
  <c r="BD408" i="13"/>
  <c r="BC408" i="13"/>
  <c r="BC411" i="13" s="1"/>
  <c r="AQ398" i="13"/>
  <c r="AQ404" i="13" s="1"/>
  <c r="AQ405" i="13" s="1"/>
  <c r="AP398" i="13"/>
  <c r="AP404" i="13" s="1"/>
  <c r="AP405" i="13" s="1"/>
  <c r="AM398" i="13"/>
  <c r="AM404" i="13" s="1"/>
  <c r="AM405" i="13" s="1"/>
  <c r="AL398" i="13"/>
  <c r="AL404" i="13" s="1"/>
  <c r="AL405" i="13" s="1"/>
  <c r="AI398" i="13"/>
  <c r="AI404" i="13" s="1"/>
  <c r="AI405" i="13" s="1"/>
  <c r="AH398" i="13"/>
  <c r="AH404" i="13" s="1"/>
  <c r="AH405" i="13" s="1"/>
  <c r="AG398" i="13"/>
  <c r="AG404" i="13" s="1"/>
  <c r="AF398" i="13"/>
  <c r="AF404" i="13" s="1"/>
  <c r="AF405" i="13" s="1"/>
  <c r="AE398" i="13"/>
  <c r="AE404" i="13" s="1"/>
  <c r="AE405" i="13" s="1"/>
  <c r="AD398" i="13"/>
  <c r="AD404" i="13" s="1"/>
  <c r="AD405" i="13" s="1"/>
  <c r="AC398" i="13"/>
  <c r="AC404" i="13" s="1"/>
  <c r="AC405" i="13" s="1"/>
  <c r="AA398" i="13"/>
  <c r="AA404" i="13" s="1"/>
  <c r="AA405" i="13" s="1"/>
  <c r="Z398" i="13"/>
  <c r="Z404" i="13" s="1"/>
  <c r="Z405" i="13" s="1"/>
  <c r="Y398" i="13"/>
  <c r="Y404" i="13" s="1"/>
  <c r="Y405" i="13" s="1"/>
  <c r="X398" i="13"/>
  <c r="X404" i="13" s="1"/>
  <c r="W398" i="13"/>
  <c r="W404" i="13" s="1"/>
  <c r="W405" i="13" s="1"/>
  <c r="V398" i="13"/>
  <c r="V404" i="13" s="1"/>
  <c r="V405" i="13" s="1"/>
  <c r="U398" i="13"/>
  <c r="U404" i="13" s="1"/>
  <c r="U405" i="13" s="1"/>
  <c r="T398" i="13"/>
  <c r="T404" i="13" s="1"/>
  <c r="T405" i="13" s="1"/>
  <c r="S398" i="13"/>
  <c r="S404" i="13" s="1"/>
  <c r="S405" i="13" s="1"/>
  <c r="R398" i="13"/>
  <c r="R404" i="13" s="1"/>
  <c r="R405" i="13" s="1"/>
  <c r="Q398" i="13"/>
  <c r="P398" i="13"/>
  <c r="P404" i="13" s="1"/>
  <c r="O398" i="13"/>
  <c r="O404" i="13" s="1"/>
  <c r="O405" i="13" s="1"/>
  <c r="N398" i="13"/>
  <c r="N404" i="13" s="1"/>
  <c r="N405" i="13" s="1"/>
  <c r="M398" i="13"/>
  <c r="M404" i="13" s="1"/>
  <c r="M405" i="13" s="1"/>
  <c r="L398" i="13"/>
  <c r="L404" i="13" s="1"/>
  <c r="L405" i="13" s="1"/>
  <c r="BF402" i="13"/>
  <c r="BE402" i="13"/>
  <c r="BD402" i="13"/>
  <c r="BC402" i="13"/>
  <c r="BF401" i="13"/>
  <c r="BE401" i="13"/>
  <c r="BD401" i="13"/>
  <c r="BC401" i="13"/>
  <c r="BF400" i="13"/>
  <c r="BE400" i="13"/>
  <c r="BD400" i="13"/>
  <c r="BC400" i="13"/>
  <c r="BF399" i="13"/>
  <c r="BE399" i="13"/>
  <c r="BD399" i="13"/>
  <c r="BC399" i="13"/>
  <c r="BF398" i="13"/>
  <c r="BF397" i="13"/>
  <c r="BE397" i="13"/>
  <c r="BD397" i="13"/>
  <c r="BC397" i="13"/>
  <c r="BC393" i="13"/>
  <c r="BC392" i="13"/>
  <c r="BC391" i="13"/>
  <c r="BC390" i="13"/>
  <c r="BC389" i="13"/>
  <c r="BF392" i="13"/>
  <c r="BE392" i="13"/>
  <c r="BD392" i="13"/>
  <c r="BF391" i="13"/>
  <c r="BE391" i="13"/>
  <c r="BD391" i="13"/>
  <c r="BF390" i="13"/>
  <c r="BE390" i="13"/>
  <c r="BD390" i="13"/>
  <c r="BF389" i="13"/>
  <c r="BE389" i="13"/>
  <c r="BD389" i="13"/>
  <c r="AQ388" i="13"/>
  <c r="AQ394" i="13" s="1"/>
  <c r="AQ395" i="13" s="1"/>
  <c r="AP388" i="13"/>
  <c r="AP394" i="13" s="1"/>
  <c r="AP395" i="13" s="1"/>
  <c r="AM388" i="13"/>
  <c r="AM394" i="13" s="1"/>
  <c r="AM395" i="13" s="1"/>
  <c r="AL388" i="13"/>
  <c r="AL394" i="13" s="1"/>
  <c r="AL395" i="13" s="1"/>
  <c r="AI388" i="13"/>
  <c r="AI394" i="13" s="1"/>
  <c r="AI395" i="13" s="1"/>
  <c r="AH388" i="13"/>
  <c r="AH394" i="13" s="1"/>
  <c r="AH395" i="13" s="1"/>
  <c r="AG388" i="13"/>
  <c r="AG394" i="13" s="1"/>
  <c r="AG395" i="13" s="1"/>
  <c r="AF388" i="13"/>
  <c r="AF394" i="13" s="1"/>
  <c r="AF395" i="13" s="1"/>
  <c r="AE388" i="13"/>
  <c r="AE394" i="13" s="1"/>
  <c r="AE395" i="13" s="1"/>
  <c r="AD388" i="13"/>
  <c r="AD394" i="13" s="1"/>
  <c r="AD395" i="13" s="1"/>
  <c r="AC388" i="13"/>
  <c r="AC394" i="13" s="1"/>
  <c r="AC395" i="13" s="1"/>
  <c r="AA388" i="13"/>
  <c r="AA394" i="13" s="1"/>
  <c r="AA395" i="13" s="1"/>
  <c r="Z388" i="13"/>
  <c r="Z394" i="13" s="1"/>
  <c r="Z395" i="13" s="1"/>
  <c r="Y388" i="13"/>
  <c r="Y394" i="13" s="1"/>
  <c r="Y395" i="13" s="1"/>
  <c r="X388" i="13"/>
  <c r="X394" i="13" s="1"/>
  <c r="W388" i="13"/>
  <c r="W394" i="13" s="1"/>
  <c r="W395" i="13" s="1"/>
  <c r="V388" i="13"/>
  <c r="V394" i="13" s="1"/>
  <c r="V395" i="13" s="1"/>
  <c r="U388" i="13"/>
  <c r="U394" i="13" s="1"/>
  <c r="U395" i="13" s="1"/>
  <c r="T388" i="13"/>
  <c r="T394" i="13" s="1"/>
  <c r="S388" i="13"/>
  <c r="S394" i="13" s="1"/>
  <c r="S395" i="13" s="1"/>
  <c r="R388" i="13"/>
  <c r="R394" i="13" s="1"/>
  <c r="R395" i="13" s="1"/>
  <c r="Q388" i="13"/>
  <c r="Q394" i="13" s="1"/>
  <c r="Q395" i="13" s="1"/>
  <c r="P388" i="13"/>
  <c r="P394" i="13" s="1"/>
  <c r="O388" i="13"/>
  <c r="O394" i="13" s="1"/>
  <c r="O395" i="13" s="1"/>
  <c r="N388" i="13"/>
  <c r="N394" i="13" s="1"/>
  <c r="N395" i="13" s="1"/>
  <c r="M388" i="13"/>
  <c r="M394" i="13" s="1"/>
  <c r="M395" i="13" s="1"/>
  <c r="L388" i="13"/>
  <c r="L394" i="13" s="1"/>
  <c r="AQ386" i="13"/>
  <c r="AP386" i="13"/>
  <c r="AM386" i="13"/>
  <c r="AL386" i="13"/>
  <c r="AI386" i="13"/>
  <c r="AH386" i="13"/>
  <c r="AG386" i="13"/>
  <c r="AF386" i="13"/>
  <c r="AE386" i="13"/>
  <c r="AD386" i="13"/>
  <c r="AC386" i="13"/>
  <c r="AA386" i="13"/>
  <c r="Z386" i="13"/>
  <c r="Y386" i="13"/>
  <c r="X386" i="13"/>
  <c r="W386" i="13"/>
  <c r="V386" i="13"/>
  <c r="U386" i="13"/>
  <c r="T386" i="13"/>
  <c r="S386" i="13"/>
  <c r="R386" i="13"/>
  <c r="Q386" i="13"/>
  <c r="P386" i="13"/>
  <c r="O386" i="13"/>
  <c r="N386" i="13"/>
  <c r="M386" i="13"/>
  <c r="L386" i="13"/>
  <c r="BF385" i="13"/>
  <c r="BE385" i="13"/>
  <c r="BD385" i="13"/>
  <c r="BC385" i="13"/>
  <c r="BL382" i="13"/>
  <c r="BK382" i="13"/>
  <c r="BJ382" i="13"/>
  <c r="BI382" i="13"/>
  <c r="BH382" i="13"/>
  <c r="BG382" i="13"/>
  <c r="BF382" i="13"/>
  <c r="BE382" i="13"/>
  <c r="BD382" i="13"/>
  <c r="AA381" i="13"/>
  <c r="Z381" i="13"/>
  <c r="Y381" i="13"/>
  <c r="X381" i="13"/>
  <c r="W381" i="13"/>
  <c r="V381" i="13"/>
  <c r="U381" i="13"/>
  <c r="T381" i="13"/>
  <c r="S381" i="13"/>
  <c r="R381" i="13"/>
  <c r="Q381" i="13"/>
  <c r="P381" i="13"/>
  <c r="BL380" i="13"/>
  <c r="BK380" i="13"/>
  <c r="BJ380" i="13"/>
  <c r="BI380" i="13"/>
  <c r="BH380" i="13"/>
  <c r="BG380" i="13"/>
  <c r="BF380" i="13"/>
  <c r="BE380" i="13"/>
  <c r="BD380" i="13"/>
  <c r="BC380" i="13"/>
  <c r="AG377" i="13"/>
  <c r="AO373" i="13"/>
  <c r="AQ370" i="13"/>
  <c r="AQ376" i="13" s="1"/>
  <c r="AQ377" i="13" s="1"/>
  <c r="AP370" i="13"/>
  <c r="AP376" i="13" s="1"/>
  <c r="AP377" i="13" s="1"/>
  <c r="AO370" i="13"/>
  <c r="AO376" i="13" s="1"/>
  <c r="AO377" i="13" s="1"/>
  <c r="AN370" i="13"/>
  <c r="AN376" i="13" s="1"/>
  <c r="AN377" i="13" s="1"/>
  <c r="AM370" i="13"/>
  <c r="AL370" i="13"/>
  <c r="AL376" i="13" s="1"/>
  <c r="AK370" i="13"/>
  <c r="AK376" i="13" s="1"/>
  <c r="AJ370" i="13"/>
  <c r="AJ376" i="13" s="1"/>
  <c r="AI370" i="13"/>
  <c r="AI376" i="13" s="1"/>
  <c r="AI377" i="13" s="1"/>
  <c r="AH370" i="13"/>
  <c r="AH376" i="13" s="1"/>
  <c r="AH377" i="13" s="1"/>
  <c r="AF370" i="13"/>
  <c r="AF376" i="13" s="1"/>
  <c r="AE370" i="13"/>
  <c r="AE376" i="13" s="1"/>
  <c r="AE377" i="13" s="1"/>
  <c r="AD370" i="13"/>
  <c r="AD376" i="13" s="1"/>
  <c r="AD377" i="13" s="1"/>
  <c r="AC370" i="13"/>
  <c r="AC376" i="13" s="1"/>
  <c r="AC377" i="13" s="1"/>
  <c r="AB370" i="13"/>
  <c r="AA370" i="13"/>
  <c r="AA376" i="13" s="1"/>
  <c r="AA377" i="13" s="1"/>
  <c r="Z370" i="13"/>
  <c r="Z376" i="13" s="1"/>
  <c r="Z377" i="13" s="1"/>
  <c r="Y370" i="13"/>
  <c r="Y376" i="13" s="1"/>
  <c r="Y377" i="13" s="1"/>
  <c r="X370" i="13"/>
  <c r="X376" i="13" s="1"/>
  <c r="W370" i="13"/>
  <c r="W376" i="13" s="1"/>
  <c r="W377" i="13" s="1"/>
  <c r="V370" i="13"/>
  <c r="V376" i="13" s="1"/>
  <c r="V377" i="13" s="1"/>
  <c r="U370" i="13"/>
  <c r="U376" i="13" s="1"/>
  <c r="U377" i="13" s="1"/>
  <c r="T370" i="13"/>
  <c r="T376" i="13" s="1"/>
  <c r="S370" i="13"/>
  <c r="S376" i="13" s="1"/>
  <c r="S377" i="13" s="1"/>
  <c r="R370" i="13"/>
  <c r="R376" i="13" s="1"/>
  <c r="R377" i="13" s="1"/>
  <c r="Q370" i="13"/>
  <c r="Q376" i="13" s="1"/>
  <c r="Q377" i="13" s="1"/>
  <c r="P370" i="13"/>
  <c r="P376" i="13" s="1"/>
  <c r="O370" i="13"/>
  <c r="O376" i="13" s="1"/>
  <c r="O377" i="13" s="1"/>
  <c r="N370" i="13"/>
  <c r="N376" i="13" s="1"/>
  <c r="N377" i="13" s="1"/>
  <c r="M370" i="13"/>
  <c r="M376" i="13" s="1"/>
  <c r="M377" i="13" s="1"/>
  <c r="L370" i="13"/>
  <c r="BL374" i="13"/>
  <c r="BK374" i="13"/>
  <c r="BJ374" i="13"/>
  <c r="BI374" i="13"/>
  <c r="BH374" i="13"/>
  <c r="BG374" i="13"/>
  <c r="BF374" i="13"/>
  <c r="BE374" i="13"/>
  <c r="BD374" i="13"/>
  <c r="BC374" i="13"/>
  <c r="BL373" i="13"/>
  <c r="BK373" i="13"/>
  <c r="BJ373" i="13"/>
  <c r="BI373" i="13"/>
  <c r="BH373" i="13"/>
  <c r="BG373" i="13"/>
  <c r="BF373" i="13"/>
  <c r="BE373" i="13"/>
  <c r="BD373" i="13"/>
  <c r="BC373" i="13"/>
  <c r="BL372" i="13"/>
  <c r="BK372" i="13"/>
  <c r="BJ372" i="13"/>
  <c r="BI372" i="13"/>
  <c r="BH372" i="13"/>
  <c r="BG372" i="13"/>
  <c r="BF372" i="13"/>
  <c r="BE372" i="13"/>
  <c r="BD372" i="13"/>
  <c r="BC372" i="13"/>
  <c r="BL371" i="13"/>
  <c r="BK371" i="13"/>
  <c r="BJ371" i="13"/>
  <c r="BI371" i="13"/>
  <c r="BH371" i="13"/>
  <c r="BG371" i="13"/>
  <c r="BF371" i="13"/>
  <c r="BE371" i="13"/>
  <c r="BD371" i="13"/>
  <c r="BC371" i="13"/>
  <c r="BI370" i="13"/>
  <c r="BE370" i="13"/>
  <c r="BL369" i="13"/>
  <c r="BK369" i="13"/>
  <c r="BJ369" i="13"/>
  <c r="BI369" i="13"/>
  <c r="BH369" i="13"/>
  <c r="BG369" i="13"/>
  <c r="BF369" i="13"/>
  <c r="BE369" i="13"/>
  <c r="BD369" i="13"/>
  <c r="BC369" i="13"/>
  <c r="BL364" i="13"/>
  <c r="BK364" i="13"/>
  <c r="BJ364" i="13"/>
  <c r="BI364" i="13"/>
  <c r="BH364" i="13"/>
  <c r="BL362" i="13"/>
  <c r="BK362" i="13"/>
  <c r="BJ362" i="13"/>
  <c r="BI362" i="13"/>
  <c r="BH362" i="13"/>
  <c r="BG362" i="13"/>
  <c r="BF362" i="13"/>
  <c r="BE362" i="13"/>
  <c r="BD362" i="13"/>
  <c r="BC362" i="13"/>
  <c r="BL361" i="13"/>
  <c r="BK361" i="13"/>
  <c r="BJ361" i="13"/>
  <c r="BI361" i="13"/>
  <c r="BH361" i="13"/>
  <c r="BG361" i="13"/>
  <c r="BF361" i="13"/>
  <c r="BE361" i="13"/>
  <c r="BD361" i="13"/>
  <c r="BC361" i="13"/>
  <c r="BL360" i="13"/>
  <c r="BK360" i="13"/>
  <c r="BJ360" i="13"/>
  <c r="BI360" i="13"/>
  <c r="BH360" i="13"/>
  <c r="BG360" i="13"/>
  <c r="BF360" i="13"/>
  <c r="BE360" i="13"/>
  <c r="BD360" i="13"/>
  <c r="BC360" i="13"/>
  <c r="BL359" i="13"/>
  <c r="BK359" i="13"/>
  <c r="BJ359" i="13"/>
  <c r="BI359" i="13"/>
  <c r="BH359" i="13"/>
  <c r="BG359" i="13"/>
  <c r="BF359" i="13"/>
  <c r="BE359" i="13"/>
  <c r="BD359" i="13"/>
  <c r="BC359" i="13"/>
  <c r="AQ358" i="13"/>
  <c r="AQ364" i="13" s="1"/>
  <c r="AP358" i="13"/>
  <c r="AP364" i="13" s="1"/>
  <c r="AO358" i="13"/>
  <c r="AO364" i="13" s="1"/>
  <c r="AN358" i="13"/>
  <c r="AN364" i="13" s="1"/>
  <c r="AM358" i="13"/>
  <c r="AM364" i="13" s="1"/>
  <c r="AL358" i="13"/>
  <c r="AL364" i="13" s="1"/>
  <c r="AK358" i="13"/>
  <c r="AK364" i="13" s="1"/>
  <c r="AJ358" i="13"/>
  <c r="AJ364" i="13" s="1"/>
  <c r="AI358" i="13"/>
  <c r="AI364" i="13" s="1"/>
  <c r="AH358" i="13"/>
  <c r="AH364" i="13" s="1"/>
  <c r="AG358" i="13"/>
  <c r="AG364" i="13" s="1"/>
  <c r="AF358" i="13"/>
  <c r="AF364" i="13" s="1"/>
  <c r="AE358" i="13"/>
  <c r="AE364" i="13" s="1"/>
  <c r="AD358" i="13"/>
  <c r="AD364" i="13" s="1"/>
  <c r="AC358" i="13"/>
  <c r="AC364" i="13" s="1"/>
  <c r="AB358" i="13"/>
  <c r="AB364" i="13" s="1"/>
  <c r="AA358" i="13"/>
  <c r="AA364" i="13" s="1"/>
  <c r="Z358" i="13"/>
  <c r="Z364" i="13" s="1"/>
  <c r="Y358" i="13"/>
  <c r="Y364" i="13" s="1"/>
  <c r="X358" i="13"/>
  <c r="X364" i="13" s="1"/>
  <c r="W358" i="13"/>
  <c r="W364" i="13" s="1"/>
  <c r="V358" i="13"/>
  <c r="V364" i="13" s="1"/>
  <c r="U358" i="13"/>
  <c r="U364" i="13" s="1"/>
  <c r="T358" i="13"/>
  <c r="T364" i="13" s="1"/>
  <c r="S358" i="13"/>
  <c r="S364" i="13" s="1"/>
  <c r="R358" i="13"/>
  <c r="R364" i="13" s="1"/>
  <c r="Q358" i="13"/>
  <c r="Q364" i="13" s="1"/>
  <c r="P358" i="13"/>
  <c r="P364" i="13" s="1"/>
  <c r="O358" i="13"/>
  <c r="O364" i="13" s="1"/>
  <c r="O365" i="13" s="1"/>
  <c r="N358" i="13"/>
  <c r="N364" i="13" s="1"/>
  <c r="N365" i="13" s="1"/>
  <c r="M358" i="13"/>
  <c r="M364" i="13" s="1"/>
  <c r="M365" i="13" s="1"/>
  <c r="L358" i="13"/>
  <c r="L364" i="13" s="1"/>
  <c r="BJ356" i="13"/>
  <c r="BI356" i="13"/>
  <c r="BH356" i="13"/>
  <c r="BG356" i="13"/>
  <c r="BF356" i="13"/>
  <c r="BE356" i="13"/>
  <c r="BD356" i="13"/>
  <c r="BC356" i="13"/>
  <c r="AN354" i="13"/>
  <c r="AJ354" i="13"/>
  <c r="AI354" i="13"/>
  <c r="AH354" i="13"/>
  <c r="AG354" i="13"/>
  <c r="AF354" i="13"/>
  <c r="AE354" i="13"/>
  <c r="AD354" i="13"/>
  <c r="AC354" i="13"/>
  <c r="AB354" i="13"/>
  <c r="O354" i="13"/>
  <c r="N354" i="13"/>
  <c r="M354" i="13"/>
  <c r="L354" i="13"/>
  <c r="AT353" i="13"/>
  <c r="AS353" i="13"/>
  <c r="AR353" i="13"/>
  <c r="AQ353" i="13"/>
  <c r="AP353" i="13"/>
  <c r="AO353" i="13"/>
  <c r="AN353" i="13"/>
  <c r="AM353" i="13"/>
  <c r="AL353" i="13"/>
  <c r="AK353" i="13"/>
  <c r="AJ353" i="13"/>
  <c r="AI353" i="13"/>
  <c r="AH353" i="13"/>
  <c r="AG353" i="13"/>
  <c r="AF353" i="13"/>
  <c r="AE353" i="13"/>
  <c r="AD353" i="13"/>
  <c r="AC353" i="13"/>
  <c r="AB353" i="13"/>
  <c r="AA353" i="13"/>
  <c r="Z353" i="13"/>
  <c r="Y353" i="13"/>
  <c r="X353" i="13"/>
  <c r="W353" i="13"/>
  <c r="V353" i="13"/>
  <c r="U353" i="13"/>
  <c r="T353" i="13"/>
  <c r="S353" i="13"/>
  <c r="R353" i="13"/>
  <c r="Q353" i="13"/>
  <c r="P353" i="13"/>
  <c r="O353" i="13"/>
  <c r="N353" i="13"/>
  <c r="M353" i="13"/>
  <c r="L353" i="13"/>
  <c r="AT352" i="13"/>
  <c r="AS352" i="13"/>
  <c r="AR352" i="13"/>
  <c r="AQ352" i="13"/>
  <c r="AP352" i="13"/>
  <c r="AO352" i="13"/>
  <c r="AN352" i="13"/>
  <c r="AM352" i="13"/>
  <c r="AL352" i="13"/>
  <c r="AK352" i="13"/>
  <c r="AJ352" i="13"/>
  <c r="AI352" i="13"/>
  <c r="AH352" i="13"/>
  <c r="AG352" i="13"/>
  <c r="AF352" i="13"/>
  <c r="AE352" i="13"/>
  <c r="AD352" i="13"/>
  <c r="AC352" i="13"/>
  <c r="AB352" i="13"/>
  <c r="AA352" i="13"/>
  <c r="Z352" i="13"/>
  <c r="Y352" i="13"/>
  <c r="X352" i="13"/>
  <c r="W352" i="13"/>
  <c r="V352" i="13"/>
  <c r="U352" i="13"/>
  <c r="T352" i="13"/>
  <c r="S352" i="13"/>
  <c r="R352" i="13"/>
  <c r="Q352" i="13"/>
  <c r="P352" i="13"/>
  <c r="O352" i="13"/>
  <c r="N352" i="13"/>
  <c r="M352" i="13"/>
  <c r="BJ351" i="13"/>
  <c r="BI351" i="13"/>
  <c r="BI353" i="13" s="1"/>
  <c r="BH351" i="13"/>
  <c r="BG351" i="13"/>
  <c r="BG353" i="13" s="1"/>
  <c r="BF351" i="13"/>
  <c r="BE351" i="13"/>
  <c r="BE353" i="13" s="1"/>
  <c r="BD351" i="13"/>
  <c r="BD354" i="13" s="1"/>
  <c r="BC351" i="13"/>
  <c r="BC354" i="13" s="1"/>
  <c r="BK351" i="13"/>
  <c r="BK353" i="13" s="1"/>
  <c r="BF342" i="13"/>
  <c r="BE342" i="13"/>
  <c r="BD342" i="13"/>
  <c r="BC342" i="13"/>
  <c r="BG338" i="13"/>
  <c r="BF338" i="13"/>
  <c r="BE338" i="13"/>
  <c r="BD338" i="13"/>
  <c r="BC338" i="13"/>
  <c r="BG337" i="13"/>
  <c r="BF337" i="13"/>
  <c r="BE337" i="13"/>
  <c r="BD337" i="13"/>
  <c r="BC337" i="13"/>
  <c r="BG335" i="13"/>
  <c r="BF335" i="13"/>
  <c r="BE335" i="13"/>
  <c r="BD335" i="13"/>
  <c r="BC335" i="13"/>
  <c r="BG334" i="13"/>
  <c r="BF334" i="13"/>
  <c r="BE334" i="13"/>
  <c r="BD334" i="13"/>
  <c r="BC334" i="13"/>
  <c r="AQ333" i="13"/>
  <c r="AQ339" i="13" s="1"/>
  <c r="AP333" i="13"/>
  <c r="AP339" i="13" s="1"/>
  <c r="AO333" i="13"/>
  <c r="AO339" i="13" s="1"/>
  <c r="AN333" i="13"/>
  <c r="AN339" i="13" s="1"/>
  <c r="AM333" i="13"/>
  <c r="AM339" i="13" s="1"/>
  <c r="AL333" i="13"/>
  <c r="AL339" i="13" s="1"/>
  <c r="AK333" i="13"/>
  <c r="AK339" i="13" s="1"/>
  <c r="AJ333" i="13"/>
  <c r="AJ339" i="13" s="1"/>
  <c r="AI333" i="13"/>
  <c r="AI339" i="13" s="1"/>
  <c r="AH333" i="13"/>
  <c r="AH339" i="13" s="1"/>
  <c r="AG333" i="13"/>
  <c r="AG339" i="13" s="1"/>
  <c r="AF333" i="13"/>
  <c r="AF339" i="13" s="1"/>
  <c r="AE333" i="13"/>
  <c r="AE339" i="13" s="1"/>
  <c r="AD333" i="13"/>
  <c r="AD339" i="13" s="1"/>
  <c r="AC333" i="13"/>
  <c r="AC339" i="13" s="1"/>
  <c r="AB333" i="13"/>
  <c r="AB339" i="13" s="1"/>
  <c r="AA333" i="13"/>
  <c r="AA339" i="13" s="1"/>
  <c r="Z333" i="13"/>
  <c r="Z339" i="13" s="1"/>
  <c r="Y333" i="13"/>
  <c r="Y339" i="13" s="1"/>
  <c r="X333" i="13"/>
  <c r="X339" i="13" s="1"/>
  <c r="W333" i="13"/>
  <c r="W339" i="13" s="1"/>
  <c r="V333" i="13"/>
  <c r="V339" i="13" s="1"/>
  <c r="U333" i="13"/>
  <c r="U339" i="13" s="1"/>
  <c r="T333" i="13"/>
  <c r="T339" i="13" s="1"/>
  <c r="S333" i="13"/>
  <c r="S339" i="13" s="1"/>
  <c r="R333" i="13"/>
  <c r="R339" i="13" s="1"/>
  <c r="Q333" i="13"/>
  <c r="Q339" i="13" s="1"/>
  <c r="P333" i="13"/>
  <c r="P339" i="13" s="1"/>
  <c r="O333" i="13"/>
  <c r="O339" i="13" s="1"/>
  <c r="O340" i="13" s="1"/>
  <c r="N333" i="13"/>
  <c r="N339" i="13" s="1"/>
  <c r="N340" i="13" s="1"/>
  <c r="M333" i="13"/>
  <c r="M339" i="13" s="1"/>
  <c r="M340" i="13" s="1"/>
  <c r="L333" i="13"/>
  <c r="L339" i="13" s="1"/>
  <c r="L340" i="13" s="1"/>
  <c r="AA331" i="13"/>
  <c r="Z331" i="13"/>
  <c r="Y331" i="13"/>
  <c r="X331" i="13"/>
  <c r="W331" i="13"/>
  <c r="V331" i="13"/>
  <c r="U331" i="13"/>
  <c r="T331" i="13"/>
  <c r="S331" i="13"/>
  <c r="R331" i="13"/>
  <c r="Q331" i="13"/>
  <c r="P331" i="13"/>
  <c r="O331" i="13"/>
  <c r="N331" i="13"/>
  <c r="M331" i="13"/>
  <c r="L331" i="13"/>
  <c r="BG330" i="13"/>
  <c r="BG516" i="13" s="1"/>
  <c r="BF330" i="13"/>
  <c r="BE330" i="13"/>
  <c r="BD330" i="13"/>
  <c r="BC330" i="13"/>
  <c r="AQ327" i="13"/>
  <c r="AP327" i="13"/>
  <c r="AO327" i="13"/>
  <c r="AN327" i="13"/>
  <c r="AM327" i="13"/>
  <c r="AL327" i="13"/>
  <c r="AK327" i="13"/>
  <c r="AJ327" i="13"/>
  <c r="AI327" i="13"/>
  <c r="AH327" i="13"/>
  <c r="AG327" i="13"/>
  <c r="AF327" i="13"/>
  <c r="AE327" i="13"/>
  <c r="AD327" i="13"/>
  <c r="AC327" i="13"/>
  <c r="AB327" i="13"/>
  <c r="AA327" i="13"/>
  <c r="Z327" i="13"/>
  <c r="Y327" i="13"/>
  <c r="X327" i="13"/>
  <c r="W327" i="13"/>
  <c r="V327" i="13"/>
  <c r="U327" i="13"/>
  <c r="T327" i="13"/>
  <c r="S327" i="13"/>
  <c r="R327" i="13"/>
  <c r="Q327" i="13"/>
  <c r="P327" i="13"/>
  <c r="BG321" i="13"/>
  <c r="BF321" i="13"/>
  <c r="BE321" i="13"/>
  <c r="BD321" i="13"/>
  <c r="BC321" i="13"/>
  <c r="BG320" i="13"/>
  <c r="BF320" i="13"/>
  <c r="BE320" i="13"/>
  <c r="BD320" i="13"/>
  <c r="BC320" i="13"/>
  <c r="BG318" i="13"/>
  <c r="BF318" i="13"/>
  <c r="BE318" i="13"/>
  <c r="BD318" i="13"/>
  <c r="BC318" i="13"/>
  <c r="BG317" i="13"/>
  <c r="BF317" i="13"/>
  <c r="BE317" i="13"/>
  <c r="BD317" i="13"/>
  <c r="BC317" i="13"/>
  <c r="AQ316" i="13"/>
  <c r="AQ323" i="13" s="1"/>
  <c r="AP316" i="13"/>
  <c r="AP323" i="13" s="1"/>
  <c r="AO316" i="13"/>
  <c r="AO323" i="13" s="1"/>
  <c r="AN316" i="13"/>
  <c r="AN323" i="13" s="1"/>
  <c r="AM316" i="13"/>
  <c r="AM323" i="13" s="1"/>
  <c r="AL316" i="13"/>
  <c r="AL323" i="13" s="1"/>
  <c r="AK316" i="13"/>
  <c r="AK323" i="13" s="1"/>
  <c r="AJ316" i="13"/>
  <c r="AJ323" i="13" s="1"/>
  <c r="AI316" i="13"/>
  <c r="AI323" i="13" s="1"/>
  <c r="AH316" i="13"/>
  <c r="AH323" i="13" s="1"/>
  <c r="AG316" i="13"/>
  <c r="AG323" i="13" s="1"/>
  <c r="AF316" i="13"/>
  <c r="AF323" i="13" s="1"/>
  <c r="AE316" i="13"/>
  <c r="AE323" i="13" s="1"/>
  <c r="AD316" i="13"/>
  <c r="AD323" i="13" s="1"/>
  <c r="AC316" i="13"/>
  <c r="AC323" i="13" s="1"/>
  <c r="AB316" i="13"/>
  <c r="AB323" i="13" s="1"/>
  <c r="AA316" i="13"/>
  <c r="AA323" i="13" s="1"/>
  <c r="Z316" i="13"/>
  <c r="Z323" i="13" s="1"/>
  <c r="Y316" i="13"/>
  <c r="Y323" i="13" s="1"/>
  <c r="X316" i="13"/>
  <c r="X323" i="13" s="1"/>
  <c r="W316" i="13"/>
  <c r="W323" i="13" s="1"/>
  <c r="V316" i="13"/>
  <c r="V323" i="13" s="1"/>
  <c r="U316" i="13"/>
  <c r="U323" i="13" s="1"/>
  <c r="T316" i="13"/>
  <c r="T323" i="13" s="1"/>
  <c r="S316" i="13"/>
  <c r="S323" i="13" s="1"/>
  <c r="R316" i="13"/>
  <c r="R323" i="13" s="1"/>
  <c r="Q316" i="13"/>
  <c r="Q323" i="13" s="1"/>
  <c r="P316" i="13"/>
  <c r="BD316" i="13" s="1"/>
  <c r="O316" i="13"/>
  <c r="O323" i="13" s="1"/>
  <c r="N316" i="13"/>
  <c r="N323" i="13" s="1"/>
  <c r="N341" i="13" s="1"/>
  <c r="M316" i="13"/>
  <c r="M323" i="13" s="1"/>
  <c r="L316" i="13"/>
  <c r="L323" i="13" s="1"/>
  <c r="L341" i="13" s="1"/>
  <c r="AO314" i="13"/>
  <c r="AN314" i="13"/>
  <c r="AK314" i="13"/>
  <c r="AJ314" i="13"/>
  <c r="AG314" i="13"/>
  <c r="AF314" i="13"/>
  <c r="AA314" i="13"/>
  <c r="Z314" i="13"/>
  <c r="Y314" i="13"/>
  <c r="X314" i="13"/>
  <c r="W314" i="13"/>
  <c r="V314" i="13"/>
  <c r="U314" i="13"/>
  <c r="T314" i="13"/>
  <c r="S314" i="13"/>
  <c r="R314" i="13"/>
  <c r="Q314" i="13"/>
  <c r="P314" i="13"/>
  <c r="O314" i="13"/>
  <c r="N314" i="13"/>
  <c r="M314" i="13"/>
  <c r="L314" i="13"/>
  <c r="BM314" i="13"/>
  <c r="BN314" i="13" s="1"/>
  <c r="BL313" i="13"/>
  <c r="BJ313" i="13"/>
  <c r="BI313" i="13"/>
  <c r="BH313" i="13"/>
  <c r="BG313" i="13"/>
  <c r="BF313" i="13"/>
  <c r="BE313" i="13"/>
  <c r="BD313" i="13"/>
  <c r="BC313" i="13"/>
  <c r="AR313" i="13"/>
  <c r="AA311" i="13"/>
  <c r="Z311" i="13"/>
  <c r="Y311" i="13"/>
  <c r="X311" i="13"/>
  <c r="BF311" i="13" s="1"/>
  <c r="W311" i="13"/>
  <c r="V311" i="13"/>
  <c r="U311" i="13"/>
  <c r="T311" i="13"/>
  <c r="BE311" i="13" s="1"/>
  <c r="S311" i="13"/>
  <c r="R311" i="13"/>
  <c r="Q311" i="13"/>
  <c r="P311" i="13"/>
  <c r="BD311" i="13" s="1"/>
  <c r="O311" i="13"/>
  <c r="N311" i="13"/>
  <c r="M311" i="13"/>
  <c r="L311" i="13"/>
  <c r="BC311" i="13" s="1"/>
  <c r="BF305" i="13"/>
  <c r="BE305" i="13"/>
  <c r="BD305" i="13"/>
  <c r="AM303" i="13"/>
  <c r="AL303" i="13"/>
  <c r="AI303" i="13"/>
  <c r="AH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AQ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Q306" i="13" s="1"/>
  <c r="AM299" i="13"/>
  <c r="AL299" i="13"/>
  <c r="AK299" i="13"/>
  <c r="AI299" i="13"/>
  <c r="AH299" i="13"/>
  <c r="AG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AM298" i="13"/>
  <c r="AL298" i="13"/>
  <c r="AK298" i="13"/>
  <c r="AI298" i="13"/>
  <c r="AH298" i="13"/>
  <c r="AG298" i="13"/>
  <c r="AE298" i="13"/>
  <c r="AD298" i="13"/>
  <c r="AC298" i="13"/>
  <c r="AB298" i="13"/>
  <c r="AA298" i="13"/>
  <c r="Z298" i="13"/>
  <c r="Y298" i="13"/>
  <c r="X298" i="13"/>
  <c r="W298" i="13"/>
  <c r="V298" i="13"/>
  <c r="U298" i="13"/>
  <c r="T298" i="13"/>
  <c r="S298" i="13"/>
  <c r="R298" i="13"/>
  <c r="Q298" i="13"/>
  <c r="P298" i="13"/>
  <c r="BF296" i="13"/>
  <c r="BE296" i="13"/>
  <c r="BD296" i="13"/>
  <c r="BF291" i="13"/>
  <c r="BE291" i="13"/>
  <c r="BD291" i="13"/>
  <c r="AQ289" i="13"/>
  <c r="AP289" i="13"/>
  <c r="AO289" i="13"/>
  <c r="AN289" i="13"/>
  <c r="AM289" i="13"/>
  <c r="AL289" i="13"/>
  <c r="AK289" i="13"/>
  <c r="AJ289" i="13"/>
  <c r="AI289" i="13"/>
  <c r="AH289" i="13"/>
  <c r="AG289" i="13"/>
  <c r="AF289" i="13"/>
  <c r="AE289" i="13"/>
  <c r="AD289" i="13"/>
  <c r="AC289" i="13"/>
  <c r="AB289" i="13"/>
  <c r="AA289" i="13"/>
  <c r="Z289" i="13"/>
  <c r="Y289" i="13"/>
  <c r="X289" i="13"/>
  <c r="W289" i="13"/>
  <c r="V289" i="13"/>
  <c r="U289" i="13"/>
  <c r="T289" i="13"/>
  <c r="S289" i="13"/>
  <c r="R289" i="13"/>
  <c r="Q289" i="13"/>
  <c r="P289" i="13"/>
  <c r="AM282" i="13"/>
  <c r="AL282" i="13"/>
  <c r="AI282" i="13"/>
  <c r="AH282" i="13"/>
  <c r="AE282" i="13"/>
  <c r="AD282" i="13"/>
  <c r="AC282" i="13"/>
  <c r="AB282" i="13"/>
  <c r="AA282" i="13"/>
  <c r="Z282" i="13"/>
  <c r="Y282" i="13"/>
  <c r="X282" i="13"/>
  <c r="W282" i="13"/>
  <c r="V282" i="13"/>
  <c r="U282" i="13"/>
  <c r="T282" i="13"/>
  <c r="S282" i="13"/>
  <c r="R282" i="13"/>
  <c r="Q282" i="13"/>
  <c r="AM280" i="13"/>
  <c r="AL280" i="13"/>
  <c r="AK280" i="13"/>
  <c r="AI280" i="13"/>
  <c r="AH280" i="13"/>
  <c r="AG280" i="13"/>
  <c r="AE280" i="13"/>
  <c r="AD280" i="13"/>
  <c r="AC280" i="13"/>
  <c r="AB280" i="13"/>
  <c r="AA280" i="13"/>
  <c r="Z280" i="13"/>
  <c r="Y280" i="13"/>
  <c r="X280" i="13"/>
  <c r="W280" i="13"/>
  <c r="V280" i="13"/>
  <c r="U280" i="13"/>
  <c r="T280" i="13"/>
  <c r="S280" i="13"/>
  <c r="R280" i="13"/>
  <c r="Q280" i="13"/>
  <c r="Q286" i="13" s="1"/>
  <c r="Q287" i="13" s="1"/>
  <c r="P280" i="13"/>
  <c r="Q285" i="13" s="1"/>
  <c r="AM278" i="13"/>
  <c r="AL278" i="13"/>
  <c r="AK278" i="13"/>
  <c r="AI278" i="13"/>
  <c r="AH278" i="13"/>
  <c r="AG278" i="13"/>
  <c r="AE278" i="13"/>
  <c r="AD278" i="13"/>
  <c r="AC278" i="13"/>
  <c r="AB278" i="13"/>
  <c r="AA278" i="13"/>
  <c r="Z278" i="13"/>
  <c r="Y278" i="13"/>
  <c r="X278" i="13"/>
  <c r="W278" i="13"/>
  <c r="V278" i="13"/>
  <c r="U278" i="13"/>
  <c r="T278" i="13"/>
  <c r="S278" i="13"/>
  <c r="R278" i="13"/>
  <c r="Q278" i="13"/>
  <c r="P278" i="13"/>
  <c r="AM277" i="13"/>
  <c r="AL277" i="13"/>
  <c r="AK277" i="13"/>
  <c r="AI277" i="13"/>
  <c r="AH277" i="13"/>
  <c r="AG277" i="13"/>
  <c r="AE277" i="13"/>
  <c r="AD277" i="13"/>
  <c r="AC277" i="13"/>
  <c r="AB277" i="13"/>
  <c r="AA277" i="13"/>
  <c r="Z277" i="13"/>
  <c r="Y277" i="13"/>
  <c r="X277" i="13"/>
  <c r="W277" i="13"/>
  <c r="V277" i="13"/>
  <c r="U277" i="13"/>
  <c r="T277" i="13"/>
  <c r="S277" i="13"/>
  <c r="R277" i="13"/>
  <c r="Q277" i="13"/>
  <c r="P277" i="13"/>
  <c r="BF275" i="13"/>
  <c r="BE275" i="13"/>
  <c r="BD275" i="13"/>
  <c r="BF274" i="13"/>
  <c r="BE274" i="13"/>
  <c r="BD274" i="13"/>
  <c r="BF273" i="13"/>
  <c r="BE273" i="13"/>
  <c r="BD273" i="13"/>
  <c r="BF272" i="13"/>
  <c r="BE272" i="13"/>
  <c r="BD272" i="13"/>
  <c r="BF271" i="13"/>
  <c r="BE271" i="13"/>
  <c r="BD271" i="13"/>
  <c r="BF270" i="13"/>
  <c r="BE270" i="13"/>
  <c r="BD270" i="13"/>
  <c r="BL267" i="13"/>
  <c r="BG267" i="13"/>
  <c r="BF267" i="13"/>
  <c r="BE267" i="13"/>
  <c r="BD267" i="13"/>
  <c r="AR267" i="13"/>
  <c r="BK267" i="13" s="1"/>
  <c r="AQ267" i="13"/>
  <c r="AP267" i="13"/>
  <c r="AO267" i="13"/>
  <c r="AN267" i="13"/>
  <c r="AN303" i="13" s="1"/>
  <c r="AJ267" i="13"/>
  <c r="AK303" i="13" s="1"/>
  <c r="AF267" i="13"/>
  <c r="AG303" i="13" s="1"/>
  <c r="AR264" i="13"/>
  <c r="AQ264" i="13"/>
  <c r="AP264" i="13"/>
  <c r="AO264" i="13"/>
  <c r="AN264" i="13"/>
  <c r="AM264" i="13"/>
  <c r="AL264" i="13"/>
  <c r="AK264" i="13"/>
  <c r="AJ264" i="13"/>
  <c r="AI264" i="13"/>
  <c r="AH264" i="13"/>
  <c r="AG264" i="13"/>
  <c r="AF264" i="13"/>
  <c r="AA262" i="13"/>
  <c r="Z262" i="13"/>
  <c r="Y262" i="13"/>
  <c r="X262" i="13"/>
  <c r="W262" i="13"/>
  <c r="V262" i="13"/>
  <c r="U262" i="13"/>
  <c r="T262" i="13"/>
  <c r="S262" i="13"/>
  <c r="R262" i="13"/>
  <c r="Q262" i="13"/>
  <c r="P262" i="13"/>
  <c r="O261" i="13"/>
  <c r="N261" i="13"/>
  <c r="M261" i="13"/>
  <c r="L261" i="13"/>
  <c r="AR259" i="13"/>
  <c r="AQ259" i="13"/>
  <c r="AP259" i="13"/>
  <c r="AO259" i="13"/>
  <c r="AN259" i="13"/>
  <c r="AM259" i="13"/>
  <c r="AL259" i="13"/>
  <c r="AK259" i="13"/>
  <c r="AJ259" i="13"/>
  <c r="AI259" i="13"/>
  <c r="AH259" i="13"/>
  <c r="AG259" i="13"/>
  <c r="AF259" i="13"/>
  <c r="AE259" i="13"/>
  <c r="AD259" i="13"/>
  <c r="AC259" i="13"/>
  <c r="AA257" i="13"/>
  <c r="Z257" i="13"/>
  <c r="Y257" i="13"/>
  <c r="X257" i="13"/>
  <c r="W257" i="13"/>
  <c r="V257" i="13"/>
  <c r="U257" i="13"/>
  <c r="T257" i="13"/>
  <c r="S257" i="13"/>
  <c r="R257" i="13"/>
  <c r="Q257" i="13"/>
  <c r="BL254" i="13"/>
  <c r="BK254" i="13"/>
  <c r="BJ254" i="13"/>
  <c r="BI254" i="13"/>
  <c r="BH254" i="13"/>
  <c r="BG254" i="13"/>
  <c r="BC254" i="13"/>
  <c r="BF252" i="13"/>
  <c r="BE252" i="13"/>
  <c r="BE314" i="13" s="1"/>
  <c r="BD252" i="13"/>
  <c r="BC252" i="13"/>
  <c r="BC331" i="13" s="1"/>
  <c r="AE244" i="13"/>
  <c r="BD243" i="13"/>
  <c r="BF243" i="13"/>
  <c r="BE243" i="13"/>
  <c r="AJ240" i="13"/>
  <c r="AJ521" i="13" s="1"/>
  <c r="AB240" i="13"/>
  <c r="BF238" i="13"/>
  <c r="BE238" i="13"/>
  <c r="BD238" i="13"/>
  <c r="BC238" i="13"/>
  <c r="BF237" i="13"/>
  <c r="BE237" i="13"/>
  <c r="BD237" i="13"/>
  <c r="BC237" i="13"/>
  <c r="AB237" i="13"/>
  <c r="BF235" i="13"/>
  <c r="BE235" i="13"/>
  <c r="BD235" i="13"/>
  <c r="BC235" i="13"/>
  <c r="BF234" i="13"/>
  <c r="BE234" i="13"/>
  <c r="BD234" i="13"/>
  <c r="BC234" i="13"/>
  <c r="AQ233" i="13"/>
  <c r="AQ240" i="13" s="1"/>
  <c r="AP233" i="13"/>
  <c r="AP240" i="13" s="1"/>
  <c r="AP521" i="13" s="1"/>
  <c r="AO233" i="13"/>
  <c r="AO240" i="13" s="1"/>
  <c r="AO241" i="13" s="1"/>
  <c r="AN233" i="13"/>
  <c r="AN240" i="13" s="1"/>
  <c r="AN521" i="13" s="1"/>
  <c r="AM233" i="13"/>
  <c r="AM240" i="13" s="1"/>
  <c r="AL233" i="13"/>
  <c r="AL240" i="13" s="1"/>
  <c r="AL521" i="13" s="1"/>
  <c r="AK233" i="13"/>
  <c r="AK240" i="13" s="1"/>
  <c r="AK241" i="13" s="1"/>
  <c r="AJ233" i="13"/>
  <c r="AI233" i="13"/>
  <c r="AI240" i="13" s="1"/>
  <c r="AH233" i="13"/>
  <c r="AH240" i="13" s="1"/>
  <c r="AH521" i="13" s="1"/>
  <c r="AG233" i="13"/>
  <c r="AG240" i="13" s="1"/>
  <c r="AF233" i="13"/>
  <c r="AF240" i="13" s="1"/>
  <c r="AF521" i="13" s="1"/>
  <c r="AE233" i="13"/>
  <c r="AE240" i="13" s="1"/>
  <c r="AD233" i="13"/>
  <c r="AD240" i="13" s="1"/>
  <c r="AD521" i="13" s="1"/>
  <c r="AC233" i="13"/>
  <c r="AC240" i="13" s="1"/>
  <c r="AB233" i="13"/>
  <c r="AA233" i="13"/>
  <c r="AA240" i="13" s="1"/>
  <c r="Z233" i="13"/>
  <c r="Z240" i="13" s="1"/>
  <c r="Z241" i="13" s="1"/>
  <c r="Y233" i="13"/>
  <c r="BF233" i="13" s="1"/>
  <c r="X233" i="13"/>
  <c r="X240" i="13" s="1"/>
  <c r="X521" i="13" s="1"/>
  <c r="W233" i="13"/>
  <c r="W240" i="13" s="1"/>
  <c r="V233" i="13"/>
  <c r="V240" i="13" s="1"/>
  <c r="V521" i="13" s="1"/>
  <c r="U233" i="13"/>
  <c r="U240" i="13" s="1"/>
  <c r="T233" i="13"/>
  <c r="T240" i="13" s="1"/>
  <c r="T241" i="13" s="1"/>
  <c r="S233" i="13"/>
  <c r="S240" i="13" s="1"/>
  <c r="R233" i="13"/>
  <c r="R240" i="13" s="1"/>
  <c r="R521" i="13" s="1"/>
  <c r="Q233" i="13"/>
  <c r="BD233" i="13" s="1"/>
  <c r="P233" i="13"/>
  <c r="P240" i="13" s="1"/>
  <c r="P521" i="13" s="1"/>
  <c r="O233" i="13"/>
  <c r="O240" i="13" s="1"/>
  <c r="O521" i="13" s="1"/>
  <c r="N233" i="13"/>
  <c r="N240" i="13" s="1"/>
  <c r="N521" i="13" s="1"/>
  <c r="M233" i="13"/>
  <c r="M240" i="13" s="1"/>
  <c r="L233" i="13"/>
  <c r="L240" i="13" s="1"/>
  <c r="AQ231" i="13"/>
  <c r="AP231" i="13"/>
  <c r="AO231" i="13"/>
  <c r="AN231" i="13"/>
  <c r="AM231" i="13"/>
  <c r="AL231" i="13"/>
  <c r="AK231" i="13"/>
  <c r="AJ231" i="13"/>
  <c r="AI231" i="13"/>
  <c r="AH231" i="13"/>
  <c r="AG231" i="13"/>
  <c r="AF231" i="13"/>
  <c r="AE231" i="13"/>
  <c r="AD231" i="13"/>
  <c r="AC231" i="13"/>
  <c r="AB231" i="13"/>
  <c r="AA231" i="13"/>
  <c r="Z231" i="13"/>
  <c r="Y231" i="13"/>
  <c r="X231" i="13"/>
  <c r="W231" i="13"/>
  <c r="V231" i="13"/>
  <c r="U231" i="13"/>
  <c r="T231" i="13"/>
  <c r="S231" i="13"/>
  <c r="R231" i="13"/>
  <c r="Q231" i="13"/>
  <c r="P231" i="13"/>
  <c r="BF230" i="13"/>
  <c r="BE230" i="13"/>
  <c r="BE516" i="13" s="1"/>
  <c r="BD230" i="13"/>
  <c r="BD516" i="13" s="1"/>
  <c r="BC230" i="13"/>
  <c r="BC516" i="13" s="1"/>
  <c r="BF223" i="13"/>
  <c r="BE223" i="13"/>
  <c r="BD223" i="13"/>
  <c r="BC223" i="13"/>
  <c r="BF222" i="13"/>
  <c r="BE222" i="13"/>
  <c r="BD222" i="13"/>
  <c r="BC222" i="13"/>
  <c r="BF220" i="13"/>
  <c r="BE220" i="13"/>
  <c r="BD220" i="13"/>
  <c r="BC220" i="13"/>
  <c r="BF219" i="13"/>
  <c r="BE219" i="13"/>
  <c r="BD219" i="13"/>
  <c r="BC219" i="13"/>
  <c r="AQ218" i="13"/>
  <c r="AP218" i="13"/>
  <c r="AP225" i="13" s="1"/>
  <c r="AO218" i="13"/>
  <c r="AO225" i="13" s="1"/>
  <c r="AN218" i="13"/>
  <c r="AN225" i="13" s="1"/>
  <c r="AM218" i="13"/>
  <c r="AM225" i="13" s="1"/>
  <c r="AL218" i="13"/>
  <c r="AL225" i="13" s="1"/>
  <c r="AK218" i="13"/>
  <c r="AK225" i="13" s="1"/>
  <c r="AJ218" i="13"/>
  <c r="AJ225" i="13" s="1"/>
  <c r="AI218" i="13"/>
  <c r="AI225" i="13" s="1"/>
  <c r="AH218" i="13"/>
  <c r="AH225" i="13" s="1"/>
  <c r="AG218" i="13"/>
  <c r="AG225" i="13" s="1"/>
  <c r="AF218" i="13"/>
  <c r="AF225" i="13" s="1"/>
  <c r="AE218" i="13"/>
  <c r="AE225" i="13" s="1"/>
  <c r="AD218" i="13"/>
  <c r="AD225" i="13" s="1"/>
  <c r="AC218" i="13"/>
  <c r="AC225" i="13" s="1"/>
  <c r="AB218" i="13"/>
  <c r="AB225" i="13" s="1"/>
  <c r="AA218" i="13"/>
  <c r="AA225" i="13" s="1"/>
  <c r="Z218" i="13"/>
  <c r="Z225" i="13" s="1"/>
  <c r="Y218" i="13"/>
  <c r="Y225" i="13" s="1"/>
  <c r="X218" i="13"/>
  <c r="X225" i="13" s="1"/>
  <c r="W218" i="13"/>
  <c r="W225" i="13" s="1"/>
  <c r="V218" i="13"/>
  <c r="V225" i="13" s="1"/>
  <c r="U218" i="13"/>
  <c r="U225" i="13" s="1"/>
  <c r="T218" i="13"/>
  <c r="T225" i="13" s="1"/>
  <c r="S218" i="13"/>
  <c r="S225" i="13" s="1"/>
  <c r="R218" i="13"/>
  <c r="R225" i="13" s="1"/>
  <c r="Q218" i="13"/>
  <c r="Q225" i="13" s="1"/>
  <c r="P218" i="13"/>
  <c r="P225" i="13" s="1"/>
  <c r="O218" i="13"/>
  <c r="O225" i="13" s="1"/>
  <c r="N218" i="13"/>
  <c r="N225" i="13" s="1"/>
  <c r="M218" i="13"/>
  <c r="M225" i="13" s="1"/>
  <c r="L218" i="13"/>
  <c r="L225" i="13" s="1"/>
  <c r="BI215" i="13"/>
  <c r="BH215" i="13"/>
  <c r="BG215" i="13"/>
  <c r="BF215" i="13"/>
  <c r="BE215" i="13"/>
  <c r="BD215" i="13"/>
  <c r="BC215" i="13"/>
  <c r="AQ215" i="13"/>
  <c r="AQ505" i="13" s="1"/>
  <c r="AQ213" i="13"/>
  <c r="AP213" i="13"/>
  <c r="AM213" i="13"/>
  <c r="AL213" i="13"/>
  <c r="AI213" i="13"/>
  <c r="AH213" i="13"/>
  <c r="AE213" i="13"/>
  <c r="AD213" i="13"/>
  <c r="AC213" i="13"/>
  <c r="AB213" i="13"/>
  <c r="AA213" i="13"/>
  <c r="Z213" i="13"/>
  <c r="Z227" i="13" s="1"/>
  <c r="Y213" i="13"/>
  <c r="X213" i="13"/>
  <c r="X227" i="13" s="1"/>
  <c r="W213" i="13"/>
  <c r="V213" i="13"/>
  <c r="V227" i="13" s="1"/>
  <c r="U213" i="13"/>
  <c r="T213" i="13"/>
  <c r="T227" i="13" s="1"/>
  <c r="S213" i="13"/>
  <c r="R213" i="13"/>
  <c r="R227" i="13" s="1"/>
  <c r="Q213" i="13"/>
  <c r="P213" i="13"/>
  <c r="P227" i="13" s="1"/>
  <c r="O213" i="13"/>
  <c r="N213" i="13"/>
  <c r="N227" i="13" s="1"/>
  <c r="M213" i="13"/>
  <c r="L213" i="13"/>
  <c r="L227" i="13" s="1"/>
  <c r="BF208" i="13"/>
  <c r="BE208" i="13"/>
  <c r="BD208" i="13"/>
  <c r="AR206" i="13"/>
  <c r="AQ206" i="13"/>
  <c r="AP206" i="13"/>
  <c r="AO206" i="13"/>
  <c r="AN206" i="13"/>
  <c r="AM206" i="13"/>
  <c r="AL206" i="13"/>
  <c r="AK206" i="13"/>
  <c r="AJ206" i="13"/>
  <c r="AI206" i="13"/>
  <c r="AH206" i="13"/>
  <c r="AG206" i="13"/>
  <c r="AF206" i="13"/>
  <c r="AE206" i="13"/>
  <c r="AD206" i="13"/>
  <c r="AC206" i="13"/>
  <c r="AB206" i="13"/>
  <c r="AA206" i="13"/>
  <c r="Z206" i="13"/>
  <c r="Y206" i="13"/>
  <c r="X206" i="13"/>
  <c r="W206" i="13"/>
  <c r="V206" i="13"/>
  <c r="U206" i="13"/>
  <c r="T206" i="13"/>
  <c r="S206" i="13"/>
  <c r="R206" i="13"/>
  <c r="Q206" i="13"/>
  <c r="AR202" i="13"/>
  <c r="AQ202" i="13"/>
  <c r="AP202" i="13"/>
  <c r="AO202" i="13"/>
  <c r="AN202" i="13"/>
  <c r="AM202" i="13"/>
  <c r="AL202" i="13"/>
  <c r="AK202" i="13"/>
  <c r="AJ202" i="13"/>
  <c r="AI202" i="13"/>
  <c r="AH202" i="13"/>
  <c r="AG202" i="13"/>
  <c r="AF202" i="13"/>
  <c r="AE202" i="13"/>
  <c r="AD202" i="13"/>
  <c r="AC202" i="13"/>
  <c r="AB202" i="13"/>
  <c r="AA202" i="13"/>
  <c r="Z202" i="13"/>
  <c r="Y202" i="13"/>
  <c r="X202" i="13"/>
  <c r="W202" i="13"/>
  <c r="V202" i="13"/>
  <c r="U202" i="13"/>
  <c r="T202" i="13"/>
  <c r="S202" i="13"/>
  <c r="R202" i="13"/>
  <c r="Q202" i="13"/>
  <c r="P202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BF199" i="13"/>
  <c r="BE199" i="13"/>
  <c r="BD199" i="13"/>
  <c r="BF198" i="13"/>
  <c r="BE198" i="13"/>
  <c r="BD198" i="13"/>
  <c r="BF197" i="13"/>
  <c r="BE197" i="13"/>
  <c r="BD197" i="13"/>
  <c r="BF196" i="13"/>
  <c r="BE196" i="13"/>
  <c r="BD196" i="13"/>
  <c r="BF195" i="13"/>
  <c r="BE195" i="13"/>
  <c r="BD195" i="13"/>
  <c r="BF194" i="13"/>
  <c r="BE194" i="13"/>
  <c r="BD194" i="13"/>
  <c r="BF193" i="13"/>
  <c r="BE193" i="13"/>
  <c r="BD193" i="13"/>
  <c r="BF188" i="13"/>
  <c r="BE188" i="13"/>
  <c r="BD188" i="13"/>
  <c r="AQ186" i="13"/>
  <c r="AP186" i="13"/>
  <c r="AO186" i="13"/>
  <c r="AM186" i="13"/>
  <c r="AL186" i="13"/>
  <c r="AK186" i="13"/>
  <c r="AI186" i="13"/>
  <c r="AH186" i="13"/>
  <c r="AG186" i="13"/>
  <c r="AF186" i="13"/>
  <c r="AE186" i="13"/>
  <c r="AD186" i="13"/>
  <c r="AC186" i="13"/>
  <c r="AB186" i="13"/>
  <c r="AA186" i="13"/>
  <c r="Z186" i="13"/>
  <c r="Y186" i="13"/>
  <c r="X186" i="13"/>
  <c r="W186" i="13"/>
  <c r="V186" i="13"/>
  <c r="U186" i="13"/>
  <c r="T186" i="13"/>
  <c r="S186" i="13"/>
  <c r="R186" i="13"/>
  <c r="Q186" i="13"/>
  <c r="P186" i="13"/>
  <c r="AD185" i="13"/>
  <c r="AC185" i="13"/>
  <c r="AB185" i="13"/>
  <c r="AA185" i="13"/>
  <c r="W185" i="13"/>
  <c r="V185" i="13"/>
  <c r="U185" i="13"/>
  <c r="T185" i="13"/>
  <c r="S185" i="13"/>
  <c r="R185" i="13"/>
  <c r="Q185" i="13"/>
  <c r="P185" i="13"/>
  <c r="AR184" i="13"/>
  <c r="AQ184" i="13"/>
  <c r="AP184" i="13"/>
  <c r="AO184" i="13"/>
  <c r="AN184" i="13"/>
  <c r="AM184" i="13"/>
  <c r="AL184" i="13"/>
  <c r="AK184" i="13"/>
  <c r="AJ184" i="13"/>
  <c r="AI184" i="13"/>
  <c r="AH184" i="13"/>
  <c r="AG184" i="13"/>
  <c r="AF184" i="13"/>
  <c r="AE184" i="13"/>
  <c r="AD184" i="13"/>
  <c r="AC184" i="13"/>
  <c r="AB184" i="13"/>
  <c r="AA184" i="13"/>
  <c r="Z184" i="13"/>
  <c r="Y184" i="13"/>
  <c r="X184" i="13"/>
  <c r="W184" i="13"/>
  <c r="V184" i="13"/>
  <c r="U184" i="13"/>
  <c r="T184" i="13"/>
  <c r="S184" i="13"/>
  <c r="R184" i="13"/>
  <c r="Q184" i="13"/>
  <c r="P184" i="13"/>
  <c r="AQ183" i="13"/>
  <c r="AP183" i="13"/>
  <c r="AO183" i="13"/>
  <c r="AM183" i="13"/>
  <c r="AL183" i="13"/>
  <c r="AK183" i="13"/>
  <c r="AI183" i="13"/>
  <c r="AH183" i="13"/>
  <c r="AG183" i="13"/>
  <c r="AF183" i="13"/>
  <c r="AE183" i="13"/>
  <c r="AD183" i="13"/>
  <c r="AC183" i="13"/>
  <c r="AB183" i="13"/>
  <c r="AQ179" i="13"/>
  <c r="AP179" i="13"/>
  <c r="AM179" i="13"/>
  <c r="AL179" i="13"/>
  <c r="AI179" i="13"/>
  <c r="AH179" i="13"/>
  <c r="AG179" i="13"/>
  <c r="AF179" i="13"/>
  <c r="AE179" i="13"/>
  <c r="AD179" i="13"/>
  <c r="AC179" i="13"/>
  <c r="AB179" i="13"/>
  <c r="AA179" i="13"/>
  <c r="Z179" i="13"/>
  <c r="Y179" i="13"/>
  <c r="X179" i="13"/>
  <c r="W179" i="13"/>
  <c r="V179" i="13"/>
  <c r="U179" i="13"/>
  <c r="T179" i="13"/>
  <c r="AD178" i="13"/>
  <c r="AC178" i="13"/>
  <c r="AB178" i="13"/>
  <c r="W178" i="13"/>
  <c r="V178" i="13"/>
  <c r="U178" i="13"/>
  <c r="T178" i="13"/>
  <c r="AT177" i="13"/>
  <c r="AS177" i="13"/>
  <c r="AR177" i="13"/>
  <c r="AQ177" i="13"/>
  <c r="AP177" i="13"/>
  <c r="AO177" i="13"/>
  <c r="AN177" i="13"/>
  <c r="AM177" i="13"/>
  <c r="AL177" i="13"/>
  <c r="AK177" i="13"/>
  <c r="AJ177" i="13"/>
  <c r="AI177" i="13"/>
  <c r="AH177" i="13"/>
  <c r="AG177" i="13"/>
  <c r="AF177" i="13"/>
  <c r="AE177" i="13"/>
  <c r="AD177" i="13"/>
  <c r="AC177" i="13"/>
  <c r="AB177" i="13"/>
  <c r="AA177" i="13"/>
  <c r="Z177" i="13"/>
  <c r="Y177" i="13"/>
  <c r="X177" i="13"/>
  <c r="W177" i="13"/>
  <c r="V177" i="13"/>
  <c r="U177" i="13"/>
  <c r="T177" i="13"/>
  <c r="AQ176" i="13"/>
  <c r="AP176" i="13"/>
  <c r="AM176" i="13"/>
  <c r="AL176" i="13"/>
  <c r="AI176" i="13"/>
  <c r="AH176" i="13"/>
  <c r="AG176" i="13"/>
  <c r="AF176" i="13"/>
  <c r="AE176" i="13"/>
  <c r="AD176" i="13"/>
  <c r="AC176" i="13"/>
  <c r="AR163" i="13"/>
  <c r="AQ163" i="13"/>
  <c r="AP163" i="13"/>
  <c r="AO163" i="13"/>
  <c r="AN163" i="13"/>
  <c r="AM163" i="13"/>
  <c r="AL163" i="13"/>
  <c r="AK163" i="13"/>
  <c r="AJ163" i="13"/>
  <c r="AI163" i="13"/>
  <c r="AH163" i="13"/>
  <c r="AG163" i="13"/>
  <c r="AF163" i="13"/>
  <c r="AE163" i="13"/>
  <c r="AD163" i="13"/>
  <c r="AC163" i="13"/>
  <c r="AB163" i="13"/>
  <c r="AA163" i="13"/>
  <c r="Z163" i="13"/>
  <c r="Y163" i="13"/>
  <c r="X163" i="13"/>
  <c r="W163" i="13"/>
  <c r="V163" i="13"/>
  <c r="U163" i="13"/>
  <c r="T163" i="13"/>
  <c r="S163" i="13"/>
  <c r="R163" i="13"/>
  <c r="Q163" i="13"/>
  <c r="AR158" i="13"/>
  <c r="AQ158" i="13"/>
  <c r="AP158" i="13"/>
  <c r="AO158" i="13"/>
  <c r="AN158" i="13"/>
  <c r="AM158" i="13"/>
  <c r="AL158" i="13"/>
  <c r="AK158" i="13"/>
  <c r="AJ158" i="13"/>
  <c r="AI158" i="13"/>
  <c r="AH158" i="13"/>
  <c r="AG158" i="13"/>
  <c r="AF158" i="13"/>
  <c r="AE158" i="13"/>
  <c r="AD158" i="13"/>
  <c r="AC158" i="13"/>
  <c r="AB158" i="13"/>
  <c r="AA158" i="13"/>
  <c r="Z158" i="13"/>
  <c r="Y158" i="13"/>
  <c r="X158" i="13"/>
  <c r="W158" i="13"/>
  <c r="V158" i="13"/>
  <c r="U158" i="13"/>
  <c r="T158" i="13"/>
  <c r="S158" i="13"/>
  <c r="R158" i="13"/>
  <c r="Q158" i="13"/>
  <c r="P158" i="13"/>
  <c r="AR155" i="13"/>
  <c r="AR161" i="13" s="1"/>
  <c r="AR204" i="13" s="1"/>
  <c r="AQ155" i="13"/>
  <c r="AP155" i="13"/>
  <c r="AP159" i="13" s="1"/>
  <c r="AO155" i="13"/>
  <c r="AN155" i="13"/>
  <c r="AN161" i="13" s="1"/>
  <c r="AN204" i="13" s="1"/>
  <c r="AM155" i="13"/>
  <c r="AL155" i="13"/>
  <c r="AL159" i="13" s="1"/>
  <c r="AK155" i="13"/>
  <c r="AJ155" i="13"/>
  <c r="AJ161" i="13" s="1"/>
  <c r="AJ204" i="13" s="1"/>
  <c r="AI155" i="13"/>
  <c r="AH155" i="13"/>
  <c r="AH159" i="13" s="1"/>
  <c r="AG155" i="13"/>
  <c r="AF155" i="13"/>
  <c r="AF161" i="13" s="1"/>
  <c r="AF204" i="13" s="1"/>
  <c r="AE155" i="13"/>
  <c r="AD155" i="13"/>
  <c r="AD159" i="13" s="1"/>
  <c r="AC155" i="13"/>
  <c r="AB155" i="13"/>
  <c r="AB161" i="13" s="1"/>
  <c r="AA155" i="13"/>
  <c r="Z155" i="13"/>
  <c r="Z159" i="13" s="1"/>
  <c r="Y155" i="13"/>
  <c r="X155" i="13"/>
  <c r="X161" i="13" s="1"/>
  <c r="X204" i="13" s="1"/>
  <c r="W155" i="13"/>
  <c r="V155" i="13"/>
  <c r="V159" i="13" s="1"/>
  <c r="U155" i="13"/>
  <c r="T155" i="13"/>
  <c r="T161" i="13" s="1"/>
  <c r="T204" i="13" s="1"/>
  <c r="S155" i="13"/>
  <c r="R155" i="13"/>
  <c r="R159" i="13" s="1"/>
  <c r="Q155" i="13"/>
  <c r="P155" i="13"/>
  <c r="P161" i="13" s="1"/>
  <c r="P204" i="13" s="1"/>
  <c r="BF154" i="13"/>
  <c r="BE154" i="13"/>
  <c r="BD154" i="13"/>
  <c r="BF153" i="13"/>
  <c r="BE153" i="13"/>
  <c r="BD153" i="13"/>
  <c r="BF152" i="13"/>
  <c r="BE152" i="13"/>
  <c r="BD152" i="13"/>
  <c r="BF151" i="13"/>
  <c r="BE151" i="13"/>
  <c r="BD151" i="13"/>
  <c r="BF150" i="13"/>
  <c r="BE150" i="13"/>
  <c r="BD150" i="13"/>
  <c r="BF149" i="13"/>
  <c r="BE149" i="13"/>
  <c r="BD149" i="13"/>
  <c r="BJ146" i="13"/>
  <c r="BI146" i="13"/>
  <c r="BH146" i="13"/>
  <c r="BG146" i="13"/>
  <c r="BF146" i="13"/>
  <c r="BE146" i="13"/>
  <c r="BD146" i="13"/>
  <c r="AT146" i="13"/>
  <c r="AT184" i="13" s="1"/>
  <c r="AS146" i="13"/>
  <c r="AS184" i="13" s="1"/>
  <c r="BN140" i="13"/>
  <c r="BM140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AY140" i="13"/>
  <c r="AX140" i="13"/>
  <c r="AW140" i="13"/>
  <c r="AV140" i="13"/>
  <c r="AU140" i="13"/>
  <c r="AT140" i="13"/>
  <c r="AS140" i="13"/>
  <c r="AR140" i="13"/>
  <c r="AQ140" i="13"/>
  <c r="AP140" i="13"/>
  <c r="AO140" i="13"/>
  <c r="AN140" i="13"/>
  <c r="AM140" i="13"/>
  <c r="AL140" i="13"/>
  <c r="AK140" i="13"/>
  <c r="AJ140" i="13"/>
  <c r="AI140" i="13"/>
  <c r="AH140" i="13"/>
  <c r="AG140" i="13"/>
  <c r="AF140" i="13"/>
  <c r="AE140" i="13"/>
  <c r="AD140" i="13"/>
  <c r="AC140" i="13"/>
  <c r="AB140" i="13"/>
  <c r="AA140" i="13"/>
  <c r="Z140" i="13"/>
  <c r="Y140" i="13"/>
  <c r="X140" i="13"/>
  <c r="W140" i="13"/>
  <c r="V140" i="13"/>
  <c r="U140" i="13"/>
  <c r="T140" i="13"/>
  <c r="S140" i="13"/>
  <c r="R140" i="13"/>
  <c r="Q140" i="13"/>
  <c r="P140" i="13"/>
  <c r="O140" i="13"/>
  <c r="N140" i="13"/>
  <c r="M140" i="13"/>
  <c r="L140" i="13"/>
  <c r="AQ139" i="13"/>
  <c r="AP139" i="13"/>
  <c r="AO139" i="13"/>
  <c r="AM139" i="13"/>
  <c r="AL139" i="13"/>
  <c r="AK139" i="13"/>
  <c r="AI139" i="13"/>
  <c r="AH139" i="13"/>
  <c r="AG139" i="13"/>
  <c r="AF139" i="13"/>
  <c r="AE139" i="13"/>
  <c r="AD139" i="13"/>
  <c r="AC139" i="13"/>
  <c r="AB139" i="13"/>
  <c r="AA139" i="13"/>
  <c r="Z139" i="13"/>
  <c r="Y139" i="13"/>
  <c r="X139" i="13"/>
  <c r="W139" i="13"/>
  <c r="V139" i="13"/>
  <c r="U139" i="13"/>
  <c r="T139" i="13"/>
  <c r="S139" i="13"/>
  <c r="R139" i="13"/>
  <c r="Q139" i="13"/>
  <c r="P139" i="13"/>
  <c r="O139" i="13"/>
  <c r="N139" i="13"/>
  <c r="M139" i="13"/>
  <c r="L139" i="13"/>
  <c r="AQ138" i="13"/>
  <c r="AP138" i="13"/>
  <c r="AM138" i="13"/>
  <c r="AL138" i="13"/>
  <c r="AI138" i="13"/>
  <c r="AH138" i="13"/>
  <c r="AG138" i="13"/>
  <c r="AF138" i="13"/>
  <c r="AE138" i="13"/>
  <c r="AD138" i="13"/>
  <c r="AC138" i="13"/>
  <c r="AB138" i="13"/>
  <c r="AA138" i="13"/>
  <c r="Z138" i="13"/>
  <c r="Y138" i="13"/>
  <c r="X138" i="13"/>
  <c r="W138" i="13"/>
  <c r="V138" i="13"/>
  <c r="U138" i="13"/>
  <c r="T138" i="13"/>
  <c r="S138" i="13"/>
  <c r="R138" i="13"/>
  <c r="Q138" i="13"/>
  <c r="BH137" i="13"/>
  <c r="BG137" i="13"/>
  <c r="AR137" i="13"/>
  <c r="AN137" i="13"/>
  <c r="AO138" i="13" s="1"/>
  <c r="AJ137" i="13"/>
  <c r="AA136" i="13"/>
  <c r="AA253" i="13" s="1"/>
  <c r="Z136" i="13"/>
  <c r="Z253" i="13" s="1"/>
  <c r="Y136" i="13"/>
  <c r="Y253" i="13" s="1"/>
  <c r="X136" i="13"/>
  <c r="X253" i="13" s="1"/>
  <c r="W136" i="13"/>
  <c r="W253" i="13" s="1"/>
  <c r="V136" i="13"/>
  <c r="V253" i="13" s="1"/>
  <c r="U136" i="13"/>
  <c r="U253" i="13" s="1"/>
  <c r="T136" i="13"/>
  <c r="T253" i="13" s="1"/>
  <c r="S136" i="13"/>
  <c r="S253" i="13" s="1"/>
  <c r="R136" i="13"/>
  <c r="R253" i="13" s="1"/>
  <c r="Q136" i="13"/>
  <c r="Q253" i="13" s="1"/>
  <c r="P136" i="13"/>
  <c r="P253" i="13" s="1"/>
  <c r="P254" i="13" s="1"/>
  <c r="BL135" i="13"/>
  <c r="BK135" i="13"/>
  <c r="BJ135" i="13"/>
  <c r="BI135" i="13"/>
  <c r="BI141" i="13" s="1"/>
  <c r="BH135" i="13"/>
  <c r="BG135" i="13"/>
  <c r="BF135" i="13"/>
  <c r="BE135" i="13"/>
  <c r="BE141" i="13" s="1"/>
  <c r="BD135" i="13"/>
  <c r="BC135" i="13"/>
  <c r="BC141" i="13" s="1"/>
  <c r="AM118" i="13"/>
  <c r="AL118" i="13"/>
  <c r="AK118" i="13"/>
  <c r="AI118" i="13"/>
  <c r="AH118" i="13"/>
  <c r="AG118" i="13"/>
  <c r="AF118" i="13"/>
  <c r="AE118" i="13"/>
  <c r="AD118" i="13"/>
  <c r="AC118" i="13"/>
  <c r="AB118" i="13"/>
  <c r="O118" i="13"/>
  <c r="N118" i="13"/>
  <c r="M118" i="13"/>
  <c r="L118" i="13"/>
  <c r="AQ117" i="13"/>
  <c r="AP117" i="13"/>
  <c r="AO117" i="13"/>
  <c r="AM117" i="13"/>
  <c r="AL117" i="13"/>
  <c r="AK117" i="13"/>
  <c r="AI117" i="13"/>
  <c r="AH117" i="13"/>
  <c r="AG117" i="13"/>
  <c r="AF117" i="13"/>
  <c r="AE117" i="13"/>
  <c r="AD117" i="13"/>
  <c r="AC117" i="13"/>
  <c r="AB117" i="13"/>
  <c r="O117" i="13"/>
  <c r="N117" i="13"/>
  <c r="M117" i="13"/>
  <c r="L117" i="13"/>
  <c r="AQ116" i="13"/>
  <c r="AP116" i="13"/>
  <c r="AO116" i="13"/>
  <c r="AM116" i="13"/>
  <c r="AL116" i="13"/>
  <c r="AK116" i="13"/>
  <c r="AI116" i="13"/>
  <c r="AH116" i="13"/>
  <c r="AG116" i="13"/>
  <c r="AF116" i="13"/>
  <c r="O116" i="13"/>
  <c r="N116" i="13"/>
  <c r="M116" i="13"/>
  <c r="L116" i="13"/>
  <c r="AQ115" i="13"/>
  <c r="AP115" i="13"/>
  <c r="AM115" i="13"/>
  <c r="AL115" i="13"/>
  <c r="AI115" i="13"/>
  <c r="AH115" i="13"/>
  <c r="AG115" i="13"/>
  <c r="AF115" i="13"/>
  <c r="AE115" i="13"/>
  <c r="AD115" i="13"/>
  <c r="AC115" i="13"/>
  <c r="BH114" i="13"/>
  <c r="BG114" i="13"/>
  <c r="AR114" i="13"/>
  <c r="AN114" i="13"/>
  <c r="AO115" i="13" s="1"/>
  <c r="AJ114" i="13"/>
  <c r="AA113" i="13"/>
  <c r="AA114" i="13" s="1"/>
  <c r="Z113" i="13"/>
  <c r="Z114" i="13" s="1"/>
  <c r="Y113" i="13"/>
  <c r="Y114" i="13" s="1"/>
  <c r="X113" i="13"/>
  <c r="X114" i="13" s="1"/>
  <c r="W113" i="13"/>
  <c r="W114" i="13" s="1"/>
  <c r="V113" i="13"/>
  <c r="V114" i="13" s="1"/>
  <c r="U113" i="13"/>
  <c r="U114" i="13" s="1"/>
  <c r="T113" i="13"/>
  <c r="T114" i="13" s="1"/>
  <c r="S113" i="13"/>
  <c r="S114" i="13" s="1"/>
  <c r="R113" i="13"/>
  <c r="R114" i="13" s="1"/>
  <c r="Q113" i="13"/>
  <c r="Q114" i="13" s="1"/>
  <c r="P113" i="13"/>
  <c r="P114" i="13" s="1"/>
  <c r="BL112" i="13"/>
  <c r="BK112" i="13"/>
  <c r="BJ112" i="13"/>
  <c r="BI112" i="13"/>
  <c r="BH112" i="13"/>
  <c r="BG112" i="13"/>
  <c r="BF112" i="13"/>
  <c r="BF128" i="13" s="1"/>
  <c r="BE112" i="13"/>
  <c r="BD112" i="13"/>
  <c r="BC112" i="13"/>
  <c r="Y106" i="13"/>
  <c r="Y101" i="13"/>
  <c r="Y100" i="13"/>
  <c r="Y99" i="13"/>
  <c r="Y98" i="13"/>
  <c r="Y97" i="13"/>
  <c r="AA74" i="13"/>
  <c r="W74" i="13"/>
  <c r="V74" i="13"/>
  <c r="U74" i="13"/>
  <c r="T74" i="13"/>
  <c r="AD69" i="13"/>
  <c r="AC69" i="13"/>
  <c r="AB69" i="13"/>
  <c r="W69" i="13"/>
  <c r="V69" i="13"/>
  <c r="U69" i="13"/>
  <c r="T69" i="13"/>
  <c r="S69" i="13"/>
  <c r="R69" i="13"/>
  <c r="Q69" i="13"/>
  <c r="AO65" i="13"/>
  <c r="AK65" i="13"/>
  <c r="AK75" i="13" s="1"/>
  <c r="AG65" i="13"/>
  <c r="AF65" i="13"/>
  <c r="AE65" i="13"/>
  <c r="AD65" i="13"/>
  <c r="AD79" i="13" s="1"/>
  <c r="AC65" i="13"/>
  <c r="AB65" i="13"/>
  <c r="AB79" i="13" s="1"/>
  <c r="AA65" i="13"/>
  <c r="AA79" i="13" s="1"/>
  <c r="Z65" i="13"/>
  <c r="Z63" i="13" s="1"/>
  <c r="Y65" i="13"/>
  <c r="X65" i="13"/>
  <c r="BF65" i="13" s="1"/>
  <c r="W65" i="13"/>
  <c r="V65" i="13"/>
  <c r="V63" i="13" s="1"/>
  <c r="U65" i="13"/>
  <c r="T65" i="13"/>
  <c r="BE65" i="13" s="1"/>
  <c r="S65" i="13"/>
  <c r="R65" i="13"/>
  <c r="R63" i="13" s="1"/>
  <c r="R182" i="13" s="1"/>
  <c r="Q65" i="13"/>
  <c r="P65" i="13"/>
  <c r="P63" i="13" s="1"/>
  <c r="P182" i="13" s="1"/>
  <c r="O65" i="13"/>
  <c r="N65" i="13"/>
  <c r="N70" i="13" s="1"/>
  <c r="M65" i="13"/>
  <c r="L65" i="13"/>
  <c r="BC65" i="13" s="1"/>
  <c r="Z64" i="13"/>
  <c r="Y64" i="13"/>
  <c r="BE64" i="13"/>
  <c r="BE185" i="13" s="1"/>
  <c r="BD64" i="13"/>
  <c r="BD185" i="13" s="1"/>
  <c r="BC64" i="13"/>
  <c r="AE64" i="13"/>
  <c r="AC63" i="13"/>
  <c r="AC78" i="13" s="1"/>
  <c r="AA63" i="13"/>
  <c r="W63" i="13"/>
  <c r="U63" i="13"/>
  <c r="S63" i="13"/>
  <c r="S182" i="13" s="1"/>
  <c r="Q63" i="13"/>
  <c r="Q182" i="13" s="1"/>
  <c r="O63" i="13"/>
  <c r="M63" i="13"/>
  <c r="AM60" i="13"/>
  <c r="AL60" i="13"/>
  <c r="AK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AE59" i="13"/>
  <c r="AE58" i="13"/>
  <c r="AE57" i="13"/>
  <c r="AA59" i="13"/>
  <c r="Z59" i="13"/>
  <c r="Y59" i="13"/>
  <c r="X59" i="13"/>
  <c r="W59" i="13"/>
  <c r="V59" i="13"/>
  <c r="U59" i="13"/>
  <c r="T59" i="13"/>
  <c r="S59" i="13"/>
  <c r="R59" i="13"/>
  <c r="Q59" i="13"/>
  <c r="P59" i="13"/>
  <c r="O59" i="13"/>
  <c r="N59" i="13"/>
  <c r="M59" i="13"/>
  <c r="L59" i="13"/>
  <c r="AD58" i="13"/>
  <c r="AC58" i="13"/>
  <c r="AB58" i="13"/>
  <c r="AA58" i="13"/>
  <c r="Z58" i="13"/>
  <c r="Y58" i="13"/>
  <c r="X58" i="13"/>
  <c r="W58" i="13"/>
  <c r="V58" i="13"/>
  <c r="U58" i="13"/>
  <c r="T58" i="13"/>
  <c r="S58" i="13"/>
  <c r="R58" i="13"/>
  <c r="Q58" i="13"/>
  <c r="P58" i="13"/>
  <c r="O58" i="13"/>
  <c r="N58" i="13"/>
  <c r="M58" i="13"/>
  <c r="L58" i="13"/>
  <c r="AQ58" i="13"/>
  <c r="AP58" i="13"/>
  <c r="AO58" i="13"/>
  <c r="AM58" i="13"/>
  <c r="AL58" i="13"/>
  <c r="AK58" i="13"/>
  <c r="AI58" i="13"/>
  <c r="AH58" i="13"/>
  <c r="AG58" i="13"/>
  <c r="AF58" i="13"/>
  <c r="AQ57" i="13"/>
  <c r="AP57" i="13"/>
  <c r="AM57" i="13"/>
  <c r="AL57" i="13"/>
  <c r="AI57" i="13"/>
  <c r="AH57" i="13"/>
  <c r="AG57" i="13"/>
  <c r="AF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BH56" i="13"/>
  <c r="BG56" i="13"/>
  <c r="BF56" i="13"/>
  <c r="BE56" i="13"/>
  <c r="BD56" i="13"/>
  <c r="BC56" i="13"/>
  <c r="AN52" i="13"/>
  <c r="AM52" i="13"/>
  <c r="AL52" i="13"/>
  <c r="AK52" i="13"/>
  <c r="AJ52" i="13"/>
  <c r="AI52" i="13"/>
  <c r="AH52" i="13"/>
  <c r="AG52" i="13"/>
  <c r="AF52" i="13"/>
  <c r="AE52" i="13"/>
  <c r="AD52" i="13"/>
  <c r="AC52" i="13"/>
  <c r="AB52" i="13"/>
  <c r="AA52" i="13"/>
  <c r="Z52" i="13"/>
  <c r="X52" i="13"/>
  <c r="W52" i="13"/>
  <c r="V52" i="13"/>
  <c r="U52" i="13"/>
  <c r="T52" i="13"/>
  <c r="S52" i="13"/>
  <c r="R52" i="13"/>
  <c r="Q52" i="13"/>
  <c r="P52" i="13"/>
  <c r="AT51" i="13"/>
  <c r="AS51" i="13"/>
  <c r="AR51" i="13"/>
  <c r="AQ51" i="13"/>
  <c r="AP51" i="13"/>
  <c r="AO51" i="13"/>
  <c r="AN51" i="13"/>
  <c r="AM51" i="13"/>
  <c r="AL51" i="13"/>
  <c r="AK51" i="13"/>
  <c r="AJ51" i="13"/>
  <c r="AI51" i="13"/>
  <c r="AH51" i="13"/>
  <c r="AG51" i="13"/>
  <c r="AF51" i="13"/>
  <c r="AE51" i="13"/>
  <c r="AD51" i="13"/>
  <c r="AC51" i="13"/>
  <c r="AB51" i="13"/>
  <c r="AA51" i="13"/>
  <c r="Z51" i="13"/>
  <c r="Y51" i="13"/>
  <c r="X51" i="13"/>
  <c r="W51" i="13"/>
  <c r="V51" i="13"/>
  <c r="U51" i="13"/>
  <c r="T51" i="13"/>
  <c r="S51" i="13"/>
  <c r="R51" i="13"/>
  <c r="Q51" i="13"/>
  <c r="P51" i="13"/>
  <c r="AT50" i="13"/>
  <c r="AS50" i="13"/>
  <c r="AR50" i="13"/>
  <c r="AQ50" i="13"/>
  <c r="AP50" i="13"/>
  <c r="AO50" i="13"/>
  <c r="AN50" i="13"/>
  <c r="AM50" i="13"/>
  <c r="AL50" i="13"/>
  <c r="AK50" i="13"/>
  <c r="AJ50" i="13"/>
  <c r="AI50" i="13"/>
  <c r="AH50" i="13"/>
  <c r="AG50" i="13"/>
  <c r="AF50" i="13"/>
  <c r="AE50" i="13"/>
  <c r="AD50" i="13"/>
  <c r="AC50" i="13"/>
  <c r="AB50" i="13"/>
  <c r="AA50" i="13"/>
  <c r="Z50" i="13"/>
  <c r="Y50" i="13"/>
  <c r="X50" i="13"/>
  <c r="W50" i="13"/>
  <c r="V50" i="13"/>
  <c r="U50" i="13"/>
  <c r="T50" i="13"/>
  <c r="S50" i="13"/>
  <c r="R50" i="13"/>
  <c r="Q50" i="13"/>
  <c r="P50" i="13"/>
  <c r="AT49" i="13"/>
  <c r="AS49" i="13"/>
  <c r="AR49" i="13"/>
  <c r="AQ49" i="13"/>
  <c r="AP49" i="13"/>
  <c r="AO49" i="13"/>
  <c r="AN49" i="13"/>
  <c r="AM49" i="13"/>
  <c r="AL49" i="13"/>
  <c r="AK49" i="13"/>
  <c r="AJ49" i="13"/>
  <c r="AI49" i="13"/>
  <c r="AH49" i="13"/>
  <c r="AG49" i="13"/>
  <c r="AF49" i="13"/>
  <c r="AE49" i="13"/>
  <c r="AD49" i="13"/>
  <c r="AC49" i="13"/>
  <c r="AB49" i="13"/>
  <c r="AA49" i="13"/>
  <c r="Z49" i="13"/>
  <c r="Y49" i="13"/>
  <c r="X49" i="13"/>
  <c r="W49" i="13"/>
  <c r="V49" i="13"/>
  <c r="U49" i="13"/>
  <c r="T49" i="13"/>
  <c r="S49" i="13"/>
  <c r="R49" i="13"/>
  <c r="Q49" i="13"/>
  <c r="BK48" i="13"/>
  <c r="BJ48" i="13"/>
  <c r="BI48" i="13"/>
  <c r="BH48" i="13"/>
  <c r="BG48" i="13"/>
  <c r="BF48" i="13"/>
  <c r="BF52" i="13" s="1"/>
  <c r="BE48" i="13"/>
  <c r="BD48" i="13"/>
  <c r="BC48" i="13"/>
  <c r="BC52" i="13" s="1"/>
  <c r="AV48" i="13"/>
  <c r="AV453" i="13" s="1"/>
  <c r="AU453" i="13"/>
  <c r="AN44" i="13"/>
  <c r="AM44" i="13"/>
  <c r="AL44" i="13"/>
  <c r="AK44" i="13"/>
  <c r="AJ44" i="13"/>
  <c r="AI44" i="13"/>
  <c r="AH44" i="13"/>
  <c r="AG44" i="13"/>
  <c r="AF44" i="13"/>
  <c r="AE44" i="13"/>
  <c r="AD44" i="13"/>
  <c r="AC44" i="13"/>
  <c r="AB44" i="13"/>
  <c r="AA44" i="13"/>
  <c r="Z44" i="13"/>
  <c r="X44" i="13"/>
  <c r="W44" i="13"/>
  <c r="V44" i="13"/>
  <c r="U44" i="13"/>
  <c r="T44" i="13"/>
  <c r="S44" i="13"/>
  <c r="R44" i="13"/>
  <c r="Q44" i="13"/>
  <c r="P44" i="13"/>
  <c r="AT43" i="13"/>
  <c r="AS43" i="13"/>
  <c r="AR43" i="13"/>
  <c r="AQ43" i="13"/>
  <c r="AP43" i="13"/>
  <c r="AO43" i="13"/>
  <c r="AN43" i="13"/>
  <c r="AM43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AT42" i="13"/>
  <c r="AS42" i="13"/>
  <c r="AR42" i="13"/>
  <c r="AQ42" i="13"/>
  <c r="AP42" i="13"/>
  <c r="AO42" i="13"/>
  <c r="AN42" i="13"/>
  <c r="AM42" i="13"/>
  <c r="AL42" i="13"/>
  <c r="AK42" i="13"/>
  <c r="AJ42" i="13"/>
  <c r="AI42" i="13"/>
  <c r="AH42" i="13"/>
  <c r="AG42" i="13"/>
  <c r="AF42" i="13"/>
  <c r="AE42" i="13"/>
  <c r="AD42" i="13"/>
  <c r="AC42" i="13"/>
  <c r="AB42" i="13"/>
  <c r="AA42" i="13"/>
  <c r="Z42" i="13"/>
  <c r="Y42" i="13"/>
  <c r="X42" i="13"/>
  <c r="W42" i="13"/>
  <c r="V42" i="13"/>
  <c r="U42" i="13"/>
  <c r="T42" i="13"/>
  <c r="S42" i="13"/>
  <c r="R42" i="13"/>
  <c r="Q42" i="13"/>
  <c r="P42" i="13"/>
  <c r="AT41" i="13"/>
  <c r="AS41" i="13"/>
  <c r="AR41" i="13"/>
  <c r="AQ41" i="13"/>
  <c r="AP41" i="13"/>
  <c r="AO41" i="13"/>
  <c r="AN41" i="13"/>
  <c r="AM41" i="13"/>
  <c r="AL41" i="13"/>
  <c r="AK41" i="13"/>
  <c r="AJ41" i="13"/>
  <c r="AI41" i="13"/>
  <c r="AH41" i="13"/>
  <c r="AG41" i="13"/>
  <c r="AF41" i="13"/>
  <c r="AE41" i="13"/>
  <c r="AD41" i="13"/>
  <c r="AC41" i="13"/>
  <c r="AB41" i="13"/>
  <c r="AA41" i="13"/>
  <c r="Z41" i="13"/>
  <c r="Y41" i="13"/>
  <c r="X41" i="13"/>
  <c r="W41" i="13"/>
  <c r="V41" i="13"/>
  <c r="U41" i="13"/>
  <c r="T41" i="13"/>
  <c r="S41" i="13"/>
  <c r="R41" i="13"/>
  <c r="Q41" i="13"/>
  <c r="BJ40" i="13"/>
  <c r="BI40" i="13"/>
  <c r="BH40" i="13"/>
  <c r="BG40" i="13"/>
  <c r="BG44" i="13" s="1"/>
  <c r="BF40" i="13"/>
  <c r="BE40" i="13"/>
  <c r="BE44" i="13" s="1"/>
  <c r="BD40" i="13"/>
  <c r="BC40" i="13"/>
  <c r="BC44" i="13" s="1"/>
  <c r="AU452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X36" i="13"/>
  <c r="W36" i="13"/>
  <c r="V36" i="13"/>
  <c r="U36" i="13"/>
  <c r="T36" i="13"/>
  <c r="S36" i="13"/>
  <c r="R36" i="13"/>
  <c r="Q36" i="13"/>
  <c r="P36" i="13"/>
  <c r="AT35" i="13"/>
  <c r="AS35" i="13"/>
  <c r="AR35" i="13"/>
  <c r="AQ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Q35" i="13"/>
  <c r="P35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BK32" i="13"/>
  <c r="BJ32" i="13"/>
  <c r="BI32" i="13"/>
  <c r="BH32" i="13"/>
  <c r="BG32" i="13"/>
  <c r="BF32" i="13"/>
  <c r="BF36" i="13" s="1"/>
  <c r="BE32" i="13"/>
  <c r="BD32" i="13"/>
  <c r="BC32" i="13"/>
  <c r="BC36" i="13" s="1"/>
  <c r="AV32" i="13"/>
  <c r="AV451" i="13" s="1"/>
  <c r="AU451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BK24" i="13"/>
  <c r="BJ24" i="13"/>
  <c r="BI24" i="13"/>
  <c r="BH24" i="13"/>
  <c r="BG24" i="13"/>
  <c r="BF24" i="13"/>
  <c r="BE24" i="13"/>
  <c r="BD24" i="13"/>
  <c r="BD28" i="13" s="1"/>
  <c r="BC24" i="13"/>
  <c r="AV24" i="13"/>
  <c r="AT16" i="13"/>
  <c r="AS16" i="13"/>
  <c r="AR16" i="13"/>
  <c r="AQ16" i="13"/>
  <c r="AQ501" i="13" s="1"/>
  <c r="AP16" i="13"/>
  <c r="AO16" i="13"/>
  <c r="AN16" i="13"/>
  <c r="AN216" i="13" s="1"/>
  <c r="AM16" i="13"/>
  <c r="AM501" i="13" s="1"/>
  <c r="AL16" i="13"/>
  <c r="AK16" i="13"/>
  <c r="AJ16" i="13"/>
  <c r="AJ216" i="13" s="1"/>
  <c r="AI16" i="13"/>
  <c r="AI216" i="13" s="1"/>
  <c r="AH16" i="13"/>
  <c r="AH216" i="13" s="1"/>
  <c r="AG16" i="13"/>
  <c r="AG216" i="13" s="1"/>
  <c r="AF16" i="13"/>
  <c r="AF216" i="13" s="1"/>
  <c r="AE16" i="13"/>
  <c r="AE216" i="13" s="1"/>
  <c r="AD16" i="13"/>
  <c r="AD216" i="13" s="1"/>
  <c r="AC16" i="13"/>
  <c r="AC216" i="13" s="1"/>
  <c r="AB16" i="13"/>
  <c r="AB216" i="13" s="1"/>
  <c r="AA16" i="13"/>
  <c r="AA216" i="13" s="1"/>
  <c r="Z16" i="13"/>
  <c r="Z216" i="13" s="1"/>
  <c r="Y16" i="13"/>
  <c r="Y216" i="13" s="1"/>
  <c r="X16" i="13"/>
  <c r="X216" i="13" s="1"/>
  <c r="W16" i="13"/>
  <c r="W216" i="13" s="1"/>
  <c r="V16" i="13"/>
  <c r="V216" i="13" s="1"/>
  <c r="U16" i="13"/>
  <c r="U216" i="13" s="1"/>
  <c r="T16" i="13"/>
  <c r="T216" i="13" s="1"/>
  <c r="S16" i="13"/>
  <c r="S216" i="13" s="1"/>
  <c r="R16" i="13"/>
  <c r="R216" i="13" s="1"/>
  <c r="Q16" i="13"/>
  <c r="Q216" i="13" s="1"/>
  <c r="P16" i="13"/>
  <c r="P216" i="13" s="1"/>
  <c r="O16" i="13"/>
  <c r="O216" i="13" s="1"/>
  <c r="N16" i="13"/>
  <c r="N216" i="13" s="1"/>
  <c r="M16" i="13"/>
  <c r="M216" i="13" s="1"/>
  <c r="L16" i="13"/>
  <c r="L216" i="13" s="1"/>
  <c r="BN12" i="13"/>
  <c r="BN449" i="13" s="1"/>
  <c r="BM12" i="13"/>
  <c r="BM449" i="13" s="1"/>
  <c r="BL12" i="13"/>
  <c r="BL449" i="13" s="1"/>
  <c r="BK12" i="13"/>
  <c r="BK449" i="13" s="1"/>
  <c r="BJ12" i="13"/>
  <c r="BJ449" i="13" s="1"/>
  <c r="BI12" i="13"/>
  <c r="BI449" i="13" s="1"/>
  <c r="BH449" i="13"/>
  <c r="BG449" i="13"/>
  <c r="BF449" i="13"/>
  <c r="BE449" i="13"/>
  <c r="BD449" i="13"/>
  <c r="BC449" i="13"/>
  <c r="BB449" i="13"/>
  <c r="BA449" i="13"/>
  <c r="AY12" i="13"/>
  <c r="AY449" i="13" s="1"/>
  <c r="AX12" i="13"/>
  <c r="AX449" i="13" s="1"/>
  <c r="AW12" i="13"/>
  <c r="AW449" i="13" s="1"/>
  <c r="AV12" i="13"/>
  <c r="AV449" i="13" s="1"/>
  <c r="AU12" i="13"/>
  <c r="AU449" i="13" s="1"/>
  <c r="AT12" i="13"/>
  <c r="AT449" i="13" s="1"/>
  <c r="AS12" i="13"/>
  <c r="AS449" i="13" s="1"/>
  <c r="AR12" i="13"/>
  <c r="AR449" i="13" s="1"/>
  <c r="AQ12" i="13"/>
  <c r="AQ449" i="13" s="1"/>
  <c r="AP12" i="13"/>
  <c r="AP449" i="13" s="1"/>
  <c r="AO12" i="13"/>
  <c r="AO449" i="13" s="1"/>
  <c r="AN12" i="13"/>
  <c r="AN449" i="13" s="1"/>
  <c r="AM12" i="13"/>
  <c r="AM449" i="13" s="1"/>
  <c r="AL12" i="13"/>
  <c r="AL449" i="13" s="1"/>
  <c r="AK12" i="13"/>
  <c r="AK449" i="13" s="1"/>
  <c r="AJ12" i="13"/>
  <c r="AI449" i="13"/>
  <c r="AH449" i="13"/>
  <c r="AG449" i="13"/>
  <c r="AF449" i="13"/>
  <c r="AE449" i="13"/>
  <c r="AD449" i="13"/>
  <c r="AC449" i="13"/>
  <c r="AB449" i="13"/>
  <c r="AA449" i="13"/>
  <c r="Z449" i="13"/>
  <c r="Y449" i="13"/>
  <c r="X449" i="13"/>
  <c r="W449" i="13"/>
  <c r="V449" i="13"/>
  <c r="U449" i="13"/>
  <c r="T449" i="13"/>
  <c r="S449" i="13"/>
  <c r="R449" i="13"/>
  <c r="Q449" i="13"/>
  <c r="P449" i="13"/>
  <c r="O449" i="13"/>
  <c r="N449" i="13"/>
  <c r="M449" i="13"/>
  <c r="L449" i="13"/>
  <c r="K449" i="13"/>
  <c r="J449" i="13"/>
  <c r="I449" i="13"/>
  <c r="H449" i="13"/>
  <c r="G449" i="13"/>
  <c r="F449" i="13"/>
  <c r="E449" i="13"/>
  <c r="D449" i="13"/>
  <c r="BJ158" i="3"/>
  <c r="BI158" i="3"/>
  <c r="BH158" i="3"/>
  <c r="BG158" i="3"/>
  <c r="BF158" i="3"/>
  <c r="BE158" i="3"/>
  <c r="BD158" i="3"/>
  <c r="BC158" i="3"/>
  <c r="BB158" i="3"/>
  <c r="BA158" i="3"/>
  <c r="AT158" i="3"/>
  <c r="AS158" i="3"/>
  <c r="AR158" i="3"/>
  <c r="AQ158" i="3"/>
  <c r="AP158" i="3"/>
  <c r="AO158" i="3"/>
  <c r="AN158" i="3"/>
  <c r="AM158" i="3"/>
  <c r="AL158" i="3"/>
  <c r="AK158" i="3"/>
  <c r="AJ158" i="3"/>
  <c r="AI158" i="3"/>
  <c r="AH158" i="3"/>
  <c r="AG158" i="3"/>
  <c r="AF158" i="3"/>
  <c r="AE158" i="3"/>
  <c r="AD158" i="3"/>
  <c r="AC158" i="3"/>
  <c r="AB158" i="3"/>
  <c r="AA158" i="3"/>
  <c r="Z158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AR154" i="3"/>
  <c r="AS154" i="3" s="1"/>
  <c r="AQ154" i="3"/>
  <c r="AO154" i="3"/>
  <c r="AN154" i="3"/>
  <c r="AM154" i="3"/>
  <c r="AJ154" i="3"/>
  <c r="AK154" i="3" s="1"/>
  <c r="AI154" i="3"/>
  <c r="BH154" i="3" s="1"/>
  <c r="AG154" i="3"/>
  <c r="AH154" i="3" s="1"/>
  <c r="AF154" i="3"/>
  <c r="AC154" i="3"/>
  <c r="AD154" i="3" s="1"/>
  <c r="AV154" i="3"/>
  <c r="AW154" i="3" s="1"/>
  <c r="AX154" i="3" s="1"/>
  <c r="AY154" i="3" s="1"/>
  <c r="AU154" i="3"/>
  <c r="D153" i="3"/>
  <c r="F153" i="3" s="1"/>
  <c r="AV151" i="3"/>
  <c r="AW151" i="3" s="1"/>
  <c r="AX151" i="3" s="1"/>
  <c r="AY151" i="3" s="1"/>
  <c r="BL151" i="3" s="1"/>
  <c r="AS151" i="3"/>
  <c r="AT151" i="3" s="1"/>
  <c r="AU151" i="3" s="1"/>
  <c r="BK151" i="3" s="1"/>
  <c r="AR151" i="3"/>
  <c r="AO151" i="3"/>
  <c r="AP151" i="3" s="1"/>
  <c r="AQ151" i="3" s="1"/>
  <c r="BJ151" i="3" s="1"/>
  <c r="AN151" i="3"/>
  <c r="AJ151" i="3"/>
  <c r="AK151" i="3" s="1"/>
  <c r="AL151" i="3" s="1"/>
  <c r="AM151" i="3" s="1"/>
  <c r="BI151" i="3" s="1"/>
  <c r="AF151" i="3"/>
  <c r="AG151" i="3" s="1"/>
  <c r="AH151" i="3" s="1"/>
  <c r="AI151" i="3" s="1"/>
  <c r="BH151" i="3" s="1"/>
  <c r="AC151" i="3"/>
  <c r="AD151" i="3" s="1"/>
  <c r="AE151" i="3" s="1"/>
  <c r="BG151" i="3" s="1"/>
  <c r="AB151" i="3"/>
  <c r="Y151" i="3"/>
  <c r="Z151" i="3" s="1"/>
  <c r="AA151" i="3" s="1"/>
  <c r="BF151" i="3" s="1"/>
  <c r="X151" i="3"/>
  <c r="U151" i="3"/>
  <c r="T151" i="3"/>
  <c r="Q151" i="3"/>
  <c r="R151" i="3" s="1"/>
  <c r="S151" i="3" s="1"/>
  <c r="BD151" i="3" s="1"/>
  <c r="P151" i="3"/>
  <c r="L151" i="3"/>
  <c r="M151" i="3" s="1"/>
  <c r="N151" i="3" s="1"/>
  <c r="O151" i="3" s="1"/>
  <c r="BC151" i="3" s="1"/>
  <c r="H151" i="3"/>
  <c r="I151" i="3" s="1"/>
  <c r="J151" i="3" s="1"/>
  <c r="K151" i="3" s="1"/>
  <c r="BB151" i="3" s="1"/>
  <c r="D151" i="3"/>
  <c r="E151" i="3" s="1"/>
  <c r="F151" i="3" s="1"/>
  <c r="G151" i="3" s="1"/>
  <c r="BA151" i="3" s="1"/>
  <c r="AR150" i="3"/>
  <c r="AS150" i="3" s="1"/>
  <c r="AT150" i="3" s="1"/>
  <c r="AN150" i="3"/>
  <c r="AO150" i="3" s="1"/>
  <c r="AP150" i="3" s="1"/>
  <c r="AQ150" i="3" s="1"/>
  <c r="BJ150" i="3" s="1"/>
  <c r="AK150" i="3"/>
  <c r="AL150" i="3" s="1"/>
  <c r="AM150" i="3" s="1"/>
  <c r="BI150" i="3" s="1"/>
  <c r="AJ150" i="3"/>
  <c r="AG150" i="3"/>
  <c r="AH150" i="3" s="1"/>
  <c r="AI150" i="3" s="1"/>
  <c r="BH150" i="3" s="1"/>
  <c r="AF150" i="3"/>
  <c r="AB150" i="3"/>
  <c r="AC150" i="3" s="1"/>
  <c r="AD150" i="3" s="1"/>
  <c r="AE150" i="3" s="1"/>
  <c r="BG150" i="3" s="1"/>
  <c r="X150" i="3"/>
  <c r="Y150" i="3" s="1"/>
  <c r="Z150" i="3" s="1"/>
  <c r="AA150" i="3" s="1"/>
  <c r="BF150" i="3" s="1"/>
  <c r="U150" i="3"/>
  <c r="V150" i="3" s="1"/>
  <c r="W150" i="3" s="1"/>
  <c r="BE150" i="3" s="1"/>
  <c r="T150" i="3"/>
  <c r="Q150" i="3"/>
  <c r="R150" i="3" s="1"/>
  <c r="S150" i="3" s="1"/>
  <c r="BD150" i="3" s="1"/>
  <c r="P150" i="3"/>
  <c r="L150" i="3"/>
  <c r="M150" i="3" s="1"/>
  <c r="N150" i="3" s="1"/>
  <c r="O150" i="3" s="1"/>
  <c r="BC150" i="3" s="1"/>
  <c r="H150" i="3"/>
  <c r="I150" i="3" s="1"/>
  <c r="J150" i="3" s="1"/>
  <c r="K150" i="3" s="1"/>
  <c r="BB150" i="3" s="1"/>
  <c r="E150" i="3"/>
  <c r="F150" i="3" s="1"/>
  <c r="G150" i="3" s="1"/>
  <c r="BA150" i="3" s="1"/>
  <c r="D150" i="3"/>
  <c r="BN147" i="3"/>
  <c r="BM147" i="3"/>
  <c r="BN146" i="3"/>
  <c r="BM146" i="3"/>
  <c r="BN144" i="3"/>
  <c r="BM144" i="3"/>
  <c r="AW147" i="3"/>
  <c r="AX147" i="3" s="1"/>
  <c r="AY147" i="3" s="1"/>
  <c r="BL147" i="3" s="1"/>
  <c r="AV147" i="3"/>
  <c r="AS147" i="3"/>
  <c r="AT147" i="3" s="1"/>
  <c r="AU147" i="3" s="1"/>
  <c r="BK147" i="3" s="1"/>
  <c r="AR147" i="3"/>
  <c r="AN147" i="3"/>
  <c r="AO147" i="3" s="1"/>
  <c r="AP147" i="3" s="1"/>
  <c r="AQ147" i="3" s="1"/>
  <c r="BJ147" i="3" s="1"/>
  <c r="AJ147" i="3"/>
  <c r="AK147" i="3" s="1"/>
  <c r="AL147" i="3" s="1"/>
  <c r="AM147" i="3" s="1"/>
  <c r="BI147" i="3" s="1"/>
  <c r="AF147" i="3"/>
  <c r="AG147" i="3" s="1"/>
  <c r="AH147" i="3" s="1"/>
  <c r="AB147" i="3"/>
  <c r="AC147" i="3" s="1"/>
  <c r="AD147" i="3" s="1"/>
  <c r="X147" i="3"/>
  <c r="Y147" i="3" s="1"/>
  <c r="T147" i="3"/>
  <c r="P147" i="3"/>
  <c r="Q147" i="3" s="1"/>
  <c r="R147" i="3" s="1"/>
  <c r="S147" i="3" s="1"/>
  <c r="BD147" i="3" s="1"/>
  <c r="L147" i="3"/>
  <c r="M147" i="3" s="1"/>
  <c r="I147" i="3"/>
  <c r="J147" i="3" s="1"/>
  <c r="K147" i="3" s="1"/>
  <c r="BB147" i="3" s="1"/>
  <c r="H147" i="3"/>
  <c r="E147" i="3"/>
  <c r="F147" i="3" s="1"/>
  <c r="G147" i="3" s="1"/>
  <c r="BA147" i="3" s="1"/>
  <c r="D147" i="3"/>
  <c r="AV146" i="3"/>
  <c r="AW146" i="3" s="1"/>
  <c r="AX146" i="3" s="1"/>
  <c r="AY146" i="3" s="1"/>
  <c r="BL146" i="3" s="1"/>
  <c r="AR146" i="3"/>
  <c r="AS146" i="3" s="1"/>
  <c r="AT146" i="3" s="1"/>
  <c r="AU146" i="3" s="1"/>
  <c r="BK146" i="3" s="1"/>
  <c r="AO146" i="3"/>
  <c r="AP146" i="3" s="1"/>
  <c r="AQ146" i="3" s="1"/>
  <c r="BJ146" i="3" s="1"/>
  <c r="AN146" i="3"/>
  <c r="AK146" i="3"/>
  <c r="AL146" i="3" s="1"/>
  <c r="AM146" i="3" s="1"/>
  <c r="BI146" i="3" s="1"/>
  <c r="AJ146" i="3"/>
  <c r="AF146" i="3"/>
  <c r="AG146" i="3" s="1"/>
  <c r="AH146" i="3" s="1"/>
  <c r="AI146" i="3" s="1"/>
  <c r="BH146" i="3" s="1"/>
  <c r="AB146" i="3"/>
  <c r="AC146" i="3" s="1"/>
  <c r="AD146" i="3" s="1"/>
  <c r="AE146" i="3" s="1"/>
  <c r="BG146" i="3" s="1"/>
  <c r="Y146" i="3"/>
  <c r="Z146" i="3" s="1"/>
  <c r="AA146" i="3" s="1"/>
  <c r="BF146" i="3" s="1"/>
  <c r="X146" i="3"/>
  <c r="U146" i="3"/>
  <c r="V146" i="3" s="1"/>
  <c r="W146" i="3" s="1"/>
  <c r="BE146" i="3" s="1"/>
  <c r="T146" i="3"/>
  <c r="P146" i="3"/>
  <c r="Q146" i="3" s="1"/>
  <c r="R146" i="3" s="1"/>
  <c r="S146" i="3" s="1"/>
  <c r="BD146" i="3" s="1"/>
  <c r="L146" i="3"/>
  <c r="M146" i="3" s="1"/>
  <c r="N146" i="3" s="1"/>
  <c r="O146" i="3" s="1"/>
  <c r="BC146" i="3" s="1"/>
  <c r="I146" i="3"/>
  <c r="J146" i="3" s="1"/>
  <c r="K146" i="3" s="1"/>
  <c r="BB146" i="3" s="1"/>
  <c r="H146" i="3"/>
  <c r="E146" i="3"/>
  <c r="F146" i="3" s="1"/>
  <c r="G146" i="3" s="1"/>
  <c r="BA146" i="3" s="1"/>
  <c r="D146" i="3"/>
  <c r="AV145" i="3"/>
  <c r="AW145" i="3" s="1"/>
  <c r="AX145" i="3" s="1"/>
  <c r="AY145" i="3" s="1"/>
  <c r="BL145" i="3" s="1"/>
  <c r="AR145" i="3"/>
  <c r="AS145" i="3" s="1"/>
  <c r="AT145" i="3" s="1"/>
  <c r="AU145" i="3" s="1"/>
  <c r="BK145" i="3" s="1"/>
  <c r="AO145" i="3"/>
  <c r="AP145" i="3" s="1"/>
  <c r="AQ145" i="3" s="1"/>
  <c r="BJ145" i="3" s="1"/>
  <c r="AN145" i="3"/>
  <c r="AK145" i="3"/>
  <c r="AL145" i="3" s="1"/>
  <c r="AM145" i="3" s="1"/>
  <c r="BI145" i="3" s="1"/>
  <c r="AJ145" i="3"/>
  <c r="AF145" i="3"/>
  <c r="AG145" i="3" s="1"/>
  <c r="AH145" i="3" s="1"/>
  <c r="AI145" i="3" s="1"/>
  <c r="BH145" i="3" s="1"/>
  <c r="AB145" i="3"/>
  <c r="AC145" i="3" s="1"/>
  <c r="AD145" i="3" s="1"/>
  <c r="AE145" i="3" s="1"/>
  <c r="BG145" i="3" s="1"/>
  <c r="Y145" i="3"/>
  <c r="Z145" i="3" s="1"/>
  <c r="AA145" i="3" s="1"/>
  <c r="BF145" i="3" s="1"/>
  <c r="X145" i="3"/>
  <c r="U145" i="3"/>
  <c r="V145" i="3" s="1"/>
  <c r="W145" i="3" s="1"/>
  <c r="BE145" i="3" s="1"/>
  <c r="T145" i="3"/>
  <c r="P145" i="3"/>
  <c r="Q145" i="3" s="1"/>
  <c r="R145" i="3" s="1"/>
  <c r="S145" i="3" s="1"/>
  <c r="BD145" i="3" s="1"/>
  <c r="L145" i="3"/>
  <c r="M145" i="3" s="1"/>
  <c r="N145" i="3" s="1"/>
  <c r="O145" i="3" s="1"/>
  <c r="BC145" i="3" s="1"/>
  <c r="I145" i="3"/>
  <c r="J145" i="3" s="1"/>
  <c r="K145" i="3" s="1"/>
  <c r="BB145" i="3" s="1"/>
  <c r="H145" i="3"/>
  <c r="E145" i="3"/>
  <c r="F145" i="3" s="1"/>
  <c r="G145" i="3" s="1"/>
  <c r="BA145" i="3" s="1"/>
  <c r="D145" i="3"/>
  <c r="AV144" i="3"/>
  <c r="AW144" i="3" s="1"/>
  <c r="AX144" i="3" s="1"/>
  <c r="AY144" i="3" s="1"/>
  <c r="BL144" i="3" s="1"/>
  <c r="AR144" i="3"/>
  <c r="AS144" i="3" s="1"/>
  <c r="AT144" i="3" s="1"/>
  <c r="AU144" i="3" s="1"/>
  <c r="BK144" i="3" s="1"/>
  <c r="AO144" i="3"/>
  <c r="AP144" i="3" s="1"/>
  <c r="AQ144" i="3" s="1"/>
  <c r="BJ144" i="3" s="1"/>
  <c r="AN144" i="3"/>
  <c r="AK144" i="3"/>
  <c r="AL144" i="3" s="1"/>
  <c r="AM144" i="3" s="1"/>
  <c r="BI144" i="3" s="1"/>
  <c r="AJ144" i="3"/>
  <c r="AF144" i="3"/>
  <c r="AG144" i="3" s="1"/>
  <c r="AH144" i="3" s="1"/>
  <c r="AI144" i="3" s="1"/>
  <c r="BH144" i="3" s="1"/>
  <c r="AB144" i="3"/>
  <c r="AC144" i="3" s="1"/>
  <c r="AD144" i="3" s="1"/>
  <c r="AE144" i="3" s="1"/>
  <c r="BG144" i="3" s="1"/>
  <c r="Y144" i="3"/>
  <c r="Z144" i="3" s="1"/>
  <c r="AA144" i="3" s="1"/>
  <c r="BF144" i="3" s="1"/>
  <c r="X144" i="3"/>
  <c r="U144" i="3"/>
  <c r="V144" i="3" s="1"/>
  <c r="W144" i="3" s="1"/>
  <c r="BE144" i="3" s="1"/>
  <c r="T144" i="3"/>
  <c r="P144" i="3"/>
  <c r="Q144" i="3" s="1"/>
  <c r="R144" i="3" s="1"/>
  <c r="S144" i="3" s="1"/>
  <c r="BD144" i="3" s="1"/>
  <c r="L144" i="3"/>
  <c r="M144" i="3" s="1"/>
  <c r="N144" i="3" s="1"/>
  <c r="O144" i="3" s="1"/>
  <c r="BC144" i="3" s="1"/>
  <c r="I144" i="3"/>
  <c r="J144" i="3" s="1"/>
  <c r="K144" i="3" s="1"/>
  <c r="BB144" i="3" s="1"/>
  <c r="H144" i="3"/>
  <c r="E144" i="3"/>
  <c r="F144" i="3" s="1"/>
  <c r="G144" i="3" s="1"/>
  <c r="BA144" i="3" s="1"/>
  <c r="D144" i="3"/>
  <c r="Y143" i="3"/>
  <c r="X143" i="3"/>
  <c r="X148" i="3" s="1"/>
  <c r="U143" i="3"/>
  <c r="T143" i="3"/>
  <c r="T148" i="3" s="1"/>
  <c r="Q143" i="3"/>
  <c r="P143" i="3"/>
  <c r="M143" i="3"/>
  <c r="L143" i="3"/>
  <c r="I143" i="3"/>
  <c r="H143" i="3"/>
  <c r="H148" i="3" s="1"/>
  <c r="E143" i="3"/>
  <c r="D143" i="3"/>
  <c r="D148" i="3" s="1"/>
  <c r="BN139" i="3"/>
  <c r="BM139" i="3"/>
  <c r="BN137" i="3"/>
  <c r="BM137" i="3"/>
  <c r="BN136" i="3"/>
  <c r="BM136" i="3"/>
  <c r="AV139" i="3"/>
  <c r="AW139" i="3" s="1"/>
  <c r="AX139" i="3" s="1"/>
  <c r="AY139" i="3" s="1"/>
  <c r="BL139" i="3" s="1"/>
  <c r="AR139" i="3"/>
  <c r="AS139" i="3" s="1"/>
  <c r="AT139" i="3" s="1"/>
  <c r="AU139" i="3" s="1"/>
  <c r="BK139" i="3" s="1"/>
  <c r="AN139" i="3"/>
  <c r="AF139" i="3"/>
  <c r="AG139" i="3" s="1"/>
  <c r="AH139" i="3" s="1"/>
  <c r="AB139" i="3"/>
  <c r="AC139" i="3" s="1"/>
  <c r="X139" i="3"/>
  <c r="T139" i="3"/>
  <c r="P139" i="3"/>
  <c r="Q139" i="3" s="1"/>
  <c r="L139" i="3"/>
  <c r="M139" i="3" s="1"/>
  <c r="N139" i="3" s="1"/>
  <c r="H139" i="3"/>
  <c r="D139" i="3"/>
  <c r="E139" i="3" s="1"/>
  <c r="AR138" i="3"/>
  <c r="AS138" i="3" s="1"/>
  <c r="AT138" i="3" s="1"/>
  <c r="AN138" i="3"/>
  <c r="AO138" i="3" s="1"/>
  <c r="AP138" i="3" s="1"/>
  <c r="AQ138" i="3" s="1"/>
  <c r="BJ138" i="3" s="1"/>
  <c r="AJ138" i="3"/>
  <c r="AK138" i="3" s="1"/>
  <c r="AL138" i="3" s="1"/>
  <c r="AM138" i="3" s="1"/>
  <c r="BI138" i="3" s="1"/>
  <c r="AF138" i="3"/>
  <c r="AG138" i="3" s="1"/>
  <c r="AH138" i="3" s="1"/>
  <c r="AI138" i="3" s="1"/>
  <c r="BH138" i="3" s="1"/>
  <c r="AB138" i="3"/>
  <c r="AC138" i="3" s="1"/>
  <c r="AD138" i="3" s="1"/>
  <c r="AE138" i="3" s="1"/>
  <c r="BG138" i="3" s="1"/>
  <c r="X138" i="3"/>
  <c r="Y138" i="3" s="1"/>
  <c r="Z138" i="3" s="1"/>
  <c r="AA138" i="3" s="1"/>
  <c r="BF138" i="3" s="1"/>
  <c r="T138" i="3"/>
  <c r="U138" i="3" s="1"/>
  <c r="V138" i="3" s="1"/>
  <c r="W138" i="3" s="1"/>
  <c r="BE138" i="3" s="1"/>
  <c r="P138" i="3"/>
  <c r="Q138" i="3" s="1"/>
  <c r="R138" i="3" s="1"/>
  <c r="S138" i="3" s="1"/>
  <c r="BD138" i="3" s="1"/>
  <c r="L138" i="3"/>
  <c r="M138" i="3" s="1"/>
  <c r="N138" i="3" s="1"/>
  <c r="O138" i="3" s="1"/>
  <c r="BC138" i="3" s="1"/>
  <c r="H138" i="3"/>
  <c r="I138" i="3" s="1"/>
  <c r="J138" i="3" s="1"/>
  <c r="D138" i="3"/>
  <c r="E138" i="3" s="1"/>
  <c r="F138" i="3" s="1"/>
  <c r="G138" i="3" s="1"/>
  <c r="BA138" i="3" s="1"/>
  <c r="AV137" i="3"/>
  <c r="AW137" i="3" s="1"/>
  <c r="AX137" i="3" s="1"/>
  <c r="AY137" i="3" s="1"/>
  <c r="BL137" i="3" s="1"/>
  <c r="AR137" i="3"/>
  <c r="AS137" i="3" s="1"/>
  <c r="AT137" i="3" s="1"/>
  <c r="AU137" i="3" s="1"/>
  <c r="BK137" i="3" s="1"/>
  <c r="AN137" i="3"/>
  <c r="AO137" i="3" s="1"/>
  <c r="AJ137" i="3"/>
  <c r="AK137" i="3" s="1"/>
  <c r="AL137" i="3" s="1"/>
  <c r="AF137" i="3"/>
  <c r="AB137" i="3"/>
  <c r="AC137" i="3" s="1"/>
  <c r="AD137" i="3" s="1"/>
  <c r="AE137" i="3" s="1"/>
  <c r="BG137" i="3" s="1"/>
  <c r="X137" i="3"/>
  <c r="Y137" i="3" s="1"/>
  <c r="Z137" i="3" s="1"/>
  <c r="AA137" i="3" s="1"/>
  <c r="BF137" i="3" s="1"/>
  <c r="T137" i="3"/>
  <c r="U137" i="3" s="1"/>
  <c r="V137" i="3" s="1"/>
  <c r="W137" i="3" s="1"/>
  <c r="BE137" i="3" s="1"/>
  <c r="P137" i="3"/>
  <c r="Q137" i="3" s="1"/>
  <c r="R137" i="3" s="1"/>
  <c r="S137" i="3" s="1"/>
  <c r="BD137" i="3" s="1"/>
  <c r="L137" i="3"/>
  <c r="M137" i="3" s="1"/>
  <c r="N137" i="3" s="1"/>
  <c r="O137" i="3" s="1"/>
  <c r="BC137" i="3" s="1"/>
  <c r="D137" i="3"/>
  <c r="E137" i="3" s="1"/>
  <c r="AV136" i="3"/>
  <c r="AW136" i="3" s="1"/>
  <c r="AX136" i="3" s="1"/>
  <c r="AY136" i="3" s="1"/>
  <c r="BL136" i="3" s="1"/>
  <c r="AR136" i="3"/>
  <c r="AS136" i="3" s="1"/>
  <c r="AT136" i="3" s="1"/>
  <c r="AU136" i="3" s="1"/>
  <c r="BK136" i="3" s="1"/>
  <c r="AN136" i="3"/>
  <c r="AO136" i="3" s="1"/>
  <c r="AP136" i="3" s="1"/>
  <c r="AQ136" i="3" s="1"/>
  <c r="BJ136" i="3" s="1"/>
  <c r="AJ136" i="3"/>
  <c r="AK136" i="3" s="1"/>
  <c r="AL136" i="3" s="1"/>
  <c r="AM136" i="3" s="1"/>
  <c r="BI136" i="3" s="1"/>
  <c r="AF136" i="3"/>
  <c r="AG136" i="3" s="1"/>
  <c r="AH136" i="3" s="1"/>
  <c r="AI136" i="3" s="1"/>
  <c r="BH136" i="3" s="1"/>
  <c r="AB136" i="3"/>
  <c r="AC136" i="3" s="1"/>
  <c r="AD136" i="3" s="1"/>
  <c r="AE136" i="3" s="1"/>
  <c r="BG136" i="3" s="1"/>
  <c r="X136" i="3"/>
  <c r="Y136" i="3" s="1"/>
  <c r="Z136" i="3" s="1"/>
  <c r="AA136" i="3" s="1"/>
  <c r="BF136" i="3" s="1"/>
  <c r="T136" i="3"/>
  <c r="U136" i="3" s="1"/>
  <c r="V136" i="3" s="1"/>
  <c r="W136" i="3" s="1"/>
  <c r="BE136" i="3" s="1"/>
  <c r="P136" i="3"/>
  <c r="Q136" i="3" s="1"/>
  <c r="R136" i="3" s="1"/>
  <c r="S136" i="3" s="1"/>
  <c r="BD136" i="3" s="1"/>
  <c r="L136" i="3"/>
  <c r="M136" i="3" s="1"/>
  <c r="N136" i="3" s="1"/>
  <c r="O136" i="3" s="1"/>
  <c r="BC136" i="3" s="1"/>
  <c r="H136" i="3"/>
  <c r="I136" i="3" s="1"/>
  <c r="J136" i="3" s="1"/>
  <c r="K136" i="3" s="1"/>
  <c r="BB136" i="3" s="1"/>
  <c r="D136" i="3"/>
  <c r="E136" i="3" s="1"/>
  <c r="F136" i="3" s="1"/>
  <c r="G136" i="3" s="1"/>
  <c r="BA136" i="3" s="1"/>
  <c r="AR135" i="3"/>
  <c r="AN135" i="3"/>
  <c r="AJ135" i="3"/>
  <c r="AK135" i="3" s="1"/>
  <c r="AL135" i="3" s="1"/>
  <c r="AF135" i="3"/>
  <c r="AB135" i="3"/>
  <c r="Y135" i="3"/>
  <c r="Z135" i="3" s="1"/>
  <c r="X135" i="3"/>
  <c r="U135" i="3"/>
  <c r="V135" i="3" s="1"/>
  <c r="T135" i="3"/>
  <c r="Q135" i="3"/>
  <c r="Q140" i="3" s="1"/>
  <c r="P135" i="3"/>
  <c r="M135" i="3"/>
  <c r="M140" i="3" s="1"/>
  <c r="L135" i="3"/>
  <c r="I135" i="3"/>
  <c r="J135" i="3" s="1"/>
  <c r="H135" i="3"/>
  <c r="E135" i="3"/>
  <c r="E140" i="3" s="1"/>
  <c r="D135" i="3"/>
  <c r="BN130" i="3"/>
  <c r="BM130" i="3"/>
  <c r="BN129" i="3"/>
  <c r="BM129" i="3"/>
  <c r="BN126" i="3"/>
  <c r="BM126" i="3"/>
  <c r="AN131" i="3"/>
  <c r="AJ131" i="3"/>
  <c r="AK131" i="3" s="1"/>
  <c r="AL131" i="3" s="1"/>
  <c r="AF131" i="3"/>
  <c r="AG131" i="3" s="1"/>
  <c r="AH131" i="3" s="1"/>
  <c r="AI131" i="3" s="1"/>
  <c r="BH131" i="3" s="1"/>
  <c r="AC131" i="3"/>
  <c r="AD131" i="3" s="1"/>
  <c r="AE131" i="3" s="1"/>
  <c r="BG131" i="3" s="1"/>
  <c r="AB131" i="3"/>
  <c r="Y131" i="3"/>
  <c r="Z131" i="3" s="1"/>
  <c r="AA131" i="3" s="1"/>
  <c r="BF131" i="3" s="1"/>
  <c r="X131" i="3"/>
  <c r="T131" i="3"/>
  <c r="U131" i="3" s="1"/>
  <c r="V131" i="3" s="1"/>
  <c r="W131" i="3" s="1"/>
  <c r="BE131" i="3" s="1"/>
  <c r="P131" i="3"/>
  <c r="Q131" i="3" s="1"/>
  <c r="R131" i="3" s="1"/>
  <c r="S131" i="3" s="1"/>
  <c r="BD131" i="3" s="1"/>
  <c r="M131" i="3"/>
  <c r="N131" i="3" s="1"/>
  <c r="O131" i="3" s="1"/>
  <c r="BC131" i="3" s="1"/>
  <c r="L131" i="3"/>
  <c r="I131" i="3"/>
  <c r="J131" i="3" s="1"/>
  <c r="K131" i="3" s="1"/>
  <c r="BB131" i="3" s="1"/>
  <c r="H131" i="3"/>
  <c r="AV130" i="3"/>
  <c r="AW130" i="3" s="1"/>
  <c r="AX130" i="3" s="1"/>
  <c r="AY130" i="3" s="1"/>
  <c r="BL130" i="3" s="1"/>
  <c r="AR130" i="3"/>
  <c r="AS130" i="3" s="1"/>
  <c r="AT130" i="3" s="1"/>
  <c r="AU130" i="3" s="1"/>
  <c r="BK130" i="3" s="1"/>
  <c r="AO130" i="3"/>
  <c r="AP130" i="3" s="1"/>
  <c r="AQ130" i="3" s="1"/>
  <c r="BJ130" i="3" s="1"/>
  <c r="AN130" i="3"/>
  <c r="AK130" i="3"/>
  <c r="AL130" i="3" s="1"/>
  <c r="AM130" i="3" s="1"/>
  <c r="BI130" i="3" s="1"/>
  <c r="AJ130" i="3"/>
  <c r="AF130" i="3"/>
  <c r="AG130" i="3" s="1"/>
  <c r="AH130" i="3" s="1"/>
  <c r="AI130" i="3" s="1"/>
  <c r="BH130" i="3" s="1"/>
  <c r="AB130" i="3"/>
  <c r="AC130" i="3" s="1"/>
  <c r="AD130" i="3" s="1"/>
  <c r="AE130" i="3" s="1"/>
  <c r="BG130" i="3" s="1"/>
  <c r="Y130" i="3"/>
  <c r="Z130" i="3" s="1"/>
  <c r="AA130" i="3" s="1"/>
  <c r="BF130" i="3" s="1"/>
  <c r="X130" i="3"/>
  <c r="U130" i="3"/>
  <c r="V130" i="3" s="1"/>
  <c r="W130" i="3" s="1"/>
  <c r="BE130" i="3" s="1"/>
  <c r="T130" i="3"/>
  <c r="P130" i="3"/>
  <c r="Q130" i="3" s="1"/>
  <c r="R130" i="3" s="1"/>
  <c r="S130" i="3" s="1"/>
  <c r="BD130" i="3" s="1"/>
  <c r="L130" i="3"/>
  <c r="M130" i="3" s="1"/>
  <c r="N130" i="3" s="1"/>
  <c r="O130" i="3" s="1"/>
  <c r="BC130" i="3" s="1"/>
  <c r="I130" i="3"/>
  <c r="J130" i="3" s="1"/>
  <c r="K130" i="3" s="1"/>
  <c r="BB130" i="3" s="1"/>
  <c r="H130" i="3"/>
  <c r="E130" i="3"/>
  <c r="F130" i="3" s="1"/>
  <c r="G130" i="3" s="1"/>
  <c r="BA130" i="3" s="1"/>
  <c r="D130" i="3"/>
  <c r="AV129" i="3"/>
  <c r="AW129" i="3" s="1"/>
  <c r="AX129" i="3" s="1"/>
  <c r="AY129" i="3" s="1"/>
  <c r="BL129" i="3" s="1"/>
  <c r="AR129" i="3"/>
  <c r="AS129" i="3" s="1"/>
  <c r="AT129" i="3" s="1"/>
  <c r="AU129" i="3" s="1"/>
  <c r="BK129" i="3" s="1"/>
  <c r="AO129" i="3"/>
  <c r="AP129" i="3" s="1"/>
  <c r="AQ129" i="3" s="1"/>
  <c r="BJ129" i="3" s="1"/>
  <c r="AN129" i="3"/>
  <c r="AK129" i="3"/>
  <c r="AL129" i="3" s="1"/>
  <c r="AM129" i="3" s="1"/>
  <c r="BI129" i="3" s="1"/>
  <c r="AJ129" i="3"/>
  <c r="AF129" i="3"/>
  <c r="AG129" i="3" s="1"/>
  <c r="AH129" i="3" s="1"/>
  <c r="AI129" i="3" s="1"/>
  <c r="BH129" i="3" s="1"/>
  <c r="AB129" i="3"/>
  <c r="AC129" i="3" s="1"/>
  <c r="AD129" i="3" s="1"/>
  <c r="AE129" i="3" s="1"/>
  <c r="BG129" i="3" s="1"/>
  <c r="Y129" i="3"/>
  <c r="Z129" i="3" s="1"/>
  <c r="AA129" i="3" s="1"/>
  <c r="BF129" i="3" s="1"/>
  <c r="X129" i="3"/>
  <c r="U129" i="3"/>
  <c r="V129" i="3" s="1"/>
  <c r="W129" i="3" s="1"/>
  <c r="BE129" i="3" s="1"/>
  <c r="T129" i="3"/>
  <c r="P129" i="3"/>
  <c r="Q129" i="3" s="1"/>
  <c r="R129" i="3" s="1"/>
  <c r="S129" i="3" s="1"/>
  <c r="BD129" i="3" s="1"/>
  <c r="L129" i="3"/>
  <c r="M129" i="3" s="1"/>
  <c r="N129" i="3" s="1"/>
  <c r="O129" i="3" s="1"/>
  <c r="BC129" i="3" s="1"/>
  <c r="I129" i="3"/>
  <c r="J129" i="3" s="1"/>
  <c r="K129" i="3" s="1"/>
  <c r="BB129" i="3" s="1"/>
  <c r="H129" i="3"/>
  <c r="E129" i="3"/>
  <c r="F129" i="3" s="1"/>
  <c r="G129" i="3" s="1"/>
  <c r="BA129" i="3" s="1"/>
  <c r="D129" i="3"/>
  <c r="AS128" i="3"/>
  <c r="AT128" i="3" s="1"/>
  <c r="AR128" i="3"/>
  <c r="AO128" i="3"/>
  <c r="AP128" i="3" s="1"/>
  <c r="AQ128" i="3" s="1"/>
  <c r="BJ128" i="3" s="1"/>
  <c r="AN128" i="3"/>
  <c r="AJ128" i="3"/>
  <c r="AK128" i="3" s="1"/>
  <c r="AL128" i="3" s="1"/>
  <c r="AM128" i="3" s="1"/>
  <c r="BI128" i="3" s="1"/>
  <c r="AF128" i="3"/>
  <c r="AG128" i="3" s="1"/>
  <c r="AH128" i="3" s="1"/>
  <c r="AI128" i="3" s="1"/>
  <c r="BH128" i="3" s="1"/>
  <c r="AC128" i="3"/>
  <c r="AD128" i="3" s="1"/>
  <c r="AE128" i="3" s="1"/>
  <c r="BG128" i="3" s="1"/>
  <c r="AB128" i="3"/>
  <c r="Y128" i="3"/>
  <c r="Z128" i="3" s="1"/>
  <c r="AA128" i="3" s="1"/>
  <c r="BF128" i="3" s="1"/>
  <c r="X128" i="3"/>
  <c r="T128" i="3"/>
  <c r="U128" i="3" s="1"/>
  <c r="V128" i="3" s="1"/>
  <c r="W128" i="3" s="1"/>
  <c r="BE128" i="3" s="1"/>
  <c r="P128" i="3"/>
  <c r="Q128" i="3" s="1"/>
  <c r="R128" i="3" s="1"/>
  <c r="S128" i="3" s="1"/>
  <c r="BD128" i="3" s="1"/>
  <c r="M128" i="3"/>
  <c r="N128" i="3" s="1"/>
  <c r="O128" i="3" s="1"/>
  <c r="BC128" i="3" s="1"/>
  <c r="L128" i="3"/>
  <c r="I128" i="3"/>
  <c r="J128" i="3" s="1"/>
  <c r="K128" i="3" s="1"/>
  <c r="BB128" i="3" s="1"/>
  <c r="H128" i="3"/>
  <c r="D128" i="3"/>
  <c r="E128" i="3" s="1"/>
  <c r="F128" i="3" s="1"/>
  <c r="G128" i="3" s="1"/>
  <c r="BA128" i="3" s="1"/>
  <c r="AR127" i="3"/>
  <c r="AS127" i="3" s="1"/>
  <c r="AT127" i="3" s="1"/>
  <c r="AO127" i="3"/>
  <c r="AP127" i="3" s="1"/>
  <c r="AQ127" i="3" s="1"/>
  <c r="BJ127" i="3" s="1"/>
  <c r="AN127" i="3"/>
  <c r="AK127" i="3"/>
  <c r="AL127" i="3" s="1"/>
  <c r="AM127" i="3" s="1"/>
  <c r="BI127" i="3" s="1"/>
  <c r="AJ127" i="3"/>
  <c r="AF127" i="3"/>
  <c r="AG127" i="3" s="1"/>
  <c r="AH127" i="3" s="1"/>
  <c r="AI127" i="3" s="1"/>
  <c r="BH127" i="3" s="1"/>
  <c r="AB127" i="3"/>
  <c r="AC127" i="3" s="1"/>
  <c r="AD127" i="3" s="1"/>
  <c r="AE127" i="3" s="1"/>
  <c r="BG127" i="3" s="1"/>
  <c r="Y127" i="3"/>
  <c r="Z127" i="3" s="1"/>
  <c r="AA127" i="3" s="1"/>
  <c r="BF127" i="3" s="1"/>
  <c r="X127" i="3"/>
  <c r="U127" i="3"/>
  <c r="V127" i="3" s="1"/>
  <c r="W127" i="3" s="1"/>
  <c r="BE127" i="3" s="1"/>
  <c r="T127" i="3"/>
  <c r="P127" i="3"/>
  <c r="Q127" i="3" s="1"/>
  <c r="R127" i="3" s="1"/>
  <c r="S127" i="3" s="1"/>
  <c r="BD127" i="3" s="1"/>
  <c r="L127" i="3"/>
  <c r="M127" i="3" s="1"/>
  <c r="N127" i="3" s="1"/>
  <c r="O127" i="3" s="1"/>
  <c r="BC127" i="3" s="1"/>
  <c r="I127" i="3"/>
  <c r="J127" i="3" s="1"/>
  <c r="K127" i="3" s="1"/>
  <c r="BB127" i="3" s="1"/>
  <c r="H127" i="3"/>
  <c r="E127" i="3"/>
  <c r="F127" i="3" s="1"/>
  <c r="G127" i="3" s="1"/>
  <c r="BA127" i="3" s="1"/>
  <c r="D127" i="3"/>
  <c r="AV126" i="3"/>
  <c r="AW126" i="3" s="1"/>
  <c r="AX126" i="3" s="1"/>
  <c r="AY126" i="3" s="1"/>
  <c r="BL126" i="3" s="1"/>
  <c r="AR126" i="3"/>
  <c r="AS126" i="3" s="1"/>
  <c r="AT126" i="3" s="1"/>
  <c r="AU126" i="3" s="1"/>
  <c r="BK126" i="3" s="1"/>
  <c r="AO126" i="3"/>
  <c r="AP126" i="3" s="1"/>
  <c r="AQ126" i="3" s="1"/>
  <c r="BJ126" i="3" s="1"/>
  <c r="AN126" i="3"/>
  <c r="AK126" i="3"/>
  <c r="AL126" i="3" s="1"/>
  <c r="AM126" i="3" s="1"/>
  <c r="BI126" i="3" s="1"/>
  <c r="AJ126" i="3"/>
  <c r="AF126" i="3"/>
  <c r="AG126" i="3" s="1"/>
  <c r="AH126" i="3" s="1"/>
  <c r="AI126" i="3" s="1"/>
  <c r="BH126" i="3" s="1"/>
  <c r="AB126" i="3"/>
  <c r="AC126" i="3" s="1"/>
  <c r="AD126" i="3" s="1"/>
  <c r="AE126" i="3" s="1"/>
  <c r="BG126" i="3" s="1"/>
  <c r="Y126" i="3"/>
  <c r="Z126" i="3" s="1"/>
  <c r="AA126" i="3" s="1"/>
  <c r="BF126" i="3" s="1"/>
  <c r="X126" i="3"/>
  <c r="U126" i="3"/>
  <c r="V126" i="3" s="1"/>
  <c r="W126" i="3" s="1"/>
  <c r="BE126" i="3" s="1"/>
  <c r="T126" i="3"/>
  <c r="P126" i="3"/>
  <c r="Q126" i="3" s="1"/>
  <c r="R126" i="3" s="1"/>
  <c r="S126" i="3" s="1"/>
  <c r="BD126" i="3" s="1"/>
  <c r="L126" i="3"/>
  <c r="M126" i="3" s="1"/>
  <c r="N126" i="3" s="1"/>
  <c r="O126" i="3" s="1"/>
  <c r="BC126" i="3" s="1"/>
  <c r="I126" i="3"/>
  <c r="J126" i="3" s="1"/>
  <c r="K126" i="3" s="1"/>
  <c r="BB126" i="3" s="1"/>
  <c r="H126" i="3"/>
  <c r="E126" i="3"/>
  <c r="F126" i="3" s="1"/>
  <c r="G126" i="3" s="1"/>
  <c r="BA126" i="3" s="1"/>
  <c r="D126" i="3"/>
  <c r="AS125" i="3"/>
  <c r="AT125" i="3" s="1"/>
  <c r="AR125" i="3"/>
  <c r="AO125" i="3"/>
  <c r="AP125" i="3" s="1"/>
  <c r="AQ125" i="3" s="1"/>
  <c r="BJ125" i="3" s="1"/>
  <c r="AN125" i="3"/>
  <c r="AJ125" i="3"/>
  <c r="AK125" i="3" s="1"/>
  <c r="AL125" i="3" s="1"/>
  <c r="AM125" i="3" s="1"/>
  <c r="BI125" i="3" s="1"/>
  <c r="AF125" i="3"/>
  <c r="AG125" i="3" s="1"/>
  <c r="AH125" i="3" s="1"/>
  <c r="AI125" i="3" s="1"/>
  <c r="BH125" i="3" s="1"/>
  <c r="AC125" i="3"/>
  <c r="AD125" i="3" s="1"/>
  <c r="AE125" i="3" s="1"/>
  <c r="BG125" i="3" s="1"/>
  <c r="AB125" i="3"/>
  <c r="Y125" i="3"/>
  <c r="Z125" i="3" s="1"/>
  <c r="AA125" i="3" s="1"/>
  <c r="BF125" i="3" s="1"/>
  <c r="X125" i="3"/>
  <c r="T125" i="3"/>
  <c r="U125" i="3" s="1"/>
  <c r="V125" i="3" s="1"/>
  <c r="W125" i="3" s="1"/>
  <c r="BE125" i="3" s="1"/>
  <c r="P125" i="3"/>
  <c r="Q125" i="3" s="1"/>
  <c r="R125" i="3" s="1"/>
  <c r="S125" i="3" s="1"/>
  <c r="BD125" i="3" s="1"/>
  <c r="M125" i="3"/>
  <c r="N125" i="3" s="1"/>
  <c r="O125" i="3" s="1"/>
  <c r="BC125" i="3" s="1"/>
  <c r="L125" i="3"/>
  <c r="I125" i="3"/>
  <c r="J125" i="3" s="1"/>
  <c r="K125" i="3" s="1"/>
  <c r="BB125" i="3" s="1"/>
  <c r="H125" i="3"/>
  <c r="D125" i="3"/>
  <c r="E125" i="3" s="1"/>
  <c r="F125" i="3" s="1"/>
  <c r="G125" i="3" s="1"/>
  <c r="BA125" i="3" s="1"/>
  <c r="AR124" i="3"/>
  <c r="AS124" i="3" s="1"/>
  <c r="AT124" i="3" s="1"/>
  <c r="AO124" i="3"/>
  <c r="AP124" i="3" s="1"/>
  <c r="AQ124" i="3" s="1"/>
  <c r="BJ124" i="3" s="1"/>
  <c r="AN124" i="3"/>
  <c r="AK124" i="3"/>
  <c r="AL124" i="3" s="1"/>
  <c r="AM124" i="3" s="1"/>
  <c r="BI124" i="3" s="1"/>
  <c r="AJ124" i="3"/>
  <c r="AI124" i="3"/>
  <c r="BH124" i="3" s="1"/>
  <c r="AF124" i="3"/>
  <c r="AG124" i="3" s="1"/>
  <c r="AH124" i="3" s="1"/>
  <c r="AB124" i="3"/>
  <c r="AC124" i="3" s="1"/>
  <c r="AD124" i="3" s="1"/>
  <c r="AE124" i="3" s="1"/>
  <c r="BG124" i="3" s="1"/>
  <c r="Y124" i="3"/>
  <c r="Z124" i="3" s="1"/>
  <c r="AA124" i="3" s="1"/>
  <c r="BF124" i="3" s="1"/>
  <c r="X124" i="3"/>
  <c r="U124" i="3"/>
  <c r="V124" i="3" s="1"/>
  <c r="W124" i="3" s="1"/>
  <c r="BE124" i="3" s="1"/>
  <c r="T124" i="3"/>
  <c r="P124" i="3"/>
  <c r="Q124" i="3" s="1"/>
  <c r="R124" i="3" s="1"/>
  <c r="S124" i="3" s="1"/>
  <c r="BD124" i="3" s="1"/>
  <c r="L124" i="3"/>
  <c r="M124" i="3" s="1"/>
  <c r="N124" i="3" s="1"/>
  <c r="O124" i="3" s="1"/>
  <c r="BC124" i="3" s="1"/>
  <c r="I124" i="3"/>
  <c r="J124" i="3" s="1"/>
  <c r="K124" i="3" s="1"/>
  <c r="BB124" i="3" s="1"/>
  <c r="H124" i="3"/>
  <c r="E124" i="3"/>
  <c r="F124" i="3" s="1"/>
  <c r="G124" i="3" s="1"/>
  <c r="BA124" i="3" s="1"/>
  <c r="D124" i="3"/>
  <c r="AS123" i="3"/>
  <c r="AT123" i="3" s="1"/>
  <c r="AR123" i="3"/>
  <c r="AO123" i="3"/>
  <c r="AP123" i="3" s="1"/>
  <c r="AQ123" i="3" s="1"/>
  <c r="BJ123" i="3" s="1"/>
  <c r="AN123" i="3"/>
  <c r="AM123" i="3"/>
  <c r="BI123" i="3" s="1"/>
  <c r="AJ123" i="3"/>
  <c r="AK123" i="3" s="1"/>
  <c r="AL123" i="3" s="1"/>
  <c r="AF123" i="3"/>
  <c r="AG123" i="3" s="1"/>
  <c r="AH123" i="3" s="1"/>
  <c r="AI123" i="3" s="1"/>
  <c r="BH123" i="3" s="1"/>
  <c r="AC123" i="3"/>
  <c r="AD123" i="3" s="1"/>
  <c r="AE123" i="3" s="1"/>
  <c r="BG123" i="3" s="1"/>
  <c r="AB123" i="3"/>
  <c r="Y123" i="3"/>
  <c r="Z123" i="3" s="1"/>
  <c r="AA123" i="3" s="1"/>
  <c r="BF123" i="3" s="1"/>
  <c r="X123" i="3"/>
  <c r="T123" i="3"/>
  <c r="U123" i="3" s="1"/>
  <c r="V123" i="3" s="1"/>
  <c r="W123" i="3" s="1"/>
  <c r="BE123" i="3" s="1"/>
  <c r="P123" i="3"/>
  <c r="Q123" i="3" s="1"/>
  <c r="R123" i="3" s="1"/>
  <c r="S123" i="3" s="1"/>
  <c r="BD123" i="3" s="1"/>
  <c r="M123" i="3"/>
  <c r="N123" i="3" s="1"/>
  <c r="O123" i="3" s="1"/>
  <c r="BC123" i="3" s="1"/>
  <c r="L123" i="3"/>
  <c r="I123" i="3"/>
  <c r="J123" i="3" s="1"/>
  <c r="K123" i="3" s="1"/>
  <c r="BB123" i="3" s="1"/>
  <c r="H123" i="3"/>
  <c r="G123" i="3"/>
  <c r="BA123" i="3" s="1"/>
  <c r="D123" i="3"/>
  <c r="E123" i="3" s="1"/>
  <c r="F123" i="3" s="1"/>
  <c r="BN121" i="3"/>
  <c r="BM121" i="3"/>
  <c r="BN120" i="3"/>
  <c r="BM120" i="3"/>
  <c r="BN118" i="3"/>
  <c r="BM118" i="3"/>
  <c r="BN116" i="3"/>
  <c r="BM116" i="3"/>
  <c r="AV121" i="3"/>
  <c r="AW121" i="3" s="1"/>
  <c r="AX121" i="3" s="1"/>
  <c r="AY121" i="3" s="1"/>
  <c r="BL121" i="3" s="1"/>
  <c r="AF121" i="3"/>
  <c r="AG121" i="3" s="1"/>
  <c r="AH121" i="3" s="1"/>
  <c r="AI121" i="3" s="1"/>
  <c r="BH121" i="3" s="1"/>
  <c r="T121" i="3"/>
  <c r="P121" i="3"/>
  <c r="Q121" i="3" s="1"/>
  <c r="L121" i="3"/>
  <c r="M121" i="3" s="1"/>
  <c r="N121" i="3" s="1"/>
  <c r="O121" i="3" s="1"/>
  <c r="BC121" i="3" s="1"/>
  <c r="H121" i="3"/>
  <c r="AV120" i="3"/>
  <c r="AW120" i="3" s="1"/>
  <c r="AX120" i="3" s="1"/>
  <c r="AY120" i="3" s="1"/>
  <c r="BL120" i="3" s="1"/>
  <c r="AR120" i="3"/>
  <c r="AS120" i="3" s="1"/>
  <c r="AT120" i="3" s="1"/>
  <c r="AU120" i="3" s="1"/>
  <c r="BK120" i="3" s="1"/>
  <c r="AN120" i="3"/>
  <c r="AO120" i="3" s="1"/>
  <c r="AP120" i="3" s="1"/>
  <c r="AQ120" i="3" s="1"/>
  <c r="BJ120" i="3" s="1"/>
  <c r="AJ120" i="3"/>
  <c r="AK120" i="3" s="1"/>
  <c r="AL120" i="3" s="1"/>
  <c r="AM120" i="3" s="1"/>
  <c r="BI120" i="3" s="1"/>
  <c r="AF120" i="3"/>
  <c r="AG120" i="3" s="1"/>
  <c r="AH120" i="3" s="1"/>
  <c r="AI120" i="3" s="1"/>
  <c r="BH120" i="3" s="1"/>
  <c r="AB120" i="3"/>
  <c r="AC120" i="3" s="1"/>
  <c r="AD120" i="3" s="1"/>
  <c r="AE120" i="3" s="1"/>
  <c r="BG120" i="3" s="1"/>
  <c r="X120" i="3"/>
  <c r="Y120" i="3" s="1"/>
  <c r="Z120" i="3" s="1"/>
  <c r="AA120" i="3" s="1"/>
  <c r="BF120" i="3" s="1"/>
  <c r="T120" i="3"/>
  <c r="U120" i="3" s="1"/>
  <c r="V120" i="3" s="1"/>
  <c r="W120" i="3" s="1"/>
  <c r="BE120" i="3" s="1"/>
  <c r="P120" i="3"/>
  <c r="Q120" i="3" s="1"/>
  <c r="R120" i="3" s="1"/>
  <c r="S120" i="3" s="1"/>
  <c r="BD120" i="3" s="1"/>
  <c r="L120" i="3"/>
  <c r="M120" i="3" s="1"/>
  <c r="N120" i="3" s="1"/>
  <c r="O120" i="3" s="1"/>
  <c r="BC120" i="3" s="1"/>
  <c r="H120" i="3"/>
  <c r="I120" i="3" s="1"/>
  <c r="J120" i="3" s="1"/>
  <c r="K120" i="3" s="1"/>
  <c r="BB120" i="3" s="1"/>
  <c r="D120" i="3"/>
  <c r="E120" i="3" s="1"/>
  <c r="F120" i="3" s="1"/>
  <c r="G120" i="3" s="1"/>
  <c r="BA120" i="3" s="1"/>
  <c r="AR119" i="3"/>
  <c r="AS119" i="3" s="1"/>
  <c r="AT119" i="3" s="1"/>
  <c r="AN119" i="3"/>
  <c r="AO119" i="3" s="1"/>
  <c r="AP119" i="3" s="1"/>
  <c r="AQ119" i="3" s="1"/>
  <c r="BJ119" i="3" s="1"/>
  <c r="AJ119" i="3"/>
  <c r="AK119" i="3" s="1"/>
  <c r="AL119" i="3" s="1"/>
  <c r="AM119" i="3" s="1"/>
  <c r="BI119" i="3" s="1"/>
  <c r="AF119" i="3"/>
  <c r="AG119" i="3" s="1"/>
  <c r="AH119" i="3" s="1"/>
  <c r="AI119" i="3" s="1"/>
  <c r="BH119" i="3" s="1"/>
  <c r="AB119" i="3"/>
  <c r="AC119" i="3" s="1"/>
  <c r="AD119" i="3" s="1"/>
  <c r="AE119" i="3" s="1"/>
  <c r="BG119" i="3" s="1"/>
  <c r="X119" i="3"/>
  <c r="Y119" i="3" s="1"/>
  <c r="Z119" i="3" s="1"/>
  <c r="AA119" i="3" s="1"/>
  <c r="BF119" i="3" s="1"/>
  <c r="T119" i="3"/>
  <c r="U119" i="3" s="1"/>
  <c r="V119" i="3" s="1"/>
  <c r="W119" i="3" s="1"/>
  <c r="BE119" i="3" s="1"/>
  <c r="P119" i="3"/>
  <c r="Q119" i="3" s="1"/>
  <c r="R119" i="3" s="1"/>
  <c r="S119" i="3" s="1"/>
  <c r="BD119" i="3" s="1"/>
  <c r="L119" i="3"/>
  <c r="M119" i="3" s="1"/>
  <c r="N119" i="3" s="1"/>
  <c r="O119" i="3" s="1"/>
  <c r="BC119" i="3" s="1"/>
  <c r="H119" i="3"/>
  <c r="I119" i="3" s="1"/>
  <c r="J119" i="3" s="1"/>
  <c r="K119" i="3" s="1"/>
  <c r="BB119" i="3" s="1"/>
  <c r="D119" i="3"/>
  <c r="E119" i="3" s="1"/>
  <c r="F119" i="3" s="1"/>
  <c r="G119" i="3" s="1"/>
  <c r="BA119" i="3" s="1"/>
  <c r="AV118" i="3"/>
  <c r="AW118" i="3" s="1"/>
  <c r="AX118" i="3" s="1"/>
  <c r="AY118" i="3" s="1"/>
  <c r="BL118" i="3" s="1"/>
  <c r="AR118" i="3"/>
  <c r="AS118" i="3" s="1"/>
  <c r="AT118" i="3" s="1"/>
  <c r="AU118" i="3" s="1"/>
  <c r="BK118" i="3" s="1"/>
  <c r="AN118" i="3"/>
  <c r="AO118" i="3" s="1"/>
  <c r="AP118" i="3" s="1"/>
  <c r="AQ118" i="3" s="1"/>
  <c r="BJ118" i="3" s="1"/>
  <c r="AJ118" i="3"/>
  <c r="AK118" i="3" s="1"/>
  <c r="AL118" i="3" s="1"/>
  <c r="AM118" i="3" s="1"/>
  <c r="BI118" i="3" s="1"/>
  <c r="AF118" i="3"/>
  <c r="AG118" i="3" s="1"/>
  <c r="AH118" i="3" s="1"/>
  <c r="AI118" i="3" s="1"/>
  <c r="BH118" i="3" s="1"/>
  <c r="AB118" i="3"/>
  <c r="AC118" i="3" s="1"/>
  <c r="AD118" i="3" s="1"/>
  <c r="AE118" i="3" s="1"/>
  <c r="BG118" i="3" s="1"/>
  <c r="X118" i="3"/>
  <c r="Y118" i="3" s="1"/>
  <c r="Z118" i="3" s="1"/>
  <c r="AA118" i="3" s="1"/>
  <c r="BF118" i="3" s="1"/>
  <c r="T118" i="3"/>
  <c r="U118" i="3" s="1"/>
  <c r="V118" i="3" s="1"/>
  <c r="W118" i="3" s="1"/>
  <c r="BE118" i="3" s="1"/>
  <c r="P118" i="3"/>
  <c r="Q118" i="3" s="1"/>
  <c r="R118" i="3" s="1"/>
  <c r="S118" i="3" s="1"/>
  <c r="BD118" i="3" s="1"/>
  <c r="L118" i="3"/>
  <c r="M118" i="3" s="1"/>
  <c r="N118" i="3" s="1"/>
  <c r="O118" i="3" s="1"/>
  <c r="BC118" i="3" s="1"/>
  <c r="H118" i="3"/>
  <c r="I118" i="3" s="1"/>
  <c r="J118" i="3" s="1"/>
  <c r="K118" i="3" s="1"/>
  <c r="BB118" i="3" s="1"/>
  <c r="D118" i="3"/>
  <c r="E118" i="3" s="1"/>
  <c r="F118" i="3" s="1"/>
  <c r="G118" i="3" s="1"/>
  <c r="BA118" i="3" s="1"/>
  <c r="AR117" i="3"/>
  <c r="AS117" i="3" s="1"/>
  <c r="AT117" i="3" s="1"/>
  <c r="AN117" i="3"/>
  <c r="AO117" i="3" s="1"/>
  <c r="AP117" i="3" s="1"/>
  <c r="AQ117" i="3" s="1"/>
  <c r="BJ117" i="3" s="1"/>
  <c r="AJ117" i="3"/>
  <c r="AK117" i="3" s="1"/>
  <c r="AL117" i="3" s="1"/>
  <c r="AM117" i="3" s="1"/>
  <c r="BI117" i="3" s="1"/>
  <c r="AF117" i="3"/>
  <c r="AG117" i="3" s="1"/>
  <c r="AH117" i="3" s="1"/>
  <c r="AI117" i="3" s="1"/>
  <c r="BH117" i="3" s="1"/>
  <c r="AB117" i="3"/>
  <c r="AC117" i="3" s="1"/>
  <c r="AD117" i="3" s="1"/>
  <c r="AE117" i="3" s="1"/>
  <c r="BG117" i="3" s="1"/>
  <c r="X117" i="3"/>
  <c r="Y117" i="3" s="1"/>
  <c r="Z117" i="3" s="1"/>
  <c r="AA117" i="3" s="1"/>
  <c r="BF117" i="3" s="1"/>
  <c r="T117" i="3"/>
  <c r="U117" i="3" s="1"/>
  <c r="V117" i="3" s="1"/>
  <c r="W117" i="3" s="1"/>
  <c r="BE117" i="3" s="1"/>
  <c r="P117" i="3"/>
  <c r="Q117" i="3" s="1"/>
  <c r="R117" i="3" s="1"/>
  <c r="S117" i="3" s="1"/>
  <c r="BD117" i="3" s="1"/>
  <c r="L117" i="3"/>
  <c r="M117" i="3" s="1"/>
  <c r="N117" i="3" s="1"/>
  <c r="O117" i="3" s="1"/>
  <c r="BC117" i="3" s="1"/>
  <c r="H117" i="3"/>
  <c r="I117" i="3" s="1"/>
  <c r="J117" i="3" s="1"/>
  <c r="K117" i="3" s="1"/>
  <c r="BB117" i="3" s="1"/>
  <c r="D117" i="3"/>
  <c r="E117" i="3" s="1"/>
  <c r="F117" i="3" s="1"/>
  <c r="G117" i="3" s="1"/>
  <c r="BA117" i="3" s="1"/>
  <c r="AV116" i="3"/>
  <c r="AW116" i="3" s="1"/>
  <c r="AX116" i="3" s="1"/>
  <c r="AY116" i="3" s="1"/>
  <c r="BL116" i="3" s="1"/>
  <c r="AR116" i="3"/>
  <c r="AS116" i="3" s="1"/>
  <c r="AT116" i="3" s="1"/>
  <c r="AU116" i="3" s="1"/>
  <c r="BK116" i="3" s="1"/>
  <c r="AN116" i="3"/>
  <c r="AO116" i="3" s="1"/>
  <c r="AP116" i="3" s="1"/>
  <c r="AQ116" i="3" s="1"/>
  <c r="BJ116" i="3" s="1"/>
  <c r="AJ116" i="3"/>
  <c r="AK116" i="3" s="1"/>
  <c r="AL116" i="3" s="1"/>
  <c r="AM116" i="3" s="1"/>
  <c r="BI116" i="3" s="1"/>
  <c r="AF116" i="3"/>
  <c r="AG116" i="3" s="1"/>
  <c r="AH116" i="3" s="1"/>
  <c r="AI116" i="3" s="1"/>
  <c r="BH116" i="3" s="1"/>
  <c r="AB116" i="3"/>
  <c r="AC116" i="3" s="1"/>
  <c r="AD116" i="3" s="1"/>
  <c r="AE116" i="3" s="1"/>
  <c r="BG116" i="3" s="1"/>
  <c r="X116" i="3"/>
  <c r="Y116" i="3" s="1"/>
  <c r="Z116" i="3" s="1"/>
  <c r="AA116" i="3" s="1"/>
  <c r="BF116" i="3" s="1"/>
  <c r="T116" i="3"/>
  <c r="U116" i="3" s="1"/>
  <c r="V116" i="3" s="1"/>
  <c r="W116" i="3" s="1"/>
  <c r="BE116" i="3" s="1"/>
  <c r="P116" i="3"/>
  <c r="Q116" i="3" s="1"/>
  <c r="R116" i="3" s="1"/>
  <c r="S116" i="3" s="1"/>
  <c r="BD116" i="3" s="1"/>
  <c r="L116" i="3"/>
  <c r="M116" i="3" s="1"/>
  <c r="N116" i="3" s="1"/>
  <c r="O116" i="3" s="1"/>
  <c r="BC116" i="3" s="1"/>
  <c r="H116" i="3"/>
  <c r="I116" i="3" s="1"/>
  <c r="J116" i="3" s="1"/>
  <c r="K116" i="3" s="1"/>
  <c r="BB116" i="3" s="1"/>
  <c r="D116" i="3"/>
  <c r="E116" i="3" s="1"/>
  <c r="F116" i="3" s="1"/>
  <c r="G116" i="3" s="1"/>
  <c r="BA116" i="3" s="1"/>
  <c r="AR115" i="3"/>
  <c r="AS115" i="3" s="1"/>
  <c r="AT115" i="3" s="1"/>
  <c r="AN115" i="3"/>
  <c r="AO115" i="3" s="1"/>
  <c r="AP115" i="3" s="1"/>
  <c r="AQ115" i="3" s="1"/>
  <c r="BJ115" i="3" s="1"/>
  <c r="AJ115" i="3"/>
  <c r="AK115" i="3" s="1"/>
  <c r="AL115" i="3" s="1"/>
  <c r="AM115" i="3" s="1"/>
  <c r="BI115" i="3" s="1"/>
  <c r="AF115" i="3"/>
  <c r="AG115" i="3" s="1"/>
  <c r="AH115" i="3" s="1"/>
  <c r="AI115" i="3" s="1"/>
  <c r="BH115" i="3" s="1"/>
  <c r="AB115" i="3"/>
  <c r="AC115" i="3" s="1"/>
  <c r="AD115" i="3" s="1"/>
  <c r="AE115" i="3" s="1"/>
  <c r="BG115" i="3" s="1"/>
  <c r="X115" i="3"/>
  <c r="Y115" i="3" s="1"/>
  <c r="Z115" i="3" s="1"/>
  <c r="AA115" i="3" s="1"/>
  <c r="BF115" i="3" s="1"/>
  <c r="T115" i="3"/>
  <c r="U115" i="3" s="1"/>
  <c r="V115" i="3" s="1"/>
  <c r="W115" i="3" s="1"/>
  <c r="BE115" i="3" s="1"/>
  <c r="P115" i="3"/>
  <c r="Q115" i="3" s="1"/>
  <c r="R115" i="3" s="1"/>
  <c r="S115" i="3" s="1"/>
  <c r="BD115" i="3" s="1"/>
  <c r="L115" i="3"/>
  <c r="M115" i="3" s="1"/>
  <c r="N115" i="3" s="1"/>
  <c r="O115" i="3" s="1"/>
  <c r="BC115" i="3" s="1"/>
  <c r="H115" i="3"/>
  <c r="I115" i="3" s="1"/>
  <c r="J115" i="3" s="1"/>
  <c r="K115" i="3" s="1"/>
  <c r="BB115" i="3" s="1"/>
  <c r="D115" i="3"/>
  <c r="E115" i="3" s="1"/>
  <c r="F115" i="3" s="1"/>
  <c r="G115" i="3" s="1"/>
  <c r="BA115" i="3" s="1"/>
  <c r="BI103" i="3"/>
  <c r="BI98" i="3" s="1"/>
  <c r="BH103" i="3"/>
  <c r="BH98" i="3" s="1"/>
  <c r="BF103" i="3"/>
  <c r="BF98" i="3" s="1"/>
  <c r="BG95" i="3"/>
  <c r="BH95" i="3" s="1"/>
  <c r="BI95" i="3" s="1"/>
  <c r="BJ95" i="3" s="1"/>
  <c r="BK95" i="3" s="1"/>
  <c r="BL95" i="3" s="1"/>
  <c r="BM95" i="3" s="1"/>
  <c r="BN95" i="3" s="1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AT80" i="3"/>
  <c r="AT77" i="3" s="1"/>
  <c r="AR80" i="3"/>
  <c r="AP80" i="3"/>
  <c r="AP77" i="3" s="1"/>
  <c r="AN80" i="3"/>
  <c r="AL80" i="3"/>
  <c r="AL77" i="3" s="1"/>
  <c r="AJ80" i="3"/>
  <c r="AH80" i="3"/>
  <c r="AH77" i="3" s="1"/>
  <c r="AF80" i="3"/>
  <c r="AD80" i="3"/>
  <c r="AD77" i="3" s="1"/>
  <c r="AB80" i="3"/>
  <c r="AA80" i="3"/>
  <c r="Z80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BL79" i="3"/>
  <c r="BM79" i="3" s="1"/>
  <c r="BK79" i="3"/>
  <c r="BJ79" i="3"/>
  <c r="BI79" i="3"/>
  <c r="BH79" i="3"/>
  <c r="BG79" i="3"/>
  <c r="BF79" i="3"/>
  <c r="BE79" i="3"/>
  <c r="BD79" i="3"/>
  <c r="BC79" i="3"/>
  <c r="BB79" i="3"/>
  <c r="BA79" i="3"/>
  <c r="BJ78" i="3"/>
  <c r="BJ91" i="3" s="1"/>
  <c r="BI78" i="3"/>
  <c r="BI91" i="3" s="1"/>
  <c r="BH78" i="3"/>
  <c r="BH91" i="3" s="1"/>
  <c r="BG78" i="3"/>
  <c r="BG91" i="3" s="1"/>
  <c r="BF78" i="3"/>
  <c r="BF91" i="3" s="1"/>
  <c r="BE78" i="3"/>
  <c r="BE91" i="3" s="1"/>
  <c r="BD78" i="3"/>
  <c r="BC78" i="3"/>
  <c r="BB78" i="3"/>
  <c r="BA78" i="3"/>
  <c r="BK78" i="3"/>
  <c r="BK91" i="3" s="1"/>
  <c r="AR77" i="3"/>
  <c r="AN77" i="3"/>
  <c r="AJ77" i="3"/>
  <c r="AF77" i="3"/>
  <c r="AB77" i="3"/>
  <c r="AA77" i="3"/>
  <c r="Z77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BJ71" i="3"/>
  <c r="BI71" i="3"/>
  <c r="BH71" i="3"/>
  <c r="BG71" i="3"/>
  <c r="BF71" i="3"/>
  <c r="BE71" i="3"/>
  <c r="BD71" i="3"/>
  <c r="BC71" i="3"/>
  <c r="BB71" i="3"/>
  <c r="BA71" i="3"/>
  <c r="AT71" i="3"/>
  <c r="AT72" i="3" s="1"/>
  <c r="AS71" i="3"/>
  <c r="AR71" i="3"/>
  <c r="AR72" i="3" s="1"/>
  <c r="AQ71" i="3"/>
  <c r="AP71" i="3"/>
  <c r="AP72" i="3" s="1"/>
  <c r="AO71" i="3"/>
  <c r="AN71" i="3"/>
  <c r="AN72" i="3" s="1"/>
  <c r="AM71" i="3"/>
  <c r="AL71" i="3"/>
  <c r="AL72" i="3" s="1"/>
  <c r="AK71" i="3"/>
  <c r="AJ71" i="3"/>
  <c r="AJ72" i="3" s="1"/>
  <c r="AI71" i="3"/>
  <c r="AH71" i="3"/>
  <c r="AH72" i="3" s="1"/>
  <c r="AG71" i="3"/>
  <c r="AF71" i="3"/>
  <c r="AF72" i="3" s="1"/>
  <c r="AE71" i="3"/>
  <c r="AD71" i="3"/>
  <c r="AD72" i="3" s="1"/>
  <c r="AC71" i="3"/>
  <c r="AB71" i="3"/>
  <c r="AB72" i="3" s="1"/>
  <c r="AA71" i="3"/>
  <c r="Z71" i="3"/>
  <c r="Z72" i="3" s="1"/>
  <c r="Y71" i="3"/>
  <c r="X71" i="3"/>
  <c r="X72" i="3" s="1"/>
  <c r="W71" i="3"/>
  <c r="V71" i="3"/>
  <c r="V72" i="3" s="1"/>
  <c r="U71" i="3"/>
  <c r="T71" i="3"/>
  <c r="T72" i="3" s="1"/>
  <c r="S71" i="3"/>
  <c r="R71" i="3"/>
  <c r="R72" i="3" s="1"/>
  <c r="Q71" i="3"/>
  <c r="P71" i="3"/>
  <c r="P72" i="3" s="1"/>
  <c r="O71" i="3"/>
  <c r="N71" i="3"/>
  <c r="N72" i="3" s="1"/>
  <c r="M71" i="3"/>
  <c r="L71" i="3"/>
  <c r="L72" i="3" s="1"/>
  <c r="K71" i="3"/>
  <c r="J71" i="3"/>
  <c r="J72" i="3" s="1"/>
  <c r="I71" i="3"/>
  <c r="H71" i="3"/>
  <c r="H72" i="3" s="1"/>
  <c r="G71" i="3"/>
  <c r="F71" i="3"/>
  <c r="F72" i="3" s="1"/>
  <c r="E71" i="3"/>
  <c r="D71" i="3"/>
  <c r="D72" i="3" s="1"/>
  <c r="AT69" i="3"/>
  <c r="AS69" i="3"/>
  <c r="AR69" i="3"/>
  <c r="AQ69" i="3"/>
  <c r="AP69" i="3"/>
  <c r="AO69" i="3"/>
  <c r="AN69" i="3"/>
  <c r="AM69" i="3"/>
  <c r="AL69" i="3"/>
  <c r="AK69" i="3"/>
  <c r="AJ69" i="3"/>
  <c r="AI69" i="3"/>
  <c r="AH69" i="3"/>
  <c r="AG69" i="3"/>
  <c r="AF69" i="3"/>
  <c r="AE69" i="3"/>
  <c r="AD69" i="3"/>
  <c r="AC69" i="3"/>
  <c r="AB69" i="3"/>
  <c r="AA69" i="3"/>
  <c r="Z69" i="3"/>
  <c r="Y69" i="3"/>
  <c r="X69" i="3"/>
  <c r="W69" i="3"/>
  <c r="V69" i="3"/>
  <c r="U69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BD68" i="3"/>
  <c r="BC68" i="3"/>
  <c r="BB68" i="3"/>
  <c r="BA68" i="3"/>
  <c r="BJ66" i="3"/>
  <c r="BI66" i="3"/>
  <c r="BH66" i="3"/>
  <c r="BG66" i="3"/>
  <c r="BF66" i="3"/>
  <c r="BE66" i="3"/>
  <c r="BD66" i="3"/>
  <c r="BC66" i="3"/>
  <c r="BB66" i="3"/>
  <c r="BA66" i="3"/>
  <c r="BN65" i="3"/>
  <c r="BM65" i="3"/>
  <c r="AY65" i="3"/>
  <c r="AX65" i="3"/>
  <c r="AW65" i="3"/>
  <c r="AV65" i="3"/>
  <c r="AP65" i="3"/>
  <c r="AO65" i="3"/>
  <c r="AN65" i="3"/>
  <c r="AJ65" i="3"/>
  <c r="AF65" i="3"/>
  <c r="AE65" i="3"/>
  <c r="AB65" i="3"/>
  <c r="AA65" i="3"/>
  <c r="AV64" i="3"/>
  <c r="AW64" i="3" s="1"/>
  <c r="AT62" i="3"/>
  <c r="AT64" i="3" s="1"/>
  <c r="AS62" i="3"/>
  <c r="AS64" i="3" s="1"/>
  <c r="AR62" i="3"/>
  <c r="AR64" i="3" s="1"/>
  <c r="AQ62" i="3"/>
  <c r="AP62" i="3"/>
  <c r="AO62" i="3"/>
  <c r="AN62" i="3"/>
  <c r="AN64" i="3" s="1"/>
  <c r="AM62" i="3"/>
  <c r="AL62" i="3"/>
  <c r="AK62" i="3"/>
  <c r="AJ62" i="3"/>
  <c r="AI62" i="3"/>
  <c r="AH62" i="3"/>
  <c r="AG62" i="3"/>
  <c r="AF62" i="3"/>
  <c r="AE62" i="3"/>
  <c r="AD62" i="3"/>
  <c r="AC62" i="3"/>
  <c r="AB62" i="3"/>
  <c r="AA62" i="3"/>
  <c r="Z62" i="3"/>
  <c r="Y62" i="3"/>
  <c r="X62" i="3"/>
  <c r="W62" i="3"/>
  <c r="V62" i="3"/>
  <c r="U62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B57" i="3"/>
  <c r="B56" i="3"/>
  <c r="BJ56" i="3"/>
  <c r="BI56" i="3"/>
  <c r="BH56" i="3"/>
  <c r="BG56" i="3"/>
  <c r="BF56" i="3"/>
  <c r="BE56" i="3"/>
  <c r="BD56" i="3"/>
  <c r="BC56" i="3"/>
  <c r="BB56" i="3"/>
  <c r="BA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AH56" i="3"/>
  <c r="AG56" i="3"/>
  <c r="AF56" i="3"/>
  <c r="AE56" i="3"/>
  <c r="AD56" i="3"/>
  <c r="AC56" i="3"/>
  <c r="AB56" i="3"/>
  <c r="AA56" i="3"/>
  <c r="Z56" i="3"/>
  <c r="Y56" i="3"/>
  <c r="X56" i="3"/>
  <c r="W56" i="3"/>
  <c r="V56" i="3"/>
  <c r="U56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B54" i="3"/>
  <c r="B53" i="3"/>
  <c r="B52" i="3"/>
  <c r="B51" i="3"/>
  <c r="BH52" i="3"/>
  <c r="BG52" i="3"/>
  <c r="BG154" i="3" s="1"/>
  <c r="BA51" i="3"/>
  <c r="BA153" i="3" s="1"/>
  <c r="V49" i="3"/>
  <c r="B49" i="3"/>
  <c r="B48" i="3"/>
  <c r="BM49" i="3"/>
  <c r="BM151" i="3" s="1"/>
  <c r="BL49" i="3"/>
  <c r="BK49" i="3"/>
  <c r="BJ49" i="3"/>
  <c r="BI49" i="3"/>
  <c r="BH49" i="3"/>
  <c r="BG49" i="3"/>
  <c r="BF49" i="3"/>
  <c r="BE49" i="3"/>
  <c r="BD49" i="3"/>
  <c r="BC49" i="3"/>
  <c r="BB49" i="3"/>
  <c r="BA49" i="3"/>
  <c r="BJ48" i="3"/>
  <c r="BI48" i="3"/>
  <c r="BH48" i="3"/>
  <c r="BG48" i="3"/>
  <c r="BF48" i="3"/>
  <c r="BE48" i="3"/>
  <c r="BD48" i="3"/>
  <c r="BC48" i="3"/>
  <c r="BB48" i="3"/>
  <c r="BA48" i="3"/>
  <c r="AV48" i="3"/>
  <c r="AV150" i="3" s="1"/>
  <c r="BK48" i="3"/>
  <c r="AT46" i="3"/>
  <c r="AS46" i="3"/>
  <c r="AQ46" i="3"/>
  <c r="AO46" i="3"/>
  <c r="AM46" i="3"/>
  <c r="AK46" i="3"/>
  <c r="AI46" i="3"/>
  <c r="AG46" i="3"/>
  <c r="AC46" i="3"/>
  <c r="AA46" i="3"/>
  <c r="Y46" i="3"/>
  <c r="X46" i="3"/>
  <c r="W46" i="3"/>
  <c r="V46" i="3"/>
  <c r="T46" i="3"/>
  <c r="S46" i="3"/>
  <c r="R46" i="3"/>
  <c r="Q46" i="3"/>
  <c r="P46" i="3"/>
  <c r="O46" i="3"/>
  <c r="M46" i="3"/>
  <c r="L46" i="3"/>
  <c r="K46" i="3"/>
  <c r="J46" i="3"/>
  <c r="I46" i="3"/>
  <c r="H46" i="3"/>
  <c r="G46" i="3"/>
  <c r="F46" i="3"/>
  <c r="E46" i="3"/>
  <c r="D46" i="3"/>
  <c r="B46" i="3"/>
  <c r="B45" i="3"/>
  <c r="B44" i="3"/>
  <c r="B43" i="3"/>
  <c r="B42" i="3"/>
  <c r="B41" i="3"/>
  <c r="B40" i="3"/>
  <c r="AI45" i="3"/>
  <c r="AI147" i="3" s="1"/>
  <c r="BH147" i="3" s="1"/>
  <c r="AE45" i="3"/>
  <c r="AE46" i="3" s="1"/>
  <c r="Z45" i="3"/>
  <c r="Z46" i="3" s="1"/>
  <c r="U45" i="3"/>
  <c r="U147" i="3" s="1"/>
  <c r="V147" i="3" s="1"/>
  <c r="W147" i="3" s="1"/>
  <c r="BE147" i="3" s="1"/>
  <c r="O45" i="3"/>
  <c r="N45" i="3"/>
  <c r="N46" i="3" s="1"/>
  <c r="BL45" i="3"/>
  <c r="BK45" i="3"/>
  <c r="BJ45" i="3"/>
  <c r="BI45" i="3"/>
  <c r="BH45" i="3"/>
  <c r="BG45" i="3"/>
  <c r="BF45" i="3"/>
  <c r="BE45" i="3"/>
  <c r="BD45" i="3"/>
  <c r="BC45" i="3"/>
  <c r="BB45" i="3"/>
  <c r="BA45" i="3"/>
  <c r="BL44" i="3"/>
  <c r="BK44" i="3"/>
  <c r="BJ44" i="3"/>
  <c r="BI44" i="3"/>
  <c r="BH44" i="3"/>
  <c r="BG44" i="3"/>
  <c r="BF44" i="3"/>
  <c r="BE44" i="3"/>
  <c r="BD44" i="3"/>
  <c r="BC44" i="3"/>
  <c r="BB44" i="3"/>
  <c r="BA44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BL42" i="3"/>
  <c r="BK42" i="3"/>
  <c r="BJ42" i="3"/>
  <c r="BI42" i="3"/>
  <c r="BH42" i="3"/>
  <c r="BG42" i="3"/>
  <c r="BF42" i="3"/>
  <c r="BE42" i="3"/>
  <c r="BD42" i="3"/>
  <c r="BD46" i="3" s="1"/>
  <c r="BC42" i="3"/>
  <c r="BB42" i="3"/>
  <c r="BA42" i="3"/>
  <c r="BE41" i="3"/>
  <c r="BE46" i="3" s="1"/>
  <c r="BD41" i="3"/>
  <c r="BC41" i="3"/>
  <c r="BC46" i="3" s="1"/>
  <c r="BB41" i="3"/>
  <c r="BB46" i="3" s="1"/>
  <c r="BA41" i="3"/>
  <c r="BA46" i="3" s="1"/>
  <c r="AR41" i="3"/>
  <c r="AR143" i="3" s="1"/>
  <c r="AQ41" i="3"/>
  <c r="AP41" i="3"/>
  <c r="AP46" i="3" s="1"/>
  <c r="AO41" i="3"/>
  <c r="AN41" i="3"/>
  <c r="AN143" i="3" s="1"/>
  <c r="AM41" i="3"/>
  <c r="AL41" i="3"/>
  <c r="AL46" i="3" s="1"/>
  <c r="AK41" i="3"/>
  <c r="AJ41" i="3"/>
  <c r="AJ143" i="3" s="1"/>
  <c r="AI41" i="3"/>
  <c r="AH41" i="3"/>
  <c r="AH46" i="3" s="1"/>
  <c r="AG41" i="3"/>
  <c r="AF41" i="3"/>
  <c r="AF143" i="3" s="1"/>
  <c r="AE41" i="3"/>
  <c r="AD41" i="3"/>
  <c r="AD46" i="3" s="1"/>
  <c r="AC41" i="3"/>
  <c r="AB41" i="3"/>
  <c r="AB143" i="3" s="1"/>
  <c r="AA41" i="3"/>
  <c r="BF41" i="3" s="1"/>
  <c r="AT38" i="3"/>
  <c r="AS38" i="3"/>
  <c r="AR38" i="3"/>
  <c r="AQ38" i="3"/>
  <c r="AO38" i="3"/>
  <c r="AN38" i="3"/>
  <c r="AM38" i="3"/>
  <c r="AL38" i="3"/>
  <c r="AK38" i="3"/>
  <c r="AI38" i="3"/>
  <c r="AH38" i="3"/>
  <c r="AF38" i="3"/>
  <c r="AC38" i="3"/>
  <c r="AB38" i="3"/>
  <c r="X38" i="3"/>
  <c r="W38" i="3"/>
  <c r="V38" i="3"/>
  <c r="T38" i="3"/>
  <c r="S38" i="3"/>
  <c r="Q38" i="3"/>
  <c r="P38" i="3"/>
  <c r="O38" i="3"/>
  <c r="N38" i="3"/>
  <c r="M38" i="3"/>
  <c r="L38" i="3"/>
  <c r="J38" i="3"/>
  <c r="E38" i="3"/>
  <c r="D38" i="3"/>
  <c r="B38" i="3"/>
  <c r="B37" i="3"/>
  <c r="B36" i="3"/>
  <c r="B35" i="3"/>
  <c r="B34" i="3"/>
  <c r="B33" i="3"/>
  <c r="B32" i="3"/>
  <c r="BL37" i="3"/>
  <c r="BK37" i="3"/>
  <c r="BC37" i="3"/>
  <c r="AO37" i="3"/>
  <c r="BJ37" i="3" s="1"/>
  <c r="AJ37" i="3"/>
  <c r="AJ139" i="3" s="1"/>
  <c r="AK139" i="3" s="1"/>
  <c r="AL139" i="3" s="1"/>
  <c r="AM139" i="3" s="1"/>
  <c r="BI139" i="3" s="1"/>
  <c r="AI37" i="3"/>
  <c r="BH37" i="3" s="1"/>
  <c r="AE37" i="3"/>
  <c r="AE38" i="3" s="1"/>
  <c r="AD37" i="3"/>
  <c r="AD38" i="3" s="1"/>
  <c r="AA37" i="3"/>
  <c r="AA38" i="3" s="1"/>
  <c r="Z37" i="3"/>
  <c r="Z38" i="3" s="1"/>
  <c r="Y37" i="3"/>
  <c r="BF37" i="3" s="1"/>
  <c r="W37" i="3"/>
  <c r="U37" i="3"/>
  <c r="U38" i="3" s="1"/>
  <c r="S37" i="3"/>
  <c r="R37" i="3"/>
  <c r="R38" i="3" s="1"/>
  <c r="O37" i="3"/>
  <c r="K37" i="3"/>
  <c r="K38" i="3" s="1"/>
  <c r="K36" i="3"/>
  <c r="I37" i="3"/>
  <c r="BB37" i="3" s="1"/>
  <c r="G37" i="3"/>
  <c r="F37" i="3"/>
  <c r="BA37" i="3" s="1"/>
  <c r="BJ36" i="3"/>
  <c r="BJ93" i="3" s="1"/>
  <c r="BI36" i="3"/>
  <c r="BI93" i="3" s="1"/>
  <c r="BH36" i="3"/>
  <c r="BH93" i="3" s="1"/>
  <c r="BG36" i="3"/>
  <c r="BG93" i="3" s="1"/>
  <c r="BF36" i="3"/>
  <c r="BF93" i="3" s="1"/>
  <c r="BE36" i="3"/>
  <c r="BE93" i="3" s="1"/>
  <c r="BD36" i="3"/>
  <c r="BC36" i="3"/>
  <c r="BB36" i="3"/>
  <c r="BA36" i="3"/>
  <c r="AV36" i="3"/>
  <c r="AV138" i="3" s="1"/>
  <c r="AP35" i="3"/>
  <c r="AP38" i="3" s="1"/>
  <c r="AM35" i="3"/>
  <c r="AG35" i="3"/>
  <c r="AG38" i="3" s="1"/>
  <c r="H35" i="3"/>
  <c r="H137" i="3" s="1"/>
  <c r="I137" i="3" s="1"/>
  <c r="J137" i="3" s="1"/>
  <c r="K137" i="3" s="1"/>
  <c r="BB137" i="3" s="1"/>
  <c r="G35" i="3"/>
  <c r="BA35" i="3" s="1"/>
  <c r="F35" i="3"/>
  <c r="F38" i="3" s="1"/>
  <c r="BL35" i="3"/>
  <c r="BK35" i="3"/>
  <c r="BJ35" i="3"/>
  <c r="BI35" i="3"/>
  <c r="BH35" i="3"/>
  <c r="BG35" i="3"/>
  <c r="BF35" i="3"/>
  <c r="BE35" i="3"/>
  <c r="BD35" i="3"/>
  <c r="BC35" i="3"/>
  <c r="BB35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BJ33" i="3"/>
  <c r="BI33" i="3"/>
  <c r="BH33" i="3"/>
  <c r="BG33" i="3"/>
  <c r="BF33" i="3"/>
  <c r="BE33" i="3"/>
  <c r="BD33" i="3"/>
  <c r="BC33" i="3"/>
  <c r="BB33" i="3"/>
  <c r="BB62" i="3" s="1"/>
  <c r="BA33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H29" i="3"/>
  <c r="BG29" i="3"/>
  <c r="BF29" i="3"/>
  <c r="BE29" i="3"/>
  <c r="BD29" i="3"/>
  <c r="BC29" i="3"/>
  <c r="BB29" i="3"/>
  <c r="AT29" i="3"/>
  <c r="AS29" i="3"/>
  <c r="AR29" i="3"/>
  <c r="AR131" i="3" s="1"/>
  <c r="AQ29" i="3"/>
  <c r="BJ29" i="3" s="1"/>
  <c r="AO29" i="3"/>
  <c r="AO131" i="3" s="1"/>
  <c r="AP131" i="3" s="1"/>
  <c r="AM29" i="3"/>
  <c r="AM131" i="3" s="1"/>
  <c r="BI131" i="3" s="1"/>
  <c r="G29" i="3"/>
  <c r="F29" i="3"/>
  <c r="E29" i="3"/>
  <c r="D29" i="3"/>
  <c r="D131" i="3" s="1"/>
  <c r="E131" i="3" s="1"/>
  <c r="F131" i="3" s="1"/>
  <c r="G131" i="3" s="1"/>
  <c r="BA131" i="3" s="1"/>
  <c r="BL28" i="3"/>
  <c r="BK28" i="3"/>
  <c r="BJ28" i="3"/>
  <c r="BI28" i="3"/>
  <c r="BH28" i="3"/>
  <c r="BG28" i="3"/>
  <c r="BF28" i="3"/>
  <c r="BE28" i="3"/>
  <c r="BD28" i="3"/>
  <c r="BC28" i="3"/>
  <c r="BB28" i="3"/>
  <c r="BA28" i="3"/>
  <c r="BL27" i="3"/>
  <c r="BK27" i="3"/>
  <c r="BJ27" i="3"/>
  <c r="BI27" i="3"/>
  <c r="BH27" i="3"/>
  <c r="BG27" i="3"/>
  <c r="BF27" i="3"/>
  <c r="BE27" i="3"/>
  <c r="BD27" i="3"/>
  <c r="BC27" i="3"/>
  <c r="BB27" i="3"/>
  <c r="BA27" i="3"/>
  <c r="BJ26" i="3"/>
  <c r="BI26" i="3"/>
  <c r="BH26" i="3"/>
  <c r="BG26" i="3"/>
  <c r="BF26" i="3"/>
  <c r="BE26" i="3"/>
  <c r="BD26" i="3"/>
  <c r="BC26" i="3"/>
  <c r="BB26" i="3"/>
  <c r="BA26" i="3"/>
  <c r="BJ25" i="3"/>
  <c r="BI25" i="3"/>
  <c r="BH25" i="3"/>
  <c r="BG25" i="3"/>
  <c r="BF25" i="3"/>
  <c r="BE25" i="3"/>
  <c r="BD25" i="3"/>
  <c r="BC25" i="3"/>
  <c r="BB25" i="3"/>
  <c r="BA25" i="3"/>
  <c r="AU128" i="3"/>
  <c r="BK128" i="3" s="1"/>
  <c r="BK25" i="3"/>
  <c r="BL24" i="3"/>
  <c r="BK24" i="3"/>
  <c r="BJ24" i="3"/>
  <c r="BI24" i="3"/>
  <c r="BH24" i="3"/>
  <c r="BG24" i="3"/>
  <c r="BF24" i="3"/>
  <c r="BE24" i="3"/>
  <c r="BD24" i="3"/>
  <c r="BC24" i="3"/>
  <c r="BB24" i="3"/>
  <c r="BA24" i="3"/>
  <c r="BJ23" i="3"/>
  <c r="BI23" i="3"/>
  <c r="BH23" i="3"/>
  <c r="BG23" i="3"/>
  <c r="BF23" i="3"/>
  <c r="BE23" i="3"/>
  <c r="BD23" i="3"/>
  <c r="BC23" i="3"/>
  <c r="BB23" i="3"/>
  <c r="BA23" i="3"/>
  <c r="BJ22" i="3"/>
  <c r="BI22" i="3"/>
  <c r="BH22" i="3"/>
  <c r="BG22" i="3"/>
  <c r="BF22" i="3"/>
  <c r="BE22" i="3"/>
  <c r="BD22" i="3"/>
  <c r="BC22" i="3"/>
  <c r="BB22" i="3"/>
  <c r="BA22" i="3"/>
  <c r="BJ21" i="3"/>
  <c r="BI21" i="3"/>
  <c r="BH21" i="3"/>
  <c r="BG21" i="3"/>
  <c r="BF21" i="3"/>
  <c r="BE21" i="3"/>
  <c r="BD21" i="3"/>
  <c r="BC21" i="3"/>
  <c r="BB21" i="3"/>
  <c r="BA21" i="3"/>
  <c r="AT19" i="3"/>
  <c r="AS19" i="3"/>
  <c r="AR19" i="3"/>
  <c r="AR121" i="3" s="1"/>
  <c r="AS121" i="3" s="1"/>
  <c r="AT121" i="3" s="1"/>
  <c r="AU121" i="3" s="1"/>
  <c r="BK121" i="3" s="1"/>
  <c r="AQ19" i="3"/>
  <c r="AP19" i="3"/>
  <c r="AO19" i="3"/>
  <c r="AN19" i="3"/>
  <c r="AN121" i="3" s="1"/>
  <c r="AO121" i="3" s="1"/>
  <c r="AP121" i="3" s="1"/>
  <c r="AQ121" i="3" s="1"/>
  <c r="BJ121" i="3" s="1"/>
  <c r="AM19" i="3"/>
  <c r="AL19" i="3"/>
  <c r="AK19" i="3"/>
  <c r="AJ19" i="3"/>
  <c r="AJ121" i="3" s="1"/>
  <c r="AK121" i="3" s="1"/>
  <c r="AL121" i="3" s="1"/>
  <c r="AM121" i="3" s="1"/>
  <c r="BI121" i="3" s="1"/>
  <c r="AC19" i="3"/>
  <c r="AB19" i="3"/>
  <c r="AB121" i="3" s="1"/>
  <c r="AC121" i="3" s="1"/>
  <c r="AD121" i="3" s="1"/>
  <c r="AE121" i="3" s="1"/>
  <c r="BG121" i="3" s="1"/>
  <c r="AA19" i="3"/>
  <c r="Z19" i="3"/>
  <c r="X19" i="3"/>
  <c r="X121" i="3" s="1"/>
  <c r="Y121" i="3" s="1"/>
  <c r="U19" i="3"/>
  <c r="BE19" i="3" s="1"/>
  <c r="R19" i="3"/>
  <c r="K19" i="3"/>
  <c r="J19" i="3"/>
  <c r="I19" i="3"/>
  <c r="D19" i="3"/>
  <c r="D121" i="3" s="1"/>
  <c r="E121" i="3" s="1"/>
  <c r="F121" i="3" s="1"/>
  <c r="G121" i="3" s="1"/>
  <c r="BA121" i="3" s="1"/>
  <c r="BL19" i="3"/>
  <c r="BJ19" i="3"/>
  <c r="BH19" i="3"/>
  <c r="BF19" i="3"/>
  <c r="BD19" i="3"/>
  <c r="BC19" i="3"/>
  <c r="BB19" i="3"/>
  <c r="BA19" i="3"/>
  <c r="BL18" i="3"/>
  <c r="BK18" i="3"/>
  <c r="BJ18" i="3"/>
  <c r="BI18" i="3"/>
  <c r="BH18" i="3"/>
  <c r="BG18" i="3"/>
  <c r="BF18" i="3"/>
  <c r="BE18" i="3"/>
  <c r="BD18" i="3"/>
  <c r="BC18" i="3"/>
  <c r="BB18" i="3"/>
  <c r="BA18" i="3"/>
  <c r="BN119" i="3"/>
  <c r="BM119" i="3"/>
  <c r="BJ17" i="3"/>
  <c r="BI17" i="3"/>
  <c r="BH17" i="3"/>
  <c r="BG17" i="3"/>
  <c r="BF17" i="3"/>
  <c r="BE17" i="3"/>
  <c r="BD17" i="3"/>
  <c r="BC17" i="3"/>
  <c r="BB17" i="3"/>
  <c r="BA17" i="3"/>
  <c r="AY17" i="3"/>
  <c r="AX17" i="3"/>
  <c r="AW17" i="3"/>
  <c r="BL17" i="3" s="1"/>
  <c r="AV17" i="3"/>
  <c r="AV119" i="3" s="1"/>
  <c r="BK17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BJ15" i="3"/>
  <c r="BI15" i="3"/>
  <c r="BH15" i="3"/>
  <c r="BG15" i="3"/>
  <c r="BF15" i="3"/>
  <c r="BE15" i="3"/>
  <c r="BD15" i="3"/>
  <c r="BC15" i="3"/>
  <c r="BB15" i="3"/>
  <c r="BA15" i="3"/>
  <c r="BL14" i="3"/>
  <c r="BL65" i="3" s="1"/>
  <c r="BK14" i="3"/>
  <c r="BK65" i="3" s="1"/>
  <c r="BJ14" i="3"/>
  <c r="BJ65" i="3" s="1"/>
  <c r="BI14" i="3"/>
  <c r="BI65" i="3" s="1"/>
  <c r="BH14" i="3"/>
  <c r="BH65" i="3" s="1"/>
  <c r="BG14" i="3"/>
  <c r="BG65" i="3" s="1"/>
  <c r="BF14" i="3"/>
  <c r="BF65" i="3" s="1"/>
  <c r="BE14" i="3"/>
  <c r="BE65" i="3" s="1"/>
  <c r="BD14" i="3"/>
  <c r="BD65" i="3" s="1"/>
  <c r="BC14" i="3"/>
  <c r="BC65" i="3" s="1"/>
  <c r="BB14" i="3"/>
  <c r="BB65" i="3" s="1"/>
  <c r="BA14" i="3"/>
  <c r="BA65" i="3" s="1"/>
  <c r="BJ13" i="3"/>
  <c r="BI13" i="3"/>
  <c r="BH13" i="3"/>
  <c r="BG13" i="3"/>
  <c r="BF13" i="3"/>
  <c r="BE13" i="3"/>
  <c r="BD13" i="3"/>
  <c r="BC13" i="3"/>
  <c r="BB13" i="3"/>
  <c r="BB82" i="3" s="1"/>
  <c r="BA13" i="3"/>
  <c r="BA82" i="3" s="1"/>
  <c r="BD9" i="3"/>
  <c r="BD111" i="3" s="1"/>
  <c r="BC9" i="3"/>
  <c r="BC111" i="3" s="1"/>
  <c r="BB9" i="3"/>
  <c r="BB111" i="3" s="1"/>
  <c r="BA9" i="3"/>
  <c r="BA111" i="3" s="1"/>
  <c r="AY9" i="3"/>
  <c r="AY111" i="3" s="1"/>
  <c r="AX9" i="3"/>
  <c r="AX111" i="3" s="1"/>
  <c r="AW9" i="3"/>
  <c r="AW111" i="3" s="1"/>
  <c r="AV9" i="3"/>
  <c r="AV111" i="3" s="1"/>
  <c r="AI9" i="3"/>
  <c r="AI111" i="3" s="1"/>
  <c r="AH9" i="3"/>
  <c r="AH111" i="3" s="1"/>
  <c r="AG9" i="3"/>
  <c r="AG111" i="3" s="1"/>
  <c r="AF9" i="3"/>
  <c r="AF111" i="3" s="1"/>
  <c r="AE9" i="3"/>
  <c r="AE111" i="3" s="1"/>
  <c r="AD9" i="3"/>
  <c r="AD111" i="3" s="1"/>
  <c r="AC9" i="3"/>
  <c r="AC111" i="3" s="1"/>
  <c r="AB9" i="3"/>
  <c r="AB111" i="3" s="1"/>
  <c r="AA9" i="3"/>
  <c r="AA111" i="3" s="1"/>
  <c r="Z9" i="3"/>
  <c r="Z111" i="3" s="1"/>
  <c r="Y9" i="3"/>
  <c r="Y111" i="3" s="1"/>
  <c r="X9" i="3"/>
  <c r="X111" i="3" s="1"/>
  <c r="W9" i="3"/>
  <c r="W111" i="3" s="1"/>
  <c r="V9" i="3"/>
  <c r="V111" i="3" s="1"/>
  <c r="U9" i="3"/>
  <c r="U111" i="3" s="1"/>
  <c r="T9" i="3"/>
  <c r="T111" i="3" s="1"/>
  <c r="S9" i="3"/>
  <c r="S111" i="3" s="1"/>
  <c r="R9" i="3"/>
  <c r="R111" i="3" s="1"/>
  <c r="Q9" i="3"/>
  <c r="Q111" i="3" s="1"/>
  <c r="P9" i="3"/>
  <c r="P111" i="3" s="1"/>
  <c r="O9" i="3"/>
  <c r="O111" i="3" s="1"/>
  <c r="N9" i="3"/>
  <c r="N111" i="3" s="1"/>
  <c r="M9" i="3"/>
  <c r="M111" i="3" s="1"/>
  <c r="L9" i="3"/>
  <c r="L111" i="3" s="1"/>
  <c r="K9" i="3"/>
  <c r="K111" i="3" s="1"/>
  <c r="J9" i="3"/>
  <c r="J111" i="3" s="1"/>
  <c r="I9" i="3"/>
  <c r="I111" i="3" s="1"/>
  <c r="H9" i="3"/>
  <c r="H111" i="3" s="1"/>
  <c r="G9" i="3"/>
  <c r="G111" i="3" s="1"/>
  <c r="F9" i="3"/>
  <c r="F111" i="3" s="1"/>
  <c r="E9" i="3"/>
  <c r="E111" i="3" s="1"/>
  <c r="D9" i="3"/>
  <c r="D111" i="3" s="1"/>
  <c r="AY8" i="3"/>
  <c r="AX8" i="3"/>
  <c r="AW8" i="3"/>
  <c r="AV8" i="3"/>
  <c r="AU8" i="3"/>
  <c r="AT8" i="3"/>
  <c r="AS8" i="3"/>
  <c r="AR8" i="3"/>
  <c r="AQ8" i="3"/>
  <c r="AP8" i="3"/>
  <c r="AO8" i="3"/>
  <c r="AN8" i="3"/>
  <c r="AM8" i="3"/>
  <c r="AL8" i="3"/>
  <c r="AK8" i="3"/>
  <c r="AJ8" i="3"/>
  <c r="AI8" i="3"/>
  <c r="AH8" i="3"/>
  <c r="AG8" i="3"/>
  <c r="AF8" i="3"/>
  <c r="AE8" i="3"/>
  <c r="AD8" i="3"/>
  <c r="AC8" i="3"/>
  <c r="AB8" i="3"/>
  <c r="AA8" i="3"/>
  <c r="Z8" i="3"/>
  <c r="Y8" i="3"/>
  <c r="X8" i="3"/>
  <c r="W8" i="3"/>
  <c r="V8" i="3"/>
  <c r="U8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AT96" i="2"/>
  <c r="AR96" i="2"/>
  <c r="AN96" i="2"/>
  <c r="AT95" i="2"/>
  <c r="AS95" i="2"/>
  <c r="AS96" i="2" s="1"/>
  <c r="AR95" i="2"/>
  <c r="AQ95" i="2"/>
  <c r="AQ96" i="2" s="1"/>
  <c r="AP95" i="2"/>
  <c r="AO95" i="2"/>
  <c r="AN95" i="2"/>
  <c r="AM95" i="2"/>
  <c r="AM96" i="2" s="1"/>
  <c r="AL95" i="2"/>
  <c r="AK95" i="2"/>
  <c r="AJ95" i="2"/>
  <c r="AI95" i="2"/>
  <c r="AH95" i="2"/>
  <c r="AG95" i="2"/>
  <c r="AF95" i="2"/>
  <c r="AE95" i="2"/>
  <c r="AD95" i="2"/>
  <c r="AC95" i="2"/>
  <c r="Z95" i="2"/>
  <c r="Y95" i="2"/>
  <c r="X95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AT90" i="2"/>
  <c r="AS90" i="2"/>
  <c r="AR90" i="2"/>
  <c r="AQ90" i="2"/>
  <c r="AP90" i="2"/>
  <c r="AO90" i="2"/>
  <c r="AN90" i="2"/>
  <c r="AM90" i="2"/>
  <c r="AL90" i="2"/>
  <c r="AK90" i="2"/>
  <c r="AJ90" i="2"/>
  <c r="AI90" i="2"/>
  <c r="AH90" i="2"/>
  <c r="AG90" i="2"/>
  <c r="AF90" i="2"/>
  <c r="AE90" i="2"/>
  <c r="AD90" i="2"/>
  <c r="AC90" i="2"/>
  <c r="AB90" i="2"/>
  <c r="AA90" i="2"/>
  <c r="Z90" i="2"/>
  <c r="Y90" i="2"/>
  <c r="X90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AT88" i="2"/>
  <c r="AS88" i="2"/>
  <c r="AR88" i="2"/>
  <c r="AQ88" i="2"/>
  <c r="AP88" i="2"/>
  <c r="AO88" i="2"/>
  <c r="AN88" i="2"/>
  <c r="AM88" i="2"/>
  <c r="AL88" i="2"/>
  <c r="AK88" i="2"/>
  <c r="AJ88" i="2"/>
  <c r="AI88" i="2"/>
  <c r="AH88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AE83" i="2"/>
  <c r="AF83" i="2" s="1"/>
  <c r="AG83" i="2" s="1"/>
  <c r="AH83" i="2" s="1"/>
  <c r="AI83" i="2" s="1"/>
  <c r="AJ83" i="2" s="1"/>
  <c r="AK83" i="2" s="1"/>
  <c r="AL83" i="2" s="1"/>
  <c r="AM83" i="2" s="1"/>
  <c r="AN83" i="2" s="1"/>
  <c r="AO83" i="2" s="1"/>
  <c r="AP83" i="2" s="1"/>
  <c r="AQ83" i="2" s="1"/>
  <c r="AR83" i="2" s="1"/>
  <c r="AS83" i="2" s="1"/>
  <c r="AT83" i="2" s="1"/>
  <c r="AU83" i="2" s="1"/>
  <c r="AV83" i="2" s="1"/>
  <c r="AW83" i="2" s="1"/>
  <c r="AX83" i="2" s="1"/>
  <c r="AY83" i="2" s="1"/>
  <c r="AD83" i="2"/>
  <c r="BJ80" i="2"/>
  <c r="BI80" i="2"/>
  <c r="BH80" i="2"/>
  <c r="AS80" i="2"/>
  <c r="AT80" i="2" s="1"/>
  <c r="AU80" i="2" s="1"/>
  <c r="AR80" i="2"/>
  <c r="AE80" i="2"/>
  <c r="BG80" i="2" s="1"/>
  <c r="AT77" i="2"/>
  <c r="AT81" i="2" s="1"/>
  <c r="AS77" i="2"/>
  <c r="AS81" i="2" s="1"/>
  <c r="AR77" i="2"/>
  <c r="AR81" i="2" s="1"/>
  <c r="AQ77" i="2"/>
  <c r="AQ81" i="2" s="1"/>
  <c r="AP77" i="2"/>
  <c r="AP81" i="2" s="1"/>
  <c r="AO77" i="2"/>
  <c r="AO81" i="2" s="1"/>
  <c r="AN77" i="2"/>
  <c r="AN81" i="2" s="1"/>
  <c r="AM77" i="2"/>
  <c r="AM81" i="2" s="1"/>
  <c r="AL77" i="2"/>
  <c r="AL81" i="2" s="1"/>
  <c r="AK77" i="2"/>
  <c r="AK81" i="2" s="1"/>
  <c r="AJ77" i="2"/>
  <c r="AJ81" i="2" s="1"/>
  <c r="AI77" i="2"/>
  <c r="AI81" i="2" s="1"/>
  <c r="AH77" i="2"/>
  <c r="AH81" i="2" s="1"/>
  <c r="AG77" i="2"/>
  <c r="AG81" i="2" s="1"/>
  <c r="AF77" i="2"/>
  <c r="AF81" i="2" s="1"/>
  <c r="AE77" i="2"/>
  <c r="AE81" i="2" s="1"/>
  <c r="AD77" i="2"/>
  <c r="AD81" i="2" s="1"/>
  <c r="AC77" i="2"/>
  <c r="AC81" i="2" s="1"/>
  <c r="AB77" i="2"/>
  <c r="AB81" i="2" s="1"/>
  <c r="AA77" i="2"/>
  <c r="Z77" i="2"/>
  <c r="Y77" i="2"/>
  <c r="X77" i="2"/>
  <c r="W77" i="2"/>
  <c r="V77" i="2"/>
  <c r="U77" i="2"/>
  <c r="T77" i="2"/>
  <c r="S77" i="2"/>
  <c r="R77" i="2"/>
  <c r="Q77" i="2"/>
  <c r="P77" i="2"/>
  <c r="O77" i="2"/>
  <c r="N77" i="2"/>
  <c r="M77" i="2"/>
  <c r="L77" i="2"/>
  <c r="AT76" i="2"/>
  <c r="AT78" i="2" s="1"/>
  <c r="AT84" i="2" s="1"/>
  <c r="AS76" i="2"/>
  <c r="AS78" i="2" s="1"/>
  <c r="AS84" i="2" s="1"/>
  <c r="AR76" i="2"/>
  <c r="AR78" i="2" s="1"/>
  <c r="AR84" i="2" s="1"/>
  <c r="AQ76" i="2"/>
  <c r="AQ78" i="2" s="1"/>
  <c r="AQ84" i="2" s="1"/>
  <c r="AP76" i="2"/>
  <c r="AP78" i="2" s="1"/>
  <c r="AP84" i="2" s="1"/>
  <c r="AO76" i="2"/>
  <c r="AO78" i="2" s="1"/>
  <c r="AO84" i="2" s="1"/>
  <c r="AN76" i="2"/>
  <c r="AN78" i="2" s="1"/>
  <c r="AN84" i="2" s="1"/>
  <c r="AM76" i="2"/>
  <c r="BI76" i="2" s="1"/>
  <c r="AL76" i="2"/>
  <c r="AL78" i="2" s="1"/>
  <c r="AL84" i="2" s="1"/>
  <c r="AH76" i="2"/>
  <c r="AH78" i="2" s="1"/>
  <c r="AH84" i="2" s="1"/>
  <c r="AG78" i="2"/>
  <c r="AF78" i="2"/>
  <c r="AE78" i="2"/>
  <c r="AD78" i="2"/>
  <c r="AC78" i="2"/>
  <c r="AB78" i="2"/>
  <c r="Z76" i="2"/>
  <c r="Z78" i="2" s="1"/>
  <c r="Y76" i="2"/>
  <c r="Y78" i="2" s="1"/>
  <c r="X76" i="2"/>
  <c r="X78" i="2" s="1"/>
  <c r="W76" i="2"/>
  <c r="W78" i="2" s="1"/>
  <c r="V76" i="2"/>
  <c r="V78" i="2" s="1"/>
  <c r="U76" i="2"/>
  <c r="U78" i="2" s="1"/>
  <c r="T76" i="2"/>
  <c r="T78" i="2" s="1"/>
  <c r="S76" i="2"/>
  <c r="S78" i="2" s="1"/>
  <c r="R76" i="2"/>
  <c r="R78" i="2" s="1"/>
  <c r="Q76" i="2"/>
  <c r="Q78" i="2" s="1"/>
  <c r="P76" i="2"/>
  <c r="P78" i="2" s="1"/>
  <c r="O76" i="2"/>
  <c r="O78" i="2" s="1"/>
  <c r="N76" i="2"/>
  <c r="N78" i="2" s="1"/>
  <c r="M76" i="2"/>
  <c r="M78" i="2" s="1"/>
  <c r="L76" i="2"/>
  <c r="L78" i="2" s="1"/>
  <c r="AS73" i="2"/>
  <c r="AS87" i="2" s="1"/>
  <c r="AR73" i="2"/>
  <c r="AR87" i="2" s="1"/>
  <c r="AQ73" i="2"/>
  <c r="AQ87" i="2" s="1"/>
  <c r="AP73" i="2"/>
  <c r="AP87" i="2" s="1"/>
  <c r="AO73" i="2"/>
  <c r="AO87" i="2" s="1"/>
  <c r="AN73" i="2"/>
  <c r="AN87" i="2" s="1"/>
  <c r="AM73" i="2"/>
  <c r="AM87" i="2" s="1"/>
  <c r="AL73" i="2"/>
  <c r="AL87" i="2" s="1"/>
  <c r="AK73" i="2"/>
  <c r="AK87" i="2" s="1"/>
  <c r="AJ73" i="2"/>
  <c r="AJ87" i="2" s="1"/>
  <c r="AI73" i="2"/>
  <c r="AI87" i="2" s="1"/>
  <c r="AH73" i="2"/>
  <c r="AH87" i="2" s="1"/>
  <c r="AG73" i="2"/>
  <c r="AG87" i="2" s="1"/>
  <c r="AF73" i="2"/>
  <c r="AF87" i="2" s="1"/>
  <c r="AE73" i="2"/>
  <c r="AE87" i="2" s="1"/>
  <c r="AD73" i="2"/>
  <c r="AD87" i="2" s="1"/>
  <c r="AC73" i="2"/>
  <c r="AC87" i="2" s="1"/>
  <c r="AB73" i="2"/>
  <c r="AB87" i="2" s="1"/>
  <c r="AA73" i="2"/>
  <c r="AA87" i="2" s="1"/>
  <c r="Z73" i="2"/>
  <c r="Z87" i="2" s="1"/>
  <c r="Y73" i="2"/>
  <c r="Y87" i="2" s="1"/>
  <c r="X73" i="2"/>
  <c r="X87" i="2" s="1"/>
  <c r="W73" i="2"/>
  <c r="W87" i="2" s="1"/>
  <c r="V73" i="2"/>
  <c r="V87" i="2" s="1"/>
  <c r="S73" i="2"/>
  <c r="S87" i="2" s="1"/>
  <c r="AT68" i="2"/>
  <c r="AS68" i="2"/>
  <c r="AR68" i="2"/>
  <c r="AQ68" i="2"/>
  <c r="BJ68" i="2" s="1"/>
  <c r="AP68" i="2"/>
  <c r="AO68" i="2"/>
  <c r="AN68" i="2"/>
  <c r="AM68" i="2"/>
  <c r="AL68" i="2"/>
  <c r="AK68" i="2"/>
  <c r="AJ68" i="2"/>
  <c r="AI68" i="2"/>
  <c r="BH68" i="2" s="1"/>
  <c r="AH68" i="2"/>
  <c r="AG68" i="2"/>
  <c r="AF68" i="2"/>
  <c r="AE68" i="2"/>
  <c r="AD68" i="2"/>
  <c r="AC68" i="2"/>
  <c r="AB68" i="2"/>
  <c r="AB69" i="2" s="1"/>
  <c r="AA68" i="2"/>
  <c r="BF68" i="2" s="1"/>
  <c r="Z68" i="2"/>
  <c r="Y68" i="2"/>
  <c r="X68" i="2"/>
  <c r="W68" i="2"/>
  <c r="V68" i="2"/>
  <c r="U68" i="2"/>
  <c r="T68" i="2"/>
  <c r="S68" i="2"/>
  <c r="BD68" i="2" s="1"/>
  <c r="R68" i="2"/>
  <c r="Q68" i="2"/>
  <c r="P68" i="2"/>
  <c r="O68" i="2"/>
  <c r="N68" i="2"/>
  <c r="M68" i="2"/>
  <c r="L68" i="2"/>
  <c r="K68" i="2"/>
  <c r="BB68" i="2" s="1"/>
  <c r="J68" i="2"/>
  <c r="I68" i="2"/>
  <c r="H68" i="2"/>
  <c r="G68" i="2"/>
  <c r="F68" i="2"/>
  <c r="E68" i="2"/>
  <c r="D68" i="2"/>
  <c r="AK66" i="2"/>
  <c r="AG66" i="2"/>
  <c r="AC66" i="2"/>
  <c r="AB66" i="2"/>
  <c r="AA65" i="2"/>
  <c r="Z65" i="2"/>
  <c r="Q65" i="2"/>
  <c r="I65" i="2"/>
  <c r="M64" i="2"/>
  <c r="L64" i="2"/>
  <c r="BH65" i="2"/>
  <c r="BG65" i="2"/>
  <c r="BF65" i="2"/>
  <c r="BE65" i="2"/>
  <c r="BD65" i="2"/>
  <c r="BC65" i="2"/>
  <c r="BB65" i="2"/>
  <c r="BA65" i="2"/>
  <c r="BH64" i="2"/>
  <c r="BG64" i="2"/>
  <c r="BF64" i="2"/>
  <c r="BE64" i="2"/>
  <c r="BD64" i="2"/>
  <c r="BC64" i="2"/>
  <c r="BB64" i="2"/>
  <c r="BA64" i="2"/>
  <c r="BH63" i="2"/>
  <c r="BG63" i="2"/>
  <c r="BF63" i="2"/>
  <c r="BE63" i="2"/>
  <c r="BD63" i="2"/>
  <c r="BC63" i="2"/>
  <c r="BB63" i="2"/>
  <c r="BA63" i="2"/>
  <c r="AO65" i="2"/>
  <c r="AP65" i="2" s="1"/>
  <c r="AQ65" i="2" s="1"/>
  <c r="AO63" i="2"/>
  <c r="AL65" i="2"/>
  <c r="AM65" i="2" s="1"/>
  <c r="BI65" i="2" s="1"/>
  <c r="AL63" i="2"/>
  <c r="AN61" i="2"/>
  <c r="AJ61" i="2"/>
  <c r="AI61" i="2"/>
  <c r="AH61" i="2"/>
  <c r="AF61" i="2"/>
  <c r="AE61" i="2"/>
  <c r="AD61" i="2"/>
  <c r="AA61" i="2"/>
  <c r="Z61" i="2"/>
  <c r="Y61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AR60" i="2"/>
  <c r="AS60" i="2" s="1"/>
  <c r="AT60" i="2" s="1"/>
  <c r="AQ60" i="2"/>
  <c r="AO60" i="2"/>
  <c r="AO59" i="2"/>
  <c r="AO58" i="2"/>
  <c r="AP58" i="2" s="1"/>
  <c r="AO57" i="2"/>
  <c r="AP59" i="2"/>
  <c r="AP57" i="2"/>
  <c r="AL60" i="2"/>
  <c r="AM60" i="2" s="1"/>
  <c r="BI60" i="2" s="1"/>
  <c r="AM59" i="2"/>
  <c r="AL59" i="2"/>
  <c r="AL58" i="2"/>
  <c r="AM58" i="2" s="1"/>
  <c r="BI58" i="2" s="1"/>
  <c r="AL57" i="2"/>
  <c r="BJ60" i="2"/>
  <c r="BH60" i="2"/>
  <c r="BG60" i="2"/>
  <c r="BF60" i="2"/>
  <c r="BE60" i="2"/>
  <c r="BD60" i="2"/>
  <c r="BC60" i="2"/>
  <c r="BB60" i="2"/>
  <c r="BA60" i="2"/>
  <c r="BJ59" i="2"/>
  <c r="BI59" i="2"/>
  <c r="BH59" i="2"/>
  <c r="BG59" i="2"/>
  <c r="BF59" i="2"/>
  <c r="BE59" i="2"/>
  <c r="BD59" i="2"/>
  <c r="BC59" i="2"/>
  <c r="BB59" i="2"/>
  <c r="BA59" i="2"/>
  <c r="BH58" i="2"/>
  <c r="BG58" i="2"/>
  <c r="BF58" i="2"/>
  <c r="BE58" i="2"/>
  <c r="BD58" i="2"/>
  <c r="BC58" i="2"/>
  <c r="BB58" i="2"/>
  <c r="BA58" i="2"/>
  <c r="BH57" i="2"/>
  <c r="BH61" i="2" s="1"/>
  <c r="BG57" i="2"/>
  <c r="BG61" i="2" s="1"/>
  <c r="BF57" i="2"/>
  <c r="BF61" i="2" s="1"/>
  <c r="BE57" i="2"/>
  <c r="BE61" i="2" s="1"/>
  <c r="BD57" i="2"/>
  <c r="BD61" i="2" s="1"/>
  <c r="BC57" i="2"/>
  <c r="BC61" i="2" s="1"/>
  <c r="BB57" i="2"/>
  <c r="BB61" i="2" s="1"/>
  <c r="BA57" i="2"/>
  <c r="BA61" i="2" s="1"/>
  <c r="AT59" i="2"/>
  <c r="AS59" i="2"/>
  <c r="AQ57" i="2"/>
  <c r="AT53" i="2"/>
  <c r="AQ53" i="2"/>
  <c r="AP53" i="2"/>
  <c r="AM53" i="2"/>
  <c r="AM50" i="2" s="1"/>
  <c r="AL53" i="2"/>
  <c r="AK50" i="2"/>
  <c r="AI50" i="2"/>
  <c r="AG50" i="2"/>
  <c r="AE50" i="2"/>
  <c r="AC50" i="2"/>
  <c r="AA50" i="2"/>
  <c r="Y50" i="2"/>
  <c r="W50" i="2"/>
  <c r="U50" i="2"/>
  <c r="S50" i="2"/>
  <c r="Q50" i="2"/>
  <c r="O50" i="2"/>
  <c r="M50" i="2"/>
  <c r="K50" i="2"/>
  <c r="I50" i="2"/>
  <c r="G50" i="2"/>
  <c r="E50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AW50" i="2"/>
  <c r="AX50" i="2" s="1"/>
  <c r="AY50" i="2" s="1"/>
  <c r="AP50" i="2"/>
  <c r="AL50" i="2"/>
  <c r="AH50" i="2"/>
  <c r="AF50" i="2"/>
  <c r="AD50" i="2"/>
  <c r="AB50" i="2"/>
  <c r="Z50" i="2"/>
  <c r="X50" i="2"/>
  <c r="V50" i="2"/>
  <c r="T50" i="2"/>
  <c r="R50" i="2"/>
  <c r="P50" i="2"/>
  <c r="N50" i="2"/>
  <c r="L50" i="2"/>
  <c r="J50" i="2"/>
  <c r="H50" i="2"/>
  <c r="F50" i="2"/>
  <c r="D50" i="2"/>
  <c r="AT49" i="2"/>
  <c r="AQ49" i="2"/>
  <c r="AQ48" i="2" s="1"/>
  <c r="AP49" i="2"/>
  <c r="AM49" i="2"/>
  <c r="AM48" i="2" s="1"/>
  <c r="AL49" i="2"/>
  <c r="AK49" i="2"/>
  <c r="AK48" i="2" s="1"/>
  <c r="AI49" i="2"/>
  <c r="AI48" i="2" s="1"/>
  <c r="AH49" i="2"/>
  <c r="AG49" i="2"/>
  <c r="AG48" i="2" s="1"/>
  <c r="AF49" i="2"/>
  <c r="AE49" i="2"/>
  <c r="AE48" i="2" s="1"/>
  <c r="AD49" i="2"/>
  <c r="AC49" i="2"/>
  <c r="AC48" i="2" s="1"/>
  <c r="AB49" i="2"/>
  <c r="AA49" i="2"/>
  <c r="AA48" i="2" s="1"/>
  <c r="Z49" i="2"/>
  <c r="Y49" i="2"/>
  <c r="Y48" i="2" s="1"/>
  <c r="X49" i="2"/>
  <c r="W49" i="2"/>
  <c r="W48" i="2" s="1"/>
  <c r="V49" i="2"/>
  <c r="U49" i="2"/>
  <c r="U48" i="2" s="1"/>
  <c r="T49" i="2"/>
  <c r="S49" i="2"/>
  <c r="S48" i="2" s="1"/>
  <c r="R49" i="2"/>
  <c r="Q49" i="2"/>
  <c r="Q48" i="2" s="1"/>
  <c r="P49" i="2"/>
  <c r="O49" i="2"/>
  <c r="O48" i="2" s="1"/>
  <c r="N49" i="2"/>
  <c r="M49" i="2"/>
  <c r="M48" i="2" s="1"/>
  <c r="L49" i="2"/>
  <c r="K49" i="2"/>
  <c r="K48" i="2" s="1"/>
  <c r="J49" i="2"/>
  <c r="I49" i="2"/>
  <c r="I48" i="2" s="1"/>
  <c r="H49" i="2"/>
  <c r="G49" i="2"/>
  <c r="G48" i="2" s="1"/>
  <c r="F49" i="2"/>
  <c r="E49" i="2"/>
  <c r="E48" i="2" s="1"/>
  <c r="D49" i="2"/>
  <c r="BN48" i="2"/>
  <c r="BM48" i="2"/>
  <c r="AW49" i="2"/>
  <c r="AX49" i="2" s="1"/>
  <c r="AV48" i="2"/>
  <c r="AT48" i="2"/>
  <c r="AP48" i="2"/>
  <c r="AL48" i="2"/>
  <c r="AH48" i="2"/>
  <c r="AF48" i="2"/>
  <c r="AD48" i="2"/>
  <c r="AB48" i="2"/>
  <c r="Z48" i="2"/>
  <c r="X48" i="2"/>
  <c r="V48" i="2"/>
  <c r="T48" i="2"/>
  <c r="R48" i="2"/>
  <c r="P48" i="2"/>
  <c r="N48" i="2"/>
  <c r="L48" i="2"/>
  <c r="J48" i="2"/>
  <c r="H48" i="2"/>
  <c r="F48" i="2"/>
  <c r="D48" i="2"/>
  <c r="AT47" i="2"/>
  <c r="AS47" i="2"/>
  <c r="AR47" i="2"/>
  <c r="AQ47" i="2"/>
  <c r="AP47" i="2"/>
  <c r="AO47" i="2"/>
  <c r="AN47" i="2"/>
  <c r="AK47" i="2"/>
  <c r="AJ47" i="2"/>
  <c r="AB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BJ39" i="2"/>
  <c r="BI39" i="2"/>
  <c r="BH39" i="2"/>
  <c r="BG39" i="2"/>
  <c r="BF39" i="2"/>
  <c r="BE39" i="2"/>
  <c r="BD39" i="2"/>
  <c r="BC39" i="2"/>
  <c r="BB39" i="2"/>
  <c r="BA39" i="2"/>
  <c r="AT36" i="2"/>
  <c r="AS36" i="2"/>
  <c r="AR36" i="2"/>
  <c r="AQ36" i="2"/>
  <c r="AP36" i="2"/>
  <c r="AO36" i="2"/>
  <c r="AN36" i="2"/>
  <c r="AM36" i="2"/>
  <c r="U36" i="2"/>
  <c r="T36" i="2"/>
  <c r="S36" i="2"/>
  <c r="R36" i="2"/>
  <c r="Q36" i="2"/>
  <c r="P36" i="2"/>
  <c r="O36" i="2"/>
  <c r="N36" i="2"/>
  <c r="M36" i="2"/>
  <c r="L36" i="2"/>
  <c r="BJ37" i="2"/>
  <c r="BI37" i="2"/>
  <c r="BH37" i="2"/>
  <c r="BG37" i="2"/>
  <c r="BF37" i="2"/>
  <c r="BE37" i="2"/>
  <c r="BD37" i="2"/>
  <c r="BC37" i="2"/>
  <c r="BB37" i="2"/>
  <c r="BA37" i="2"/>
  <c r="BJ36" i="2"/>
  <c r="BI36" i="2"/>
  <c r="BH36" i="2"/>
  <c r="BG36" i="2"/>
  <c r="BF36" i="2"/>
  <c r="BE36" i="2"/>
  <c r="BD36" i="2"/>
  <c r="BC36" i="2"/>
  <c r="BB36" i="2"/>
  <c r="BA36" i="2"/>
  <c r="BK35" i="2"/>
  <c r="BJ35" i="2"/>
  <c r="BI35" i="2"/>
  <c r="BH35" i="2"/>
  <c r="BG35" i="2"/>
  <c r="BF35" i="2"/>
  <c r="BE35" i="2"/>
  <c r="BD35" i="2"/>
  <c r="BC35" i="2"/>
  <c r="BB35" i="2"/>
  <c r="BA35" i="2"/>
  <c r="BJ34" i="2"/>
  <c r="BI34" i="2"/>
  <c r="BH34" i="2"/>
  <c r="BG34" i="2"/>
  <c r="BE34" i="2"/>
  <c r="BD34" i="2"/>
  <c r="BC34" i="2"/>
  <c r="BB34" i="2"/>
  <c r="BA34" i="2"/>
  <c r="AV37" i="2"/>
  <c r="AW37" i="2" s="1"/>
  <c r="AX37" i="2" s="1"/>
  <c r="AY37" i="2" s="1"/>
  <c r="BL37" i="2" s="1"/>
  <c r="BM37" i="2" s="1"/>
  <c r="BN37" i="2" s="1"/>
  <c r="BK37" i="2"/>
  <c r="BK36" i="2"/>
  <c r="AV35" i="2"/>
  <c r="AW35" i="2" s="1"/>
  <c r="AX35" i="2" s="1"/>
  <c r="AY35" i="2" s="1"/>
  <c r="BL35" i="2" s="1"/>
  <c r="BM35" i="2" s="1"/>
  <c r="BN35" i="2" s="1"/>
  <c r="AB34" i="2"/>
  <c r="AB95" i="2" s="1"/>
  <c r="AA34" i="2"/>
  <c r="AL32" i="2"/>
  <c r="AL41" i="2" s="1"/>
  <c r="AK32" i="2"/>
  <c r="AK41" i="2" s="1"/>
  <c r="AJ32" i="2"/>
  <c r="AJ41" i="2" s="1"/>
  <c r="AI32" i="2"/>
  <c r="AI41" i="2" s="1"/>
  <c r="AH32" i="2"/>
  <c r="AH41" i="2" s="1"/>
  <c r="AG32" i="2"/>
  <c r="AG41" i="2" s="1"/>
  <c r="AF32" i="2"/>
  <c r="AF41" i="2" s="1"/>
  <c r="AE32" i="2"/>
  <c r="AE41" i="2" s="1"/>
  <c r="AD32" i="2"/>
  <c r="AD41" i="2" s="1"/>
  <c r="AC32" i="2"/>
  <c r="AC41" i="2" s="1"/>
  <c r="AB32" i="2"/>
  <c r="AB41" i="2" s="1"/>
  <c r="AA32" i="2"/>
  <c r="AA41" i="2" s="1"/>
  <c r="Z32" i="2"/>
  <c r="Z41" i="2" s="1"/>
  <c r="Y32" i="2"/>
  <c r="Y41" i="2" s="1"/>
  <c r="X32" i="2"/>
  <c r="X41" i="2" s="1"/>
  <c r="W32" i="2"/>
  <c r="W41" i="2" s="1"/>
  <c r="V32" i="2"/>
  <c r="V41" i="2" s="1"/>
  <c r="K32" i="2"/>
  <c r="K41" i="2" s="1"/>
  <c r="J32" i="2"/>
  <c r="J41" i="2" s="1"/>
  <c r="I32" i="2"/>
  <c r="I41" i="2" s="1"/>
  <c r="H32" i="2"/>
  <c r="H41" i="2" s="1"/>
  <c r="G32" i="2"/>
  <c r="G41" i="2" s="1"/>
  <c r="F32" i="2"/>
  <c r="F41" i="2" s="1"/>
  <c r="E32" i="2"/>
  <c r="E41" i="2" s="1"/>
  <c r="D32" i="2"/>
  <c r="D41" i="2" s="1"/>
  <c r="S31" i="2"/>
  <c r="S32" i="2" s="1"/>
  <c r="S41" i="2" s="1"/>
  <c r="R31" i="2"/>
  <c r="R32" i="2" s="1"/>
  <c r="R41" i="2" s="1"/>
  <c r="Q31" i="2"/>
  <c r="Q32" i="2" s="1"/>
  <c r="Q41" i="2" s="1"/>
  <c r="P31" i="2"/>
  <c r="P32" i="2" s="1"/>
  <c r="P41" i="2" s="1"/>
  <c r="O31" i="2"/>
  <c r="O32" i="2" s="1"/>
  <c r="O41" i="2" s="1"/>
  <c r="N31" i="2"/>
  <c r="N32" i="2" s="1"/>
  <c r="N41" i="2" s="1"/>
  <c r="M31" i="2"/>
  <c r="M32" i="2" s="1"/>
  <c r="M41" i="2" s="1"/>
  <c r="L31" i="2"/>
  <c r="L32" i="2" s="1"/>
  <c r="L41" i="2" s="1"/>
  <c r="AP29" i="2"/>
  <c r="AP32" i="2" s="1"/>
  <c r="AP41" i="2" s="1"/>
  <c r="AO29" i="2"/>
  <c r="AO32" i="2" s="1"/>
  <c r="AO41" i="2" s="1"/>
  <c r="AN29" i="2"/>
  <c r="AN32" i="2" s="1"/>
  <c r="AN41" i="2" s="1"/>
  <c r="AM29" i="2"/>
  <c r="AM32" i="2" s="1"/>
  <c r="AM41" i="2" s="1"/>
  <c r="U29" i="2"/>
  <c r="U32" i="2" s="1"/>
  <c r="U41" i="2" s="1"/>
  <c r="T29" i="2"/>
  <c r="T32" i="2" s="1"/>
  <c r="T41" i="2" s="1"/>
  <c r="BJ31" i="2"/>
  <c r="BI31" i="2"/>
  <c r="BH31" i="2"/>
  <c r="BG31" i="2"/>
  <c r="BF31" i="2"/>
  <c r="BE31" i="2"/>
  <c r="BD31" i="2"/>
  <c r="BB31" i="2"/>
  <c r="BA31" i="2"/>
  <c r="BJ30" i="2"/>
  <c r="BI30" i="2"/>
  <c r="BH30" i="2"/>
  <c r="BG30" i="2"/>
  <c r="BF30" i="2"/>
  <c r="BE30" i="2"/>
  <c r="BD30" i="2"/>
  <c r="BC30" i="2"/>
  <c r="BB30" i="2"/>
  <c r="BA30" i="2"/>
  <c r="BJ29" i="2"/>
  <c r="BI29" i="2"/>
  <c r="BH29" i="2"/>
  <c r="BG29" i="2"/>
  <c r="BF29" i="2"/>
  <c r="BE29" i="2"/>
  <c r="BD29" i="2"/>
  <c r="BC29" i="2"/>
  <c r="BB29" i="2"/>
  <c r="BA29" i="2"/>
  <c r="BJ28" i="2"/>
  <c r="BI28" i="2"/>
  <c r="BH28" i="2"/>
  <c r="BG28" i="2"/>
  <c r="BF28" i="2"/>
  <c r="BE28" i="2"/>
  <c r="BD28" i="2"/>
  <c r="BC28" i="2"/>
  <c r="BB28" i="2"/>
  <c r="BA28" i="2"/>
  <c r="BI27" i="2"/>
  <c r="BI50" i="2" s="1"/>
  <c r="BH27" i="2"/>
  <c r="BG27" i="2"/>
  <c r="BG50" i="2" s="1"/>
  <c r="BF27" i="2"/>
  <c r="BE27" i="2"/>
  <c r="BE50" i="2" s="1"/>
  <c r="BD27" i="2"/>
  <c r="BC27" i="2"/>
  <c r="BC50" i="2" s="1"/>
  <c r="BB27" i="2"/>
  <c r="BA27" i="2"/>
  <c r="BA50" i="2" s="1"/>
  <c r="BK31" i="2"/>
  <c r="AV30" i="2"/>
  <c r="AW30" i="2" s="1"/>
  <c r="AU76" i="2"/>
  <c r="BK29" i="2"/>
  <c r="AV28" i="2"/>
  <c r="AW28" i="2" s="1"/>
  <c r="AX28" i="2" s="1"/>
  <c r="AY28" i="2" s="1"/>
  <c r="BL28" i="2" s="1"/>
  <c r="BM28" i="2" s="1"/>
  <c r="BN28" i="2" s="1"/>
  <c r="BK28" i="2"/>
  <c r="AT27" i="2"/>
  <c r="AT50" i="2" s="1"/>
  <c r="AS27" i="2"/>
  <c r="AR27" i="2"/>
  <c r="AQ27" i="2"/>
  <c r="AQ50" i="2" s="1"/>
  <c r="AL23" i="2"/>
  <c r="AK23" i="2"/>
  <c r="AJ23" i="2"/>
  <c r="AI23" i="2"/>
  <c r="AH23" i="2"/>
  <c r="AG23" i="2"/>
  <c r="AF23" i="2"/>
  <c r="AE23" i="2"/>
  <c r="BG23" i="2" s="1"/>
  <c r="AD23" i="2"/>
  <c r="AC23" i="2"/>
  <c r="AB23" i="2"/>
  <c r="AA23" i="2"/>
  <c r="Z23" i="2"/>
  <c r="Y23" i="2"/>
  <c r="X23" i="2"/>
  <c r="W23" i="2"/>
  <c r="BE23" i="2" s="1"/>
  <c r="V23" i="2"/>
  <c r="U23" i="2"/>
  <c r="T23" i="2"/>
  <c r="S23" i="2"/>
  <c r="R23" i="2"/>
  <c r="Q23" i="2"/>
  <c r="P23" i="2"/>
  <c r="O23" i="2"/>
  <c r="BC23" i="2" s="1"/>
  <c r="N23" i="2"/>
  <c r="M23" i="2"/>
  <c r="L23" i="2"/>
  <c r="K23" i="2"/>
  <c r="J23" i="2"/>
  <c r="I23" i="2"/>
  <c r="H23" i="2"/>
  <c r="G23" i="2"/>
  <c r="BA23" i="2" s="1"/>
  <c r="F23" i="2"/>
  <c r="E23" i="2"/>
  <c r="D23" i="2"/>
  <c r="BJ23" i="2"/>
  <c r="BI23" i="2"/>
  <c r="BH23" i="2"/>
  <c r="BF23" i="2"/>
  <c r="BD23" i="2"/>
  <c r="BB23" i="2"/>
  <c r="BJ22" i="2"/>
  <c r="BI22" i="2"/>
  <c r="BH22" i="2"/>
  <c r="BG22" i="2"/>
  <c r="BF22" i="2"/>
  <c r="BE22" i="2"/>
  <c r="BD22" i="2"/>
  <c r="BC22" i="2"/>
  <c r="BB22" i="2"/>
  <c r="BA22" i="2"/>
  <c r="BJ21" i="2"/>
  <c r="BI21" i="2"/>
  <c r="BH21" i="2"/>
  <c r="BG21" i="2"/>
  <c r="BF21" i="2"/>
  <c r="BE21" i="2"/>
  <c r="BD21" i="2"/>
  <c r="BC21" i="2"/>
  <c r="BB21" i="2"/>
  <c r="BA21" i="2"/>
  <c r="BJ20" i="2"/>
  <c r="BI20" i="2"/>
  <c r="BH20" i="2"/>
  <c r="BG20" i="2"/>
  <c r="BF20" i="2"/>
  <c r="BE20" i="2"/>
  <c r="BD20" i="2"/>
  <c r="BC20" i="2"/>
  <c r="BB20" i="2"/>
  <c r="BA20" i="2"/>
  <c r="BJ19" i="2"/>
  <c r="BI19" i="2"/>
  <c r="BH19" i="2"/>
  <c r="BG19" i="2"/>
  <c r="BF19" i="2"/>
  <c r="BE19" i="2"/>
  <c r="BD19" i="2"/>
  <c r="BC19" i="2"/>
  <c r="BB19" i="2"/>
  <c r="BA19" i="2"/>
  <c r="BK23" i="2"/>
  <c r="AV22" i="2"/>
  <c r="AW22" i="2" s="1"/>
  <c r="AX22" i="2" s="1"/>
  <c r="AY22" i="2" s="1"/>
  <c r="BL22" i="2" s="1"/>
  <c r="BM22" i="2" s="1"/>
  <c r="BN22" i="2" s="1"/>
  <c r="BK22" i="2"/>
  <c r="BK21" i="2"/>
  <c r="BK20" i="2"/>
  <c r="AT17" i="2"/>
  <c r="AS17" i="2"/>
  <c r="AR17" i="2"/>
  <c r="AQ17" i="2"/>
  <c r="AP17" i="2"/>
  <c r="AO17" i="2"/>
  <c r="AN17" i="2"/>
  <c r="W17" i="2"/>
  <c r="W92" i="2" s="1"/>
  <c r="V17" i="2"/>
  <c r="V92" i="2" s="1"/>
  <c r="N17" i="2"/>
  <c r="L17" i="2"/>
  <c r="K17" i="2"/>
  <c r="K92" i="2" s="1"/>
  <c r="J17" i="2"/>
  <c r="J92" i="2" s="1"/>
  <c r="I17" i="2"/>
  <c r="I92" i="2" s="1"/>
  <c r="H17" i="2"/>
  <c r="H92" i="2" s="1"/>
  <c r="G17" i="2"/>
  <c r="G92" i="2" s="1"/>
  <c r="F17" i="2"/>
  <c r="F92" i="2" s="1"/>
  <c r="E17" i="2"/>
  <c r="E92" i="2" s="1"/>
  <c r="D17" i="2"/>
  <c r="D92" i="2" s="1"/>
  <c r="AK16" i="2"/>
  <c r="AK17" i="2" s="1"/>
  <c r="AJ16" i="2"/>
  <c r="AJ17" i="2" s="1"/>
  <c r="AB16" i="2"/>
  <c r="AB17" i="2" s="1"/>
  <c r="U16" i="2"/>
  <c r="U17" i="2" s="1"/>
  <c r="T16" i="2"/>
  <c r="T17" i="2" s="1"/>
  <c r="S16" i="2"/>
  <c r="S17" i="2" s="1"/>
  <c r="R16" i="2"/>
  <c r="R17" i="2" s="1"/>
  <c r="Q16" i="2"/>
  <c r="Q17" i="2" s="1"/>
  <c r="P16" i="2"/>
  <c r="P17" i="2" s="1"/>
  <c r="O16" i="2"/>
  <c r="O17" i="2" s="1"/>
  <c r="N16" i="2"/>
  <c r="M16" i="2"/>
  <c r="M17" i="2" s="1"/>
  <c r="L16" i="2"/>
  <c r="AM12" i="2"/>
  <c r="AM47" i="2" s="1"/>
  <c r="AL12" i="2"/>
  <c r="AL47" i="2" s="1"/>
  <c r="AI12" i="2"/>
  <c r="AI47" i="2" s="1"/>
  <c r="AH12" i="2"/>
  <c r="AH47" i="2" s="1"/>
  <c r="AG12" i="2"/>
  <c r="AG47" i="2" s="1"/>
  <c r="AF12" i="2"/>
  <c r="AF47" i="2" s="1"/>
  <c r="AE12" i="2"/>
  <c r="AE47" i="2" s="1"/>
  <c r="AD12" i="2"/>
  <c r="AD47" i="2" s="1"/>
  <c r="AC12" i="2"/>
  <c r="AC47" i="2" s="1"/>
  <c r="AA12" i="2"/>
  <c r="AA47" i="2" s="1"/>
  <c r="Z12" i="2"/>
  <c r="Z47" i="2" s="1"/>
  <c r="Y12" i="2"/>
  <c r="Y47" i="2" s="1"/>
  <c r="X12" i="2"/>
  <c r="X47" i="2" s="1"/>
  <c r="BJ16" i="2"/>
  <c r="BI16" i="2"/>
  <c r="BH16" i="2"/>
  <c r="BG16" i="2"/>
  <c r="BF16" i="2"/>
  <c r="BE16" i="2"/>
  <c r="BD16" i="2"/>
  <c r="BC16" i="2"/>
  <c r="BB16" i="2"/>
  <c r="BA16" i="2"/>
  <c r="BJ15" i="2"/>
  <c r="BI15" i="2"/>
  <c r="BI49" i="2" s="1"/>
  <c r="BI48" i="2" s="1"/>
  <c r="BH15" i="2"/>
  <c r="BH49" i="2" s="1"/>
  <c r="BH48" i="2" s="1"/>
  <c r="BG15" i="2"/>
  <c r="BG49" i="2" s="1"/>
  <c r="BG48" i="2" s="1"/>
  <c r="BF15" i="2"/>
  <c r="BF49" i="2" s="1"/>
  <c r="BF48" i="2" s="1"/>
  <c r="BE15" i="2"/>
  <c r="BE49" i="2" s="1"/>
  <c r="BE48" i="2" s="1"/>
  <c r="BD15" i="2"/>
  <c r="BD49" i="2" s="1"/>
  <c r="BD48" i="2" s="1"/>
  <c r="BC15" i="2"/>
  <c r="BC49" i="2" s="1"/>
  <c r="BC48" i="2" s="1"/>
  <c r="BB15" i="2"/>
  <c r="BB49" i="2" s="1"/>
  <c r="BB48" i="2" s="1"/>
  <c r="BA15" i="2"/>
  <c r="BA49" i="2" s="1"/>
  <c r="BA48" i="2" s="1"/>
  <c r="BJ14" i="2"/>
  <c r="BI14" i="2"/>
  <c r="BH14" i="2"/>
  <c r="BG14" i="2"/>
  <c r="BF14" i="2"/>
  <c r="BE14" i="2"/>
  <c r="BD14" i="2"/>
  <c r="BC14" i="2"/>
  <c r="BB14" i="2"/>
  <c r="BA14" i="2"/>
  <c r="BJ13" i="2"/>
  <c r="BI13" i="2"/>
  <c r="BH13" i="2"/>
  <c r="BG13" i="2"/>
  <c r="BF13" i="2"/>
  <c r="BE13" i="2"/>
  <c r="BD13" i="2"/>
  <c r="BC13" i="2"/>
  <c r="BB13" i="2"/>
  <c r="BA13" i="2"/>
  <c r="BJ12" i="2"/>
  <c r="BI12" i="2"/>
  <c r="BH12" i="2"/>
  <c r="BH47" i="2" s="1"/>
  <c r="BG12" i="2"/>
  <c r="BF12" i="2"/>
  <c r="BF47" i="2" s="1"/>
  <c r="BE12" i="2"/>
  <c r="BD12" i="2"/>
  <c r="BD47" i="2" s="1"/>
  <c r="BC12" i="2"/>
  <c r="BB12" i="2"/>
  <c r="BB47" i="2" s="1"/>
  <c r="BA12" i="2"/>
  <c r="BJ11" i="2"/>
  <c r="BI11" i="2"/>
  <c r="BH11" i="2"/>
  <c r="BG11" i="2"/>
  <c r="BF11" i="2"/>
  <c r="BE11" i="2"/>
  <c r="BE90" i="2" s="1"/>
  <c r="BE91" i="2" s="1"/>
  <c r="BD11" i="2"/>
  <c r="BD90" i="2" s="1"/>
  <c r="BD91" i="2" s="1"/>
  <c r="BC11" i="2"/>
  <c r="BC90" i="2" s="1"/>
  <c r="BC91" i="2" s="1"/>
  <c r="BB11" i="2"/>
  <c r="BB90" i="2" s="1"/>
  <c r="BB91" i="2" s="1"/>
  <c r="BA11" i="2"/>
  <c r="BA90" i="2" s="1"/>
  <c r="BA91" i="2" s="1"/>
  <c r="AV16" i="2"/>
  <c r="AW16" i="2" s="1"/>
  <c r="AX16" i="2" s="1"/>
  <c r="AY16" i="2" s="1"/>
  <c r="BL16" i="2" s="1"/>
  <c r="BM16" i="2" s="1"/>
  <c r="BN16" i="2" s="1"/>
  <c r="BK16" i="2"/>
  <c r="AV14" i="2"/>
  <c r="AW14" i="2" s="1"/>
  <c r="AX14" i="2" s="1"/>
  <c r="AY14" i="2" s="1"/>
  <c r="BL14" i="2" s="1"/>
  <c r="BM14" i="2" s="1"/>
  <c r="BN14" i="2" s="1"/>
  <c r="BK14" i="2"/>
  <c r="BK13" i="2"/>
  <c r="BN9" i="2"/>
  <c r="BN46" i="2" s="1"/>
  <c r="BN56" i="2" s="1"/>
  <c r="BN72" i="2" s="1"/>
  <c r="BN94" i="2" s="1"/>
  <c r="BM9" i="2"/>
  <c r="BL9" i="2"/>
  <c r="BK9" i="2"/>
  <c r="BJ9" i="2"/>
  <c r="BI9" i="2"/>
  <c r="BH9" i="2"/>
  <c r="BG9" i="2"/>
  <c r="BF9" i="2"/>
  <c r="BE9" i="2"/>
  <c r="BD46" i="2"/>
  <c r="BD56" i="2" s="1"/>
  <c r="BD72" i="2" s="1"/>
  <c r="BD94" i="2" s="1"/>
  <c r="BC46" i="2"/>
  <c r="BC56" i="2" s="1"/>
  <c r="BC72" i="2" s="1"/>
  <c r="BC94" i="2" s="1"/>
  <c r="BB46" i="2"/>
  <c r="BB56" i="2" s="1"/>
  <c r="BB72" i="2" s="1"/>
  <c r="BB94" i="2" s="1"/>
  <c r="BA46" i="2"/>
  <c r="BA56" i="2" s="1"/>
  <c r="BA72" i="2" s="1"/>
  <c r="BA94" i="2" s="1"/>
  <c r="AY46" i="2"/>
  <c r="AY56" i="2" s="1"/>
  <c r="AY72" i="2" s="1"/>
  <c r="AY94" i="2" s="1"/>
  <c r="AX46" i="2"/>
  <c r="AX56" i="2" s="1"/>
  <c r="AX72" i="2" s="1"/>
  <c r="AX94" i="2" s="1"/>
  <c r="AW46" i="2"/>
  <c r="AW56" i="2" s="1"/>
  <c r="AW72" i="2" s="1"/>
  <c r="AW94" i="2" s="1"/>
  <c r="AV46" i="2"/>
  <c r="AV56" i="2" s="1"/>
  <c r="AV72" i="2" s="1"/>
  <c r="AV94" i="2" s="1"/>
  <c r="AU9" i="2"/>
  <c r="AU46" i="2" s="1"/>
  <c r="AU56" i="2" s="1"/>
  <c r="AU72" i="2" s="1"/>
  <c r="AU94" i="2" s="1"/>
  <c r="AT9" i="2"/>
  <c r="AT46" i="2" s="1"/>
  <c r="AT56" i="2" s="1"/>
  <c r="AT72" i="2" s="1"/>
  <c r="AT94" i="2" s="1"/>
  <c r="AS9" i="2"/>
  <c r="AS46" i="2" s="1"/>
  <c r="AS56" i="2" s="1"/>
  <c r="AS72" i="2" s="1"/>
  <c r="AS94" i="2" s="1"/>
  <c r="AR9" i="2"/>
  <c r="AR46" i="2" s="1"/>
  <c r="AR56" i="2" s="1"/>
  <c r="AR72" i="2" s="1"/>
  <c r="AR94" i="2" s="1"/>
  <c r="AQ9" i="2"/>
  <c r="AQ46" i="2" s="1"/>
  <c r="AQ56" i="2" s="1"/>
  <c r="AQ72" i="2" s="1"/>
  <c r="AQ94" i="2" s="1"/>
  <c r="AP9" i="2"/>
  <c r="AP46" i="2" s="1"/>
  <c r="AP56" i="2" s="1"/>
  <c r="AP72" i="2" s="1"/>
  <c r="AP94" i="2" s="1"/>
  <c r="AO9" i="2"/>
  <c r="AO46" i="2" s="1"/>
  <c r="AO56" i="2" s="1"/>
  <c r="AO72" i="2" s="1"/>
  <c r="AO94" i="2" s="1"/>
  <c r="AN9" i="2"/>
  <c r="AN46" i="2" s="1"/>
  <c r="AN56" i="2" s="1"/>
  <c r="AN72" i="2" s="1"/>
  <c r="AN94" i="2" s="1"/>
  <c r="AM9" i="2"/>
  <c r="AM46" i="2" s="1"/>
  <c r="AM56" i="2" s="1"/>
  <c r="AM72" i="2" s="1"/>
  <c r="AM94" i="2" s="1"/>
  <c r="AL9" i="2"/>
  <c r="AL46" i="2" s="1"/>
  <c r="AL56" i="2" s="1"/>
  <c r="AL72" i="2" s="1"/>
  <c r="AL94" i="2" s="1"/>
  <c r="AK9" i="2"/>
  <c r="AJ9" i="2"/>
  <c r="AI46" i="2"/>
  <c r="AI56" i="2" s="1"/>
  <c r="AI72" i="2" s="1"/>
  <c r="AI94" i="2" s="1"/>
  <c r="AH46" i="2"/>
  <c r="AH56" i="2" s="1"/>
  <c r="AH72" i="2" s="1"/>
  <c r="AH94" i="2" s="1"/>
  <c r="AG46" i="2"/>
  <c r="AG56" i="2" s="1"/>
  <c r="AG72" i="2" s="1"/>
  <c r="AG94" i="2" s="1"/>
  <c r="AF46" i="2"/>
  <c r="AF56" i="2" s="1"/>
  <c r="AF72" i="2" s="1"/>
  <c r="AF94" i="2" s="1"/>
  <c r="AE46" i="2"/>
  <c r="AE56" i="2" s="1"/>
  <c r="AE72" i="2" s="1"/>
  <c r="AE94" i="2" s="1"/>
  <c r="AD46" i="2"/>
  <c r="AD56" i="2" s="1"/>
  <c r="AD72" i="2" s="1"/>
  <c r="AD94" i="2" s="1"/>
  <c r="AC46" i="2"/>
  <c r="AC56" i="2" s="1"/>
  <c r="AC72" i="2" s="1"/>
  <c r="AC94" i="2" s="1"/>
  <c r="AB46" i="2"/>
  <c r="AB56" i="2" s="1"/>
  <c r="AB72" i="2" s="1"/>
  <c r="AB94" i="2" s="1"/>
  <c r="AA46" i="2"/>
  <c r="AA56" i="2" s="1"/>
  <c r="AA72" i="2" s="1"/>
  <c r="AA94" i="2" s="1"/>
  <c r="Z46" i="2"/>
  <c r="Z56" i="2" s="1"/>
  <c r="Z72" i="2" s="1"/>
  <c r="Z94" i="2" s="1"/>
  <c r="Y46" i="2"/>
  <c r="Y56" i="2" s="1"/>
  <c r="Y72" i="2" s="1"/>
  <c r="Y94" i="2" s="1"/>
  <c r="X46" i="2"/>
  <c r="X56" i="2" s="1"/>
  <c r="X72" i="2" s="1"/>
  <c r="X94" i="2" s="1"/>
  <c r="W46" i="2"/>
  <c r="W56" i="2" s="1"/>
  <c r="W72" i="2" s="1"/>
  <c r="W94" i="2" s="1"/>
  <c r="V46" i="2"/>
  <c r="V56" i="2" s="1"/>
  <c r="V72" i="2" s="1"/>
  <c r="V94" i="2" s="1"/>
  <c r="U46" i="2"/>
  <c r="U56" i="2" s="1"/>
  <c r="U72" i="2" s="1"/>
  <c r="U94" i="2" s="1"/>
  <c r="T46" i="2"/>
  <c r="T56" i="2" s="1"/>
  <c r="T72" i="2" s="1"/>
  <c r="T94" i="2" s="1"/>
  <c r="S46" i="2"/>
  <c r="S56" i="2" s="1"/>
  <c r="S72" i="2" s="1"/>
  <c r="S94" i="2" s="1"/>
  <c r="R46" i="2"/>
  <c r="R56" i="2" s="1"/>
  <c r="R72" i="2" s="1"/>
  <c r="R94" i="2" s="1"/>
  <c r="Q46" i="2"/>
  <c r="Q56" i="2" s="1"/>
  <c r="Q72" i="2" s="1"/>
  <c r="Q94" i="2" s="1"/>
  <c r="P46" i="2"/>
  <c r="P56" i="2" s="1"/>
  <c r="P72" i="2" s="1"/>
  <c r="P94" i="2" s="1"/>
  <c r="O46" i="2"/>
  <c r="O56" i="2" s="1"/>
  <c r="O72" i="2" s="1"/>
  <c r="O94" i="2" s="1"/>
  <c r="N46" i="2"/>
  <c r="N56" i="2" s="1"/>
  <c r="N72" i="2" s="1"/>
  <c r="N94" i="2" s="1"/>
  <c r="M46" i="2"/>
  <c r="M56" i="2" s="1"/>
  <c r="M72" i="2" s="1"/>
  <c r="M94" i="2" s="1"/>
  <c r="L46" i="2"/>
  <c r="L56" i="2" s="1"/>
  <c r="L72" i="2" s="1"/>
  <c r="L94" i="2" s="1"/>
  <c r="K46" i="2"/>
  <c r="K56" i="2" s="1"/>
  <c r="K72" i="2" s="1"/>
  <c r="K94" i="2" s="1"/>
  <c r="J46" i="2"/>
  <c r="J56" i="2" s="1"/>
  <c r="J72" i="2" s="1"/>
  <c r="J94" i="2" s="1"/>
  <c r="I46" i="2"/>
  <c r="I56" i="2" s="1"/>
  <c r="I72" i="2" s="1"/>
  <c r="I94" i="2" s="1"/>
  <c r="H46" i="2"/>
  <c r="H56" i="2" s="1"/>
  <c r="H72" i="2" s="1"/>
  <c r="H94" i="2" s="1"/>
  <c r="G46" i="2"/>
  <c r="G56" i="2" s="1"/>
  <c r="G72" i="2" s="1"/>
  <c r="G94" i="2" s="1"/>
  <c r="F46" i="2"/>
  <c r="F56" i="2" s="1"/>
  <c r="F72" i="2" s="1"/>
  <c r="F94" i="2" s="1"/>
  <c r="E46" i="2"/>
  <c r="E56" i="2" s="1"/>
  <c r="E72" i="2" s="1"/>
  <c r="E94" i="2" s="1"/>
  <c r="D46" i="2"/>
  <c r="D56" i="2" s="1"/>
  <c r="D72" i="2" s="1"/>
  <c r="D94" i="2" s="1"/>
  <c r="BJ146" i="71"/>
  <c r="BI146" i="71"/>
  <c r="BH146" i="71"/>
  <c r="BG146" i="71"/>
  <c r="BF146" i="71"/>
  <c r="BE146" i="71"/>
  <c r="BD146" i="71"/>
  <c r="BC146" i="71"/>
  <c r="BB146" i="71"/>
  <c r="BA146" i="71"/>
  <c r="BN144" i="71"/>
  <c r="BM144" i="71"/>
  <c r="BI144" i="71"/>
  <c r="BH144" i="71"/>
  <c r="BG144" i="71"/>
  <c r="BF144" i="71"/>
  <c r="BE144" i="71"/>
  <c r="BD144" i="71"/>
  <c r="BC144" i="71"/>
  <c r="BB144" i="71"/>
  <c r="BA144" i="71"/>
  <c r="AT144" i="71"/>
  <c r="AS144" i="71"/>
  <c r="AR144" i="71"/>
  <c r="AQ144" i="71"/>
  <c r="AP144" i="71"/>
  <c r="AO144" i="71"/>
  <c r="AN144" i="71"/>
  <c r="BJ144" i="71" s="1"/>
  <c r="AO142" i="71"/>
  <c r="AN142" i="71"/>
  <c r="BJ142" i="71" s="1"/>
  <c r="BI142" i="71"/>
  <c r="BH142" i="71"/>
  <c r="BG142" i="71"/>
  <c r="BF142" i="71"/>
  <c r="BE142" i="71"/>
  <c r="BD142" i="71"/>
  <c r="BC142" i="71"/>
  <c r="BB142" i="71"/>
  <c r="BA142" i="71"/>
  <c r="BN141" i="71"/>
  <c r="BM141" i="71"/>
  <c r="BL141" i="71"/>
  <c r="BK141" i="71"/>
  <c r="BJ141" i="71"/>
  <c r="BI141" i="71"/>
  <c r="BH141" i="71"/>
  <c r="BG141" i="71"/>
  <c r="BF141" i="71"/>
  <c r="BE141" i="71"/>
  <c r="BD141" i="71"/>
  <c r="BC141" i="71"/>
  <c r="BB141" i="71"/>
  <c r="BA141" i="71"/>
  <c r="AU142" i="71"/>
  <c r="AV142" i="71" s="1"/>
  <c r="AT142" i="71"/>
  <c r="AS142" i="71"/>
  <c r="AR142" i="71"/>
  <c r="AY141" i="71"/>
  <c r="AX141" i="71"/>
  <c r="AW141" i="71"/>
  <c r="AV141" i="71"/>
  <c r="AU141" i="71"/>
  <c r="AT141" i="71"/>
  <c r="AS141" i="71"/>
  <c r="AR141" i="71"/>
  <c r="AI141" i="71"/>
  <c r="AH141" i="71"/>
  <c r="AG141" i="71"/>
  <c r="AF141" i="71"/>
  <c r="AE141" i="71"/>
  <c r="AD141" i="71"/>
  <c r="AC141" i="71"/>
  <c r="AB141" i="71"/>
  <c r="AA141" i="71"/>
  <c r="Z141" i="71"/>
  <c r="Y141" i="71"/>
  <c r="X141" i="71"/>
  <c r="W141" i="71"/>
  <c r="V141" i="71"/>
  <c r="U141" i="71"/>
  <c r="T141" i="71"/>
  <c r="S141" i="71"/>
  <c r="R141" i="71"/>
  <c r="Q141" i="71"/>
  <c r="P141" i="71"/>
  <c r="O141" i="71"/>
  <c r="N141" i="71"/>
  <c r="M141" i="71"/>
  <c r="L141" i="71"/>
  <c r="K141" i="71"/>
  <c r="J141" i="71"/>
  <c r="I141" i="71"/>
  <c r="H141" i="71"/>
  <c r="G141" i="71"/>
  <c r="F141" i="71"/>
  <c r="E141" i="71"/>
  <c r="D141" i="71"/>
  <c r="AN138" i="71"/>
  <c r="BJ138" i="71" s="1"/>
  <c r="AK138" i="71"/>
  <c r="AJ138" i="71"/>
  <c r="AF138" i="71"/>
  <c r="BH138" i="71" s="1"/>
  <c r="BI138" i="71"/>
  <c r="BG138" i="71"/>
  <c r="BF138" i="71"/>
  <c r="BE138" i="71"/>
  <c r="BD138" i="71"/>
  <c r="BC138" i="71"/>
  <c r="BB138" i="71"/>
  <c r="BA138" i="71"/>
  <c r="BA137" i="71"/>
  <c r="BA139" i="71" s="1"/>
  <c r="BN135" i="71"/>
  <c r="BM135" i="71"/>
  <c r="BL135" i="71"/>
  <c r="BK135" i="71"/>
  <c r="BJ135" i="71"/>
  <c r="BI135" i="71"/>
  <c r="BH135" i="71"/>
  <c r="BG135" i="71"/>
  <c r="BF135" i="71"/>
  <c r="BE135" i="71"/>
  <c r="BD135" i="71"/>
  <c r="BC135" i="71"/>
  <c r="BB135" i="71"/>
  <c r="BA135" i="71"/>
  <c r="AY135" i="71"/>
  <c r="AX135" i="71"/>
  <c r="AW135" i="71"/>
  <c r="AV135" i="71"/>
  <c r="AU135" i="71"/>
  <c r="AT135" i="71"/>
  <c r="AS135" i="71"/>
  <c r="AR135" i="71"/>
  <c r="AQ135" i="71"/>
  <c r="AP135" i="71"/>
  <c r="AO135" i="71"/>
  <c r="AN135" i="71"/>
  <c r="AM135" i="71"/>
  <c r="AL135" i="71"/>
  <c r="AK135" i="71"/>
  <c r="AJ135" i="71"/>
  <c r="AI135" i="71"/>
  <c r="AH135" i="71"/>
  <c r="AG135" i="71"/>
  <c r="AF135" i="71"/>
  <c r="AE135" i="71"/>
  <c r="AD135" i="71"/>
  <c r="AC135" i="71"/>
  <c r="AB135" i="71"/>
  <c r="AA135" i="71"/>
  <c r="Z135" i="71"/>
  <c r="Y135" i="71"/>
  <c r="X135" i="71"/>
  <c r="W135" i="71"/>
  <c r="V135" i="71"/>
  <c r="U135" i="71"/>
  <c r="T135" i="71"/>
  <c r="S135" i="71"/>
  <c r="R135" i="71"/>
  <c r="Q135" i="71"/>
  <c r="P135" i="71"/>
  <c r="O135" i="71"/>
  <c r="N135" i="71"/>
  <c r="M135" i="71"/>
  <c r="L135" i="71"/>
  <c r="K135" i="71"/>
  <c r="J135" i="71"/>
  <c r="I135" i="71"/>
  <c r="H135" i="71"/>
  <c r="G135" i="71"/>
  <c r="F135" i="71"/>
  <c r="E135" i="71"/>
  <c r="D135" i="71"/>
  <c r="Z129" i="71"/>
  <c r="BJ128" i="71"/>
  <c r="BI128" i="71"/>
  <c r="BH128" i="71"/>
  <c r="BG128" i="71"/>
  <c r="BF128" i="71"/>
  <c r="BE128" i="71"/>
  <c r="BD128" i="71"/>
  <c r="BC128" i="71"/>
  <c r="BB128" i="71"/>
  <c r="BA128" i="71"/>
  <c r="AT126" i="71"/>
  <c r="AS126" i="71"/>
  <c r="AR126" i="71"/>
  <c r="AQ126" i="71"/>
  <c r="BJ126" i="71" s="1"/>
  <c r="AP126" i="71"/>
  <c r="AO126" i="71"/>
  <c r="AN126" i="71"/>
  <c r="AM126" i="71"/>
  <c r="BI126" i="71" s="1"/>
  <c r="AK126" i="71"/>
  <c r="AJ126" i="71"/>
  <c r="AI126" i="71"/>
  <c r="BH126" i="71" s="1"/>
  <c r="AH126" i="71"/>
  <c r="AG126" i="71"/>
  <c r="AF126" i="71"/>
  <c r="AE126" i="71"/>
  <c r="BG126" i="71" s="1"/>
  <c r="AD126" i="71"/>
  <c r="AC126" i="71"/>
  <c r="AB126" i="71"/>
  <c r="AA126" i="71"/>
  <c r="BF126" i="71" s="1"/>
  <c r="Z126" i="71"/>
  <c r="Y126" i="71"/>
  <c r="X126" i="71"/>
  <c r="W126" i="71"/>
  <c r="BE126" i="71" s="1"/>
  <c r="V126" i="71"/>
  <c r="U126" i="71"/>
  <c r="T126" i="71"/>
  <c r="S126" i="71"/>
  <c r="BD126" i="71" s="1"/>
  <c r="R126" i="71"/>
  <c r="Q126" i="71"/>
  <c r="P126" i="71"/>
  <c r="O126" i="71"/>
  <c r="BC126" i="71" s="1"/>
  <c r="N126" i="71"/>
  <c r="M126" i="71"/>
  <c r="L126" i="71"/>
  <c r="K126" i="71"/>
  <c r="BB126" i="71" s="1"/>
  <c r="J126" i="71"/>
  <c r="I126" i="71"/>
  <c r="H126" i="71"/>
  <c r="G126" i="71"/>
  <c r="BA126" i="71" s="1"/>
  <c r="F126" i="71"/>
  <c r="E126" i="71"/>
  <c r="D126" i="71"/>
  <c r="AT124" i="71"/>
  <c r="AS124" i="71"/>
  <c r="AR124" i="71"/>
  <c r="AQ124" i="71"/>
  <c r="AP124" i="71"/>
  <c r="AO124" i="71"/>
  <c r="AN124" i="71"/>
  <c r="AM124" i="71"/>
  <c r="AK124" i="71"/>
  <c r="AJ124" i="71"/>
  <c r="AI124" i="71"/>
  <c r="AH124" i="71"/>
  <c r="AG124" i="71"/>
  <c r="AF124" i="71"/>
  <c r="AE124" i="71"/>
  <c r="AD124" i="71"/>
  <c r="AC124" i="71"/>
  <c r="AB124" i="71"/>
  <c r="AA124" i="71"/>
  <c r="Z124" i="71"/>
  <c r="Y124" i="71"/>
  <c r="X124" i="71"/>
  <c r="W124" i="71"/>
  <c r="V124" i="71"/>
  <c r="U124" i="71"/>
  <c r="T124" i="71"/>
  <c r="S124" i="71"/>
  <c r="R124" i="71"/>
  <c r="Q124" i="71"/>
  <c r="P124" i="71"/>
  <c r="O124" i="71"/>
  <c r="N124" i="71"/>
  <c r="M124" i="71"/>
  <c r="L124" i="71"/>
  <c r="K124" i="71"/>
  <c r="J124" i="71"/>
  <c r="I124" i="71"/>
  <c r="H124" i="71"/>
  <c r="G124" i="71"/>
  <c r="F124" i="71"/>
  <c r="E124" i="71"/>
  <c r="D124" i="71"/>
  <c r="AT123" i="71"/>
  <c r="AT73" i="2" s="1"/>
  <c r="AT87" i="2" s="1"/>
  <c r="AL126" i="71"/>
  <c r="U123" i="71"/>
  <c r="U73" i="2" s="1"/>
  <c r="U87" i="2" s="1"/>
  <c r="T123" i="71"/>
  <c r="T73" i="2" s="1"/>
  <c r="T87" i="2" s="1"/>
  <c r="R123" i="71"/>
  <c r="R73" i="2" s="1"/>
  <c r="R87" i="2" s="1"/>
  <c r="Q123" i="71"/>
  <c r="Q73" i="2" s="1"/>
  <c r="Q87" i="2" s="1"/>
  <c r="P123" i="71"/>
  <c r="O123" i="71"/>
  <c r="O73" i="2" s="1"/>
  <c r="O87" i="2" s="1"/>
  <c r="N123" i="71"/>
  <c r="N73" i="2" s="1"/>
  <c r="N87" i="2" s="1"/>
  <c r="M123" i="71"/>
  <c r="M73" i="2" s="1"/>
  <c r="M87" i="2" s="1"/>
  <c r="L123" i="71"/>
  <c r="L73" i="2" s="1"/>
  <c r="L87" i="2" s="1"/>
  <c r="K123" i="71"/>
  <c r="K73" i="2" s="1"/>
  <c r="K87" i="2" s="1"/>
  <c r="J123" i="71"/>
  <c r="J73" i="2" s="1"/>
  <c r="J87" i="2" s="1"/>
  <c r="I123" i="71"/>
  <c r="I73" i="2" s="1"/>
  <c r="I87" i="2" s="1"/>
  <c r="H123" i="71"/>
  <c r="G123" i="71"/>
  <c r="G73" i="2" s="1"/>
  <c r="G87" i="2" s="1"/>
  <c r="F123" i="71"/>
  <c r="F73" i="2" s="1"/>
  <c r="F87" i="2" s="1"/>
  <c r="E123" i="71"/>
  <c r="E73" i="2" s="1"/>
  <c r="E87" i="2" s="1"/>
  <c r="D123" i="71"/>
  <c r="D73" i="2" s="1"/>
  <c r="D87" i="2" s="1"/>
  <c r="BJ123" i="71"/>
  <c r="BI123" i="71"/>
  <c r="BH123" i="71"/>
  <c r="BG123" i="71"/>
  <c r="BF123" i="71"/>
  <c r="BE123" i="71"/>
  <c r="BC123" i="71"/>
  <c r="BA123" i="71"/>
  <c r="BA113" i="71" s="1"/>
  <c r="BJ122" i="71"/>
  <c r="BI122" i="71"/>
  <c r="BH122" i="71"/>
  <c r="BG122" i="71"/>
  <c r="BF122" i="71"/>
  <c r="BE122" i="71"/>
  <c r="BD122" i="71"/>
  <c r="BC122" i="71"/>
  <c r="BB122" i="71"/>
  <c r="BA122" i="71"/>
  <c r="AT120" i="71"/>
  <c r="AS120" i="71"/>
  <c r="AR120" i="71"/>
  <c r="AQ120" i="71"/>
  <c r="AO120" i="71"/>
  <c r="AN120" i="71"/>
  <c r="AM120" i="71"/>
  <c r="AK120" i="71"/>
  <c r="AJ120" i="71"/>
  <c r="AI120" i="71"/>
  <c r="AH120" i="71"/>
  <c r="AG120" i="71"/>
  <c r="AF120" i="71"/>
  <c r="AE120" i="71"/>
  <c r="AD120" i="71"/>
  <c r="AC120" i="71"/>
  <c r="AB120" i="71"/>
  <c r="AA120" i="71"/>
  <c r="Z120" i="71"/>
  <c r="Y120" i="71"/>
  <c r="X120" i="71"/>
  <c r="W120" i="71"/>
  <c r="V120" i="71"/>
  <c r="U120" i="71"/>
  <c r="T120" i="71"/>
  <c r="S120" i="71"/>
  <c r="R120" i="71"/>
  <c r="Q120" i="71"/>
  <c r="P120" i="71"/>
  <c r="BD120" i="71" s="1"/>
  <c r="O120" i="71"/>
  <c r="N120" i="71"/>
  <c r="M120" i="71"/>
  <c r="L120" i="71"/>
  <c r="K120" i="71"/>
  <c r="J120" i="71"/>
  <c r="I120" i="71"/>
  <c r="H120" i="71"/>
  <c r="G120" i="71"/>
  <c r="F120" i="71"/>
  <c r="E120" i="71"/>
  <c r="D120" i="71"/>
  <c r="BI119" i="71"/>
  <c r="AL118" i="71"/>
  <c r="BH120" i="71"/>
  <c r="BF120" i="71"/>
  <c r="BB120" i="71"/>
  <c r="BJ119" i="71"/>
  <c r="BH119" i="71"/>
  <c r="BG119" i="71"/>
  <c r="BF119" i="71"/>
  <c r="BE119" i="71"/>
  <c r="BD119" i="71"/>
  <c r="BC119" i="71"/>
  <c r="BB119" i="71"/>
  <c r="BA119" i="71"/>
  <c r="BN118" i="71"/>
  <c r="BM118" i="71"/>
  <c r="BL118" i="71"/>
  <c r="BK118" i="71"/>
  <c r="BJ118" i="71"/>
  <c r="BI118" i="71"/>
  <c r="BH118" i="71"/>
  <c r="BG118" i="71"/>
  <c r="BF118" i="71"/>
  <c r="BE118" i="71"/>
  <c r="BD118" i="71"/>
  <c r="BC118" i="71"/>
  <c r="BB118" i="71"/>
  <c r="BA118" i="71"/>
  <c r="AY118" i="71"/>
  <c r="AX118" i="71"/>
  <c r="AW118" i="71"/>
  <c r="AV118" i="71"/>
  <c r="AU118" i="71"/>
  <c r="AT118" i="71"/>
  <c r="AS118" i="71"/>
  <c r="AR118" i="71"/>
  <c r="AQ118" i="71"/>
  <c r="AP118" i="71"/>
  <c r="AO118" i="71"/>
  <c r="AN118" i="71"/>
  <c r="AM118" i="71"/>
  <c r="AK118" i="71"/>
  <c r="AJ118" i="71"/>
  <c r="AI118" i="71"/>
  <c r="AH118" i="71"/>
  <c r="AG118" i="71"/>
  <c r="AF118" i="71"/>
  <c r="AE118" i="71"/>
  <c r="AD118" i="71"/>
  <c r="AC118" i="71"/>
  <c r="AB118" i="71"/>
  <c r="AA118" i="71"/>
  <c r="Z118" i="71"/>
  <c r="Y118" i="71"/>
  <c r="X118" i="71"/>
  <c r="W118" i="71"/>
  <c r="V118" i="71"/>
  <c r="U118" i="71"/>
  <c r="T118" i="71"/>
  <c r="S118" i="71"/>
  <c r="R118" i="71"/>
  <c r="Q118" i="71"/>
  <c r="P118" i="71"/>
  <c r="O118" i="71"/>
  <c r="N118" i="71"/>
  <c r="M118" i="71"/>
  <c r="L118" i="71"/>
  <c r="K118" i="71"/>
  <c r="J118" i="71"/>
  <c r="I118" i="71"/>
  <c r="H118" i="71"/>
  <c r="G118" i="71"/>
  <c r="F118" i="71"/>
  <c r="E118" i="71"/>
  <c r="D118" i="71"/>
  <c r="BJ105" i="71"/>
  <c r="BI105" i="71"/>
  <c r="BH105" i="71"/>
  <c r="BG105" i="71"/>
  <c r="BF105" i="71"/>
  <c r="BE105" i="71"/>
  <c r="BD105" i="71"/>
  <c r="BC105" i="71"/>
  <c r="BB105" i="71"/>
  <c r="BA105" i="71"/>
  <c r="BL104" i="71"/>
  <c r="BK104" i="71"/>
  <c r="BJ104" i="71"/>
  <c r="BI104" i="71"/>
  <c r="BH104" i="71"/>
  <c r="BG104" i="71"/>
  <c r="BF104" i="71"/>
  <c r="BE104" i="71"/>
  <c r="BD104" i="71"/>
  <c r="BC104" i="71"/>
  <c r="BB104" i="71"/>
  <c r="BA104" i="71"/>
  <c r="AT103" i="71"/>
  <c r="AS103" i="71"/>
  <c r="AR103" i="71"/>
  <c r="AQ103" i="71"/>
  <c r="AP103" i="71"/>
  <c r="AO103" i="71"/>
  <c r="AN103" i="71"/>
  <c r="AM103" i="71"/>
  <c r="AL103" i="71"/>
  <c r="AK103" i="71"/>
  <c r="AJ103" i="71"/>
  <c r="AI103" i="71"/>
  <c r="AH103" i="71"/>
  <c r="AG103" i="71"/>
  <c r="AF103" i="71"/>
  <c r="AE103" i="71"/>
  <c r="AD103" i="71"/>
  <c r="AC103" i="71"/>
  <c r="AB103" i="71"/>
  <c r="AA103" i="71"/>
  <c r="Z103" i="71"/>
  <c r="Y103" i="71"/>
  <c r="X103" i="71"/>
  <c r="W103" i="71"/>
  <c r="V103" i="71"/>
  <c r="U103" i="71"/>
  <c r="T103" i="71"/>
  <c r="S103" i="71"/>
  <c r="R103" i="71"/>
  <c r="Q103" i="71"/>
  <c r="P103" i="71"/>
  <c r="O103" i="71"/>
  <c r="N103" i="71"/>
  <c r="M103" i="71"/>
  <c r="L103" i="71"/>
  <c r="K103" i="71"/>
  <c r="J103" i="71"/>
  <c r="I103" i="71"/>
  <c r="H103" i="71"/>
  <c r="G103" i="71"/>
  <c r="F103" i="71"/>
  <c r="E103" i="71"/>
  <c r="D103" i="71"/>
  <c r="BL99" i="71"/>
  <c r="BK99" i="71"/>
  <c r="BJ99" i="71"/>
  <c r="BI99" i="71"/>
  <c r="BH99" i="71"/>
  <c r="BG99" i="71"/>
  <c r="BF99" i="71"/>
  <c r="BE99" i="71"/>
  <c r="BD99" i="71"/>
  <c r="BC99" i="71"/>
  <c r="BB99" i="71"/>
  <c r="BA99" i="71"/>
  <c r="K95" i="71"/>
  <c r="J95" i="71"/>
  <c r="I95" i="71"/>
  <c r="H95" i="71"/>
  <c r="G95" i="71"/>
  <c r="F95" i="71"/>
  <c r="E95" i="71"/>
  <c r="D95" i="71"/>
  <c r="AT89" i="71"/>
  <c r="AS89" i="71"/>
  <c r="AQ89" i="71"/>
  <c r="AP89" i="71"/>
  <c r="AO89" i="71"/>
  <c r="AN89" i="71"/>
  <c r="BJ89" i="71" s="1"/>
  <c r="AM89" i="71"/>
  <c r="AK89" i="71"/>
  <c r="AI89" i="71"/>
  <c r="AH89" i="71"/>
  <c r="AG89" i="71"/>
  <c r="AF89" i="71"/>
  <c r="AE89" i="71"/>
  <c r="AD89" i="71"/>
  <c r="AC89" i="71"/>
  <c r="AB89" i="71"/>
  <c r="AA89" i="71"/>
  <c r="Z89" i="71"/>
  <c r="BF89" i="71" s="1"/>
  <c r="Y89" i="71"/>
  <c r="X89" i="71"/>
  <c r="W89" i="71"/>
  <c r="V89" i="71"/>
  <c r="U89" i="71"/>
  <c r="T89" i="71"/>
  <c r="S89" i="71"/>
  <c r="R89" i="71"/>
  <c r="Q89" i="71"/>
  <c r="P89" i="71"/>
  <c r="O89" i="71"/>
  <c r="N89" i="71"/>
  <c r="M89" i="71"/>
  <c r="L89" i="71"/>
  <c r="K89" i="71"/>
  <c r="J89" i="71"/>
  <c r="I89" i="71"/>
  <c r="BB89" i="71" s="1"/>
  <c r="H89" i="71"/>
  <c r="G89" i="71"/>
  <c r="F89" i="71"/>
  <c r="E89" i="71"/>
  <c r="D89" i="71"/>
  <c r="BH89" i="71"/>
  <c r="BJ88" i="71"/>
  <c r="BH88" i="71"/>
  <c r="BG88" i="71"/>
  <c r="BF88" i="71"/>
  <c r="BE88" i="71"/>
  <c r="BD88" i="71"/>
  <c r="BC88" i="71"/>
  <c r="BB88" i="71"/>
  <c r="BA88" i="71"/>
  <c r="AR88" i="71"/>
  <c r="AR89" i="71" s="1"/>
  <c r="AK88" i="71"/>
  <c r="AJ88" i="71"/>
  <c r="AI88" i="71"/>
  <c r="BK85" i="71"/>
  <c r="BJ85" i="71"/>
  <c r="BH85" i="71"/>
  <c r="BG85" i="71"/>
  <c r="BF85" i="71"/>
  <c r="BE85" i="71"/>
  <c r="BD85" i="71"/>
  <c r="BC85" i="71"/>
  <c r="BB85" i="71"/>
  <c r="BA85" i="71"/>
  <c r="AT77" i="71"/>
  <c r="AS77" i="71"/>
  <c r="AR77" i="71"/>
  <c r="AP77" i="71"/>
  <c r="AO77" i="71"/>
  <c r="AN77" i="71"/>
  <c r="AM77" i="71"/>
  <c r="AK77" i="71"/>
  <c r="AJ77" i="71"/>
  <c r="AI77" i="71"/>
  <c r="AH77" i="71"/>
  <c r="AG77" i="71"/>
  <c r="AF77" i="71"/>
  <c r="AE77" i="71"/>
  <c r="AD77" i="71"/>
  <c r="AC77" i="71"/>
  <c r="AB77" i="71"/>
  <c r="AA77" i="71"/>
  <c r="Z77" i="71"/>
  <c r="Y77" i="71"/>
  <c r="X77" i="71"/>
  <c r="W77" i="71"/>
  <c r="V77" i="71"/>
  <c r="U77" i="71"/>
  <c r="T77" i="71"/>
  <c r="S77" i="71"/>
  <c r="R77" i="71"/>
  <c r="Q77" i="71"/>
  <c r="P77" i="71"/>
  <c r="O77" i="71"/>
  <c r="N77" i="71"/>
  <c r="M77" i="71"/>
  <c r="L77" i="71"/>
  <c r="K77" i="71"/>
  <c r="J77" i="71"/>
  <c r="I77" i="71"/>
  <c r="H77" i="71"/>
  <c r="G77" i="71"/>
  <c r="F77" i="71"/>
  <c r="E77" i="71"/>
  <c r="D77" i="71"/>
  <c r="AT76" i="71"/>
  <c r="AS76" i="71"/>
  <c r="AR76" i="71"/>
  <c r="AQ76" i="71"/>
  <c r="AQ73" i="71" s="1"/>
  <c r="AP76" i="71"/>
  <c r="AO76" i="71"/>
  <c r="AO73" i="71" s="1"/>
  <c r="AN76" i="71"/>
  <c r="AM76" i="71"/>
  <c r="AM73" i="71" s="1"/>
  <c r="AL76" i="71"/>
  <c r="AK76" i="71"/>
  <c r="AJ76" i="71"/>
  <c r="AI76" i="71"/>
  <c r="AI73" i="71" s="1"/>
  <c r="AH76" i="71"/>
  <c r="AG76" i="71"/>
  <c r="AG73" i="71" s="1"/>
  <c r="AF76" i="71"/>
  <c r="AE76" i="71"/>
  <c r="AE73" i="71" s="1"/>
  <c r="AD76" i="71"/>
  <c r="AC76" i="71"/>
  <c r="AB76" i="71"/>
  <c r="AA76" i="71"/>
  <c r="AA73" i="71" s="1"/>
  <c r="Z76" i="71"/>
  <c r="Y76" i="71"/>
  <c r="Y73" i="71" s="1"/>
  <c r="X76" i="71"/>
  <c r="W76" i="71"/>
  <c r="W73" i="71" s="1"/>
  <c r="V76" i="71"/>
  <c r="U76" i="71"/>
  <c r="T76" i="71"/>
  <c r="S76" i="71"/>
  <c r="S73" i="71" s="1"/>
  <c r="R76" i="71"/>
  <c r="Q76" i="71"/>
  <c r="Q73" i="71" s="1"/>
  <c r="P76" i="71"/>
  <c r="O76" i="71"/>
  <c r="O73" i="71" s="1"/>
  <c r="N76" i="71"/>
  <c r="M76" i="71"/>
  <c r="L76" i="71"/>
  <c r="BH77" i="71"/>
  <c r="BL76" i="71"/>
  <c r="BM76" i="71" s="1"/>
  <c r="BN76" i="71" s="1"/>
  <c r="BJ76" i="71"/>
  <c r="BH76" i="71"/>
  <c r="BF76" i="71"/>
  <c r="BD76" i="71"/>
  <c r="BB76" i="71"/>
  <c r="BA76" i="71"/>
  <c r="BJ75" i="71"/>
  <c r="BJ73" i="71" s="1"/>
  <c r="BH75" i="71"/>
  <c r="BG75" i="71"/>
  <c r="BG77" i="71" s="1"/>
  <c r="BF75" i="71"/>
  <c r="BE75" i="71"/>
  <c r="BE77" i="71" s="1"/>
  <c r="BD75" i="71"/>
  <c r="BD73" i="71" s="1"/>
  <c r="BC75" i="71"/>
  <c r="BC77" i="71" s="1"/>
  <c r="BB75" i="71"/>
  <c r="BA75" i="71"/>
  <c r="BA77" i="71" s="1"/>
  <c r="AQ75" i="71"/>
  <c r="AQ77" i="71" s="1"/>
  <c r="BI75" i="71"/>
  <c r="BI77" i="71" s="1"/>
  <c r="BA73" i="71"/>
  <c r="AT73" i="71"/>
  <c r="AR73" i="71"/>
  <c r="AP73" i="71"/>
  <c r="AN73" i="71"/>
  <c r="AL73" i="71"/>
  <c r="AJ73" i="71"/>
  <c r="AH73" i="71"/>
  <c r="AF73" i="71"/>
  <c r="AD73" i="71"/>
  <c r="AB73" i="71"/>
  <c r="Z73" i="71"/>
  <c r="X73" i="71"/>
  <c r="V73" i="71"/>
  <c r="T73" i="71"/>
  <c r="R73" i="71"/>
  <c r="P73" i="71"/>
  <c r="N73" i="71"/>
  <c r="L73" i="71"/>
  <c r="K73" i="71"/>
  <c r="J73" i="71"/>
  <c r="I73" i="71"/>
  <c r="H73" i="71"/>
  <c r="G73" i="71"/>
  <c r="F73" i="71"/>
  <c r="E73" i="71"/>
  <c r="D73" i="71"/>
  <c r="BE60" i="71"/>
  <c r="BD60" i="71"/>
  <c r="BC60" i="71"/>
  <c r="BB60" i="71"/>
  <c r="BA60" i="71"/>
  <c r="AP59" i="71"/>
  <c r="AO59" i="71"/>
  <c r="AK59" i="71"/>
  <c r="AJ59" i="71"/>
  <c r="AI59" i="71"/>
  <c r="AH59" i="71"/>
  <c r="AG59" i="71"/>
  <c r="AE59" i="71"/>
  <c r="AD59" i="71"/>
  <c r="AC59" i="71"/>
  <c r="AB59" i="71"/>
  <c r="AA59" i="71"/>
  <c r="Z59" i="71"/>
  <c r="Y59" i="71"/>
  <c r="X59" i="71"/>
  <c r="M59" i="71"/>
  <c r="G59" i="71"/>
  <c r="AO57" i="71"/>
  <c r="AM57" i="71"/>
  <c r="AK57" i="71"/>
  <c r="AJ57" i="71"/>
  <c r="AI57" i="71"/>
  <c r="AH57" i="71"/>
  <c r="AG57" i="71"/>
  <c r="AE57" i="71"/>
  <c r="AD57" i="71"/>
  <c r="AC57" i="71"/>
  <c r="AB57" i="71"/>
  <c r="AA57" i="71"/>
  <c r="Z57" i="71"/>
  <c r="X57" i="71"/>
  <c r="W57" i="71"/>
  <c r="V57" i="71"/>
  <c r="U57" i="71"/>
  <c r="T57" i="71"/>
  <c r="S57" i="71"/>
  <c r="R57" i="71"/>
  <c r="Q57" i="71"/>
  <c r="P57" i="71"/>
  <c r="M57" i="71"/>
  <c r="L57" i="71"/>
  <c r="G57" i="71"/>
  <c r="F57" i="71"/>
  <c r="BH56" i="71"/>
  <c r="BG56" i="71"/>
  <c r="BE56" i="71"/>
  <c r="BD56" i="71"/>
  <c r="BB56" i="71"/>
  <c r="BA56" i="71"/>
  <c r="AY56" i="71"/>
  <c r="AX56" i="71"/>
  <c r="AW56" i="71"/>
  <c r="AV56" i="71"/>
  <c r="AT56" i="71"/>
  <c r="AS56" i="71"/>
  <c r="AR56" i="71"/>
  <c r="BK56" i="71" s="1"/>
  <c r="AP56" i="71"/>
  <c r="AP57" i="71" s="1"/>
  <c r="AO56" i="71"/>
  <c r="AN56" i="71"/>
  <c r="BJ56" i="71" s="1"/>
  <c r="AM56" i="71"/>
  <c r="BI56" i="71"/>
  <c r="AG56" i="71"/>
  <c r="Y56" i="71"/>
  <c r="Y57" i="71" s="1"/>
  <c r="S56" i="71"/>
  <c r="O56" i="71"/>
  <c r="O57" i="71" s="1"/>
  <c r="N56" i="71"/>
  <c r="N57" i="71" s="1"/>
  <c r="BH54" i="71"/>
  <c r="BH57" i="71" s="1"/>
  <c r="BG54" i="71"/>
  <c r="BG57" i="71" s="1"/>
  <c r="BF54" i="71"/>
  <c r="BE54" i="71"/>
  <c r="BE57" i="71" s="1"/>
  <c r="BD54" i="71"/>
  <c r="BD57" i="71" s="1"/>
  <c r="BC54" i="71"/>
  <c r="AY54" i="71"/>
  <c r="AY57" i="71" s="1"/>
  <c r="AX54" i="71"/>
  <c r="AX57" i="71" s="1"/>
  <c r="AW54" i="71"/>
  <c r="AW57" i="71" s="1"/>
  <c r="AV54" i="71"/>
  <c r="AV57" i="71" s="1"/>
  <c r="AT54" i="71"/>
  <c r="AT59" i="71" s="1"/>
  <c r="AS54" i="71"/>
  <c r="AS59" i="71" s="1"/>
  <c r="AR54" i="71"/>
  <c r="AR59" i="71" s="1"/>
  <c r="AQ54" i="71"/>
  <c r="AQ59" i="71" s="1"/>
  <c r="AO54" i="71"/>
  <c r="AN54" i="71"/>
  <c r="BJ54" i="71" s="1"/>
  <c r="BJ57" i="71" s="1"/>
  <c r="AM54" i="71"/>
  <c r="AL59" i="71"/>
  <c r="AF54" i="71"/>
  <c r="AF59" i="71" s="1"/>
  <c r="K54" i="71"/>
  <c r="K59" i="71" s="1"/>
  <c r="J54" i="71"/>
  <c r="J57" i="71" s="1"/>
  <c r="I54" i="71"/>
  <c r="I59" i="71" s="1"/>
  <c r="H54" i="71"/>
  <c r="H57" i="71" s="1"/>
  <c r="E54" i="71"/>
  <c r="E59" i="71" s="1"/>
  <c r="D54" i="71"/>
  <c r="D57" i="71" s="1"/>
  <c r="BB50" i="71"/>
  <c r="BA50" i="71"/>
  <c r="AS50" i="71"/>
  <c r="AS51" i="71" s="1"/>
  <c r="AQ50" i="71"/>
  <c r="AQ51" i="71" s="1"/>
  <c r="AO50" i="71"/>
  <c r="AO51" i="71" s="1"/>
  <c r="AK50" i="71"/>
  <c r="AK51" i="71" s="1"/>
  <c r="AI50" i="71"/>
  <c r="AG50" i="71"/>
  <c r="AE50" i="71"/>
  <c r="AC50" i="71"/>
  <c r="AA50" i="71"/>
  <c r="Y50" i="71"/>
  <c r="W50" i="71"/>
  <c r="U50" i="71"/>
  <c r="S50" i="71"/>
  <c r="Q50" i="71"/>
  <c r="O50" i="71"/>
  <c r="M50" i="71"/>
  <c r="AS46" i="71"/>
  <c r="AS47" i="71" s="1"/>
  <c r="AQ46" i="71"/>
  <c r="AQ47" i="71" s="1"/>
  <c r="AO46" i="71"/>
  <c r="AO47" i="71" s="1"/>
  <c r="AK46" i="71"/>
  <c r="AK47" i="71" s="1"/>
  <c r="AI46" i="71"/>
  <c r="AI47" i="71" s="1"/>
  <c r="AG46" i="71"/>
  <c r="AG47" i="71" s="1"/>
  <c r="AE46" i="71"/>
  <c r="AE47" i="71" s="1"/>
  <c r="AC46" i="71"/>
  <c r="AC47" i="71" s="1"/>
  <c r="AA46" i="71"/>
  <c r="AA47" i="71" s="1"/>
  <c r="Y46" i="71"/>
  <c r="W46" i="71"/>
  <c r="W47" i="71" s="1"/>
  <c r="U46" i="71"/>
  <c r="U47" i="71" s="1"/>
  <c r="S46" i="71"/>
  <c r="S47" i="71" s="1"/>
  <c r="Q46" i="71"/>
  <c r="Q47" i="71" s="1"/>
  <c r="O46" i="71"/>
  <c r="O47" i="71" s="1"/>
  <c r="M46" i="71"/>
  <c r="M47" i="71" s="1"/>
  <c r="K46" i="71"/>
  <c r="K47" i="71" s="1"/>
  <c r="I46" i="71"/>
  <c r="I47" i="71" s="1"/>
  <c r="G46" i="71"/>
  <c r="G47" i="71" s="1"/>
  <c r="E46" i="71"/>
  <c r="E47" i="71" s="1"/>
  <c r="BL45" i="71"/>
  <c r="BH45" i="71"/>
  <c r="BD45" i="71"/>
  <c r="BB45" i="71"/>
  <c r="BA45" i="71"/>
  <c r="AT45" i="71"/>
  <c r="AS45" i="71"/>
  <c r="AR45" i="71"/>
  <c r="AQ45" i="71"/>
  <c r="AP45" i="71"/>
  <c r="AO45" i="71"/>
  <c r="AN45" i="71"/>
  <c r="AM45" i="71"/>
  <c r="AM95" i="71" s="1"/>
  <c r="AL46" i="71"/>
  <c r="AL47" i="71" s="1"/>
  <c r="AK45" i="71"/>
  <c r="AK95" i="71" s="1"/>
  <c r="AJ45" i="71"/>
  <c r="AI45" i="71"/>
  <c r="AH45" i="71"/>
  <c r="AG45" i="71"/>
  <c r="AF45" i="71"/>
  <c r="AE45" i="71"/>
  <c r="AD45" i="71"/>
  <c r="AC45" i="71"/>
  <c r="AB45" i="71"/>
  <c r="AA45" i="71"/>
  <c r="Z45" i="71"/>
  <c r="Y45" i="71"/>
  <c r="X45" i="71"/>
  <c r="W45" i="71"/>
  <c r="V45" i="71"/>
  <c r="U45" i="71"/>
  <c r="T45" i="71"/>
  <c r="BE45" i="71" s="1"/>
  <c r="S45" i="71"/>
  <c r="R45" i="71"/>
  <c r="Q45" i="71"/>
  <c r="P45" i="71"/>
  <c r="O45" i="71"/>
  <c r="N45" i="71"/>
  <c r="M45" i="71"/>
  <c r="L45" i="71"/>
  <c r="BC45" i="71" s="1"/>
  <c r="BJ44" i="71"/>
  <c r="BH44" i="71"/>
  <c r="BG44" i="71"/>
  <c r="BF44" i="71"/>
  <c r="BE44" i="71"/>
  <c r="BD44" i="71"/>
  <c r="BC44" i="71"/>
  <c r="BB44" i="71"/>
  <c r="BA44" i="71"/>
  <c r="AV44" i="71"/>
  <c r="BK44" i="71"/>
  <c r="AL50" i="71"/>
  <c r="AL51" i="71" s="1"/>
  <c r="AT42" i="71"/>
  <c r="AS42" i="71"/>
  <c r="AR42" i="71"/>
  <c r="AQ42" i="71"/>
  <c r="AP42" i="71"/>
  <c r="AO42" i="71"/>
  <c r="AN42" i="71"/>
  <c r="AL42" i="71"/>
  <c r="AK42" i="71"/>
  <c r="AJ42" i="71"/>
  <c r="AI42" i="71"/>
  <c r="AH42" i="71"/>
  <c r="AG42" i="71"/>
  <c r="AF42" i="71"/>
  <c r="AE42" i="71"/>
  <c r="AD42" i="71"/>
  <c r="AC42" i="71"/>
  <c r="AB42" i="71"/>
  <c r="AA42" i="71"/>
  <c r="Z42" i="71"/>
  <c r="BJ41" i="71"/>
  <c r="BH41" i="71"/>
  <c r="BG41" i="71"/>
  <c r="BF41" i="71"/>
  <c r="AM41" i="71"/>
  <c r="BI41" i="71" s="1"/>
  <c r="W41" i="71"/>
  <c r="W59" i="71" s="1"/>
  <c r="V41" i="71"/>
  <c r="V42" i="71" s="1"/>
  <c r="U41" i="71"/>
  <c r="U59" i="71" s="1"/>
  <c r="T41" i="71"/>
  <c r="BE41" i="71" s="1"/>
  <c r="S41" i="71"/>
  <c r="S59" i="71" s="1"/>
  <c r="R41" i="71"/>
  <c r="R42" i="71" s="1"/>
  <c r="Q41" i="71"/>
  <c r="Q59" i="71" s="1"/>
  <c r="P41" i="71"/>
  <c r="O41" i="71"/>
  <c r="O59" i="71" s="1"/>
  <c r="N41" i="71"/>
  <c r="N42" i="71" s="1"/>
  <c r="M41" i="71"/>
  <c r="M42" i="71" s="1"/>
  <c r="L41" i="71"/>
  <c r="K41" i="71"/>
  <c r="K42" i="71" s="1"/>
  <c r="J41" i="71"/>
  <c r="J42" i="71" s="1"/>
  <c r="I41" i="71"/>
  <c r="I42" i="71" s="1"/>
  <c r="H41" i="71"/>
  <c r="G41" i="71"/>
  <c r="G42" i="71" s="1"/>
  <c r="F41" i="71"/>
  <c r="F42" i="71" s="1"/>
  <c r="E41" i="71"/>
  <c r="E42" i="71" s="1"/>
  <c r="D41" i="71"/>
  <c r="BA41" i="71" s="1"/>
  <c r="AT37" i="71"/>
  <c r="AS37" i="71"/>
  <c r="AS38" i="71" s="1"/>
  <c r="AR37" i="71"/>
  <c r="AR38" i="71" s="1"/>
  <c r="AP37" i="71"/>
  <c r="AP38" i="71" s="1"/>
  <c r="AN37" i="71"/>
  <c r="AN38" i="71" s="1"/>
  <c r="AM37" i="71"/>
  <c r="AM38" i="71" s="1"/>
  <c r="AK37" i="71"/>
  <c r="AK38" i="71" s="1"/>
  <c r="AJ37" i="71"/>
  <c r="AJ38" i="71" s="1"/>
  <c r="AI37" i="71"/>
  <c r="AH37" i="71"/>
  <c r="AG37" i="71"/>
  <c r="AD37" i="71"/>
  <c r="AC37" i="71"/>
  <c r="AB37" i="71"/>
  <c r="Z37" i="71"/>
  <c r="X37" i="71"/>
  <c r="W37" i="71"/>
  <c r="V37" i="71"/>
  <c r="T37" i="71"/>
  <c r="S37" i="71"/>
  <c r="R37" i="71"/>
  <c r="P37" i="71"/>
  <c r="N37" i="71"/>
  <c r="K37" i="71"/>
  <c r="J37" i="71"/>
  <c r="I37" i="71"/>
  <c r="H37" i="71"/>
  <c r="G37" i="71"/>
  <c r="F37" i="71"/>
  <c r="E37" i="71"/>
  <c r="D37" i="71"/>
  <c r="AT33" i="71"/>
  <c r="AS33" i="71"/>
  <c r="AR33" i="71"/>
  <c r="AR34" i="71" s="1"/>
  <c r="AP33" i="71"/>
  <c r="AP34" i="71" s="1"/>
  <c r="AN33" i="71"/>
  <c r="AN34" i="71" s="1"/>
  <c r="AM33" i="71"/>
  <c r="AL33" i="71"/>
  <c r="AK33" i="71"/>
  <c r="AK62" i="71" s="1"/>
  <c r="AK60" i="71" s="1"/>
  <c r="AK61" i="71" s="1"/>
  <c r="AJ33" i="71"/>
  <c r="AJ34" i="71" s="1"/>
  <c r="AI33" i="71"/>
  <c r="AI62" i="71" s="1"/>
  <c r="AI60" i="71" s="1"/>
  <c r="AH33" i="71"/>
  <c r="AG33" i="71"/>
  <c r="AG62" i="71" s="1"/>
  <c r="AG60" i="71" s="1"/>
  <c r="AD33" i="71"/>
  <c r="AD34" i="71" s="1"/>
  <c r="AC33" i="71"/>
  <c r="AB33" i="71"/>
  <c r="Z33" i="71"/>
  <c r="X33" i="71"/>
  <c r="W33" i="71"/>
  <c r="V33" i="71"/>
  <c r="V34" i="71" s="1"/>
  <c r="T33" i="71"/>
  <c r="T34" i="71" s="1"/>
  <c r="S33" i="71"/>
  <c r="S62" i="71" s="1"/>
  <c r="R33" i="71"/>
  <c r="P33" i="71"/>
  <c r="N33" i="71"/>
  <c r="K33" i="71"/>
  <c r="J33" i="71"/>
  <c r="J34" i="71" s="1"/>
  <c r="I33" i="71"/>
  <c r="H33" i="71"/>
  <c r="G33" i="71"/>
  <c r="F33" i="71"/>
  <c r="F34" i="71" s="1"/>
  <c r="E33" i="71"/>
  <c r="D33" i="71"/>
  <c r="BL32" i="71"/>
  <c r="BK32" i="71"/>
  <c r="BI32" i="71"/>
  <c r="BG32" i="71"/>
  <c r="BB32" i="71"/>
  <c r="BA32" i="71"/>
  <c r="AR32" i="71"/>
  <c r="AQ32" i="71"/>
  <c r="AO32" i="71"/>
  <c r="AO37" i="71" s="1"/>
  <c r="AO38" i="71" s="1"/>
  <c r="AF32" i="71"/>
  <c r="BH32" i="71" s="1"/>
  <c r="AE32" i="71"/>
  <c r="AE37" i="71" s="1"/>
  <c r="AE60" i="71" s="1"/>
  <c r="AA32" i="71"/>
  <c r="Y32" i="71"/>
  <c r="Y37" i="71" s="1"/>
  <c r="U32" i="71"/>
  <c r="BE32" i="71" s="1"/>
  <c r="R32" i="71"/>
  <c r="Q32" i="71"/>
  <c r="P32" i="71"/>
  <c r="O32" i="71"/>
  <c r="M32" i="71"/>
  <c r="M37" i="71" s="1"/>
  <c r="L32" i="71"/>
  <c r="L37" i="71" s="1"/>
  <c r="BJ31" i="71"/>
  <c r="BH31" i="71"/>
  <c r="BG31" i="71"/>
  <c r="BF31" i="71"/>
  <c r="BE31" i="71"/>
  <c r="BD31" i="71"/>
  <c r="BC31" i="71"/>
  <c r="BB31" i="71"/>
  <c r="BA31" i="71"/>
  <c r="BK31" i="71"/>
  <c r="BI31" i="71"/>
  <c r="AT29" i="71"/>
  <c r="AS29" i="71"/>
  <c r="AR29" i="71"/>
  <c r="AQ29" i="71"/>
  <c r="AP29" i="71"/>
  <c r="AO29" i="71"/>
  <c r="AN29" i="71"/>
  <c r="AM29" i="71"/>
  <c r="AL29" i="71"/>
  <c r="AK29" i="71"/>
  <c r="AJ29" i="71"/>
  <c r="AI29" i="71"/>
  <c r="AH29" i="71"/>
  <c r="AG29" i="71"/>
  <c r="AF29" i="71"/>
  <c r="AE29" i="71"/>
  <c r="AD29" i="71"/>
  <c r="AC29" i="71"/>
  <c r="AB29" i="71"/>
  <c r="AA29" i="71"/>
  <c r="Z29" i="71"/>
  <c r="W29" i="71"/>
  <c r="U29" i="71"/>
  <c r="T29" i="71"/>
  <c r="S29" i="71"/>
  <c r="R29" i="71"/>
  <c r="Q29" i="71"/>
  <c r="P29" i="71"/>
  <c r="O29" i="71"/>
  <c r="N29" i="71"/>
  <c r="M29" i="71"/>
  <c r="L29" i="71"/>
  <c r="K29" i="71"/>
  <c r="J29" i="71"/>
  <c r="I29" i="71"/>
  <c r="H29" i="71"/>
  <c r="G29" i="71"/>
  <c r="F29" i="71"/>
  <c r="E29" i="71"/>
  <c r="D29" i="71"/>
  <c r="BJ28" i="71"/>
  <c r="BJ59" i="71" s="1"/>
  <c r="BI28" i="71"/>
  <c r="BI33" i="71" s="1"/>
  <c r="BI34" i="71" s="1"/>
  <c r="BH28" i="71"/>
  <c r="BH59" i="71" s="1"/>
  <c r="BG28" i="71"/>
  <c r="BG59" i="71" s="1"/>
  <c r="BF28" i="71"/>
  <c r="BF59" i="71" s="1"/>
  <c r="BE28" i="71"/>
  <c r="BD28" i="71"/>
  <c r="BC28" i="71"/>
  <c r="BB28" i="71"/>
  <c r="BA28" i="71"/>
  <c r="AT19" i="71"/>
  <c r="AS19" i="71"/>
  <c r="AR19" i="71"/>
  <c r="AQ19" i="71"/>
  <c r="AQ64" i="71" s="1"/>
  <c r="AP19" i="71"/>
  <c r="AP64" i="71" s="1"/>
  <c r="AO19" i="71"/>
  <c r="AO64" i="71" s="1"/>
  <c r="AN19" i="71"/>
  <c r="AM19" i="71"/>
  <c r="AL19" i="71"/>
  <c r="AL64" i="71" s="1"/>
  <c r="AK19" i="71"/>
  <c r="AK64" i="71" s="1"/>
  <c r="AJ19" i="71"/>
  <c r="AJ64" i="71" s="1"/>
  <c r="AI19" i="71"/>
  <c r="AI64" i="71" s="1"/>
  <c r="AH19" i="71"/>
  <c r="AH64" i="71" s="1"/>
  <c r="AG19" i="71"/>
  <c r="AG64" i="71" s="1"/>
  <c r="AF19" i="71"/>
  <c r="AF64" i="71" s="1"/>
  <c r="AE19" i="71"/>
  <c r="AE64" i="71" s="1"/>
  <c r="AD19" i="71"/>
  <c r="AD64" i="71" s="1"/>
  <c r="AC19" i="71"/>
  <c r="AC64" i="71" s="1"/>
  <c r="AB19" i="71"/>
  <c r="AB64" i="71" s="1"/>
  <c r="AA19" i="71"/>
  <c r="AA64" i="71" s="1"/>
  <c r="Z19" i="71"/>
  <c r="Z64" i="71" s="1"/>
  <c r="W19" i="71"/>
  <c r="W64" i="71" s="1"/>
  <c r="U19" i="71"/>
  <c r="U64" i="71" s="1"/>
  <c r="T19" i="71"/>
  <c r="S19" i="71"/>
  <c r="S64" i="71" s="1"/>
  <c r="R19" i="71"/>
  <c r="Q19" i="71"/>
  <c r="Q64" i="71" s="1"/>
  <c r="P19" i="71"/>
  <c r="O19" i="71"/>
  <c r="O64" i="71" s="1"/>
  <c r="N19" i="71"/>
  <c r="M19" i="71"/>
  <c r="M64" i="71" s="1"/>
  <c r="L19" i="71"/>
  <c r="K19" i="71"/>
  <c r="K64" i="71" s="1"/>
  <c r="J19" i="71"/>
  <c r="I19" i="71"/>
  <c r="I64" i="71" s="1"/>
  <c r="H19" i="71"/>
  <c r="G19" i="71"/>
  <c r="G64" i="71" s="1"/>
  <c r="F19" i="71"/>
  <c r="E19" i="71"/>
  <c r="E64" i="71" s="1"/>
  <c r="D19" i="71"/>
  <c r="AS17" i="71"/>
  <c r="AS22" i="71" s="1"/>
  <c r="AO17" i="71"/>
  <c r="AO22" i="71" s="1"/>
  <c r="AM17" i="71"/>
  <c r="AM22" i="71" s="1"/>
  <c r="AK17" i="71"/>
  <c r="AK22" i="71" s="1"/>
  <c r="AG17" i="71"/>
  <c r="AG22" i="71" s="1"/>
  <c r="AE17" i="71"/>
  <c r="AE22" i="71" s="1"/>
  <c r="AC17" i="71"/>
  <c r="AC22" i="71" s="1"/>
  <c r="AA17" i="71"/>
  <c r="AA22" i="71" s="1"/>
  <c r="Y17" i="71"/>
  <c r="W17" i="71"/>
  <c r="W22" i="71" s="1"/>
  <c r="U17" i="71"/>
  <c r="U22" i="71" s="1"/>
  <c r="S17" i="71"/>
  <c r="S22" i="71" s="1"/>
  <c r="Q17" i="71"/>
  <c r="Q22" i="71" s="1"/>
  <c r="O17" i="71"/>
  <c r="O22" i="71" s="1"/>
  <c r="M17" i="71"/>
  <c r="M22" i="71" s="1"/>
  <c r="K17" i="71"/>
  <c r="K22" i="71" s="1"/>
  <c r="J17" i="71"/>
  <c r="J22" i="71" s="1"/>
  <c r="I17" i="71"/>
  <c r="I22" i="71" s="1"/>
  <c r="H17" i="71"/>
  <c r="H22" i="71" s="1"/>
  <c r="G17" i="71"/>
  <c r="G22" i="71" s="1"/>
  <c r="F17" i="71"/>
  <c r="F22" i="71" s="1"/>
  <c r="E17" i="71"/>
  <c r="E22" i="71" s="1"/>
  <c r="D17" i="71"/>
  <c r="D22" i="71" s="1"/>
  <c r="BL16" i="71"/>
  <c r="BB16" i="71"/>
  <c r="BA16" i="71"/>
  <c r="AT16" i="71"/>
  <c r="AS16" i="71"/>
  <c r="AS95" i="71" s="1"/>
  <c r="AR16" i="71"/>
  <c r="BK16" i="71" s="1"/>
  <c r="AQ16" i="71"/>
  <c r="AP16" i="71"/>
  <c r="AO16" i="71"/>
  <c r="AO95" i="71" s="1"/>
  <c r="AN16" i="71"/>
  <c r="BJ16" i="71" s="1"/>
  <c r="AL16" i="71"/>
  <c r="AJ16" i="71"/>
  <c r="AI16" i="71"/>
  <c r="AI95" i="71" s="1"/>
  <c r="AH16" i="71"/>
  <c r="AG16" i="71"/>
  <c r="AG95" i="71" s="1"/>
  <c r="AF16" i="71"/>
  <c r="AF95" i="71" s="1"/>
  <c r="AE16" i="71"/>
  <c r="AE95" i="71" s="1"/>
  <c r="AD16" i="71"/>
  <c r="AD95" i="71" s="1"/>
  <c r="AC16" i="71"/>
  <c r="AC95" i="71" s="1"/>
  <c r="AB16" i="71"/>
  <c r="AB95" i="71" s="1"/>
  <c r="AA16" i="71"/>
  <c r="Z16" i="71"/>
  <c r="Z95" i="71" s="1"/>
  <c r="Y16" i="71"/>
  <c r="Y95" i="71" s="1"/>
  <c r="X16" i="71"/>
  <c r="X95" i="71" s="1"/>
  <c r="W16" i="71"/>
  <c r="W95" i="71" s="1"/>
  <c r="V16" i="71"/>
  <c r="V95" i="71" s="1"/>
  <c r="U16" i="71"/>
  <c r="T16" i="71"/>
  <c r="T95" i="71" s="1"/>
  <c r="S16" i="71"/>
  <c r="S95" i="71" s="1"/>
  <c r="R16" i="71"/>
  <c r="R95" i="71" s="1"/>
  <c r="Q16" i="71"/>
  <c r="P16" i="71"/>
  <c r="P95" i="71" s="1"/>
  <c r="O16" i="71"/>
  <c r="N16" i="71"/>
  <c r="N95" i="71" s="1"/>
  <c r="M16" i="71"/>
  <c r="M95" i="71" s="1"/>
  <c r="L16" i="71"/>
  <c r="L95" i="71" s="1"/>
  <c r="BJ15" i="71"/>
  <c r="BI15" i="71"/>
  <c r="BH15" i="71"/>
  <c r="BG15" i="71"/>
  <c r="BF15" i="71"/>
  <c r="BE15" i="71"/>
  <c r="BD15" i="71"/>
  <c r="BC15" i="71"/>
  <c r="BB15" i="71"/>
  <c r="BA15" i="71"/>
  <c r="AV15" i="71"/>
  <c r="BJ12" i="71"/>
  <c r="BJ17" i="71" s="1"/>
  <c r="BI12" i="71"/>
  <c r="BH12" i="71"/>
  <c r="BG12" i="71"/>
  <c r="BF12" i="71"/>
  <c r="BE12" i="71"/>
  <c r="BD12" i="71"/>
  <c r="BC12" i="71"/>
  <c r="BB12" i="71"/>
  <c r="BB17" i="71" s="1"/>
  <c r="BA12" i="71"/>
  <c r="BA17" i="71" s="1"/>
  <c r="AT10" i="71"/>
  <c r="AS10" i="71"/>
  <c r="AR10" i="71"/>
  <c r="AQ10" i="71"/>
  <c r="AP10" i="71"/>
  <c r="AO10" i="71"/>
  <c r="AN10" i="71"/>
  <c r="AM10" i="71"/>
  <c r="AL10" i="71"/>
  <c r="AK10" i="71"/>
  <c r="AJ10" i="71"/>
  <c r="AI10" i="71"/>
  <c r="AH10" i="71"/>
  <c r="AG10" i="71"/>
  <c r="AF10" i="71"/>
  <c r="AE10" i="71"/>
  <c r="AD10" i="71"/>
  <c r="AA10" i="71"/>
  <c r="W10" i="71"/>
  <c r="U10" i="71"/>
  <c r="T10" i="71"/>
  <c r="S10" i="71"/>
  <c r="R10" i="71"/>
  <c r="Q10" i="71"/>
  <c r="P10" i="71"/>
  <c r="O10" i="71"/>
  <c r="N10" i="71"/>
  <c r="M10" i="71"/>
  <c r="L10" i="71"/>
  <c r="K10" i="71"/>
  <c r="J10" i="71"/>
  <c r="I10" i="71"/>
  <c r="H10" i="71"/>
  <c r="AT9" i="71"/>
  <c r="AS9" i="71"/>
  <c r="AR9" i="71"/>
  <c r="AQ9" i="71"/>
  <c r="AP9" i="71"/>
  <c r="AO9" i="71"/>
  <c r="AN9" i="71"/>
  <c r="AM9" i="71"/>
  <c r="AL9" i="71"/>
  <c r="AK9" i="71"/>
  <c r="AJ9" i="71"/>
  <c r="AI9" i="71"/>
  <c r="AH9" i="71"/>
  <c r="AG9" i="71"/>
  <c r="AF9" i="71"/>
  <c r="AE9" i="71"/>
  <c r="AD9" i="71"/>
  <c r="AC9" i="71"/>
  <c r="AB9" i="71"/>
  <c r="AA9" i="71"/>
  <c r="U9" i="71"/>
  <c r="T9" i="7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BJ8" i="71"/>
  <c r="BI8" i="71"/>
  <c r="BH8" i="71"/>
  <c r="BG8" i="71"/>
  <c r="BD8" i="71"/>
  <c r="BC8" i="71"/>
  <c r="BB8" i="71"/>
  <c r="BB22" i="71" s="1"/>
  <c r="BA8" i="71"/>
  <c r="BA10" i="71" s="1"/>
  <c r="Y8" i="71"/>
  <c r="Y22" i="71" s="1"/>
  <c r="X8" i="71"/>
  <c r="V8" i="71"/>
  <c r="AA129" i="71" l="1"/>
  <c r="AB129" i="71" s="1"/>
  <c r="AC129" i="71" s="1"/>
  <c r="BA89" i="71"/>
  <c r="BC89" i="71"/>
  <c r="BD89" i="71"/>
  <c r="BE89" i="71"/>
  <c r="BG89" i="71"/>
  <c r="BH73" i="71"/>
  <c r="BB95" i="71"/>
  <c r="W62" i="71"/>
  <c r="AC62" i="71"/>
  <c r="AC60" i="71" s="1"/>
  <c r="G62" i="71"/>
  <c r="AU501" i="13"/>
  <c r="AU216" i="13"/>
  <c r="AY216" i="13" s="1"/>
  <c r="AH19" i="13"/>
  <c r="BE34" i="13"/>
  <c r="BG34" i="13"/>
  <c r="BK34" i="13"/>
  <c r="BE50" i="13"/>
  <c r="BG50" i="13"/>
  <c r="BK50" i="13"/>
  <c r="U73" i="13"/>
  <c r="BD65" i="13"/>
  <c r="BD75" i="13" s="1"/>
  <c r="BD158" i="13"/>
  <c r="BE158" i="13"/>
  <c r="AP303" i="13"/>
  <c r="P323" i="13"/>
  <c r="BC386" i="13"/>
  <c r="BE386" i="13"/>
  <c r="BC437" i="13"/>
  <c r="BE438" i="13"/>
  <c r="BD457" i="13"/>
  <c r="BF457" i="13"/>
  <c r="BH457" i="13"/>
  <c r="BI458" i="13"/>
  <c r="BK458" i="13"/>
  <c r="AG503" i="13"/>
  <c r="AI503" i="13"/>
  <c r="AD19" i="13"/>
  <c r="AN19" i="13"/>
  <c r="BF75" i="13"/>
  <c r="M521" i="13"/>
  <c r="BD278" i="13"/>
  <c r="BF278" i="13"/>
  <c r="BD298" i="13"/>
  <c r="BF298" i="13"/>
  <c r="BH365" i="13"/>
  <c r="BJ365" i="13"/>
  <c r="AA415" i="13"/>
  <c r="W519" i="13"/>
  <c r="Y519" i="13"/>
  <c r="AC519" i="13"/>
  <c r="AF518" i="13"/>
  <c r="AG519" i="13"/>
  <c r="AB204" i="13"/>
  <c r="AB159" i="13"/>
  <c r="R341" i="13"/>
  <c r="V341" i="13"/>
  <c r="Z341" i="13"/>
  <c r="BI34" i="13"/>
  <c r="AB19" i="13"/>
  <c r="AF19" i="13"/>
  <c r="AJ19" i="13"/>
  <c r="BH501" i="13"/>
  <c r="BJ26" i="13"/>
  <c r="BH28" i="13"/>
  <c r="BD36" i="13"/>
  <c r="BH36" i="13"/>
  <c r="BF42" i="13"/>
  <c r="BH42" i="13"/>
  <c r="BJ42" i="13"/>
  <c r="BD52" i="13"/>
  <c r="BH52" i="13"/>
  <c r="BC60" i="13"/>
  <c r="BE60" i="13"/>
  <c r="BG60" i="13"/>
  <c r="L63" i="13"/>
  <c r="N63" i="13"/>
  <c r="N68" i="13" s="1"/>
  <c r="T63" i="13"/>
  <c r="AB63" i="13"/>
  <c r="AD63" i="13"/>
  <c r="M70" i="13"/>
  <c r="O70" i="13"/>
  <c r="Q75" i="13"/>
  <c r="S75" i="13"/>
  <c r="U75" i="13"/>
  <c r="W75" i="13"/>
  <c r="Y75" i="13"/>
  <c r="AA75" i="13"/>
  <c r="AC75" i="13"/>
  <c r="AE75" i="13"/>
  <c r="AG75" i="13"/>
  <c r="AO75" i="13"/>
  <c r="S73" i="13"/>
  <c r="W73" i="13"/>
  <c r="AC79" i="13"/>
  <c r="BG118" i="13"/>
  <c r="BJ114" i="13"/>
  <c r="BF127" i="13"/>
  <c r="BJ137" i="13"/>
  <c r="BF158" i="13"/>
  <c r="BF155" i="13"/>
  <c r="BF159" i="13" s="1"/>
  <c r="P159" i="13"/>
  <c r="T159" i="13"/>
  <c r="X159" i="13"/>
  <c r="AF159" i="13"/>
  <c r="AJ159" i="13"/>
  <c r="AN159" i="13"/>
  <c r="AR159" i="13"/>
  <c r="R161" i="13"/>
  <c r="R204" i="13" s="1"/>
  <c r="V161" i="13"/>
  <c r="V204" i="13" s="1"/>
  <c r="Z161" i="13"/>
  <c r="Z204" i="13" s="1"/>
  <c r="AD161" i="13"/>
  <c r="AD204" i="13" s="1"/>
  <c r="AH161" i="13"/>
  <c r="AH204" i="13" s="1"/>
  <c r="AL161" i="13"/>
  <c r="AL204" i="13" s="1"/>
  <c r="AP161" i="13"/>
  <c r="AP204" i="13" s="1"/>
  <c r="M227" i="13"/>
  <c r="O227" i="13"/>
  <c r="Q227" i="13"/>
  <c r="S227" i="13"/>
  <c r="BC233" i="13"/>
  <c r="BE233" i="13"/>
  <c r="BJ261" i="13"/>
  <c r="BK255" i="13"/>
  <c r="BM254" i="13"/>
  <c r="BM267" i="13" s="1"/>
  <c r="AO303" i="13"/>
  <c r="AQ303" i="13"/>
  <c r="BH267" i="13"/>
  <c r="BD277" i="13"/>
  <c r="BF277" i="13"/>
  <c r="BE278" i="13"/>
  <c r="AF277" i="13"/>
  <c r="AP277" i="13"/>
  <c r="AN278" i="13"/>
  <c r="AF280" i="13"/>
  <c r="AP280" i="13"/>
  <c r="AN282" i="13"/>
  <c r="BE298" i="13"/>
  <c r="BD299" i="13"/>
  <c r="BF299" i="13"/>
  <c r="BC316" i="13"/>
  <c r="BE316" i="13"/>
  <c r="BG316" i="13"/>
  <c r="L376" i="13"/>
  <c r="BC370" i="13"/>
  <c r="AB376" i="13"/>
  <c r="BG370" i="13"/>
  <c r="AM376" i="13"/>
  <c r="BK370" i="13"/>
  <c r="Q404" i="13"/>
  <c r="Q405" i="13" s="1"/>
  <c r="BD398" i="13"/>
  <c r="BC28" i="13"/>
  <c r="BG501" i="13"/>
  <c r="BI28" i="13"/>
  <c r="BI44" i="13"/>
  <c r="BI50" i="13"/>
  <c r="BD60" i="13"/>
  <c r="BF60" i="13"/>
  <c r="BH60" i="13"/>
  <c r="P75" i="13"/>
  <c r="R75" i="13"/>
  <c r="BE75" i="13"/>
  <c r="V75" i="13"/>
  <c r="X75" i="13"/>
  <c r="Z75" i="13"/>
  <c r="AF75" i="13"/>
  <c r="Q73" i="13"/>
  <c r="AA73" i="13"/>
  <c r="AA78" i="13"/>
  <c r="BJ215" i="13"/>
  <c r="AQ225" i="13"/>
  <c r="AB521" i="13"/>
  <c r="BH255" i="13"/>
  <c r="BJ255" i="13"/>
  <c r="BE277" i="13"/>
  <c r="AN277" i="13"/>
  <c r="AF278" i="13"/>
  <c r="AP278" i="13"/>
  <c r="AN280" i="13"/>
  <c r="AR280" i="13"/>
  <c r="AF282" i="13"/>
  <c r="BE299" i="13"/>
  <c r="T341" i="13"/>
  <c r="BG323" i="13"/>
  <c r="P340" i="13"/>
  <c r="R340" i="13"/>
  <c r="T340" i="13"/>
  <c r="V340" i="13"/>
  <c r="X340" i="13"/>
  <c r="Z340" i="13"/>
  <c r="AU457" i="13"/>
  <c r="AV457" i="13"/>
  <c r="AV483" i="13" s="1"/>
  <c r="Q340" i="13"/>
  <c r="S340" i="13"/>
  <c r="U340" i="13"/>
  <c r="W340" i="13"/>
  <c r="Y340" i="13"/>
  <c r="AA340" i="13"/>
  <c r="BD353" i="13"/>
  <c r="BF353" i="13"/>
  <c r="BH353" i="13"/>
  <c r="BJ353" i="13"/>
  <c r="BH354" i="13"/>
  <c r="BI365" i="13"/>
  <c r="BK365" i="13"/>
  <c r="BD386" i="13"/>
  <c r="BF386" i="13"/>
  <c r="BE410" i="13"/>
  <c r="AA433" i="13"/>
  <c r="BD438" i="13"/>
  <c r="BF438" i="13"/>
  <c r="N506" i="13"/>
  <c r="M517" i="13"/>
  <c r="R518" i="13"/>
  <c r="V518" i="13"/>
  <c r="S519" i="13"/>
  <c r="AI519" i="13"/>
  <c r="AQ519" i="13"/>
  <c r="AN518" i="13"/>
  <c r="BE437" i="13"/>
  <c r="AN508" i="13"/>
  <c r="AP508" i="13"/>
  <c r="O517" i="13"/>
  <c r="Q519" i="13"/>
  <c r="U519" i="13"/>
  <c r="BF354" i="13"/>
  <c r="AP61" i="2"/>
  <c r="AQ58" i="2"/>
  <c r="BJ58" i="2" s="1"/>
  <c r="AQ61" i="2"/>
  <c r="BD82" i="3"/>
  <c r="BF82" i="3"/>
  <c r="BH82" i="3"/>
  <c r="BJ82" i="3"/>
  <c r="BD62" i="3"/>
  <c r="BF92" i="3"/>
  <c r="BH92" i="3"/>
  <c r="BJ92" i="3"/>
  <c r="BK36" i="3"/>
  <c r="BK93" i="3" s="1"/>
  <c r="BN79" i="3"/>
  <c r="E83" i="3"/>
  <c r="G83" i="3"/>
  <c r="I83" i="3"/>
  <c r="K83" i="3"/>
  <c r="M83" i="3"/>
  <c r="O83" i="3"/>
  <c r="Q83" i="3"/>
  <c r="S83" i="3"/>
  <c r="U83" i="3"/>
  <c r="W83" i="3"/>
  <c r="Y83" i="3"/>
  <c r="AA83" i="3"/>
  <c r="AC83" i="3"/>
  <c r="AC80" i="3"/>
  <c r="AC77" i="3" s="1"/>
  <c r="AE83" i="3"/>
  <c r="AE80" i="3"/>
  <c r="AE77" i="3" s="1"/>
  <c r="AG83" i="3"/>
  <c r="AG80" i="3"/>
  <c r="AG77" i="3" s="1"/>
  <c r="AI83" i="3"/>
  <c r="AI80" i="3"/>
  <c r="AI77" i="3" s="1"/>
  <c r="AK83" i="3"/>
  <c r="AK80" i="3"/>
  <c r="AK77" i="3" s="1"/>
  <c r="AM83" i="3"/>
  <c r="AM80" i="3"/>
  <c r="AM77" i="3" s="1"/>
  <c r="AO83" i="3"/>
  <c r="AO80" i="3"/>
  <c r="AO77" i="3" s="1"/>
  <c r="AQ83" i="3"/>
  <c r="AQ80" i="3"/>
  <c r="AQ77" i="3" s="1"/>
  <c r="AS83" i="3"/>
  <c r="AS80" i="3"/>
  <c r="AS77" i="3" s="1"/>
  <c r="AL61" i="2"/>
  <c r="AO61" i="2"/>
  <c r="BC82" i="3"/>
  <c r="BE82" i="3"/>
  <c r="BG82" i="3"/>
  <c r="BI82" i="3"/>
  <c r="BA38" i="3"/>
  <c r="BC38" i="3"/>
  <c r="BE92" i="3"/>
  <c r="BG92" i="3"/>
  <c r="BI92" i="3"/>
  <c r="BF46" i="3"/>
  <c r="BM43" i="3"/>
  <c r="BM145" i="3" s="1"/>
  <c r="E72" i="3"/>
  <c r="G72" i="3"/>
  <c r="I72" i="3"/>
  <c r="K72" i="3"/>
  <c r="M72" i="3"/>
  <c r="O72" i="3"/>
  <c r="Q72" i="3"/>
  <c r="S72" i="3"/>
  <c r="U72" i="3"/>
  <c r="W72" i="3"/>
  <c r="Y72" i="3"/>
  <c r="AA72" i="3"/>
  <c r="AC72" i="3"/>
  <c r="AE72" i="3"/>
  <c r="AG72" i="3"/>
  <c r="AI72" i="3"/>
  <c r="AK72" i="3"/>
  <c r="AM72" i="3"/>
  <c r="AO72" i="3"/>
  <c r="AQ72" i="3"/>
  <c r="AS72" i="3"/>
  <c r="D140" i="3"/>
  <c r="L140" i="3"/>
  <c r="P140" i="3"/>
  <c r="T140" i="3"/>
  <c r="X140" i="3"/>
  <c r="AB140" i="3"/>
  <c r="AC135" i="3"/>
  <c r="AC140" i="3" s="1"/>
  <c r="AR140" i="3"/>
  <c r="AS135" i="3"/>
  <c r="AS140" i="3" s="1"/>
  <c r="AF140" i="3"/>
  <c r="AG135" i="3"/>
  <c r="AH135" i="3" s="1"/>
  <c r="AN140" i="3"/>
  <c r="AO135" i="3"/>
  <c r="AP135" i="3" s="1"/>
  <c r="G153" i="3"/>
  <c r="L148" i="3"/>
  <c r="P148" i="3"/>
  <c r="E153" i="3"/>
  <c r="BK26" i="3"/>
  <c r="BK138" i="71"/>
  <c r="AU67" i="71"/>
  <c r="AU68" i="71" s="1"/>
  <c r="BD19" i="71"/>
  <c r="BH19" i="71"/>
  <c r="AR64" i="71"/>
  <c r="AR505" i="13"/>
  <c r="AR508" i="13" s="1"/>
  <c r="AT64" i="71"/>
  <c r="AT505" i="13"/>
  <c r="AT508" i="13" s="1"/>
  <c r="BE33" i="71"/>
  <c r="BA33" i="71"/>
  <c r="BG37" i="71"/>
  <c r="BG38" i="71" s="1"/>
  <c r="BD77" i="71"/>
  <c r="BA103" i="71"/>
  <c r="BB103" i="71"/>
  <c r="BC103" i="71"/>
  <c r="BD103" i="71"/>
  <c r="BE103" i="71"/>
  <c r="BF103" i="71"/>
  <c r="BG103" i="71"/>
  <c r="BH103" i="71"/>
  <c r="BI103" i="71"/>
  <c r="BJ103" i="71"/>
  <c r="BA120" i="71"/>
  <c r="BE120" i="71"/>
  <c r="BG120" i="71"/>
  <c r="BC120" i="71"/>
  <c r="BB123" i="71"/>
  <c r="BD123" i="71"/>
  <c r="AK46" i="2"/>
  <c r="AK56" i="2" s="1"/>
  <c r="AK72" i="2" s="1"/>
  <c r="AK94" i="2" s="1"/>
  <c r="BF46" i="2"/>
  <c r="BF56" i="2" s="1"/>
  <c r="BF72" i="2" s="1"/>
  <c r="BH46" i="2"/>
  <c r="BH56" i="2" s="1"/>
  <c r="BH72" i="2" s="1"/>
  <c r="BH94" i="2" s="1"/>
  <c r="BJ46" i="2"/>
  <c r="BJ56" i="2" s="1"/>
  <c r="BJ72" i="2" s="1"/>
  <c r="BJ94" i="2" s="1"/>
  <c r="BL46" i="2"/>
  <c r="BL56" i="2" s="1"/>
  <c r="BL72" i="2" s="1"/>
  <c r="BL94" i="2" s="1"/>
  <c r="AW47" i="2"/>
  <c r="AX47" i="2" s="1"/>
  <c r="AY47" i="2" s="1"/>
  <c r="H73" i="2"/>
  <c r="H87" i="2" s="1"/>
  <c r="P73" i="2"/>
  <c r="P87" i="2" s="1"/>
  <c r="AK9" i="3"/>
  <c r="AK111" i="3" s="1"/>
  <c r="AM9" i="3"/>
  <c r="AM111" i="3" s="1"/>
  <c r="AO9" i="3"/>
  <c r="AO111" i="3" s="1"/>
  <c r="AQ9" i="3"/>
  <c r="AQ111" i="3" s="1"/>
  <c r="AS9" i="3"/>
  <c r="AS111" i="3" s="1"/>
  <c r="AU9" i="3"/>
  <c r="AU111" i="3" s="1"/>
  <c r="BF9" i="3"/>
  <c r="BH9" i="3"/>
  <c r="BJ9" i="3"/>
  <c r="BL9" i="3"/>
  <c r="BN9" i="3"/>
  <c r="BN111" i="3" s="1"/>
  <c r="BK15" i="3"/>
  <c r="BJ22" i="71"/>
  <c r="BK15" i="71"/>
  <c r="AS64" i="71"/>
  <c r="AS505" i="13"/>
  <c r="AS508" i="13" s="1"/>
  <c r="W20" i="71"/>
  <c r="AV31" i="71"/>
  <c r="BA37" i="71"/>
  <c r="BA38" i="71" s="1"/>
  <c r="BB37" i="71"/>
  <c r="AT38" i="71"/>
  <c r="BH46" i="71"/>
  <c r="BJ120" i="71"/>
  <c r="BA124" i="71"/>
  <c r="BC124" i="71"/>
  <c r="BE124" i="71"/>
  <c r="BG124" i="71"/>
  <c r="BI124" i="71"/>
  <c r="AJ46" i="2"/>
  <c r="AJ56" i="2" s="1"/>
  <c r="AJ72" i="2" s="1"/>
  <c r="AJ94" i="2" s="1"/>
  <c r="BE46" i="2"/>
  <c r="BE56" i="2" s="1"/>
  <c r="BE72" i="2" s="1"/>
  <c r="BG46" i="2"/>
  <c r="BG56" i="2" s="1"/>
  <c r="BG72" i="2" s="1"/>
  <c r="BI46" i="2"/>
  <c r="BI56" i="2" s="1"/>
  <c r="BI72" i="2" s="1"/>
  <c r="BI94" i="2" s="1"/>
  <c r="BK46" i="2"/>
  <c r="BK56" i="2" s="1"/>
  <c r="BK72" i="2" s="1"/>
  <c r="BK94" i="2" s="1"/>
  <c r="BM46" i="2"/>
  <c r="BM56" i="2" s="1"/>
  <c r="BM72" i="2" s="1"/>
  <c r="BM94" i="2" s="1"/>
  <c r="AJ9" i="3"/>
  <c r="AJ111" i="3" s="1"/>
  <c r="AL9" i="3"/>
  <c r="AL111" i="3" s="1"/>
  <c r="AN9" i="3"/>
  <c r="AN111" i="3" s="1"/>
  <c r="AP9" i="3"/>
  <c r="AP111" i="3" s="1"/>
  <c r="AR9" i="3"/>
  <c r="AR111" i="3" s="1"/>
  <c r="AT9" i="3"/>
  <c r="AT111" i="3" s="1"/>
  <c r="BE9" i="3"/>
  <c r="BG9" i="3"/>
  <c r="BI9" i="3"/>
  <c r="BK9" i="3"/>
  <c r="BM9" i="3"/>
  <c r="BM111" i="3" s="1"/>
  <c r="AJ449" i="13"/>
  <c r="AC84" i="2"/>
  <c r="AE84" i="2"/>
  <c r="AG84" i="2"/>
  <c r="AB84" i="2"/>
  <c r="AD84" i="2"/>
  <c r="AF84" i="2"/>
  <c r="BI120" i="71"/>
  <c r="BA47" i="2"/>
  <c r="BC47" i="2"/>
  <c r="BE47" i="2"/>
  <c r="BG47" i="2"/>
  <c r="BI47" i="2"/>
  <c r="BB50" i="2"/>
  <c r="BD50" i="2"/>
  <c r="BF50" i="2"/>
  <c r="BH50" i="2"/>
  <c r="BF28" i="13"/>
  <c r="Y36" i="13"/>
  <c r="BD44" i="13"/>
  <c r="Y44" i="13"/>
  <c r="Y52" i="13"/>
  <c r="BD141" i="13"/>
  <c r="BF141" i="13"/>
  <c r="BH141" i="13"/>
  <c r="BD435" i="13"/>
  <c r="P532" i="13"/>
  <c r="R532" i="13"/>
  <c r="T532" i="13"/>
  <c r="V532" i="13"/>
  <c r="X532" i="13"/>
  <c r="AB532" i="13"/>
  <c r="AD532" i="13"/>
  <c r="AF532" i="13"/>
  <c r="AH532" i="13"/>
  <c r="AJ532" i="13"/>
  <c r="AL532" i="13"/>
  <c r="L532" i="13"/>
  <c r="AM534" i="13"/>
  <c r="P501" i="13"/>
  <c r="P183" i="13"/>
  <c r="P118" i="13"/>
  <c r="P117" i="13"/>
  <c r="P116" i="13"/>
  <c r="BD114" i="13"/>
  <c r="R183" i="13"/>
  <c r="R118" i="13"/>
  <c r="R117" i="13"/>
  <c r="R116" i="13"/>
  <c r="R115" i="13"/>
  <c r="T183" i="13"/>
  <c r="T176" i="13"/>
  <c r="T118" i="13"/>
  <c r="T117" i="13"/>
  <c r="T116" i="13"/>
  <c r="BE114" i="13"/>
  <c r="T115" i="13"/>
  <c r="V183" i="13"/>
  <c r="V176" i="13"/>
  <c r="V118" i="13"/>
  <c r="V117" i="13"/>
  <c r="V116" i="13"/>
  <c r="V115" i="13"/>
  <c r="X183" i="13"/>
  <c r="X176" i="13"/>
  <c r="X118" i="13"/>
  <c r="X117" i="13"/>
  <c r="AB116" i="13"/>
  <c r="X116" i="13"/>
  <c r="X115" i="13"/>
  <c r="BF114" i="13"/>
  <c r="Z183" i="13"/>
  <c r="Z176" i="13"/>
  <c r="Z118" i="13"/>
  <c r="Z117" i="13"/>
  <c r="AD116" i="13"/>
  <c r="Z116" i="13"/>
  <c r="Z115" i="13"/>
  <c r="Q183" i="13"/>
  <c r="Q115" i="13"/>
  <c r="Q118" i="13"/>
  <c r="Q117" i="13"/>
  <c r="Q116" i="13"/>
  <c r="S183" i="13"/>
  <c r="S115" i="13"/>
  <c r="S118" i="13"/>
  <c r="S117" i="13"/>
  <c r="S116" i="13"/>
  <c r="U183" i="13"/>
  <c r="U176" i="13"/>
  <c r="U115" i="13"/>
  <c r="U118" i="13"/>
  <c r="U117" i="13"/>
  <c r="U116" i="13"/>
  <c r="W183" i="13"/>
  <c r="W176" i="13"/>
  <c r="W115" i="13"/>
  <c r="W118" i="13"/>
  <c r="W117" i="13"/>
  <c r="W116" i="13"/>
  <c r="Y183" i="13"/>
  <c r="Y176" i="13"/>
  <c r="Y118" i="13"/>
  <c r="Y117" i="13"/>
  <c r="AC116" i="13"/>
  <c r="Y116" i="13"/>
  <c r="AB176" i="13"/>
  <c r="AA183" i="13"/>
  <c r="AA176" i="13"/>
  <c r="AB115" i="13"/>
  <c r="AA118" i="13"/>
  <c r="AA117" i="13"/>
  <c r="AE116" i="13"/>
  <c r="AA116" i="13"/>
  <c r="AA115" i="13"/>
  <c r="Q17" i="13"/>
  <c r="S17" i="13"/>
  <c r="AK501" i="13"/>
  <c r="AK216" i="13"/>
  <c r="AM531" i="13"/>
  <c r="AM503" i="13"/>
  <c r="AM354" i="13"/>
  <c r="AO501" i="13"/>
  <c r="AO216" i="13"/>
  <c r="AQ503" i="13"/>
  <c r="AQ354" i="13"/>
  <c r="AS501" i="13"/>
  <c r="AS216" i="13"/>
  <c r="AU503" i="13"/>
  <c r="U17" i="13"/>
  <c r="W17" i="13"/>
  <c r="Y17" i="13"/>
  <c r="AA17" i="13"/>
  <c r="AC17" i="13"/>
  <c r="AE17" i="13"/>
  <c r="AG17" i="13"/>
  <c r="AI17" i="13"/>
  <c r="AK17" i="13"/>
  <c r="AM17" i="13"/>
  <c r="AO17" i="13"/>
  <c r="AQ17" i="13"/>
  <c r="AS17" i="13"/>
  <c r="U18" i="13"/>
  <c r="W18" i="13"/>
  <c r="Y18" i="13"/>
  <c r="AA18" i="13"/>
  <c r="AC18" i="13"/>
  <c r="AE18" i="13"/>
  <c r="AG18" i="13"/>
  <c r="AI18" i="13"/>
  <c r="AK18" i="13"/>
  <c r="AM18" i="13"/>
  <c r="AO18" i="13"/>
  <c r="AQ18" i="13"/>
  <c r="AS18" i="13"/>
  <c r="BD16" i="13"/>
  <c r="BF16" i="13"/>
  <c r="BH16" i="13"/>
  <c r="BJ16" i="13"/>
  <c r="P19" i="13"/>
  <c r="AV450" i="13"/>
  <c r="AV177" i="13"/>
  <c r="BE184" i="13"/>
  <c r="BG531" i="13"/>
  <c r="BE26" i="13"/>
  <c r="BG26" i="13"/>
  <c r="BI26" i="13"/>
  <c r="BK26" i="13"/>
  <c r="AV464" i="13"/>
  <c r="AV477" i="13"/>
  <c r="BF34" i="13"/>
  <c r="BH34" i="13"/>
  <c r="BJ34" i="13"/>
  <c r="BE36" i="13"/>
  <c r="BG36" i="13"/>
  <c r="BI36" i="13"/>
  <c r="AU478" i="13"/>
  <c r="AU465" i="13"/>
  <c r="BE42" i="13"/>
  <c r="BG42" i="13"/>
  <c r="BI42" i="13"/>
  <c r="BD43" i="13"/>
  <c r="BF43" i="13"/>
  <c r="BH43" i="13"/>
  <c r="BJ43" i="13"/>
  <c r="BF44" i="13"/>
  <c r="BH44" i="13"/>
  <c r="AV466" i="13"/>
  <c r="AV479" i="13"/>
  <c r="BF50" i="13"/>
  <c r="BH50" i="13"/>
  <c r="BJ50" i="13"/>
  <c r="BE52" i="13"/>
  <c r="BG52" i="13"/>
  <c r="BI52" i="13"/>
  <c r="BE58" i="13"/>
  <c r="BH58" i="13"/>
  <c r="T182" i="13"/>
  <c r="T175" i="13"/>
  <c r="V182" i="13"/>
  <c r="V175" i="13"/>
  <c r="Z182" i="13"/>
  <c r="AB182" i="13"/>
  <c r="AB175" i="13"/>
  <c r="AD182" i="13"/>
  <c r="AD175" i="13"/>
  <c r="AE185" i="13"/>
  <c r="AE178" i="13"/>
  <c r="BD63" i="13"/>
  <c r="Y185" i="13"/>
  <c r="M68" i="13"/>
  <c r="O68" i="13"/>
  <c r="Q68" i="13"/>
  <c r="S68" i="13"/>
  <c r="U68" i="13"/>
  <c r="W68" i="13"/>
  <c r="AA68" i="13"/>
  <c r="AC68" i="13"/>
  <c r="Z69" i="13"/>
  <c r="P70" i="13"/>
  <c r="R70" i="13"/>
  <c r="T70" i="13"/>
  <c r="V70" i="13"/>
  <c r="X70" i="13"/>
  <c r="Z70" i="13"/>
  <c r="AB70" i="13"/>
  <c r="AD70" i="13"/>
  <c r="AF70" i="13"/>
  <c r="BF70" i="13"/>
  <c r="Y74" i="13"/>
  <c r="AC74" i="13"/>
  <c r="AE74" i="13"/>
  <c r="BE74" i="13"/>
  <c r="T75" i="13"/>
  <c r="AB75" i="13"/>
  <c r="AD75" i="13"/>
  <c r="Y79" i="13"/>
  <c r="AE79" i="13"/>
  <c r="AJ183" i="13"/>
  <c r="AJ176" i="13"/>
  <c r="AK176" i="13"/>
  <c r="AR183" i="13"/>
  <c r="AR176" i="13"/>
  <c r="BH116" i="13"/>
  <c r="BH118" i="13"/>
  <c r="Q258" i="13"/>
  <c r="Q254" i="13"/>
  <c r="Q501" i="13" s="1"/>
  <c r="S258" i="13"/>
  <c r="S254" i="13"/>
  <c r="S501" i="13" s="1"/>
  <c r="U258" i="13"/>
  <c r="U263" i="13"/>
  <c r="U254" i="13"/>
  <c r="W258" i="13"/>
  <c r="W263" i="13"/>
  <c r="W254" i="13"/>
  <c r="Y258" i="13"/>
  <c r="Y263" i="13"/>
  <c r="Y254" i="13"/>
  <c r="AA258" i="13"/>
  <c r="AE263" i="13"/>
  <c r="AA263" i="13"/>
  <c r="AA254" i="13"/>
  <c r="BE136" i="13"/>
  <c r="BE137" i="13" s="1"/>
  <c r="AJ186" i="13"/>
  <c r="AJ179" i="13"/>
  <c r="AK179" i="13"/>
  <c r="AJ139" i="13"/>
  <c r="AK138" i="13"/>
  <c r="AR186" i="13"/>
  <c r="AR179" i="13"/>
  <c r="AR139" i="13"/>
  <c r="R164" i="13"/>
  <c r="Q164" i="13"/>
  <c r="Q161" i="13"/>
  <c r="Q159" i="13"/>
  <c r="T164" i="13"/>
  <c r="S164" i="13"/>
  <c r="S161" i="13"/>
  <c r="S159" i="13"/>
  <c r="V164" i="13"/>
  <c r="U164" i="13"/>
  <c r="U161" i="13"/>
  <c r="U159" i="13"/>
  <c r="BE155" i="13"/>
  <c r="BE159" i="13" s="1"/>
  <c r="X164" i="13"/>
  <c r="W164" i="13"/>
  <c r="W161" i="13"/>
  <c r="W159" i="13"/>
  <c r="Z164" i="13"/>
  <c r="Y164" i="13"/>
  <c r="Y161" i="13"/>
  <c r="Y159" i="13"/>
  <c r="AB164" i="13"/>
  <c r="AA164" i="13"/>
  <c r="AA161" i="13"/>
  <c r="AA159" i="13"/>
  <c r="AD164" i="13"/>
  <c r="AC164" i="13"/>
  <c r="AC161" i="13"/>
  <c r="AC159" i="13"/>
  <c r="AF164" i="13"/>
  <c r="AE164" i="13"/>
  <c r="AE161" i="13"/>
  <c r="AE159" i="13"/>
  <c r="AH164" i="13"/>
  <c r="AG164" i="13"/>
  <c r="AG161" i="13"/>
  <c r="AG159" i="13"/>
  <c r="AJ164" i="13"/>
  <c r="AI164" i="13"/>
  <c r="AI161" i="13"/>
  <c r="AI159" i="13"/>
  <c r="AL164" i="13"/>
  <c r="AK164" i="13"/>
  <c r="AK161" i="13"/>
  <c r="AK159" i="13"/>
  <c r="AN164" i="13"/>
  <c r="AM164" i="13"/>
  <c r="AM161" i="13"/>
  <c r="AM159" i="13"/>
  <c r="AP164" i="13"/>
  <c r="AO164" i="13"/>
  <c r="AO161" i="13"/>
  <c r="AO159" i="13"/>
  <c r="AR164" i="13"/>
  <c r="AQ164" i="13"/>
  <c r="AQ161" i="13"/>
  <c r="AQ159" i="13"/>
  <c r="S209" i="13"/>
  <c r="W209" i="13"/>
  <c r="AA209" i="13"/>
  <c r="AE209" i="13"/>
  <c r="AI209" i="13"/>
  <c r="AM209" i="13"/>
  <c r="AQ209" i="13"/>
  <c r="U227" i="13"/>
  <c r="W227" i="13"/>
  <c r="Y227" i="13"/>
  <c r="AA227" i="13"/>
  <c r="L510" i="13"/>
  <c r="L242" i="13"/>
  <c r="L226" i="13"/>
  <c r="BC225" i="13"/>
  <c r="L224" i="13"/>
  <c r="N510" i="13"/>
  <c r="N242" i="13"/>
  <c r="N226" i="13"/>
  <c r="N224" i="13"/>
  <c r="P510" i="13"/>
  <c r="P242" i="13"/>
  <c r="BD225" i="13"/>
  <c r="P226" i="13"/>
  <c r="P224" i="13"/>
  <c r="R510" i="13"/>
  <c r="R242" i="13"/>
  <c r="R226" i="13"/>
  <c r="R224" i="13"/>
  <c r="T510" i="13"/>
  <c r="T242" i="13"/>
  <c r="T226" i="13"/>
  <c r="BE225" i="13"/>
  <c r="T224" i="13"/>
  <c r="V510" i="13"/>
  <c r="V242" i="13"/>
  <c r="V226" i="13"/>
  <c r="V224" i="13"/>
  <c r="X510" i="13"/>
  <c r="X242" i="13"/>
  <c r="BF225" i="13"/>
  <c r="X226" i="13"/>
  <c r="X224" i="13"/>
  <c r="Z242" i="13"/>
  <c r="Z226" i="13"/>
  <c r="AB510" i="13"/>
  <c r="AB226" i="13"/>
  <c r="AB224" i="13"/>
  <c r="AD510" i="13"/>
  <c r="AD226" i="13"/>
  <c r="AF510" i="13"/>
  <c r="AF224" i="13"/>
  <c r="AF226" i="13"/>
  <c r="AH510" i="13"/>
  <c r="AH226" i="13"/>
  <c r="AJ510" i="13"/>
  <c r="AJ226" i="13"/>
  <c r="AJ224" i="13"/>
  <c r="AL510" i="13"/>
  <c r="AL226" i="13"/>
  <c r="AN510" i="13"/>
  <c r="AN224" i="13"/>
  <c r="AN226" i="13"/>
  <c r="AP510" i="13"/>
  <c r="AP226" i="13"/>
  <c r="BM282" i="13"/>
  <c r="BM280" i="13"/>
  <c r="BM281" i="13" s="1"/>
  <c r="Q307" i="13"/>
  <c r="Q308" i="13" s="1"/>
  <c r="R17" i="13"/>
  <c r="AL501" i="13"/>
  <c r="AL216" i="13"/>
  <c r="AP501" i="13"/>
  <c r="AP216" i="13"/>
  <c r="AR501" i="13"/>
  <c r="AR216" i="13"/>
  <c r="AT501" i="13"/>
  <c r="AT216" i="13"/>
  <c r="T17" i="13"/>
  <c r="V17" i="13"/>
  <c r="X17" i="13"/>
  <c r="Z17" i="13"/>
  <c r="AB17" i="13"/>
  <c r="AD17" i="13"/>
  <c r="AF17" i="13"/>
  <c r="AH17" i="13"/>
  <c r="AJ17" i="13"/>
  <c r="AL17" i="13"/>
  <c r="AN17" i="13"/>
  <c r="AP17" i="13"/>
  <c r="AR17" i="13"/>
  <c r="AT17" i="13"/>
  <c r="T18" i="13"/>
  <c r="V18" i="13"/>
  <c r="X18" i="13"/>
  <c r="Z18" i="13"/>
  <c r="AB18" i="13"/>
  <c r="AD18" i="13"/>
  <c r="AF18" i="13"/>
  <c r="AH18" i="13"/>
  <c r="AJ18" i="13"/>
  <c r="AL18" i="13"/>
  <c r="AN18" i="13"/>
  <c r="AP18" i="13"/>
  <c r="AR18" i="13"/>
  <c r="AT18" i="13"/>
  <c r="BC16" i="13"/>
  <c r="BC19" i="13" s="1"/>
  <c r="BE16" i="13"/>
  <c r="BG16" i="13"/>
  <c r="BI16" i="13"/>
  <c r="BK16" i="13"/>
  <c r="BK27" i="13" s="1"/>
  <c r="AC19" i="13"/>
  <c r="AE19" i="13"/>
  <c r="AG19" i="13"/>
  <c r="AI19" i="13"/>
  <c r="AK19" i="13"/>
  <c r="AM19" i="13"/>
  <c r="AO19" i="13"/>
  <c r="AQ19" i="13"/>
  <c r="AS19" i="13"/>
  <c r="AU450" i="13"/>
  <c r="AU177" i="13"/>
  <c r="AW24" i="13"/>
  <c r="BD184" i="13"/>
  <c r="BF184" i="13"/>
  <c r="BH531" i="13"/>
  <c r="BH503" i="13"/>
  <c r="BH502" i="13"/>
  <c r="AV26" i="13"/>
  <c r="AV27" i="13"/>
  <c r="BD26" i="13"/>
  <c r="BF26" i="13"/>
  <c r="BH26" i="13"/>
  <c r="BE28" i="13"/>
  <c r="BG28" i="13"/>
  <c r="AU477" i="13"/>
  <c r="AU464" i="13"/>
  <c r="AW32" i="13"/>
  <c r="AV34" i="13"/>
  <c r="AP35" i="13"/>
  <c r="AV35" i="13"/>
  <c r="BD35" i="13"/>
  <c r="BF35" i="13"/>
  <c r="BH35" i="13"/>
  <c r="BJ35" i="13"/>
  <c r="AV40" i="13"/>
  <c r="BK40" i="13"/>
  <c r="BE43" i="13"/>
  <c r="BG43" i="13"/>
  <c r="BI43" i="13"/>
  <c r="AU479" i="13"/>
  <c r="AU466" i="13"/>
  <c r="AW48" i="13"/>
  <c r="AV50" i="13"/>
  <c r="AV51" i="13"/>
  <c r="BD51" i="13"/>
  <c r="BF51" i="13"/>
  <c r="BH51" i="13"/>
  <c r="BJ51" i="13"/>
  <c r="BD58" i="13"/>
  <c r="BD59" i="13"/>
  <c r="BG58" i="13"/>
  <c r="BF58" i="13"/>
  <c r="U182" i="13"/>
  <c r="U175" i="13"/>
  <c r="W182" i="13"/>
  <c r="W175" i="13"/>
  <c r="Y63" i="13"/>
  <c r="AA182" i="13"/>
  <c r="AA175" i="13"/>
  <c r="AC182" i="13"/>
  <c r="AC175" i="13"/>
  <c r="AE63" i="13"/>
  <c r="BE63" i="13"/>
  <c r="BG63" i="13"/>
  <c r="BG64" i="13"/>
  <c r="BG65" i="13"/>
  <c r="X64" i="13"/>
  <c r="Z185" i="13"/>
  <c r="Z178" i="13"/>
  <c r="AA178" i="13"/>
  <c r="P68" i="13"/>
  <c r="R68" i="13"/>
  <c r="T68" i="13"/>
  <c r="V68" i="13"/>
  <c r="Z68" i="13"/>
  <c r="AB68" i="13"/>
  <c r="AD68" i="13"/>
  <c r="AA69" i="13"/>
  <c r="Q70" i="13"/>
  <c r="S70" i="13"/>
  <c r="U70" i="13"/>
  <c r="W70" i="13"/>
  <c r="Y70" i="13"/>
  <c r="AA70" i="13"/>
  <c r="AC70" i="13"/>
  <c r="AE70" i="13"/>
  <c r="AG70" i="13"/>
  <c r="P73" i="13"/>
  <c r="R73" i="13"/>
  <c r="T73" i="13"/>
  <c r="V73" i="13"/>
  <c r="Z73" i="13"/>
  <c r="AD73" i="13"/>
  <c r="Z74" i="13"/>
  <c r="AD74" i="13"/>
  <c r="Z78" i="13"/>
  <c r="AB78" i="13"/>
  <c r="AD78" i="13"/>
  <c r="Z79" i="13"/>
  <c r="AN183" i="13"/>
  <c r="AN176" i="13"/>
  <c r="AO176" i="13"/>
  <c r="AS114" i="13"/>
  <c r="BI114" i="13"/>
  <c r="BK114" i="13"/>
  <c r="AK115" i="13"/>
  <c r="AJ116" i="13"/>
  <c r="AN116" i="13"/>
  <c r="AR116" i="13"/>
  <c r="AJ117" i="13"/>
  <c r="AN117" i="13"/>
  <c r="AR117" i="13"/>
  <c r="AJ118" i="13"/>
  <c r="AN118" i="13"/>
  <c r="BG116" i="13"/>
  <c r="BF126" i="13"/>
  <c r="BF129" i="13" s="1"/>
  <c r="P455" i="13"/>
  <c r="BD254" i="13"/>
  <c r="R254" i="13"/>
  <c r="R258" i="13"/>
  <c r="T263" i="13"/>
  <c r="T254" i="13"/>
  <c r="T258" i="13"/>
  <c r="V263" i="13"/>
  <c r="V254" i="13"/>
  <c r="V258" i="13"/>
  <c r="X263" i="13"/>
  <c r="X254" i="13"/>
  <c r="X258" i="13"/>
  <c r="Z263" i="13"/>
  <c r="Z254" i="13"/>
  <c r="Z258" i="13"/>
  <c r="BD136" i="13"/>
  <c r="BD137" i="13" s="1"/>
  <c r="BF136" i="13"/>
  <c r="BF137" i="13" s="1"/>
  <c r="AN186" i="13"/>
  <c r="AN179" i="13"/>
  <c r="AO179" i="13"/>
  <c r="AN139" i="13"/>
  <c r="AS137" i="13"/>
  <c r="BI137" i="13"/>
  <c r="BK137" i="13"/>
  <c r="BH139" i="13"/>
  <c r="AU146" i="13"/>
  <c r="AU184" i="13" s="1"/>
  <c r="BD155" i="13"/>
  <c r="BD159" i="13" s="1"/>
  <c r="Q209" i="13"/>
  <c r="U209" i="13"/>
  <c r="Y209" i="13"/>
  <c r="AC209" i="13"/>
  <c r="AG209" i="13"/>
  <c r="AK209" i="13"/>
  <c r="AO209" i="13"/>
  <c r="BD216" i="13"/>
  <c r="BF216" i="13"/>
  <c r="BH216" i="13"/>
  <c r="BJ216" i="13"/>
  <c r="M510" i="13"/>
  <c r="M224" i="13"/>
  <c r="M242" i="13"/>
  <c r="M226" i="13"/>
  <c r="O510" i="13"/>
  <c r="O224" i="13"/>
  <c r="O242" i="13"/>
  <c r="O226" i="13"/>
  <c r="Q510" i="13"/>
  <c r="Q224" i="13"/>
  <c r="Q226" i="13"/>
  <c r="S510" i="13"/>
  <c r="S224" i="13"/>
  <c r="S242" i="13"/>
  <c r="S226" i="13"/>
  <c r="U510" i="13"/>
  <c r="U224" i="13"/>
  <c r="U242" i="13"/>
  <c r="U226" i="13"/>
  <c r="W510" i="13"/>
  <c r="W224" i="13"/>
  <c r="W242" i="13"/>
  <c r="W226" i="13"/>
  <c r="Y510" i="13"/>
  <c r="Y224" i="13"/>
  <c r="Y226" i="13"/>
  <c r="AA242" i="13"/>
  <c r="AA226" i="13"/>
  <c r="AC510" i="13"/>
  <c r="AC226" i="13"/>
  <c r="AE510" i="13"/>
  <c r="AE242" i="13"/>
  <c r="AE245" i="13" s="1"/>
  <c r="AE246" i="13" s="1"/>
  <c r="AE227" i="13"/>
  <c r="AE226" i="13"/>
  <c r="AG510" i="13"/>
  <c r="AG226" i="13"/>
  <c r="AI510" i="13"/>
  <c r="AI226" i="13"/>
  <c r="AK510" i="13"/>
  <c r="AK226" i="13"/>
  <c r="AM510" i="13"/>
  <c r="AM226" i="13"/>
  <c r="AO510" i="13"/>
  <c r="AO226" i="13"/>
  <c r="AQ510" i="13"/>
  <c r="AQ226" i="13"/>
  <c r="M522" i="13"/>
  <c r="O522" i="13"/>
  <c r="O523" i="13"/>
  <c r="S521" i="13"/>
  <c r="S241" i="13"/>
  <c r="U521" i="13"/>
  <c r="U241" i="13"/>
  <c r="W521" i="13"/>
  <c r="W241" i="13"/>
  <c r="AA241" i="13"/>
  <c r="AC521" i="13"/>
  <c r="AC241" i="13"/>
  <c r="AE521" i="13"/>
  <c r="AE241" i="13"/>
  <c r="AG521" i="13"/>
  <c r="AG241" i="13"/>
  <c r="AI521" i="13"/>
  <c r="AI241" i="13"/>
  <c r="AM521" i="13"/>
  <c r="AM241" i="13"/>
  <c r="AQ521" i="13"/>
  <c r="AQ241" i="13"/>
  <c r="BE161" i="13"/>
  <c r="BD213" i="13"/>
  <c r="BF213" i="13"/>
  <c r="AQ508" i="13"/>
  <c r="AQ507" i="13"/>
  <c r="AQ506" i="13"/>
  <c r="BC218" i="13"/>
  <c r="BE218" i="13"/>
  <c r="BC534" i="13"/>
  <c r="BC517" i="13"/>
  <c r="BE534" i="13"/>
  <c r="BE519" i="13"/>
  <c r="BC231" i="13"/>
  <c r="BE231" i="13"/>
  <c r="Q240" i="13"/>
  <c r="Y240" i="13"/>
  <c r="P241" i="13"/>
  <c r="R241" i="13"/>
  <c r="V241" i="13"/>
  <c r="X241" i="13"/>
  <c r="AB241" i="13"/>
  <c r="AD241" i="13"/>
  <c r="BD240" i="13"/>
  <c r="BF240" i="13"/>
  <c r="BN254" i="13"/>
  <c r="BE261" i="13"/>
  <c r="BK261" i="13"/>
  <c r="BM264" i="13"/>
  <c r="BI267" i="13"/>
  <c r="AO277" i="13"/>
  <c r="AQ277" i="13"/>
  <c r="AO278" i="13"/>
  <c r="AQ278" i="13"/>
  <c r="AO280" i="13"/>
  <c r="AQ280" i="13"/>
  <c r="AR281" i="13" s="1"/>
  <c r="Q281" i="13"/>
  <c r="S281" i="13"/>
  <c r="U281" i="13"/>
  <c r="W281" i="13"/>
  <c r="Y281" i="13"/>
  <c r="AA281" i="13"/>
  <c r="AC281" i="13"/>
  <c r="AE281" i="13"/>
  <c r="AG281" i="13"/>
  <c r="AI281" i="13"/>
  <c r="AM281" i="13"/>
  <c r="AG282" i="13"/>
  <c r="AK282" i="13"/>
  <c r="AO282" i="13"/>
  <c r="AQ282" i="13"/>
  <c r="BD280" i="13"/>
  <c r="BF280" i="13"/>
  <c r="R285" i="13"/>
  <c r="R286" i="13" s="1"/>
  <c r="R287" i="13" s="1"/>
  <c r="T285" i="13"/>
  <c r="T286" i="13" s="1"/>
  <c r="T287" i="13" s="1"/>
  <c r="V285" i="13"/>
  <c r="V286" i="13" s="1"/>
  <c r="V287" i="13" s="1"/>
  <c r="X285" i="13"/>
  <c r="X286" i="13" s="1"/>
  <c r="X287" i="13" s="1"/>
  <c r="Z285" i="13"/>
  <c r="Z286" i="13" s="1"/>
  <c r="Z287" i="13" s="1"/>
  <c r="AB285" i="13"/>
  <c r="AB286" i="13" s="1"/>
  <c r="AB287" i="13" s="1"/>
  <c r="AD285" i="13"/>
  <c r="AD286" i="13" s="1"/>
  <c r="AD287" i="13" s="1"/>
  <c r="AF285" i="13"/>
  <c r="AF286" i="13" s="1"/>
  <c r="AF287" i="13" s="1"/>
  <c r="AH285" i="13"/>
  <c r="AH286" i="13" s="1"/>
  <c r="AH287" i="13" s="1"/>
  <c r="AJ285" i="13"/>
  <c r="AL285" i="13"/>
  <c r="AL286" i="13" s="1"/>
  <c r="AL287" i="13" s="1"/>
  <c r="AN285" i="13"/>
  <c r="AN286" i="13" s="1"/>
  <c r="AN287" i="13" s="1"/>
  <c r="AF298" i="13"/>
  <c r="AJ298" i="13"/>
  <c r="AN298" i="13"/>
  <c r="AP298" i="13"/>
  <c r="AF299" i="13"/>
  <c r="AJ299" i="13"/>
  <c r="AN299" i="13"/>
  <c r="AP299" i="13"/>
  <c r="Q302" i="13"/>
  <c r="S302" i="13"/>
  <c r="U302" i="13"/>
  <c r="W302" i="13"/>
  <c r="Y302" i="13"/>
  <c r="AA302" i="13"/>
  <c r="AC302" i="13"/>
  <c r="AE302" i="13"/>
  <c r="AG302" i="13"/>
  <c r="AI302" i="13"/>
  <c r="AK302" i="13"/>
  <c r="AM302" i="13"/>
  <c r="AO302" i="13"/>
  <c r="AQ302" i="13"/>
  <c r="AF303" i="13"/>
  <c r="AJ303" i="13"/>
  <c r="BD301" i="13"/>
  <c r="BF301" i="13"/>
  <c r="S306" i="13"/>
  <c r="S307" i="13" s="1"/>
  <c r="S308" i="13" s="1"/>
  <c r="U306" i="13"/>
  <c r="U307" i="13" s="1"/>
  <c r="U308" i="13" s="1"/>
  <c r="W306" i="13"/>
  <c r="W307" i="13" s="1"/>
  <c r="W308" i="13" s="1"/>
  <c r="Y306" i="13"/>
  <c r="Y307" i="13" s="1"/>
  <c r="Y308" i="13" s="1"/>
  <c r="AA306" i="13"/>
  <c r="AA307" i="13" s="1"/>
  <c r="AA308" i="13" s="1"/>
  <c r="AC306" i="13"/>
  <c r="AC307" i="13" s="1"/>
  <c r="AC308" i="13" s="1"/>
  <c r="AE306" i="13"/>
  <c r="AE307" i="13" s="1"/>
  <c r="AE308" i="13" s="1"/>
  <c r="AG306" i="13"/>
  <c r="AG307" i="13" s="1"/>
  <c r="AG308" i="13" s="1"/>
  <c r="AI306" i="13"/>
  <c r="AI307" i="13" s="1"/>
  <c r="AI308" i="13" s="1"/>
  <c r="AK306" i="13"/>
  <c r="AK307" i="13" s="1"/>
  <c r="AK308" i="13" s="1"/>
  <c r="AM306" i="13"/>
  <c r="AM307" i="13" s="1"/>
  <c r="AM308" i="13" s="1"/>
  <c r="AO306" i="13"/>
  <c r="AO307" i="13" s="1"/>
  <c r="AO308" i="13" s="1"/>
  <c r="AQ306" i="13"/>
  <c r="AQ307" i="13" s="1"/>
  <c r="AQ308" i="13" s="1"/>
  <c r="BC314" i="13"/>
  <c r="M341" i="13"/>
  <c r="M325" i="13"/>
  <c r="M324" i="13"/>
  <c r="O341" i="13"/>
  <c r="O325" i="13"/>
  <c r="O324" i="13"/>
  <c r="Q341" i="13"/>
  <c r="Q325" i="13"/>
  <c r="Q324" i="13"/>
  <c r="S341" i="13"/>
  <c r="S325" i="13"/>
  <c r="S324" i="13"/>
  <c r="U341" i="13"/>
  <c r="U325" i="13"/>
  <c r="U324" i="13"/>
  <c r="W341" i="13"/>
  <c r="W325" i="13"/>
  <c r="W324" i="13"/>
  <c r="Y341" i="13"/>
  <c r="Y325" i="13"/>
  <c r="Y324" i="13"/>
  <c r="AA341" i="13"/>
  <c r="AA325" i="13"/>
  <c r="AA324" i="13"/>
  <c r="AE341" i="13"/>
  <c r="BG341" i="13" s="1"/>
  <c r="BF316" i="13"/>
  <c r="S343" i="13"/>
  <c r="W343" i="13"/>
  <c r="AA343" i="13"/>
  <c r="N324" i="13"/>
  <c r="R324" i="13"/>
  <c r="V324" i="13"/>
  <c r="Z324" i="13"/>
  <c r="N325" i="13"/>
  <c r="R325" i="13"/>
  <c r="V325" i="13"/>
  <c r="Z325" i="13"/>
  <c r="BE323" i="13"/>
  <c r="BE331" i="13"/>
  <c r="AU483" i="13"/>
  <c r="AU470" i="13"/>
  <c r="Q367" i="13"/>
  <c r="Q365" i="13"/>
  <c r="S367" i="13"/>
  <c r="S365" i="13"/>
  <c r="U367" i="13"/>
  <c r="U365" i="13"/>
  <c r="W367" i="13"/>
  <c r="W365" i="13"/>
  <c r="Y367" i="13"/>
  <c r="Y365" i="13"/>
  <c r="AA367" i="13"/>
  <c r="AA365" i="13"/>
  <c r="AC367" i="13"/>
  <c r="AC365" i="13"/>
  <c r="AE367" i="13"/>
  <c r="AE365" i="13"/>
  <c r="AG367" i="13"/>
  <c r="AG365" i="13"/>
  <c r="AI367" i="13"/>
  <c r="AI365" i="13"/>
  <c r="AK367" i="13"/>
  <c r="AK365" i="13"/>
  <c r="AM367" i="13"/>
  <c r="AM365" i="13"/>
  <c r="AO367" i="13"/>
  <c r="AO365" i="13"/>
  <c r="AQ367" i="13"/>
  <c r="AQ365" i="13"/>
  <c r="AJ377" i="13"/>
  <c r="BI376" i="13"/>
  <c r="BI377" i="13" s="1"/>
  <c r="AL377" i="13"/>
  <c r="BK376" i="13"/>
  <c r="BK377" i="13" s="1"/>
  <c r="BC394" i="13"/>
  <c r="BC395" i="13" s="1"/>
  <c r="L395" i="13"/>
  <c r="BD394" i="13"/>
  <c r="BD395" i="13" s="1"/>
  <c r="P395" i="13"/>
  <c r="BE394" i="13"/>
  <c r="BE395" i="13" s="1"/>
  <c r="T395" i="13"/>
  <c r="BF394" i="13"/>
  <c r="BF395" i="13" s="1"/>
  <c r="X395" i="13"/>
  <c r="L429" i="13"/>
  <c r="L428" i="13"/>
  <c r="L427" i="13"/>
  <c r="BC425" i="13"/>
  <c r="N429" i="13"/>
  <c r="N428" i="13"/>
  <c r="N427" i="13"/>
  <c r="N426" i="13"/>
  <c r="BD425" i="13"/>
  <c r="P429" i="13"/>
  <c r="P428" i="13"/>
  <c r="P427" i="13"/>
  <c r="P426" i="13"/>
  <c r="R428" i="13"/>
  <c r="R427" i="13"/>
  <c r="R426" i="13"/>
  <c r="T428" i="13"/>
  <c r="T427" i="13"/>
  <c r="BE425" i="13"/>
  <c r="T426" i="13"/>
  <c r="V428" i="13"/>
  <c r="V427" i="13"/>
  <c r="V426" i="13"/>
  <c r="X428" i="13"/>
  <c r="X427" i="13"/>
  <c r="X426" i="13"/>
  <c r="R446" i="13"/>
  <c r="R445" i="13"/>
  <c r="V446" i="13"/>
  <c r="V445" i="13"/>
  <c r="V444" i="13"/>
  <c r="S446" i="13"/>
  <c r="S445" i="13"/>
  <c r="S444" i="13"/>
  <c r="U446" i="13"/>
  <c r="W446" i="13"/>
  <c r="W445" i="13"/>
  <c r="W444" i="13"/>
  <c r="BD161" i="13"/>
  <c r="BF161" i="13"/>
  <c r="R162" i="13"/>
  <c r="T162" i="13"/>
  <c r="V162" i="13"/>
  <c r="X162" i="13"/>
  <c r="Z162" i="13"/>
  <c r="AB162" i="13"/>
  <c r="AD162" i="13"/>
  <c r="AF162" i="13"/>
  <c r="AH162" i="13"/>
  <c r="AJ162" i="13"/>
  <c r="AL162" i="13"/>
  <c r="AN162" i="13"/>
  <c r="AP162" i="13"/>
  <c r="AR162" i="13"/>
  <c r="Q189" i="13"/>
  <c r="S189" i="13"/>
  <c r="U189" i="13"/>
  <c r="W189" i="13"/>
  <c r="Y189" i="13"/>
  <c r="AA189" i="13"/>
  <c r="AC189" i="13"/>
  <c r="AE189" i="13"/>
  <c r="AG189" i="13"/>
  <c r="AI189" i="13"/>
  <c r="AK189" i="13"/>
  <c r="AM189" i="13"/>
  <c r="AO189" i="13"/>
  <c r="AQ189" i="13"/>
  <c r="BC213" i="13"/>
  <c r="BE213" i="13"/>
  <c r="BD218" i="13"/>
  <c r="BF218" i="13"/>
  <c r="BD534" i="13"/>
  <c r="BD519" i="13"/>
  <c r="BD231" i="13"/>
  <c r="BF231" i="13"/>
  <c r="N523" i="13"/>
  <c r="N522" i="13"/>
  <c r="P523" i="13"/>
  <c r="P522" i="13"/>
  <c r="R524" i="13"/>
  <c r="V523" i="13"/>
  <c r="V524" i="13"/>
  <c r="X523" i="13"/>
  <c r="AB524" i="13"/>
  <c r="AB522" i="13"/>
  <c r="AD523" i="13"/>
  <c r="AD522" i="13"/>
  <c r="AF523" i="13"/>
  <c r="AF524" i="13"/>
  <c r="AF522" i="13"/>
  <c r="AH523" i="13"/>
  <c r="AH522" i="13"/>
  <c r="AH524" i="13"/>
  <c r="AJ523" i="13"/>
  <c r="AJ524" i="13"/>
  <c r="AJ522" i="13"/>
  <c r="AL522" i="13"/>
  <c r="AL524" i="13"/>
  <c r="AN523" i="13"/>
  <c r="AN524" i="13"/>
  <c r="AN522" i="13"/>
  <c r="AP524" i="13"/>
  <c r="AP522" i="13"/>
  <c r="AF241" i="13"/>
  <c r="AH241" i="13"/>
  <c r="AJ241" i="13"/>
  <c r="AL241" i="13"/>
  <c r="AN241" i="13"/>
  <c r="AP241" i="13"/>
  <c r="BC240" i="13"/>
  <c r="BE240" i="13"/>
  <c r="BM455" i="13"/>
  <c r="BM313" i="13"/>
  <c r="BI255" i="13"/>
  <c r="BD261" i="13"/>
  <c r="BF261" i="13"/>
  <c r="BJ267" i="13"/>
  <c r="AJ277" i="13"/>
  <c r="AJ278" i="13"/>
  <c r="AJ280" i="13"/>
  <c r="R281" i="13"/>
  <c r="T281" i="13"/>
  <c r="V281" i="13"/>
  <c r="X281" i="13"/>
  <c r="Z281" i="13"/>
  <c r="AB281" i="13"/>
  <c r="AD281" i="13"/>
  <c r="AF281" i="13"/>
  <c r="AH281" i="13"/>
  <c r="AL281" i="13"/>
  <c r="AN281" i="13"/>
  <c r="AP281" i="13"/>
  <c r="AJ282" i="13"/>
  <c r="AP282" i="13"/>
  <c r="AR282" i="13"/>
  <c r="BE280" i="13"/>
  <c r="S285" i="13"/>
  <c r="S286" i="13" s="1"/>
  <c r="S287" i="13" s="1"/>
  <c r="U285" i="13"/>
  <c r="U286" i="13" s="1"/>
  <c r="U287" i="13" s="1"/>
  <c r="W285" i="13"/>
  <c r="W286" i="13" s="1"/>
  <c r="W287" i="13" s="1"/>
  <c r="Y285" i="13"/>
  <c r="Y286" i="13" s="1"/>
  <c r="Y287" i="13" s="1"/>
  <c r="AA285" i="13"/>
  <c r="AA286" i="13" s="1"/>
  <c r="AA287" i="13" s="1"/>
  <c r="AC285" i="13"/>
  <c r="AC286" i="13" s="1"/>
  <c r="AC287" i="13" s="1"/>
  <c r="AE285" i="13"/>
  <c r="AE286" i="13" s="1"/>
  <c r="AE287" i="13" s="1"/>
  <c r="AG285" i="13"/>
  <c r="AG286" i="13" s="1"/>
  <c r="AG287" i="13" s="1"/>
  <c r="AI285" i="13"/>
  <c r="AI286" i="13" s="1"/>
  <c r="AI287" i="13" s="1"/>
  <c r="AM285" i="13"/>
  <c r="AM286" i="13" s="1"/>
  <c r="AM287" i="13" s="1"/>
  <c r="AO285" i="13"/>
  <c r="AQ285" i="13"/>
  <c r="AO298" i="13"/>
  <c r="AQ298" i="13"/>
  <c r="AO299" i="13"/>
  <c r="AQ299" i="13"/>
  <c r="R302" i="13"/>
  <c r="T302" i="13"/>
  <c r="V302" i="13"/>
  <c r="X302" i="13"/>
  <c r="Z302" i="13"/>
  <c r="AB302" i="13"/>
  <c r="AD302" i="13"/>
  <c r="AF302" i="13"/>
  <c r="AH302" i="13"/>
  <c r="AJ302" i="13"/>
  <c r="AL302" i="13"/>
  <c r="AN302" i="13"/>
  <c r="AP302" i="13"/>
  <c r="BE301" i="13"/>
  <c r="R306" i="13"/>
  <c r="R307" i="13" s="1"/>
  <c r="R308" i="13" s="1"/>
  <c r="T306" i="13"/>
  <c r="T307" i="13" s="1"/>
  <c r="T308" i="13" s="1"/>
  <c r="V306" i="13"/>
  <c r="V307" i="13" s="1"/>
  <c r="V308" i="13" s="1"/>
  <c r="X306" i="13"/>
  <c r="X307" i="13" s="1"/>
  <c r="X308" i="13" s="1"/>
  <c r="Z306" i="13"/>
  <c r="Z307" i="13" s="1"/>
  <c r="Z308" i="13" s="1"/>
  <c r="AB306" i="13"/>
  <c r="AB307" i="13" s="1"/>
  <c r="AB308" i="13" s="1"/>
  <c r="AD306" i="13"/>
  <c r="AD307" i="13" s="1"/>
  <c r="AD308" i="13" s="1"/>
  <c r="AF306" i="13"/>
  <c r="AF307" i="13" s="1"/>
  <c r="AF308" i="13" s="1"/>
  <c r="AH306" i="13"/>
  <c r="AH307" i="13" s="1"/>
  <c r="AH308" i="13" s="1"/>
  <c r="AJ306" i="13"/>
  <c r="AJ307" i="13" s="1"/>
  <c r="AJ308" i="13" s="1"/>
  <c r="AL306" i="13"/>
  <c r="AL307" i="13" s="1"/>
  <c r="AL308" i="13" s="1"/>
  <c r="AN306" i="13"/>
  <c r="AN307" i="13" s="1"/>
  <c r="AN308" i="13" s="1"/>
  <c r="AP306" i="13"/>
  <c r="AP307" i="13" s="1"/>
  <c r="AP308" i="13" s="1"/>
  <c r="AR510" i="13"/>
  <c r="BK313" i="13"/>
  <c r="BD314" i="13"/>
  <c r="BF314" i="13"/>
  <c r="BC341" i="13"/>
  <c r="P341" i="13"/>
  <c r="BD323" i="13"/>
  <c r="U343" i="13"/>
  <c r="BE341" i="13"/>
  <c r="BF343" i="13" s="1"/>
  <c r="X341" i="13"/>
  <c r="BF323" i="13"/>
  <c r="BF324" i="13" s="1"/>
  <c r="L324" i="13"/>
  <c r="P324" i="13"/>
  <c r="T324" i="13"/>
  <c r="X324" i="13"/>
  <c r="L325" i="13"/>
  <c r="BC325" i="13" s="1"/>
  <c r="P325" i="13"/>
  <c r="BD325" i="13" s="1"/>
  <c r="T325" i="13"/>
  <c r="BE325" i="13" s="1"/>
  <c r="X325" i="13"/>
  <c r="BF325" i="13" s="1"/>
  <c r="BC323" i="13"/>
  <c r="BC324" i="13" s="1"/>
  <c r="BD331" i="13"/>
  <c r="BF331" i="13"/>
  <c r="BC364" i="13"/>
  <c r="BC365" i="13" s="1"/>
  <c r="L365" i="13"/>
  <c r="P367" i="13"/>
  <c r="P365" i="13"/>
  <c r="BD364" i="13"/>
  <c r="BD365" i="13" s="1"/>
  <c r="R367" i="13"/>
  <c r="R365" i="13"/>
  <c r="T367" i="13"/>
  <c r="BE364" i="13"/>
  <c r="BE365" i="13" s="1"/>
  <c r="T365" i="13"/>
  <c r="V367" i="13"/>
  <c r="V365" i="13"/>
  <c r="X367" i="13"/>
  <c r="X365" i="13"/>
  <c r="BF364" i="13"/>
  <c r="BF365" i="13" s="1"/>
  <c r="Z367" i="13"/>
  <c r="Z365" i="13"/>
  <c r="AB367" i="13"/>
  <c r="BG364" i="13"/>
  <c r="BG365" i="13" s="1"/>
  <c r="AB365" i="13"/>
  <c r="AD367" i="13"/>
  <c r="AD365" i="13"/>
  <c r="AF367" i="13"/>
  <c r="AF365" i="13"/>
  <c r="AH367" i="13"/>
  <c r="AH365" i="13"/>
  <c r="AJ367" i="13"/>
  <c r="AJ365" i="13"/>
  <c r="AL367" i="13"/>
  <c r="AL365" i="13"/>
  <c r="AN367" i="13"/>
  <c r="AN365" i="13"/>
  <c r="AP367" i="13"/>
  <c r="AP365" i="13"/>
  <c r="L377" i="13"/>
  <c r="BC376" i="13"/>
  <c r="BC377" i="13" s="1"/>
  <c r="BD376" i="13"/>
  <c r="BD377" i="13" s="1"/>
  <c r="P377" i="13"/>
  <c r="T377" i="13"/>
  <c r="BE376" i="13"/>
  <c r="BE377" i="13" s="1"/>
  <c r="BF376" i="13"/>
  <c r="BF377" i="13" s="1"/>
  <c r="X377" i="13"/>
  <c r="AB377" i="13"/>
  <c r="BG376" i="13"/>
  <c r="BG377" i="13" s="1"/>
  <c r="BH376" i="13"/>
  <c r="BH377" i="13" s="1"/>
  <c r="AF377" i="13"/>
  <c r="AK377" i="13"/>
  <c r="BJ376" i="13"/>
  <c r="BJ377" i="13" s="1"/>
  <c r="AM377" i="13"/>
  <c r="BL376" i="13"/>
  <c r="BD404" i="13"/>
  <c r="BD405" i="13" s="1"/>
  <c r="BF404" i="13"/>
  <c r="BF405" i="13" s="1"/>
  <c r="M429" i="13"/>
  <c r="M428" i="13"/>
  <c r="M427" i="13"/>
  <c r="M426" i="13"/>
  <c r="O429" i="13"/>
  <c r="O428" i="13"/>
  <c r="O427" i="13"/>
  <c r="O426" i="13"/>
  <c r="Q428" i="13"/>
  <c r="Q427" i="13"/>
  <c r="Q426" i="13"/>
  <c r="S428" i="13"/>
  <c r="S427" i="13"/>
  <c r="S426" i="13"/>
  <c r="U428" i="13"/>
  <c r="U427" i="13"/>
  <c r="U426" i="13"/>
  <c r="W428" i="13"/>
  <c r="W427" i="13"/>
  <c r="W426" i="13"/>
  <c r="Y428" i="13"/>
  <c r="Y427" i="13"/>
  <c r="Y426" i="13"/>
  <c r="N447" i="13"/>
  <c r="N446" i="13"/>
  <c r="N445" i="13"/>
  <c r="N444" i="13"/>
  <c r="P447" i="13"/>
  <c r="P446" i="13"/>
  <c r="P444" i="13"/>
  <c r="X446" i="13"/>
  <c r="X444" i="13"/>
  <c r="BG534" i="13"/>
  <c r="BG517" i="13"/>
  <c r="BC333" i="13"/>
  <c r="BC339" i="13" s="1"/>
  <c r="BC340" i="13" s="1"/>
  <c r="BE333" i="13"/>
  <c r="BE339" i="13" s="1"/>
  <c r="BE340" i="13" s="1"/>
  <c r="BG333" i="13"/>
  <c r="BG339" i="13" s="1"/>
  <c r="AW351" i="13"/>
  <c r="AW356" i="13" s="1"/>
  <c r="AV352" i="13"/>
  <c r="AV353" i="13"/>
  <c r="BE354" i="13"/>
  <c r="BG354" i="13"/>
  <c r="BI354" i="13"/>
  <c r="BK356" i="13"/>
  <c r="BD358" i="13"/>
  <c r="BF358" i="13"/>
  <c r="BH358" i="13"/>
  <c r="BJ358" i="13"/>
  <c r="BL358" i="13"/>
  <c r="BD370" i="13"/>
  <c r="BF370" i="13"/>
  <c r="BH370" i="13"/>
  <c r="BJ370" i="13"/>
  <c r="BL370" i="13"/>
  <c r="BE388" i="13"/>
  <c r="BC388" i="13"/>
  <c r="BC398" i="13"/>
  <c r="BE398" i="13"/>
  <c r="BC404" i="13"/>
  <c r="BC405" i="13" s="1"/>
  <c r="BE404" i="13"/>
  <c r="BE405" i="13" s="1"/>
  <c r="BD410" i="13"/>
  <c r="BF410" i="13"/>
  <c r="BD411" i="13"/>
  <c r="AA532" i="13"/>
  <c r="AA508" i="13"/>
  <c r="AA507" i="13"/>
  <c r="BF413" i="13"/>
  <c r="Z414" i="13"/>
  <c r="Z415" i="13"/>
  <c r="BD415" i="13"/>
  <c r="BD416" i="13"/>
  <c r="BD419" i="13"/>
  <c r="BF419" i="13"/>
  <c r="AA425" i="13"/>
  <c r="AA534" i="13"/>
  <c r="AA518" i="13"/>
  <c r="AE519" i="13"/>
  <c r="AA519" i="13"/>
  <c r="AB518" i="13"/>
  <c r="BF431" i="13"/>
  <c r="Z432" i="13"/>
  <c r="Z433" i="13"/>
  <c r="BD433" i="13"/>
  <c r="Q437" i="13"/>
  <c r="Q443" i="13" s="1"/>
  <c r="R444" i="13" s="1"/>
  <c r="Y437" i="13"/>
  <c r="Y443" i="13" s="1"/>
  <c r="BD437" i="13"/>
  <c r="BF437" i="13"/>
  <c r="L443" i="13"/>
  <c r="L521" i="13" s="1"/>
  <c r="T443" i="13"/>
  <c r="Z443" i="13"/>
  <c r="Z521" i="13" s="1"/>
  <c r="O444" i="13"/>
  <c r="M445" i="13"/>
  <c r="O445" i="13"/>
  <c r="M446" i="13"/>
  <c r="O446" i="13"/>
  <c r="N463" i="13"/>
  <c r="Q476" i="13"/>
  <c r="Q463" i="13"/>
  <c r="S476" i="13"/>
  <c r="S463" i="13"/>
  <c r="U476" i="13"/>
  <c r="U463" i="13"/>
  <c r="W476" i="13"/>
  <c r="W463" i="13"/>
  <c r="Y476" i="13"/>
  <c r="Y463" i="13"/>
  <c r="AA476" i="13"/>
  <c r="AA463" i="13"/>
  <c r="AC476" i="13"/>
  <c r="AC463" i="13"/>
  <c r="AE476" i="13"/>
  <c r="AE463" i="13"/>
  <c r="AG476" i="13"/>
  <c r="AG463" i="13"/>
  <c r="AI476" i="13"/>
  <c r="AI463" i="13"/>
  <c r="AK476" i="13"/>
  <c r="AK463" i="13"/>
  <c r="AM476" i="13"/>
  <c r="AM463" i="13"/>
  <c r="P477" i="13"/>
  <c r="P464" i="13"/>
  <c r="R464" i="13"/>
  <c r="R477" i="13"/>
  <c r="T464" i="13"/>
  <c r="T477" i="13"/>
  <c r="V464" i="13"/>
  <c r="V477" i="13"/>
  <c r="X464" i="13"/>
  <c r="X477" i="13"/>
  <c r="Z464" i="13"/>
  <c r="Z477" i="13"/>
  <c r="AB464" i="13"/>
  <c r="AB477" i="13"/>
  <c r="AD464" i="13"/>
  <c r="AD477" i="13"/>
  <c r="AF464" i="13"/>
  <c r="AF477" i="13"/>
  <c r="AH464" i="13"/>
  <c r="AH477" i="13"/>
  <c r="AJ464" i="13"/>
  <c r="AJ477" i="13"/>
  <c r="AL464" i="13"/>
  <c r="AL477" i="13"/>
  <c r="AN464" i="13"/>
  <c r="AN477" i="13"/>
  <c r="Q478" i="13"/>
  <c r="Q465" i="13"/>
  <c r="S478" i="13"/>
  <c r="S465" i="13"/>
  <c r="U478" i="13"/>
  <c r="U465" i="13"/>
  <c r="W478" i="13"/>
  <c r="W465" i="13"/>
  <c r="Y478" i="13"/>
  <c r="Y465" i="13"/>
  <c r="AA478" i="13"/>
  <c r="AA465" i="13"/>
  <c r="AC478" i="13"/>
  <c r="AC465" i="13"/>
  <c r="AE478" i="13"/>
  <c r="AE465" i="13"/>
  <c r="AG478" i="13"/>
  <c r="AG465" i="13"/>
  <c r="AI478" i="13"/>
  <c r="AI465" i="13"/>
  <c r="AK478" i="13"/>
  <c r="AK465" i="13"/>
  <c r="AM478" i="13"/>
  <c r="AM465" i="13"/>
  <c r="R466" i="13"/>
  <c r="T466" i="13"/>
  <c r="T479" i="13"/>
  <c r="V466" i="13"/>
  <c r="V479" i="13"/>
  <c r="X466" i="13"/>
  <c r="X479" i="13"/>
  <c r="Z466" i="13"/>
  <c r="Z479" i="13"/>
  <c r="AB466" i="13"/>
  <c r="AB479" i="13"/>
  <c r="AD466" i="13"/>
  <c r="AD479" i="13"/>
  <c r="AF466" i="13"/>
  <c r="AF479" i="13"/>
  <c r="AH466" i="13"/>
  <c r="AH479" i="13"/>
  <c r="AJ466" i="13"/>
  <c r="AJ479" i="13"/>
  <c r="AL466" i="13"/>
  <c r="AL479" i="13"/>
  <c r="AN466" i="13"/>
  <c r="AN479" i="13"/>
  <c r="Q454" i="13"/>
  <c r="S454" i="13"/>
  <c r="U454" i="13"/>
  <c r="W454" i="13"/>
  <c r="Y454" i="13"/>
  <c r="AA454" i="13"/>
  <c r="AC454" i="13"/>
  <c r="AE454" i="13"/>
  <c r="AG454" i="13"/>
  <c r="AI454" i="13"/>
  <c r="AK454" i="13"/>
  <c r="AM454" i="13"/>
  <c r="AD468" i="13"/>
  <c r="AF481" i="13"/>
  <c r="AF468" i="13"/>
  <c r="AH468" i="13"/>
  <c r="AH481" i="13"/>
  <c r="AJ481" i="13"/>
  <c r="AJ468" i="13"/>
  <c r="AL468" i="13"/>
  <c r="AL481" i="13"/>
  <c r="AN481" i="13"/>
  <c r="AN468" i="13"/>
  <c r="AP476" i="13"/>
  <c r="AP463" i="13"/>
  <c r="AR476" i="13"/>
  <c r="AR463" i="13"/>
  <c r="AT476" i="13"/>
  <c r="AT463" i="13"/>
  <c r="AO477" i="13"/>
  <c r="AO464" i="13"/>
  <c r="AQ477" i="13"/>
  <c r="AQ464" i="13"/>
  <c r="AS477" i="13"/>
  <c r="AS464" i="13"/>
  <c r="AP478" i="13"/>
  <c r="AP465" i="13"/>
  <c r="AR478" i="13"/>
  <c r="AR465" i="13"/>
  <c r="AT478" i="13"/>
  <c r="AT465" i="13"/>
  <c r="AO479" i="13"/>
  <c r="AO466" i="13"/>
  <c r="AQ479" i="13"/>
  <c r="AQ466" i="13"/>
  <c r="AS479" i="13"/>
  <c r="AS466" i="13"/>
  <c r="AP454" i="13"/>
  <c r="AR454" i="13"/>
  <c r="AT454" i="13"/>
  <c r="AO481" i="13"/>
  <c r="AO468" i="13"/>
  <c r="AQ481" i="13"/>
  <c r="AQ468" i="13"/>
  <c r="AO483" i="13"/>
  <c r="AO470" i="13"/>
  <c r="AQ483" i="13"/>
  <c r="AQ470" i="13"/>
  <c r="AS483" i="13"/>
  <c r="AS470" i="13"/>
  <c r="BD451" i="13"/>
  <c r="BF451" i="13"/>
  <c r="BH451" i="13"/>
  <c r="BJ451" i="13"/>
  <c r="BD453" i="13"/>
  <c r="BF453" i="13"/>
  <c r="BH453" i="13"/>
  <c r="BJ453" i="13"/>
  <c r="BH455" i="13"/>
  <c r="BJ455" i="13"/>
  <c r="BD483" i="13"/>
  <c r="BF483" i="13"/>
  <c r="BH483" i="13"/>
  <c r="BJ457" i="13"/>
  <c r="BD484" i="13"/>
  <c r="BN471" i="13"/>
  <c r="P483" i="13"/>
  <c r="P470" i="13"/>
  <c r="R483" i="13"/>
  <c r="R470" i="13"/>
  <c r="T483" i="13"/>
  <c r="T470" i="13"/>
  <c r="V483" i="13"/>
  <c r="V470" i="13"/>
  <c r="X483" i="13"/>
  <c r="X470" i="13"/>
  <c r="Z483" i="13"/>
  <c r="Z470" i="13"/>
  <c r="AB483" i="13"/>
  <c r="AB470" i="13"/>
  <c r="AD483" i="13"/>
  <c r="AD470" i="13"/>
  <c r="AJ483" i="13"/>
  <c r="AF483" i="13"/>
  <c r="AF470" i="13"/>
  <c r="AH483" i="13"/>
  <c r="AH470" i="13"/>
  <c r="AK483" i="13"/>
  <c r="AK470" i="13"/>
  <c r="BD333" i="13"/>
  <c r="BD339" i="13" s="1"/>
  <c r="BD340" i="13" s="1"/>
  <c r="BF333" i="13"/>
  <c r="BF339" i="13" s="1"/>
  <c r="BF340" i="13" s="1"/>
  <c r="AV356" i="13"/>
  <c r="BC358" i="13"/>
  <c r="BE358" i="13"/>
  <c r="BG358" i="13"/>
  <c r="BI358" i="13"/>
  <c r="BK358" i="13"/>
  <c r="BD388" i="13"/>
  <c r="BF388" i="13"/>
  <c r="P405" i="13"/>
  <c r="X405" i="13"/>
  <c r="Z532" i="13"/>
  <c r="Z508" i="13"/>
  <c r="Z507" i="13"/>
  <c r="AA414" i="13"/>
  <c r="BE415" i="13"/>
  <c r="BC416" i="13"/>
  <c r="BE416" i="13"/>
  <c r="BC419" i="13"/>
  <c r="BE419" i="13"/>
  <c r="Z425" i="13"/>
  <c r="Z510" i="13" s="1"/>
  <c r="Z534" i="13"/>
  <c r="Z519" i="13"/>
  <c r="Z518" i="13"/>
  <c r="AA432" i="13"/>
  <c r="BE433" i="13"/>
  <c r="AA443" i="13"/>
  <c r="AA521" i="13" s="1"/>
  <c r="M463" i="13"/>
  <c r="O463" i="13"/>
  <c r="P476" i="13"/>
  <c r="P463" i="13"/>
  <c r="R476" i="13"/>
  <c r="R463" i="13"/>
  <c r="T476" i="13"/>
  <c r="T463" i="13"/>
  <c r="V476" i="13"/>
  <c r="V463" i="13"/>
  <c r="X476" i="13"/>
  <c r="X463" i="13"/>
  <c r="Z476" i="13"/>
  <c r="Z463" i="13"/>
  <c r="AB476" i="13"/>
  <c r="AB463" i="13"/>
  <c r="AD476" i="13"/>
  <c r="AD463" i="13"/>
  <c r="AF476" i="13"/>
  <c r="AF463" i="13"/>
  <c r="AH476" i="13"/>
  <c r="AH463" i="13"/>
  <c r="AJ476" i="13"/>
  <c r="AJ463" i="13"/>
  <c r="AL476" i="13"/>
  <c r="AL463" i="13"/>
  <c r="AN476" i="13"/>
  <c r="AN463" i="13"/>
  <c r="Q477" i="13"/>
  <c r="Q464" i="13"/>
  <c r="S477" i="13"/>
  <c r="S464" i="13"/>
  <c r="U477" i="13"/>
  <c r="U464" i="13"/>
  <c r="W477" i="13"/>
  <c r="W464" i="13"/>
  <c r="Y477" i="13"/>
  <c r="Y464" i="13"/>
  <c r="AA477" i="13"/>
  <c r="AA464" i="13"/>
  <c r="AC477" i="13"/>
  <c r="AC464" i="13"/>
  <c r="AE477" i="13"/>
  <c r="AE464" i="13"/>
  <c r="AG477" i="13"/>
  <c r="AG464" i="13"/>
  <c r="AI477" i="13"/>
  <c r="AI464" i="13"/>
  <c r="AK477" i="13"/>
  <c r="AK464" i="13"/>
  <c r="AM477" i="13"/>
  <c r="AM464" i="13"/>
  <c r="P478" i="13"/>
  <c r="P465" i="13"/>
  <c r="R478" i="13"/>
  <c r="R465" i="13"/>
  <c r="T478" i="13"/>
  <c r="T465" i="13"/>
  <c r="V478" i="13"/>
  <c r="V465" i="13"/>
  <c r="X478" i="13"/>
  <c r="X465" i="13"/>
  <c r="Z478" i="13"/>
  <c r="Z465" i="13"/>
  <c r="AB478" i="13"/>
  <c r="AB465" i="13"/>
  <c r="AD478" i="13"/>
  <c r="AD465" i="13"/>
  <c r="AF478" i="13"/>
  <c r="AF465" i="13"/>
  <c r="AH478" i="13"/>
  <c r="AH465" i="13"/>
  <c r="AJ478" i="13"/>
  <c r="AJ465" i="13"/>
  <c r="AL478" i="13"/>
  <c r="AL465" i="13"/>
  <c r="AN478" i="13"/>
  <c r="AN465" i="13"/>
  <c r="Q466" i="13"/>
  <c r="S466" i="13"/>
  <c r="U479" i="13"/>
  <c r="U466" i="13"/>
  <c r="W479" i="13"/>
  <c r="W466" i="13"/>
  <c r="Y479" i="13"/>
  <c r="Y466" i="13"/>
  <c r="AA479" i="13"/>
  <c r="AA466" i="13"/>
  <c r="AC479" i="13"/>
  <c r="AC466" i="13"/>
  <c r="AE479" i="13"/>
  <c r="AE466" i="13"/>
  <c r="AG479" i="13"/>
  <c r="AG466" i="13"/>
  <c r="AI479" i="13"/>
  <c r="AI466" i="13"/>
  <c r="AK479" i="13"/>
  <c r="AK466" i="13"/>
  <c r="AM479" i="13"/>
  <c r="AM466" i="13"/>
  <c r="P454" i="13"/>
  <c r="R454" i="13"/>
  <c r="T454" i="13"/>
  <c r="V454" i="13"/>
  <c r="X454" i="13"/>
  <c r="Z454" i="13"/>
  <c r="AB454" i="13"/>
  <c r="AD454" i="13"/>
  <c r="AF454" i="13"/>
  <c r="AH454" i="13"/>
  <c r="AJ454" i="13"/>
  <c r="AL454" i="13"/>
  <c r="AN454" i="13"/>
  <c r="AC468" i="13"/>
  <c r="AE468" i="13"/>
  <c r="AG481" i="13"/>
  <c r="AG468" i="13"/>
  <c r="AI481" i="13"/>
  <c r="AI468" i="13"/>
  <c r="AK481" i="13"/>
  <c r="AK468" i="13"/>
  <c r="AM481" i="13"/>
  <c r="AM468" i="13"/>
  <c r="AO476" i="13"/>
  <c r="AO463" i="13"/>
  <c r="AQ476" i="13"/>
  <c r="AQ463" i="13"/>
  <c r="AS476" i="13"/>
  <c r="AS463" i="13"/>
  <c r="AP464" i="13"/>
  <c r="AP477" i="13"/>
  <c r="AR464" i="13"/>
  <c r="AR477" i="13"/>
  <c r="AT464" i="13"/>
  <c r="AT477" i="13"/>
  <c r="AO478" i="13"/>
  <c r="AO465" i="13"/>
  <c r="AQ478" i="13"/>
  <c r="AQ465" i="13"/>
  <c r="AS478" i="13"/>
  <c r="AS465" i="13"/>
  <c r="AP479" i="13"/>
  <c r="AP466" i="13"/>
  <c r="AR466" i="13"/>
  <c r="AR479" i="13"/>
  <c r="AT479" i="13"/>
  <c r="AT466" i="13"/>
  <c r="AO454" i="13"/>
  <c r="AQ454" i="13"/>
  <c r="AS454" i="13"/>
  <c r="AP468" i="13"/>
  <c r="AP481" i="13"/>
  <c r="AR481" i="13"/>
  <c r="AR468" i="13"/>
  <c r="AP483" i="13"/>
  <c r="AP470" i="13"/>
  <c r="AR483" i="13"/>
  <c r="AR470" i="13"/>
  <c r="AT483" i="13"/>
  <c r="AT470" i="13"/>
  <c r="BC450" i="13"/>
  <c r="BE450" i="13"/>
  <c r="BG450" i="13"/>
  <c r="BI450" i="13"/>
  <c r="BK450" i="13"/>
  <c r="BE451" i="13"/>
  <c r="BG451" i="13"/>
  <c r="BI451" i="13"/>
  <c r="BK451" i="13"/>
  <c r="BE452" i="13"/>
  <c r="BG452" i="13"/>
  <c r="BI452" i="13"/>
  <c r="BK452" i="13"/>
  <c r="BE453" i="13"/>
  <c r="BG453" i="13"/>
  <c r="BI453" i="13"/>
  <c r="BK453" i="13"/>
  <c r="BG455" i="13"/>
  <c r="BI455" i="13"/>
  <c r="BK455" i="13"/>
  <c r="BE483" i="13"/>
  <c r="BG483" i="13"/>
  <c r="BI483" i="13"/>
  <c r="BK457" i="13"/>
  <c r="BE484" i="13"/>
  <c r="BM471" i="13"/>
  <c r="AG483" i="13"/>
  <c r="AI483" i="13"/>
  <c r="AL483" i="13"/>
  <c r="M459" i="13"/>
  <c r="M489" i="13" s="1"/>
  <c r="O459" i="13"/>
  <c r="AJ470" i="13"/>
  <c r="AL470" i="13"/>
  <c r="O471" i="13"/>
  <c r="Q471" i="13"/>
  <c r="S471" i="13"/>
  <c r="U471" i="13"/>
  <c r="W471" i="13"/>
  <c r="Y471" i="13"/>
  <c r="AA471" i="13"/>
  <c r="AC471" i="13"/>
  <c r="AE471" i="13"/>
  <c r="AG471" i="13"/>
  <c r="AI471" i="13"/>
  <c r="AK471" i="13"/>
  <c r="AM471" i="13"/>
  <c r="AO471" i="13"/>
  <c r="AQ471" i="13"/>
  <c r="AS471" i="13"/>
  <c r="AU471" i="13"/>
  <c r="AW471" i="13"/>
  <c r="AY471" i="13"/>
  <c r="S483" i="13"/>
  <c r="W483" i="13"/>
  <c r="AA483" i="13"/>
  <c r="AE483" i="13"/>
  <c r="AM483" i="13"/>
  <c r="M497" i="13"/>
  <c r="P484" i="13"/>
  <c r="L459" i="13"/>
  <c r="N459" i="13"/>
  <c r="N497" i="13" s="1"/>
  <c r="O470" i="13"/>
  <c r="Q470" i="13"/>
  <c r="S470" i="13"/>
  <c r="U470" i="13"/>
  <c r="W470" i="13"/>
  <c r="Y470" i="13"/>
  <c r="AA470" i="13"/>
  <c r="AC470" i="13"/>
  <c r="AE470" i="13"/>
  <c r="AG470" i="13"/>
  <c r="AI470" i="13"/>
  <c r="AM470" i="13"/>
  <c r="N471" i="13"/>
  <c r="P471" i="13"/>
  <c r="R471" i="13"/>
  <c r="T471" i="13"/>
  <c r="V471" i="13"/>
  <c r="X471" i="13"/>
  <c r="Z471" i="13"/>
  <c r="AB471" i="13"/>
  <c r="AD471" i="13"/>
  <c r="AF471" i="13"/>
  <c r="AH471" i="13"/>
  <c r="AJ471" i="13"/>
  <c r="AL471" i="13"/>
  <c r="AN471" i="13"/>
  <c r="AP471" i="13"/>
  <c r="AR471" i="13"/>
  <c r="AT471" i="13"/>
  <c r="AV471" i="13"/>
  <c r="AX471" i="13"/>
  <c r="Q483" i="13"/>
  <c r="U483" i="13"/>
  <c r="Y483" i="13"/>
  <c r="AC483" i="13"/>
  <c r="AS512" i="13"/>
  <c r="AC531" i="13"/>
  <c r="AC517" i="13"/>
  <c r="AE531" i="13"/>
  <c r="AE517" i="13"/>
  <c r="AG531" i="13"/>
  <c r="AG517" i="13"/>
  <c r="AI531" i="13"/>
  <c r="AI517" i="13"/>
  <c r="AD502" i="13"/>
  <c r="AF502" i="13"/>
  <c r="AH502" i="13"/>
  <c r="AJ502" i="13"/>
  <c r="AN502" i="13"/>
  <c r="AF503" i="13"/>
  <c r="AH503" i="13"/>
  <c r="AJ503" i="13"/>
  <c r="AN503" i="13"/>
  <c r="M506" i="13"/>
  <c r="O506" i="13"/>
  <c r="N507" i="13"/>
  <c r="P506" i="13"/>
  <c r="AB506" i="13"/>
  <c r="AD506" i="13"/>
  <c r="AF506" i="13"/>
  <c r="AH506" i="13"/>
  <c r="AJ506" i="13"/>
  <c r="AL506" i="13"/>
  <c r="AN506" i="13"/>
  <c r="AP506" i="13"/>
  <c r="AR506" i="13"/>
  <c r="AT506" i="13"/>
  <c r="P507" i="13"/>
  <c r="R507" i="13"/>
  <c r="T507" i="13"/>
  <c r="V507" i="13"/>
  <c r="X507" i="13"/>
  <c r="AB507" i="13"/>
  <c r="AD507" i="13"/>
  <c r="AF507" i="13"/>
  <c r="AH507" i="13"/>
  <c r="AJ507" i="13"/>
  <c r="AL507" i="13"/>
  <c r="AN507" i="13"/>
  <c r="AP507" i="13"/>
  <c r="AR507" i="13"/>
  <c r="AT507" i="13"/>
  <c r="P508" i="13"/>
  <c r="R508" i="13"/>
  <c r="T508" i="13"/>
  <c r="V508" i="13"/>
  <c r="X508" i="13"/>
  <c r="AB508" i="13"/>
  <c r="AD508" i="13"/>
  <c r="AF508" i="13"/>
  <c r="AH508" i="13"/>
  <c r="AJ508" i="13"/>
  <c r="AL508" i="13"/>
  <c r="BC505" i="13"/>
  <c r="BE505" i="13"/>
  <c r="BF505" i="13"/>
  <c r="BH505" i="13"/>
  <c r="L506" i="13"/>
  <c r="AS511" i="13"/>
  <c r="AP517" i="13"/>
  <c r="AC502" i="13"/>
  <c r="AE502" i="13"/>
  <c r="AG502" i="13"/>
  <c r="AI502" i="13"/>
  <c r="M507" i="13"/>
  <c r="O507" i="13"/>
  <c r="AC506" i="13"/>
  <c r="AE506" i="13"/>
  <c r="AG506" i="13"/>
  <c r="AI506" i="13"/>
  <c r="AK506" i="13"/>
  <c r="AM506" i="13"/>
  <c r="AO506" i="13"/>
  <c r="AS506" i="13"/>
  <c r="Q507" i="13"/>
  <c r="S507" i="13"/>
  <c r="U507" i="13"/>
  <c r="W507" i="13"/>
  <c r="Y507" i="13"/>
  <c r="AC507" i="13"/>
  <c r="AE507" i="13"/>
  <c r="AG507" i="13"/>
  <c r="AI507" i="13"/>
  <c r="AK507" i="13"/>
  <c r="AM507" i="13"/>
  <c r="AO507" i="13"/>
  <c r="AS507" i="13"/>
  <c r="Q508" i="13"/>
  <c r="S508" i="13"/>
  <c r="U508" i="13"/>
  <c r="W508" i="13"/>
  <c r="Y508" i="13"/>
  <c r="AC508" i="13"/>
  <c r="AE508" i="13"/>
  <c r="AG508" i="13"/>
  <c r="AI508" i="13"/>
  <c r="AK508" i="13"/>
  <c r="AM508" i="13"/>
  <c r="AO508" i="13"/>
  <c r="BD505" i="13"/>
  <c r="BG505" i="13"/>
  <c r="BI505" i="13"/>
  <c r="AS513" i="13"/>
  <c r="AT511" i="13"/>
  <c r="AT512" i="13"/>
  <c r="AT513" i="13"/>
  <c r="N534" i="13"/>
  <c r="N517" i="13"/>
  <c r="N518" i="13"/>
  <c r="AB534" i="13"/>
  <c r="AB519" i="13"/>
  <c r="AB517" i="13"/>
  <c r="AD534" i="13"/>
  <c r="AD519" i="13"/>
  <c r="AD517" i="13"/>
  <c r="AF534" i="13"/>
  <c r="AF519" i="13"/>
  <c r="AF517" i="13"/>
  <c r="AH534" i="13"/>
  <c r="AH519" i="13"/>
  <c r="AH517" i="13"/>
  <c r="AJ534" i="13"/>
  <c r="AJ519" i="13"/>
  <c r="AJ517" i="13"/>
  <c r="AD518" i="13"/>
  <c r="AH518" i="13"/>
  <c r="AL534" i="13"/>
  <c r="AL519" i="13"/>
  <c r="AL517" i="13"/>
  <c r="L534" i="13"/>
  <c r="L517" i="13"/>
  <c r="AP519" i="13"/>
  <c r="P534" i="13"/>
  <c r="P519" i="13"/>
  <c r="P517" i="13"/>
  <c r="R534" i="13"/>
  <c r="R519" i="13"/>
  <c r="T534" i="13"/>
  <c r="T519" i="13"/>
  <c r="V534" i="13"/>
  <c r="V519" i="13"/>
  <c r="X534" i="13"/>
  <c r="X519" i="13"/>
  <c r="P518" i="13"/>
  <c r="T518" i="13"/>
  <c r="X518" i="13"/>
  <c r="AN519" i="13"/>
  <c r="AN517" i="13"/>
  <c r="M518" i="13"/>
  <c r="O518" i="13"/>
  <c r="W534" i="13"/>
  <c r="Y534" i="13"/>
  <c r="AC534" i="13"/>
  <c r="AE534" i="13"/>
  <c r="AG534" i="13"/>
  <c r="AI534" i="13"/>
  <c r="Q518" i="13"/>
  <c r="S518" i="13"/>
  <c r="U518" i="13"/>
  <c r="W518" i="13"/>
  <c r="Y518" i="13"/>
  <c r="AC518" i="13"/>
  <c r="AE518" i="13"/>
  <c r="AG518" i="13"/>
  <c r="AI518" i="13"/>
  <c r="AM517" i="13"/>
  <c r="AQ517" i="13"/>
  <c r="AX64" i="3"/>
  <c r="BE37" i="3"/>
  <c r="BG37" i="3"/>
  <c r="BI37" i="3"/>
  <c r="G38" i="3"/>
  <c r="I38" i="3"/>
  <c r="Y38" i="3"/>
  <c r="BB38" i="3"/>
  <c r="BF38" i="3"/>
  <c r="BH38" i="3"/>
  <c r="BJ38" i="3"/>
  <c r="AB148" i="3"/>
  <c r="AC143" i="3"/>
  <c r="AF148" i="3"/>
  <c r="AG143" i="3"/>
  <c r="AJ148" i="3"/>
  <c r="AK143" i="3"/>
  <c r="AN148" i="3"/>
  <c r="AO143" i="3"/>
  <c r="AR148" i="3"/>
  <c r="AS143" i="3"/>
  <c r="BG41" i="3"/>
  <c r="BG46" i="3" s="1"/>
  <c r="BI41" i="3"/>
  <c r="BI46" i="3" s="1"/>
  <c r="BK41" i="3"/>
  <c r="BK46" i="3" s="1"/>
  <c r="U46" i="3"/>
  <c r="D61" i="3"/>
  <c r="D76" i="3" s="1"/>
  <c r="D86" i="3" s="1"/>
  <c r="F61" i="3"/>
  <c r="F76" i="3" s="1"/>
  <c r="F86" i="3" s="1"/>
  <c r="H61" i="3"/>
  <c r="H76" i="3" s="1"/>
  <c r="H86" i="3" s="1"/>
  <c r="J61" i="3"/>
  <c r="J76" i="3" s="1"/>
  <c r="J86" i="3" s="1"/>
  <c r="L61" i="3"/>
  <c r="L76" i="3" s="1"/>
  <c r="L86" i="3" s="1"/>
  <c r="N61" i="3"/>
  <c r="N76" i="3" s="1"/>
  <c r="N86" i="3" s="1"/>
  <c r="P61" i="3"/>
  <c r="P76" i="3" s="1"/>
  <c r="P86" i="3" s="1"/>
  <c r="R61" i="3"/>
  <c r="R76" i="3" s="1"/>
  <c r="R86" i="3" s="1"/>
  <c r="T61" i="3"/>
  <c r="T76" i="3" s="1"/>
  <c r="T86" i="3" s="1"/>
  <c r="V61" i="3"/>
  <c r="V76" i="3" s="1"/>
  <c r="V86" i="3" s="1"/>
  <c r="X61" i="3"/>
  <c r="X76" i="3" s="1"/>
  <c r="X86" i="3" s="1"/>
  <c r="Z61" i="3"/>
  <c r="Z76" i="3" s="1"/>
  <c r="Z86" i="3" s="1"/>
  <c r="AB61" i="3"/>
  <c r="AB76" i="3" s="1"/>
  <c r="AB86" i="3" s="1"/>
  <c r="AD61" i="3"/>
  <c r="AD76" i="3" s="1"/>
  <c r="AD86" i="3" s="1"/>
  <c r="AF61" i="3"/>
  <c r="AF76" i="3" s="1"/>
  <c r="AF86" i="3" s="1"/>
  <c r="AH61" i="3"/>
  <c r="AH76" i="3" s="1"/>
  <c r="AH86" i="3" s="1"/>
  <c r="AJ61" i="3"/>
  <c r="AJ76" i="3" s="1"/>
  <c r="AJ86" i="3" s="1"/>
  <c r="AL61" i="3"/>
  <c r="AL76" i="3" s="1"/>
  <c r="AL86" i="3" s="1"/>
  <c r="AN61" i="3"/>
  <c r="AN76" i="3" s="1"/>
  <c r="AN86" i="3" s="1"/>
  <c r="AP61" i="3"/>
  <c r="AP76" i="3" s="1"/>
  <c r="AP86" i="3" s="1"/>
  <c r="AR61" i="3"/>
  <c r="AR76" i="3" s="1"/>
  <c r="AR86" i="3" s="1"/>
  <c r="AT61" i="3"/>
  <c r="AT76" i="3" s="1"/>
  <c r="AT86" i="3" s="1"/>
  <c r="AV61" i="3"/>
  <c r="AV76" i="3" s="1"/>
  <c r="AV86" i="3" s="1"/>
  <c r="AX61" i="3"/>
  <c r="AX76" i="3" s="1"/>
  <c r="AX86" i="3" s="1"/>
  <c r="BA61" i="3"/>
  <c r="BA76" i="3" s="1"/>
  <c r="BA86" i="3" s="1"/>
  <c r="BC61" i="3"/>
  <c r="BC76" i="3" s="1"/>
  <c r="BC86" i="3" s="1"/>
  <c r="BE61" i="3"/>
  <c r="BE76" i="3" s="1"/>
  <c r="BE86" i="3" s="1"/>
  <c r="BG61" i="3"/>
  <c r="BG76" i="3" s="1"/>
  <c r="BG86" i="3" s="1"/>
  <c r="BI61" i="3"/>
  <c r="BI76" i="3" s="1"/>
  <c r="BI86" i="3" s="1"/>
  <c r="BK61" i="3"/>
  <c r="BK76" i="3" s="1"/>
  <c r="BK86" i="3" s="1"/>
  <c r="BM61" i="3"/>
  <c r="BM76" i="3" s="1"/>
  <c r="BM86" i="3" s="1"/>
  <c r="BA62" i="3"/>
  <c r="BC62" i="3"/>
  <c r="BE62" i="3"/>
  <c r="BG62" i="3"/>
  <c r="BI62" i="3"/>
  <c r="BB67" i="3"/>
  <c r="BD67" i="3"/>
  <c r="BF67" i="3"/>
  <c r="BH67" i="3"/>
  <c r="BJ67" i="3"/>
  <c r="BF68" i="3"/>
  <c r="BH68" i="3"/>
  <c r="BH69" i="3" s="1"/>
  <c r="BH72" i="3" s="1"/>
  <c r="BJ68" i="3"/>
  <c r="BB69" i="3"/>
  <c r="BB72" i="3" s="1"/>
  <c r="BD69" i="3"/>
  <c r="BD72" i="3" s="1"/>
  <c r="BF69" i="3"/>
  <c r="BF72" i="3" s="1"/>
  <c r="BJ69" i="3"/>
  <c r="BJ72" i="3" s="1"/>
  <c r="BB80" i="3"/>
  <c r="BB77" i="3" s="1"/>
  <c r="BB83" i="3" s="1"/>
  <c r="BD80" i="3"/>
  <c r="BD77" i="3" s="1"/>
  <c r="BD83" i="3" s="1"/>
  <c r="BF80" i="3"/>
  <c r="BF77" i="3" s="1"/>
  <c r="BF83" i="3" s="1"/>
  <c r="BH80" i="3"/>
  <c r="BH77" i="3" s="1"/>
  <c r="BH83" i="3" s="1"/>
  <c r="BJ80" i="3"/>
  <c r="BJ77" i="3" s="1"/>
  <c r="BJ83" i="3" s="1"/>
  <c r="BF94" i="3"/>
  <c r="BF97" i="3" s="1"/>
  <c r="BF99" i="3" s="1"/>
  <c r="BH94" i="3"/>
  <c r="BH97" i="3" s="1"/>
  <c r="BH99" i="3" s="1"/>
  <c r="AU117" i="3"/>
  <c r="BK117" i="3" s="1"/>
  <c r="I121" i="3"/>
  <c r="J121" i="3" s="1"/>
  <c r="K121" i="3" s="1"/>
  <c r="BB121" i="3" s="1"/>
  <c r="R121" i="3"/>
  <c r="S121" i="3" s="1"/>
  <c r="BD121" i="3" s="1"/>
  <c r="BK142" i="71"/>
  <c r="AV20" i="2"/>
  <c r="AW119" i="3"/>
  <c r="AX119" i="3" s="1"/>
  <c r="AY119" i="3" s="1"/>
  <c r="BL119" i="3" s="1"/>
  <c r="BG19" i="3"/>
  <c r="BI19" i="3"/>
  <c r="BK19" i="3"/>
  <c r="Z121" i="3"/>
  <c r="AA121" i="3" s="1"/>
  <c r="BF121" i="3" s="1"/>
  <c r="AQ131" i="3"/>
  <c r="BJ131" i="3" s="1"/>
  <c r="AS131" i="3"/>
  <c r="AT131" i="3" s="1"/>
  <c r="AU131" i="3" s="1"/>
  <c r="BK131" i="3" s="1"/>
  <c r="BA29" i="3"/>
  <c r="BI29" i="3"/>
  <c r="BK29" i="3"/>
  <c r="AW36" i="3"/>
  <c r="AX36" i="3" s="1"/>
  <c r="AY36" i="3" s="1"/>
  <c r="BD37" i="3"/>
  <c r="BD38" i="3" s="1"/>
  <c r="H38" i="3"/>
  <c r="AJ38" i="3"/>
  <c r="BE38" i="3"/>
  <c r="BG38" i="3"/>
  <c r="BI38" i="3"/>
  <c r="BH41" i="3"/>
  <c r="BH46" i="3" s="1"/>
  <c r="BJ41" i="3"/>
  <c r="BJ46" i="3" s="1"/>
  <c r="BN43" i="3"/>
  <c r="AB46" i="3"/>
  <c r="AF46" i="3"/>
  <c r="AJ46" i="3"/>
  <c r="AN46" i="3"/>
  <c r="AR46" i="3"/>
  <c r="AW48" i="3"/>
  <c r="AX48" i="3" s="1"/>
  <c r="AY48" i="3" s="1"/>
  <c r="BN49" i="3"/>
  <c r="BN151" i="3" s="1"/>
  <c r="E61" i="3"/>
  <c r="E76" i="3" s="1"/>
  <c r="E86" i="3" s="1"/>
  <c r="G61" i="3"/>
  <c r="G76" i="3" s="1"/>
  <c r="G86" i="3" s="1"/>
  <c r="I61" i="3"/>
  <c r="I76" i="3" s="1"/>
  <c r="I86" i="3" s="1"/>
  <c r="K61" i="3"/>
  <c r="K76" i="3" s="1"/>
  <c r="K86" i="3" s="1"/>
  <c r="M61" i="3"/>
  <c r="M76" i="3" s="1"/>
  <c r="M86" i="3" s="1"/>
  <c r="O61" i="3"/>
  <c r="O76" i="3" s="1"/>
  <c r="O86" i="3" s="1"/>
  <c r="Q61" i="3"/>
  <c r="Q76" i="3" s="1"/>
  <c r="Q86" i="3" s="1"/>
  <c r="S61" i="3"/>
  <c r="S76" i="3" s="1"/>
  <c r="S86" i="3" s="1"/>
  <c r="U61" i="3"/>
  <c r="U76" i="3" s="1"/>
  <c r="U86" i="3" s="1"/>
  <c r="W61" i="3"/>
  <c r="W76" i="3" s="1"/>
  <c r="W86" i="3" s="1"/>
  <c r="Y61" i="3"/>
  <c r="Y76" i="3" s="1"/>
  <c r="Y86" i="3" s="1"/>
  <c r="AA61" i="3"/>
  <c r="AA76" i="3" s="1"/>
  <c r="AA86" i="3" s="1"/>
  <c r="AC61" i="3"/>
  <c r="AC76" i="3" s="1"/>
  <c r="AC86" i="3" s="1"/>
  <c r="AE61" i="3"/>
  <c r="AE76" i="3" s="1"/>
  <c r="AE86" i="3" s="1"/>
  <c r="AG61" i="3"/>
  <c r="AG76" i="3" s="1"/>
  <c r="AG86" i="3" s="1"/>
  <c r="AI61" i="3"/>
  <c r="AI76" i="3" s="1"/>
  <c r="AI86" i="3" s="1"/>
  <c r="AK61" i="3"/>
  <c r="AK76" i="3" s="1"/>
  <c r="AK86" i="3" s="1"/>
  <c r="AM61" i="3"/>
  <c r="AM76" i="3" s="1"/>
  <c r="AM86" i="3" s="1"/>
  <c r="AO61" i="3"/>
  <c r="AO76" i="3" s="1"/>
  <c r="AO86" i="3" s="1"/>
  <c r="AQ61" i="3"/>
  <c r="AQ76" i="3" s="1"/>
  <c r="AQ86" i="3" s="1"/>
  <c r="AS61" i="3"/>
  <c r="AS76" i="3" s="1"/>
  <c r="AS86" i="3" s="1"/>
  <c r="AU61" i="3"/>
  <c r="AU76" i="3" s="1"/>
  <c r="AU86" i="3" s="1"/>
  <c r="AW61" i="3"/>
  <c r="AW76" i="3" s="1"/>
  <c r="AW86" i="3" s="1"/>
  <c r="AY61" i="3"/>
  <c r="AY76" i="3" s="1"/>
  <c r="AY86" i="3" s="1"/>
  <c r="BB61" i="3"/>
  <c r="BB76" i="3" s="1"/>
  <c r="BB86" i="3" s="1"/>
  <c r="BD61" i="3"/>
  <c r="BD76" i="3" s="1"/>
  <c r="BD86" i="3" s="1"/>
  <c r="BF61" i="3"/>
  <c r="BF76" i="3" s="1"/>
  <c r="BF86" i="3" s="1"/>
  <c r="BH61" i="3"/>
  <c r="BH76" i="3" s="1"/>
  <c r="BH86" i="3" s="1"/>
  <c r="BJ61" i="3"/>
  <c r="BJ76" i="3" s="1"/>
  <c r="BJ86" i="3" s="1"/>
  <c r="BL61" i="3"/>
  <c r="BL76" i="3" s="1"/>
  <c r="BL86" i="3" s="1"/>
  <c r="BN61" i="3"/>
  <c r="BN76" i="3" s="1"/>
  <c r="BN86" i="3" s="1"/>
  <c r="BF62" i="3"/>
  <c r="BH62" i="3"/>
  <c r="BJ62" i="3"/>
  <c r="BA67" i="3"/>
  <c r="BC67" i="3"/>
  <c r="BE67" i="3"/>
  <c r="BG67" i="3"/>
  <c r="BI67" i="3"/>
  <c r="BE68" i="3"/>
  <c r="BE69" i="3" s="1"/>
  <c r="BE72" i="3" s="1"/>
  <c r="BG68" i="3"/>
  <c r="BI68" i="3"/>
  <c r="BI69" i="3" s="1"/>
  <c r="BI72" i="3" s="1"/>
  <c r="BA69" i="3"/>
  <c r="BA72" i="3" s="1"/>
  <c r="BC69" i="3"/>
  <c r="BC72" i="3" s="1"/>
  <c r="BG69" i="3"/>
  <c r="BG72" i="3" s="1"/>
  <c r="BA80" i="3"/>
  <c r="BA77" i="3" s="1"/>
  <c r="BA83" i="3" s="1"/>
  <c r="BC80" i="3"/>
  <c r="BC77" i="3" s="1"/>
  <c r="BC83" i="3" s="1"/>
  <c r="BE80" i="3"/>
  <c r="BE77" i="3" s="1"/>
  <c r="BE83" i="3" s="1"/>
  <c r="BG80" i="3"/>
  <c r="BG77" i="3" s="1"/>
  <c r="BG83" i="3" s="1"/>
  <c r="BI80" i="3"/>
  <c r="BI77" i="3" s="1"/>
  <c r="BI83" i="3" s="1"/>
  <c r="D83" i="3"/>
  <c r="F83" i="3"/>
  <c r="H83" i="3"/>
  <c r="J83" i="3"/>
  <c r="L83" i="3"/>
  <c r="N83" i="3"/>
  <c r="P83" i="3"/>
  <c r="R83" i="3"/>
  <c r="T83" i="3"/>
  <c r="V83" i="3"/>
  <c r="X83" i="3"/>
  <c r="Z83" i="3"/>
  <c r="AB83" i="3"/>
  <c r="AD83" i="3"/>
  <c r="AF83" i="3"/>
  <c r="AH83" i="3"/>
  <c r="AJ83" i="3"/>
  <c r="AL83" i="3"/>
  <c r="AN83" i="3"/>
  <c r="AP83" i="3"/>
  <c r="AR83" i="3"/>
  <c r="AT83" i="3"/>
  <c r="BG94" i="3"/>
  <c r="BG97" i="3" s="1"/>
  <c r="BG99" i="3" s="1"/>
  <c r="BI94" i="3"/>
  <c r="BI97" i="3" s="1"/>
  <c r="BI99" i="3" s="1"/>
  <c r="BE94" i="3"/>
  <c r="AU115" i="3"/>
  <c r="BK115" i="3" s="1"/>
  <c r="AU119" i="3"/>
  <c r="BK119" i="3" s="1"/>
  <c r="U121" i="3"/>
  <c r="V121" i="3" s="1"/>
  <c r="W121" i="3" s="1"/>
  <c r="BE121" i="3" s="1"/>
  <c r="AU127" i="3"/>
  <c r="BK127" i="3" s="1"/>
  <c r="K135" i="3"/>
  <c r="W135" i="3"/>
  <c r="AA135" i="3"/>
  <c r="AI135" i="3"/>
  <c r="AM135" i="3"/>
  <c r="AL140" i="3"/>
  <c r="AQ135" i="3"/>
  <c r="AM137" i="3"/>
  <c r="BI137" i="3" s="1"/>
  <c r="AU138" i="3"/>
  <c r="BK138" i="3" s="1"/>
  <c r="R139" i="3"/>
  <c r="S139" i="3" s="1"/>
  <c r="BD139" i="3" s="1"/>
  <c r="AI139" i="3"/>
  <c r="BH139" i="3" s="1"/>
  <c r="H140" i="3"/>
  <c r="AJ140" i="3"/>
  <c r="F137" i="3"/>
  <c r="G137" i="3" s="1"/>
  <c r="BA137" i="3" s="1"/>
  <c r="AP137" i="3"/>
  <c r="AQ137" i="3" s="1"/>
  <c r="BJ137" i="3" s="1"/>
  <c r="K138" i="3"/>
  <c r="BB138" i="3" s="1"/>
  <c r="F139" i="3"/>
  <c r="G139" i="3" s="1"/>
  <c r="BA139" i="3" s="1"/>
  <c r="O139" i="3"/>
  <c r="BC139" i="3" s="1"/>
  <c r="AD139" i="3"/>
  <c r="AE139" i="3" s="1"/>
  <c r="BG139" i="3" s="1"/>
  <c r="F135" i="3"/>
  <c r="N135" i="3"/>
  <c r="R135" i="3"/>
  <c r="AD135" i="3"/>
  <c r="AT135" i="3"/>
  <c r="F143" i="3"/>
  <c r="E148" i="3"/>
  <c r="V143" i="3"/>
  <c r="U148" i="3"/>
  <c r="AE147" i="3"/>
  <c r="BG147" i="3" s="1"/>
  <c r="AG140" i="3"/>
  <c r="AK140" i="3"/>
  <c r="AO140" i="3"/>
  <c r="AG137" i="3"/>
  <c r="AH137" i="3" s="1"/>
  <c r="AI137" i="3" s="1"/>
  <c r="BH137" i="3" s="1"/>
  <c r="I139" i="3"/>
  <c r="J139" i="3" s="1"/>
  <c r="K139" i="3" s="1"/>
  <c r="BB139" i="3" s="1"/>
  <c r="U139" i="3"/>
  <c r="V139" i="3" s="1"/>
  <c r="W139" i="3" s="1"/>
  <c r="BE139" i="3" s="1"/>
  <c r="Y139" i="3"/>
  <c r="Z139" i="3" s="1"/>
  <c r="AA139" i="3" s="1"/>
  <c r="BF139" i="3" s="1"/>
  <c r="AO139" i="3"/>
  <c r="AP139" i="3" s="1"/>
  <c r="AQ139" i="3" s="1"/>
  <c r="BJ139" i="3" s="1"/>
  <c r="N143" i="3"/>
  <c r="M148" i="3"/>
  <c r="J143" i="3"/>
  <c r="I148" i="3"/>
  <c r="R143" i="3"/>
  <c r="Q148" i="3"/>
  <c r="Z143" i="3"/>
  <c r="Y148" i="3"/>
  <c r="Z147" i="3"/>
  <c r="AA147" i="3" s="1"/>
  <c r="BF147" i="3" s="1"/>
  <c r="AU150" i="3"/>
  <c r="BK150" i="3" s="1"/>
  <c r="N147" i="3"/>
  <c r="O147" i="3" s="1"/>
  <c r="BC147" i="3" s="1"/>
  <c r="V151" i="3"/>
  <c r="W151" i="3" s="1"/>
  <c r="BE151" i="3" s="1"/>
  <c r="P92" i="2"/>
  <c r="P24" i="2"/>
  <c r="R92" i="2"/>
  <c r="R24" i="2"/>
  <c r="T92" i="2"/>
  <c r="T24" i="2"/>
  <c r="AB92" i="2"/>
  <c r="AB24" i="2"/>
  <c r="AK92" i="2"/>
  <c r="AK24" i="2"/>
  <c r="M92" i="2"/>
  <c r="M24" i="2"/>
  <c r="M43" i="2" s="1"/>
  <c r="O92" i="2"/>
  <c r="O24" i="2"/>
  <c r="O43" i="2" s="1"/>
  <c r="Q92" i="2"/>
  <c r="Q24" i="2"/>
  <c r="Q43" i="2" s="1"/>
  <c r="S92" i="2"/>
  <c r="S24" i="2"/>
  <c r="S43" i="2" s="1"/>
  <c r="U92" i="2"/>
  <c r="U24" i="2"/>
  <c r="U43" i="2" s="1"/>
  <c r="AJ92" i="2"/>
  <c r="AJ24" i="2"/>
  <c r="AX30" i="2"/>
  <c r="T43" i="2"/>
  <c r="P43" i="2"/>
  <c r="R43" i="2"/>
  <c r="AB43" i="2"/>
  <c r="AJ43" i="2"/>
  <c r="AV13" i="2"/>
  <c r="AW13" i="2" s="1"/>
  <c r="AX13" i="2" s="1"/>
  <c r="AY13" i="2" s="1"/>
  <c r="BL13" i="2" s="1"/>
  <c r="BM13" i="2" s="1"/>
  <c r="BN13" i="2" s="1"/>
  <c r="BF90" i="2"/>
  <c r="BF91" i="2" s="1"/>
  <c r="BF77" i="2"/>
  <c r="BH90" i="2"/>
  <c r="BH91" i="2" s="1"/>
  <c r="BH77" i="2"/>
  <c r="BH81" i="2" s="1"/>
  <c r="BJ90" i="2"/>
  <c r="BJ91" i="2" s="1"/>
  <c r="BJ77" i="2"/>
  <c r="BJ81" i="2" s="1"/>
  <c r="BB17" i="2"/>
  <c r="BD17" i="2"/>
  <c r="BF17" i="2"/>
  <c r="BH17" i="2"/>
  <c r="BJ17" i="2"/>
  <c r="Y17" i="2"/>
  <c r="AA17" i="2"/>
  <c r="AC17" i="2"/>
  <c r="AE17" i="2"/>
  <c r="AG17" i="2"/>
  <c r="AI17" i="2"/>
  <c r="AM17" i="2"/>
  <c r="AO92" i="2"/>
  <c r="AV21" i="2"/>
  <c r="AW21" i="2" s="1"/>
  <c r="AX21" i="2" s="1"/>
  <c r="AY21" i="2" s="1"/>
  <c r="BL21" i="2" s="1"/>
  <c r="BM21" i="2" s="1"/>
  <c r="BN21" i="2" s="1"/>
  <c r="AV23" i="2"/>
  <c r="AW23" i="2" s="1"/>
  <c r="AX23" i="2" s="1"/>
  <c r="AY23" i="2" s="1"/>
  <c r="BL23" i="2" s="1"/>
  <c r="BM23" i="2" s="1"/>
  <c r="BN23" i="2" s="1"/>
  <c r="E24" i="2"/>
  <c r="G24" i="2"/>
  <c r="I24" i="2"/>
  <c r="K24" i="2"/>
  <c r="W24" i="2"/>
  <c r="AO24" i="2"/>
  <c r="AO43" i="2" s="1"/>
  <c r="AQ24" i="2"/>
  <c r="AS24" i="2"/>
  <c r="AV29" i="2"/>
  <c r="AW29" i="2" s="1"/>
  <c r="AX29" i="2" s="1"/>
  <c r="AY29" i="2" s="1"/>
  <c r="BL29" i="2" s="1"/>
  <c r="BM29" i="2" s="1"/>
  <c r="BN29" i="2" s="1"/>
  <c r="BN25" i="3" s="1"/>
  <c r="BN127" i="3" s="1"/>
  <c r="BK76" i="2"/>
  <c r="AV31" i="2"/>
  <c r="AW31" i="2" s="1"/>
  <c r="AX31" i="2" s="1"/>
  <c r="AY31" i="2" s="1"/>
  <c r="BL31" i="2" s="1"/>
  <c r="BM31" i="2" s="1"/>
  <c r="BN31" i="2" s="1"/>
  <c r="BK30" i="2"/>
  <c r="BC31" i="2"/>
  <c r="BA32" i="2"/>
  <c r="BC32" i="2"/>
  <c r="BE32" i="2"/>
  <c r="BG32" i="2"/>
  <c r="BI32" i="2"/>
  <c r="AR32" i="2"/>
  <c r="AR41" i="2" s="1"/>
  <c r="AT32" i="2"/>
  <c r="AT41" i="2" s="1"/>
  <c r="AA95" i="2"/>
  <c r="AA76" i="2"/>
  <c r="AA78" i="2" s="1"/>
  <c r="BA95" i="2"/>
  <c r="BC95" i="2"/>
  <c r="BE95" i="2"/>
  <c r="BG95" i="2"/>
  <c r="BI95" i="2"/>
  <c r="BK34" i="2"/>
  <c r="BA88" i="2"/>
  <c r="BA89" i="2" s="1"/>
  <c r="BA87" i="2"/>
  <c r="BC88" i="2"/>
  <c r="BC89" i="2" s="1"/>
  <c r="BC87" i="2"/>
  <c r="BE88" i="2"/>
  <c r="BE89" i="2" s="1"/>
  <c r="BE87" i="2"/>
  <c r="BG88" i="2"/>
  <c r="BG89" i="2" s="1"/>
  <c r="BG87" i="2"/>
  <c r="BI88" i="2"/>
  <c r="BI89" i="2" s="1"/>
  <c r="BI87" i="2"/>
  <c r="BA41" i="2"/>
  <c r="BE41" i="2"/>
  <c r="BI41" i="2"/>
  <c r="BK59" i="2"/>
  <c r="AV59" i="2"/>
  <c r="AW59" i="2" s="1"/>
  <c r="AX59" i="2" s="1"/>
  <c r="AY59" i="2" s="1"/>
  <c r="BL59" i="2" s="1"/>
  <c r="BM59" i="2" s="1"/>
  <c r="BN59" i="2" s="1"/>
  <c r="BB66" i="2"/>
  <c r="BD66" i="2"/>
  <c r="BF66" i="2"/>
  <c r="BH66" i="2"/>
  <c r="AL66" i="2"/>
  <c r="AL69" i="2" s="1"/>
  <c r="BJ65" i="2"/>
  <c r="AR65" i="2"/>
  <c r="AS65" i="2" s="1"/>
  <c r="AT65" i="2" s="1"/>
  <c r="AU65" i="2" s="1"/>
  <c r="BG90" i="2"/>
  <c r="BG91" i="2" s="1"/>
  <c r="BG77" i="2"/>
  <c r="BG81" i="2" s="1"/>
  <c r="BI90" i="2"/>
  <c r="BI91" i="2" s="1"/>
  <c r="BI77" i="2"/>
  <c r="BI81" i="2" s="1"/>
  <c r="BA17" i="2"/>
  <c r="BC17" i="2"/>
  <c r="BE17" i="2"/>
  <c r="BG17" i="2"/>
  <c r="BI17" i="2"/>
  <c r="L92" i="2"/>
  <c r="N92" i="2"/>
  <c r="X17" i="2"/>
  <c r="Z17" i="2"/>
  <c r="AD17" i="2"/>
  <c r="AF17" i="2"/>
  <c r="AH17" i="2"/>
  <c r="AL17" i="2"/>
  <c r="AN92" i="2"/>
  <c r="AP92" i="2"/>
  <c r="AR92" i="2"/>
  <c r="AT92" i="2"/>
  <c r="D24" i="2"/>
  <c r="D43" i="2" s="1"/>
  <c r="F24" i="2"/>
  <c r="F43" i="2" s="1"/>
  <c r="H24" i="2"/>
  <c r="H43" i="2" s="1"/>
  <c r="J24" i="2"/>
  <c r="J43" i="2" s="1"/>
  <c r="L24" i="2"/>
  <c r="L43" i="2" s="1"/>
  <c r="N24" i="2"/>
  <c r="N43" i="2" s="1"/>
  <c r="V24" i="2"/>
  <c r="V43" i="2" s="1"/>
  <c r="AN24" i="2"/>
  <c r="AN43" i="2" s="1"/>
  <c r="AP24" i="2"/>
  <c r="AP43" i="2" s="1"/>
  <c r="AR24" i="2"/>
  <c r="AT24" i="2"/>
  <c r="BJ27" i="2"/>
  <c r="BB32" i="2"/>
  <c r="BD32" i="2"/>
  <c r="BF32" i="2"/>
  <c r="BH32" i="2"/>
  <c r="E43" i="2"/>
  <c r="G43" i="2"/>
  <c r="I43" i="2"/>
  <c r="K43" i="2"/>
  <c r="W43" i="2"/>
  <c r="AK43" i="2"/>
  <c r="AQ32" i="2"/>
  <c r="AQ41" i="2" s="1"/>
  <c r="AQ43" i="2" s="1"/>
  <c r="AS32" i="2"/>
  <c r="AS41" i="2" s="1"/>
  <c r="AS43" i="2" s="1"/>
  <c r="AV34" i="2"/>
  <c r="AV41" i="3" s="1"/>
  <c r="AV143" i="3" s="1"/>
  <c r="AV148" i="3" s="1"/>
  <c r="AV36" i="2"/>
  <c r="AW36" i="2" s="1"/>
  <c r="AX36" i="2" s="1"/>
  <c r="AY36" i="2" s="1"/>
  <c r="BL36" i="2" s="1"/>
  <c r="BM36" i="2" s="1"/>
  <c r="BN36" i="2" s="1"/>
  <c r="BB95" i="2"/>
  <c r="BD95" i="2"/>
  <c r="BF34" i="2"/>
  <c r="BF95" i="2" s="1"/>
  <c r="BH95" i="2"/>
  <c r="BJ95" i="2"/>
  <c r="BC41" i="2"/>
  <c r="BG41" i="2"/>
  <c r="AY49" i="2"/>
  <c r="AX48" i="2"/>
  <c r="BA66" i="2"/>
  <c r="BC66" i="2"/>
  <c r="BE66" i="2"/>
  <c r="BG66" i="2"/>
  <c r="BI64" i="2"/>
  <c r="BB88" i="2"/>
  <c r="BB89" i="2" s="1"/>
  <c r="BB87" i="2"/>
  <c r="BD87" i="2"/>
  <c r="BD88" i="2"/>
  <c r="BD89" i="2" s="1"/>
  <c r="BF88" i="2"/>
  <c r="BF89" i="2" s="1"/>
  <c r="BF87" i="2"/>
  <c r="BH87" i="2"/>
  <c r="BH88" i="2"/>
  <c r="BH89" i="2" s="1"/>
  <c r="BJ88" i="2"/>
  <c r="BJ89" i="2" s="1"/>
  <c r="BJ87" i="2"/>
  <c r="BB41" i="2"/>
  <c r="BD41" i="2"/>
  <c r="BF41" i="2"/>
  <c r="BH41" i="2"/>
  <c r="AW48" i="2"/>
  <c r="AR57" i="2"/>
  <c r="AR58" i="2"/>
  <c r="AS58" i="2" s="1"/>
  <c r="AT58" i="2" s="1"/>
  <c r="AU58" i="2" s="1"/>
  <c r="BJ57" i="2"/>
  <c r="BJ61" i="2" s="1"/>
  <c r="AM57" i="2"/>
  <c r="AH66" i="2"/>
  <c r="AJ66" i="2"/>
  <c r="AJ69" i="2" s="1"/>
  <c r="AM63" i="2"/>
  <c r="BI63" i="2" s="1"/>
  <c r="AP63" i="2"/>
  <c r="AQ63" i="2" s="1"/>
  <c r="D66" i="2"/>
  <c r="F66" i="2"/>
  <c r="F69" i="2" s="1"/>
  <c r="H66" i="2"/>
  <c r="J66" i="2"/>
  <c r="J69" i="2" s="1"/>
  <c r="L66" i="2"/>
  <c r="N66" i="2"/>
  <c r="N69" i="2" s="1"/>
  <c r="P66" i="2"/>
  <c r="R66" i="2"/>
  <c r="R69" i="2" s="1"/>
  <c r="T66" i="2"/>
  <c r="V66" i="2"/>
  <c r="V69" i="2" s="1"/>
  <c r="X66" i="2"/>
  <c r="AA66" i="2"/>
  <c r="BB69" i="2"/>
  <c r="BD69" i="2"/>
  <c r="BF69" i="2"/>
  <c r="AC69" i="2"/>
  <c r="AG69" i="2"/>
  <c r="BH69" i="2"/>
  <c r="AK69" i="2"/>
  <c r="BI78" i="2"/>
  <c r="BI84" i="2" s="1"/>
  <c r="BG78" i="2"/>
  <c r="BG84" i="2" s="1"/>
  <c r="Z66" i="2"/>
  <c r="AD66" i="2"/>
  <c r="AF66" i="2"/>
  <c r="AF69" i="2" s="1"/>
  <c r="AN66" i="2"/>
  <c r="AN69" i="2" s="1"/>
  <c r="E66" i="2"/>
  <c r="E69" i="2" s="1"/>
  <c r="G66" i="2"/>
  <c r="G69" i="2" s="1"/>
  <c r="I66" i="2"/>
  <c r="I69" i="2" s="1"/>
  <c r="K66" i="2"/>
  <c r="M66" i="2"/>
  <c r="M69" i="2" s="1"/>
  <c r="O66" i="2"/>
  <c r="O69" i="2" s="1"/>
  <c r="Q66" i="2"/>
  <c r="Q69" i="2" s="1"/>
  <c r="S66" i="2"/>
  <c r="S69" i="2" s="1"/>
  <c r="U66" i="2"/>
  <c r="U69" i="2" s="1"/>
  <c r="W66" i="2"/>
  <c r="W69" i="2" s="1"/>
  <c r="Y66" i="2"/>
  <c r="Y69" i="2" s="1"/>
  <c r="AE66" i="2"/>
  <c r="AE69" i="2" s="1"/>
  <c r="AI66" i="2"/>
  <c r="D69" i="2"/>
  <c r="H69" i="2"/>
  <c r="L69" i="2"/>
  <c r="P69" i="2"/>
  <c r="T69" i="2"/>
  <c r="X69" i="2"/>
  <c r="Z69" i="2"/>
  <c r="AD69" i="2"/>
  <c r="AH69" i="2"/>
  <c r="BF78" i="2"/>
  <c r="BK80" i="2"/>
  <c r="AV80" i="2"/>
  <c r="AW80" i="2" s="1"/>
  <c r="AX80" i="2" s="1"/>
  <c r="AY80" i="2" s="1"/>
  <c r="BL80" i="2" s="1"/>
  <c r="BM80" i="2" s="1"/>
  <c r="BN80" i="2" s="1"/>
  <c r="BA68" i="2"/>
  <c r="BA69" i="2" s="1"/>
  <c r="BC68" i="2"/>
  <c r="BC69" i="2" s="1"/>
  <c r="BE68" i="2"/>
  <c r="BE69" i="2" s="1"/>
  <c r="BG68" i="2"/>
  <c r="BG69" i="2" s="1"/>
  <c r="BI68" i="2"/>
  <c r="BJ76" i="2"/>
  <c r="BJ78" i="2" s="1"/>
  <c r="BJ84" i="2" s="1"/>
  <c r="E89" i="2"/>
  <c r="G89" i="2"/>
  <c r="I89" i="2"/>
  <c r="K89" i="2"/>
  <c r="M89" i="2"/>
  <c r="O89" i="2"/>
  <c r="Q89" i="2"/>
  <c r="S89" i="2"/>
  <c r="U89" i="2"/>
  <c r="W89" i="2"/>
  <c r="Y89" i="2"/>
  <c r="AA89" i="2"/>
  <c r="AC89" i="2"/>
  <c r="AE89" i="2"/>
  <c r="AG89" i="2"/>
  <c r="AI89" i="2"/>
  <c r="AK89" i="2"/>
  <c r="AM89" i="2"/>
  <c r="AO89" i="2"/>
  <c r="AQ89" i="2"/>
  <c r="AS89" i="2"/>
  <c r="D91" i="2"/>
  <c r="F91" i="2"/>
  <c r="H91" i="2"/>
  <c r="J91" i="2"/>
  <c r="L91" i="2"/>
  <c r="N91" i="2"/>
  <c r="P91" i="2"/>
  <c r="R91" i="2"/>
  <c r="T91" i="2"/>
  <c r="V91" i="2"/>
  <c r="X91" i="2"/>
  <c r="Z91" i="2"/>
  <c r="AB91" i="2"/>
  <c r="AD91" i="2"/>
  <c r="AF91" i="2"/>
  <c r="AH91" i="2"/>
  <c r="AJ91" i="2"/>
  <c r="AL91" i="2"/>
  <c r="AN91" i="2"/>
  <c r="AP91" i="2"/>
  <c r="AR91" i="2"/>
  <c r="AT91" i="2"/>
  <c r="K69" i="2"/>
  <c r="AA69" i="2"/>
  <c r="AI69" i="2"/>
  <c r="AM78" i="2"/>
  <c r="AM84" i="2" s="1"/>
  <c r="D89" i="2"/>
  <c r="F89" i="2"/>
  <c r="H89" i="2"/>
  <c r="J89" i="2"/>
  <c r="L89" i="2"/>
  <c r="N89" i="2"/>
  <c r="P89" i="2"/>
  <c r="R89" i="2"/>
  <c r="T89" i="2"/>
  <c r="V89" i="2"/>
  <c r="X89" i="2"/>
  <c r="Z89" i="2"/>
  <c r="AB89" i="2"/>
  <c r="AD89" i="2"/>
  <c r="AF89" i="2"/>
  <c r="AH89" i="2"/>
  <c r="AJ89" i="2"/>
  <c r="AL89" i="2"/>
  <c r="AN89" i="2"/>
  <c r="AP89" i="2"/>
  <c r="AR89" i="2"/>
  <c r="AT89" i="2"/>
  <c r="E91" i="2"/>
  <c r="G91" i="2"/>
  <c r="I91" i="2"/>
  <c r="K91" i="2"/>
  <c r="M91" i="2"/>
  <c r="O91" i="2"/>
  <c r="Q91" i="2"/>
  <c r="S91" i="2"/>
  <c r="U91" i="2"/>
  <c r="W91" i="2"/>
  <c r="Y91" i="2"/>
  <c r="AA91" i="2"/>
  <c r="AC91" i="2"/>
  <c r="AE91" i="2"/>
  <c r="AG91" i="2"/>
  <c r="AI91" i="2"/>
  <c r="AK91" i="2"/>
  <c r="AM91" i="2"/>
  <c r="AO91" i="2"/>
  <c r="AQ91" i="2"/>
  <c r="AS91" i="2"/>
  <c r="BJ23" i="71"/>
  <c r="BJ25" i="71"/>
  <c r="BJ26" i="71" s="1"/>
  <c r="E25" i="71"/>
  <c r="E26" i="71" s="1"/>
  <c r="E23" i="71"/>
  <c r="G70" i="71"/>
  <c r="G25" i="71"/>
  <c r="G26" i="71" s="1"/>
  <c r="G23" i="71"/>
  <c r="I25" i="71"/>
  <c r="I26" i="71" s="1"/>
  <c r="I23" i="71"/>
  <c r="K25" i="71"/>
  <c r="K26" i="71" s="1"/>
  <c r="K23" i="71"/>
  <c r="O25" i="71"/>
  <c r="O26" i="71" s="1"/>
  <c r="O23" i="71"/>
  <c r="S70" i="71"/>
  <c r="S25" i="71"/>
  <c r="S26" i="71" s="1"/>
  <c r="S23" i="71"/>
  <c r="W70" i="71"/>
  <c r="W25" i="71"/>
  <c r="W26" i="71" s="1"/>
  <c r="W23" i="71"/>
  <c r="AA25" i="71"/>
  <c r="AA26" i="71" s="1"/>
  <c r="AA23" i="71"/>
  <c r="AK70" i="71"/>
  <c r="AK25" i="71"/>
  <c r="AK26" i="71" s="1"/>
  <c r="AK23" i="71"/>
  <c r="AO25" i="71"/>
  <c r="AO26" i="71" s="1"/>
  <c r="AO23" i="71"/>
  <c r="BA34" i="71"/>
  <c r="Y25" i="71"/>
  <c r="Y26" i="71" s="1"/>
  <c r="Y23" i="71"/>
  <c r="BD20" i="71"/>
  <c r="BH64" i="71"/>
  <c r="BH20" i="71"/>
  <c r="M25" i="71"/>
  <c r="M26" i="71" s="1"/>
  <c r="M23" i="71"/>
  <c r="Q25" i="71"/>
  <c r="Q26" i="71" s="1"/>
  <c r="Q23" i="71"/>
  <c r="U25" i="71"/>
  <c r="U26" i="71" s="1"/>
  <c r="U23" i="71"/>
  <c r="AC70" i="71"/>
  <c r="AC25" i="71"/>
  <c r="AC26" i="71" s="1"/>
  <c r="AC23" i="71"/>
  <c r="AG70" i="71"/>
  <c r="AG25" i="71"/>
  <c r="AG26" i="71" s="1"/>
  <c r="AG23" i="71"/>
  <c r="AS25" i="71"/>
  <c r="AS26" i="71" s="1"/>
  <c r="AS23" i="71"/>
  <c r="BA46" i="71"/>
  <c r="BA47" i="71" s="1"/>
  <c r="BA42" i="71"/>
  <c r="BE46" i="71"/>
  <c r="BI42" i="71"/>
  <c r="BB23" i="71"/>
  <c r="BB25" i="71"/>
  <c r="BB26" i="71" s="1"/>
  <c r="AE25" i="71"/>
  <c r="AE26" i="71" s="1"/>
  <c r="AE23" i="71"/>
  <c r="V19" i="71"/>
  <c r="BC19" i="71"/>
  <c r="BG19" i="71"/>
  <c r="BI19" i="71"/>
  <c r="Y9" i="71"/>
  <c r="AC10" i="71"/>
  <c r="BB10" i="71"/>
  <c r="BD10" i="71"/>
  <c r="BJ10" i="71"/>
  <c r="BB13" i="71"/>
  <c r="BH13" i="71"/>
  <c r="BJ13" i="71"/>
  <c r="AJ95" i="71"/>
  <c r="AJ17" i="71"/>
  <c r="AP95" i="71"/>
  <c r="AP17" i="71"/>
  <c r="AP22" i="71" s="1"/>
  <c r="BD16" i="71"/>
  <c r="BF16" i="71"/>
  <c r="BF17" i="71" s="1"/>
  <c r="BH16" i="71"/>
  <c r="BH95" i="71" s="1"/>
  <c r="E79" i="71"/>
  <c r="E65" i="71"/>
  <c r="G79" i="71"/>
  <c r="G65" i="71"/>
  <c r="K79" i="71"/>
  <c r="K65" i="71"/>
  <c r="M65" i="71"/>
  <c r="Q79" i="71"/>
  <c r="Q65" i="71"/>
  <c r="S79" i="71"/>
  <c r="S65" i="71"/>
  <c r="Y19" i="71"/>
  <c r="AA79" i="71"/>
  <c r="AA65" i="71"/>
  <c r="AE79" i="71"/>
  <c r="AE65" i="71"/>
  <c r="AG79" i="71"/>
  <c r="AG65" i="71"/>
  <c r="AK65" i="71"/>
  <c r="AO79" i="71"/>
  <c r="AO65" i="71"/>
  <c r="X19" i="71"/>
  <c r="BF8" i="71"/>
  <c r="V9" i="71"/>
  <c r="X9" i="71"/>
  <c r="Z9" i="71"/>
  <c r="V10" i="71"/>
  <c r="X10" i="71"/>
  <c r="Z10" i="71"/>
  <c r="AB10" i="71"/>
  <c r="BC10" i="71"/>
  <c r="BG10" i="71"/>
  <c r="BI10" i="71"/>
  <c r="BA13" i="71"/>
  <c r="BC13" i="71"/>
  <c r="BG13" i="71"/>
  <c r="BI13" i="71"/>
  <c r="AW15" i="71"/>
  <c r="O95" i="71"/>
  <c r="Q95" i="71"/>
  <c r="U95" i="71"/>
  <c r="AA95" i="71"/>
  <c r="AL95" i="71"/>
  <c r="AL17" i="71"/>
  <c r="AL22" i="71" s="1"/>
  <c r="AQ95" i="71"/>
  <c r="BA95" i="71"/>
  <c r="BC16" i="71"/>
  <c r="BC17" i="71" s="1"/>
  <c r="BC22" i="71" s="1"/>
  <c r="BE16" i="71"/>
  <c r="BE17" i="71" s="1"/>
  <c r="BG16" i="71"/>
  <c r="BG17" i="71" s="1"/>
  <c r="BG22" i="71" s="1"/>
  <c r="BI16" i="71"/>
  <c r="BI17" i="71" s="1"/>
  <c r="BI22" i="71" s="1"/>
  <c r="D25" i="71"/>
  <c r="D26" i="71" s="1"/>
  <c r="D23" i="71"/>
  <c r="F25" i="71"/>
  <c r="F26" i="71" s="1"/>
  <c r="F23" i="71"/>
  <c r="H25" i="71"/>
  <c r="H26" i="71" s="1"/>
  <c r="H23" i="71"/>
  <c r="J25" i="71"/>
  <c r="J26" i="71" s="1"/>
  <c r="J23" i="71"/>
  <c r="L17" i="71"/>
  <c r="L22" i="71" s="1"/>
  <c r="N17" i="71"/>
  <c r="N22" i="71" s="1"/>
  <c r="P17" i="71"/>
  <c r="P22" i="71" s="1"/>
  <c r="R17" i="71"/>
  <c r="R22" i="71" s="1"/>
  <c r="T17" i="71"/>
  <c r="T22" i="71" s="1"/>
  <c r="V17" i="71"/>
  <c r="V22" i="71" s="1"/>
  <c r="X17" i="71"/>
  <c r="X22" i="71" s="1"/>
  <c r="Z17" i="71"/>
  <c r="Z22" i="71" s="1"/>
  <c r="AB17" i="71"/>
  <c r="AB22" i="71" s="1"/>
  <c r="AD17" i="71"/>
  <c r="AD22" i="71" s="1"/>
  <c r="AF17" i="71"/>
  <c r="AF22" i="71" s="1"/>
  <c r="AI17" i="71"/>
  <c r="AI22" i="71" s="1"/>
  <c r="AQ17" i="71"/>
  <c r="AQ22" i="71" s="1"/>
  <c r="BD17" i="71"/>
  <c r="BD22" i="71" s="1"/>
  <c r="BH17" i="71"/>
  <c r="BH22" i="71" s="1"/>
  <c r="W79" i="71"/>
  <c r="W65" i="71"/>
  <c r="Z79" i="71"/>
  <c r="Z65" i="71"/>
  <c r="AB65" i="71"/>
  <c r="AB79" i="71"/>
  <c r="AD79" i="71"/>
  <c r="AD65" i="71"/>
  <c r="AF65" i="71"/>
  <c r="AF79" i="71"/>
  <c r="AH79" i="71"/>
  <c r="AH65" i="71"/>
  <c r="AJ65" i="71"/>
  <c r="AJ79" i="71"/>
  <c r="AL79" i="71"/>
  <c r="AL65" i="71"/>
  <c r="AP79" i="71"/>
  <c r="AP65" i="71"/>
  <c r="AR65" i="71"/>
  <c r="AR79" i="71"/>
  <c r="AT79" i="71"/>
  <c r="AT65" i="71"/>
  <c r="E20" i="71"/>
  <c r="I20" i="71"/>
  <c r="M20" i="71"/>
  <c r="Q20" i="71"/>
  <c r="U20" i="71"/>
  <c r="AC20" i="71"/>
  <c r="AG20" i="71"/>
  <c r="AK20" i="71"/>
  <c r="AO20" i="71"/>
  <c r="AS20" i="71"/>
  <c r="BB19" i="71"/>
  <c r="BJ19" i="71"/>
  <c r="BE59" i="71"/>
  <c r="BA29" i="71"/>
  <c r="BI29" i="71"/>
  <c r="BD32" i="71"/>
  <c r="AF33" i="71"/>
  <c r="N34" i="71"/>
  <c r="R34" i="71"/>
  <c r="Z34" i="71"/>
  <c r="AH34" i="71"/>
  <c r="AL34" i="71"/>
  <c r="AT34" i="71"/>
  <c r="BG33" i="71"/>
  <c r="AF37" i="71"/>
  <c r="BH37" i="71" s="1"/>
  <c r="BH38" i="71" s="1"/>
  <c r="AL37" i="71"/>
  <c r="AW44" i="71"/>
  <c r="AX44" i="71" s="1"/>
  <c r="AY44" i="71" s="1"/>
  <c r="BI44" i="71"/>
  <c r="X50" i="71"/>
  <c r="X46" i="71"/>
  <c r="X47" i="71" s="1"/>
  <c r="Z50" i="71"/>
  <c r="Z46" i="71"/>
  <c r="Z47" i="71" s="1"/>
  <c r="AB50" i="71"/>
  <c r="AB46" i="71"/>
  <c r="AB47" i="71" s="1"/>
  <c r="BG45" i="71"/>
  <c r="BG46" i="71" s="1"/>
  <c r="BG47" i="71" s="1"/>
  <c r="AD50" i="71"/>
  <c r="AD46" i="71"/>
  <c r="AD47" i="71" s="1"/>
  <c r="AF50" i="71"/>
  <c r="AF46" i="71"/>
  <c r="AF47" i="71" s="1"/>
  <c r="AH50" i="71"/>
  <c r="AH46" i="71"/>
  <c r="AH47" i="71" s="1"/>
  <c r="AJ50" i="71"/>
  <c r="AJ46" i="71"/>
  <c r="AJ47" i="71" s="1"/>
  <c r="BI45" i="71"/>
  <c r="BI46" i="71" s="1"/>
  <c r="AN50" i="71"/>
  <c r="AN46" i="71"/>
  <c r="AN47" i="71" s="1"/>
  <c r="AP50" i="71"/>
  <c r="AP51" i="71" s="1"/>
  <c r="AP46" i="71"/>
  <c r="AP47" i="71" s="1"/>
  <c r="AR50" i="71"/>
  <c r="AR51" i="71" s="1"/>
  <c r="AR46" i="71"/>
  <c r="BK45" i="71"/>
  <c r="AT50" i="71"/>
  <c r="AT46" i="71"/>
  <c r="BF45" i="71"/>
  <c r="BF46" i="71" s="1"/>
  <c r="BF47" i="71" s="1"/>
  <c r="BJ45" i="71"/>
  <c r="BJ46" i="71" s="1"/>
  <c r="Y47" i="71"/>
  <c r="BA51" i="71"/>
  <c r="BB61" i="71"/>
  <c r="BD61" i="71"/>
  <c r="Y42" i="71"/>
  <c r="Y29" i="71"/>
  <c r="BA22" i="71"/>
  <c r="BA19" i="71"/>
  <c r="BE8" i="71"/>
  <c r="BE13" i="71" s="1"/>
  <c r="W9" i="71"/>
  <c r="Y10" i="71"/>
  <c r="BH10" i="71"/>
  <c r="BD13" i="71"/>
  <c r="AV138" i="71"/>
  <c r="AV15" i="3" s="1"/>
  <c r="AV117" i="3" s="1"/>
  <c r="AH95" i="71"/>
  <c r="AH17" i="71"/>
  <c r="AH22" i="71" s="1"/>
  <c r="AN95" i="71"/>
  <c r="AN17" i="71"/>
  <c r="AR95" i="71"/>
  <c r="AR17" i="71"/>
  <c r="AR53" i="2" s="1"/>
  <c r="AR49" i="2" s="1"/>
  <c r="AR48" i="2" s="1"/>
  <c r="AT95" i="71"/>
  <c r="AT17" i="71"/>
  <c r="I79" i="71"/>
  <c r="I65" i="71"/>
  <c r="O79" i="71"/>
  <c r="O65" i="71"/>
  <c r="U65" i="71"/>
  <c r="AC65" i="71"/>
  <c r="AI79" i="71"/>
  <c r="AI65" i="71"/>
  <c r="AQ79" i="71"/>
  <c r="AQ65" i="71"/>
  <c r="AS65" i="71"/>
  <c r="G20" i="71"/>
  <c r="K20" i="71"/>
  <c r="O20" i="71"/>
  <c r="S20" i="71"/>
  <c r="AA20" i="71"/>
  <c r="AE20" i="71"/>
  <c r="AI20" i="71"/>
  <c r="AM20" i="71"/>
  <c r="AQ20" i="71"/>
  <c r="AM23" i="71"/>
  <c r="AM25" i="71"/>
  <c r="AM26" i="71" s="1"/>
  <c r="BC29" i="71"/>
  <c r="BG29" i="71"/>
  <c r="V29" i="71"/>
  <c r="X29" i="71"/>
  <c r="AW31" i="71"/>
  <c r="AX31" i="71" s="1"/>
  <c r="AY31" i="71" s="1"/>
  <c r="O37" i="71"/>
  <c r="BC37" i="71" s="1"/>
  <c r="BC38" i="71" s="1"/>
  <c r="O33" i="71"/>
  <c r="Q37" i="71"/>
  <c r="Q33" i="71"/>
  <c r="U37" i="71"/>
  <c r="BE37" i="71" s="1"/>
  <c r="U33" i="71"/>
  <c r="AA37" i="71"/>
  <c r="AA60" i="71" s="1"/>
  <c r="AA33" i="71"/>
  <c r="AQ37" i="71"/>
  <c r="AQ38" i="71" s="1"/>
  <c r="AQ33" i="71"/>
  <c r="BC32" i="71"/>
  <c r="BC33" i="71" s="1"/>
  <c r="L33" i="71"/>
  <c r="X62" i="71"/>
  <c r="X60" i="71" s="1"/>
  <c r="AB62" i="71"/>
  <c r="AB60" i="71" s="1"/>
  <c r="AP62" i="71"/>
  <c r="AP60" i="71" s="1"/>
  <c r="AP61" i="71" s="1"/>
  <c r="D34" i="71"/>
  <c r="H34" i="71"/>
  <c r="P34" i="71"/>
  <c r="X34" i="71"/>
  <c r="AB34" i="71"/>
  <c r="BB38" i="71"/>
  <c r="BD37" i="71"/>
  <c r="BD38" i="71" s="1"/>
  <c r="BF37" i="71"/>
  <c r="BF38" i="71" s="1"/>
  <c r="D59" i="71"/>
  <c r="D64" i="71" s="1"/>
  <c r="D46" i="71"/>
  <c r="D47" i="71" s="1"/>
  <c r="F59" i="71"/>
  <c r="F64" i="71" s="1"/>
  <c r="F46" i="71"/>
  <c r="F47" i="71" s="1"/>
  <c r="H59" i="71"/>
  <c r="H64" i="71" s="1"/>
  <c r="H46" i="71"/>
  <c r="H47" i="71" s="1"/>
  <c r="BB41" i="71"/>
  <c r="J59" i="71"/>
  <c r="J64" i="71" s="1"/>
  <c r="J46" i="71"/>
  <c r="J47" i="71" s="1"/>
  <c r="L59" i="71"/>
  <c r="L64" i="71" s="1"/>
  <c r="L50" i="71"/>
  <c r="L46" i="71"/>
  <c r="L47" i="71" s="1"/>
  <c r="N59" i="71"/>
  <c r="N64" i="71" s="1"/>
  <c r="N50" i="71"/>
  <c r="N46" i="71"/>
  <c r="N47" i="71" s="1"/>
  <c r="P59" i="71"/>
  <c r="P64" i="71" s="1"/>
  <c r="P50" i="71"/>
  <c r="P46" i="71"/>
  <c r="P47" i="71" s="1"/>
  <c r="BD41" i="71"/>
  <c r="R59" i="71"/>
  <c r="R64" i="71" s="1"/>
  <c r="R50" i="71"/>
  <c r="R46" i="71"/>
  <c r="R47" i="71" s="1"/>
  <c r="T59" i="71"/>
  <c r="T64" i="71" s="1"/>
  <c r="T50" i="71"/>
  <c r="T46" i="71"/>
  <c r="T47" i="71" s="1"/>
  <c r="V59" i="71"/>
  <c r="V50" i="71"/>
  <c r="V46" i="71"/>
  <c r="V47" i="71" s="1"/>
  <c r="AM59" i="71"/>
  <c r="AM64" i="71" s="1"/>
  <c r="AM50" i="71"/>
  <c r="AM51" i="71" s="1"/>
  <c r="AM46" i="71"/>
  <c r="AM47" i="71" s="1"/>
  <c r="AM42" i="71"/>
  <c r="BC41" i="71"/>
  <c r="BF42" i="71"/>
  <c r="BH42" i="71"/>
  <c r="BJ42" i="71"/>
  <c r="BG42" i="71"/>
  <c r="D42" i="71"/>
  <c r="H42" i="71"/>
  <c r="L42" i="71"/>
  <c r="P42" i="71"/>
  <c r="T42" i="71"/>
  <c r="X42" i="71"/>
  <c r="BH47" i="71"/>
  <c r="BB51" i="71"/>
  <c r="BA61" i="71"/>
  <c r="BC61" i="71"/>
  <c r="BE61" i="71"/>
  <c r="D20" i="71"/>
  <c r="F20" i="71"/>
  <c r="H20" i="71"/>
  <c r="J20" i="71"/>
  <c r="L20" i="71"/>
  <c r="N20" i="71"/>
  <c r="P20" i="71"/>
  <c r="R20" i="71"/>
  <c r="T20" i="71"/>
  <c r="Z20" i="71"/>
  <c r="AB20" i="71"/>
  <c r="AD20" i="71"/>
  <c r="AF20" i="71"/>
  <c r="AH20" i="71"/>
  <c r="AJ20" i="71"/>
  <c r="AL20" i="71"/>
  <c r="AN20" i="71"/>
  <c r="AP20" i="71"/>
  <c r="AR20" i="71"/>
  <c r="AT20" i="71"/>
  <c r="BB29" i="71"/>
  <c r="BD29" i="71"/>
  <c r="BF29" i="71"/>
  <c r="BH29" i="71"/>
  <c r="BJ29" i="71"/>
  <c r="BF32" i="71"/>
  <c r="BF33" i="71" s="1"/>
  <c r="BJ32" i="71"/>
  <c r="BJ95" i="71" s="1"/>
  <c r="M33" i="71"/>
  <c r="Y33" i="71"/>
  <c r="AE33" i="71"/>
  <c r="AM62" i="71"/>
  <c r="AM60" i="71" s="1"/>
  <c r="AM61" i="71" s="1"/>
  <c r="AO33" i="71"/>
  <c r="E34" i="71"/>
  <c r="G34" i="71"/>
  <c r="I34" i="71"/>
  <c r="K34" i="71"/>
  <c r="S34" i="71"/>
  <c r="W34" i="71"/>
  <c r="AC34" i="71"/>
  <c r="AG34" i="71"/>
  <c r="AI34" i="71"/>
  <c r="AK34" i="71"/>
  <c r="AM34" i="71"/>
  <c r="AS34" i="71"/>
  <c r="BB33" i="71"/>
  <c r="BD33" i="71"/>
  <c r="BH33" i="71"/>
  <c r="O42" i="71"/>
  <c r="Q42" i="71"/>
  <c r="S42" i="71"/>
  <c r="U42" i="71"/>
  <c r="W42" i="71"/>
  <c r="BA54" i="71"/>
  <c r="BA57" i="71" s="1"/>
  <c r="BI54" i="71"/>
  <c r="BI57" i="71" s="1"/>
  <c r="BK54" i="71"/>
  <c r="BK57" i="71" s="1"/>
  <c r="BC56" i="71"/>
  <c r="BC57" i="71" s="1"/>
  <c r="AF57" i="71"/>
  <c r="AL57" i="71"/>
  <c r="AL62" i="71" s="1"/>
  <c r="AL60" i="71" s="1"/>
  <c r="AL61" i="71" s="1"/>
  <c r="AN57" i="71"/>
  <c r="AR57" i="71"/>
  <c r="AT57" i="71"/>
  <c r="AN59" i="71"/>
  <c r="AN64" i="71" s="1"/>
  <c r="BK75" i="71"/>
  <c r="BB73" i="71"/>
  <c r="BF73" i="71"/>
  <c r="BB77" i="71"/>
  <c r="BF77" i="71"/>
  <c r="BJ77" i="71"/>
  <c r="BC76" i="71"/>
  <c r="BC73" i="71" s="1"/>
  <c r="M73" i="71"/>
  <c r="M79" i="71" s="1"/>
  <c r="BE76" i="71"/>
  <c r="BE73" i="71" s="1"/>
  <c r="U73" i="71"/>
  <c r="U79" i="71" s="1"/>
  <c r="BG76" i="71"/>
  <c r="BG73" i="71" s="1"/>
  <c r="AC73" i="71"/>
  <c r="AC79" i="71" s="1"/>
  <c r="BI76" i="71"/>
  <c r="BI73" i="71" s="1"/>
  <c r="AK73" i="71"/>
  <c r="AK79" i="71" s="1"/>
  <c r="BK76" i="71"/>
  <c r="AS73" i="71"/>
  <c r="AS79" i="71" s="1"/>
  <c r="AL77" i="71"/>
  <c r="BB54" i="71"/>
  <c r="BB57" i="71" s="1"/>
  <c r="BL54" i="71"/>
  <c r="BF56" i="71"/>
  <c r="BF57" i="71" s="1"/>
  <c r="BL56" i="71"/>
  <c r="BM56" i="71" s="1"/>
  <c r="E57" i="71"/>
  <c r="E62" i="71" s="1"/>
  <c r="E70" i="71" s="1"/>
  <c r="I57" i="71"/>
  <c r="I62" i="71" s="1"/>
  <c r="I70" i="71" s="1"/>
  <c r="K57" i="71"/>
  <c r="K62" i="71" s="1"/>
  <c r="K70" i="71" s="1"/>
  <c r="AQ57" i="71"/>
  <c r="AS57" i="71"/>
  <c r="AS62" i="71" s="1"/>
  <c r="AS60" i="71" s="1"/>
  <c r="AS61" i="71" s="1"/>
  <c r="BK89" i="71"/>
  <c r="BK88" i="71" s="1"/>
  <c r="AL89" i="71"/>
  <c r="AL86" i="71"/>
  <c r="BI85" i="71"/>
  <c r="AJ89" i="71"/>
  <c r="BI88" i="71"/>
  <c r="BK105" i="71"/>
  <c r="AV105" i="71"/>
  <c r="BK103" i="71"/>
  <c r="BB124" i="71"/>
  <c r="BD124" i="71"/>
  <c r="BF124" i="71"/>
  <c r="BH124" i="71"/>
  <c r="BJ124" i="71"/>
  <c r="AV123" i="71"/>
  <c r="AL124" i="71"/>
  <c r="AW142" i="71"/>
  <c r="AX142" i="71" s="1"/>
  <c r="AY142" i="71" s="1"/>
  <c r="BA129" i="71" l="1"/>
  <c r="AV470" i="13"/>
  <c r="AU354" i="13"/>
  <c r="AU19" i="13"/>
  <c r="BG35" i="13"/>
  <c r="BC63" i="13"/>
  <c r="BJ478" i="13"/>
  <c r="BF478" i="13"/>
  <c r="M444" i="13"/>
  <c r="BG27" i="13"/>
  <c r="BK146" i="13"/>
  <c r="BK35" i="13"/>
  <c r="U140" i="3"/>
  <c r="BL48" i="3"/>
  <c r="BM48" i="3" s="1"/>
  <c r="BL36" i="3"/>
  <c r="AY29" i="3"/>
  <c r="AX25" i="3"/>
  <c r="AX29" i="3"/>
  <c r="AV26" i="3"/>
  <c r="AW25" i="3"/>
  <c r="BN29" i="3"/>
  <c r="BN131" i="3" s="1"/>
  <c r="AV76" i="2"/>
  <c r="AX26" i="3"/>
  <c r="AV46" i="3"/>
  <c r="BM29" i="3"/>
  <c r="BM131" i="3" s="1"/>
  <c r="AW29" i="3"/>
  <c r="AV25" i="3"/>
  <c r="AV29" i="3"/>
  <c r="AV131" i="3" s="1"/>
  <c r="AW131" i="3" s="1"/>
  <c r="AX131" i="3" s="1"/>
  <c r="AY131" i="3" s="1"/>
  <c r="BL131" i="3" s="1"/>
  <c r="BM25" i="3"/>
  <c r="BM127" i="3" s="1"/>
  <c r="AY25" i="3"/>
  <c r="AW26" i="3"/>
  <c r="AU60" i="2"/>
  <c r="BK60" i="2" s="1"/>
  <c r="AV73" i="2"/>
  <c r="D62" i="71"/>
  <c r="D70" i="71" s="1"/>
  <c r="AT22" i="71"/>
  <c r="AN22" i="71"/>
  <c r="AN53" i="2"/>
  <c r="BJ47" i="71"/>
  <c r="BK95" i="71"/>
  <c r="BG50" i="71"/>
  <c r="BG51" i="71" s="1"/>
  <c r="AJ22" i="71"/>
  <c r="AJ53" i="2"/>
  <c r="BK111" i="3"/>
  <c r="BG111" i="3"/>
  <c r="BL111" i="3"/>
  <c r="BH111" i="3"/>
  <c r="AR50" i="2"/>
  <c r="BF94" i="2"/>
  <c r="BC50" i="71"/>
  <c r="BC51" i="71" s="1"/>
  <c r="BB59" i="71"/>
  <c r="V62" i="71"/>
  <c r="H62" i="71"/>
  <c r="H70" i="71" s="1"/>
  <c r="H82" i="71" s="1"/>
  <c r="AT51" i="71"/>
  <c r="AN62" i="71"/>
  <c r="AN60" i="71" s="1"/>
  <c r="AV60" i="2"/>
  <c r="BI111" i="3"/>
  <c r="BE111" i="3"/>
  <c r="BG94" i="2"/>
  <c r="BE94" i="2"/>
  <c r="BJ111" i="3"/>
  <c r="BF111" i="3"/>
  <c r="AU73" i="2"/>
  <c r="BK123" i="71"/>
  <c r="BK119" i="71"/>
  <c r="BK120" i="71"/>
  <c r="AA524" i="13"/>
  <c r="AA523" i="13"/>
  <c r="AB523" i="13"/>
  <c r="Z533" i="13"/>
  <c r="Z513" i="13"/>
  <c r="Z512" i="13"/>
  <c r="BF186" i="13"/>
  <c r="BF139" i="13"/>
  <c r="BG139" i="13"/>
  <c r="Z524" i="13"/>
  <c r="AD524" i="13"/>
  <c r="L522" i="13"/>
  <c r="M523" i="13"/>
  <c r="P524" i="13"/>
  <c r="BD186" i="13"/>
  <c r="BD501" i="13"/>
  <c r="BE186" i="13"/>
  <c r="BE139" i="13"/>
  <c r="S531" i="13"/>
  <c r="S517" i="13"/>
  <c r="S503" i="13"/>
  <c r="S435" i="13"/>
  <c r="S417" i="13"/>
  <c r="S411" i="13"/>
  <c r="S354" i="13"/>
  <c r="S19" i="13"/>
  <c r="S447" i="13"/>
  <c r="S506" i="13"/>
  <c r="S429" i="13"/>
  <c r="Q531" i="13"/>
  <c r="Q517" i="13"/>
  <c r="Q503" i="13"/>
  <c r="Q502" i="13"/>
  <c r="Q435" i="13"/>
  <c r="Q417" i="13"/>
  <c r="Q411" i="13"/>
  <c r="Q354" i="13"/>
  <c r="Q19" i="13"/>
  <c r="Q429" i="13"/>
  <c r="Q506" i="13"/>
  <c r="BI532" i="13"/>
  <c r="BI507" i="13"/>
  <c r="BI508" i="13"/>
  <c r="BD532" i="13"/>
  <c r="BD508" i="13"/>
  <c r="BD506" i="13"/>
  <c r="BF532" i="13"/>
  <c r="BF508" i="13"/>
  <c r="BF507" i="13"/>
  <c r="BC532" i="13"/>
  <c r="BC506" i="13"/>
  <c r="L498" i="13"/>
  <c r="L496" i="13"/>
  <c r="L495" i="13"/>
  <c r="L494" i="13"/>
  <c r="L493" i="13"/>
  <c r="L492" i="13"/>
  <c r="L491" i="13"/>
  <c r="L490" i="13"/>
  <c r="BC459" i="13"/>
  <c r="O498" i="13"/>
  <c r="O497" i="13"/>
  <c r="O495" i="13"/>
  <c r="O494" i="13"/>
  <c r="O493" i="13"/>
  <c r="O492" i="13"/>
  <c r="O491" i="13"/>
  <c r="O490" i="13"/>
  <c r="O472" i="13"/>
  <c r="O496" i="13"/>
  <c r="BK481" i="13"/>
  <c r="BI479" i="13"/>
  <c r="BE479" i="13"/>
  <c r="BK478" i="13"/>
  <c r="BG478" i="13"/>
  <c r="BI477" i="13"/>
  <c r="BE477" i="13"/>
  <c r="BK476" i="13"/>
  <c r="BG476" i="13"/>
  <c r="BC489" i="13"/>
  <c r="AQ467" i="13"/>
  <c r="AQ480" i="13"/>
  <c r="AQ456" i="13"/>
  <c r="AN480" i="13"/>
  <c r="AN467" i="13"/>
  <c r="AN456" i="13"/>
  <c r="BJ454" i="13"/>
  <c r="AJ480" i="13"/>
  <c r="AJ467" i="13"/>
  <c r="BI454" i="13"/>
  <c r="AJ456" i="13"/>
  <c r="AF480" i="13"/>
  <c r="AF467" i="13"/>
  <c r="AF456" i="13"/>
  <c r="BH454" i="13"/>
  <c r="AB480" i="13"/>
  <c r="AB467" i="13"/>
  <c r="BG454" i="13"/>
  <c r="AB456" i="13"/>
  <c r="X480" i="13"/>
  <c r="X467" i="13"/>
  <c r="BF454" i="13"/>
  <c r="BF140" i="13" s="1"/>
  <c r="T480" i="13"/>
  <c r="T467" i="13"/>
  <c r="BE454" i="13"/>
  <c r="BE140" i="13" s="1"/>
  <c r="P480" i="13"/>
  <c r="P467" i="13"/>
  <c r="P456" i="13"/>
  <c r="BD454" i="13"/>
  <c r="BD140" i="13" s="1"/>
  <c r="O489" i="13"/>
  <c r="BJ481" i="13"/>
  <c r="BJ479" i="13"/>
  <c r="BF479" i="13"/>
  <c r="BJ477" i="13"/>
  <c r="BF477" i="13"/>
  <c r="AR480" i="13"/>
  <c r="AR467" i="13"/>
  <c r="AR456" i="13"/>
  <c r="AK480" i="13"/>
  <c r="AK467" i="13"/>
  <c r="AK456" i="13"/>
  <c r="AG480" i="13"/>
  <c r="AG467" i="13"/>
  <c r="AG456" i="13"/>
  <c r="AC480" i="13"/>
  <c r="AC467" i="13"/>
  <c r="AC456" i="13"/>
  <c r="Y480" i="13"/>
  <c r="Y467" i="13"/>
  <c r="U480" i="13"/>
  <c r="U467" i="13"/>
  <c r="Q480" i="13"/>
  <c r="Q467" i="13"/>
  <c r="L489" i="13"/>
  <c r="T446" i="13"/>
  <c r="T445" i="13"/>
  <c r="BE443" i="13"/>
  <c r="BE521" i="13" s="1"/>
  <c r="T444" i="13"/>
  <c r="Y446" i="13"/>
  <c r="Y445" i="13"/>
  <c r="Y444" i="13"/>
  <c r="BF435" i="13"/>
  <c r="BF433" i="13"/>
  <c r="BL481" i="13"/>
  <c r="BH478" i="13"/>
  <c r="BD443" i="13"/>
  <c r="P445" i="13"/>
  <c r="Q343" i="13"/>
  <c r="Q344" i="13" s="1"/>
  <c r="Q345" i="13" s="1"/>
  <c r="BD341" i="13"/>
  <c r="BE343" i="13" s="1"/>
  <c r="U444" i="13"/>
  <c r="BF425" i="13"/>
  <c r="BE429" i="13"/>
  <c r="BE428" i="13"/>
  <c r="BE427" i="13"/>
  <c r="BD429" i="13"/>
  <c r="BD428" i="13"/>
  <c r="BD427" i="13"/>
  <c r="BE324" i="13"/>
  <c r="BE326" i="13"/>
  <c r="Z343" i="13"/>
  <c r="Z344" i="13" s="1"/>
  <c r="Z345" i="13" s="1"/>
  <c r="U344" i="13"/>
  <c r="U345" i="13" s="1"/>
  <c r="V343" i="13"/>
  <c r="V344" i="13" s="1"/>
  <c r="V345" i="13" s="1"/>
  <c r="R343" i="13"/>
  <c r="R344" i="13" s="1"/>
  <c r="R345" i="13" s="1"/>
  <c r="AK281" i="13"/>
  <c r="AO286" i="13"/>
  <c r="AO287" i="13" s="1"/>
  <c r="AP285" i="13"/>
  <c r="AO281" i="13"/>
  <c r="BD521" i="13"/>
  <c r="Q521" i="13"/>
  <c r="Q241" i="13"/>
  <c r="BG510" i="13"/>
  <c r="AQ524" i="13"/>
  <c r="AQ522" i="13"/>
  <c r="AM524" i="13"/>
  <c r="AM522" i="13"/>
  <c r="AI524" i="13"/>
  <c r="AI522" i="13"/>
  <c r="AI523" i="13"/>
  <c r="AG524" i="13"/>
  <c r="AG522" i="13"/>
  <c r="AG523" i="13"/>
  <c r="AE524" i="13"/>
  <c r="AE522" i="13"/>
  <c r="AE523" i="13"/>
  <c r="AC522" i="13"/>
  <c r="AC523" i="13"/>
  <c r="W524" i="13"/>
  <c r="W523" i="13"/>
  <c r="U524" i="13"/>
  <c r="S524" i="13"/>
  <c r="S522" i="13"/>
  <c r="S523" i="13"/>
  <c r="AQ513" i="13"/>
  <c r="AQ512" i="13"/>
  <c r="AQ511" i="13"/>
  <c r="AO513" i="13"/>
  <c r="AO512" i="13"/>
  <c r="AO511" i="13"/>
  <c r="AM533" i="13"/>
  <c r="AM513" i="13"/>
  <c r="AM512" i="13"/>
  <c r="AM511" i="13"/>
  <c r="AK533" i="13"/>
  <c r="AK513" i="13"/>
  <c r="AK512" i="13"/>
  <c r="AK511" i="13"/>
  <c r="AI533" i="13"/>
  <c r="AI513" i="13"/>
  <c r="AI512" i="13"/>
  <c r="AI511" i="13"/>
  <c r="AG533" i="13"/>
  <c r="AG513" i="13"/>
  <c r="AG512" i="13"/>
  <c r="AG511" i="13"/>
  <c r="AE533" i="13"/>
  <c r="AE512" i="13"/>
  <c r="AE511" i="13"/>
  <c r="AC533" i="13"/>
  <c r="AC513" i="13"/>
  <c r="AC512" i="13"/>
  <c r="AC511" i="13"/>
  <c r="BK139" i="13"/>
  <c r="X455" i="13"/>
  <c r="AB264" i="13"/>
  <c r="X264" i="13"/>
  <c r="X259" i="13"/>
  <c r="BF254" i="13"/>
  <c r="BG255" i="13" s="1"/>
  <c r="T455" i="13"/>
  <c r="T456" i="13" s="1"/>
  <c r="T264" i="13"/>
  <c r="BE254" i="13"/>
  <c r="BE501" i="13" s="1"/>
  <c r="T259" i="13"/>
  <c r="BK116" i="13"/>
  <c r="AS183" i="13"/>
  <c r="AS176" i="13"/>
  <c r="AS117" i="13"/>
  <c r="AS116" i="13"/>
  <c r="AT114" i="13"/>
  <c r="X185" i="13"/>
  <c r="X178" i="13"/>
  <c r="X79" i="13"/>
  <c r="AB74" i="13"/>
  <c r="X74" i="13"/>
  <c r="X69" i="13"/>
  <c r="BF64" i="13"/>
  <c r="X63" i="13"/>
  <c r="BG69" i="13"/>
  <c r="BE182" i="13"/>
  <c r="BE73" i="13"/>
  <c r="Y182" i="13"/>
  <c r="Y78" i="13"/>
  <c r="Y88" i="13" s="1"/>
  <c r="Y102" i="13" s="1"/>
  <c r="AC73" i="13"/>
  <c r="Y73" i="13"/>
  <c r="AV452" i="13"/>
  <c r="AV454" i="13" s="1"/>
  <c r="AV43" i="13"/>
  <c r="AV42" i="13"/>
  <c r="AW40" i="13"/>
  <c r="AW146" i="13" s="1"/>
  <c r="AW451" i="13"/>
  <c r="AW35" i="13"/>
  <c r="AW34" i="13"/>
  <c r="AX32" i="13"/>
  <c r="AW450" i="13"/>
  <c r="AW177" i="13"/>
  <c r="AW27" i="13"/>
  <c r="AW26" i="13"/>
  <c r="AX24" i="13"/>
  <c r="BI501" i="13"/>
  <c r="BI216" i="13"/>
  <c r="BI19" i="13"/>
  <c r="BI18" i="13"/>
  <c r="BE216" i="13"/>
  <c r="BE19" i="13"/>
  <c r="BE18" i="13"/>
  <c r="AV16" i="13"/>
  <c r="AT503" i="13"/>
  <c r="AT502" i="13"/>
  <c r="AT354" i="13"/>
  <c r="AT19" i="13"/>
  <c r="AR503" i="13"/>
  <c r="AR502" i="13"/>
  <c r="AR354" i="13"/>
  <c r="AR19" i="13"/>
  <c r="AP503" i="13"/>
  <c r="AP502" i="13"/>
  <c r="AP354" i="13"/>
  <c r="AP19" i="13"/>
  <c r="AL531" i="13"/>
  <c r="AL503" i="13"/>
  <c r="AL502" i="13"/>
  <c r="AL354" i="13"/>
  <c r="AL19" i="13"/>
  <c r="AP286" i="13"/>
  <c r="AP287" i="13" s="1"/>
  <c r="AN532" i="13"/>
  <c r="BJ510" i="13"/>
  <c r="AN513" i="13"/>
  <c r="AN512" i="13"/>
  <c r="AN511" i="13"/>
  <c r="BJ505" i="13"/>
  <c r="AL533" i="13"/>
  <c r="AL513" i="13"/>
  <c r="AL512" i="13"/>
  <c r="AL511" i="13"/>
  <c r="AF533" i="13"/>
  <c r="AF513" i="13"/>
  <c r="AF512" i="13"/>
  <c r="AF511" i="13"/>
  <c r="AD533" i="13"/>
  <c r="AD513" i="13"/>
  <c r="AD512" i="13"/>
  <c r="AD511" i="13"/>
  <c r="Y244" i="13"/>
  <c r="W244" i="13"/>
  <c r="T533" i="13"/>
  <c r="T513" i="13"/>
  <c r="T512" i="13"/>
  <c r="R533" i="13"/>
  <c r="R513" i="13"/>
  <c r="R512" i="13"/>
  <c r="Q244" i="13"/>
  <c r="L533" i="13"/>
  <c r="L511" i="13"/>
  <c r="U204" i="13"/>
  <c r="U190" i="13"/>
  <c r="U191" i="13" s="1"/>
  <c r="V189" i="13"/>
  <c r="V190" i="13" s="1"/>
  <c r="V191" i="13" s="1"/>
  <c r="U162" i="13"/>
  <c r="S204" i="13"/>
  <c r="S190" i="13"/>
  <c r="S191" i="13" s="1"/>
  <c r="T189" i="13"/>
  <c r="S162" i="13"/>
  <c r="Q204" i="13"/>
  <c r="Q190" i="13"/>
  <c r="R189" i="13"/>
  <c r="R190" i="13" s="1"/>
  <c r="R191" i="13" s="1"/>
  <c r="Q162" i="13"/>
  <c r="AA455" i="13"/>
  <c r="AA259" i="13"/>
  <c r="AE264" i="13"/>
  <c r="AA264" i="13"/>
  <c r="AB259" i="13"/>
  <c r="Y455" i="13"/>
  <c r="Y456" i="13" s="1"/>
  <c r="Y259" i="13"/>
  <c r="AC264" i="13"/>
  <c r="Y264" i="13"/>
  <c r="U455" i="13"/>
  <c r="U456" i="13" s="1"/>
  <c r="U259" i="13"/>
  <c r="U264" i="13"/>
  <c r="Y93" i="13"/>
  <c r="Y107" i="13" s="1"/>
  <c r="Y91" i="13"/>
  <c r="Y105" i="13" s="1"/>
  <c r="Z175" i="13"/>
  <c r="BG59" i="13"/>
  <c r="BE59" i="13"/>
  <c r="BK51" i="13"/>
  <c r="BG51" i="13"/>
  <c r="AV476" i="13"/>
  <c r="AV463" i="13"/>
  <c r="BH18" i="13"/>
  <c r="BH27" i="13"/>
  <c r="BH19" i="13"/>
  <c r="BD27" i="13"/>
  <c r="BD19" i="13"/>
  <c r="Y501" i="13"/>
  <c r="U501" i="13"/>
  <c r="BF183" i="13"/>
  <c r="BF117" i="13"/>
  <c r="BF118" i="13"/>
  <c r="BF116" i="13"/>
  <c r="X501" i="13"/>
  <c r="BD183" i="13"/>
  <c r="BD117" i="13"/>
  <c r="BD118" i="13"/>
  <c r="BH59" i="13"/>
  <c r="BG532" i="13"/>
  <c r="BG507" i="13"/>
  <c r="BG508" i="13"/>
  <c r="BG506" i="13"/>
  <c r="BH532" i="13"/>
  <c r="BH508" i="13"/>
  <c r="BH506" i="13"/>
  <c r="BH507" i="13"/>
  <c r="BE532" i="13"/>
  <c r="BE508" i="13"/>
  <c r="N498" i="13"/>
  <c r="N496" i="13"/>
  <c r="N495" i="13"/>
  <c r="N494" i="13"/>
  <c r="N493" i="13"/>
  <c r="N492" i="13"/>
  <c r="N491" i="13"/>
  <c r="N490" i="13"/>
  <c r="N472" i="13"/>
  <c r="M498" i="13"/>
  <c r="M496" i="13"/>
  <c r="M495" i="13"/>
  <c r="M494" i="13"/>
  <c r="M493" i="13"/>
  <c r="M492" i="13"/>
  <c r="M491" i="13"/>
  <c r="M490" i="13"/>
  <c r="M472" i="13"/>
  <c r="L497" i="13"/>
  <c r="BK483" i="13"/>
  <c r="BI481" i="13"/>
  <c r="BK479" i="13"/>
  <c r="BG479" i="13"/>
  <c r="BI478" i="13"/>
  <c r="BE478" i="13"/>
  <c r="BK477" i="13"/>
  <c r="BG477" i="13"/>
  <c r="BI476" i="13"/>
  <c r="BE476" i="13"/>
  <c r="AS480" i="13"/>
  <c r="AS467" i="13"/>
  <c r="AS456" i="13"/>
  <c r="AO480" i="13"/>
  <c r="AO467" i="13"/>
  <c r="AO456" i="13"/>
  <c r="AL480" i="13"/>
  <c r="AL467" i="13"/>
  <c r="AL456" i="13"/>
  <c r="AH480" i="13"/>
  <c r="AH467" i="13"/>
  <c r="AH456" i="13"/>
  <c r="AD480" i="13"/>
  <c r="AD467" i="13"/>
  <c r="AD456" i="13"/>
  <c r="Z480" i="13"/>
  <c r="Z467" i="13"/>
  <c r="V480" i="13"/>
  <c r="V467" i="13"/>
  <c r="R480" i="13"/>
  <c r="R467" i="13"/>
  <c r="AA446" i="13"/>
  <c r="AA445" i="13"/>
  <c r="AA444" i="13"/>
  <c r="Z428" i="13"/>
  <c r="Z427" i="13"/>
  <c r="Z426" i="13"/>
  <c r="BJ483" i="13"/>
  <c r="BH481" i="13"/>
  <c r="BH479" i="13"/>
  <c r="BH477" i="13"/>
  <c r="AT480" i="13"/>
  <c r="AT467" i="13"/>
  <c r="AT456" i="13"/>
  <c r="AP480" i="13"/>
  <c r="AP467" i="13"/>
  <c r="AP456" i="13"/>
  <c r="AM467" i="13"/>
  <c r="AM480" i="13"/>
  <c r="AM456" i="13"/>
  <c r="AI467" i="13"/>
  <c r="AI480" i="13"/>
  <c r="AI456" i="13"/>
  <c r="AE467" i="13"/>
  <c r="AE480" i="13"/>
  <c r="AE456" i="13"/>
  <c r="AA467" i="13"/>
  <c r="AA480" i="13"/>
  <c r="AA456" i="13"/>
  <c r="W467" i="13"/>
  <c r="W480" i="13"/>
  <c r="S467" i="13"/>
  <c r="S480" i="13"/>
  <c r="N489" i="13"/>
  <c r="Z446" i="13"/>
  <c r="Z445" i="13"/>
  <c r="Z444" i="13"/>
  <c r="L447" i="13"/>
  <c r="L446" i="13"/>
  <c r="L445" i="13"/>
  <c r="BC443" i="13"/>
  <c r="Q447" i="13"/>
  <c r="Q446" i="13"/>
  <c r="Q445" i="13"/>
  <c r="Q444" i="13"/>
  <c r="AA428" i="13"/>
  <c r="AA427" i="13"/>
  <c r="AA426" i="13"/>
  <c r="BF417" i="13"/>
  <c r="BF416" i="13"/>
  <c r="BF415" i="13"/>
  <c r="AW353" i="13"/>
  <c r="AW352" i="13"/>
  <c r="AX351" i="13"/>
  <c r="AX356" i="13" s="1"/>
  <c r="AW457" i="13"/>
  <c r="BG521" i="13"/>
  <c r="BJ476" i="13"/>
  <c r="BH476" i="13"/>
  <c r="BF476" i="13"/>
  <c r="BD476" i="13"/>
  <c r="BF443" i="13"/>
  <c r="X445" i="13"/>
  <c r="Y343" i="13"/>
  <c r="Y344" i="13" s="1"/>
  <c r="Y345" i="13" s="1"/>
  <c r="BF341" i="13"/>
  <c r="BF344" i="13" s="1"/>
  <c r="BF345" i="13" s="1"/>
  <c r="BD326" i="13"/>
  <c r="BD324" i="13"/>
  <c r="AR513" i="13"/>
  <c r="AR512" i="13"/>
  <c r="AR511" i="13"/>
  <c r="AJ286" i="13"/>
  <c r="AJ287" i="13" s="1"/>
  <c r="AK285" i="13"/>
  <c r="AK286" i="13" s="1"/>
  <c r="AK287" i="13" s="1"/>
  <c r="AJ281" i="13"/>
  <c r="BM481" i="13"/>
  <c r="BC521" i="13"/>
  <c r="T521" i="13"/>
  <c r="U523" i="13" s="1"/>
  <c r="BF516" i="13"/>
  <c r="BD189" i="13"/>
  <c r="U445" i="13"/>
  <c r="BC429" i="13"/>
  <c r="BC428" i="13"/>
  <c r="AA344" i="13"/>
  <c r="AA345" i="13" s="1"/>
  <c r="W344" i="13"/>
  <c r="W345" i="13" s="1"/>
  <c r="X343" i="13"/>
  <c r="X344" i="13" s="1"/>
  <c r="X345" i="13" s="1"/>
  <c r="S344" i="13"/>
  <c r="S345" i="13" s="1"/>
  <c r="T343" i="13"/>
  <c r="T344" i="13" s="1"/>
  <c r="T345" i="13" s="1"/>
  <c r="AQ286" i="13"/>
  <c r="AQ287" i="13" s="1"/>
  <c r="AQ281" i="13"/>
  <c r="BN455" i="13"/>
  <c r="BN313" i="13"/>
  <c r="BN267" i="13"/>
  <c r="BN264" i="13"/>
  <c r="Y521" i="13"/>
  <c r="Y241" i="13"/>
  <c r="AA510" i="13"/>
  <c r="Y242" i="13"/>
  <c r="Y533" i="13"/>
  <c r="Y513" i="13"/>
  <c r="Y512" i="13"/>
  <c r="Y511" i="13"/>
  <c r="W245" i="13"/>
  <c r="W246" i="13" s="1"/>
  <c r="X244" i="13"/>
  <c r="X245" i="13" s="1"/>
  <c r="X246" i="13" s="1"/>
  <c r="W533" i="13"/>
  <c r="W513" i="13"/>
  <c r="W512" i="13"/>
  <c r="V244" i="13"/>
  <c r="V245" i="13" s="1"/>
  <c r="V246" i="13" s="1"/>
  <c r="U533" i="13"/>
  <c r="U513" i="13"/>
  <c r="U512" i="13"/>
  <c r="U511" i="13"/>
  <c r="T244" i="13"/>
  <c r="S533" i="13"/>
  <c r="S513" i="13"/>
  <c r="S512" i="13"/>
  <c r="S511" i="13"/>
  <c r="Q242" i="13"/>
  <c r="Q533" i="13"/>
  <c r="Q513" i="13"/>
  <c r="Q512" i="13"/>
  <c r="Q511" i="13"/>
  <c r="O533" i="13"/>
  <c r="O511" i="13"/>
  <c r="O512" i="13"/>
  <c r="M533" i="13"/>
  <c r="M512" i="13"/>
  <c r="M511" i="13"/>
  <c r="BI139" i="13"/>
  <c r="BI140" i="13"/>
  <c r="AS186" i="13"/>
  <c r="AS179" i="13"/>
  <c r="AS139" i="13"/>
  <c r="AT137" i="13"/>
  <c r="Z455" i="13"/>
  <c r="Z456" i="13" s="1"/>
  <c r="AD264" i="13"/>
  <c r="Z264" i="13"/>
  <c r="Z259" i="13"/>
  <c r="V455" i="13"/>
  <c r="V456" i="13" s="1"/>
  <c r="V264" i="13"/>
  <c r="V259" i="13"/>
  <c r="R455" i="13"/>
  <c r="R259" i="13"/>
  <c r="BI118" i="13"/>
  <c r="BI116" i="13"/>
  <c r="BI117" i="13"/>
  <c r="Y69" i="13"/>
  <c r="BG75" i="13"/>
  <c r="BG70" i="13"/>
  <c r="AE182" i="13"/>
  <c r="AE175" i="13"/>
  <c r="AE78" i="13"/>
  <c r="AE73" i="13"/>
  <c r="AE68" i="13"/>
  <c r="AF63" i="13"/>
  <c r="AW453" i="13"/>
  <c r="AW51" i="13"/>
  <c r="AW50" i="13"/>
  <c r="AX48" i="13"/>
  <c r="BK43" i="13"/>
  <c r="BK42" i="13"/>
  <c r="BI27" i="13"/>
  <c r="BE27" i="13"/>
  <c r="AU476" i="13"/>
  <c r="AU463" i="13"/>
  <c r="AU454" i="13"/>
  <c r="BK501" i="13"/>
  <c r="BK18" i="13"/>
  <c r="BG216" i="13"/>
  <c r="BG19" i="13"/>
  <c r="BG18" i="13"/>
  <c r="AP513" i="13"/>
  <c r="AP512" i="13"/>
  <c r="AP511" i="13"/>
  <c r="AJ533" i="13"/>
  <c r="BI510" i="13"/>
  <c r="AJ513" i="13"/>
  <c r="AJ512" i="13"/>
  <c r="AJ511" i="13"/>
  <c r="AH533" i="13"/>
  <c r="AH513" i="13"/>
  <c r="AH512" i="13"/>
  <c r="AH511" i="13"/>
  <c r="AB533" i="13"/>
  <c r="AB513" i="13"/>
  <c r="AB512" i="13"/>
  <c r="AB511" i="13"/>
  <c r="AA244" i="13"/>
  <c r="AA245" i="13" s="1"/>
  <c r="AA246" i="13" s="1"/>
  <c r="BF510" i="13"/>
  <c r="BF226" i="13"/>
  <c r="X533" i="13"/>
  <c r="X513" i="13"/>
  <c r="X512" i="13"/>
  <c r="X511" i="13"/>
  <c r="V533" i="13"/>
  <c r="V513" i="13"/>
  <c r="V512" i="13"/>
  <c r="BE510" i="13"/>
  <c r="BE226" i="13"/>
  <c r="T245" i="13"/>
  <c r="T246" i="13" s="1"/>
  <c r="U244" i="13"/>
  <c r="U245" i="13" s="1"/>
  <c r="U246" i="13" s="1"/>
  <c r="BE242" i="13"/>
  <c r="S244" i="13"/>
  <c r="S245" i="13" s="1"/>
  <c r="S246" i="13" s="1"/>
  <c r="BD510" i="13"/>
  <c r="BD226" i="13"/>
  <c r="P533" i="13"/>
  <c r="P513" i="13"/>
  <c r="P512" i="13"/>
  <c r="P511" i="13"/>
  <c r="N533" i="13"/>
  <c r="N512" i="13"/>
  <c r="N511" i="13"/>
  <c r="BC510" i="13"/>
  <c r="BC242" i="13"/>
  <c r="AQ204" i="13"/>
  <c r="AQ190" i="13"/>
  <c r="AQ191" i="13" s="1"/>
  <c r="AQ162" i="13"/>
  <c r="AO204" i="13"/>
  <c r="AO190" i="13"/>
  <c r="AO191" i="13" s="1"/>
  <c r="AP189" i="13"/>
  <c r="AP190" i="13" s="1"/>
  <c r="AP191" i="13" s="1"/>
  <c r="AO162" i="13"/>
  <c r="AM204" i="13"/>
  <c r="AM190" i="13"/>
  <c r="AM191" i="13" s="1"/>
  <c r="AN189" i="13"/>
  <c r="AN190" i="13" s="1"/>
  <c r="AN191" i="13" s="1"/>
  <c r="AM162" i="13"/>
  <c r="AK204" i="13"/>
  <c r="AK190" i="13"/>
  <c r="AK191" i="13" s="1"/>
  <c r="AL189" i="13"/>
  <c r="AL190" i="13" s="1"/>
  <c r="AL191" i="13" s="1"/>
  <c r="AK162" i="13"/>
  <c r="AI204" i="13"/>
  <c r="AI190" i="13"/>
  <c r="AI191" i="13" s="1"/>
  <c r="AJ189" i="13"/>
  <c r="AJ190" i="13" s="1"/>
  <c r="AJ191" i="13" s="1"/>
  <c r="AI162" i="13"/>
  <c r="AG204" i="13"/>
  <c r="AG190" i="13"/>
  <c r="AG191" i="13" s="1"/>
  <c r="AH189" i="13"/>
  <c r="AH190" i="13" s="1"/>
  <c r="AH191" i="13" s="1"/>
  <c r="AG162" i="13"/>
  <c r="AE204" i="13"/>
  <c r="AE190" i="13"/>
  <c r="AE191" i="13" s="1"/>
  <c r="AF189" i="13"/>
  <c r="AF190" i="13" s="1"/>
  <c r="AF191" i="13" s="1"/>
  <c r="AE162" i="13"/>
  <c r="AC204" i="13"/>
  <c r="AC190" i="13"/>
  <c r="AC191" i="13" s="1"/>
  <c r="AD189" i="13"/>
  <c r="AD190" i="13" s="1"/>
  <c r="AD191" i="13" s="1"/>
  <c r="AC162" i="13"/>
  <c r="AA204" i="13"/>
  <c r="AA190" i="13"/>
  <c r="AA191" i="13" s="1"/>
  <c r="AB189" i="13"/>
  <c r="AB190" i="13" s="1"/>
  <c r="AB191" i="13" s="1"/>
  <c r="AA162" i="13"/>
  <c r="Y204" i="13"/>
  <c r="Y190" i="13"/>
  <c r="Y191" i="13" s="1"/>
  <c r="Z189" i="13"/>
  <c r="Z190" i="13" s="1"/>
  <c r="Z191" i="13" s="1"/>
  <c r="Y162" i="13"/>
  <c r="W204" i="13"/>
  <c r="W190" i="13"/>
  <c r="W191" i="13" s="1"/>
  <c r="X189" i="13"/>
  <c r="W162" i="13"/>
  <c r="BJ139" i="13"/>
  <c r="W455" i="13"/>
  <c r="W259" i="13"/>
  <c r="W264" i="13"/>
  <c r="S455" i="13"/>
  <c r="S456" i="13" s="1"/>
  <c r="S259" i="13"/>
  <c r="Q455" i="13"/>
  <c r="Q456" i="13" s="1"/>
  <c r="Q259" i="13"/>
  <c r="BJ116" i="13"/>
  <c r="Y178" i="13"/>
  <c r="BD182" i="13"/>
  <c r="BD73" i="13"/>
  <c r="BI51" i="13"/>
  <c r="BE51" i="13"/>
  <c r="BI35" i="13"/>
  <c r="BE35" i="13"/>
  <c r="AV146" i="13"/>
  <c r="BJ501" i="13"/>
  <c r="BJ18" i="13"/>
  <c r="BJ27" i="13"/>
  <c r="BF18" i="13"/>
  <c r="BF59" i="13"/>
  <c r="BF27" i="13"/>
  <c r="BF19" i="13"/>
  <c r="AU502" i="13"/>
  <c r="AS503" i="13"/>
  <c r="AS502" i="13"/>
  <c r="AS354" i="13"/>
  <c r="AQ502" i="13"/>
  <c r="AO503" i="13"/>
  <c r="AO502" i="13"/>
  <c r="AO354" i="13"/>
  <c r="AM502" i="13"/>
  <c r="AK531" i="13"/>
  <c r="AK503" i="13"/>
  <c r="AK502" i="13"/>
  <c r="AK354" i="13"/>
  <c r="AA501" i="13"/>
  <c r="W501" i="13"/>
  <c r="W522" i="13" s="1"/>
  <c r="Z501" i="13"/>
  <c r="V501" i="13"/>
  <c r="BE183" i="13"/>
  <c r="BE118" i="13"/>
  <c r="BE116" i="13"/>
  <c r="BE117" i="13"/>
  <c r="T501" i="13"/>
  <c r="R501" i="13"/>
  <c r="P531" i="13"/>
  <c r="P503" i="13"/>
  <c r="P502" i="13"/>
  <c r="P435" i="13"/>
  <c r="P417" i="13"/>
  <c r="P411" i="13"/>
  <c r="P354" i="13"/>
  <c r="R148" i="3"/>
  <c r="S143" i="3"/>
  <c r="V148" i="3"/>
  <c r="W143" i="3"/>
  <c r="AT140" i="3"/>
  <c r="S135" i="3"/>
  <c r="R140" i="3"/>
  <c r="G135" i="3"/>
  <c r="F140" i="3"/>
  <c r="BJ135" i="3"/>
  <c r="BJ140" i="3" s="1"/>
  <c r="AQ140" i="3"/>
  <c r="AM140" i="3"/>
  <c r="BI135" i="3"/>
  <c r="BI140" i="3" s="1"/>
  <c r="BH135" i="3"/>
  <c r="BH140" i="3" s="1"/>
  <c r="AI140" i="3"/>
  <c r="BF135" i="3"/>
  <c r="BF140" i="3" s="1"/>
  <c r="AA140" i="3"/>
  <c r="W140" i="3"/>
  <c r="BE135" i="3"/>
  <c r="BE140" i="3" s="1"/>
  <c r="BB135" i="3"/>
  <c r="BB140" i="3" s="1"/>
  <c r="K140" i="3"/>
  <c r="BN145" i="3"/>
  <c r="AW20" i="2"/>
  <c r="AX20" i="2" s="1"/>
  <c r="AY20" i="2" s="1"/>
  <c r="BL20" i="2" s="1"/>
  <c r="AW150" i="3"/>
  <c r="AX150" i="3" s="1"/>
  <c r="AY150" i="3" s="1"/>
  <c r="BL150" i="3" s="1"/>
  <c r="AT143" i="3"/>
  <c r="AS148" i="3"/>
  <c r="AP143" i="3"/>
  <c r="AO148" i="3"/>
  <c r="AL143" i="3"/>
  <c r="AK148" i="3"/>
  <c r="AH143" i="3"/>
  <c r="AG148" i="3"/>
  <c r="AD143" i="3"/>
  <c r="AC148" i="3"/>
  <c r="AY64" i="3"/>
  <c r="BL142" i="71"/>
  <c r="BM142" i="71" s="1"/>
  <c r="BN142" i="71" s="1"/>
  <c r="Z148" i="3"/>
  <c r="AA143" i="3"/>
  <c r="J148" i="3"/>
  <c r="K143" i="3"/>
  <c r="N148" i="3"/>
  <c r="O143" i="3"/>
  <c r="Y140" i="3"/>
  <c r="I140" i="3"/>
  <c r="F148" i="3"/>
  <c r="G143" i="3"/>
  <c r="AE135" i="3"/>
  <c r="AD140" i="3"/>
  <c r="O135" i="3"/>
  <c r="N140" i="3"/>
  <c r="AP140" i="3"/>
  <c r="AH140" i="3"/>
  <c r="Z140" i="3"/>
  <c r="V140" i="3"/>
  <c r="J140" i="3"/>
  <c r="BK13" i="3"/>
  <c r="AU82" i="3"/>
  <c r="BM150" i="3"/>
  <c r="BN48" i="3"/>
  <c r="BN150" i="3" s="1"/>
  <c r="BL93" i="3"/>
  <c r="BM36" i="3"/>
  <c r="AW138" i="3"/>
  <c r="AX138" i="3" s="1"/>
  <c r="AY138" i="3" s="1"/>
  <c r="BL138" i="3" s="1"/>
  <c r="BI57" i="2"/>
  <c r="BI61" i="2" s="1"/>
  <c r="AM61" i="2"/>
  <c r="BK58" i="2"/>
  <c r="AV58" i="2"/>
  <c r="AW58" i="2" s="1"/>
  <c r="AX58" i="2" s="1"/>
  <c r="AY58" i="2" s="1"/>
  <c r="BL58" i="2" s="1"/>
  <c r="BM58" i="2" s="1"/>
  <c r="BN58" i="2" s="1"/>
  <c r="AW34" i="2"/>
  <c r="AW41" i="3" s="1"/>
  <c r="BJ32" i="2"/>
  <c r="BJ41" i="2" s="1"/>
  <c r="AH92" i="2"/>
  <c r="AH24" i="2"/>
  <c r="AH43" i="2" s="1"/>
  <c r="AD92" i="2"/>
  <c r="AD24" i="2"/>
  <c r="AD43" i="2" s="1"/>
  <c r="X92" i="2"/>
  <c r="X24" i="2"/>
  <c r="X43" i="2" s="1"/>
  <c r="BG92" i="2"/>
  <c r="BG24" i="2"/>
  <c r="BG43" i="2" s="1"/>
  <c r="BC92" i="2"/>
  <c r="BC24" i="2"/>
  <c r="BK65" i="2"/>
  <c r="AV65" i="2"/>
  <c r="AW65" i="2" s="1"/>
  <c r="AX65" i="2" s="1"/>
  <c r="AY65" i="2" s="1"/>
  <c r="BL65" i="2" s="1"/>
  <c r="BM65" i="2" s="1"/>
  <c r="BN65" i="2" s="1"/>
  <c r="BA43" i="2"/>
  <c r="AT43" i="2"/>
  <c r="AS92" i="2"/>
  <c r="AI92" i="2"/>
  <c r="AI24" i="2"/>
  <c r="AI43" i="2" s="1"/>
  <c r="AE92" i="2"/>
  <c r="AE24" i="2"/>
  <c r="AE43" i="2" s="1"/>
  <c r="AA92" i="2"/>
  <c r="AA24" i="2"/>
  <c r="AA43" i="2" s="1"/>
  <c r="BJ24" i="2"/>
  <c r="BF92" i="2"/>
  <c r="BF24" i="2"/>
  <c r="BB92" i="2"/>
  <c r="BB24" i="2"/>
  <c r="BB43" i="2" s="1"/>
  <c r="BJ63" i="2"/>
  <c r="AR63" i="2"/>
  <c r="AS63" i="2" s="1"/>
  <c r="AT63" i="2" s="1"/>
  <c r="AU63" i="2" s="1"/>
  <c r="AR61" i="2"/>
  <c r="AS57" i="2"/>
  <c r="BF43" i="2"/>
  <c r="AY48" i="2"/>
  <c r="BC43" i="2"/>
  <c r="AL92" i="2"/>
  <c r="AL24" i="2"/>
  <c r="AL43" i="2" s="1"/>
  <c r="AF92" i="2"/>
  <c r="AF24" i="2"/>
  <c r="AF43" i="2" s="1"/>
  <c r="Z92" i="2"/>
  <c r="Z24" i="2"/>
  <c r="Z43" i="2" s="1"/>
  <c r="BI92" i="2"/>
  <c r="BI24" i="2"/>
  <c r="BI43" i="2" s="1"/>
  <c r="BE92" i="2"/>
  <c r="BE24" i="2"/>
  <c r="BA92" i="2"/>
  <c r="BA24" i="2"/>
  <c r="BE43" i="2"/>
  <c r="AR43" i="2"/>
  <c r="AQ92" i="2"/>
  <c r="AM92" i="2"/>
  <c r="AM24" i="2"/>
  <c r="AM43" i="2" s="1"/>
  <c r="AG92" i="2"/>
  <c r="AG24" i="2"/>
  <c r="AG43" i="2" s="1"/>
  <c r="AC92" i="2"/>
  <c r="AC24" i="2"/>
  <c r="AC43" i="2" s="1"/>
  <c r="Y92" i="2"/>
  <c r="Y24" i="2"/>
  <c r="Y43" i="2" s="1"/>
  <c r="BH92" i="2"/>
  <c r="BH24" i="2"/>
  <c r="BH43" i="2" s="1"/>
  <c r="BD92" i="2"/>
  <c r="BD24" i="2"/>
  <c r="BD43" i="2" s="1"/>
  <c r="AY30" i="2"/>
  <c r="AY26" i="3" s="1"/>
  <c r="I82" i="71"/>
  <c r="I71" i="71"/>
  <c r="I67" i="71"/>
  <c r="I68" i="71" s="1"/>
  <c r="AN65" i="71"/>
  <c r="AN79" i="71"/>
  <c r="AM79" i="71"/>
  <c r="AM65" i="71"/>
  <c r="T65" i="71"/>
  <c r="T79" i="71"/>
  <c r="N79" i="71"/>
  <c r="N65" i="71"/>
  <c r="H65" i="71"/>
  <c r="H79" i="71"/>
  <c r="F79" i="71"/>
  <c r="F65" i="71"/>
  <c r="D65" i="71"/>
  <c r="D79" i="71"/>
  <c r="H67" i="71"/>
  <c r="H68" i="71" s="1"/>
  <c r="BI47" i="71"/>
  <c r="BI62" i="71"/>
  <c r="V70" i="71"/>
  <c r="V25" i="71"/>
  <c r="V26" i="71" s="1"/>
  <c r="V23" i="71"/>
  <c r="BI70" i="71"/>
  <c r="BI25" i="71"/>
  <c r="BI26" i="71" s="1"/>
  <c r="BI23" i="71"/>
  <c r="BC25" i="71"/>
  <c r="BC26" i="71" s="1"/>
  <c r="BC23" i="71"/>
  <c r="K82" i="71"/>
  <c r="K71" i="71"/>
  <c r="K67" i="71"/>
  <c r="K68" i="71" s="1"/>
  <c r="E82" i="71"/>
  <c r="E71" i="71"/>
  <c r="E67" i="71"/>
  <c r="E68" i="71" s="1"/>
  <c r="AK92" i="71"/>
  <c r="AK86" i="71"/>
  <c r="AK80" i="71"/>
  <c r="AC92" i="71"/>
  <c r="AC86" i="71"/>
  <c r="AC80" i="71"/>
  <c r="U92" i="71"/>
  <c r="U86" i="71"/>
  <c r="U80" i="71"/>
  <c r="M92" i="71"/>
  <c r="M86" i="71"/>
  <c r="M80" i="71"/>
  <c r="R79" i="71"/>
  <c r="R65" i="71"/>
  <c r="J79" i="71"/>
  <c r="J65" i="71"/>
  <c r="D82" i="71"/>
  <c r="D71" i="71"/>
  <c r="D67" i="71"/>
  <c r="D68" i="71" s="1"/>
  <c r="BG25" i="71"/>
  <c r="BG26" i="71" s="1"/>
  <c r="BG23" i="71"/>
  <c r="BK122" i="71"/>
  <c r="BK124" i="71" s="1"/>
  <c r="AV122" i="71"/>
  <c r="BI89" i="71"/>
  <c r="AV73" i="71"/>
  <c r="AV77" i="71"/>
  <c r="BJ33" i="71"/>
  <c r="BF62" i="71"/>
  <c r="BF34" i="71"/>
  <c r="BB34" i="71"/>
  <c r="AO62" i="71"/>
  <c r="AO34" i="71"/>
  <c r="AE62" i="71"/>
  <c r="AE70" i="71" s="1"/>
  <c r="AE34" i="71"/>
  <c r="M62" i="71"/>
  <c r="M70" i="71" s="1"/>
  <c r="M34" i="71"/>
  <c r="BE50" i="71"/>
  <c r="BE51" i="71" s="1"/>
  <c r="AD62" i="71"/>
  <c r="AD60" i="71" s="1"/>
  <c r="P62" i="71"/>
  <c r="J62" i="71"/>
  <c r="J70" i="71" s="1"/>
  <c r="F62" i="71"/>
  <c r="F70" i="71" s="1"/>
  <c r="BE38" i="71"/>
  <c r="BL31" i="71"/>
  <c r="BM31" i="71" s="1"/>
  <c r="BN31" i="71" s="1"/>
  <c r="AI92" i="71"/>
  <c r="AI86" i="71"/>
  <c r="AI80" i="71"/>
  <c r="O92" i="71"/>
  <c r="O86" i="71"/>
  <c r="O80" i="71"/>
  <c r="I92" i="71"/>
  <c r="I86" i="71"/>
  <c r="I80" i="71"/>
  <c r="AT25" i="71"/>
  <c r="AT26" i="71" s="1"/>
  <c r="AT23" i="71"/>
  <c r="AR22" i="71"/>
  <c r="AN70" i="71"/>
  <c r="AN25" i="71"/>
  <c r="AN26" i="71" s="1"/>
  <c r="AN23" i="71"/>
  <c r="AH25" i="71"/>
  <c r="AH26" i="71" s="1"/>
  <c r="AH23" i="71"/>
  <c r="BA20" i="71"/>
  <c r="AR47" i="71"/>
  <c r="BI50" i="71"/>
  <c r="BI51" i="71" s="1"/>
  <c r="AJ51" i="71"/>
  <c r="BH50" i="71"/>
  <c r="BH51" i="71" s="1"/>
  <c r="BL44" i="71"/>
  <c r="BM44" i="71" s="1"/>
  <c r="BN44" i="71" s="1"/>
  <c r="BJ37" i="71"/>
  <c r="BJ38" i="71" s="1"/>
  <c r="BG62" i="71"/>
  <c r="BG70" i="71" s="1"/>
  <c r="BG34" i="71"/>
  <c r="AR62" i="71"/>
  <c r="AR60" i="71" s="1"/>
  <c r="AH62" i="71"/>
  <c r="AH60" i="71" s="1"/>
  <c r="Z62" i="71"/>
  <c r="Z60" i="71" s="1"/>
  <c r="R62" i="71"/>
  <c r="R70" i="71" s="1"/>
  <c r="BA59" i="71"/>
  <c r="BA64" i="71" s="1"/>
  <c r="BJ64" i="71"/>
  <c r="BJ20" i="71"/>
  <c r="AR92" i="71"/>
  <c r="AR86" i="71"/>
  <c r="AR80" i="71"/>
  <c r="AL92" i="71"/>
  <c r="AL80" i="71"/>
  <c r="AH92" i="71"/>
  <c r="AH86" i="71"/>
  <c r="AH80" i="71"/>
  <c r="AD92" i="71"/>
  <c r="AD86" i="71"/>
  <c r="AD80" i="71"/>
  <c r="Z92" i="71"/>
  <c r="Z86" i="71"/>
  <c r="Z80" i="71"/>
  <c r="W92" i="71"/>
  <c r="W86" i="71"/>
  <c r="W80" i="71"/>
  <c r="BH25" i="71"/>
  <c r="BH26" i="71" s="1"/>
  <c r="BH23" i="71"/>
  <c r="AQ25" i="71"/>
  <c r="AQ26" i="71" s="1"/>
  <c r="AQ23" i="71"/>
  <c r="AF25" i="71"/>
  <c r="AF26" i="71" s="1"/>
  <c r="AF23" i="71"/>
  <c r="AB70" i="71"/>
  <c r="AB25" i="71"/>
  <c r="AB26" i="71" s="1"/>
  <c r="AB23" i="71"/>
  <c r="T25" i="71"/>
  <c r="T26" i="71" s="1"/>
  <c r="T23" i="71"/>
  <c r="P70" i="71"/>
  <c r="P25" i="71"/>
  <c r="P26" i="71" s="1"/>
  <c r="P23" i="71"/>
  <c r="L25" i="71"/>
  <c r="L26" i="71" s="1"/>
  <c r="L23" i="71"/>
  <c r="BG95" i="71"/>
  <c r="BC95" i="71"/>
  <c r="X64" i="71"/>
  <c r="X20" i="71"/>
  <c r="AO92" i="71"/>
  <c r="AO86" i="71"/>
  <c r="AO80" i="71"/>
  <c r="AG92" i="71"/>
  <c r="AG86" i="71"/>
  <c r="AG80" i="71"/>
  <c r="AE92" i="71"/>
  <c r="AE86" i="71"/>
  <c r="AE80" i="71"/>
  <c r="AA92" i="71"/>
  <c r="AA86" i="71"/>
  <c r="AA80" i="71"/>
  <c r="BD95" i="71"/>
  <c r="BI20" i="71"/>
  <c r="BG64" i="71"/>
  <c r="BG20" i="71"/>
  <c r="BC20" i="71"/>
  <c r="V64" i="71"/>
  <c r="V20" i="71"/>
  <c r="BE47" i="71"/>
  <c r="AG82" i="71"/>
  <c r="AG71" i="71"/>
  <c r="AG67" i="71"/>
  <c r="AG68" i="71" s="1"/>
  <c r="BA62" i="71"/>
  <c r="BA70" i="71" s="1"/>
  <c r="BE62" i="71"/>
  <c r="AK82" i="71"/>
  <c r="AK71" i="71"/>
  <c r="AK67" i="71"/>
  <c r="AK68" i="71" s="1"/>
  <c r="W82" i="71"/>
  <c r="W71" i="71"/>
  <c r="W67" i="71"/>
  <c r="W68" i="71" s="1"/>
  <c r="BB129" i="71"/>
  <c r="AD129" i="71"/>
  <c r="AW123" i="71"/>
  <c r="AV120" i="71"/>
  <c r="AW105" i="71"/>
  <c r="AV103" i="71"/>
  <c r="BN56" i="71"/>
  <c r="BL57" i="71"/>
  <c r="BM54" i="71"/>
  <c r="BK77" i="71"/>
  <c r="BK73" i="71"/>
  <c r="BH62" i="71"/>
  <c r="BH70" i="71" s="1"/>
  <c r="BH34" i="71"/>
  <c r="BD34" i="71"/>
  <c r="Y62" i="71"/>
  <c r="Y34" i="71"/>
  <c r="BC46" i="71"/>
  <c r="BC47" i="71" s="1"/>
  <c r="BC42" i="71"/>
  <c r="BD46" i="71"/>
  <c r="BD47" i="71" s="1"/>
  <c r="BD42" i="71"/>
  <c r="BD50" i="71"/>
  <c r="BD51" i="71" s="1"/>
  <c r="BB46" i="71"/>
  <c r="BB47" i="71" s="1"/>
  <c r="BB42" i="71"/>
  <c r="BG60" i="71"/>
  <c r="BG61" i="71" s="1"/>
  <c r="L62" i="71"/>
  <c r="L70" i="71" s="1"/>
  <c r="L34" i="71"/>
  <c r="AQ62" i="71"/>
  <c r="AQ60" i="71" s="1"/>
  <c r="AQ61" i="71" s="1"/>
  <c r="AQ34" i="71"/>
  <c r="AA62" i="71"/>
  <c r="AA70" i="71" s="1"/>
  <c r="AA34" i="71"/>
  <c r="U62" i="71"/>
  <c r="U70" i="71" s="1"/>
  <c r="U34" i="71"/>
  <c r="Q62" i="71"/>
  <c r="Q70" i="71" s="1"/>
  <c r="Q34" i="71"/>
  <c r="O62" i="71"/>
  <c r="O70" i="71" s="1"/>
  <c r="O34" i="71"/>
  <c r="BD59" i="71"/>
  <c r="BD64" i="71" s="1"/>
  <c r="AM70" i="71"/>
  <c r="AS92" i="71"/>
  <c r="AS86" i="71"/>
  <c r="AS80" i="71"/>
  <c r="AQ92" i="71"/>
  <c r="AQ86" i="71"/>
  <c r="AQ80" i="71"/>
  <c r="BE22" i="71"/>
  <c r="BE19" i="71"/>
  <c r="BE10" i="71"/>
  <c r="BA25" i="71"/>
  <c r="BA26" i="71" s="1"/>
  <c r="BA23" i="71"/>
  <c r="AT47" i="71"/>
  <c r="BJ50" i="71"/>
  <c r="BJ51" i="71" s="1"/>
  <c r="AN51" i="71"/>
  <c r="BF50" i="71"/>
  <c r="BF51" i="71" s="1"/>
  <c r="BI37" i="71"/>
  <c r="BI38" i="71" s="1"/>
  <c r="AL38" i="71"/>
  <c r="BC34" i="71"/>
  <c r="AT62" i="71"/>
  <c r="AT60" i="71" s="1"/>
  <c r="AT61" i="71" s="1"/>
  <c r="AN61" i="71"/>
  <c r="AJ62" i="71"/>
  <c r="AJ60" i="71" s="1"/>
  <c r="AF62" i="71"/>
  <c r="AF60" i="71" s="1"/>
  <c r="BH60" i="71" s="1"/>
  <c r="BH61" i="71" s="1"/>
  <c r="AF34" i="71"/>
  <c r="T62" i="71"/>
  <c r="T70" i="71" s="1"/>
  <c r="N62" i="71"/>
  <c r="N70" i="71" s="1"/>
  <c r="BE29" i="71"/>
  <c r="BI59" i="71"/>
  <c r="BI64" i="71" s="1"/>
  <c r="BC59" i="71"/>
  <c r="BC64" i="71" s="1"/>
  <c r="BB64" i="71"/>
  <c r="BB20" i="71"/>
  <c r="AT92" i="71"/>
  <c r="AT86" i="71"/>
  <c r="AT80" i="71"/>
  <c r="AP92" i="71"/>
  <c r="AP86" i="71"/>
  <c r="AP80" i="71"/>
  <c r="AJ92" i="71"/>
  <c r="AJ86" i="71"/>
  <c r="AJ80" i="71"/>
  <c r="AF92" i="71"/>
  <c r="AF11" i="3" s="1"/>
  <c r="AF86" i="71"/>
  <c r="AF80" i="71"/>
  <c r="AB92" i="71"/>
  <c r="AB86" i="71"/>
  <c r="AB80" i="71"/>
  <c r="P65" i="71"/>
  <c r="P79" i="71"/>
  <c r="L65" i="71"/>
  <c r="L79" i="71"/>
  <c r="BD25" i="71"/>
  <c r="BD26" i="71" s="1"/>
  <c r="BD23" i="71"/>
  <c r="AI70" i="71"/>
  <c r="AI25" i="71"/>
  <c r="AI26" i="71" s="1"/>
  <c r="AI23" i="71"/>
  <c r="AD70" i="71"/>
  <c r="AD25" i="71"/>
  <c r="AD26" i="71" s="1"/>
  <c r="AD23" i="71"/>
  <c r="Z70" i="71"/>
  <c r="Z25" i="71"/>
  <c r="Z26" i="71" s="1"/>
  <c r="Z23" i="71"/>
  <c r="R25" i="71"/>
  <c r="R26" i="71" s="1"/>
  <c r="R23" i="71"/>
  <c r="N25" i="71"/>
  <c r="N26" i="71" s="1"/>
  <c r="N23" i="71"/>
  <c r="BI95" i="71"/>
  <c r="BE95" i="71"/>
  <c r="AL70" i="71"/>
  <c r="AL25" i="71"/>
  <c r="AL26" i="71" s="1"/>
  <c r="AL23" i="71"/>
  <c r="AW138" i="71"/>
  <c r="AW15" i="3" s="1"/>
  <c r="AW117" i="3" s="1"/>
  <c r="AX15" i="71"/>
  <c r="BF22" i="71"/>
  <c r="BF19" i="71"/>
  <c r="BF10" i="71"/>
  <c r="X70" i="71"/>
  <c r="X25" i="71"/>
  <c r="X26" i="71" s="1"/>
  <c r="X23" i="71"/>
  <c r="Y64" i="71"/>
  <c r="Y20" i="71"/>
  <c r="S92" i="71"/>
  <c r="S86" i="71"/>
  <c r="S80" i="71"/>
  <c r="Q92" i="71"/>
  <c r="Q86" i="71"/>
  <c r="Q80" i="71"/>
  <c r="K92" i="71"/>
  <c r="K86" i="71"/>
  <c r="K80" i="71"/>
  <c r="G92" i="71"/>
  <c r="G86" i="71"/>
  <c r="G80" i="71"/>
  <c r="E92" i="71"/>
  <c r="E86" i="71"/>
  <c r="E80" i="71"/>
  <c r="BF95" i="71"/>
  <c r="AP70" i="71"/>
  <c r="AP25" i="71"/>
  <c r="AP26" i="71" s="1"/>
  <c r="AP23" i="71"/>
  <c r="AJ25" i="71"/>
  <c r="AJ26" i="71" s="1"/>
  <c r="AJ23" i="71"/>
  <c r="BF13" i="71"/>
  <c r="BE42" i="71"/>
  <c r="AS70" i="71"/>
  <c r="AC82" i="71"/>
  <c r="AC71" i="71"/>
  <c r="AC67" i="71"/>
  <c r="AC68" i="71" s="1"/>
  <c r="BH79" i="71"/>
  <c r="BH65" i="71"/>
  <c r="BE34" i="71"/>
  <c r="S82" i="71"/>
  <c r="S71" i="71"/>
  <c r="S67" i="71"/>
  <c r="S68" i="71" s="1"/>
  <c r="G82" i="71"/>
  <c r="G71" i="71"/>
  <c r="G67" i="71"/>
  <c r="G68" i="71" s="1"/>
  <c r="H71" i="71" l="1"/>
  <c r="Y68" i="13"/>
  <c r="Y175" i="13"/>
  <c r="AB252" i="13"/>
  <c r="AW16" i="13"/>
  <c r="AW17" i="13" s="1"/>
  <c r="BK82" i="3"/>
  <c r="AW46" i="3"/>
  <c r="BL29" i="3"/>
  <c r="AV127" i="3"/>
  <c r="AW127" i="3" s="1"/>
  <c r="AX127" i="3" s="1"/>
  <c r="AY127" i="3" s="1"/>
  <c r="BL127" i="3" s="1"/>
  <c r="BL25" i="3"/>
  <c r="AV128" i="3"/>
  <c r="AW128" i="3" s="1"/>
  <c r="AX128" i="3" s="1"/>
  <c r="AY128" i="3" s="1"/>
  <c r="BL128" i="3" s="1"/>
  <c r="BL26" i="3"/>
  <c r="AW143" i="3"/>
  <c r="AF113" i="3"/>
  <c r="AF30" i="3"/>
  <c r="AF70" i="71"/>
  <c r="AJ50" i="2"/>
  <c r="AJ49" i="2"/>
  <c r="AJ48" i="2" s="1"/>
  <c r="AN50" i="2"/>
  <c r="AN49" i="2"/>
  <c r="AN48" i="2" s="1"/>
  <c r="AX123" i="71"/>
  <c r="AW73" i="2"/>
  <c r="AW60" i="2"/>
  <c r="AV119" i="71"/>
  <c r="AJ78" i="2"/>
  <c r="AK78" i="2"/>
  <c r="AI78" i="2"/>
  <c r="BH76" i="2"/>
  <c r="BH78" i="2" s="1"/>
  <c r="BH84" i="2" s="1"/>
  <c r="Q482" i="13"/>
  <c r="Q469" i="13"/>
  <c r="Q459" i="13"/>
  <c r="S482" i="13"/>
  <c r="S459" i="13"/>
  <c r="U482" i="13"/>
  <c r="U469" i="13"/>
  <c r="U459" i="13"/>
  <c r="Y482" i="13"/>
  <c r="Y459" i="13"/>
  <c r="BE531" i="13"/>
  <c r="BE503" i="13"/>
  <c r="BE517" i="13"/>
  <c r="BE506" i="13"/>
  <c r="T482" i="13"/>
  <c r="T469" i="13"/>
  <c r="T459" i="13"/>
  <c r="V469" i="13"/>
  <c r="V459" i="13"/>
  <c r="Z469" i="13"/>
  <c r="Z459" i="13"/>
  <c r="Z482" i="13"/>
  <c r="T531" i="13"/>
  <c r="T503" i="13"/>
  <c r="T502" i="13"/>
  <c r="T435" i="13"/>
  <c r="T417" i="13"/>
  <c r="T411" i="13"/>
  <c r="T354" i="13"/>
  <c r="T19" i="13"/>
  <c r="T429" i="13"/>
  <c r="T506" i="13"/>
  <c r="T517" i="13"/>
  <c r="Z531" i="13"/>
  <c r="Z503" i="13"/>
  <c r="Z502" i="13"/>
  <c r="Z411" i="13"/>
  <c r="Z354" i="13"/>
  <c r="Z19" i="13"/>
  <c r="Z506" i="13"/>
  <c r="AD503" i="13"/>
  <c r="Z417" i="13"/>
  <c r="Z517" i="13"/>
  <c r="Z435" i="13"/>
  <c r="AA531" i="13"/>
  <c r="AE503" i="13"/>
  <c r="AA503" i="13"/>
  <c r="AA502" i="13"/>
  <c r="AA411" i="13"/>
  <c r="AA354" i="13"/>
  <c r="AA19" i="13"/>
  <c r="AA517" i="13"/>
  <c r="AA506" i="13"/>
  <c r="AA417" i="13"/>
  <c r="AA435" i="13"/>
  <c r="AB502" i="13"/>
  <c r="AV215" i="13"/>
  <c r="AV510" i="13" s="1"/>
  <c r="AV184" i="13"/>
  <c r="W481" i="13"/>
  <c r="W468" i="13"/>
  <c r="AQ210" i="13"/>
  <c r="AQ211" i="13" s="1"/>
  <c r="AQ205" i="13"/>
  <c r="AR205" i="13"/>
  <c r="BC533" i="13"/>
  <c r="BC511" i="13"/>
  <c r="BF244" i="13"/>
  <c r="BE533" i="13"/>
  <c r="BE513" i="13"/>
  <c r="BE511" i="13"/>
  <c r="BF533" i="13"/>
  <c r="BF513" i="13"/>
  <c r="BF512" i="13"/>
  <c r="BI533" i="13"/>
  <c r="BI511" i="13"/>
  <c r="AU467" i="13"/>
  <c r="AU480" i="13"/>
  <c r="AU456" i="13"/>
  <c r="AX453" i="13"/>
  <c r="AX51" i="13"/>
  <c r="AX50" i="13"/>
  <c r="AY48" i="13"/>
  <c r="BL48" i="13" s="1"/>
  <c r="AW479" i="13"/>
  <c r="AW466" i="13"/>
  <c r="R468" i="13"/>
  <c r="AT186" i="13"/>
  <c r="AT179" i="13"/>
  <c r="AT139" i="13"/>
  <c r="AU137" i="13"/>
  <c r="Q245" i="13"/>
  <c r="Q246" i="13" s="1"/>
  <c r="R244" i="13"/>
  <c r="AA533" i="13"/>
  <c r="AA513" i="13"/>
  <c r="AA512" i="13"/>
  <c r="AA511" i="13"/>
  <c r="Y524" i="13"/>
  <c r="Y522" i="13"/>
  <c r="Y523" i="13"/>
  <c r="BF534" i="13"/>
  <c r="BF518" i="13"/>
  <c r="BF519" i="13"/>
  <c r="BG518" i="13"/>
  <c r="BG519" i="13"/>
  <c r="BC524" i="13"/>
  <c r="BC522" i="13"/>
  <c r="BF447" i="13"/>
  <c r="BF446" i="13"/>
  <c r="BF445" i="13"/>
  <c r="BG522" i="13"/>
  <c r="AW483" i="13"/>
  <c r="AW470" i="13"/>
  <c r="AA429" i="13"/>
  <c r="Z447" i="13"/>
  <c r="W456" i="13"/>
  <c r="AA482" i="13"/>
  <c r="AA469" i="13"/>
  <c r="AA459" i="13"/>
  <c r="AA495" i="13" s="1"/>
  <c r="AE482" i="13"/>
  <c r="AE469" i="13"/>
  <c r="AE459" i="13"/>
  <c r="AE495" i="13" s="1"/>
  <c r="AI482" i="13"/>
  <c r="AI469" i="13"/>
  <c r="AI459" i="13"/>
  <c r="AI495" i="13" s="1"/>
  <c r="AM482" i="13"/>
  <c r="AM469" i="13"/>
  <c r="AM459" i="13"/>
  <c r="AM495" i="13" s="1"/>
  <c r="AP469" i="13"/>
  <c r="AP459" i="13"/>
  <c r="AP482" i="13"/>
  <c r="AT469" i="13"/>
  <c r="AT459" i="13"/>
  <c r="AT482" i="13"/>
  <c r="R456" i="13"/>
  <c r="AD469" i="13"/>
  <c r="AD459" i="13"/>
  <c r="AD482" i="13"/>
  <c r="AH469" i="13"/>
  <c r="AH459" i="13"/>
  <c r="AH482" i="13"/>
  <c r="AL469" i="13"/>
  <c r="AL459" i="13"/>
  <c r="AL482" i="13"/>
  <c r="AO482" i="13"/>
  <c r="AO469" i="13"/>
  <c r="AO459" i="13"/>
  <c r="AS482" i="13"/>
  <c r="AS469" i="13"/>
  <c r="AS459" i="13"/>
  <c r="U531" i="13"/>
  <c r="U517" i="13"/>
  <c r="U503" i="13"/>
  <c r="U502" i="13"/>
  <c r="U435" i="13"/>
  <c r="U417" i="13"/>
  <c r="U411" i="13"/>
  <c r="U354" i="13"/>
  <c r="U447" i="13"/>
  <c r="U19" i="13"/>
  <c r="U429" i="13"/>
  <c r="U506" i="13"/>
  <c r="AB331" i="13"/>
  <c r="AB314" i="13"/>
  <c r="AB325" i="13"/>
  <c r="AC252" i="13"/>
  <c r="AB324" i="13"/>
  <c r="AB340" i="13"/>
  <c r="AA481" i="13"/>
  <c r="AA468" i="13"/>
  <c r="AE481" i="13"/>
  <c r="AB468" i="13"/>
  <c r="Q210" i="13"/>
  <c r="R209" i="13"/>
  <c r="BD209" i="13" s="1"/>
  <c r="Q205" i="13"/>
  <c r="R205" i="13"/>
  <c r="BD204" i="13"/>
  <c r="R210" i="13"/>
  <c r="R211" i="13" s="1"/>
  <c r="BE189" i="13"/>
  <c r="T190" i="13"/>
  <c r="S210" i="13"/>
  <c r="S211" i="13" s="1"/>
  <c r="T209" i="13"/>
  <c r="S205" i="13"/>
  <c r="T205" i="13"/>
  <c r="U210" i="13"/>
  <c r="U211" i="13" s="1"/>
  <c r="V209" i="13"/>
  <c r="U205" i="13"/>
  <c r="V210" i="13"/>
  <c r="V211" i="13" s="1"/>
  <c r="V205" i="13"/>
  <c r="BE204" i="13"/>
  <c r="BJ508" i="13"/>
  <c r="BJ506" i="13"/>
  <c r="BJ507" i="13"/>
  <c r="BJ533" i="13"/>
  <c r="BJ512" i="13"/>
  <c r="BJ511" i="13"/>
  <c r="BJ513" i="13"/>
  <c r="BI531" i="13"/>
  <c r="BI503" i="13"/>
  <c r="BI502" i="13"/>
  <c r="AX450" i="13"/>
  <c r="AX177" i="13"/>
  <c r="AX27" i="13"/>
  <c r="AX26" i="13"/>
  <c r="AY24" i="13"/>
  <c r="AW215" i="13"/>
  <c r="AW184" i="13"/>
  <c r="AX451" i="13"/>
  <c r="AX35" i="13"/>
  <c r="AX34" i="13"/>
  <c r="AY32" i="13"/>
  <c r="AW477" i="13"/>
  <c r="AW464" i="13"/>
  <c r="AV478" i="13"/>
  <c r="AV465" i="13"/>
  <c r="BF185" i="13"/>
  <c r="BF74" i="13"/>
  <c r="BF62" i="13"/>
  <c r="BF69" i="13"/>
  <c r="X93" i="13"/>
  <c r="X91" i="13"/>
  <c r="X481" i="13"/>
  <c r="X468" i="13"/>
  <c r="BF455" i="13"/>
  <c r="AB481" i="13"/>
  <c r="AC524" i="13"/>
  <c r="BG533" i="13"/>
  <c r="BG512" i="13"/>
  <c r="BG511" i="13"/>
  <c r="BG513" i="13"/>
  <c r="Q524" i="13"/>
  <c r="Q522" i="13"/>
  <c r="Q523" i="13"/>
  <c r="R523" i="13"/>
  <c r="BF429" i="13"/>
  <c r="BF428" i="13"/>
  <c r="BF427" i="13"/>
  <c r="BE524" i="13"/>
  <c r="BE522" i="13"/>
  <c r="T447" i="13"/>
  <c r="AC482" i="13"/>
  <c r="AC469" i="13"/>
  <c r="AC459" i="13"/>
  <c r="AG482" i="13"/>
  <c r="AG469" i="13"/>
  <c r="AG459" i="13"/>
  <c r="AK482" i="13"/>
  <c r="AK469" i="13"/>
  <c r="AK459" i="13"/>
  <c r="AR482" i="13"/>
  <c r="AR469" i="13"/>
  <c r="AR459" i="13"/>
  <c r="BK456" i="13"/>
  <c r="P482" i="13"/>
  <c r="P469" i="13"/>
  <c r="P459" i="13"/>
  <c r="P495" i="13" s="1"/>
  <c r="BD456" i="13"/>
  <c r="X456" i="13"/>
  <c r="AB482" i="13"/>
  <c r="AB469" i="13"/>
  <c r="AB459" i="13"/>
  <c r="AB495" i="13" s="1"/>
  <c r="BG456" i="13"/>
  <c r="AF482" i="13"/>
  <c r="AF469" i="13"/>
  <c r="AF459" i="13"/>
  <c r="BH456" i="13"/>
  <c r="AJ495" i="13"/>
  <c r="AJ482" i="13"/>
  <c r="AJ469" i="13"/>
  <c r="AJ459" i="13"/>
  <c r="BI456" i="13"/>
  <c r="AN482" i="13"/>
  <c r="AN469" i="13"/>
  <c r="AN459" i="13"/>
  <c r="BJ456" i="13"/>
  <c r="AQ482" i="13"/>
  <c r="AQ469" i="13"/>
  <c r="AQ459" i="13"/>
  <c r="Z523" i="13"/>
  <c r="BF501" i="13"/>
  <c r="Z511" i="13"/>
  <c r="AA522" i="13"/>
  <c r="R531" i="13"/>
  <c r="R503" i="13"/>
  <c r="R502" i="13"/>
  <c r="R435" i="13"/>
  <c r="R417" i="13"/>
  <c r="R411" i="13"/>
  <c r="R354" i="13"/>
  <c r="R19" i="13"/>
  <c r="R429" i="13"/>
  <c r="R447" i="13"/>
  <c r="R522" i="13"/>
  <c r="R506" i="13"/>
  <c r="R517" i="13"/>
  <c r="V531" i="13"/>
  <c r="V503" i="13"/>
  <c r="V502" i="13"/>
  <c r="V435" i="13"/>
  <c r="V417" i="13"/>
  <c r="V411" i="13"/>
  <c r="V354" i="13"/>
  <c r="V19" i="13"/>
  <c r="V447" i="13"/>
  <c r="V522" i="13"/>
  <c r="V429" i="13"/>
  <c r="V506" i="13"/>
  <c r="V517" i="13"/>
  <c r="W531" i="13"/>
  <c r="W517" i="13"/>
  <c r="W503" i="13"/>
  <c r="W502" i="13"/>
  <c r="W435" i="13"/>
  <c r="W417" i="13"/>
  <c r="W411" i="13"/>
  <c r="W354" i="13"/>
  <c r="W19" i="13"/>
  <c r="W447" i="13"/>
  <c r="W506" i="13"/>
  <c r="W429" i="13"/>
  <c r="BJ503" i="13"/>
  <c r="BJ502" i="13"/>
  <c r="Q494" i="13"/>
  <c r="Q468" i="13"/>
  <c r="S494" i="13"/>
  <c r="S468" i="13"/>
  <c r="BF189" i="13"/>
  <c r="X190" i="13"/>
  <c r="W210" i="13"/>
  <c r="W211" i="13" s="1"/>
  <c r="X209" i="13"/>
  <c r="W205" i="13"/>
  <c r="X210" i="13"/>
  <c r="X205" i="13"/>
  <c r="Y210" i="13"/>
  <c r="Y211" i="13" s="1"/>
  <c r="Z209" i="13"/>
  <c r="Y205" i="13"/>
  <c r="Z205" i="13"/>
  <c r="BF204" i="13"/>
  <c r="Z210" i="13"/>
  <c r="Z211" i="13" s="1"/>
  <c r="AA210" i="13"/>
  <c r="AA211" i="13" s="1"/>
  <c r="AB209" i="13"/>
  <c r="AA205" i="13"/>
  <c r="AB210" i="13"/>
  <c r="AB211" i="13" s="1"/>
  <c r="AB205" i="13"/>
  <c r="AC210" i="13"/>
  <c r="AC211" i="13" s="1"/>
  <c r="AD209" i="13"/>
  <c r="AC205" i="13"/>
  <c r="AD210" i="13"/>
  <c r="AD211" i="13" s="1"/>
  <c r="AD205" i="13"/>
  <c r="AE210" i="13"/>
  <c r="AE211" i="13" s="1"/>
  <c r="AF209" i="13"/>
  <c r="AF210" i="13" s="1"/>
  <c r="AF211" i="13" s="1"/>
  <c r="AE205" i="13"/>
  <c r="AF205" i="13"/>
  <c r="AG210" i="13"/>
  <c r="AG211" i="13" s="1"/>
  <c r="AH209" i="13"/>
  <c r="AH210" i="13" s="1"/>
  <c r="AH211" i="13" s="1"/>
  <c r="AG205" i="13"/>
  <c r="AH205" i="13"/>
  <c r="AI210" i="13"/>
  <c r="AI211" i="13" s="1"/>
  <c r="AJ209" i="13"/>
  <c r="AJ210" i="13" s="1"/>
  <c r="AJ211" i="13" s="1"/>
  <c r="AI205" i="13"/>
  <c r="AJ205" i="13"/>
  <c r="AK210" i="13"/>
  <c r="AK211" i="13" s="1"/>
  <c r="AL209" i="13"/>
  <c r="AK205" i="13"/>
  <c r="AL210" i="13"/>
  <c r="AL211" i="13" s="1"/>
  <c r="AL205" i="13"/>
  <c r="AM210" i="13"/>
  <c r="AM211" i="13" s="1"/>
  <c r="AN209" i="13"/>
  <c r="AN210" i="13" s="1"/>
  <c r="AN211" i="13" s="1"/>
  <c r="AM205" i="13"/>
  <c r="AN205" i="13"/>
  <c r="AO210" i="13"/>
  <c r="AO211" i="13" s="1"/>
  <c r="AP209" i="13"/>
  <c r="AP210" i="13" s="1"/>
  <c r="AP211" i="13" s="1"/>
  <c r="AO205" i="13"/>
  <c r="AP205" i="13"/>
  <c r="BD533" i="13"/>
  <c r="BD513" i="13"/>
  <c r="BD511" i="13"/>
  <c r="R245" i="13"/>
  <c r="R246" i="13" s="1"/>
  <c r="V511" i="13"/>
  <c r="BK503" i="13"/>
  <c r="BK502" i="13"/>
  <c r="AF182" i="13"/>
  <c r="AF175" i="13"/>
  <c r="AF78" i="13"/>
  <c r="AF73" i="13"/>
  <c r="AF64" i="13"/>
  <c r="AG63" i="13"/>
  <c r="BD455" i="13"/>
  <c r="V494" i="13"/>
  <c r="V468" i="13"/>
  <c r="V481" i="13"/>
  <c r="Z494" i="13"/>
  <c r="Z468" i="13"/>
  <c r="Z481" i="13"/>
  <c r="AD481" i="13"/>
  <c r="AU510" i="13"/>
  <c r="BK215" i="13"/>
  <c r="BK216" i="13" s="1"/>
  <c r="W511" i="13"/>
  <c r="Y245" i="13"/>
  <c r="Y246" i="13" s="1"/>
  <c r="Z244" i="13"/>
  <c r="Z245" i="13" s="1"/>
  <c r="Z246" i="13" s="1"/>
  <c r="BF521" i="13"/>
  <c r="BN282" i="13"/>
  <c r="BN280" i="13"/>
  <c r="BN281" i="13" s="1"/>
  <c r="BN481" i="13"/>
  <c r="T523" i="13"/>
  <c r="T524" i="13"/>
  <c r="T522" i="13"/>
  <c r="X524" i="13"/>
  <c r="AX457" i="13"/>
  <c r="AX353" i="13"/>
  <c r="AX352" i="13"/>
  <c r="AY351" i="13"/>
  <c r="AY356" i="13" s="1"/>
  <c r="BC447" i="13"/>
  <c r="BC446" i="13"/>
  <c r="Z429" i="13"/>
  <c r="AA447" i="13"/>
  <c r="X531" i="13"/>
  <c r="X503" i="13"/>
  <c r="X502" i="13"/>
  <c r="X435" i="13"/>
  <c r="X417" i="13"/>
  <c r="X411" i="13"/>
  <c r="X354" i="13"/>
  <c r="X19" i="13"/>
  <c r="X429" i="13"/>
  <c r="X522" i="13"/>
  <c r="X447" i="13"/>
  <c r="X506" i="13"/>
  <c r="X517" i="13"/>
  <c r="AB503" i="13"/>
  <c r="Y531" i="13"/>
  <c r="Y517" i="13"/>
  <c r="AC503" i="13"/>
  <c r="Y503" i="13"/>
  <c r="Y502" i="13"/>
  <c r="Y435" i="13"/>
  <c r="Y417" i="13"/>
  <c r="Y411" i="13"/>
  <c r="Y354" i="13"/>
  <c r="Y19" i="13"/>
  <c r="Y429" i="13"/>
  <c r="Y506" i="13"/>
  <c r="AV480" i="13"/>
  <c r="AV467" i="13"/>
  <c r="AV456" i="13"/>
  <c r="U494" i="13"/>
  <c r="U481" i="13"/>
  <c r="U468" i="13"/>
  <c r="Y494" i="13"/>
  <c r="Y481" i="13"/>
  <c r="Y468" i="13"/>
  <c r="AC481" i="13"/>
  <c r="Q191" i="13"/>
  <c r="BD190" i="13"/>
  <c r="BD242" i="13"/>
  <c r="BE244" i="13" s="1"/>
  <c r="R511" i="13"/>
  <c r="T511" i="13"/>
  <c r="BF242" i="13"/>
  <c r="BF245" i="13" s="1"/>
  <c r="BF246" i="13" s="1"/>
  <c r="AV501" i="13"/>
  <c r="AV18" i="13"/>
  <c r="AV17" i="13"/>
  <c r="AW476" i="13"/>
  <c r="AW463" i="13"/>
  <c r="AW452" i="13"/>
  <c r="AW454" i="13" s="1"/>
  <c r="AW43" i="13"/>
  <c r="AW42" i="13"/>
  <c r="AX40" i="13"/>
  <c r="AX146" i="13" s="1"/>
  <c r="BG74" i="13"/>
  <c r="X182" i="13"/>
  <c r="X175" i="13"/>
  <c r="X78" i="13"/>
  <c r="X88" i="13" s="1"/>
  <c r="X73" i="13"/>
  <c r="X68" i="13"/>
  <c r="BF63" i="13"/>
  <c r="AB73" i="13"/>
  <c r="AT183" i="13"/>
  <c r="AT176" i="13"/>
  <c r="AT117" i="13"/>
  <c r="AT116" i="13"/>
  <c r="AU114" i="13"/>
  <c r="T494" i="13"/>
  <c r="T481" i="13"/>
  <c r="T468" i="13"/>
  <c r="BE455" i="13"/>
  <c r="AE513" i="13"/>
  <c r="U522" i="13"/>
  <c r="BD522" i="13"/>
  <c r="BD524" i="13"/>
  <c r="BE344" i="13"/>
  <c r="BE345" i="13" s="1"/>
  <c r="BD447" i="13"/>
  <c r="BD446" i="13"/>
  <c r="BD445" i="13"/>
  <c r="Y447" i="13"/>
  <c r="BE447" i="13"/>
  <c r="BE446" i="13"/>
  <c r="BE445" i="13"/>
  <c r="BK454" i="13"/>
  <c r="BD480" i="13"/>
  <c r="BE480" i="13"/>
  <c r="BF480" i="13"/>
  <c r="BG480" i="13"/>
  <c r="BG140" i="13"/>
  <c r="BG117" i="13"/>
  <c r="BH480" i="13"/>
  <c r="BH117" i="13"/>
  <c r="BH140" i="13"/>
  <c r="BI480" i="13"/>
  <c r="BJ480" i="13"/>
  <c r="BJ117" i="13"/>
  <c r="BJ140" i="13"/>
  <c r="BC498" i="13"/>
  <c r="BC490" i="13"/>
  <c r="BC492" i="13"/>
  <c r="BC494" i="13"/>
  <c r="BC495" i="13"/>
  <c r="BC491" i="13"/>
  <c r="BC493" i="13"/>
  <c r="BC496" i="13"/>
  <c r="BC497" i="13"/>
  <c r="BI506" i="13"/>
  <c r="S502" i="13"/>
  <c r="BD531" i="13"/>
  <c r="BD503" i="13"/>
  <c r="BD517" i="13"/>
  <c r="Z522" i="13"/>
  <c r="BK80" i="3"/>
  <c r="BK77" i="3" s="1"/>
  <c r="BK83" i="3" s="1"/>
  <c r="BA143" i="3"/>
  <c r="BA148" i="3" s="1"/>
  <c r="G148" i="3"/>
  <c r="BC143" i="3"/>
  <c r="BC148" i="3" s="1"/>
  <c r="O148" i="3"/>
  <c r="BM20" i="2"/>
  <c r="G140" i="3"/>
  <c r="BA135" i="3"/>
  <c r="BA140" i="3" s="1"/>
  <c r="BD135" i="3"/>
  <c r="BD140" i="3" s="1"/>
  <c r="S140" i="3"/>
  <c r="BE143" i="3"/>
  <c r="BE148" i="3" s="1"/>
  <c r="W148" i="3"/>
  <c r="BM138" i="3"/>
  <c r="BM93" i="3"/>
  <c r="BN36" i="3"/>
  <c r="O140" i="3"/>
  <c r="BC135" i="3"/>
  <c r="BC140" i="3" s="1"/>
  <c r="AE140" i="3"/>
  <c r="BG135" i="3"/>
  <c r="BG140" i="3" s="1"/>
  <c r="BB143" i="3"/>
  <c r="BB148" i="3" s="1"/>
  <c r="K148" i="3"/>
  <c r="BF143" i="3"/>
  <c r="BF148" i="3" s="1"/>
  <c r="AA148" i="3"/>
  <c r="AD148" i="3"/>
  <c r="AE143" i="3"/>
  <c r="AH148" i="3"/>
  <c r="AI143" i="3"/>
  <c r="AL148" i="3"/>
  <c r="AM143" i="3"/>
  <c r="AP148" i="3"/>
  <c r="AQ143" i="3"/>
  <c r="AT148" i="3"/>
  <c r="AU143" i="3"/>
  <c r="BD143" i="3"/>
  <c r="BD148" i="3" s="1"/>
  <c r="S148" i="3"/>
  <c r="AT57" i="2"/>
  <c r="AS61" i="2"/>
  <c r="BK63" i="2"/>
  <c r="AV63" i="2"/>
  <c r="AW63" i="2" s="1"/>
  <c r="AX63" i="2" s="1"/>
  <c r="AY63" i="2" s="1"/>
  <c r="BL63" i="2" s="1"/>
  <c r="BM63" i="2" s="1"/>
  <c r="BN63" i="2" s="1"/>
  <c r="BJ92" i="2"/>
  <c r="BI66" i="2"/>
  <c r="BI69" i="2" s="1"/>
  <c r="BL30" i="2"/>
  <c r="BJ43" i="2"/>
  <c r="AX34" i="2"/>
  <c r="AX41" i="3" s="1"/>
  <c r="AX46" i="3" s="1"/>
  <c r="AW76" i="2"/>
  <c r="AM66" i="2"/>
  <c r="AM69" i="2" s="1"/>
  <c r="BI79" i="71"/>
  <c r="BI65" i="71"/>
  <c r="L82" i="71"/>
  <c r="L71" i="71"/>
  <c r="L67" i="71"/>
  <c r="L68" i="71" s="1"/>
  <c r="BH82" i="71"/>
  <c r="BH71" i="71"/>
  <c r="BH67" i="71"/>
  <c r="BH68" i="71" s="1"/>
  <c r="BA82" i="71"/>
  <c r="BA67" i="71"/>
  <c r="BA68" i="71" s="1"/>
  <c r="BA71" i="71"/>
  <c r="BA79" i="71"/>
  <c r="BA65" i="71"/>
  <c r="BG82" i="71"/>
  <c r="BG71" i="71"/>
  <c r="BG67" i="71"/>
  <c r="BG68" i="71" s="1"/>
  <c r="G96" i="71"/>
  <c r="G90" i="71"/>
  <c r="G83" i="71"/>
  <c r="BH92" i="71"/>
  <c r="BH80" i="71"/>
  <c r="BH86" i="71"/>
  <c r="AC83" i="71"/>
  <c r="AC96" i="71"/>
  <c r="AC90" i="71"/>
  <c r="AJ70" i="71"/>
  <c r="G100" i="71"/>
  <c r="G11" i="3" s="1"/>
  <c r="G30" i="3" s="1"/>
  <c r="G93" i="71"/>
  <c r="Q100" i="71"/>
  <c r="Q11" i="3" s="1"/>
  <c r="Q30" i="3" s="1"/>
  <c r="Q93" i="71"/>
  <c r="X82" i="71"/>
  <c r="X71" i="71"/>
  <c r="X67" i="71"/>
  <c r="X68" i="71" s="1"/>
  <c r="BF64" i="71"/>
  <c r="BF20" i="71"/>
  <c r="AX138" i="71"/>
  <c r="AX15" i="3" s="1"/>
  <c r="AX117" i="3" s="1"/>
  <c r="AY15" i="71"/>
  <c r="AL82" i="71"/>
  <c r="AL71" i="71"/>
  <c r="AL67" i="71"/>
  <c r="AL68" i="71" s="1"/>
  <c r="R82" i="71"/>
  <c r="R71" i="71"/>
  <c r="R67" i="71"/>
  <c r="R68" i="71" s="1"/>
  <c r="AD82" i="71"/>
  <c r="AD71" i="71"/>
  <c r="AD67" i="71"/>
  <c r="AD68" i="71" s="1"/>
  <c r="AF100" i="71"/>
  <c r="AF93" i="71"/>
  <c r="AP100" i="71"/>
  <c r="AP11" i="3" s="1"/>
  <c r="AP30" i="3" s="1"/>
  <c r="AP93" i="71"/>
  <c r="BC62" i="71"/>
  <c r="BC70" i="71" s="1"/>
  <c r="BE64" i="71"/>
  <c r="BE20" i="71"/>
  <c r="AQ100" i="71"/>
  <c r="AQ11" i="3" s="1"/>
  <c r="AQ30" i="3" s="1"/>
  <c r="AQ93" i="71"/>
  <c r="AM82" i="71"/>
  <c r="AM71" i="71"/>
  <c r="AM67" i="71"/>
  <c r="AM68" i="71" s="1"/>
  <c r="BN54" i="71"/>
  <c r="BN57" i="71" s="1"/>
  <c r="BM57" i="71"/>
  <c r="AE129" i="71"/>
  <c r="BC129" i="71"/>
  <c r="W83" i="71"/>
  <c r="W96" i="71"/>
  <c r="W90" i="71"/>
  <c r="AG83" i="71"/>
  <c r="AG96" i="71"/>
  <c r="AG90" i="71"/>
  <c r="AE100" i="71"/>
  <c r="AE11" i="3" s="1"/>
  <c r="AE30" i="3" s="1"/>
  <c r="AE93" i="71"/>
  <c r="AO100" i="71"/>
  <c r="AO93" i="71"/>
  <c r="X65" i="71"/>
  <c r="X79" i="71"/>
  <c r="P82" i="71"/>
  <c r="P71" i="71"/>
  <c r="P67" i="71"/>
  <c r="P68" i="71" s="1"/>
  <c r="AB82" i="71"/>
  <c r="AB71" i="71"/>
  <c r="AB67" i="71"/>
  <c r="AB68" i="71" s="1"/>
  <c r="AQ70" i="71"/>
  <c r="W100" i="71"/>
  <c r="W11" i="3" s="1"/>
  <c r="W30" i="3" s="1"/>
  <c r="W93" i="71"/>
  <c r="AD100" i="71"/>
  <c r="AD11" i="3" s="1"/>
  <c r="AD30" i="3" s="1"/>
  <c r="AD93" i="71"/>
  <c r="AR100" i="71"/>
  <c r="AR11" i="3" s="1"/>
  <c r="AR93" i="71"/>
  <c r="BJ79" i="71"/>
  <c r="BJ65" i="71"/>
  <c r="AH70" i="71"/>
  <c r="AT70" i="71"/>
  <c r="O100" i="71"/>
  <c r="O11" i="3" s="1"/>
  <c r="O30" i="3" s="1"/>
  <c r="O93" i="71"/>
  <c r="F82" i="71"/>
  <c r="F71" i="71"/>
  <c r="F67" i="71"/>
  <c r="F68" i="71" s="1"/>
  <c r="BJ62" i="71"/>
  <c r="BJ70" i="71" s="1"/>
  <c r="BJ34" i="71"/>
  <c r="AW77" i="71"/>
  <c r="AW73" i="71"/>
  <c r="AV126" i="71"/>
  <c r="AV124" i="71"/>
  <c r="AW122" i="71"/>
  <c r="M100" i="71"/>
  <c r="M11" i="3" s="1"/>
  <c r="M30" i="3" s="1"/>
  <c r="M93" i="71"/>
  <c r="AC100" i="71"/>
  <c r="AC11" i="3" s="1"/>
  <c r="AC30" i="3" s="1"/>
  <c r="AC93" i="71"/>
  <c r="E96" i="71"/>
  <c r="E83" i="71"/>
  <c r="E90" i="71"/>
  <c r="V82" i="71"/>
  <c r="V71" i="71"/>
  <c r="V67" i="71"/>
  <c r="V68" i="71" s="1"/>
  <c r="H96" i="71"/>
  <c r="H83" i="71"/>
  <c r="H90" i="71"/>
  <c r="F92" i="71"/>
  <c r="F86" i="71"/>
  <c r="F80" i="71"/>
  <c r="N92" i="71"/>
  <c r="N86" i="71"/>
  <c r="N80" i="71"/>
  <c r="AM92" i="71"/>
  <c r="AM86" i="71"/>
  <c r="AM80" i="71"/>
  <c r="S96" i="71"/>
  <c r="S90" i="71"/>
  <c r="S83" i="71"/>
  <c r="AS82" i="71"/>
  <c r="AS71" i="71"/>
  <c r="AS67" i="71"/>
  <c r="AS68" i="71" s="1"/>
  <c r="AP82" i="71"/>
  <c r="AP71" i="71"/>
  <c r="AP67" i="71"/>
  <c r="AP68" i="71" s="1"/>
  <c r="E100" i="71"/>
  <c r="E11" i="3" s="1"/>
  <c r="E30" i="3" s="1"/>
  <c r="E93" i="71"/>
  <c r="K100" i="71"/>
  <c r="K11" i="3" s="1"/>
  <c r="K30" i="3" s="1"/>
  <c r="K93" i="71"/>
  <c r="S100" i="71"/>
  <c r="S11" i="3" s="1"/>
  <c r="S30" i="3" s="1"/>
  <c r="S93" i="71"/>
  <c r="Y79" i="71"/>
  <c r="Y65" i="71"/>
  <c r="BF70" i="71"/>
  <c r="BF23" i="71"/>
  <c r="BF25" i="71"/>
  <c r="BF26" i="71" s="1"/>
  <c r="N82" i="71"/>
  <c r="N71" i="71"/>
  <c r="N67" i="71"/>
  <c r="N68" i="71" s="1"/>
  <c r="Z82" i="71"/>
  <c r="Z71" i="71"/>
  <c r="Z67" i="71"/>
  <c r="Z68" i="71" s="1"/>
  <c r="AI82" i="71"/>
  <c r="AI71" i="71"/>
  <c r="AI67" i="71"/>
  <c r="AI68" i="71" s="1"/>
  <c r="L92" i="71"/>
  <c r="L86" i="71"/>
  <c r="L80" i="71"/>
  <c r="P92" i="71"/>
  <c r="P86" i="71"/>
  <c r="P80" i="71"/>
  <c r="AB100" i="71"/>
  <c r="AB11" i="3" s="1"/>
  <c r="AB93" i="71"/>
  <c r="AJ100" i="71"/>
  <c r="AJ11" i="3" s="1"/>
  <c r="AJ93" i="71"/>
  <c r="AT100" i="71"/>
  <c r="AT11" i="3" s="1"/>
  <c r="AT30" i="3" s="1"/>
  <c r="AT93" i="71"/>
  <c r="BB79" i="71"/>
  <c r="BB65" i="71"/>
  <c r="BI60" i="71"/>
  <c r="BI61" i="71" s="1"/>
  <c r="AJ61" i="71"/>
  <c r="BE70" i="71"/>
  <c r="BE25" i="71"/>
  <c r="BE26" i="71" s="1"/>
  <c r="BE23" i="71"/>
  <c r="AS100" i="71"/>
  <c r="AS11" i="3" s="1"/>
  <c r="AS30" i="3" s="1"/>
  <c r="AS93" i="71"/>
  <c r="BD79" i="71"/>
  <c r="BD65" i="71"/>
  <c r="O82" i="71"/>
  <c r="O71" i="71"/>
  <c r="O67" i="71"/>
  <c r="O68" i="71" s="1"/>
  <c r="Q82" i="71"/>
  <c r="Q71" i="71"/>
  <c r="Q67" i="71"/>
  <c r="Q68" i="71" s="1"/>
  <c r="U82" i="71"/>
  <c r="U71" i="71"/>
  <c r="U67" i="71"/>
  <c r="U68" i="71" s="1"/>
  <c r="AA82" i="71"/>
  <c r="AA71" i="71"/>
  <c r="AA67" i="71"/>
  <c r="AA68" i="71" s="1"/>
  <c r="Y60" i="71"/>
  <c r="BF60" i="71" s="1"/>
  <c r="BF61" i="71" s="1"/>
  <c r="Y70" i="71"/>
  <c r="BD62" i="71"/>
  <c r="BD70" i="71" s="1"/>
  <c r="AX105" i="71"/>
  <c r="AW103" i="71"/>
  <c r="AW120" i="71"/>
  <c r="AX120" i="71" s="1"/>
  <c r="AK83" i="71"/>
  <c r="AK96" i="71"/>
  <c r="AK90" i="71"/>
  <c r="V79" i="71"/>
  <c r="V65" i="71"/>
  <c r="BC79" i="71"/>
  <c r="BC65" i="71"/>
  <c r="BG79" i="71"/>
  <c r="BG65" i="71"/>
  <c r="AA100" i="71"/>
  <c r="AA11" i="3" s="1"/>
  <c r="AA30" i="3" s="1"/>
  <c r="AA93" i="71"/>
  <c r="AG100" i="71"/>
  <c r="AG11" i="3" s="1"/>
  <c r="AG30" i="3" s="1"/>
  <c r="AG93" i="71"/>
  <c r="T82" i="71"/>
  <c r="T71" i="71"/>
  <c r="T67" i="71"/>
  <c r="T68" i="71" s="1"/>
  <c r="AF82" i="71"/>
  <c r="AF71" i="71"/>
  <c r="AF67" i="71"/>
  <c r="AF68" i="71" s="1"/>
  <c r="Z100" i="71"/>
  <c r="Z11" i="3" s="1"/>
  <c r="Z30" i="3" s="1"/>
  <c r="Z93" i="71"/>
  <c r="AH100" i="71"/>
  <c r="AH11" i="3" s="1"/>
  <c r="AH30" i="3" s="1"/>
  <c r="AH93" i="71"/>
  <c r="AL100" i="71"/>
  <c r="AL11" i="3" s="1"/>
  <c r="AL93" i="71"/>
  <c r="AR61" i="71"/>
  <c r="AN82" i="71"/>
  <c r="AN71" i="71"/>
  <c r="AN67" i="71"/>
  <c r="AN68" i="71" s="1"/>
  <c r="AR70" i="71"/>
  <c r="AR25" i="71"/>
  <c r="AR23" i="71"/>
  <c r="I100" i="71"/>
  <c r="I11" i="3" s="1"/>
  <c r="I30" i="3" s="1"/>
  <c r="I93" i="71"/>
  <c r="AI100" i="71"/>
  <c r="AI11" i="3" s="1"/>
  <c r="AI30" i="3" s="1"/>
  <c r="AI93" i="71"/>
  <c r="J82" i="71"/>
  <c r="J71" i="71"/>
  <c r="J67" i="71"/>
  <c r="J68" i="71" s="1"/>
  <c r="M82" i="71"/>
  <c r="M71" i="71"/>
  <c r="M67" i="71"/>
  <c r="M68" i="71" s="1"/>
  <c r="AE82" i="71"/>
  <c r="AE71" i="71"/>
  <c r="AE67" i="71"/>
  <c r="AE68" i="71" s="1"/>
  <c r="AO60" i="71"/>
  <c r="AO70" i="71"/>
  <c r="BB62" i="71"/>
  <c r="BB70" i="71" s="1"/>
  <c r="D96" i="71"/>
  <c r="D83" i="71"/>
  <c r="D90" i="71"/>
  <c r="J92" i="71"/>
  <c r="J86" i="71"/>
  <c r="J80" i="71"/>
  <c r="R92" i="71"/>
  <c r="R86" i="71"/>
  <c r="R80" i="71"/>
  <c r="U100" i="71"/>
  <c r="U11" i="3" s="1"/>
  <c r="U30" i="3" s="1"/>
  <c r="U93" i="71"/>
  <c r="AK100" i="71"/>
  <c r="AK11" i="3" s="1"/>
  <c r="AK30" i="3" s="1"/>
  <c r="AK93" i="71"/>
  <c r="K96" i="71"/>
  <c r="K90" i="71"/>
  <c r="K83" i="71"/>
  <c r="BI82" i="71"/>
  <c r="BI67" i="71"/>
  <c r="BI68" i="71" s="1"/>
  <c r="BI71" i="71"/>
  <c r="D92" i="71"/>
  <c r="D86" i="71"/>
  <c r="D80" i="71"/>
  <c r="H92" i="71"/>
  <c r="H86" i="71"/>
  <c r="H80" i="71"/>
  <c r="T92" i="71"/>
  <c r="T86" i="71"/>
  <c r="T80" i="71"/>
  <c r="AN92" i="71"/>
  <c r="AN86" i="71"/>
  <c r="AN80" i="71"/>
  <c r="I96" i="71"/>
  <c r="I83" i="71"/>
  <c r="I90" i="71"/>
  <c r="AW119" i="71"/>
  <c r="AW510" i="13" l="1"/>
  <c r="AW18" i="13"/>
  <c r="AW501" i="13"/>
  <c r="AW503" i="13" s="1"/>
  <c r="BF209" i="13"/>
  <c r="AQ495" i="13"/>
  <c r="BE209" i="13"/>
  <c r="AA494" i="13"/>
  <c r="BL24" i="13"/>
  <c r="AX143" i="3"/>
  <c r="AW148" i="3"/>
  <c r="AI87" i="3"/>
  <c r="AI53" i="3"/>
  <c r="I87" i="3"/>
  <c r="I53" i="3"/>
  <c r="AS87" i="3"/>
  <c r="AS53" i="3"/>
  <c r="AC87" i="3"/>
  <c r="AC53" i="3"/>
  <c r="M87" i="3"/>
  <c r="M53" i="3"/>
  <c r="AO11" i="3"/>
  <c r="AO30" i="3" s="1"/>
  <c r="AO64" i="2"/>
  <c r="AE87" i="3"/>
  <c r="AE53" i="3"/>
  <c r="AP87" i="3"/>
  <c r="AP53" i="3"/>
  <c r="Q87" i="3"/>
  <c r="Q53" i="3"/>
  <c r="G87" i="3"/>
  <c r="G53" i="3"/>
  <c r="AF87" i="3"/>
  <c r="AF53" i="3"/>
  <c r="AK87" i="3"/>
  <c r="AK53" i="3"/>
  <c r="U87" i="3"/>
  <c r="U53" i="3"/>
  <c r="AH87" i="3"/>
  <c r="AH53" i="3"/>
  <c r="Z87" i="3"/>
  <c r="Z53" i="3"/>
  <c r="AG87" i="3"/>
  <c r="AG53" i="3"/>
  <c r="AA87" i="3"/>
  <c r="AA53" i="3"/>
  <c r="AT53" i="3"/>
  <c r="AT87" i="3"/>
  <c r="AJ113" i="3"/>
  <c r="AJ30" i="3"/>
  <c r="AB113" i="3"/>
  <c r="AB30" i="3"/>
  <c r="S87" i="3"/>
  <c r="S53" i="3"/>
  <c r="K87" i="3"/>
  <c r="K53" i="3"/>
  <c r="E87" i="3"/>
  <c r="E53" i="3"/>
  <c r="O87" i="3"/>
  <c r="O53" i="3"/>
  <c r="AR113" i="3"/>
  <c r="AR30" i="3"/>
  <c r="AD87" i="3"/>
  <c r="AD53" i="3"/>
  <c r="W87" i="3"/>
  <c r="W53" i="3"/>
  <c r="AQ87" i="3"/>
  <c r="AQ53" i="3"/>
  <c r="AX60" i="2"/>
  <c r="AY123" i="71"/>
  <c r="BL123" i="71" s="1"/>
  <c r="AX73" i="2"/>
  <c r="BH11" i="3"/>
  <c r="AG113" i="3"/>
  <c r="AF132" i="3"/>
  <c r="AF155" i="3" s="1"/>
  <c r="AK84" i="2"/>
  <c r="AI84" i="2"/>
  <c r="AJ84" i="2"/>
  <c r="AL30" i="3"/>
  <c r="AX215" i="13"/>
  <c r="AX184" i="13"/>
  <c r="BK480" i="13"/>
  <c r="BK140" i="13"/>
  <c r="BK117" i="13"/>
  <c r="BF182" i="13"/>
  <c r="BF73" i="13"/>
  <c r="BF68" i="13"/>
  <c r="BF61" i="13"/>
  <c r="BG68" i="13"/>
  <c r="BG73" i="13"/>
  <c r="AW480" i="13"/>
  <c r="AW467" i="13"/>
  <c r="AW456" i="13"/>
  <c r="AV503" i="13"/>
  <c r="AV502" i="13"/>
  <c r="AV482" i="13"/>
  <c r="AV469" i="13"/>
  <c r="AV459" i="13"/>
  <c r="AY353" i="13"/>
  <c r="AY352" i="13"/>
  <c r="AY457" i="13"/>
  <c r="BL356" i="13"/>
  <c r="BM356" i="13" s="1"/>
  <c r="BN356" i="13" s="1"/>
  <c r="AX483" i="13"/>
  <c r="AX470" i="13"/>
  <c r="BF522" i="13"/>
  <c r="BF524" i="13"/>
  <c r="AF185" i="13"/>
  <c r="AF178" i="13"/>
  <c r="AF79" i="13"/>
  <c r="AF74" i="13"/>
  <c r="AF69" i="13"/>
  <c r="X211" i="13"/>
  <c r="BF210" i="13"/>
  <c r="X191" i="13"/>
  <c r="BF190" i="13"/>
  <c r="BF531" i="13"/>
  <c r="BF503" i="13"/>
  <c r="BF502" i="13"/>
  <c r="BG503" i="13"/>
  <c r="BG502" i="13"/>
  <c r="BF506" i="13"/>
  <c r="AN498" i="13"/>
  <c r="AN496" i="13"/>
  <c r="AN485" i="13"/>
  <c r="AN472" i="13"/>
  <c r="BJ459" i="13"/>
  <c r="AN490" i="13"/>
  <c r="AN492" i="13"/>
  <c r="AN491" i="13"/>
  <c r="AN494" i="13"/>
  <c r="AN489" i="13"/>
  <c r="AN497" i="13"/>
  <c r="AN493" i="13"/>
  <c r="BI482" i="13"/>
  <c r="AF498" i="13"/>
  <c r="AF485" i="13"/>
  <c r="AF472" i="13"/>
  <c r="BH459" i="13"/>
  <c r="AF490" i="13"/>
  <c r="AF492" i="13"/>
  <c r="AF491" i="13"/>
  <c r="AF494" i="13"/>
  <c r="AF496" i="13"/>
  <c r="AF489" i="13"/>
  <c r="AF497" i="13"/>
  <c r="AF493" i="13"/>
  <c r="BD482" i="13"/>
  <c r="AR498" i="13"/>
  <c r="AR485" i="13"/>
  <c r="AR472" i="13"/>
  <c r="AR490" i="13"/>
  <c r="AR492" i="13"/>
  <c r="AR494" i="13"/>
  <c r="AR489" i="13"/>
  <c r="AR491" i="13"/>
  <c r="AR496" i="13"/>
  <c r="AR497" i="13"/>
  <c r="AR493" i="13"/>
  <c r="AK498" i="13"/>
  <c r="AK485" i="13"/>
  <c r="AK472" i="13"/>
  <c r="AK489" i="13"/>
  <c r="AK496" i="13"/>
  <c r="AK490" i="13"/>
  <c r="AK494" i="13"/>
  <c r="AK497" i="13"/>
  <c r="AK491" i="13"/>
  <c r="AK492" i="13"/>
  <c r="AK493" i="13"/>
  <c r="AG498" i="13"/>
  <c r="AG485" i="13"/>
  <c r="AG472" i="13"/>
  <c r="AG489" i="13"/>
  <c r="AG490" i="13"/>
  <c r="AG494" i="13"/>
  <c r="AG496" i="13"/>
  <c r="AG497" i="13"/>
  <c r="AG491" i="13"/>
  <c r="AG492" i="13"/>
  <c r="AG493" i="13"/>
  <c r="AC498" i="13"/>
  <c r="AC485" i="13"/>
  <c r="AC472" i="13"/>
  <c r="AC489" i="13"/>
  <c r="AC490" i="13"/>
  <c r="AC494" i="13"/>
  <c r="AC496" i="13"/>
  <c r="AC497" i="13"/>
  <c r="AC491" i="13"/>
  <c r="AC492" i="13"/>
  <c r="AC493" i="13"/>
  <c r="BF481" i="13"/>
  <c r="BG481" i="13"/>
  <c r="AY451" i="13"/>
  <c r="AY35" i="13"/>
  <c r="AY34" i="13"/>
  <c r="BL32" i="13"/>
  <c r="AX464" i="13"/>
  <c r="AX477" i="13"/>
  <c r="AY450" i="13"/>
  <c r="BL450" i="13" s="1"/>
  <c r="AY177" i="13"/>
  <c r="AY27" i="13"/>
  <c r="AY26" i="13"/>
  <c r="BE190" i="13"/>
  <c r="T191" i="13"/>
  <c r="AS498" i="13"/>
  <c r="AS485" i="13"/>
  <c r="AS472" i="13"/>
  <c r="AS489" i="13"/>
  <c r="AS491" i="13"/>
  <c r="AS497" i="13"/>
  <c r="AS490" i="13"/>
  <c r="AS492" i="13"/>
  <c r="AS494" i="13"/>
  <c r="AS496" i="13"/>
  <c r="AS493" i="13"/>
  <c r="AO498" i="13"/>
  <c r="AO485" i="13"/>
  <c r="AO472" i="13"/>
  <c r="AO489" i="13"/>
  <c r="AO491" i="13"/>
  <c r="AO497" i="13"/>
  <c r="AO490" i="13"/>
  <c r="AO492" i="13"/>
  <c r="AO494" i="13"/>
  <c r="AO496" i="13"/>
  <c r="AO493" i="13"/>
  <c r="R469" i="13"/>
  <c r="R459" i="13"/>
  <c r="V485" i="13" s="1"/>
  <c r="R482" i="13"/>
  <c r="AT485" i="13"/>
  <c r="AT498" i="13"/>
  <c r="AT472" i="13"/>
  <c r="AT489" i="13"/>
  <c r="AT491" i="13"/>
  <c r="AT496" i="13"/>
  <c r="AT497" i="13"/>
  <c r="AT490" i="13"/>
  <c r="AT492" i="13"/>
  <c r="AT494" i="13"/>
  <c r="AT493" i="13"/>
  <c r="AT495" i="13"/>
  <c r="AP485" i="13"/>
  <c r="AP498" i="13"/>
  <c r="AP472" i="13"/>
  <c r="AP489" i="13"/>
  <c r="AP491" i="13"/>
  <c r="AP496" i="13"/>
  <c r="AP497" i="13"/>
  <c r="AP490" i="13"/>
  <c r="AP492" i="13"/>
  <c r="AP494" i="13"/>
  <c r="AP493" i="13"/>
  <c r="AP495" i="13"/>
  <c r="BL457" i="13"/>
  <c r="AU186" i="13"/>
  <c r="AU179" i="13"/>
  <c r="AU139" i="13"/>
  <c r="AV137" i="13"/>
  <c r="BL50" i="13"/>
  <c r="BM48" i="13"/>
  <c r="AU482" i="13"/>
  <c r="AU469" i="13"/>
  <c r="AU459" i="13"/>
  <c r="BF511" i="13"/>
  <c r="BE245" i="13"/>
  <c r="BE246" i="13" s="1"/>
  <c r="Z485" i="13"/>
  <c r="Z498" i="13"/>
  <c r="Z472" i="13"/>
  <c r="Z496" i="13"/>
  <c r="Z489" i="13"/>
  <c r="Z497" i="13"/>
  <c r="Z490" i="13"/>
  <c r="Z492" i="13"/>
  <c r="Z491" i="13"/>
  <c r="Z493" i="13"/>
  <c r="Z495" i="13"/>
  <c r="V498" i="13"/>
  <c r="V472" i="13"/>
  <c r="V496" i="13"/>
  <c r="V489" i="13"/>
  <c r="V497" i="13"/>
  <c r="V490" i="13"/>
  <c r="V492" i="13"/>
  <c r="V491" i="13"/>
  <c r="V493" i="13"/>
  <c r="V495" i="13"/>
  <c r="T498" i="13"/>
  <c r="T485" i="13"/>
  <c r="T472" i="13"/>
  <c r="T490" i="13"/>
  <c r="T492" i="13"/>
  <c r="T491" i="13"/>
  <c r="T496" i="13"/>
  <c r="T489" i="13"/>
  <c r="T497" i="13"/>
  <c r="T493" i="13"/>
  <c r="Y498" i="13"/>
  <c r="Y485" i="13"/>
  <c r="Y489" i="13"/>
  <c r="Y490" i="13"/>
  <c r="Y496" i="13"/>
  <c r="Y497" i="13"/>
  <c r="Y491" i="13"/>
  <c r="Y492" i="13"/>
  <c r="Y493" i="13"/>
  <c r="U498" i="13"/>
  <c r="U485" i="13"/>
  <c r="U472" i="13"/>
  <c r="U489" i="13"/>
  <c r="U490" i="13"/>
  <c r="U496" i="13"/>
  <c r="U497" i="13"/>
  <c r="U491" i="13"/>
  <c r="U492" i="13"/>
  <c r="U493" i="13"/>
  <c r="S498" i="13"/>
  <c r="S485" i="13"/>
  <c r="S491" i="13"/>
  <c r="S489" i="13"/>
  <c r="S490" i="13"/>
  <c r="S492" i="13"/>
  <c r="S496" i="13"/>
  <c r="S497" i="13"/>
  <c r="S493" i="13"/>
  <c r="Q498" i="13"/>
  <c r="Q485" i="13"/>
  <c r="Q472" i="13"/>
  <c r="Q489" i="13"/>
  <c r="Q490" i="13"/>
  <c r="Q496" i="13"/>
  <c r="Q497" i="13"/>
  <c r="Q491" i="13"/>
  <c r="Q492" i="13"/>
  <c r="Q493" i="13"/>
  <c r="BE481" i="13"/>
  <c r="AU183" i="13"/>
  <c r="AU176" i="13"/>
  <c r="AU117" i="13"/>
  <c r="AU116" i="13"/>
  <c r="AV114" i="13"/>
  <c r="BL114" i="13" s="1"/>
  <c r="AX452" i="13"/>
  <c r="AX454" i="13" s="1"/>
  <c r="AX43" i="13"/>
  <c r="AX42" i="13"/>
  <c r="AY40" i="13"/>
  <c r="AY146" i="13" s="1"/>
  <c r="AW478" i="13"/>
  <c r="AW465" i="13"/>
  <c r="BL351" i="13"/>
  <c r="AU513" i="13"/>
  <c r="AU512" i="13"/>
  <c r="AU511" i="13"/>
  <c r="BK510" i="13"/>
  <c r="BK505" i="13"/>
  <c r="AG182" i="13"/>
  <c r="AG175" i="13"/>
  <c r="AG78" i="13"/>
  <c r="AG73" i="13"/>
  <c r="AG64" i="13"/>
  <c r="AH63" i="13"/>
  <c r="AQ498" i="13"/>
  <c r="AQ485" i="13"/>
  <c r="AQ472" i="13"/>
  <c r="AQ490" i="13"/>
  <c r="AQ492" i="13"/>
  <c r="AQ494" i="13"/>
  <c r="AQ496" i="13"/>
  <c r="AQ489" i="13"/>
  <c r="AQ491" i="13"/>
  <c r="AQ497" i="13"/>
  <c r="AQ493" i="13"/>
  <c r="BJ495" i="13"/>
  <c r="BJ482" i="13"/>
  <c r="AN495" i="13"/>
  <c r="AJ498" i="13"/>
  <c r="AJ496" i="13"/>
  <c r="AJ485" i="13"/>
  <c r="AJ472" i="13"/>
  <c r="BI459" i="13"/>
  <c r="AJ490" i="13"/>
  <c r="AJ492" i="13"/>
  <c r="AJ491" i="13"/>
  <c r="AJ494" i="13"/>
  <c r="AJ489" i="13"/>
  <c r="AJ497" i="13"/>
  <c r="AJ493" i="13"/>
  <c r="BH482" i="13"/>
  <c r="AF495" i="13"/>
  <c r="AB498" i="13"/>
  <c r="AB472" i="13"/>
  <c r="BG459" i="13"/>
  <c r="AB490" i="13"/>
  <c r="AB492" i="13"/>
  <c r="AB491" i="13"/>
  <c r="AB494" i="13"/>
  <c r="AB496" i="13"/>
  <c r="AB489" i="13"/>
  <c r="AB497" i="13"/>
  <c r="AB493" i="13"/>
  <c r="X482" i="13"/>
  <c r="X469" i="13"/>
  <c r="X459" i="13"/>
  <c r="X495" i="13" s="1"/>
  <c r="BF456" i="13"/>
  <c r="P498" i="13"/>
  <c r="P485" i="13"/>
  <c r="P472" i="13"/>
  <c r="P490" i="13"/>
  <c r="P491" i="13"/>
  <c r="P497" i="13"/>
  <c r="P492" i="13"/>
  <c r="P496" i="13"/>
  <c r="P489" i="13"/>
  <c r="P493" i="13"/>
  <c r="P494" i="13"/>
  <c r="BK482" i="13"/>
  <c r="AR495" i="13"/>
  <c r="AK495" i="13"/>
  <c r="AG495" i="13"/>
  <c r="AC495" i="13"/>
  <c r="AX16" i="13"/>
  <c r="AX476" i="13"/>
  <c r="AX463" i="13"/>
  <c r="T210" i="13"/>
  <c r="BD210" i="13"/>
  <c r="Q211" i="13"/>
  <c r="AC325" i="13"/>
  <c r="AD252" i="13"/>
  <c r="AC331" i="13"/>
  <c r="AC314" i="13"/>
  <c r="AC340" i="13"/>
  <c r="AC324" i="13"/>
  <c r="AS495" i="13"/>
  <c r="AO495" i="13"/>
  <c r="AL485" i="13"/>
  <c r="AL498" i="13"/>
  <c r="AL472" i="13"/>
  <c r="AL494" i="13"/>
  <c r="AL489" i="13"/>
  <c r="AL496" i="13"/>
  <c r="AL497" i="13"/>
  <c r="AL490" i="13"/>
  <c r="AL492" i="13"/>
  <c r="AL491" i="13"/>
  <c r="AL493" i="13"/>
  <c r="AL495" i="13"/>
  <c r="AH485" i="13"/>
  <c r="AH498" i="13"/>
  <c r="AH472" i="13"/>
  <c r="AH494" i="13"/>
  <c r="AH489" i="13"/>
  <c r="AH497" i="13"/>
  <c r="AH490" i="13"/>
  <c r="AH492" i="13"/>
  <c r="AH496" i="13"/>
  <c r="AH491" i="13"/>
  <c r="AH493" i="13"/>
  <c r="AH495" i="13"/>
  <c r="AD485" i="13"/>
  <c r="AD498" i="13"/>
  <c r="AD472" i="13"/>
  <c r="AD494" i="13"/>
  <c r="AD496" i="13"/>
  <c r="AD489" i="13"/>
  <c r="AD497" i="13"/>
  <c r="AD490" i="13"/>
  <c r="AD492" i="13"/>
  <c r="AD491" i="13"/>
  <c r="AD493" i="13"/>
  <c r="AD495" i="13"/>
  <c r="AM498" i="13"/>
  <c r="AM485" i="13"/>
  <c r="AM472" i="13"/>
  <c r="AM491" i="13"/>
  <c r="AM492" i="13"/>
  <c r="AM489" i="13"/>
  <c r="AM490" i="13"/>
  <c r="AM494" i="13"/>
  <c r="AM497" i="13"/>
  <c r="AM496" i="13"/>
  <c r="AM493" i="13"/>
  <c r="AI498" i="13"/>
  <c r="AI485" i="13"/>
  <c r="AI472" i="13"/>
  <c r="AI491" i="13"/>
  <c r="AI492" i="13"/>
  <c r="AI496" i="13"/>
  <c r="AI489" i="13"/>
  <c r="AI490" i="13"/>
  <c r="AI494" i="13"/>
  <c r="AI497" i="13"/>
  <c r="AI493" i="13"/>
  <c r="AE498" i="13"/>
  <c r="AE485" i="13"/>
  <c r="AE472" i="13"/>
  <c r="AE491" i="13"/>
  <c r="AE492" i="13"/>
  <c r="AE489" i="13"/>
  <c r="AE490" i="13"/>
  <c r="AE494" i="13"/>
  <c r="AE496" i="13"/>
  <c r="AE497" i="13"/>
  <c r="AE493" i="13"/>
  <c r="AA498" i="13"/>
  <c r="AA472" i="13"/>
  <c r="AA491" i="13"/>
  <c r="AA492" i="13"/>
  <c r="AA489" i="13"/>
  <c r="AA490" i="13"/>
  <c r="AA496" i="13"/>
  <c r="AA497" i="13"/>
  <c r="AA493" i="13"/>
  <c r="W482" i="13"/>
  <c r="W469" i="13"/>
  <c r="W459" i="13"/>
  <c r="W495" i="13" s="1"/>
  <c r="BG524" i="13"/>
  <c r="BF517" i="13"/>
  <c r="AY453" i="13"/>
  <c r="AY51" i="13"/>
  <c r="AY50" i="13"/>
  <c r="AX479" i="13"/>
  <c r="AX466" i="13"/>
  <c r="V482" i="13"/>
  <c r="BE456" i="13"/>
  <c r="T495" i="13"/>
  <c r="Y469" i="13"/>
  <c r="Y495" i="13"/>
  <c r="U495" i="13"/>
  <c r="S469" i="13"/>
  <c r="S495" i="13"/>
  <c r="Q495" i="13"/>
  <c r="BK143" i="3"/>
  <c r="BK148" i="3" s="1"/>
  <c r="AU148" i="3"/>
  <c r="BJ143" i="3"/>
  <c r="BJ148" i="3" s="1"/>
  <c r="AQ148" i="3"/>
  <c r="BI143" i="3"/>
  <c r="BI148" i="3" s="1"/>
  <c r="AM148" i="3"/>
  <c r="BH143" i="3"/>
  <c r="BH148" i="3" s="1"/>
  <c r="AI148" i="3"/>
  <c r="BG143" i="3"/>
  <c r="BG148" i="3" s="1"/>
  <c r="AE148" i="3"/>
  <c r="BN138" i="3"/>
  <c r="BN93" i="3"/>
  <c r="BN20" i="2"/>
  <c r="BM30" i="2"/>
  <c r="BM26" i="3" s="1"/>
  <c r="BM128" i="3" s="1"/>
  <c r="AT61" i="2"/>
  <c r="AU57" i="2"/>
  <c r="AY34" i="2"/>
  <c r="AY41" i="3" s="1"/>
  <c r="AY46" i="3" s="1"/>
  <c r="AX76" i="2"/>
  <c r="I108" i="71"/>
  <c r="I97" i="71"/>
  <c r="T100" i="71"/>
  <c r="T11" i="3" s="1"/>
  <c r="T93" i="71"/>
  <c r="D100" i="71"/>
  <c r="D11" i="3" s="1"/>
  <c r="D93" i="71"/>
  <c r="BI96" i="71"/>
  <c r="BI83" i="71"/>
  <c r="R100" i="71"/>
  <c r="R11" i="3" s="1"/>
  <c r="R30" i="3" s="1"/>
  <c r="R93" i="71"/>
  <c r="D108" i="71"/>
  <c r="D112" i="71" s="1"/>
  <c r="D97" i="71"/>
  <c r="AO82" i="71"/>
  <c r="AO71" i="71"/>
  <c r="AO67" i="71"/>
  <c r="AO68" i="71" s="1"/>
  <c r="AE83" i="71"/>
  <c r="AE96" i="71"/>
  <c r="AE90" i="71"/>
  <c r="J96" i="71"/>
  <c r="J83" i="71"/>
  <c r="J90" i="71"/>
  <c r="AI107" i="71"/>
  <c r="AI110" i="71" s="1"/>
  <c r="AI101" i="71"/>
  <c r="I101" i="71"/>
  <c r="I107" i="71"/>
  <c r="I110" i="71" s="1"/>
  <c r="AR82" i="71"/>
  <c r="AR71" i="71"/>
  <c r="AR67" i="71"/>
  <c r="AR68" i="71" s="1"/>
  <c r="AL107" i="71"/>
  <c r="AL110" i="71" s="1"/>
  <c r="AL101" i="71"/>
  <c r="AH107" i="71"/>
  <c r="AH110" i="71" s="1"/>
  <c r="AH101" i="71"/>
  <c r="Z107" i="71"/>
  <c r="Z110" i="71" s="1"/>
  <c r="Z101" i="71"/>
  <c r="T96" i="71"/>
  <c r="T83" i="71"/>
  <c r="T90" i="71"/>
  <c r="AG101" i="71"/>
  <c r="AG107" i="71"/>
  <c r="AG110" i="71" s="1"/>
  <c r="AA107" i="71"/>
  <c r="AA110" i="71" s="1"/>
  <c r="AA101" i="71"/>
  <c r="BG92" i="71"/>
  <c r="BG80" i="71"/>
  <c r="BG86" i="71"/>
  <c r="BC92" i="71"/>
  <c r="BC80" i="71"/>
  <c r="BC86" i="71"/>
  <c r="V92" i="71"/>
  <c r="V86" i="71"/>
  <c r="V80" i="71"/>
  <c r="AK108" i="71"/>
  <c r="AK97" i="71"/>
  <c r="BD82" i="71"/>
  <c r="BD71" i="71"/>
  <c r="BD67" i="71"/>
  <c r="BD68" i="71" s="1"/>
  <c r="U83" i="71"/>
  <c r="U96" i="71"/>
  <c r="U90" i="71"/>
  <c r="O96" i="71"/>
  <c r="O90" i="71"/>
  <c r="O83" i="71"/>
  <c r="BD92" i="71"/>
  <c r="BD80" i="71"/>
  <c r="BD86" i="71"/>
  <c r="AS101" i="71"/>
  <c r="AS107" i="71"/>
  <c r="AS110" i="71" s="1"/>
  <c r="BB92" i="71"/>
  <c r="BB80" i="71"/>
  <c r="BB86" i="71"/>
  <c r="AT107" i="71"/>
  <c r="AT110" i="71" s="1"/>
  <c r="AT101" i="71"/>
  <c r="AJ107" i="71"/>
  <c r="AJ110" i="71" s="1"/>
  <c r="AJ101" i="71"/>
  <c r="AB107" i="71"/>
  <c r="AB110" i="71" s="1"/>
  <c r="AB101" i="71"/>
  <c r="L100" i="71"/>
  <c r="L11" i="3" s="1"/>
  <c r="L93" i="71"/>
  <c r="Z96" i="71"/>
  <c r="Z83" i="71"/>
  <c r="Z90" i="71"/>
  <c r="BF82" i="71"/>
  <c r="BF71" i="71"/>
  <c r="BF67" i="71"/>
  <c r="BF68" i="71" s="1"/>
  <c r="Y92" i="71"/>
  <c r="Y86" i="71"/>
  <c r="Y80" i="71"/>
  <c r="S107" i="71"/>
  <c r="S110" i="71" s="1"/>
  <c r="S101" i="71"/>
  <c r="K107" i="71"/>
  <c r="K110" i="71" s="1"/>
  <c r="K101" i="71"/>
  <c r="E101" i="71"/>
  <c r="E107" i="71"/>
  <c r="E110" i="71" s="1"/>
  <c r="AS83" i="71"/>
  <c r="AS96" i="71"/>
  <c r="AS90" i="71"/>
  <c r="AM100" i="71"/>
  <c r="AM11" i="3" s="1"/>
  <c r="AM30" i="3" s="1"/>
  <c r="AM93" i="71"/>
  <c r="F100" i="71"/>
  <c r="F11" i="3" s="1"/>
  <c r="F30" i="3" s="1"/>
  <c r="F93" i="71"/>
  <c r="V96" i="71"/>
  <c r="V83" i="71"/>
  <c r="V90" i="71"/>
  <c r="AW126" i="71"/>
  <c r="AW124" i="71"/>
  <c r="AX122" i="71"/>
  <c r="BI90" i="71"/>
  <c r="AX77" i="71"/>
  <c r="AX73" i="71"/>
  <c r="BL75" i="71"/>
  <c r="BM75" i="71" s="1"/>
  <c r="BN75" i="71" s="1"/>
  <c r="BO75" i="71" s="1"/>
  <c r="BP75" i="71" s="1"/>
  <c r="BQ75" i="71" s="1"/>
  <c r="F96" i="71"/>
  <c r="F83" i="71"/>
  <c r="F90" i="71"/>
  <c r="O107" i="71"/>
  <c r="O110" i="71" s="1"/>
  <c r="O101" i="71"/>
  <c r="AH82" i="71"/>
  <c r="AH71" i="71"/>
  <c r="AH67" i="71"/>
  <c r="AH68" i="71" s="1"/>
  <c r="BJ92" i="71"/>
  <c r="BJ80" i="71"/>
  <c r="BJ86" i="71"/>
  <c r="AR107" i="71"/>
  <c r="AR110" i="71" s="1"/>
  <c r="AR101" i="71"/>
  <c r="AD107" i="71"/>
  <c r="AD110" i="71" s="1"/>
  <c r="AD101" i="71"/>
  <c r="W107" i="71"/>
  <c r="W110" i="71" s="1"/>
  <c r="W101" i="71"/>
  <c r="AB96" i="71"/>
  <c r="AB83" i="71"/>
  <c r="AB90" i="71"/>
  <c r="X92" i="71"/>
  <c r="X86" i="71"/>
  <c r="X80" i="71"/>
  <c r="W108" i="71"/>
  <c r="W97" i="71"/>
  <c r="AM83" i="71"/>
  <c r="AM96" i="71"/>
  <c r="AM90" i="71"/>
  <c r="AQ107" i="71"/>
  <c r="AQ110" i="71" s="1"/>
  <c r="AQ101" i="71"/>
  <c r="BE79" i="71"/>
  <c r="BE65" i="71"/>
  <c r="AD96" i="71"/>
  <c r="AD83" i="71"/>
  <c r="AD90" i="71"/>
  <c r="AL96" i="71"/>
  <c r="AL83" i="71"/>
  <c r="AL90" i="71"/>
  <c r="X96" i="71"/>
  <c r="X83" i="71"/>
  <c r="X90" i="71"/>
  <c r="Q101" i="71"/>
  <c r="Q107" i="71"/>
  <c r="Q110" i="71" s="1"/>
  <c r="G107" i="71"/>
  <c r="G110" i="71" s="1"/>
  <c r="G101" i="71"/>
  <c r="AC108" i="71"/>
  <c r="AC97" i="71"/>
  <c r="BH100" i="71"/>
  <c r="BH93" i="71"/>
  <c r="BG96" i="71"/>
  <c r="BG83" i="71"/>
  <c r="BG90" i="71"/>
  <c r="BA92" i="71"/>
  <c r="BA80" i="71"/>
  <c r="BA86" i="71"/>
  <c r="BH96" i="71"/>
  <c r="BH83" i="71"/>
  <c r="BH90" i="71"/>
  <c r="L96" i="71"/>
  <c r="L83" i="71"/>
  <c r="L90" i="71"/>
  <c r="BI92" i="71"/>
  <c r="BI80" i="71"/>
  <c r="BI86" i="71"/>
  <c r="AX119" i="71"/>
  <c r="AY119" i="71" s="1"/>
  <c r="AN100" i="71"/>
  <c r="AN11" i="3" s="1"/>
  <c r="AN93" i="71"/>
  <c r="H100" i="71"/>
  <c r="H11" i="3" s="1"/>
  <c r="H93" i="71"/>
  <c r="K108" i="71"/>
  <c r="K97" i="71"/>
  <c r="AK101" i="71"/>
  <c r="AK107" i="71"/>
  <c r="AK110" i="71" s="1"/>
  <c r="U101" i="71"/>
  <c r="U107" i="71"/>
  <c r="U110" i="71" s="1"/>
  <c r="J100" i="71"/>
  <c r="J11" i="3" s="1"/>
  <c r="J30" i="3" s="1"/>
  <c r="J93" i="71"/>
  <c r="BB82" i="71"/>
  <c r="BB71" i="71"/>
  <c r="BB67" i="71"/>
  <c r="BB68" i="71" s="1"/>
  <c r="AO61" i="71"/>
  <c r="BJ60" i="71"/>
  <c r="BJ61" i="71" s="1"/>
  <c r="M96" i="71"/>
  <c r="M83" i="71"/>
  <c r="M90" i="71"/>
  <c r="BK25" i="71"/>
  <c r="AR26" i="71"/>
  <c r="AN96" i="71"/>
  <c r="AN83" i="71"/>
  <c r="AN90" i="71"/>
  <c r="AF96" i="71"/>
  <c r="AF83" i="71"/>
  <c r="AF90" i="71"/>
  <c r="AY105" i="71"/>
  <c r="AY103" i="71" s="1"/>
  <c r="AX103" i="71"/>
  <c r="Y82" i="71"/>
  <c r="Y71" i="71"/>
  <c r="Y67" i="71"/>
  <c r="Y68" i="71" s="1"/>
  <c r="AA83" i="71"/>
  <c r="AA96" i="71"/>
  <c r="AA90" i="71"/>
  <c r="Q96" i="71"/>
  <c r="Q83" i="71"/>
  <c r="Q90" i="71"/>
  <c r="BE82" i="71"/>
  <c r="BE67" i="71"/>
  <c r="BE68" i="71" s="1"/>
  <c r="BE71" i="71"/>
  <c r="P100" i="71"/>
  <c r="P11" i="3" s="1"/>
  <c r="P93" i="71"/>
  <c r="AI83" i="71"/>
  <c r="AI96" i="71"/>
  <c r="AI90" i="71"/>
  <c r="N96" i="71"/>
  <c r="N83" i="71"/>
  <c r="N90" i="71"/>
  <c r="AP96" i="71"/>
  <c r="AP83" i="71"/>
  <c r="AP90" i="71"/>
  <c r="S108" i="71"/>
  <c r="S97" i="71"/>
  <c r="N100" i="71"/>
  <c r="N11" i="3" s="1"/>
  <c r="N30" i="3" s="1"/>
  <c r="N93" i="71"/>
  <c r="H108" i="71"/>
  <c r="H97" i="71"/>
  <c r="E108" i="71"/>
  <c r="E112" i="71" s="1"/>
  <c r="E97" i="71"/>
  <c r="AC101" i="71"/>
  <c r="AC107" i="71"/>
  <c r="AC110" i="71" s="1"/>
  <c r="M101" i="71"/>
  <c r="M107" i="71"/>
  <c r="M110" i="71" s="1"/>
  <c r="BJ82" i="71"/>
  <c r="BJ71" i="71"/>
  <c r="BJ67" i="71"/>
  <c r="BJ68" i="71" s="1"/>
  <c r="AT82" i="71"/>
  <c r="AT71" i="71"/>
  <c r="AT67" i="71"/>
  <c r="AT68" i="71" s="1"/>
  <c r="AQ82" i="71"/>
  <c r="AQ71" i="71"/>
  <c r="AQ67" i="71"/>
  <c r="AQ68" i="71" s="1"/>
  <c r="P96" i="71"/>
  <c r="P83" i="71"/>
  <c r="P90" i="71"/>
  <c r="AO101" i="71"/>
  <c r="AO107" i="71"/>
  <c r="AO110" i="71" s="1"/>
  <c r="AE107" i="71"/>
  <c r="AE110" i="71" s="1"/>
  <c r="AE101" i="71"/>
  <c r="AG108" i="71"/>
  <c r="AG97" i="71"/>
  <c r="BD129" i="71"/>
  <c r="AF129" i="71"/>
  <c r="BC82" i="71"/>
  <c r="BC71" i="71"/>
  <c r="BC67" i="71"/>
  <c r="BC68" i="71" s="1"/>
  <c r="AP107" i="71"/>
  <c r="AP110" i="71" s="1"/>
  <c r="AP101" i="71"/>
  <c r="AF107" i="71"/>
  <c r="AF110" i="71" s="1"/>
  <c r="AF101" i="71"/>
  <c r="R96" i="71"/>
  <c r="R83" i="71"/>
  <c r="R90" i="71"/>
  <c r="AY138" i="71"/>
  <c r="BL15" i="71"/>
  <c r="BM15" i="71" s="1"/>
  <c r="BN15" i="71" s="1"/>
  <c r="BF79" i="71"/>
  <c r="BF65" i="71"/>
  <c r="AJ82" i="71"/>
  <c r="AJ71" i="71"/>
  <c r="AJ67" i="71"/>
  <c r="AJ68" i="71" s="1"/>
  <c r="G108" i="71"/>
  <c r="G112" i="71" s="1"/>
  <c r="G97" i="71"/>
  <c r="BA96" i="71"/>
  <c r="BA83" i="71"/>
  <c r="BA90" i="71"/>
  <c r="BL105" i="71"/>
  <c r="AW25" i="71" l="1"/>
  <c r="AW22" i="71" s="1"/>
  <c r="AW513" i="13"/>
  <c r="AX510" i="13"/>
  <c r="AW511" i="13"/>
  <c r="AW512" i="13"/>
  <c r="BM24" i="13"/>
  <c r="BM177" i="13" s="1"/>
  <c r="BL26" i="13"/>
  <c r="AW502" i="13"/>
  <c r="BD459" i="13"/>
  <c r="BH495" i="13"/>
  <c r="S472" i="13"/>
  <c r="AU495" i="13"/>
  <c r="AV495" i="13"/>
  <c r="AY143" i="3"/>
  <c r="AX148" i="3"/>
  <c r="BL41" i="3"/>
  <c r="BL46" i="3" s="1"/>
  <c r="BL119" i="71"/>
  <c r="BM119" i="71" s="1"/>
  <c r="BN119" i="71" s="1"/>
  <c r="BL103" i="71"/>
  <c r="BM123" i="71"/>
  <c r="BM105" i="71"/>
  <c r="BL138" i="71"/>
  <c r="AY15" i="3"/>
  <c r="AY60" i="2" s="1"/>
  <c r="BL60" i="2" s="1"/>
  <c r="N87" i="3"/>
  <c r="N53" i="3"/>
  <c r="F87" i="3"/>
  <c r="F53" i="3"/>
  <c r="AM87" i="3"/>
  <c r="AM53" i="3"/>
  <c r="L113" i="3"/>
  <c r="L30" i="3"/>
  <c r="R87" i="3"/>
  <c r="R53" i="3"/>
  <c r="D113" i="3"/>
  <c r="D30" i="3"/>
  <c r="T113" i="3"/>
  <c r="T30" i="3"/>
  <c r="BI11" i="3"/>
  <c r="BI30" i="3" s="1"/>
  <c r="BI87" i="3" s="1"/>
  <c r="BH30" i="3"/>
  <c r="AR87" i="3"/>
  <c r="AR53" i="3"/>
  <c r="AC113" i="3"/>
  <c r="AB132" i="3"/>
  <c r="AB155" i="3" s="1"/>
  <c r="AK113" i="3"/>
  <c r="AJ132" i="3"/>
  <c r="AJ155" i="3" s="1"/>
  <c r="AO66" i="2"/>
  <c r="AO69" i="2" s="1"/>
  <c r="AP64" i="2"/>
  <c r="P113" i="3"/>
  <c r="P30" i="3"/>
  <c r="J53" i="3"/>
  <c r="J87" i="3"/>
  <c r="H113" i="3"/>
  <c r="H30" i="3"/>
  <c r="AN113" i="3"/>
  <c r="BJ11" i="3"/>
  <c r="BJ30" i="3" s="1"/>
  <c r="AN30" i="3"/>
  <c r="AG132" i="3"/>
  <c r="AG155" i="3" s="1"/>
  <c r="AH113" i="3"/>
  <c r="AY73" i="2"/>
  <c r="AS113" i="3"/>
  <c r="AR132" i="3"/>
  <c r="AR155" i="3" s="1"/>
  <c r="AB87" i="3"/>
  <c r="AB53" i="3"/>
  <c r="AJ87" i="3"/>
  <c r="AJ53" i="3"/>
  <c r="AY120" i="71"/>
  <c r="BL120" i="71" s="1"/>
  <c r="BM120" i="71" s="1"/>
  <c r="BN120" i="71" s="1"/>
  <c r="AO87" i="3"/>
  <c r="AO53" i="3"/>
  <c r="AL87" i="3"/>
  <c r="AL53" i="3"/>
  <c r="AY215" i="13"/>
  <c r="AY510" i="13" s="1"/>
  <c r="BL146" i="13"/>
  <c r="BL214" i="13" s="1"/>
  <c r="AY184" i="13"/>
  <c r="BM114" i="13"/>
  <c r="BL116" i="13"/>
  <c r="W498" i="13"/>
  <c r="W485" i="13"/>
  <c r="W472" i="13"/>
  <c r="W491" i="13"/>
  <c r="W492" i="13"/>
  <c r="W489" i="13"/>
  <c r="W490" i="13"/>
  <c r="W496" i="13"/>
  <c r="W497" i="13"/>
  <c r="W493" i="13"/>
  <c r="W494" i="13"/>
  <c r="AA485" i="13"/>
  <c r="AD331" i="13"/>
  <c r="AD314" i="13"/>
  <c r="AD325" i="13"/>
  <c r="AE252" i="13"/>
  <c r="BG252" i="13" s="1"/>
  <c r="AD324" i="13"/>
  <c r="AD340" i="13"/>
  <c r="T211" i="13"/>
  <c r="BE210" i="13"/>
  <c r="AX480" i="13"/>
  <c r="AX467" i="13"/>
  <c r="AX456" i="13"/>
  <c r="AX501" i="13"/>
  <c r="AX18" i="13"/>
  <c r="AX17" i="13"/>
  <c r="X498" i="13"/>
  <c r="X485" i="13"/>
  <c r="X472" i="13"/>
  <c r="BF459" i="13"/>
  <c r="X490" i="13"/>
  <c r="X492" i="13"/>
  <c r="X491" i="13"/>
  <c r="X496" i="13"/>
  <c r="X489" i="13"/>
  <c r="X497" i="13"/>
  <c r="X493" i="13"/>
  <c r="X494" i="13"/>
  <c r="BG498" i="13"/>
  <c r="BG485" i="13"/>
  <c r="BG496" i="13"/>
  <c r="BG497" i="13"/>
  <c r="BG141" i="13"/>
  <c r="BG268" i="13"/>
  <c r="BG492" i="13"/>
  <c r="BG490" i="13"/>
  <c r="BG494" i="13"/>
  <c r="BG491" i="13"/>
  <c r="BG489" i="13"/>
  <c r="BG493" i="13"/>
  <c r="AB485" i="13"/>
  <c r="BI498" i="13"/>
  <c r="BI485" i="13"/>
  <c r="BI496" i="13"/>
  <c r="BI497" i="13"/>
  <c r="BI494" i="13"/>
  <c r="BI491" i="13"/>
  <c r="BI489" i="13"/>
  <c r="BI492" i="13"/>
  <c r="BI490" i="13"/>
  <c r="BI268" i="13"/>
  <c r="BI493" i="13"/>
  <c r="AG185" i="13"/>
  <c r="AG178" i="13"/>
  <c r="AH64" i="13"/>
  <c r="AG79" i="13"/>
  <c r="AG74" i="13"/>
  <c r="AG69" i="13"/>
  <c r="BK507" i="13"/>
  <c r="BK508" i="13"/>
  <c r="BK506" i="13"/>
  <c r="BL40" i="13"/>
  <c r="Y472" i="13"/>
  <c r="BE459" i="13"/>
  <c r="AU498" i="13"/>
  <c r="AU485" i="13"/>
  <c r="AU472" i="13"/>
  <c r="AU491" i="13"/>
  <c r="AU490" i="13"/>
  <c r="AU496" i="13"/>
  <c r="AU494" i="13"/>
  <c r="AU492" i="13"/>
  <c r="AU497" i="13"/>
  <c r="AU489" i="13"/>
  <c r="AU493" i="13"/>
  <c r="BM453" i="13"/>
  <c r="BN48" i="13"/>
  <c r="BM51" i="13"/>
  <c r="AY16" i="13"/>
  <c r="BM450" i="13"/>
  <c r="BL34" i="13"/>
  <c r="BM32" i="13"/>
  <c r="AY477" i="13"/>
  <c r="AY464" i="13"/>
  <c r="BL451" i="13"/>
  <c r="BG495" i="13"/>
  <c r="BJ498" i="13"/>
  <c r="BJ485" i="13"/>
  <c r="BJ491" i="13"/>
  <c r="BJ489" i="13"/>
  <c r="BJ497" i="13"/>
  <c r="BJ268" i="13"/>
  <c r="BJ496" i="13"/>
  <c r="BJ494" i="13"/>
  <c r="BJ492" i="13"/>
  <c r="BJ490" i="13"/>
  <c r="BJ493" i="13"/>
  <c r="BE482" i="13"/>
  <c r="BE495" i="13"/>
  <c r="AY479" i="13"/>
  <c r="AY466" i="13"/>
  <c r="BL453" i="13"/>
  <c r="BL476" i="13"/>
  <c r="BD498" i="13"/>
  <c r="BD485" i="13"/>
  <c r="BD496" i="13"/>
  <c r="BD489" i="13"/>
  <c r="BD491" i="13"/>
  <c r="BD497" i="13"/>
  <c r="BD492" i="13"/>
  <c r="BD490" i="13"/>
  <c r="BD493" i="13"/>
  <c r="BF495" i="13"/>
  <c r="BF482" i="13"/>
  <c r="AH182" i="13"/>
  <c r="AH175" i="13"/>
  <c r="AH73" i="13"/>
  <c r="AI63" i="13"/>
  <c r="AH65" i="13"/>
  <c r="AH78" i="13" s="1"/>
  <c r="BH63" i="13"/>
  <c r="BD494" i="13"/>
  <c r="BK533" i="13"/>
  <c r="BK513" i="13"/>
  <c r="BK511" i="13"/>
  <c r="BK512" i="13"/>
  <c r="BM351" i="13"/>
  <c r="BL353" i="13"/>
  <c r="BL365" i="13"/>
  <c r="BL377" i="13"/>
  <c r="AY452" i="13"/>
  <c r="AY454" i="13" s="1"/>
  <c r="BL454" i="13" s="1"/>
  <c r="AY43" i="13"/>
  <c r="AY42" i="13"/>
  <c r="AX478" i="13"/>
  <c r="AX465" i="13"/>
  <c r="AV183" i="13"/>
  <c r="AV176" i="13"/>
  <c r="AV117" i="13"/>
  <c r="AV116" i="13"/>
  <c r="AW114" i="13"/>
  <c r="AV513" i="13"/>
  <c r="AV512" i="13"/>
  <c r="AV511" i="13"/>
  <c r="AV25" i="71"/>
  <c r="AV186" i="13"/>
  <c r="AV179" i="13"/>
  <c r="AV139" i="13"/>
  <c r="AW137" i="13"/>
  <c r="BL137" i="13"/>
  <c r="BL483" i="13"/>
  <c r="R485" i="13"/>
  <c r="R498" i="13"/>
  <c r="R472" i="13"/>
  <c r="R492" i="13"/>
  <c r="R496" i="13"/>
  <c r="R489" i="13"/>
  <c r="R497" i="13"/>
  <c r="R490" i="13"/>
  <c r="R491" i="13"/>
  <c r="R493" i="13"/>
  <c r="R494" i="13"/>
  <c r="R495" i="13"/>
  <c r="AY476" i="13"/>
  <c r="AY463" i="13"/>
  <c r="BK459" i="13"/>
  <c r="BG482" i="13"/>
  <c r="BH498" i="13"/>
  <c r="BH485" i="13"/>
  <c r="BH491" i="13"/>
  <c r="BH496" i="13"/>
  <c r="BH497" i="13"/>
  <c r="BH268" i="13"/>
  <c r="BH489" i="13"/>
  <c r="BH494" i="13"/>
  <c r="BH492" i="13"/>
  <c r="BH490" i="13"/>
  <c r="BH493" i="13"/>
  <c r="BI495" i="13"/>
  <c r="AY483" i="13"/>
  <c r="AY470" i="13"/>
  <c r="AV498" i="13"/>
  <c r="AV485" i="13"/>
  <c r="AV472" i="13"/>
  <c r="AV8" i="71"/>
  <c r="AV490" i="13"/>
  <c r="AV496" i="13"/>
  <c r="AV494" i="13"/>
  <c r="AV492" i="13"/>
  <c r="AV497" i="13"/>
  <c r="AV489" i="13"/>
  <c r="AV491" i="13"/>
  <c r="AV493" i="13"/>
  <c r="AW482" i="13"/>
  <c r="AW469" i="13"/>
  <c r="AW459" i="13"/>
  <c r="BN30" i="2"/>
  <c r="BN26" i="3" s="1"/>
  <c r="BN128" i="3" s="1"/>
  <c r="BL34" i="2"/>
  <c r="AY76" i="2"/>
  <c r="BK57" i="2"/>
  <c r="BK61" i="2" s="1"/>
  <c r="AV57" i="2"/>
  <c r="AU61" i="2"/>
  <c r="BN105" i="71"/>
  <c r="BN103" i="71" s="1"/>
  <c r="BM103" i="71"/>
  <c r="AJ96" i="71"/>
  <c r="AJ83" i="71"/>
  <c r="AJ90" i="71"/>
  <c r="BF92" i="71"/>
  <c r="BF80" i="71"/>
  <c r="BF86" i="71"/>
  <c r="R108" i="71"/>
  <c r="R97" i="71"/>
  <c r="AG129" i="71"/>
  <c r="BE129" i="71"/>
  <c r="P108" i="71"/>
  <c r="P97" i="71"/>
  <c r="AT96" i="71"/>
  <c r="AT83" i="71"/>
  <c r="AT90" i="71"/>
  <c r="AP108" i="71"/>
  <c r="AP97" i="71"/>
  <c r="P107" i="71"/>
  <c r="P110" i="71" s="1"/>
  <c r="P101" i="71"/>
  <c r="BE96" i="71"/>
  <c r="BE83" i="71"/>
  <c r="BE90" i="71"/>
  <c r="AF108" i="71"/>
  <c r="AF97" i="71"/>
  <c r="M108" i="71"/>
  <c r="M97" i="71"/>
  <c r="BI100" i="71"/>
  <c r="BI93" i="71"/>
  <c r="BA100" i="71"/>
  <c r="BA11" i="3" s="1"/>
  <c r="BA30" i="3" s="1"/>
  <c r="BA93" i="71"/>
  <c r="AD108" i="71"/>
  <c r="AD97" i="71"/>
  <c r="BE92" i="71"/>
  <c r="BE80" i="71"/>
  <c r="BE86" i="71"/>
  <c r="AM108" i="71"/>
  <c r="AM97" i="71"/>
  <c r="X100" i="71"/>
  <c r="X11" i="3" s="1"/>
  <c r="X93" i="71"/>
  <c r="BJ100" i="71"/>
  <c r="BJ93" i="71"/>
  <c r="AH96" i="71"/>
  <c r="AH83" i="71"/>
  <c r="AH90" i="71"/>
  <c r="BL73" i="71"/>
  <c r="BL77" i="71"/>
  <c r="AY77" i="71"/>
  <c r="AY73" i="71"/>
  <c r="V108" i="71"/>
  <c r="V97" i="71"/>
  <c r="F107" i="71"/>
  <c r="F110" i="71" s="1"/>
  <c r="F101" i="71"/>
  <c r="AM107" i="71"/>
  <c r="AM110" i="71" s="1"/>
  <c r="AM101" i="71"/>
  <c r="AS108" i="71"/>
  <c r="AS97" i="71"/>
  <c r="Y100" i="71"/>
  <c r="Y11" i="3" s="1"/>
  <c r="Y30" i="3" s="1"/>
  <c r="Y93" i="71"/>
  <c r="Z108" i="71"/>
  <c r="Z97" i="71"/>
  <c r="L107" i="71"/>
  <c r="L110" i="71" s="1"/>
  <c r="L101" i="71"/>
  <c r="BD100" i="71"/>
  <c r="BD11" i="3" s="1"/>
  <c r="BD93" i="71"/>
  <c r="AK137" i="71"/>
  <c r="AK139" i="71" s="1"/>
  <c r="AK113" i="71" s="1"/>
  <c r="AK112" i="71"/>
  <c r="BC100" i="71"/>
  <c r="BC11" i="3" s="1"/>
  <c r="BC30" i="3" s="1"/>
  <c r="BC93" i="71"/>
  <c r="T108" i="71"/>
  <c r="T97" i="71"/>
  <c r="AR96" i="71"/>
  <c r="AR83" i="71"/>
  <c r="AR90" i="71"/>
  <c r="BA108" i="71"/>
  <c r="BA112" i="71" s="1"/>
  <c r="BA97" i="71"/>
  <c r="BM138" i="71"/>
  <c r="BN138" i="71"/>
  <c r="BC96" i="71"/>
  <c r="BC83" i="71"/>
  <c r="BC90" i="71"/>
  <c r="AG137" i="71"/>
  <c r="AG139" i="71" s="1"/>
  <c r="AG113" i="71" s="1"/>
  <c r="AG112" i="71"/>
  <c r="AQ83" i="71"/>
  <c r="AQ96" i="71"/>
  <c r="AQ90" i="71"/>
  <c r="BJ96" i="71"/>
  <c r="BJ83" i="71"/>
  <c r="BJ90" i="71"/>
  <c r="H137" i="71"/>
  <c r="H112" i="71"/>
  <c r="N107" i="71"/>
  <c r="N110" i="71" s="1"/>
  <c r="N101" i="71"/>
  <c r="S137" i="71"/>
  <c r="S139" i="71" s="1"/>
  <c r="S112" i="71"/>
  <c r="N108" i="71"/>
  <c r="N97" i="71"/>
  <c r="AI108" i="71"/>
  <c r="AI97" i="71"/>
  <c r="Q108" i="71"/>
  <c r="Q97" i="71"/>
  <c r="AA108" i="71"/>
  <c r="AA97" i="71"/>
  <c r="Y83" i="71"/>
  <c r="Y96" i="71"/>
  <c r="Y90" i="71"/>
  <c r="AN108" i="71"/>
  <c r="AN97" i="71"/>
  <c r="BB96" i="71"/>
  <c r="BB83" i="71"/>
  <c r="BB90" i="71"/>
  <c r="J107" i="71"/>
  <c r="J110" i="71" s="1"/>
  <c r="J101" i="71"/>
  <c r="K137" i="71"/>
  <c r="K139" i="71" s="1"/>
  <c r="K112" i="71"/>
  <c r="H107" i="71"/>
  <c r="H110" i="71" s="1"/>
  <c r="H101" i="71"/>
  <c r="AN107" i="71"/>
  <c r="AN110" i="71" s="1"/>
  <c r="AN101" i="71"/>
  <c r="L108" i="71"/>
  <c r="L97" i="71"/>
  <c r="BH108" i="71"/>
  <c r="BH112" i="71" s="1"/>
  <c r="BH97" i="71"/>
  <c r="BG108" i="71"/>
  <c r="BG112" i="71" s="1"/>
  <c r="BG97" i="71"/>
  <c r="BH107" i="71"/>
  <c r="BH110" i="71" s="1"/>
  <c r="BH101" i="71"/>
  <c r="AC137" i="71"/>
  <c r="AC139" i="71" s="1"/>
  <c r="AC113" i="71" s="1"/>
  <c r="AC112" i="71"/>
  <c r="X108" i="71"/>
  <c r="X97" i="71"/>
  <c r="AL108" i="71"/>
  <c r="AL97" i="71"/>
  <c r="W137" i="71"/>
  <c r="W139" i="71" s="1"/>
  <c r="W112" i="71"/>
  <c r="AB108" i="71"/>
  <c r="AB97" i="71"/>
  <c r="F108" i="71"/>
  <c r="F112" i="71" s="1"/>
  <c r="F97" i="71"/>
  <c r="AX126" i="71"/>
  <c r="AX124" i="71"/>
  <c r="AY122" i="71"/>
  <c r="BL122" i="71" s="1"/>
  <c r="BF96" i="71"/>
  <c r="BF83" i="71"/>
  <c r="BF90" i="71"/>
  <c r="BB100" i="71"/>
  <c r="BB11" i="3" s="1"/>
  <c r="BB30" i="3" s="1"/>
  <c r="BB93" i="71"/>
  <c r="O108" i="71"/>
  <c r="O97" i="71"/>
  <c r="U108" i="71"/>
  <c r="U97" i="71"/>
  <c r="BD96" i="71"/>
  <c r="BD83" i="71"/>
  <c r="BD90" i="71"/>
  <c r="V100" i="71"/>
  <c r="V11" i="3" s="1"/>
  <c r="V30" i="3" s="1"/>
  <c r="V93" i="71"/>
  <c r="BG100" i="71"/>
  <c r="BG11" i="3" s="1"/>
  <c r="BG93" i="71"/>
  <c r="J108" i="71"/>
  <c r="J97" i="71"/>
  <c r="AE108" i="71"/>
  <c r="AE97" i="71"/>
  <c r="AO83" i="71"/>
  <c r="AO96" i="71"/>
  <c r="AO90" i="71"/>
  <c r="R107" i="71"/>
  <c r="R110" i="71" s="1"/>
  <c r="R101" i="71"/>
  <c r="BI108" i="71"/>
  <c r="BI112" i="71" s="1"/>
  <c r="BI97" i="71"/>
  <c r="D107" i="71"/>
  <c r="D110" i="71" s="1"/>
  <c r="D101" i="71"/>
  <c r="T107" i="71"/>
  <c r="T110" i="71" s="1"/>
  <c r="T101" i="71"/>
  <c r="I137" i="71"/>
  <c r="I139" i="71" s="1"/>
  <c r="I112" i="71"/>
  <c r="BI53" i="3" l="1"/>
  <c r="AX25" i="71"/>
  <c r="AX513" i="13"/>
  <c r="AX511" i="13"/>
  <c r="AX512" i="13"/>
  <c r="BN24" i="13"/>
  <c r="BN27" i="13" s="1"/>
  <c r="BM27" i="13"/>
  <c r="BL452" i="13"/>
  <c r="BL478" i="13" s="1"/>
  <c r="AW495" i="13"/>
  <c r="BD495" i="13"/>
  <c r="BL143" i="3"/>
  <c r="BL148" i="3" s="1"/>
  <c r="AY148" i="3"/>
  <c r="BG30" i="3"/>
  <c r="V53" i="3"/>
  <c r="V87" i="3"/>
  <c r="BC87" i="3"/>
  <c r="BC53" i="3"/>
  <c r="BD30" i="3"/>
  <c r="Y87" i="3"/>
  <c r="Y53" i="3"/>
  <c r="X113" i="3"/>
  <c r="X30" i="3"/>
  <c r="AI113" i="3"/>
  <c r="AH132" i="3"/>
  <c r="AH155" i="3" s="1"/>
  <c r="BJ87" i="3"/>
  <c r="BJ53" i="3"/>
  <c r="H87" i="3"/>
  <c r="H53" i="3"/>
  <c r="P87" i="3"/>
  <c r="P53" i="3"/>
  <c r="BH87" i="3"/>
  <c r="BH53" i="3"/>
  <c r="U113" i="3"/>
  <c r="T132" i="3"/>
  <c r="T155" i="3" s="1"/>
  <c r="E113" i="3"/>
  <c r="D132" i="3"/>
  <c r="D155" i="3" s="1"/>
  <c r="D156" i="3" s="1"/>
  <c r="D159" i="3" s="1"/>
  <c r="L53" i="3"/>
  <c r="L87" i="3"/>
  <c r="AY117" i="3"/>
  <c r="BL117" i="3" s="1"/>
  <c r="BL15" i="3"/>
  <c r="BM15" i="3" s="1"/>
  <c r="BB87" i="3"/>
  <c r="BB53" i="3"/>
  <c r="BA87" i="3"/>
  <c r="BA53" i="3"/>
  <c r="BA54" i="3" s="1"/>
  <c r="AT113" i="3"/>
  <c r="AT132" i="3" s="1"/>
  <c r="AT155" i="3" s="1"/>
  <c r="AS132" i="3"/>
  <c r="AS155" i="3" s="1"/>
  <c r="AN87" i="3"/>
  <c r="AN53" i="3"/>
  <c r="AO113" i="3"/>
  <c r="AN132" i="3"/>
  <c r="AN155" i="3" s="1"/>
  <c r="I113" i="3"/>
  <c r="H132" i="3"/>
  <c r="H155" i="3" s="1"/>
  <c r="Q113" i="3"/>
  <c r="P132" i="3"/>
  <c r="P155" i="3" s="1"/>
  <c r="AQ64" i="2"/>
  <c r="AP66" i="2"/>
  <c r="AP69" i="2" s="1"/>
  <c r="AK132" i="3"/>
  <c r="AK155" i="3" s="1"/>
  <c r="AL113" i="3"/>
  <c r="AC132" i="3"/>
  <c r="AC155" i="3" s="1"/>
  <c r="AD113" i="3"/>
  <c r="T53" i="3"/>
  <c r="T87" i="3"/>
  <c r="D53" i="3"/>
  <c r="D54" i="3" s="1"/>
  <c r="D87" i="3"/>
  <c r="M113" i="3"/>
  <c r="L132" i="3"/>
  <c r="L155" i="3" s="1"/>
  <c r="BN123" i="71"/>
  <c r="BM103" i="3"/>
  <c r="BM98" i="3" s="1"/>
  <c r="BL480" i="13"/>
  <c r="BL117" i="13"/>
  <c r="BG331" i="13"/>
  <c r="BG314" i="13"/>
  <c r="BG261" i="13"/>
  <c r="BG324" i="13"/>
  <c r="BG340" i="13"/>
  <c r="AW498" i="13"/>
  <c r="AW485" i="13"/>
  <c r="AW472" i="13"/>
  <c r="AW8" i="71"/>
  <c r="AW23" i="71" s="1"/>
  <c r="AW497" i="13"/>
  <c r="AW494" i="13"/>
  <c r="AW492" i="13"/>
  <c r="AW496" i="13"/>
  <c r="AW490" i="13"/>
  <c r="AW489" i="13"/>
  <c r="AW491" i="13"/>
  <c r="AW493" i="13"/>
  <c r="AV62" i="3"/>
  <c r="AV33" i="3" s="1"/>
  <c r="AV52" i="2"/>
  <c r="AV12" i="2" s="1"/>
  <c r="AV9" i="71"/>
  <c r="AV10" i="71"/>
  <c r="BK498" i="13"/>
  <c r="BK485" i="13"/>
  <c r="BK268" i="13"/>
  <c r="BK497" i="13"/>
  <c r="BK496" i="13"/>
  <c r="BK492" i="13"/>
  <c r="BK490" i="13"/>
  <c r="BK494" i="13"/>
  <c r="BK491" i="13"/>
  <c r="BK489" i="13"/>
  <c r="BK493" i="13"/>
  <c r="BK495" i="13"/>
  <c r="AW186" i="13"/>
  <c r="AW179" i="13"/>
  <c r="AW139" i="13"/>
  <c r="AX137" i="13"/>
  <c r="AV22" i="71"/>
  <c r="AV26" i="71"/>
  <c r="AW183" i="13"/>
  <c r="AW176" i="13"/>
  <c r="AW117" i="13"/>
  <c r="AW116" i="13"/>
  <c r="AX114" i="13"/>
  <c r="AY478" i="13"/>
  <c r="AY465" i="13"/>
  <c r="BM457" i="13"/>
  <c r="BN351" i="13"/>
  <c r="AH75" i="13"/>
  <c r="AH70" i="13"/>
  <c r="BN450" i="13"/>
  <c r="AY501" i="13"/>
  <c r="AY18" i="13"/>
  <c r="AY17" i="13"/>
  <c r="BM479" i="13"/>
  <c r="BM466" i="13"/>
  <c r="BK22" i="71"/>
  <c r="BF498" i="13"/>
  <c r="BF485" i="13"/>
  <c r="BF491" i="13"/>
  <c r="BF496" i="13"/>
  <c r="BF489" i="13"/>
  <c r="BF497" i="13"/>
  <c r="BF492" i="13"/>
  <c r="BF490" i="13"/>
  <c r="BF493" i="13"/>
  <c r="BF494" i="13"/>
  <c r="BL16" i="13"/>
  <c r="BL43" i="13" s="1"/>
  <c r="AX469" i="13"/>
  <c r="AX459" i="13"/>
  <c r="AX482" i="13"/>
  <c r="BM176" i="13"/>
  <c r="BM116" i="13"/>
  <c r="BM117" i="13"/>
  <c r="BN114" i="13"/>
  <c r="AY467" i="13"/>
  <c r="AY480" i="13"/>
  <c r="AY456" i="13"/>
  <c r="BL456" i="13" s="1"/>
  <c r="BL140" i="13"/>
  <c r="BL139" i="13"/>
  <c r="BM137" i="13"/>
  <c r="BH73" i="13"/>
  <c r="BH68" i="13"/>
  <c r="AI182" i="13"/>
  <c r="AI175" i="13"/>
  <c r="AI73" i="13"/>
  <c r="AJ63" i="13"/>
  <c r="AW19" i="71"/>
  <c r="BL479" i="13"/>
  <c r="AX22" i="71"/>
  <c r="BL477" i="13"/>
  <c r="BM451" i="13"/>
  <c r="BN32" i="13"/>
  <c r="BM476" i="13"/>
  <c r="BM463" i="13"/>
  <c r="BN453" i="13"/>
  <c r="BN51" i="13"/>
  <c r="BK8" i="71"/>
  <c r="BE498" i="13"/>
  <c r="BE485" i="13"/>
  <c r="BE496" i="13"/>
  <c r="BE497" i="13"/>
  <c r="BE491" i="13"/>
  <c r="BE489" i="13"/>
  <c r="BE492" i="13"/>
  <c r="BE490" i="13"/>
  <c r="BE493" i="13"/>
  <c r="BE494" i="13"/>
  <c r="BL42" i="13"/>
  <c r="BM40" i="13"/>
  <c r="BM146" i="13" s="1"/>
  <c r="AH185" i="13"/>
  <c r="AH178" i="13"/>
  <c r="AH79" i="13"/>
  <c r="AH74" i="13"/>
  <c r="AI64" i="13"/>
  <c r="AX503" i="13"/>
  <c r="AX502" i="13"/>
  <c r="AE325" i="13"/>
  <c r="BG325" i="13" s="1"/>
  <c r="AE331" i="13"/>
  <c r="AE314" i="13"/>
  <c r="AE262" i="13"/>
  <c r="AF252" i="13"/>
  <c r="AE311" i="13"/>
  <c r="BG311" i="13" s="1"/>
  <c r="AE257" i="13"/>
  <c r="AE324" i="13"/>
  <c r="AE340" i="13"/>
  <c r="BL215" i="13"/>
  <c r="BM34" i="2"/>
  <c r="BM41" i="3" s="1"/>
  <c r="AV61" i="2"/>
  <c r="AW57" i="2"/>
  <c r="BL76" i="2"/>
  <c r="AO108" i="71"/>
  <c r="AO97" i="71"/>
  <c r="BG107" i="71"/>
  <c r="BG110" i="71" s="1"/>
  <c r="BG101" i="71"/>
  <c r="V107" i="71"/>
  <c r="V110" i="71" s="1"/>
  <c r="V101" i="71"/>
  <c r="BF108" i="71"/>
  <c r="BF112" i="71" s="1"/>
  <c r="BF97" i="71"/>
  <c r="AY126" i="71"/>
  <c r="AY124" i="71"/>
  <c r="BB108" i="71"/>
  <c r="BB112" i="71" s="1"/>
  <c r="BB97" i="71"/>
  <c r="AN137" i="71"/>
  <c r="AN112" i="71"/>
  <c r="Y108" i="71"/>
  <c r="Y97" i="71"/>
  <c r="AI137" i="71"/>
  <c r="AI139" i="71" s="1"/>
  <c r="AI113" i="71" s="1"/>
  <c r="AI112" i="71"/>
  <c r="N137" i="71"/>
  <c r="N139" i="71" s="1"/>
  <c r="N112" i="71"/>
  <c r="H139" i="71"/>
  <c r="AQ108" i="71"/>
  <c r="AQ97" i="71"/>
  <c r="BC108" i="71"/>
  <c r="BC112" i="71" s="1"/>
  <c r="BC97" i="71"/>
  <c r="T137" i="71"/>
  <c r="T112" i="71"/>
  <c r="BC107" i="71"/>
  <c r="BC110" i="71" s="1"/>
  <c r="BC101" i="71"/>
  <c r="BD107" i="71"/>
  <c r="BD110" i="71" s="1"/>
  <c r="BD101" i="71"/>
  <c r="Z137" i="71"/>
  <c r="Z139" i="71" s="1"/>
  <c r="Z113" i="71" s="1"/>
  <c r="Z112" i="71"/>
  <c r="Y101" i="71"/>
  <c r="Y107" i="71"/>
  <c r="Y110" i="71" s="1"/>
  <c r="AS137" i="71"/>
  <c r="AS139" i="71" s="1"/>
  <c r="AS113" i="71" s="1"/>
  <c r="AS112" i="71"/>
  <c r="V137" i="71"/>
  <c r="V139" i="71" s="1"/>
  <c r="V112" i="71"/>
  <c r="AH108" i="71"/>
  <c r="AH97" i="71"/>
  <c r="BJ107" i="71"/>
  <c r="BJ110" i="71" s="1"/>
  <c r="BJ101" i="71"/>
  <c r="X107" i="71"/>
  <c r="X110" i="71" s="1"/>
  <c r="X101" i="71"/>
  <c r="AM137" i="71"/>
  <c r="AM139" i="71" s="1"/>
  <c r="AM113" i="71" s="1"/>
  <c r="AM112" i="71"/>
  <c r="BA107" i="71"/>
  <c r="BA110" i="71" s="1"/>
  <c r="BA101" i="71"/>
  <c r="BI107" i="71"/>
  <c r="BI110" i="71" s="1"/>
  <c r="BI101" i="71"/>
  <c r="M137" i="71"/>
  <c r="M139" i="71" s="1"/>
  <c r="M112" i="71"/>
  <c r="AF137" i="71"/>
  <c r="AF112" i="71"/>
  <c r="AT108" i="71"/>
  <c r="AT97" i="71"/>
  <c r="P137" i="71"/>
  <c r="P112" i="71"/>
  <c r="BF129" i="71"/>
  <c r="AH129" i="71"/>
  <c r="R137" i="71"/>
  <c r="R139" i="71" s="1"/>
  <c r="R112" i="71"/>
  <c r="AJ108" i="71"/>
  <c r="AJ97" i="71"/>
  <c r="AE137" i="71"/>
  <c r="AE139" i="71" s="1"/>
  <c r="AE113" i="71" s="1"/>
  <c r="AE112" i="71"/>
  <c r="J137" i="71"/>
  <c r="J139" i="71" s="1"/>
  <c r="J112" i="71"/>
  <c r="BD108" i="71"/>
  <c r="BD112" i="71" s="1"/>
  <c r="BD97" i="71"/>
  <c r="U137" i="71"/>
  <c r="U139" i="71" s="1"/>
  <c r="U112" i="71"/>
  <c r="O137" i="71"/>
  <c r="O139" i="71" s="1"/>
  <c r="O112" i="71"/>
  <c r="BB107" i="71"/>
  <c r="BB110" i="71" s="1"/>
  <c r="BB101" i="71"/>
  <c r="BL124" i="71"/>
  <c r="BM122" i="71"/>
  <c r="AB137" i="71"/>
  <c r="AB112" i="71"/>
  <c r="AL137" i="71"/>
  <c r="AL139" i="71" s="1"/>
  <c r="AL113" i="71" s="1"/>
  <c r="AL112" i="71"/>
  <c r="X137" i="71"/>
  <c r="X112" i="71"/>
  <c r="L137" i="71"/>
  <c r="L112" i="71"/>
  <c r="AA137" i="71"/>
  <c r="AA139" i="71" s="1"/>
  <c r="AA113" i="71" s="1"/>
  <c r="AA112" i="71"/>
  <c r="Q137" i="71"/>
  <c r="Q139" i="71" s="1"/>
  <c r="Q112" i="71"/>
  <c r="BJ108" i="71"/>
  <c r="BJ112" i="71" s="1"/>
  <c r="BJ97" i="71"/>
  <c r="AR108" i="71"/>
  <c r="AR97" i="71"/>
  <c r="BM77" i="71"/>
  <c r="BM73" i="71"/>
  <c r="BE100" i="71"/>
  <c r="BE11" i="3" s="1"/>
  <c r="BE93" i="71"/>
  <c r="AD137" i="71"/>
  <c r="AD139" i="71" s="1"/>
  <c r="AD113" i="71" s="1"/>
  <c r="AD112" i="71"/>
  <c r="BE108" i="71"/>
  <c r="BE112" i="71" s="1"/>
  <c r="BE97" i="71"/>
  <c r="AP137" i="71"/>
  <c r="AP139" i="71" s="1"/>
  <c r="AP113" i="71" s="1"/>
  <c r="AP112" i="71"/>
  <c r="BF100" i="71"/>
  <c r="BF11" i="3" s="1"/>
  <c r="BF93" i="71"/>
  <c r="BN177" i="13" l="1"/>
  <c r="BL216" i="13"/>
  <c r="BM216" i="13" s="1"/>
  <c r="BN216" i="13" s="1"/>
  <c r="BM143" i="3"/>
  <c r="BM148" i="3" s="1"/>
  <c r="BM46" i="3"/>
  <c r="BF30" i="3"/>
  <c r="BE30" i="3"/>
  <c r="AE113" i="3"/>
  <c r="AD132" i="3"/>
  <c r="AD155" i="3" s="1"/>
  <c r="AL132" i="3"/>
  <c r="AL155" i="3" s="1"/>
  <c r="AM113" i="3"/>
  <c r="BM117" i="3"/>
  <c r="BN15" i="3"/>
  <c r="BN117" i="3" s="1"/>
  <c r="BM60" i="2"/>
  <c r="X87" i="3"/>
  <c r="X53" i="3"/>
  <c r="BD87" i="3"/>
  <c r="BD53" i="3"/>
  <c r="BG87" i="3"/>
  <c r="BG53" i="3"/>
  <c r="BB137" i="71"/>
  <c r="BB139" i="71" s="1"/>
  <c r="BB113" i="71" s="1"/>
  <c r="M132" i="3"/>
  <c r="M155" i="3" s="1"/>
  <c r="N113" i="3"/>
  <c r="E51" i="3"/>
  <c r="E54" i="3" s="1"/>
  <c r="D57" i="3"/>
  <c r="BJ64" i="2"/>
  <c r="BJ66" i="2" s="1"/>
  <c r="BJ69" i="2" s="1"/>
  <c r="AQ66" i="2"/>
  <c r="AQ69" i="2" s="1"/>
  <c r="AR64" i="2"/>
  <c r="Q132" i="3"/>
  <c r="Q155" i="3" s="1"/>
  <c r="R113" i="3"/>
  <c r="I132" i="3"/>
  <c r="I155" i="3" s="1"/>
  <c r="J113" i="3"/>
  <c r="AP113" i="3"/>
  <c r="AO132" i="3"/>
  <c r="AO155" i="3" s="1"/>
  <c r="BA57" i="3"/>
  <c r="BB51" i="3"/>
  <c r="BB54" i="3" s="1"/>
  <c r="E132" i="3"/>
  <c r="E155" i="3" s="1"/>
  <c r="E156" i="3" s="1"/>
  <c r="E159" i="3" s="1"/>
  <c r="F113" i="3"/>
  <c r="U132" i="3"/>
  <c r="U155" i="3" s="1"/>
  <c r="V113" i="3"/>
  <c r="BH113" i="3"/>
  <c r="BH132" i="3" s="1"/>
  <c r="BH155" i="3" s="1"/>
  <c r="AI132" i="3"/>
  <c r="AI155" i="3" s="1"/>
  <c r="Y113" i="3"/>
  <c r="X132" i="3"/>
  <c r="X155" i="3" s="1"/>
  <c r="BN103" i="3"/>
  <c r="BN98" i="3" s="1"/>
  <c r="BM215" i="13"/>
  <c r="BM510" i="13" s="1"/>
  <c r="BM184" i="13"/>
  <c r="BM183" i="13"/>
  <c r="BL482" i="13"/>
  <c r="BK12" i="71"/>
  <c r="BK13" i="71" s="1"/>
  <c r="BK12" i="2"/>
  <c r="AV21" i="3"/>
  <c r="BK17" i="71"/>
  <c r="BM16" i="13"/>
  <c r="BN451" i="13"/>
  <c r="AX19" i="71"/>
  <c r="AJ182" i="13"/>
  <c r="AJ175" i="13"/>
  <c r="AJ73" i="13"/>
  <c r="AK63" i="13"/>
  <c r="BM179" i="13"/>
  <c r="BM186" i="13"/>
  <c r="BM139" i="13"/>
  <c r="BN137" i="13"/>
  <c r="BN176" i="13"/>
  <c r="BN117" i="13"/>
  <c r="BN116" i="13"/>
  <c r="AX485" i="13"/>
  <c r="AX498" i="13"/>
  <c r="AX472" i="13"/>
  <c r="AX8" i="71"/>
  <c r="AX497" i="13"/>
  <c r="AX494" i="13"/>
  <c r="AX496" i="13"/>
  <c r="AX490" i="13"/>
  <c r="AX489" i="13"/>
  <c r="AX492" i="13"/>
  <c r="AX493" i="13"/>
  <c r="AX491" i="13"/>
  <c r="AX495" i="13"/>
  <c r="BK23" i="71"/>
  <c r="AU505" i="13"/>
  <c r="BK19" i="71"/>
  <c r="BK20" i="71" s="1"/>
  <c r="AY503" i="13"/>
  <c r="AY502" i="13"/>
  <c r="AX186" i="13"/>
  <c r="AX179" i="13"/>
  <c r="AX139" i="13"/>
  <c r="AY137" i="13"/>
  <c r="AV135" i="3"/>
  <c r="AV38" i="3"/>
  <c r="AY513" i="13"/>
  <c r="AY512" i="13"/>
  <c r="AY511" i="13"/>
  <c r="AY25" i="71"/>
  <c r="BL510" i="13"/>
  <c r="BL505" i="13"/>
  <c r="AF331" i="13"/>
  <c r="AF325" i="13"/>
  <c r="AG252" i="13"/>
  <c r="AF324" i="13"/>
  <c r="AF340" i="13"/>
  <c r="AI185" i="13"/>
  <c r="AI178" i="13"/>
  <c r="AJ64" i="13"/>
  <c r="AI74" i="13"/>
  <c r="BH64" i="13"/>
  <c r="BM452" i="13"/>
  <c r="BM43" i="13"/>
  <c r="BN40" i="13"/>
  <c r="BN16" i="13" s="1"/>
  <c r="BK10" i="71"/>
  <c r="BK26" i="71"/>
  <c r="AU80" i="3"/>
  <c r="AU77" i="3" s="1"/>
  <c r="AU83" i="3" s="1"/>
  <c r="BN479" i="13"/>
  <c r="BN466" i="13"/>
  <c r="BM477" i="13"/>
  <c r="BM464" i="13"/>
  <c r="AW505" i="13"/>
  <c r="AW20" i="71"/>
  <c r="AI65" i="13"/>
  <c r="AI79" i="13" s="1"/>
  <c r="AY482" i="13"/>
  <c r="AY469" i="13"/>
  <c r="AY459" i="13"/>
  <c r="BL501" i="13"/>
  <c r="BL18" i="13"/>
  <c r="BL51" i="13"/>
  <c r="BL27" i="13"/>
  <c r="BL35" i="13"/>
  <c r="BN476" i="13"/>
  <c r="BN463" i="13"/>
  <c r="BN457" i="13"/>
  <c r="BM483" i="13"/>
  <c r="BM470" i="13"/>
  <c r="AX183" i="13"/>
  <c r="AX176" i="13"/>
  <c r="AX117" i="13"/>
  <c r="AX116" i="13"/>
  <c r="AY114" i="13"/>
  <c r="AV19" i="71"/>
  <c r="AV23" i="71"/>
  <c r="AV17" i="71"/>
  <c r="AV53" i="2" s="1"/>
  <c r="AW52" i="2"/>
  <c r="AW12" i="2" s="1"/>
  <c r="AW10" i="71"/>
  <c r="AW62" i="3"/>
  <c r="AW33" i="3" s="1"/>
  <c r="AW38" i="3" s="1"/>
  <c r="AW9" i="71"/>
  <c r="AW17" i="71"/>
  <c r="AW53" i="2" s="1"/>
  <c r="AW12" i="71"/>
  <c r="AW13" i="71" s="1"/>
  <c r="AW26" i="71"/>
  <c r="AX57" i="2"/>
  <c r="AW61" i="2"/>
  <c r="BN34" i="2"/>
  <c r="BN41" i="3" s="1"/>
  <c r="BF107" i="71"/>
  <c r="BF110" i="71" s="1"/>
  <c r="BF101" i="71"/>
  <c r="BE107" i="71"/>
  <c r="BE110" i="71" s="1"/>
  <c r="BE101" i="71"/>
  <c r="BN73" i="71"/>
  <c r="BN77" i="71"/>
  <c r="BM126" i="71"/>
  <c r="BN122" i="71"/>
  <c r="BM124" i="71"/>
  <c r="BD137" i="71"/>
  <c r="BD139" i="71" s="1"/>
  <c r="BD113" i="71" s="1"/>
  <c r="P139" i="71"/>
  <c r="AT137" i="71"/>
  <c r="AT139" i="71" s="1"/>
  <c r="AT112" i="71"/>
  <c r="AF139" i="71"/>
  <c r="AF113" i="71" s="1"/>
  <c r="Y137" i="71"/>
  <c r="Y139" i="71" s="1"/>
  <c r="Y113" i="71" s="1"/>
  <c r="Y112" i="71"/>
  <c r="AN139" i="71"/>
  <c r="AN113" i="71" s="1"/>
  <c r="AR137" i="71"/>
  <c r="AR112" i="71"/>
  <c r="L139" i="71"/>
  <c r="BC137" i="71"/>
  <c r="BC139" i="71" s="1"/>
  <c r="BC113" i="71" s="1"/>
  <c r="X139" i="71"/>
  <c r="X113" i="71" s="1"/>
  <c r="AB139" i="71"/>
  <c r="AB113" i="71" s="1"/>
  <c r="BG137" i="71"/>
  <c r="BG139" i="71" s="1"/>
  <c r="BG113" i="71" s="1"/>
  <c r="AJ137" i="71"/>
  <c r="AJ112" i="71"/>
  <c r="AI129" i="71"/>
  <c r="BG129" i="71"/>
  <c r="AH137" i="71"/>
  <c r="AH139" i="71" s="1"/>
  <c r="AH113" i="71" s="1"/>
  <c r="AH112" i="71"/>
  <c r="T139" i="71"/>
  <c r="BE137" i="71"/>
  <c r="BE139" i="71" s="1"/>
  <c r="BE113" i="71" s="1"/>
  <c r="AQ137" i="71"/>
  <c r="AQ139" i="71" s="1"/>
  <c r="AQ113" i="71" s="1"/>
  <c r="AQ112" i="71"/>
  <c r="AO137" i="71"/>
  <c r="AO139" i="71" s="1"/>
  <c r="AO113" i="71" s="1"/>
  <c r="AO112" i="71"/>
  <c r="BL459" i="13" l="1"/>
  <c r="BL494" i="13" s="1"/>
  <c r="AY495" i="13"/>
  <c r="BN143" i="3"/>
  <c r="BN148" i="3" s="1"/>
  <c r="BN46" i="3"/>
  <c r="BN60" i="2"/>
  <c r="Y132" i="3"/>
  <c r="Y155" i="3" s="1"/>
  <c r="Z113" i="3"/>
  <c r="AQ113" i="3"/>
  <c r="AP132" i="3"/>
  <c r="AP155" i="3" s="1"/>
  <c r="O113" i="3"/>
  <c r="N132" i="3"/>
  <c r="N155" i="3" s="1"/>
  <c r="AM132" i="3"/>
  <c r="AM155" i="3" s="1"/>
  <c r="BI113" i="3"/>
  <c r="BI132" i="3" s="1"/>
  <c r="BI155" i="3" s="1"/>
  <c r="BE87" i="3"/>
  <c r="BE53" i="3"/>
  <c r="BF87" i="3"/>
  <c r="BF53" i="3"/>
  <c r="BF137" i="71"/>
  <c r="BF139" i="71" s="1"/>
  <c r="BF113" i="71" s="1"/>
  <c r="AT113" i="71"/>
  <c r="W113" i="3"/>
  <c r="V132" i="3"/>
  <c r="V155" i="3" s="1"/>
  <c r="G113" i="3"/>
  <c r="F132" i="3"/>
  <c r="F155" i="3" s="1"/>
  <c r="F156" i="3" s="1"/>
  <c r="F159" i="3" s="1"/>
  <c r="BB57" i="3"/>
  <c r="BC51" i="3"/>
  <c r="BC54" i="3" s="1"/>
  <c r="K113" i="3"/>
  <c r="J132" i="3"/>
  <c r="J155" i="3" s="1"/>
  <c r="S113" i="3"/>
  <c r="R132" i="3"/>
  <c r="R155" i="3" s="1"/>
  <c r="AR66" i="2"/>
  <c r="AR69" i="2" s="1"/>
  <c r="AS64" i="2"/>
  <c r="E57" i="3"/>
  <c r="F51" i="3"/>
  <c r="F54" i="3" s="1"/>
  <c r="AE132" i="3"/>
  <c r="AE155" i="3" s="1"/>
  <c r="BG113" i="3"/>
  <c r="BG132" i="3" s="1"/>
  <c r="BG155" i="3" s="1"/>
  <c r="AW27" i="2"/>
  <c r="AW15" i="2"/>
  <c r="AV15" i="2"/>
  <c r="AV27" i="2"/>
  <c r="AY183" i="13"/>
  <c r="AY176" i="13"/>
  <c r="AY117" i="13"/>
  <c r="AY116" i="13"/>
  <c r="BN483" i="13"/>
  <c r="BN470" i="13"/>
  <c r="BL503" i="13"/>
  <c r="BL502" i="13"/>
  <c r="BK33" i="3"/>
  <c r="AU135" i="3"/>
  <c r="BN452" i="13"/>
  <c r="BN43" i="13"/>
  <c r="BH74" i="13"/>
  <c r="BH69" i="13"/>
  <c r="AG325" i="13"/>
  <c r="AH252" i="13"/>
  <c r="AG331" i="13"/>
  <c r="AG324" i="13"/>
  <c r="AG340" i="13"/>
  <c r="BL508" i="13"/>
  <c r="BL506" i="13"/>
  <c r="BL507" i="13"/>
  <c r="AY22" i="71"/>
  <c r="BL25" i="71"/>
  <c r="AY186" i="13"/>
  <c r="AY179" i="13"/>
  <c r="AY139" i="13"/>
  <c r="BN146" i="13"/>
  <c r="AU508" i="13"/>
  <c r="AU507" i="13"/>
  <c r="AU506" i="13"/>
  <c r="AX52" i="2"/>
  <c r="AX12" i="2" s="1"/>
  <c r="AX9" i="71"/>
  <c r="AX10" i="71"/>
  <c r="AX62" i="3"/>
  <c r="AX33" i="3" s="1"/>
  <c r="AX38" i="3" s="1"/>
  <c r="AX17" i="71"/>
  <c r="AX53" i="2" s="1"/>
  <c r="AX12" i="71"/>
  <c r="AX13" i="71" s="1"/>
  <c r="AX26" i="71"/>
  <c r="AK182" i="13"/>
  <c r="AK175" i="13"/>
  <c r="AK78" i="13"/>
  <c r="AK73" i="13"/>
  <c r="AK64" i="13"/>
  <c r="AL63" i="13"/>
  <c r="AX23" i="71"/>
  <c r="BM501" i="13"/>
  <c r="BM17" i="13"/>
  <c r="AU123" i="3"/>
  <c r="BK123" i="3" s="1"/>
  <c r="BK21" i="3"/>
  <c r="AV46" i="71"/>
  <c r="BK46" i="71"/>
  <c r="AW21" i="3"/>
  <c r="AV505" i="13"/>
  <c r="AW507" i="13" s="1"/>
  <c r="AV20" i="71"/>
  <c r="AV12" i="71"/>
  <c r="BN501" i="13"/>
  <c r="BN17" i="13"/>
  <c r="AY498" i="13"/>
  <c r="AY485" i="13"/>
  <c r="AY472" i="13"/>
  <c r="AY8" i="71"/>
  <c r="AY494" i="13"/>
  <c r="AY497" i="13"/>
  <c r="AY496" i="13"/>
  <c r="AY490" i="13"/>
  <c r="AY492" i="13"/>
  <c r="AY489" i="13"/>
  <c r="AY491" i="13"/>
  <c r="AY493" i="13"/>
  <c r="AI75" i="13"/>
  <c r="AI70" i="13"/>
  <c r="BH65" i="13"/>
  <c r="AI78" i="13"/>
  <c r="AW508" i="13"/>
  <c r="AW506" i="13"/>
  <c r="AV66" i="3"/>
  <c r="BM478" i="13"/>
  <c r="BM465" i="13"/>
  <c r="AJ185" i="13"/>
  <c r="AJ178" i="13"/>
  <c r="AJ74" i="13"/>
  <c r="BL533" i="13"/>
  <c r="BL512" i="13"/>
  <c r="BL513" i="13"/>
  <c r="BL511" i="13"/>
  <c r="AV140" i="3"/>
  <c r="AW135" i="3"/>
  <c r="BN179" i="13"/>
  <c r="BN139" i="13"/>
  <c r="AJ65" i="13"/>
  <c r="AX505" i="13"/>
  <c r="AX20" i="71"/>
  <c r="BN477" i="13"/>
  <c r="BN464" i="13"/>
  <c r="AV123" i="3"/>
  <c r="BK33" i="71"/>
  <c r="AV33" i="71"/>
  <c r="BM454" i="13"/>
  <c r="BM533" i="13"/>
  <c r="BM513" i="13"/>
  <c r="BM512" i="13"/>
  <c r="AX61" i="2"/>
  <c r="AY57" i="2"/>
  <c r="BH129" i="71"/>
  <c r="AJ129" i="71"/>
  <c r="AJ139" i="71"/>
  <c r="AJ113" i="71" s="1"/>
  <c r="BI137" i="71"/>
  <c r="BI139" i="71" s="1"/>
  <c r="BI113" i="71" s="1"/>
  <c r="AR139" i="71"/>
  <c r="AR113" i="71" s="1"/>
  <c r="BJ137" i="71"/>
  <c r="BJ139" i="71" s="1"/>
  <c r="BJ113" i="71" s="1"/>
  <c r="BH137" i="71"/>
  <c r="BH139" i="71" s="1"/>
  <c r="BH113" i="71" s="1"/>
  <c r="BN126" i="71"/>
  <c r="BN124" i="71"/>
  <c r="BL497" i="13" l="1"/>
  <c r="BL491" i="13"/>
  <c r="BL485" i="13"/>
  <c r="BL492" i="13"/>
  <c r="BL496" i="13"/>
  <c r="BL490" i="13"/>
  <c r="BL489" i="13"/>
  <c r="BL498" i="13"/>
  <c r="BL495" i="13"/>
  <c r="BL493" i="13"/>
  <c r="AW123" i="3"/>
  <c r="G51" i="3"/>
  <c r="G54" i="3" s="1"/>
  <c r="F57" i="3"/>
  <c r="AT64" i="2"/>
  <c r="AT66" i="2" s="1"/>
  <c r="AT69" i="2" s="1"/>
  <c r="AS66" i="2"/>
  <c r="AS69" i="2" s="1"/>
  <c r="BD51" i="3"/>
  <c r="BD54" i="3" s="1"/>
  <c r="BC57" i="3"/>
  <c r="AA113" i="3"/>
  <c r="Z132" i="3"/>
  <c r="Z155" i="3" s="1"/>
  <c r="AW22" i="3"/>
  <c r="BD113" i="3"/>
  <c r="BD132" i="3" s="1"/>
  <c r="BD155" i="3" s="1"/>
  <c r="S132" i="3"/>
  <c r="S155" i="3" s="1"/>
  <c r="BB113" i="3"/>
  <c r="BB132" i="3" s="1"/>
  <c r="BB155" i="3" s="1"/>
  <c r="K132" i="3"/>
  <c r="K155" i="3" s="1"/>
  <c r="G132" i="3"/>
  <c r="G155" i="3" s="1"/>
  <c r="G156" i="3" s="1"/>
  <c r="G159" i="3" s="1"/>
  <c r="BA113" i="3"/>
  <c r="BA132" i="3" s="1"/>
  <c r="BA155" i="3" s="1"/>
  <c r="BA156" i="3" s="1"/>
  <c r="W132" i="3"/>
  <c r="W155" i="3" s="1"/>
  <c r="BE113" i="3"/>
  <c r="BE132" i="3" s="1"/>
  <c r="BE155" i="3" s="1"/>
  <c r="O132" i="3"/>
  <c r="O155" i="3" s="1"/>
  <c r="BC113" i="3"/>
  <c r="BC132" i="3" s="1"/>
  <c r="BC155" i="3" s="1"/>
  <c r="BJ113" i="3"/>
  <c r="BJ132" i="3" s="1"/>
  <c r="BJ155" i="3" s="1"/>
  <c r="AQ132" i="3"/>
  <c r="AQ155" i="3" s="1"/>
  <c r="BM480" i="13"/>
  <c r="BM467" i="13"/>
  <c r="BM456" i="13"/>
  <c r="AJ75" i="13"/>
  <c r="AJ70" i="13"/>
  <c r="AJ56" i="13"/>
  <c r="AK70" i="13"/>
  <c r="AJ78" i="13"/>
  <c r="AX135" i="3"/>
  <c r="AW140" i="3"/>
  <c r="AJ79" i="13"/>
  <c r="BK19" i="2"/>
  <c r="AY52" i="2"/>
  <c r="AY12" i="2" s="1"/>
  <c r="BL12" i="2" s="1"/>
  <c r="AY10" i="71"/>
  <c r="AY9" i="71"/>
  <c r="AY62" i="3"/>
  <c r="AY33" i="3" s="1"/>
  <c r="AY17" i="71"/>
  <c r="AY53" i="2" s="1"/>
  <c r="BN503" i="13"/>
  <c r="BN502" i="13"/>
  <c r="AV508" i="13"/>
  <c r="AV507" i="13"/>
  <c r="AV506" i="13"/>
  <c r="BK47" i="71"/>
  <c r="BK50" i="71"/>
  <c r="BK51" i="71" s="1"/>
  <c r="BK41" i="71"/>
  <c r="BK42" i="71" s="1"/>
  <c r="BK15" i="2"/>
  <c r="AV22" i="3"/>
  <c r="BM503" i="13"/>
  <c r="BM502" i="13"/>
  <c r="AL182" i="13"/>
  <c r="AL175" i="13"/>
  <c r="AL73" i="13"/>
  <c r="AM63" i="13"/>
  <c r="BI63" i="13"/>
  <c r="AX15" i="2"/>
  <c r="AX22" i="3" s="1"/>
  <c r="AX27" i="2"/>
  <c r="BN215" i="13"/>
  <c r="BN510" i="13" s="1"/>
  <c r="BN184" i="13"/>
  <c r="BN183" i="13"/>
  <c r="AY19" i="71"/>
  <c r="AY23" i="71"/>
  <c r="BL22" i="71"/>
  <c r="AH331" i="13"/>
  <c r="AH314" i="13"/>
  <c r="AH325" i="13"/>
  <c r="AI252" i="13"/>
  <c r="BH252" i="13" s="1"/>
  <c r="AH340" i="13"/>
  <c r="AH324" i="13"/>
  <c r="BN478" i="13"/>
  <c r="BN465" i="13"/>
  <c r="BN454" i="13"/>
  <c r="AW23" i="3"/>
  <c r="AW32" i="2"/>
  <c r="BM511" i="13"/>
  <c r="AW33" i="71"/>
  <c r="AV34" i="71"/>
  <c r="AV37" i="71"/>
  <c r="AV28" i="71"/>
  <c r="BK37" i="71"/>
  <c r="BK38" i="71" s="1"/>
  <c r="BK34" i="71"/>
  <c r="BK28" i="71"/>
  <c r="BK62" i="71"/>
  <c r="AX508" i="13"/>
  <c r="AX507" i="13"/>
  <c r="AX506" i="13"/>
  <c r="BN186" i="13"/>
  <c r="BL66" i="3"/>
  <c r="AW66" i="3"/>
  <c r="BH75" i="13"/>
  <c r="BH70" i="13"/>
  <c r="AV13" i="71"/>
  <c r="BL8" i="71"/>
  <c r="AV62" i="71"/>
  <c r="AV70" i="71" s="1"/>
  <c r="AV50" i="71"/>
  <c r="AV51" i="71" s="1"/>
  <c r="AV41" i="71"/>
  <c r="AV42" i="71" s="1"/>
  <c r="AW46" i="71"/>
  <c r="AV47" i="71"/>
  <c r="BK27" i="2"/>
  <c r="AK185" i="13"/>
  <c r="AK178" i="13"/>
  <c r="AK69" i="13"/>
  <c r="AL64" i="13"/>
  <c r="AL65" i="13" s="1"/>
  <c r="AK79" i="13"/>
  <c r="AK74" i="13"/>
  <c r="AY26" i="71"/>
  <c r="BK135" i="3"/>
  <c r="BK140" i="3" s="1"/>
  <c r="AU140" i="3"/>
  <c r="BK38" i="3"/>
  <c r="BK92" i="3"/>
  <c r="BK62" i="3"/>
  <c r="AV23" i="3"/>
  <c r="AV32" i="2"/>
  <c r="AX21" i="3"/>
  <c r="AY61" i="2"/>
  <c r="BL57" i="2"/>
  <c r="AK129" i="71"/>
  <c r="BI129" i="71"/>
  <c r="BL26" i="71" l="1"/>
  <c r="BF113" i="3"/>
  <c r="BF132" i="3" s="1"/>
  <c r="BF155" i="3" s="1"/>
  <c r="AA132" i="3"/>
  <c r="AA155" i="3" s="1"/>
  <c r="BE51" i="3"/>
  <c r="BE54" i="3" s="1"/>
  <c r="BD57" i="3"/>
  <c r="H51" i="3"/>
  <c r="G57" i="3"/>
  <c r="BK70" i="71"/>
  <c r="BK67" i="71" s="1"/>
  <c r="BK68" i="71" s="1"/>
  <c r="AY21" i="3"/>
  <c r="BL21" i="3" s="1"/>
  <c r="BB153" i="3"/>
  <c r="BB156" i="3" s="1"/>
  <c r="BA159" i="3"/>
  <c r="AL75" i="13"/>
  <c r="AL70" i="13"/>
  <c r="AL78" i="13"/>
  <c r="AV125" i="3"/>
  <c r="AW125" i="3" s="1"/>
  <c r="AU125" i="3"/>
  <c r="BK125" i="3" s="1"/>
  <c r="BK23" i="3"/>
  <c r="AW47" i="71"/>
  <c r="AW41" i="71"/>
  <c r="AW42" i="71" s="1"/>
  <c r="AW50" i="71"/>
  <c r="AW51" i="71" s="1"/>
  <c r="AX46" i="71"/>
  <c r="BL10" i="71"/>
  <c r="BM62" i="3"/>
  <c r="BM33" i="3" s="1"/>
  <c r="AV60" i="71"/>
  <c r="AV38" i="71"/>
  <c r="AW34" i="71"/>
  <c r="AX33" i="71"/>
  <c r="AW37" i="71"/>
  <c r="AW28" i="71"/>
  <c r="AW62" i="71"/>
  <c r="AW70" i="71" s="1"/>
  <c r="AV124" i="3"/>
  <c r="AW124" i="3" s="1"/>
  <c r="AX124" i="3" s="1"/>
  <c r="AY27" i="2"/>
  <c r="AY15" i="2"/>
  <c r="BL15" i="2" s="1"/>
  <c r="AK57" i="13"/>
  <c r="AJ60" i="13"/>
  <c r="AJ58" i="13"/>
  <c r="AJ57" i="13"/>
  <c r="BI56" i="13"/>
  <c r="AX123" i="3"/>
  <c r="AL185" i="13"/>
  <c r="AL178" i="13"/>
  <c r="AL79" i="13"/>
  <c r="AL74" i="13"/>
  <c r="AM64" i="13"/>
  <c r="BI64" i="13" s="1"/>
  <c r="BK32" i="2"/>
  <c r="AV71" i="71"/>
  <c r="AV82" i="71"/>
  <c r="AX66" i="3"/>
  <c r="BH261" i="13"/>
  <c r="BH314" i="13"/>
  <c r="BK29" i="71"/>
  <c r="BK59" i="71"/>
  <c r="BK64" i="71" s="1"/>
  <c r="AV59" i="71"/>
  <c r="AV64" i="71" s="1"/>
  <c r="AV29" i="71"/>
  <c r="BN480" i="13"/>
  <c r="BN467" i="13"/>
  <c r="BN456" i="13"/>
  <c r="AI325" i="13"/>
  <c r="AI331" i="13"/>
  <c r="AJ252" i="13"/>
  <c r="AI314" i="13"/>
  <c r="AI324" i="13"/>
  <c r="AI340" i="13"/>
  <c r="BL23" i="71"/>
  <c r="AY505" i="13"/>
  <c r="AY20" i="71"/>
  <c r="BL19" i="71"/>
  <c r="BL20" i="71" s="1"/>
  <c r="BN533" i="13"/>
  <c r="BN512" i="13"/>
  <c r="BN511" i="13"/>
  <c r="BN513" i="13"/>
  <c r="AX23" i="3"/>
  <c r="AX32" i="2"/>
  <c r="BI73" i="13"/>
  <c r="BI68" i="13"/>
  <c r="AM182" i="13"/>
  <c r="AM175" i="13"/>
  <c r="AM65" i="13"/>
  <c r="AM78" i="13" s="1"/>
  <c r="AM73" i="13"/>
  <c r="AN63" i="13"/>
  <c r="BK22" i="3"/>
  <c r="AU124" i="3"/>
  <c r="BK124" i="3" s="1"/>
  <c r="AY12" i="71"/>
  <c r="AY38" i="3"/>
  <c r="BL33" i="3"/>
  <c r="BK71" i="3"/>
  <c r="BK68" i="3"/>
  <c r="BK69" i="3" s="1"/>
  <c r="AX140" i="3"/>
  <c r="AY135" i="3"/>
  <c r="BK60" i="71"/>
  <c r="BK61" i="71" s="1"/>
  <c r="BM482" i="13"/>
  <c r="BM469" i="13"/>
  <c r="BM459" i="13"/>
  <c r="BM57" i="2"/>
  <c r="BL61" i="2"/>
  <c r="BJ129" i="71"/>
  <c r="BK129" i="71" s="1"/>
  <c r="AL129" i="71"/>
  <c r="AM129" i="71" s="1"/>
  <c r="AN129" i="71" s="1"/>
  <c r="AO129" i="71" s="1"/>
  <c r="AP129" i="71" s="1"/>
  <c r="AQ129" i="71" s="1"/>
  <c r="AR129" i="71" s="1"/>
  <c r="AS129" i="71" s="1"/>
  <c r="AT129" i="71" s="1"/>
  <c r="BK82" i="71" l="1"/>
  <c r="BM26" i="71"/>
  <c r="AY123" i="3"/>
  <c r="BL123" i="3" s="1"/>
  <c r="AU129" i="71"/>
  <c r="AV129" i="71" s="1"/>
  <c r="AW129" i="71" s="1"/>
  <c r="AX129" i="71" s="1"/>
  <c r="AY129" i="71" s="1"/>
  <c r="BK71" i="71"/>
  <c r="BM66" i="3"/>
  <c r="BB159" i="3"/>
  <c r="BC153" i="3"/>
  <c r="BC156" i="3" s="1"/>
  <c r="H54" i="3"/>
  <c r="H153" i="3"/>
  <c r="BF51" i="3"/>
  <c r="BF54" i="3" s="1"/>
  <c r="BE57" i="3"/>
  <c r="BL135" i="3"/>
  <c r="BL140" i="3" s="1"/>
  <c r="AY140" i="3"/>
  <c r="BK72" i="3"/>
  <c r="BL62" i="3"/>
  <c r="BL92" i="3"/>
  <c r="BL38" i="3"/>
  <c r="AY13" i="71"/>
  <c r="BL12" i="71"/>
  <c r="AN182" i="13"/>
  <c r="AN175" i="13"/>
  <c r="AN73" i="13"/>
  <c r="AO63" i="13"/>
  <c r="AY508" i="13"/>
  <c r="AY507" i="13"/>
  <c r="AY506" i="13"/>
  <c r="BN482" i="13"/>
  <c r="BN469" i="13"/>
  <c r="BN459" i="13"/>
  <c r="BN495" i="13" s="1"/>
  <c r="BK65" i="71"/>
  <c r="BK79" i="71"/>
  <c r="AY66" i="3"/>
  <c r="AM185" i="13"/>
  <c r="AM178" i="13"/>
  <c r="AN64" i="13"/>
  <c r="AM79" i="13"/>
  <c r="AM74" i="13"/>
  <c r="BI60" i="13"/>
  <c r="BI58" i="13"/>
  <c r="BI59" i="13"/>
  <c r="AY23" i="3"/>
  <c r="BL23" i="3" s="1"/>
  <c r="BL27" i="2"/>
  <c r="AY32" i="2"/>
  <c r="AW82" i="71"/>
  <c r="AW71" i="71"/>
  <c r="AW38" i="71"/>
  <c r="AW60" i="71"/>
  <c r="AV61" i="71"/>
  <c r="AV67" i="71"/>
  <c r="BM135" i="3"/>
  <c r="BM140" i="3" s="1"/>
  <c r="BM92" i="3"/>
  <c r="BM38" i="3"/>
  <c r="AX50" i="71"/>
  <c r="AX51" i="71" s="1"/>
  <c r="AX41" i="71"/>
  <c r="AX42" i="71" s="1"/>
  <c r="AY46" i="71"/>
  <c r="BL46" i="71" s="1"/>
  <c r="AX47" i="71"/>
  <c r="BM498" i="13"/>
  <c r="BM485" i="13"/>
  <c r="BM472" i="13"/>
  <c r="BM8" i="71"/>
  <c r="BM497" i="13"/>
  <c r="BM494" i="13"/>
  <c r="BM492" i="13"/>
  <c r="BM489" i="13"/>
  <c r="BM490" i="13"/>
  <c r="BM496" i="13"/>
  <c r="BM491" i="13"/>
  <c r="BM493" i="13"/>
  <c r="BM495" i="13"/>
  <c r="AU146" i="71"/>
  <c r="AM75" i="13"/>
  <c r="AM70" i="13"/>
  <c r="AJ331" i="13"/>
  <c r="AJ325" i="13"/>
  <c r="AK252" i="13"/>
  <c r="AJ324" i="13"/>
  <c r="AJ340" i="13"/>
  <c r="AV65" i="71"/>
  <c r="AV79" i="71"/>
  <c r="AV83" i="71"/>
  <c r="BI69" i="13"/>
  <c r="BI74" i="13"/>
  <c r="AY22" i="3"/>
  <c r="BL22" i="3" s="1"/>
  <c r="AW29" i="71"/>
  <c r="AW59" i="71"/>
  <c r="AW64" i="71" s="1"/>
  <c r="AY33" i="71"/>
  <c r="BL33" i="71" s="1"/>
  <c r="AX37" i="71"/>
  <c r="AX62" i="71"/>
  <c r="AX70" i="71" s="1"/>
  <c r="AX28" i="71"/>
  <c r="AX34" i="71"/>
  <c r="BK83" i="71"/>
  <c r="BK96" i="71"/>
  <c r="BK90" i="71"/>
  <c r="AX125" i="3"/>
  <c r="BI65" i="13"/>
  <c r="BM61" i="2"/>
  <c r="BN57" i="2"/>
  <c r="BN61" i="2" s="1"/>
  <c r="BL129" i="71"/>
  <c r="BM129" i="71" s="1"/>
  <c r="BN129" i="71" s="1"/>
  <c r="BK126" i="71"/>
  <c r="BN26" i="71" l="1"/>
  <c r="BM10" i="71"/>
  <c r="BM46" i="71" s="1"/>
  <c r="AY125" i="3"/>
  <c r="BL125" i="3" s="1"/>
  <c r="BF57" i="3"/>
  <c r="BG51" i="3"/>
  <c r="BG54" i="3" s="1"/>
  <c r="H57" i="3"/>
  <c r="I51" i="3"/>
  <c r="I54" i="3" s="1"/>
  <c r="J153" i="3"/>
  <c r="J156" i="3" s="1"/>
  <c r="J159" i="3" s="1"/>
  <c r="I153" i="3"/>
  <c r="I156" i="3" s="1"/>
  <c r="I159" i="3" s="1"/>
  <c r="K153" i="3"/>
  <c r="K156" i="3" s="1"/>
  <c r="K159" i="3" s="1"/>
  <c r="H156" i="3"/>
  <c r="H159" i="3" s="1"/>
  <c r="BC159" i="3"/>
  <c r="BD153" i="3"/>
  <c r="BD156" i="3" s="1"/>
  <c r="BL126" i="71"/>
  <c r="AX71" i="71"/>
  <c r="AX82" i="71"/>
  <c r="AY34" i="71"/>
  <c r="AY37" i="71"/>
  <c r="AY28" i="71"/>
  <c r="AY62" i="71"/>
  <c r="AY70" i="71" s="1"/>
  <c r="AV68" i="71"/>
  <c r="AW67" i="71"/>
  <c r="AW61" i="71"/>
  <c r="AY124" i="3"/>
  <c r="BL124" i="3" s="1"/>
  <c r="BL32" i="2"/>
  <c r="AO182" i="13"/>
  <c r="AO175" i="13"/>
  <c r="AO78" i="13"/>
  <c r="AO73" i="13"/>
  <c r="AO64" i="13"/>
  <c r="AP63" i="13"/>
  <c r="BI75" i="13"/>
  <c r="BI70" i="13"/>
  <c r="BK108" i="71"/>
  <c r="BK112" i="71" s="1"/>
  <c r="BK97" i="71"/>
  <c r="BL34" i="71"/>
  <c r="BM33" i="71"/>
  <c r="BL37" i="71"/>
  <c r="BL38" i="71" s="1"/>
  <c r="BL28" i="71"/>
  <c r="BL62" i="71"/>
  <c r="AX29" i="71"/>
  <c r="AX59" i="71"/>
  <c r="AX64" i="71" s="1"/>
  <c r="AX38" i="71"/>
  <c r="AX60" i="71"/>
  <c r="AW79" i="71"/>
  <c r="AW65" i="71"/>
  <c r="AV80" i="71"/>
  <c r="AV85" i="71"/>
  <c r="AK325" i="13"/>
  <c r="AL252" i="13"/>
  <c r="AK331" i="13"/>
  <c r="AK324" i="13"/>
  <c r="AK340" i="13"/>
  <c r="AU147" i="71"/>
  <c r="BK146" i="71"/>
  <c r="BN62" i="3"/>
  <c r="BM25" i="71"/>
  <c r="BM22" i="71" s="1"/>
  <c r="AU137" i="71"/>
  <c r="BL50" i="71"/>
  <c r="BL51" i="71" s="1"/>
  <c r="BL47" i="71"/>
  <c r="BL41" i="71"/>
  <c r="BL42" i="71" s="1"/>
  <c r="AY50" i="71"/>
  <c r="AY51" i="71" s="1"/>
  <c r="AY41" i="71"/>
  <c r="AY42" i="71" s="1"/>
  <c r="AY47" i="71"/>
  <c r="AW83" i="71"/>
  <c r="AN185" i="13"/>
  <c r="AN178" i="13"/>
  <c r="AN74" i="13"/>
  <c r="BK92" i="71"/>
  <c r="BK86" i="71"/>
  <c r="BK80" i="71"/>
  <c r="BN498" i="13"/>
  <c r="BN485" i="13"/>
  <c r="BN472" i="13"/>
  <c r="BN8" i="71"/>
  <c r="BN497" i="13"/>
  <c r="BN494" i="13"/>
  <c r="BN492" i="13"/>
  <c r="BN489" i="13"/>
  <c r="BN496" i="13"/>
  <c r="BN490" i="13"/>
  <c r="BN491" i="13"/>
  <c r="BN493" i="13"/>
  <c r="AN65" i="13"/>
  <c r="BL17" i="71"/>
  <c r="BL13" i="71"/>
  <c r="AT532" i="13"/>
  <c r="AS532" i="13"/>
  <c r="BO10" i="71" l="1"/>
  <c r="BN10" i="71"/>
  <c r="BN33" i="71" s="1"/>
  <c r="BE153" i="3"/>
  <c r="BE156" i="3" s="1"/>
  <c r="BD159" i="3"/>
  <c r="BL70" i="71"/>
  <c r="BL71" i="71" s="1"/>
  <c r="I57" i="3"/>
  <c r="J51" i="3"/>
  <c r="J54" i="3" s="1"/>
  <c r="BG57" i="3"/>
  <c r="BH51" i="3"/>
  <c r="BH54" i="3" s="1"/>
  <c r="BN25" i="71"/>
  <c r="BN22" i="71" s="1"/>
  <c r="BK93" i="71"/>
  <c r="BK100" i="71"/>
  <c r="BM19" i="71"/>
  <c r="BM23" i="71"/>
  <c r="AL331" i="13"/>
  <c r="AL314" i="13"/>
  <c r="AL325" i="13"/>
  <c r="AM252" i="13"/>
  <c r="AL324" i="13"/>
  <c r="AL340" i="13"/>
  <c r="AV89" i="71"/>
  <c r="AV92" i="71"/>
  <c r="AW80" i="71"/>
  <c r="AW85" i="71"/>
  <c r="AW89" i="71" s="1"/>
  <c r="BL29" i="71"/>
  <c r="BL59" i="71"/>
  <c r="BL64" i="71" s="1"/>
  <c r="BM28" i="71"/>
  <c r="BM37" i="71"/>
  <c r="BM34" i="71"/>
  <c r="BM62" i="71"/>
  <c r="BM70" i="71" s="1"/>
  <c r="BM117" i="71" s="1"/>
  <c r="BN117" i="71" s="1"/>
  <c r="AP182" i="13"/>
  <c r="AP175" i="13"/>
  <c r="AP73" i="13"/>
  <c r="AQ63" i="13"/>
  <c r="BJ63" i="13" s="1"/>
  <c r="AY59" i="71"/>
  <c r="AY64" i="71" s="1"/>
  <c r="AY29" i="71"/>
  <c r="AN56" i="13"/>
  <c r="AN75" i="13"/>
  <c r="AN70" i="13"/>
  <c r="AO70" i="13"/>
  <c r="AN78" i="13"/>
  <c r="AN79" i="13"/>
  <c r="BM47" i="71"/>
  <c r="BM50" i="71"/>
  <c r="BM51" i="71" s="1"/>
  <c r="BM41" i="71"/>
  <c r="BM42" i="71" s="1"/>
  <c r="AU139" i="71"/>
  <c r="AU113" i="71" s="1"/>
  <c r="BK137" i="71"/>
  <c r="BK139" i="71" s="1"/>
  <c r="BK113" i="71" s="1"/>
  <c r="BN33" i="3"/>
  <c r="BN66" i="3"/>
  <c r="AX67" i="71"/>
  <c r="AX61" i="71"/>
  <c r="AX79" i="71"/>
  <c r="AX65" i="71"/>
  <c r="AO185" i="13"/>
  <c r="AO178" i="13"/>
  <c r="AP64" i="13"/>
  <c r="AP65" i="13" s="1"/>
  <c r="AO79" i="13"/>
  <c r="AO74" i="13"/>
  <c r="AO69" i="13"/>
  <c r="AW68" i="71"/>
  <c r="AU11" i="3"/>
  <c r="AU30" i="3" s="1"/>
  <c r="AU53" i="3" s="1"/>
  <c r="AU64" i="2"/>
  <c r="AY82" i="71"/>
  <c r="AY71" i="71"/>
  <c r="AY60" i="71"/>
  <c r="BL60" i="71" s="1"/>
  <c r="BL61" i="71" s="1"/>
  <c r="AY38" i="71"/>
  <c r="AX83" i="71"/>
  <c r="BI252" i="13"/>
  <c r="AP532" i="13"/>
  <c r="AO532" i="13"/>
  <c r="AR532" i="13"/>
  <c r="BN46" i="71" l="1"/>
  <c r="BN50" i="71" s="1"/>
  <c r="BN51" i="71" s="1"/>
  <c r="BL82" i="71"/>
  <c r="BL83" i="71" s="1"/>
  <c r="BL67" i="71"/>
  <c r="BL68" i="71" s="1"/>
  <c r="BI51" i="3"/>
  <c r="BI54" i="3" s="1"/>
  <c r="BH57" i="3"/>
  <c r="K51" i="3"/>
  <c r="K54" i="3" s="1"/>
  <c r="J57" i="3"/>
  <c r="BF153" i="3"/>
  <c r="BF156" i="3" s="1"/>
  <c r="BE159" i="3"/>
  <c r="AP75" i="13"/>
  <c r="AP70" i="13"/>
  <c r="AP78" i="13"/>
  <c r="BJ73" i="13"/>
  <c r="BJ68" i="13"/>
  <c r="AX68" i="71"/>
  <c r="BN135" i="3"/>
  <c r="BN140" i="3" s="1"/>
  <c r="BN92" i="3"/>
  <c r="BN38" i="3"/>
  <c r="BM67" i="71"/>
  <c r="BM82" i="71"/>
  <c r="BM83" i="71" s="1"/>
  <c r="BM71" i="71"/>
  <c r="BM38" i="71"/>
  <c r="BM60" i="71"/>
  <c r="BM61" i="71" s="1"/>
  <c r="BN37" i="71"/>
  <c r="BN28" i="71"/>
  <c r="BN34" i="71"/>
  <c r="BN62" i="71"/>
  <c r="BN70" i="71" s="1"/>
  <c r="AV93" i="71"/>
  <c r="AV100" i="71"/>
  <c r="AV64" i="2" s="1"/>
  <c r="AV88" i="71"/>
  <c r="AV95" i="71" s="1"/>
  <c r="AV90" i="71"/>
  <c r="AV96" i="71"/>
  <c r="BM20" i="71"/>
  <c r="BM12" i="71"/>
  <c r="BI314" i="13"/>
  <c r="BI261" i="13"/>
  <c r="AY67" i="71"/>
  <c r="AY61" i="71"/>
  <c r="AY83" i="71"/>
  <c r="BK64" i="2"/>
  <c r="AU66" i="2"/>
  <c r="BK11" i="3"/>
  <c r="BK30" i="3" s="1"/>
  <c r="AU113" i="3"/>
  <c r="AP185" i="13"/>
  <c r="AP178" i="13"/>
  <c r="AP79" i="13"/>
  <c r="AP74" i="13"/>
  <c r="AQ64" i="13"/>
  <c r="AX80" i="71"/>
  <c r="AX85" i="71"/>
  <c r="AX89" i="71" s="1"/>
  <c r="AO57" i="13"/>
  <c r="BJ56" i="13"/>
  <c r="AN60" i="13"/>
  <c r="AN58" i="13"/>
  <c r="AN57" i="13"/>
  <c r="AY65" i="71"/>
  <c r="AY79" i="71"/>
  <c r="AQ182" i="13"/>
  <c r="AQ175" i="13"/>
  <c r="AQ65" i="13"/>
  <c r="AQ73" i="13"/>
  <c r="AR63" i="13"/>
  <c r="BM29" i="71"/>
  <c r="BM59" i="71"/>
  <c r="BM64" i="71" s="1"/>
  <c r="BL65" i="71"/>
  <c r="BL79" i="71"/>
  <c r="AW88" i="71"/>
  <c r="AW95" i="71" s="1"/>
  <c r="AW90" i="71"/>
  <c r="AW96" i="71"/>
  <c r="AW92" i="71"/>
  <c r="AM325" i="13"/>
  <c r="AM331" i="13"/>
  <c r="AN252" i="13"/>
  <c r="AM324" i="13"/>
  <c r="AM340" i="13"/>
  <c r="BK101" i="71"/>
  <c r="BK107" i="71"/>
  <c r="BK110" i="71" s="1"/>
  <c r="BN23" i="71"/>
  <c r="BN19" i="71"/>
  <c r="AQ532" i="13"/>
  <c r="BN47" i="71" l="1"/>
  <c r="BN41" i="71"/>
  <c r="BN42" i="71" s="1"/>
  <c r="BG153" i="3"/>
  <c r="BG156" i="3" s="1"/>
  <c r="BF159" i="3"/>
  <c r="K57" i="3"/>
  <c r="L51" i="3"/>
  <c r="BI57" i="3"/>
  <c r="BJ51" i="3"/>
  <c r="BJ54" i="3" s="1"/>
  <c r="BN20" i="71"/>
  <c r="BN12" i="71"/>
  <c r="AN331" i="13"/>
  <c r="AN325" i="13"/>
  <c r="AO252" i="13"/>
  <c r="AN324" i="13"/>
  <c r="AN340" i="13"/>
  <c r="AW93" i="71"/>
  <c r="AW100" i="71"/>
  <c r="AW64" i="2" s="1"/>
  <c r="BL80" i="71"/>
  <c r="BM79" i="71"/>
  <c r="BM65" i="71"/>
  <c r="AR182" i="13"/>
  <c r="AR175" i="13"/>
  <c r="AR73" i="13"/>
  <c r="AS63" i="13"/>
  <c r="BK63" i="13"/>
  <c r="AQ78" i="13"/>
  <c r="AY80" i="71"/>
  <c r="AY85" i="71"/>
  <c r="BJ64" i="13"/>
  <c r="AU87" i="3"/>
  <c r="AU87" i="2"/>
  <c r="AU41" i="2"/>
  <c r="AU88" i="2"/>
  <c r="AU89" i="2" s="1"/>
  <c r="AU68" i="2"/>
  <c r="BK39" i="2"/>
  <c r="BM17" i="71"/>
  <c r="BM13" i="71"/>
  <c r="AV97" i="71"/>
  <c r="AV108" i="71"/>
  <c r="AV11" i="3"/>
  <c r="AV101" i="71"/>
  <c r="AV107" i="71"/>
  <c r="AV110" i="71" s="1"/>
  <c r="BN82" i="71"/>
  <c r="BN83" i="71" s="1"/>
  <c r="BN67" i="71"/>
  <c r="BN71" i="71"/>
  <c r="BN29" i="71"/>
  <c r="BM68" i="71"/>
  <c r="BM146" i="71"/>
  <c r="BJ65" i="13"/>
  <c r="AW97" i="71"/>
  <c r="AW108" i="71"/>
  <c r="AQ75" i="13"/>
  <c r="AQ70" i="13"/>
  <c r="BJ59" i="13"/>
  <c r="BJ58" i="13"/>
  <c r="AX88" i="71"/>
  <c r="AX95" i="71" s="1"/>
  <c r="AX90" i="71"/>
  <c r="AX96" i="71"/>
  <c r="AX92" i="71"/>
  <c r="AQ185" i="13"/>
  <c r="AQ178" i="13"/>
  <c r="AR64" i="13"/>
  <c r="BK64" i="13" s="1"/>
  <c r="AQ79" i="13"/>
  <c r="AQ74" i="13"/>
  <c r="AU132" i="3"/>
  <c r="AU155" i="3" s="1"/>
  <c r="BK113" i="3"/>
  <c r="BK132" i="3" s="1"/>
  <c r="BK155" i="3" s="1"/>
  <c r="BK87" i="3"/>
  <c r="BK53" i="3"/>
  <c r="AV66" i="2"/>
  <c r="AV39" i="2" s="1"/>
  <c r="BK66" i="2"/>
  <c r="AY68" i="71"/>
  <c r="BN38" i="71"/>
  <c r="BN60" i="71"/>
  <c r="BN61" i="71" s="1"/>
  <c r="AU532" i="13"/>
  <c r="BN59" i="71" l="1"/>
  <c r="BN64" i="71" s="1"/>
  <c r="BJ57" i="3"/>
  <c r="BK51" i="3"/>
  <c r="BK54" i="3" s="1"/>
  <c r="BL51" i="3" s="1"/>
  <c r="L153" i="3"/>
  <c r="L54" i="3"/>
  <c r="BG159" i="3"/>
  <c r="BH153" i="3"/>
  <c r="BH156" i="3" s="1"/>
  <c r="BK69" i="13"/>
  <c r="BK74" i="13"/>
  <c r="AT141" i="13"/>
  <c r="AT52" i="13"/>
  <c r="AT36" i="13"/>
  <c r="AT28" i="13"/>
  <c r="AT44" i="13"/>
  <c r="AT531" i="13"/>
  <c r="AT118" i="13"/>
  <c r="AR141" i="13"/>
  <c r="AR52" i="13"/>
  <c r="AR36" i="13"/>
  <c r="AR28" i="13"/>
  <c r="AR44" i="13"/>
  <c r="AR118" i="13"/>
  <c r="AR531" i="13"/>
  <c r="AS44" i="13"/>
  <c r="AS141" i="13"/>
  <c r="AS52" i="13"/>
  <c r="AS36" i="13"/>
  <c r="AS28" i="13"/>
  <c r="AS118" i="13"/>
  <c r="AS531" i="13"/>
  <c r="AW66" i="2"/>
  <c r="AW39" i="2" s="1"/>
  <c r="AX100" i="71"/>
  <c r="AX64" i="2" s="1"/>
  <c r="AX93" i="71"/>
  <c r="BJ75" i="13"/>
  <c r="BJ70" i="13"/>
  <c r="BN68" i="71"/>
  <c r="BN146" i="71"/>
  <c r="AV113" i="3"/>
  <c r="AU69" i="2"/>
  <c r="BK68" i="2"/>
  <c r="BK69" i="2" s="1"/>
  <c r="AY92" i="71"/>
  <c r="AY89" i="71"/>
  <c r="AY88" i="71" s="1"/>
  <c r="AY95" i="71" s="1"/>
  <c r="BL85" i="71"/>
  <c r="AS182" i="13"/>
  <c r="AS175" i="13"/>
  <c r="AS73" i="13"/>
  <c r="AT63" i="13"/>
  <c r="BM85" i="71"/>
  <c r="BM92" i="71" s="1"/>
  <c r="BM80" i="71"/>
  <c r="AV88" i="2"/>
  <c r="AV89" i="2" s="1"/>
  <c r="AV68" i="2"/>
  <c r="AV69" i="2" s="1"/>
  <c r="AV87" i="2"/>
  <c r="AV41" i="2"/>
  <c r="AR185" i="13"/>
  <c r="AR178" i="13"/>
  <c r="AR74" i="13"/>
  <c r="AS64" i="13"/>
  <c r="AX97" i="71"/>
  <c r="AX108" i="71"/>
  <c r="AW137" i="71"/>
  <c r="AW139" i="71" s="1"/>
  <c r="AW113" i="71" s="1"/>
  <c r="AW112" i="71"/>
  <c r="BN65" i="71"/>
  <c r="BN79" i="71"/>
  <c r="AV137" i="71"/>
  <c r="AV112" i="71"/>
  <c r="BK87" i="2"/>
  <c r="BK88" i="2"/>
  <c r="BK89" i="2" s="1"/>
  <c r="BK41" i="2"/>
  <c r="BJ74" i="13"/>
  <c r="BJ69" i="13"/>
  <c r="BK73" i="13"/>
  <c r="BK68" i="13"/>
  <c r="AR65" i="13"/>
  <c r="AW11" i="3"/>
  <c r="AW107" i="71"/>
  <c r="AW110" i="71" s="1"/>
  <c r="AW101" i="71"/>
  <c r="AO331" i="13"/>
  <c r="AO325" i="13"/>
  <c r="AP252" i="13"/>
  <c r="AO324" i="13"/>
  <c r="AO340" i="13"/>
  <c r="BN13" i="71"/>
  <c r="BN17" i="71"/>
  <c r="BH159" i="3" l="1"/>
  <c r="BI153" i="3"/>
  <c r="BI156" i="3" s="1"/>
  <c r="O153" i="3"/>
  <c r="O156" i="3" s="1"/>
  <c r="O159" i="3" s="1"/>
  <c r="L156" i="3"/>
  <c r="L159" i="3" s="1"/>
  <c r="N153" i="3"/>
  <c r="N156" i="3" s="1"/>
  <c r="N159" i="3" s="1"/>
  <c r="M153" i="3"/>
  <c r="M156" i="3" s="1"/>
  <c r="M159" i="3" s="1"/>
  <c r="L57" i="3"/>
  <c r="M51" i="3"/>
  <c r="M54" i="3" s="1"/>
  <c r="AV141" i="13"/>
  <c r="AV28" i="13"/>
  <c r="AV36" i="13"/>
  <c r="AV52" i="13"/>
  <c r="AV44" i="13"/>
  <c r="AV531" i="13"/>
  <c r="AV118" i="13"/>
  <c r="AO50" i="2"/>
  <c r="AO49" i="2"/>
  <c r="AO48" i="2" s="1"/>
  <c r="AR75" i="13"/>
  <c r="AR70" i="13"/>
  <c r="AR56" i="13"/>
  <c r="BK65" i="13"/>
  <c r="AR78" i="13"/>
  <c r="BN85" i="71"/>
  <c r="BN89" i="71" s="1"/>
  <c r="BN80" i="71"/>
  <c r="AX112" i="71"/>
  <c r="AX137" i="71"/>
  <c r="AX139" i="71" s="1"/>
  <c r="AX113" i="71" s="1"/>
  <c r="AS185" i="13"/>
  <c r="AS178" i="13"/>
  <c r="AT64" i="13"/>
  <c r="AT65" i="13" s="1"/>
  <c r="AT78" i="13" s="1"/>
  <c r="AS74" i="13"/>
  <c r="AR79" i="13"/>
  <c r="BM89" i="71"/>
  <c r="AS65" i="13"/>
  <c r="AS79" i="13" s="1"/>
  <c r="AY90" i="71"/>
  <c r="AY96" i="71"/>
  <c r="BL89" i="71"/>
  <c r="BL88" i="71" s="1"/>
  <c r="BL95" i="71" s="1"/>
  <c r="AY100" i="71"/>
  <c r="AY64" i="2" s="1"/>
  <c r="AY93" i="71"/>
  <c r="AW113" i="3"/>
  <c r="AX11" i="3"/>
  <c r="AX101" i="71"/>
  <c r="AX107" i="71"/>
  <c r="AX110" i="71" s="1"/>
  <c r="AQ141" i="13"/>
  <c r="AQ60" i="13"/>
  <c r="AQ44" i="13"/>
  <c r="AQ118" i="13"/>
  <c r="AQ52" i="13"/>
  <c r="AQ36" i="13"/>
  <c r="AQ28" i="13"/>
  <c r="AQ531" i="13"/>
  <c r="BJ47" i="2"/>
  <c r="AS49" i="2"/>
  <c r="AS48" i="2" s="1"/>
  <c r="AS50" i="2"/>
  <c r="AP331" i="13"/>
  <c r="AP314" i="13"/>
  <c r="AP325" i="13"/>
  <c r="AQ252" i="13"/>
  <c r="AP340" i="13"/>
  <c r="AP324" i="13"/>
  <c r="AV139" i="71"/>
  <c r="AV113" i="71" s="1"/>
  <c r="BM100" i="71"/>
  <c r="BM93" i="71"/>
  <c r="AT182" i="13"/>
  <c r="AT175" i="13"/>
  <c r="AT73" i="13"/>
  <c r="AU63" i="13"/>
  <c r="AS161" i="13"/>
  <c r="BL86" i="71"/>
  <c r="BL92" i="71"/>
  <c r="AW87" i="2"/>
  <c r="AW41" i="2"/>
  <c r="AW88" i="2"/>
  <c r="AW89" i="2" s="1"/>
  <c r="AW68" i="2"/>
  <c r="AW69" i="2" s="1"/>
  <c r="AX66" i="2"/>
  <c r="AX39" i="2" s="1"/>
  <c r="AO60" i="13"/>
  <c r="AO44" i="13"/>
  <c r="AO141" i="13"/>
  <c r="AO118" i="13"/>
  <c r="AO52" i="13"/>
  <c r="AO36" i="13"/>
  <c r="AO28" i="13"/>
  <c r="AO531" i="13"/>
  <c r="AP141" i="13"/>
  <c r="AP118" i="13"/>
  <c r="AP52" i="13"/>
  <c r="AP36" i="13"/>
  <c r="AP28" i="13"/>
  <c r="AP60" i="13"/>
  <c r="AP44" i="13"/>
  <c r="AP531" i="13"/>
  <c r="BJ252" i="13"/>
  <c r="BJ314" i="13" s="1"/>
  <c r="BN92" i="71" l="1"/>
  <c r="BN93" i="71" s="1"/>
  <c r="AU44" i="13"/>
  <c r="AU52" i="13"/>
  <c r="AU28" i="13"/>
  <c r="AU36" i="13"/>
  <c r="BM88" i="71"/>
  <c r="BM95" i="71" s="1"/>
  <c r="N51" i="3"/>
  <c r="N54" i="3" s="1"/>
  <c r="M57" i="3"/>
  <c r="BJ153" i="3"/>
  <c r="BJ156" i="3" s="1"/>
  <c r="BI159" i="3"/>
  <c r="BJ49" i="2"/>
  <c r="BJ48" i="2" s="1"/>
  <c r="BJ50" i="2"/>
  <c r="AX87" i="2"/>
  <c r="AX41" i="2"/>
  <c r="AX88" i="2"/>
  <c r="AX89" i="2" s="1"/>
  <c r="AX68" i="2"/>
  <c r="AX69" i="2" s="1"/>
  <c r="AS155" i="13"/>
  <c r="AT75" i="13"/>
  <c r="AT70" i="13"/>
  <c r="AT56" i="13"/>
  <c r="AQ331" i="13"/>
  <c r="AQ325" i="13"/>
  <c r="AQ314" i="13"/>
  <c r="AR252" i="13"/>
  <c r="AQ324" i="13"/>
  <c r="AQ340" i="13"/>
  <c r="AU141" i="13"/>
  <c r="AU531" i="13"/>
  <c r="AU118" i="13"/>
  <c r="AX113" i="3"/>
  <c r="AY11" i="3"/>
  <c r="AY101" i="71"/>
  <c r="AY107" i="71"/>
  <c r="AY110" i="71" s="1"/>
  <c r="AY97" i="71"/>
  <c r="AY108" i="71"/>
  <c r="AS75" i="13"/>
  <c r="AS70" i="13"/>
  <c r="AS56" i="13"/>
  <c r="AS78" i="13"/>
  <c r="BM90" i="71"/>
  <c r="BM96" i="71"/>
  <c r="AT185" i="13"/>
  <c r="AT178" i="13"/>
  <c r="AT161" i="13" s="1"/>
  <c r="AT79" i="13"/>
  <c r="AT74" i="13"/>
  <c r="AU64" i="13"/>
  <c r="AY66" i="2"/>
  <c r="AY39" i="2" s="1"/>
  <c r="BL64" i="2"/>
  <c r="BL100" i="71"/>
  <c r="BL93" i="71"/>
  <c r="AU182" i="13"/>
  <c r="AU175" i="13"/>
  <c r="AU65" i="13"/>
  <c r="AU78" i="13" s="1"/>
  <c r="AU73" i="13"/>
  <c r="AV63" i="13"/>
  <c r="BM11" i="3"/>
  <c r="BM101" i="71"/>
  <c r="BM107" i="71"/>
  <c r="BM110" i="71" s="1"/>
  <c r="BJ354" i="13"/>
  <c r="BJ28" i="13"/>
  <c r="BJ52" i="13"/>
  <c r="BJ44" i="13"/>
  <c r="BJ118" i="13"/>
  <c r="BJ36" i="13"/>
  <c r="BJ141" i="13"/>
  <c r="BJ19" i="13"/>
  <c r="BJ531" i="13"/>
  <c r="BJ60" i="13"/>
  <c r="BK47" i="2"/>
  <c r="BL90" i="71"/>
  <c r="BL96" i="71"/>
  <c r="BN88" i="71"/>
  <c r="BN95" i="71" s="1"/>
  <c r="BN90" i="71"/>
  <c r="BN96" i="71"/>
  <c r="BK75" i="13"/>
  <c r="BK70" i="13"/>
  <c r="AR60" i="13"/>
  <c r="AR58" i="13"/>
  <c r="AR57" i="13"/>
  <c r="BK56" i="13"/>
  <c r="BK252" i="13"/>
  <c r="BK314" i="13" s="1"/>
  <c r="BJ532" i="13"/>
  <c r="BN100" i="71" l="1"/>
  <c r="BN101" i="71" s="1"/>
  <c r="BK153" i="3"/>
  <c r="BK156" i="3" s="1"/>
  <c r="BL153" i="3" s="1"/>
  <c r="BJ159" i="3"/>
  <c r="N57" i="3"/>
  <c r="O51" i="3"/>
  <c r="O54" i="3" s="1"/>
  <c r="AT155" i="13"/>
  <c r="BN97" i="71"/>
  <c r="BN108" i="71"/>
  <c r="BM113" i="3"/>
  <c r="AU75" i="13"/>
  <c r="AU70" i="13"/>
  <c r="AU56" i="13"/>
  <c r="BL107" i="71"/>
  <c r="BL110" i="71" s="1"/>
  <c r="BL101" i="71"/>
  <c r="BM64" i="2"/>
  <c r="BL66" i="2"/>
  <c r="AU185" i="13"/>
  <c r="AU178" i="13"/>
  <c r="AU161" i="13" s="1"/>
  <c r="AV64" i="13"/>
  <c r="BL64" i="13" s="1"/>
  <c r="AU79" i="13"/>
  <c r="AU74" i="13"/>
  <c r="AS60" i="13"/>
  <c r="AS58" i="13"/>
  <c r="AS57" i="13"/>
  <c r="AS164" i="13"/>
  <c r="AS159" i="13"/>
  <c r="AW141" i="13"/>
  <c r="AW36" i="13"/>
  <c r="AW28" i="13"/>
  <c r="AW52" i="13"/>
  <c r="AW44" i="13"/>
  <c r="AW531" i="13"/>
  <c r="AW118" i="13"/>
  <c r="BK50" i="2"/>
  <c r="BK49" i="2"/>
  <c r="BK48" i="2" s="1"/>
  <c r="BK60" i="13"/>
  <c r="BK58" i="13"/>
  <c r="BK59" i="13"/>
  <c r="BL108" i="71"/>
  <c r="BL112" i="71" s="1"/>
  <c r="BL97" i="71"/>
  <c r="BK28" i="13"/>
  <c r="BK141" i="13"/>
  <c r="BK36" i="13"/>
  <c r="BK52" i="13"/>
  <c r="BK354" i="13"/>
  <c r="BK118" i="13"/>
  <c r="BK44" i="13"/>
  <c r="BK19" i="13"/>
  <c r="BK531" i="13"/>
  <c r="AV182" i="13"/>
  <c r="AV175" i="13"/>
  <c r="AV73" i="13"/>
  <c r="AW63" i="13"/>
  <c r="AV65" i="13"/>
  <c r="AV78" i="13" s="1"/>
  <c r="BL63" i="13"/>
  <c r="AY88" i="2"/>
  <c r="AY89" i="2" s="1"/>
  <c r="AY68" i="2"/>
  <c r="BL39" i="2"/>
  <c r="AY87" i="2"/>
  <c r="AY41" i="2"/>
  <c r="BM108" i="71"/>
  <c r="BM97" i="71"/>
  <c r="AY137" i="71"/>
  <c r="AY112" i="71"/>
  <c r="BL11" i="3"/>
  <c r="AY113" i="3"/>
  <c r="AS252" i="13"/>
  <c r="AT252" i="13" s="1"/>
  <c r="AU252" i="13" s="1"/>
  <c r="AV252" i="13" s="1"/>
  <c r="AW252" i="13" s="1"/>
  <c r="AX252" i="13" s="1"/>
  <c r="AY252" i="13" s="1"/>
  <c r="AT60" i="13"/>
  <c r="AT58" i="13"/>
  <c r="AT57" i="13"/>
  <c r="AV144" i="71"/>
  <c r="AU144" i="71"/>
  <c r="BK144" i="71" s="1"/>
  <c r="BN107" i="71" l="1"/>
  <c r="BN110" i="71" s="1"/>
  <c r="BN11" i="3"/>
  <c r="BN113" i="3" s="1"/>
  <c r="BL252" i="13"/>
  <c r="BM252" i="13" s="1"/>
  <c r="BN252" i="13" s="1"/>
  <c r="O57" i="3"/>
  <c r="P51" i="3"/>
  <c r="BL74" i="13"/>
  <c r="BM64" i="13"/>
  <c r="BL69" i="13"/>
  <c r="AU155" i="13"/>
  <c r="AX141" i="13"/>
  <c r="AX28" i="13"/>
  <c r="AX36" i="13"/>
  <c r="AX52" i="13"/>
  <c r="AX44" i="13"/>
  <c r="AX531" i="13"/>
  <c r="AX118" i="13"/>
  <c r="BL113" i="3"/>
  <c r="AY139" i="71"/>
  <c r="AY113" i="71" s="1"/>
  <c r="BL137" i="71"/>
  <c r="BL139" i="71" s="1"/>
  <c r="BL113" i="71" s="1"/>
  <c r="BM112" i="71"/>
  <c r="BM137" i="71"/>
  <c r="BM139" i="71" s="1"/>
  <c r="BM113" i="71" s="1"/>
  <c r="AY69" i="2"/>
  <c r="BL68" i="2"/>
  <c r="BL69" i="2" s="1"/>
  <c r="BL73" i="13"/>
  <c r="BL68" i="13"/>
  <c r="BM63" i="13"/>
  <c r="AW182" i="13"/>
  <c r="AW175" i="13"/>
  <c r="AW73" i="13"/>
  <c r="AX63" i="13"/>
  <c r="BN64" i="2"/>
  <c r="BN66" i="2" s="1"/>
  <c r="BN39" i="2" s="1"/>
  <c r="BM66" i="2"/>
  <c r="BM39" i="2" s="1"/>
  <c r="BN112" i="71"/>
  <c r="BN137" i="71"/>
  <c r="BN139" i="71" s="1"/>
  <c r="BN113" i="71" s="1"/>
  <c r="AT164" i="13"/>
  <c r="AT159" i="13"/>
  <c r="AY141" i="13"/>
  <c r="AY36" i="13"/>
  <c r="AY28" i="13"/>
  <c r="AY52" i="13"/>
  <c r="AY44" i="13"/>
  <c r="AY531" i="13"/>
  <c r="AY118" i="13"/>
  <c r="BL87" i="2"/>
  <c r="BL41" i="2"/>
  <c r="BL88" i="2"/>
  <c r="BL89" i="2" s="1"/>
  <c r="AV75" i="13"/>
  <c r="AV70" i="13"/>
  <c r="AV56" i="13"/>
  <c r="BL65" i="13"/>
  <c r="AV185" i="13"/>
  <c r="AV178" i="13"/>
  <c r="AV161" i="13" s="1"/>
  <c r="AV79" i="13"/>
  <c r="AV74" i="13"/>
  <c r="AW64" i="13"/>
  <c r="AU60" i="13"/>
  <c r="AU58" i="13"/>
  <c r="AU57" i="13"/>
  <c r="BL56" i="13"/>
  <c r="BM115" i="71" l="1"/>
  <c r="BN114" i="71"/>
  <c r="P54" i="3"/>
  <c r="P153" i="3"/>
  <c r="AV155" i="13"/>
  <c r="BL47" i="2"/>
  <c r="BL59" i="13"/>
  <c r="BL60" i="13"/>
  <c r="BL58" i="13"/>
  <c r="AW185" i="13"/>
  <c r="AW178" i="13"/>
  <c r="AW161" i="13" s="1"/>
  <c r="AX64" i="13"/>
  <c r="AX65" i="13" s="1"/>
  <c r="AX78" i="13" s="1"/>
  <c r="AW74" i="13"/>
  <c r="AV60" i="13"/>
  <c r="AV58" i="13"/>
  <c r="AV57" i="13"/>
  <c r="BN87" i="2"/>
  <c r="BN88" i="2"/>
  <c r="BN89" i="2" s="1"/>
  <c r="BN68" i="2"/>
  <c r="BN69" i="2" s="1"/>
  <c r="AW65" i="13"/>
  <c r="AW79" i="13" s="1"/>
  <c r="BM178" i="13"/>
  <c r="BM185" i="13"/>
  <c r="BM74" i="13"/>
  <c r="BN64" i="13"/>
  <c r="BL49" i="2"/>
  <c r="BL48" i="2" s="1"/>
  <c r="BL50" i="2"/>
  <c r="BL75" i="13"/>
  <c r="BL70" i="13"/>
  <c r="BM87" i="2"/>
  <c r="BM88" i="2"/>
  <c r="BM89" i="2" s="1"/>
  <c r="BM68" i="2"/>
  <c r="BM69" i="2" s="1"/>
  <c r="AX182" i="13"/>
  <c r="AX175" i="13"/>
  <c r="AX73" i="13"/>
  <c r="AY63" i="13"/>
  <c r="BM175" i="13"/>
  <c r="BM161" i="13" s="1"/>
  <c r="BM182" i="13"/>
  <c r="BM78" i="13"/>
  <c r="BM65" i="13"/>
  <c r="BM73" i="13"/>
  <c r="BN63" i="13"/>
  <c r="AU164" i="13"/>
  <c r="AU159" i="13"/>
  <c r="AW144" i="71"/>
  <c r="S153" i="3" l="1"/>
  <c r="S156" i="3" s="1"/>
  <c r="S159" i="3" s="1"/>
  <c r="P156" i="3"/>
  <c r="P159" i="3" s="1"/>
  <c r="R153" i="3"/>
  <c r="R156" i="3" s="1"/>
  <c r="R159" i="3" s="1"/>
  <c r="Q153" i="3"/>
  <c r="Q156" i="3" s="1"/>
  <c r="Q159" i="3" s="1"/>
  <c r="P57" i="3"/>
  <c r="Q51" i="3"/>
  <c r="Q54" i="3" s="1"/>
  <c r="AW155" i="13"/>
  <c r="BM12" i="2"/>
  <c r="BN182" i="13"/>
  <c r="BN175" i="13"/>
  <c r="BN73" i="13"/>
  <c r="BN65" i="13"/>
  <c r="BN78" i="13" s="1"/>
  <c r="BM75" i="13"/>
  <c r="BM70" i="13"/>
  <c r="BM56" i="13"/>
  <c r="AX75" i="13"/>
  <c r="AX70" i="13"/>
  <c r="AX56" i="13"/>
  <c r="BN185" i="13"/>
  <c r="BN178" i="13"/>
  <c r="BN74" i="13"/>
  <c r="BN79" i="13"/>
  <c r="BM79" i="13"/>
  <c r="AV164" i="13"/>
  <c r="AV159" i="13"/>
  <c r="BN161" i="13"/>
  <c r="BN155" i="13" s="1"/>
  <c r="BM155" i="13"/>
  <c r="AY182" i="13"/>
  <c r="AY175" i="13"/>
  <c r="AY73" i="13"/>
  <c r="AW75" i="13"/>
  <c r="AW70" i="13"/>
  <c r="AW56" i="13"/>
  <c r="AW78" i="13"/>
  <c r="AX185" i="13"/>
  <c r="AX178" i="13"/>
  <c r="AX161" i="13" s="1"/>
  <c r="AX79" i="13"/>
  <c r="AX74" i="13"/>
  <c r="AY64" i="13"/>
  <c r="AY65" i="13" s="1"/>
  <c r="AY78" i="13" s="1"/>
  <c r="BL141" i="13"/>
  <c r="BL28" i="13"/>
  <c r="BL52" i="13"/>
  <c r="BL118" i="13"/>
  <c r="BL36" i="13"/>
  <c r="BL354" i="13"/>
  <c r="BL44" i="13"/>
  <c r="BL19" i="13"/>
  <c r="BL531" i="13"/>
  <c r="AX144" i="71"/>
  <c r="AY144" i="71"/>
  <c r="BJ534" i="13"/>
  <c r="R51" i="3" l="1"/>
  <c r="R54" i="3" s="1"/>
  <c r="Q57" i="3"/>
  <c r="AX155" i="13"/>
  <c r="BM27" i="2"/>
  <c r="BM15" i="2"/>
  <c r="AY185" i="13"/>
  <c r="AY178" i="13"/>
  <c r="AY161" i="13" s="1"/>
  <c r="AY155" i="13" s="1"/>
  <c r="AY79" i="13"/>
  <c r="AY74" i="13"/>
  <c r="AW60" i="13"/>
  <c r="AW58" i="13"/>
  <c r="AW57" i="13"/>
  <c r="BM164" i="13"/>
  <c r="BM159" i="13"/>
  <c r="BM60" i="13"/>
  <c r="BM58" i="13"/>
  <c r="BM57" i="13"/>
  <c r="BM21" i="3"/>
  <c r="AW164" i="13"/>
  <c r="AW159" i="13"/>
  <c r="BN12" i="2"/>
  <c r="BN21" i="3" s="1"/>
  <c r="AY75" i="13"/>
  <c r="AY70" i="13"/>
  <c r="AY56" i="13"/>
  <c r="BN164" i="13"/>
  <c r="BN159" i="13"/>
  <c r="AX60" i="13"/>
  <c r="AX58" i="13"/>
  <c r="AX57" i="13"/>
  <c r="BN56" i="13"/>
  <c r="BN75" i="13"/>
  <c r="BN70" i="13"/>
  <c r="BM141" i="13"/>
  <c r="BM52" i="13"/>
  <c r="BM28" i="13"/>
  <c r="BM118" i="13"/>
  <c r="BM36" i="13"/>
  <c r="BM44" i="13"/>
  <c r="BM531" i="13"/>
  <c r="BL144" i="71"/>
  <c r="S51" i="3" l="1"/>
  <c r="S54" i="3" s="1"/>
  <c r="R57" i="3"/>
  <c r="AY164" i="13"/>
  <c r="AY159" i="13"/>
  <c r="BN123" i="3"/>
  <c r="BN57" i="13"/>
  <c r="BN60" i="13"/>
  <c r="BN58" i="13"/>
  <c r="AY60" i="13"/>
  <c r="AY58" i="13"/>
  <c r="AY57" i="13"/>
  <c r="BN141" i="13"/>
  <c r="BN28" i="13"/>
  <c r="BN52" i="13"/>
  <c r="BN118" i="13"/>
  <c r="BN36" i="13"/>
  <c r="BN44" i="13"/>
  <c r="BN531" i="13"/>
  <c r="BM22" i="3"/>
  <c r="BM124" i="3" s="1"/>
  <c r="AX164" i="13"/>
  <c r="AX159" i="13"/>
  <c r="BN15" i="2"/>
  <c r="BN22" i="3" s="1"/>
  <c r="BN27" i="2"/>
  <c r="BM123" i="3"/>
  <c r="BM23" i="3"/>
  <c r="BM125" i="3" s="1"/>
  <c r="BM32" i="2"/>
  <c r="BM41" i="2" s="1"/>
  <c r="S57" i="3" l="1"/>
  <c r="T51" i="3"/>
  <c r="BN124" i="3"/>
  <c r="BN23" i="3"/>
  <c r="BN125" i="3" s="1"/>
  <c r="BN32" i="2"/>
  <c r="BN41" i="2" s="1"/>
  <c r="BJ94" i="3"/>
  <c r="BJ97" i="3" s="1"/>
  <c r="BJ103" i="3"/>
  <c r="BJ98" i="3" s="1"/>
  <c r="BJ99" i="3" l="1"/>
  <c r="T54" i="3"/>
  <c r="T153" i="3"/>
  <c r="W153" i="3" l="1"/>
  <c r="W156" i="3" s="1"/>
  <c r="W159" i="3" s="1"/>
  <c r="T156" i="3"/>
  <c r="T159" i="3" s="1"/>
  <c r="V153" i="3"/>
  <c r="V156" i="3" s="1"/>
  <c r="V159" i="3" s="1"/>
  <c r="U153" i="3"/>
  <c r="U156" i="3" s="1"/>
  <c r="U159" i="3" s="1"/>
  <c r="U51" i="3"/>
  <c r="U54" i="3" s="1"/>
  <c r="T57" i="3"/>
  <c r="BK534" i="13"/>
  <c r="U57" i="3" l="1"/>
  <c r="V51" i="3"/>
  <c r="V54" i="3" s="1"/>
  <c r="AU158" i="3"/>
  <c r="AU90" i="2"/>
  <c r="AU91" i="2" s="1"/>
  <c r="AU77" i="2"/>
  <c r="BK11" i="2"/>
  <c r="AU95" i="2"/>
  <c r="AU96" i="2" s="1"/>
  <c r="W51" i="3" l="1"/>
  <c r="W54" i="3" s="1"/>
  <c r="V57" i="3"/>
  <c r="BK158" i="3"/>
  <c r="BK159" i="3" s="1"/>
  <c r="BK56" i="3"/>
  <c r="BK57" i="3" s="1"/>
  <c r="AU92" i="2"/>
  <c r="AU81" i="2"/>
  <c r="AU78" i="2"/>
  <c r="BK90" i="2"/>
  <c r="BK91" i="2" s="1"/>
  <c r="BK77" i="2"/>
  <c r="BK17" i="2"/>
  <c r="BK95" i="2"/>
  <c r="BK103" i="3"/>
  <c r="BK98" i="3" s="1"/>
  <c r="BK94" i="3"/>
  <c r="BK97" i="3" s="1"/>
  <c r="AU84" i="2" l="1"/>
  <c r="X51" i="3"/>
  <c r="W57" i="3"/>
  <c r="BK99" i="3"/>
  <c r="AU43" i="2"/>
  <c r="BK81" i="2"/>
  <c r="BK78" i="2"/>
  <c r="BK84" i="2" s="1"/>
  <c r="BK92" i="2"/>
  <c r="BK24" i="2"/>
  <c r="X54" i="3" l="1"/>
  <c r="X153" i="3"/>
  <c r="BK43" i="2"/>
  <c r="BK67" i="3"/>
  <c r="BL534" i="13"/>
  <c r="Y51" i="3" l="1"/>
  <c r="Y54" i="3" s="1"/>
  <c r="X57" i="3"/>
  <c r="Z153" i="3"/>
  <c r="Z156" i="3" s="1"/>
  <c r="Z159" i="3" s="1"/>
  <c r="Y153" i="3"/>
  <c r="Y156" i="3" s="1"/>
  <c r="Y159" i="3" s="1"/>
  <c r="AA153" i="3"/>
  <c r="AA156" i="3" s="1"/>
  <c r="X156" i="3"/>
  <c r="X159" i="3" s="1"/>
  <c r="AA159" i="3" l="1"/>
  <c r="AB153" i="3"/>
  <c r="Y57" i="3"/>
  <c r="Z51" i="3"/>
  <c r="Z54" i="3" s="1"/>
  <c r="AA51" i="3" l="1"/>
  <c r="AA54" i="3" s="1"/>
  <c r="Z57" i="3"/>
  <c r="AD153" i="3"/>
  <c r="AD156" i="3" s="1"/>
  <c r="AD159" i="3" s="1"/>
  <c r="AC153" i="3"/>
  <c r="AC156" i="3" s="1"/>
  <c r="AC159" i="3" s="1"/>
  <c r="AE153" i="3"/>
  <c r="AE156" i="3" s="1"/>
  <c r="AB156" i="3"/>
  <c r="AB159" i="3" s="1"/>
  <c r="BL103" i="3"/>
  <c r="BL98" i="3" s="1"/>
  <c r="AF153" i="3" l="1"/>
  <c r="AE159" i="3"/>
  <c r="AB51" i="3"/>
  <c r="AB54" i="3" s="1"/>
  <c r="AA57" i="3"/>
  <c r="AC51" i="3" l="1"/>
  <c r="AC54" i="3" s="1"/>
  <c r="AB57" i="3"/>
  <c r="AG153" i="3"/>
  <c r="AG156" i="3" s="1"/>
  <c r="AG159" i="3" s="1"/>
  <c r="AH153" i="3"/>
  <c r="AF156" i="3"/>
  <c r="AF159" i="3" s="1"/>
  <c r="AH156" i="3" l="1"/>
  <c r="AH159" i="3" s="1"/>
  <c r="AI153" i="3"/>
  <c r="AI156" i="3" s="1"/>
  <c r="AD51" i="3"/>
  <c r="AD54" i="3" s="1"/>
  <c r="AC57" i="3"/>
  <c r="AI159" i="3" l="1"/>
  <c r="AJ153" i="3"/>
  <c r="AD57" i="3"/>
  <c r="AE51" i="3"/>
  <c r="AE54" i="3" s="1"/>
  <c r="AE57" i="3" l="1"/>
  <c r="AF51" i="3"/>
  <c r="AF54" i="3" s="1"/>
  <c r="AL153" i="3"/>
  <c r="AJ156" i="3"/>
  <c r="AJ159" i="3" s="1"/>
  <c r="AK153" i="3"/>
  <c r="AK156" i="3" s="1"/>
  <c r="AK159" i="3" s="1"/>
  <c r="AF57" i="3" l="1"/>
  <c r="AG51" i="3"/>
  <c r="AG54" i="3" s="1"/>
  <c r="AL156" i="3"/>
  <c r="AL159" i="3" s="1"/>
  <c r="AM153" i="3"/>
  <c r="AM156" i="3" s="1"/>
  <c r="AM159" i="3" l="1"/>
  <c r="AN153" i="3"/>
  <c r="AH51" i="3"/>
  <c r="AH54" i="3" s="1"/>
  <c r="AG57" i="3"/>
  <c r="AN156" i="3" l="1"/>
  <c r="AN159" i="3" s="1"/>
  <c r="AO153" i="3"/>
  <c r="AO156" i="3" s="1"/>
  <c r="AO159" i="3" s="1"/>
  <c r="AP153" i="3"/>
  <c r="AH57" i="3"/>
  <c r="AI51" i="3"/>
  <c r="AI54" i="3" s="1"/>
  <c r="AI57" i="3" l="1"/>
  <c r="AJ51" i="3"/>
  <c r="AJ54" i="3" s="1"/>
  <c r="AP156" i="3"/>
  <c r="AP159" i="3" s="1"/>
  <c r="AQ153" i="3"/>
  <c r="AQ156" i="3" s="1"/>
  <c r="AR153" i="3" l="1"/>
  <c r="AQ159" i="3"/>
  <c r="AK51" i="3"/>
  <c r="AK54" i="3" s="1"/>
  <c r="AJ57" i="3"/>
  <c r="AK57" i="3" l="1"/>
  <c r="AL51" i="3"/>
  <c r="AL54" i="3" s="1"/>
  <c r="AU153" i="3"/>
  <c r="AU156" i="3" s="1"/>
  <c r="AR156" i="3"/>
  <c r="AR159" i="3" s="1"/>
  <c r="AT153" i="3"/>
  <c r="AT156" i="3" s="1"/>
  <c r="AT159" i="3" s="1"/>
  <c r="AS153" i="3"/>
  <c r="AS156" i="3" s="1"/>
  <c r="AS159" i="3" s="1"/>
  <c r="AM51" i="3" l="1"/>
  <c r="AM54" i="3" s="1"/>
  <c r="AL57" i="3"/>
  <c r="AV153" i="3"/>
  <c r="AU159" i="3"/>
  <c r="AY153" i="3" l="1"/>
  <c r="AX153" i="3"/>
  <c r="AW153" i="3"/>
  <c r="AN51" i="3"/>
  <c r="AN54" i="3" s="1"/>
  <c r="AM57" i="3"/>
  <c r="AN57" i="3" l="1"/>
  <c r="AO51" i="3"/>
  <c r="AO54" i="3" s="1"/>
  <c r="AP51" i="3" l="1"/>
  <c r="AP54" i="3" s="1"/>
  <c r="AO57" i="3"/>
  <c r="AP57" i="3" l="1"/>
  <c r="AQ51" i="3"/>
  <c r="AQ54" i="3" s="1"/>
  <c r="AR51" i="3" l="1"/>
  <c r="AR54" i="3" s="1"/>
  <c r="AQ57" i="3"/>
  <c r="AS51" i="3" l="1"/>
  <c r="AS54" i="3" s="1"/>
  <c r="AR57" i="3"/>
  <c r="AS57" i="3" l="1"/>
  <c r="AT51" i="3"/>
  <c r="AT54" i="3" s="1"/>
  <c r="AU51" i="3" s="1"/>
  <c r="AU54" i="3" s="1"/>
  <c r="AU57" i="3" s="1"/>
  <c r="AT57" i="3" l="1"/>
  <c r="AV51" i="3" l="1"/>
  <c r="AV68" i="3" l="1"/>
  <c r="AV77" i="3"/>
  <c r="AV13" i="3" s="1"/>
  <c r="AV115" i="3" s="1"/>
  <c r="AV146" i="71"/>
  <c r="AV147" i="71" l="1"/>
  <c r="AV69" i="3"/>
  <c r="AV82" i="3"/>
  <c r="AV83" i="3" s="1"/>
  <c r="AV30" i="3"/>
  <c r="AV132" i="3"/>
  <c r="AV155" i="3" s="1"/>
  <c r="AV156" i="3" s="1"/>
  <c r="AV19" i="2" l="1"/>
  <c r="AV71" i="3" s="1"/>
  <c r="AV72" i="3" s="1"/>
  <c r="AW78" i="3"/>
  <c r="AV53" i="3"/>
  <c r="AV87" i="3"/>
  <c r="AW146" i="71" l="1"/>
  <c r="AW77" i="3"/>
  <c r="AW13" i="3" s="1"/>
  <c r="AW68" i="3"/>
  <c r="AW69" i="3" s="1"/>
  <c r="AW19" i="2" s="1"/>
  <c r="AW71" i="3" s="1"/>
  <c r="AW72" i="3" s="1"/>
  <c r="AV11" i="2"/>
  <c r="AV54" i="3"/>
  <c r="AW51" i="3" s="1"/>
  <c r="AW147" i="71" l="1"/>
  <c r="AX78" i="3"/>
  <c r="AX77" i="3" s="1"/>
  <c r="AX13" i="3" s="1"/>
  <c r="AW30" i="3"/>
  <c r="AW82" i="3"/>
  <c r="AW83" i="3" s="1"/>
  <c r="AW115" i="3"/>
  <c r="AW132" i="3" s="1"/>
  <c r="AW155" i="3" s="1"/>
  <c r="AW156" i="3" s="1"/>
  <c r="AX146" i="71"/>
  <c r="AV90" i="2"/>
  <c r="AV91" i="2" s="1"/>
  <c r="AV158" i="3"/>
  <c r="AV159" i="3" s="1"/>
  <c r="AV95" i="2"/>
  <c r="AV96" i="2" s="1"/>
  <c r="AV56" i="3"/>
  <c r="AV57" i="3" s="1"/>
  <c r="AV77" i="2"/>
  <c r="AV17" i="2"/>
  <c r="AX68" i="3" l="1"/>
  <c r="AX69" i="3" s="1"/>
  <c r="AW87" i="3"/>
  <c r="AW53" i="3"/>
  <c r="AX115" i="3"/>
  <c r="AX30" i="3"/>
  <c r="AX82" i="3"/>
  <c r="AX83" i="3" s="1"/>
  <c r="AX147" i="71"/>
  <c r="AV81" i="2"/>
  <c r="AV78" i="2"/>
  <c r="AV92" i="2"/>
  <c r="AV24" i="2"/>
  <c r="AW54" i="3" l="1"/>
  <c r="AX51" i="3" s="1"/>
  <c r="AW11" i="2"/>
  <c r="AX87" i="3"/>
  <c r="AX53" i="3"/>
  <c r="AX132" i="3"/>
  <c r="AX155" i="3" s="1"/>
  <c r="AX156" i="3" s="1"/>
  <c r="AX19" i="2"/>
  <c r="AX71" i="3" s="1"/>
  <c r="AX72" i="3" s="1"/>
  <c r="AY78" i="3"/>
  <c r="AV84" i="2"/>
  <c r="AV43" i="2"/>
  <c r="AV67" i="3"/>
  <c r="AW77" i="2" l="1"/>
  <c r="AW95" i="2"/>
  <c r="AW96" i="2" s="1"/>
  <c r="AW90" i="2"/>
  <c r="AW91" i="2" s="1"/>
  <c r="AW56" i="3"/>
  <c r="AW57" i="3" s="1"/>
  <c r="AW158" i="3"/>
  <c r="AW159" i="3" s="1"/>
  <c r="AW17" i="2"/>
  <c r="AY77" i="3"/>
  <c r="AY13" i="3" s="1"/>
  <c r="AY146" i="71"/>
  <c r="BL78" i="3"/>
  <c r="AY68" i="3"/>
  <c r="AY69" i="3" s="1"/>
  <c r="AY19" i="2" s="1"/>
  <c r="AX54" i="3"/>
  <c r="AY51" i="3" s="1"/>
  <c r="AX11" i="2"/>
  <c r="AW81" i="2" l="1"/>
  <c r="AW78" i="2"/>
  <c r="AW24" i="2"/>
  <c r="AW92" i="2"/>
  <c r="AY71" i="3"/>
  <c r="AY72" i="3" s="1"/>
  <c r="BL19" i="2"/>
  <c r="BM78" i="3"/>
  <c r="BL91" i="3"/>
  <c r="BL94" i="3" s="1"/>
  <c r="BL97" i="3" s="1"/>
  <c r="BL99" i="3" s="1"/>
  <c r="AX77" i="2"/>
  <c r="AX90" i="2"/>
  <c r="AX91" i="2" s="1"/>
  <c r="AX95" i="2"/>
  <c r="AX96" i="2" s="1"/>
  <c r="AX56" i="3"/>
  <c r="AX57" i="3" s="1"/>
  <c r="AX17" i="2"/>
  <c r="AX158" i="3"/>
  <c r="AX159" i="3" s="1"/>
  <c r="AY147" i="71"/>
  <c r="BL146" i="71"/>
  <c r="AY82" i="3"/>
  <c r="AY83" i="3" s="1"/>
  <c r="AY30" i="3"/>
  <c r="BL13" i="3"/>
  <c r="AY115" i="3"/>
  <c r="AW67" i="3" l="1"/>
  <c r="AW43" i="2"/>
  <c r="AW84" i="2"/>
  <c r="BL82" i="3"/>
  <c r="BL80" i="3" s="1"/>
  <c r="BL77" i="3" s="1"/>
  <c r="BL83" i="3" s="1"/>
  <c r="BL30" i="3"/>
  <c r="AY87" i="3"/>
  <c r="AY53" i="3"/>
  <c r="BN78" i="3"/>
  <c r="BM77" i="3"/>
  <c r="BM13" i="3" s="1"/>
  <c r="BM91" i="3"/>
  <c r="BM94" i="3" s="1"/>
  <c r="BM97" i="3" s="1"/>
  <c r="BM99" i="3" s="1"/>
  <c r="AX92" i="2"/>
  <c r="AX24" i="2"/>
  <c r="BL71" i="3"/>
  <c r="BL68" i="3"/>
  <c r="AY132" i="3"/>
  <c r="AY155" i="3" s="1"/>
  <c r="AY156" i="3" s="1"/>
  <c r="BL115" i="3"/>
  <c r="BL132" i="3" s="1"/>
  <c r="BL155" i="3" s="1"/>
  <c r="BL156" i="3" s="1"/>
  <c r="BM153" i="3" s="1"/>
  <c r="AX78" i="2"/>
  <c r="AX81" i="2"/>
  <c r="BN77" i="3" l="1"/>
  <c r="BN13" i="3" s="1"/>
  <c r="BN91" i="3"/>
  <c r="BN94" i="3" s="1"/>
  <c r="BN97" i="3" s="1"/>
  <c r="BN99" i="3" s="1"/>
  <c r="BL69" i="3"/>
  <c r="BL72" i="3" s="1"/>
  <c r="BM68" i="3"/>
  <c r="AX84" i="2"/>
  <c r="BM30" i="3"/>
  <c r="BM115" i="3"/>
  <c r="BM132" i="3" s="1"/>
  <c r="BM155" i="3" s="1"/>
  <c r="BM156" i="3" s="1"/>
  <c r="BN153" i="3" s="1"/>
  <c r="BM82" i="3"/>
  <c r="BL87" i="3"/>
  <c r="BL53" i="3"/>
  <c r="BL54" i="3" s="1"/>
  <c r="BM51" i="3" s="1"/>
  <c r="AX43" i="2"/>
  <c r="AX67" i="3"/>
  <c r="AY54" i="3"/>
  <c r="AY11" i="2"/>
  <c r="BM53" i="3" l="1"/>
  <c r="BM54" i="3" s="1"/>
  <c r="BN51" i="3" s="1"/>
  <c r="BM87" i="3"/>
  <c r="BM83" i="3"/>
  <c r="BM80" i="3"/>
  <c r="AY77" i="2"/>
  <c r="AY90" i="2"/>
  <c r="AY91" i="2" s="1"/>
  <c r="AY17" i="2"/>
  <c r="AY95" i="2"/>
  <c r="AY96" i="2" s="1"/>
  <c r="BL11" i="2"/>
  <c r="AY158" i="3"/>
  <c r="AY159" i="3" s="1"/>
  <c r="AY56" i="3"/>
  <c r="AY57" i="3" s="1"/>
  <c r="BN68" i="3"/>
  <c r="BN69" i="3" s="1"/>
  <c r="BN19" i="2" s="1"/>
  <c r="BN71" i="3" s="1"/>
  <c r="BN72" i="3" s="1"/>
  <c r="BM69" i="3"/>
  <c r="BM19" i="2" s="1"/>
  <c r="BN30" i="3"/>
  <c r="BN82" i="3"/>
  <c r="BN115" i="3"/>
  <c r="BN132" i="3" s="1"/>
  <c r="BN155" i="3" s="1"/>
  <c r="BN156" i="3" s="1"/>
  <c r="BL158" i="3" l="1"/>
  <c r="BL159" i="3" s="1"/>
  <c r="BL77" i="2"/>
  <c r="BL95" i="2"/>
  <c r="BL17" i="2"/>
  <c r="BM11" i="2"/>
  <c r="BL56" i="3"/>
  <c r="BL57" i="3" s="1"/>
  <c r="BL90" i="2"/>
  <c r="BL91" i="2" s="1"/>
  <c r="AY81" i="2"/>
  <c r="AY78" i="2"/>
  <c r="BM71" i="3"/>
  <c r="BM72" i="3" s="1"/>
  <c r="BN80" i="3"/>
  <c r="BN83" i="3"/>
  <c r="AY92" i="2"/>
  <c r="AY24" i="2"/>
  <c r="BN53" i="3"/>
  <c r="BN54" i="3" s="1"/>
  <c r="BN87" i="3"/>
  <c r="BL81" i="2" l="1"/>
  <c r="BL78" i="2"/>
  <c r="BL84" i="2" s="1"/>
  <c r="AY43" i="2"/>
  <c r="AY67" i="3"/>
  <c r="AY84" i="2"/>
  <c r="BM90" i="2"/>
  <c r="BM91" i="2" s="1"/>
  <c r="BM95" i="2"/>
  <c r="BM158" i="3"/>
  <c r="BM159" i="3" s="1"/>
  <c r="BM56" i="3"/>
  <c r="BM57" i="3" s="1"/>
  <c r="BM17" i="2"/>
  <c r="BN11" i="2"/>
  <c r="BM77" i="2"/>
  <c r="BL92" i="2"/>
  <c r="BL24" i="2"/>
  <c r="BL43" i="2" l="1"/>
  <c r="BL67" i="3"/>
  <c r="F1" i="2"/>
  <c r="R1" i="3"/>
  <c r="T1" i="3"/>
  <c r="N1" i="2"/>
  <c r="AN1" i="71"/>
  <c r="AT1" i="3"/>
  <c r="L1" i="2"/>
  <c r="R1" i="2"/>
  <c r="AF1" i="71"/>
  <c r="F1" i="71"/>
  <c r="BN1" i="71"/>
  <c r="BK1" i="2"/>
  <c r="BC1" i="71"/>
  <c r="AD1" i="3"/>
  <c r="AB1" i="3"/>
  <c r="AP1" i="2"/>
  <c r="V1" i="3"/>
  <c r="P1" i="71"/>
  <c r="AP1" i="3"/>
  <c r="BM1" i="2"/>
  <c r="J1" i="3"/>
  <c r="AR1" i="2"/>
  <c r="Z1" i="71"/>
  <c r="N1" i="3"/>
  <c r="D1" i="3"/>
  <c r="AH1" i="71"/>
  <c r="BM1" i="3"/>
  <c r="AL1" i="3"/>
  <c r="BK1" i="71"/>
  <c r="BE1" i="71"/>
  <c r="BK1" i="3"/>
  <c r="BG1" i="71"/>
  <c r="P1" i="3"/>
  <c r="Z1" i="3"/>
  <c r="AJ1" i="3"/>
  <c r="AR1" i="71"/>
  <c r="L1" i="71"/>
  <c r="AZ1" i="71"/>
  <c r="AF1" i="2"/>
  <c r="X1" i="3"/>
  <c r="AP1" i="71"/>
  <c r="AZ1" i="2"/>
  <c r="AR1" i="3"/>
  <c r="V1" i="2"/>
  <c r="P1" i="2"/>
  <c r="AT1" i="71"/>
  <c r="D1" i="2"/>
  <c r="BN1" i="3"/>
  <c r="N1" i="71"/>
  <c r="T1" i="2"/>
  <c r="BC1" i="2"/>
  <c r="Z1" i="2"/>
  <c r="AV1" i="71"/>
  <c r="V1" i="71"/>
  <c r="AN1" i="2"/>
  <c r="AN1" i="3"/>
  <c r="AH1" i="3"/>
  <c r="AJ1" i="71"/>
  <c r="AL1" i="2"/>
  <c r="BN1" i="2"/>
  <c r="J1" i="2"/>
  <c r="AJ1" i="2"/>
  <c r="X1" i="71"/>
  <c r="AX1" i="71"/>
  <c r="AZ1" i="3"/>
  <c r="AT1" i="2"/>
  <c r="R1" i="71"/>
  <c r="BG1" i="2"/>
  <c r="AH1" i="2"/>
  <c r="AB1" i="71"/>
  <c r="AD1" i="71"/>
  <c r="T1" i="71"/>
  <c r="BC1" i="3"/>
  <c r="AF1" i="3"/>
  <c r="BM1" i="71"/>
  <c r="AD1" i="2"/>
  <c r="AB1" i="2"/>
  <c r="L1" i="3"/>
  <c r="D1" i="71"/>
  <c r="J1" i="71"/>
  <c r="H1" i="3"/>
  <c r="BE1" i="2"/>
  <c r="BE1" i="3"/>
  <c r="AL1" i="71"/>
  <c r="H1" i="71"/>
  <c r="F1" i="3"/>
  <c r="H1" i="2"/>
  <c r="X1" i="2"/>
  <c r="BG1" i="3"/>
  <c r="BM92" i="2"/>
  <c r="BM24" i="2"/>
  <c r="BM78" i="2"/>
  <c r="BM81" i="2"/>
  <c r="BN56" i="3"/>
  <c r="BN57" i="3" s="1"/>
  <c r="BN17" i="2"/>
  <c r="BN158" i="3"/>
  <c r="BN159" i="3" s="1"/>
  <c r="BN90" i="2"/>
  <c r="BN91" i="2" s="1"/>
  <c r="BN95" i="2"/>
  <c r="BN77" i="2"/>
  <c r="BM67" i="3" l="1"/>
  <c r="BM43" i="2"/>
  <c r="BN81" i="2"/>
  <c r="BN78" i="2"/>
  <c r="BN92" i="2"/>
  <c r="BN24" i="2"/>
  <c r="BN43" i="2" l="1"/>
  <c r="BN67" i="3"/>
</calcChain>
</file>

<file path=xl/comments1.xml><?xml version="1.0" encoding="utf-8"?>
<comments xmlns="http://schemas.openxmlformats.org/spreadsheetml/2006/main">
  <authors>
    <author>hazlett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㢖亰&gt;卞䕐彃䑉䑟呁⡁䘧䑗䥌䕂剕䴳㠲ⵍ䑆㩓䝆奟䕉䑌Ⱗⰰⰰⱄ低䕎丬乏ⱅ⤲_x0018_＀＀_x0018_＀＀_x0008_＀＀_x0001_＀＀_x0001_＀＀㩽㌞奐㿺㢚亰&gt;卞䕐彃䑉䑟呁⡁䘧䑗䥌啂䑓䴳㘱ⵍ䑆㩓䝆奟䕉䑌Ⱗⰰⰰⱄ低䕎丬乏ⱅ⤲_x0018_＀＀_x0018_＀＀_x0008_＀＀_x0001_＀＀_x0001_＀＀曢輂벹㿣㢘亰&gt;卞䕐彃䑉䑟呁⡁䘧䑗䥌䕂剕䴳㌷ⵍ䑆㩓䝆奟䕉䑌Ⱗⰰⰰⱄ低䕎丬乏ⱅ⤲_x0018_＀＀_x0018_＀＀_x0008_＀＀_x0001_＀＀_x0001_＀＀㯉㊇암䀈㢜亰&gt;卞䕐彃䑉䑟呁⡁䘧䑗䥌啂䑓䴳ㄶⵍ䑆㩓䝆奟䕉䑌Ⱗⰰⰰⱄ低䕎丬乏ⱅ⤲_x0018_＀＀_x0018_＀＀_x0008_＀＀_x0001_＀＀_x0001_＀＀邬鏲彪䀇귑亩&gt;卞䕐彃䑉䑟呁⡁䘧䑗䥌䕂剕䴳㤲ⵍ䑆㩓䝆奟䕉䑌Ⱗⰰⰰⱄ低䕎丬乏ⱅ⤲_x0018_＀＀_x0018_＀＀_x0008_＀＀_x0001_＀＀_x0001_＀＀ṃ跁㿼귓亩&gt;卞䕐彃䑉䑟呁⡁䘧䑗䥌䕂剕䴳〸ⵍ䑆㩓䝆奟䕉䑌Ⱗⰰⰰⱄ低䕎丬乏ⱅ⤲_x0018_＀＀_x0018_＀＀_x0008_＀＀_x0001_＀＀_x0001_＀＀త阃䀈㢔亰=卞䕐彃䑉䑟呁⡁䘧䑗䥌䕂剕䴳䴴䘭卄䘺彇䥙䱅❄〬〬䐬丬乏ⱅ低䕎㈬착_x0018_＀＀_x0018_＀＀_x0008_＀＀_x0001_＀＀_x0001_＀＀၄ꇧ㿿㢝亰&gt;卞䕐彃䑉䑟呁⡁䘧䑗䥌啂䑓䴳㔸ⵍ䑆㩓䝆奟䕉䑌Ⱗⰰⰰⱄ低䕎丬乏ⱅ⤲_x0018_＀＀_x0018_＀＀_x0008_＀＀_x0001_＀＀_x0001_＀＀_xDD2A_蝝䀋귔亩&gt;卞䕐彃䑉䑟呁⡁䘧䑗䥌啂䑓䴳㜱ⵍ䑆㩓䝆奟䕉䑌Ⱗⰰⰰⱄ低䕎丬乏ⱅ⤲_x0018_＀＀_x0018_＀＀_x0008_＀＀_x0001_＀＀_x0001_＀＀엯英㿧_xDAC4_亯B塎䥐䙞彅卅䥔䅍䕔✨䅓䕌❓✬䕍乁Ⱗ儧䅕呒剅奌剟䱏❌✬〲ㄱ㌯❃〬Ⱜ✬⤧_x0018_＀＀_x0018_＀＀_x0008_＀＀_x0001_＀＀_x0001_＀＀Ẹᩑ䂑귔亩=卞䕐彃䑉䑟呁⡁䘧䑗䥌啂䑓䴳䴸䘭卄䘺彇䥙䱅❄〬〬䐬丬乏ⱅ低䕎㈬착_x0018_＀＀_x0018_＀＀_x0008_＀＀_x0001_＀＀_x0001_＀＀鏦쌕臕㿥귖亩&gt;卞䕐彃䑉䑟呁⡁䘧䑗䥌啂䑓䴳㈶ⵍ䑆㩓䝆奟䕉䑌Ⱗⰰⰰⱄ低䕎丬乏ⱅ⤲_x0018_＀＀_x0018_＀＀_x0008_＀＀_x0001_＀＀_x0001_＀＀䩪າ띇䀈㢗亰&gt;卞䕐彃䑉䑟呁⡁䘧䑗䥌䕂剕䴳㌴ⵍ䑆㩓䝆奟䕉䑌Ⱗⰰⰰⱄ低䕎丬乏ⱅ⤲_x0018_＀＀_x0018_＀＀_x0008_＀＀_x0001_＀＀_x0001_＀＀ᨌ蟺䀁귑亩=卞䕐彃䑉䑟呁⡁䘧䑗䥌䕂剕䴳䴵䘭卄䘺彇䥙䱅❄〬〬䐬丬乏ⱅ低䕎㈬착_x0018_＀＀_x0018_＀＀_x0008_＀＀_x0001_＀＀_x0001_＀＀乌೭_xDB53_䀀귗亩&gt;卞䕐彃䑉䑟呁⡁䘧䑗䥌啂䑓䴳㘸ⵍ䑆㩓䝆奟䕉䑌Ⱗⰰⰰⱄ低䕎丬乏ⱅ⤲_x0018_＀＀_x0018_＀＀_x0008_＀＀_x0001_＀＀_x0001_＀＀醖佺瓥䀌㢚亰&gt;卞䕐彃䑉䑟呁⡁䘧䑗䥌啂䑓䴳ㄳⵍ䑆㩓䝆奟䕉䑌Ⱗⰰⰰⱄ低䕎丬乏ⱅ⤲_x0018_＀＀_x0018_＀＀_x0008_＀＀_x0001_＀＀_x0001_＀＀茊贲ᜦ㿱㢘亰&gt;卞䕐彃䑉䑟呁⡁䘧䑗䥌䕂剕䴳㜶ⵍ䑆㩓䝆奟䕉䑌Ⱗⰰⰰⱄ低䕎丬乏ⱅ⤲_x0018_＀＀_x0018_＀＀_x0008_＀＀_x0001_＀＀_x0001_＀＀蛒狃䀈귒亩&gt;卞䕐彃䑉䑟呁⡁䘧䑗䥌䕂剕䴳〵ⵍ䑆㩓䝆奟䕉䑌Ⱗⰰⰰⱄ低䕎丬乏ⱅ⤲_x0018_＀＀_x0018_＀＀_x0008_＀＀_x0001_＀＀_x0001_＀＀_xDC5D_͆䀃㢜亰&gt;卞䕐彃䑉䑟呁⡁䘧䑗䥌啂䑓䴳㔵ⵍ䑆㩓䝆奟䕉䑌Ⱗⰰⰰⱄ低䕎丬乏ⱅ⤲_x0018_＀＀_x0018_＀＀_x0008_＀＀_x0001_＀＀_x0001_＀＀ጣ毰त䀅귓亩&gt;卞䕐彃䑉䑟呁⡁䘧䑗䥌䕂剕䴳㐷ⵍ䑆㩓䝆奟䕉䑌Ⱗⰰⰰⱄ低䕎丬乏ⱅ⤲_x0018_＀＀_x0018_＀＀_x0008_＀＀_x0001_＀＀_x0001_＀＀借漊䀈㢜亰&gt;卞䕐彃䑉䑟呁⡁䘧䑗䥌啂䑓䴳㤷ⵍ䑆㩓䝆奟䕉䑌Ⱗⰰⰰⱄ低䕎丬乏ⱅ⤲_x0018_＀＀_x0018_＀＀_x0008_＀＀_x0001_＀＀_x0001_＀＀쎤ᡃ䀊㢖亰&gt;卞䕐彃䑉䑟呁⡁䘧䑗䥌䕂剕䴳㌱ⵍ䑆㩓䝆奟䕉䑌Ⱗⰰⰰⱄ低䕎丬乏ⱅ⤲_x0018_＀＀_x0018_＀＀_x0008_＀＀_x0001_＀＀_x0001_＀＀䢮偌럃㿽㢗亰&gt;卞䕐彃䑉䑟呁⡁䘧䑗䥌䕂剕䴳㜳ⵍ䑆㩓䝆奟䕉䑌Ⱗⰰⰰⱄ低䕎丬乏ⱅ⤲_x0018_＀＀_x0018_＀＀_x0008_＀＀_x0001_＀＀_x0001_＀＀ုࠄ䀃귑亩&gt;卞䕐彃䑉䑟呁⡁䘧䑗䥌䕂剕䴳〲ⵍ䑆㩓䝆奟䕉䑌Ⱗⰰⰰⱄ低䕎丬乏ⱅ⤲_x0018_＀＀_x0018_＀＀_x0008_＀＀_x0001_＀＀_x0001_＀＀忍ⱼꇘ㿊㢚亰&gt;卞䕐彃䑉䑟呁⡁䘧䑗䥌啂䑓䴳㔲ⵍ䑆㩓䝆奟䕉䑌Ⱗⰰⰰⱄ低䕎丬乏ⱅ⤲_x0018_＀＀_x0018_＀＀_x0008_＀＀_x0001_＀＀_x0001_＀＀ᷯ☵᳄㿩귒亩&gt;卞䕐彃䑉䑟呁⡁䘧䑗䥌䕂剕䴳㐴ⵍ䑆㩓䝆奟䕉䑌Ⱗⰰⰰⱄ低䕎丬乏ⱅ⤲_x0018_＀＀_x0018_＀＀_x0008_＀＀_x0001_＀＀_x0001_＀＀Ἶ쑥怅䀁㢛亰&gt;卞䕐彃䑉䑟呁⡁䘧䑗䥌啂䑓䴳㤴ⵍ䑆㩓䝆奟䕉䑌Ⱗⰰⰰⱄ低䕎丬乏ⱅ⤲_x0018_＀＀_x0018_＀＀_x0008_＀＀_x0001_＀＀_x0001_＀＀茼ﺆ三䀂㢙亰&gt;卞䕐彃䑉䑟呁⡁䘧䑗䥌䕂剕䴳㈸ⵍ䑆㩓䝆奟䕉䑌Ⱗⰰⰰⱄ低䕎丬乏ⱅ⤲_x0018_＀＀_x0018_＀＀_x0008_＀＀_x0001_＀＀_x0001_＀＀鋲짿緟䀉귕亩&gt;卞䕐彃䑉䑟呁⡁䘧䑗䥌啂䑓䴳㈳ⵍ䑆㩓䝆奟䕉䑌Ⱗⰰⰰⱄ低䕎丬乏ⱅ⤲_x0018_＀＀_x0018_＀＀_x0008_＀＀_x0001_＀＀_x0001_＀＀軚뮩讲㿴㢜亰&gt;卞䕐彃䑉䑟呁⡁䘧䑗䥌啂䑓䴳〷ⵍ䑆㩓䝆奟䕉䑌Ⱗⰰⰰⱄ低䕎丬乏ⱅ⤲_x0018_＀＀_x0018_＀＀_x0008_＀＀_x0001_＀＀_x0001_＀＀쟣뮘႖䀉귓亩&gt;卞䕐彃䑉䑟呁⡁䘧䑗䥌䕂剕䴳㠶ⵍ䑆㩓䝆奟䕉䑌Ⱗⰰⰰⱄ低䕎丬乏ⱅ⤲_x0018_＀＀_x0018_＀＀_x0008_＀＀_x0001_＀＀_x0001_＀＀蚵筒഑䀈_xDAC4_亯@塎䥐䙞彅卅䥔䅍䕔✨偅❓✬䕍乁Ⱗ儧䅕呒剅奌剟䱏❌✬〲ㄱ㌯❃〬Ⱜ✬⤧_x0018_＀＀_x0018_＀＀_x0008_＀＀_x0001_＀＀_x0001_＀＀긕ᑺ㿡귖亩&gt;卞䕐彃䑉䑟呁⡁䘧䑗䥌啂䑓䴳㘵ⵍ䑆㩓䝆奟䕉䑌Ⱗⰰⰰⱄ低䕎丬乏ⱅ⤲_x0018_＀＀_x0018_＀＀_x0008_＀＀_x0001_＀＀_x0001_＀＀ᙪ睨酈䀆귑亩&gt;卞䕐彃䑉䑟呁⡁䘧䑗䥌䕂剕䴳㐱ⵍ䑆㩓䝆奟䕉䑌Ⱗⰰⰰⱄ低䕎丬乏ⱅ⤲_x0018_＀＀_x0018_＀＀_x0008_＀＀_x0001_＀＀_x0001_＀＀♣⽑듸㿸㢚亰&gt;卞䕐彃䑉䑟呁⡁䘧䑗䥌啂䑓䴳㤱ⵍ䑆㩓䝆奟䕉䑌Ⱗⰰⰰⱄ低䕎丬乏ⱅ⤲_x0018_＀＀_x0018_＀＀_x0008_＀＀_x0001_＀＀_x0001_＀＀폧蝴偞㿤㢗亰&gt;卞䕐彃䑉䑟呁⡁䘧䑗䥌䕂剕䴳㈵ⵍ䑆㩓䝆奟䕉䑌Ⱗⰰⰰⱄ低䕎丬乏ⱅ⤲_x0018_＀＀_x0018_＀＀_x0008_＀＀_x0001_＀＀_x0001_＀＀ᤢ汲䌽䀅㢛亰&gt;卞䕐彃䑉䑟呁⡁䘧䑗䥌啂䑓䴳〴ⵍ䑆㩓䝆奟䕉䑌Ⱗⰰⰰⱄ低䕎丬乏ⱅ⤲_x0018_＀＀_x0018_＀＀_x0008_＀＀_x0001_＀＀_x0001_＀＀ःᾊ깣㿺귒亩&gt;卞䕐彃䑉䑟呁⡁䘧䑗䥌䕂剕䴳㠳ⵍ䑆㩓䝆奟䕉䑌Ⱗⰰⰰⱄ低䕎丬乏ⱅ⤲_x0018_＀＀_x0018_＀＀_x0008_＀＀_x0001_＀＀_x0001_＀＀쬿泮䀂㢘亰&gt;卞䕐彃䑉䑟呁⡁䘧䑗䥌䕂剕䴳㘷ⵍ䑆㩓䝆奟䕉䑌Ⱗⰰⰰⱄ低䕎丬乏ⱅ⤲_x0018_＀＀_x0018_＀＀_x0008_＀＀_x0001_＀＀_x0001_＀＀㡘䀈귕亩&gt;卞䕐彃䑉䑟呁⡁䘧䑗䥌啂䑓䴳㘲ⵍ䑆㩓䝆奟䕉䑌Ⱗⰰⰰⱄ低䕎丬乏ⱅ⤲_x0018_＀＀_x0018_＀＀_x0008_＀＀_x0001_＀＀_x0001_＀＀牪磧钻㿮㢜亰&gt;卞䕐彃䑉䑟呁⡁䘧䑗䥌啂䑓䴳㐶ⵍ䑆㩓䝆奟䕉䑌Ⱗⰰⰰⱄ低䕎丬乏ⱅ⤲_x0018_＀＀_x0018_＀＀_x0008_＀＀_x0001_＀＀_x0001_＀＀⡉ⅽ᳤䀈귓亩&gt;卞䕐彃䑉䑟呁⡁䘧䑗䥌䕂剕䴳㌸ⵍ䑆㩓䝆奟䕉䑌Ⱗⰰⰰⱄ低䕎丬乏ⱅ⤲_x0018_＀＀_x0018_＀＀_x0008_＀＀_x0001_＀＀_x0001_＀＀擽ྌឳ䀉㢕亰=卞䕐彃䑉䑟呁⡁䘧䑗䥌䕂剕䴳䴷䘭卄䘺彇䥙䱅❄〬〬䐬丬乏ⱅ低䕎㈬착_x0018_＀＀_x0018_＀＀_x0008_＀＀_x0001_＀＀_x0001_＀＀≆舴䀂㢝亰&gt;卞䕐彃䑉䑟呁⡁䘧䑗䥌啂䑓䴳㠸ⵍ䑆㩓䝆奟䕉䑌Ⱗⰰⰰⱄ低䕎丬乏ⱅ⤲_x0018_＀＀_x0018_＀＀_x0008_＀＀_x0001_＀＀_x0001_＀＀覓՛週䀋귖亩&gt;卞䕐彃䑉䑟呁⡁䘧䑗䥌啂䑓䴳ㄷⵍ䑆㩓䝆奟䕉䑌Ⱗⰰⰰⱄ低䕎丬乏ⱅ⤲_x0018_＀＀_x0018_＀＀_x0008_＀＀_x0001_＀＀_x0001_＀＀皳藛嫦䀊㢖亰&gt;卞䕐彃䑉䑟呁⡁䘧䑗䥌䕂剕䴳㈲ⵍ䑆㩓䝆奟䕉䑌Ⱗⰰⰰⱄ低䕎丬乏ⱅ⤲_x0018_＀＀_x0018_＀＀_x0008_＀＀_x0001_＀＀_x0001_＀＀‭Ẵ䲾㿓㢚亰&gt;卞䕐彃䑉䑟呁⡁䘧䑗䥌啂䑓䴳〱ⵍ䑆㩓䝆奟䕉䑌Ⱗⰰⰰⱄ低䕎丬乏ⱅ⤲_x0018_＀＀_x0018_＀＀_x0008_＀＀_x0001_＀＀_x0001_＀＀翃膺꼂㿢㢗亰&gt;卞䕐彃䑉䑟呁⡁䘧䑗䥌䕂剕䴳㘴ⵍ䑆㩓䝆奟䕉䑌Ⱗⰰⰰⱄ低䕎丬乏ⱅ⤲_x0018_＀＀_x0018_＀＀_x0008_＀＀_x0001_＀＀_x0001_＀＀哢慫ᨖ䀂㢛亰&gt;卞䕐彃䑉䑟呁⡁䘧䑗䥌啂䑓䴳㐳ⵍ䑆㩓䝆奟䕉䑌Ⱗⰰⰰⱄ低䕎丬乏ⱅ⤲_x0018_＀＀_x0018_＀＀_x0008_＀＀_x0001_＀＀_x0001_＀＀䅸橄ך㿴㢙亰=卞䕐彃䑉䑟呁⡁䘧䑗䥌啂䑓䴳䴱䘭卄䘺彇䥙䱅❄〬〬䐬丬乏ⱅ低䕎㈬착_x0018_＀＀_x0018_＀＀_x0008_＀＀_x0001_＀＀_x0001_＀＀㽊닖㿕귒亩&gt;卞䕐彃䑉䑟呁⡁䘧䑗䥌䕂剕䴳㌵ⵍ䑆㩓䝆奟䕉䑌Ⱗⰰⰰⱄ低䕎丬乏ⱅ⤲_x0018_＀＀_x0018_＀＀_x0008_＀＀_x0001_＀＀_x0001_＀＀螾蹋攻䀅㢜亰&gt;卞䕐彃䑉䑟呁⡁䘧䑗䥌啂䑓䴳㠵ⵍ䑆㩓䝆奟䕉䑌Ⱗⰰⰰⱄ低䕎丬乏ⱅ⤲_x0018_＀＀_x0018_＀＀_x0008_＀＀_x0001_＀＀_x0001_＀＀踺⨟㢍䀆귕亩&gt;卞䕐彃䑉䑟呁⡁䘧䑗䥌啂䑓䴳ㄴⵍ䑆㩓䝆奟䕉䑌Ⱗⰰⰰⱄ低䕎丬乏ⱅ⤲_x0018_＀＀_x0018_＀＀_x0008_＀＀_x0001_＀＀_x0001_＀＀ڦ쾚_xDBB9_㿾귓亩&gt;卞䕐彃䑉䑟呁⡁䘧䑗䥌䕂剕䴳㜷ⵍ䑆㩓䝆奟䕉䑌Ⱗⰰⰰⱄ低䕎丬乏ⱅ⤲_x0018_＀＀_x0018_＀＀_x0008_＀＀_x0001_＀＀_x0001_＀＀蔚댤ꝺ䀈귖亩&gt;卞䕐彃䑉䑟呁⡁䘧䑗䥌啂䑓䴳㔶ⵍ䑆㩓䝆奟䕉䑌Ⱗⰰⰰⱄ低䕎丬乏ⱅ⤲_x0018_＀＀_x0018_＀＀_x0008_＀＀_x0001_＀＀_x0001_＀＀檨䢂䀉귑亩=卞䕐彃䑉䑟呁⡁䘧䑗䥌䕂剕䴳䴸䘭卄䘺彇䥙䱅❄〬〬䐬丬乏ⱅ低䕎㈬착_x0018_＀＀_x0018_＀＀_x0008_＀＀_x0001_＀＀_x0001_＀＀裸ꔮ餮䀃귗亩&gt;卞䕐彃䑉䑟呁⡁䘧䑗䥌啂䑓䴳㤸ⵍ䑆㩓䝆奟䕉䑌Ⱗⰰⰰⱄ低䕎丬乏ⱅ⤲_x0018_＀＀_x0018_＀＀_x0008_＀＀_x0001_＀＀_x0001_＀＀곍肥徴䀌㢖亰&gt;卞䕐彃䑉䑟呁⡁䘧䑗䥌䕂剕䴳㘱ⵍ䑆㩓䝆奟䕉䑌Ⱗⰰⰰⱄ低䕎丬乏ⱅ⤲_x0018_＀＀_x0018_＀＀_x0008_＀＀_x0001_＀＀_x0001_＀＀鰂엞뇻㿰귓亩=卞䕐彃䑉䑟呁⡁䘧䑗䥌啂䑓䴳䴲䘭卄䘺彇䥙䱅❄〬〬䐬丬乏ⱅ低䕎㈬착_x0018_＀＀_x0018_＀＀_x0008_＀＀_x0001_＀＀_x0001_＀＀섎틌蚩㿝귑亩&gt;卞䕐彃䑉䑟呁⡁䘧䑗䥌䕂剕䴳㌲ⵍ䑆㩓䝆奟䕉䑌Ⱗⰰⰰⱄ低䕎丬乏ⱅ⤲_x0018_＀＀_x0018_＀＀_x0008_＀＀_x0001_＀＀_x0001_＀＀_xDB32_蝟㿖㢚亰&gt;卞䕐彃䑉䑟呁⡁䘧䑗䥌啂䑓䴳㠲ⵍ䑆㩓䝆奟䕉䑌Ⱗⰰⰰⱄ低䕎丬乏ⱅ⤲_x0018_＀＀_x0018_＀＀_x0008_＀＀_x0001_＀＀_x0001_＀＀쯍䌝㿭㢗亰&gt;卞䕐彃䑉䑟呁⡁䘧䑗䥌䕂剕䴳ㄶⵍ䑆㩓䝆奟䕉䑌Ⱗⰰⰰⱄ低䕎丬乏ⱅ⤲_x0018_＀＀_x0018_＀＀_x0008_＀＀_x0001_＀＀_x0001_＀＀ᦨ䕒쫱䀇귔亩&gt;卞䕐彃䑉䑟呁⡁䘧䑗䥌啂䑓䴳ㄱⵍ䑆㩓䝆奟䕉䑌Ⱗⰰⰰⱄ低䕎丬乏ⱅ⤲_x0018_＀＀_x0018_＀＀_x0008_＀＀_x0001_＀＀_x0001_＀＀_xDEE1_ᑆ⎤㿦귒亩&gt;卞䕐彃䑉䑟呁⡁䘧䑗䥌䕂剕䴳㜴ⵍ䑆㩓䝆奟䕉䑌Ⱗⰰⰰⱄ低䕎丬乏ⱅ⤲_x0018_＀＀_x0018_＀＀_x0008_＀＀_x0001_＀＀_x0001_＀＀鵦緱䥱䀂㢙亰&gt;卞䕐彃䑉䑟呁⡁䘧䑗䥌䕂剕䴳㔸ⵍ䑆㩓䝆奟䕉䑌Ⱗⰰⰰⱄ低䕎丬乏ⱅ⤲_x0018_＀＀_x0018_＀＀_x0008_＀＀_x0001_＀＀_x0001_＀＀旵ꝩ鋦䀉귕亩&gt;卞䕐彃䑉䑟呁⡁䘧䑗䥌啂䑓䴳㔳ⵍ䑆㩓䝆奟䕉䑌Ⱗⰰⰰⱄ低䕎丬乏ⱅ⤲_x0018_＀＀_x0018_＀＀_x0008_＀＀_x0001_＀＀_x0001_＀＀硛⩞㿷㢜亰&gt;卞䕐彃䑉䑟呁⡁䘧䑗䥌啂䑓䴳㌷ⵍ䑆㩓䝆奟䕉䑌Ⱗⰰⰰⱄ低䕎丬乏ⱅ⤲_x0018_＀＀_x0018_＀＀_x0008_＀＀_x0001_＀＀_x0001_＀＀䲘谕੊䀊透亩_x001D_塎䥐唭幓彐䕂䅔䱟䍏䑉⡘㌭䵁〬착_x0018_＀＀_x0018_＀＀_x0008_＀＀_x0001_＀＀_x0001_＀＀赤衺㝆㿼귖亩&gt;卞䕐彃䑉䑟呁⡁䘧䑗䥌啂䑓䴳㤵ⵍ䑆㩓䝆奟䕉䑌Ⱗⰰⰰⱄ低䕎丬乏ⱅ⤲_x0018_＀＀_x0018_＀＀_x0008_＀＀_x0001_＀＀_x0001_＀＀Ӏ_xDD6E_돍䀇_xDAC4_亯B塎䥐䙞彅卅䥔䅍䕔✨䅓䕌❓✬䕍乁Ⱗ儧䅕呒剅奌剟䱏❌✬〲ㄱ㐯❃〬Ⱜ✬⤧_x0018_＀＀_x0018_＀＀_x0008_＀＀_x0001_＀＀_x0001_＀＀ొ⬂ሇ䂑귗亩&gt;卞䕐彃䑉䑟呁⡁䘧䑗䥌啂䑓䴳〸ⵍ䑆㩓䝆奟䕉䑌Ⱗⰰⰰⱄ低䕎丬乏ⱅ⤲_x0018_＀＀_x0018_＀＀_x0008_＀＀_x0001_＀＀_x0001_＀＀혧䀋㢖亰&gt;卞䕐彃䑉䑟呁⡁䘧䑗䥌䕂剕䴳ㄳⵍ䑆㩓䝆奟䕉䑌Ⱗⰰⰰⱄ低䕎丬乏ⱅ⤲_x0018_＀＀_x0018_＀＀_x0008_＀＀_x0001_＀＀_x0001_＀＀畋⼁찳䀁귑亩&gt;卞䕐彃䑉䑟呁⡁䘧䑗䥌䕂剕䴳㜱ⵍ䑆㩓䝆奟䕉䑌Ⱗⰰⰰⱄ低䕎丬乏ⱅ⤲_x0018_＀＀_x0018_＀＀_x0008_＀＀_x0001_＀＀_x0001_＀＀㐄㘑㿧㢗亰&gt;卞䕐彃䑉䑟呁⡁䘧䑗䥌䕂剕䴳㔵ⵍ䑆㩓䝆奟䕉䑌Ⱗⰰⰰⱄ低䕎丬乏ⱅ⤲_x0018_＀＀_x0018_＀＀_x0008_＀＀_x0001_＀＀_x0001_＀＀䜨ꈁꙠ䀆㢛亰&gt;卞䕐彃䑉䑟呁⡁䘧䑗䥌啂䑓䴳㌴ⵍ䑆㩓䝆奟䕉䑌Ⱗⰰⰰⱄ低䕎丬乏ⱅ⤲_x0018_＀＀_x0018_＀＀_x0008_＀＀_x0001_＀＀_x0001_＀＀쮸_xDD7E_컩㿽㢘亰&gt;卞䕐彃䑉䑟呁⡁䘧䑗䥌䕂剕䴳㤷ⵍ䑆㩓䝆奟䕉䑌Ⱗⰰⰰⱄ低䕎丬乏ⱅ⤲_x0018_＀＀_x0018_＀＀_x0008_＀＀_x0001_＀＀_x0001_＀＀丷䜞䀉귕亩&gt;卞䕐彃䑉䑟呁⡁䘧䑗䥌啂䑓䴳㤲ⵍ䑆㩓䝆奟䕉䑌Ⱗⰰⰰⱄ低䕎丬乏ⱅ⤲_x0018_＀＀_x0018_＀＀_x0008_＀＀_x0001_＀＀_x0001_＀＀攂깓껰㿱귓亩&gt;卞䕐彃䑉䑟呁⡁䘧䑗䥌䕂剕䴳㈶ⵍ䑆㩓䝆奟䕉䑌Ⱗⰰⰰⱄ低䕎丬乏ⱅ⤲_x0018_＀＀_x0018_＀＀_x0008_＀＀_x0001_＀＀_x0001_＀＀㑄莺秘䀇慉书_x001D_塎䥐偞偟䥒䕃䅟䝖㐨㘰㌳㐬㜰㐲착_x0018_＀＀_x0018_＀＀_x0008_＀＀_x0001_＀＀_x0001_＀＀詇죈䀼㢜亰&gt;卞䕐彃䑉䑟呁⡁䘧䑗䥌啂䑓䴳㜶ⵍ䑆㩓䝆奟䕉䑌Ⱗⰰⰰⱄ低䕎丬乏ⱅ⤲_x0018_＀＀_x0018_＀＀_x0008_＀＀_x0001_＀＀_x0001_＀＀ନ彟狫䀈귕亩&gt;卞䕐彃䑉䑟呁⡁䘧䑗䥌啂䑓䴳〵ⵍ䑆㩓䝆奟䕉䑌Ⱗⰰⰰⱄ低䕎丬乏ⱅ⤲_x0018_＀＀_x0018_＀＀_x0008_＀＀_x0001_＀＀_x0001_＀＀ᄧ忡ⴄ䀄귓亩&gt;卞䕐彃䑉䑟呁⡁䘧䑗䥌䕂剕䴳㘸ⵍ䑆㩓䝆奟䕉䑌Ⱗⰰⰰⱄ低䕎丬乏ⱅ⤲_x0018_＀＀_x0018_＀＀_x0008_＀＀_x0001_＀＀_x0001_＀＀业鮙䑯䀉귗亩&gt;卞䕐彃䑉䑟呁⡁䘧䑗䥌啂䑓䴳㐷ⵍ䑆㩓䝆奟䕉䑌Ⱗⰰⰰⱄ低䕎丬乏ⱅ⤲_x0018_＀＀_x0018_＀＀_x0008_＀＀_x0001_＀＀_x0001_＀＀늕ㄌ䀋㢖亰&gt;卞䕐彃䑉䑟呁⡁䘧䑗䥌䕂剕䴳㔲ⵍ䑆㩓䝆奟䕉䑌Ⱗⰰⰰⱄ低䕎丬乏ⱅ⤲_x0018_＀＀_x0018_＀＀_x0008_＀＀_x0001_＀＀_x0001_＀＀炨꤄ﬔ㿬㢚亰&gt;卞䕐彃䑉䑟呁⡁䘧䑗䥌啂䑓䴳㌱ⵍ䑆㩓䝆奟䕉䑌Ⱗⰰⰰⱄ低䕎丬乏ⱅ⤲_x0018_＀＀_x0018_＀＀_x0008_＀＀_x0001_＀＀_x0001_＀＀黕㉇㿣㢗亰&gt;卞䕐彃䑉䑟呁⡁䘧䑗䥌䕂剕䴳㤴ⵍ䑆㩓䝆奟䕉䑌Ⱗⰰⰰⱄ低䕎丬乏ⱅ⤲_x0018_＀＀_x0018_＀＀_x0008_＀＀_x0001_＀＀_x0001_＀＀関腻ꅙ䀃귑亩&gt;卞䕐彃䑉䑟呁⡁䘧䑗䥌䕂剕䴳㈳ⵍ䑆㩓䝆奟䕉䑌Ⱗⰰⰰⱄ低䕎丬乏ⱅ⤲_x0018_＀＀_x0018_＀＀_x0008_＀＀_x0001_＀＀_x0001_＀＀䛾渻緸䀂㢛亰&gt;卞䕐彃䑉䑟呁⡁䘧䑗䥌啂䑓䴳㜳ⵍ䑆㩓䝆奟䕉䑌Ⱗⰰⰰⱄ低䕎丬乏ⱅ⤲_x0018_＀＀_x0018_＀＀_x0008_＀＀_x0001_＀＀_x0001_＀＀픆✆徢㿷귔亩&gt;卞䕐彃䑉䑟呁⡁䘧䑗䥌啂䑓䴳〲ⵍ䑆㩓䝆奟䕉䑌Ⱗⰰⰰⱄ低䕎丬乏ⱅ⤲_x0018_＀＀_x0018_＀＀_x0008_＀＀_x0001_＀＀_x0001_＀＀쟤⹎獼㿨_xDAC4_亯@塎䥐䙞彅卅䥔䅍䕔✨偅❓✬䕍乁Ⱗ儧䅕呒剅奌剟䱏❌✬〲ㄱ㐯❃〬Ⱜ✬⤧_x0018_＀＀_x0018_＀＀_x0008_＀＀_x0001_＀＀_x0001_＀＀ᑻ䞮竡㿡㢙亰=卞䕐彃䑉䑟呁⡁䘧䑗䥌啂䑓䴳䴴䘭卄䘺彇䥙䱅❄〬〬䐬丬乏ⱅ低䕎㈬착_x0018_＀＀_x0018_＀＀_x0008_＀＀_x0001_＀＀_x0001_＀＀柖蠘肯㿡귒亩&gt;卞䕐彃䑉䑟呁⡁䘧䑗䥌䕂剕䴳㘵ⵍ䑆㩓䝆奟䕉䑌Ⱗⰰⰰⱄ低䕎丬乏ⱅ⤲_x0018_＀＀_x0018_＀＀_x0008_＀＀_x0001_＀＀_x0001_＀＀澏᫯藴䀆귕亩&gt;卞䕐彃䑉䑟呁⡁䘧䑗䥌啂䑓䴳㐴ⵍ䑆㩓䝆奟䕉䑌Ⱗⰰⰰⱄ低䕎丬乏ⱅ⤲_x0018_＀＀_x0018_＀＀_x0008_＀＀_x0001_＀＀_x0001_＀＀䐬삇䀁㢔亰=卞䕐彃䑉䑟呁⡁䘧䑗䥌䕂剕䴳䴱䘭卄䘺彇䥙䱅❄〬〬䐬丬乏ⱅ低䕎㈬착_x0018_＀＀_x0018_＀＀_x0008_＀＀_x0001_＀＀_x0001_＀＀率橾璼㿹㢜亰&gt;卞䕐彃䑉䑟呁⡁䘧䑗䥌啂䑓䴳㈸ⵍ䑆㩓䝆奟䕉䑌Ⱗⰰⰰⱄ低䕎丬乏ⱅ⤲_x0018_＀＀_x0018_＀＀_x0008_＀＀_x0001_＀＀_x0001_＀＀崹጖⾛䀋귖亩&gt;卞䕐彃䑉䑟呁⡁䘧䑗䥌啂䑓䴳㠶ⵍ䑆㩓䝆奟䕉䑌Ⱗⰰⰰⱄ低䕎丬乏ⱅ⤲_x0018_＀＀_x0018_＀＀_x0008_＀＀_x0001_＀＀_x0001_＀＀ጅᑿꙵ䀉㢖亰&gt;卞䕐彃䑉䑟呁⡁䘧䑗䥌䕂剕䴳㤱ⵍ䑆㩓䝆奟䕉䑌Ⱗⰰⰰⱄ低䕎丬乏ⱅ⤲_x0018_＀＀_x0018_＀＀_x0008_＀＀_x0001_＀＀_x0001_＀＀짆㿙㢘亰&gt;卞䕐彃䑉䑟呁⡁䘧䑗䥌䕂剕䴳〷ⵍ䑆㩓䝆奟䕉䑌Ⱗⰰⰰⱄ低䕎丬乏ⱅ⤲_x0018_＀＀_x0018_＀＀_x0008_＀＀_x0001_＀＀_x0001_＀＀肙⍟끉䀈귑亩&gt;卞䕐彃䑉䑟呁⡁䘧䑗䥌䕂剕䴳㘲ⵍ䑆㩓䝆奟䕉䑌Ⱗⰰⰰⱄ低䕎丬乏ⱅ⤲_x0018_＀＀_x0018_＀＀_x0008_＀＀_x0001_＀＀_x0001_＀＀ꂐㇸ滦㿱귔亩&gt;卞䕐彃䑉䑟呁⡁䘧䑗䥌啂䑓䴳㐱ⵍ䑆㩓䝆奟䕉䑌Ⱗⰰⰰⱄ低䕎丬乏ⱅ⤲_x0018_＀＀_x0018_＀＀_x0008_＀＀_x0001_＀＀_x0001_＀＀⚝ⓘ㿦귕亩&gt;卞䕐彃䑉䑟呁⡁䘧䑗䥌啂䑓䴳㠳ⵍ䑆㩓䝆奟䕉䑌Ⱗⰰⰰⱄ低䕎丬乏ⱅ⤲_x0018_＀＀_x0018_＀＀_x0008_＀＀_x0001_＀＀_x0001_＀＀ˀ㊘聰㿻귓亩&gt;卞䕐彃䑉䑟呁⡁䘧䑗䥌䕂剕䴳ㄷⵍ䑆㩓䝆奟䕉䑌Ⱗⰰⰰⱄ低䕎丬乏ⱅ⤲_x0018_＀＀_x0018_＀＀_x0008_＀＀_x0001_＀＀_x0001_＀＀頇໹䉾䀈㢜亰&gt;卞䕐彃䑉䑟呁⡁䘧䑗䥌啂䑓䴳㘷ⵍ䑆㩓䝆奟䕉䑌Ⱗⰰⰰⱄ低䕎丬乏ⱅ⤲_x0018_＀＀_x0018_＀＀_x0008_＀＀_x0001_＀＀_x0001_＀＀貟懱닶䀊귔亩=卞䕐彃䑉䑟呁⡁䘧䑗䥌啂䑓䴳䴵䘭卄䘺彇䥙䱅❄〬〬䐬丬乏ⱅ低䕎㈬착_x0018_＀＀_x0018_＀＀_x0008_＀＀_x0001_＀＀_x0001_＀＀娳쟽⛸㿤㢗亰&gt;卞䕐彃䑉䑟呁⡁䘧䑗䥌䕂剕䴳〴ⵍ䑆㩓䝆奟䕉䑌Ⱗⰰⰰⱄ低䕎丬乏ⱅ⤲_x0018_＀＀_x0018_＀＀_x0008_＀＀_x0001_＀＀_x0001_＀＀_xDC12__xD948_䀁귑亩=卞䕐彃䑉䑟呁⡁䘧䑗䥌䕂剕䴳䴲䘭卄䘺彇䥙䱅❄〬〬䐬丬乏ⱅ低䕎㈬착_x0018_＀＀_x0018_＀＀_x0008_＀＀_x0001_＀＀_x0001_＀＀볛剱㿻귗亩&gt;卞䕐彃䑉䑟呁⡁䘧䑗䥌啂䑓䴳㌸ⵍ䑆㩓䝆奟䕉䑌Ⱗⰰⰰⱄ低䕎丬乏ⱅ⤲_x0018_＀＀_x0018_＀＀_x0008_＀＀_x0001_＀＀_x0001_＀＀_xDA51_簛㉡䀌㢗亰&gt;卞䕐彃䑉䑟呁⡁䘧䑗䥌䕂剕䴳㐶ⵍ䑆㩓䝆奟䕉䑌Ⱗⰰⰰⱄ低䕎丬乏ⱅ⤲_x0018_＀＀_x0018_＀＀_x0008_＀＀_x0001_＀＀_x0001_＀＀ു싟ᆺ䀈㢛亰&gt;卞䕐彃䑉䑟呁⡁䘧䑗䥌啂䑓䴳㈵ⵍ䑆㩓䝆奟䕉䑌Ⱗⰰⰰⱄ低䕎丬乏ⱅ⤲_x0018_＀＀_x0018_＀＀_x0008_＀＀_x0001_＀＀_x0001_＀＀㗉툅䀃㢙亰&gt;卞䕐彃䑉䑟呁⡁䘧䑗䥌䕂剕䴳㠸ⵍ䑆㩓䝆奟䕉䑌Ⱗⰰⰰⱄ低䕎丬乏ⱅ⤲_x0018_＀＀_x0018_＀＀_x0008_＀＀_x0001_＀＀_x0001_＀＀䀋璣뿩䀉귒亩&gt;卞䕐彃䑉䑟呁⡁䘧䑗䥌䕂剕䴳ㄴⵍ䑆㩓䝆奟䕉䑌Ⱗⰰⰰⱄ低䕎丬乏ⱅ⤲_x0018_＀＀_x0018_＀＀_x0008_＀＀_x0001_＀＀_x0001_＀＀㩂萼䀁귓亩&gt;卞䕐彃䑉䑟呁⡁䘧䑗䥌䕂剕䴳㔶ⵍ䑆㩓䝆奟䕉䑌Ⱗⰰⰰⱄ低䕎丬乏ⱅ⤲_x0018_＀＀_x0018_＀＀_x0008_＀＀_x0001_＀＀_x0001_＀＀쟸핻쓊䀇㢕亰&gt;卞䕐彃䑉䑟呁⡁䘧䑗䥌䕂剕䴳〱ⵍ䑆㩓䝆奟䕉䑌Ⱗⰰⰰⱄ低䕎丬乏ⱅ⤲_x0018_＀＀_x0018_＀＀_x0008_＀＀_x0001_＀＀_x0001_＀＀撌傏萳䀃귕亩&gt;卞䕐彃䑉䑟呁⡁䘧䑗䥌啂䑓䴳㌵ⵍ䑆㩓䝆奟䕉䑌Ⱗⰰⰰⱄ低䕎丬乏ⱅ⤲_x0018_＀＀_x0018_＀＀_x0008_＀＀_x0001_＀＀_x0001_＀＀탱睷䀅귓亩&gt;卞䕐彃䑉䑟呁⡁䘧䑗䥌䕂剕䴳㤸ⵍ䑆㩓䝆奟䕉䑌Ⱗⰰⰰⱄ低䕎丬乏ⱅ⤲_x0018_＀＀_x0018_＀＀_x0008_＀＀_x0001_＀＀_x0001_＀＀毟踈磋䀉㢖亰&gt;卞䕐彃䑉䑟呁⡁䘧䑗䥌䕂剕䴳㐳ⵍ䑆㩓䝆奟䕉䑌Ⱗⰰⰰⱄ低䕎丬乏ⱅ⤲_x0018_＀＀_x0018_＀＀_x0008_＀＀_x0001_＀＀_x0001_＀＀莭붃䀃귗亩&gt;卞䕐彃䑉䑟呁⡁䘧䑗䥌啂䑓䴳㜷ⵍ䑆㩓䝆奟䕉䑌Ⱗⰰⰰⱄ低䕎丬乏ⱅ⤲_x0018_＀＀_x0018_＀＀_x0008_＀＀_x0001_＀＀_x0001_＀＀톉୳꥝䀋㢚亰&gt;卞䕐彃䑉䑟呁⡁䘧䑗䥌啂䑓䴳㈲ⵍ䑆㩓䝆奟䕉䑌Ⱗⰰⰰⱄ低䕎丬乏ⱅ⤲_x0018_＀＀_x0018_＀＀_x0008_＀＀_x0001_＀＀_x0001_＀＀汬㇀㿥㢗亰&gt;卞䕐彃䑉䑟呁⡁䘧䑗䥌䕂剕䴳㠵ⵍ䑆㩓䝆奟䕉䑌Ⱗⰰⰰⱄ低䕎丬乏ⱅ⤲_x0018_＀＀_x0018_＀＀_x0008_＀＀_x0001_＀＀_x0001_＀＀걱_xDB8B_聨䀇ꑗ亮_x001D_塎䥐偞偟䥒䕃䅟䝖㐨㜰㐲㐬㠰㘱착_x0018_＀＀_x0018_＀＀_x0008_＀＀_x0001_＀＀_x0001_＀＀ቚꚠ㖖䀳㢛亰&gt;卞䕐彃䑉䑟呁⡁䘧䑗䥌啂䑓䴳㘴ⵍ䑆㩓䝆奟䕉䑌Ⱗⰰⰰⱄ低䕎丬乏ⱅ⤲_x0018_＀＀_x0018_＀＀_x0008_＀＀_x0001_＀＀_x0001_＀＀丳呃迡䀀귑亩&gt;卞䕐彃䑉䑟呁⡁䘧䑗䥌䕂剕䴳ㄱⵍ䑆㩓䝆奟䕉䑌Ⱗⰰⰰⱄ低䕎丬乏ⱅ⤲_x0018_＀＀_x0018_＀＀_x0008_＀＀_x0001_＀＀_x0001_＀＀봴壄徦䀂귑亩&gt;卞䕐彃䑉䑟呁⡁䘧䑗䥌䕂剕䴳㔳ⵍ䑆㩓䝆奟䕉䑌Ⱗⰰⰰⱄ低䕎丬乏ⱅ⤲_x0018_＀＀_x0018_＀＀_x0008_＀＀_x0001_＀＀_x0001_＀＀뢻ڍ雰䀃귕亩&gt;卞䕐彃䑉䑟呁⡁䘧䑗䥌啂䑓䴳㌲ⵍ䑆㩓䝆奟䕉䑌Ⱗⰰⰰⱄ低䕎丬乏ⱅ⤲_x0018_＀＀_x0018_＀＀_x0008_＀＀_x0001_＀＀_x0001_＀＀ஃ䬞샄㿪㢙亰=卞䕐彃䑉䑟呁⡁䘧䑗䥌啂䑓䴳䴷䘭卄䘺彇䥙䱅❄〬〬䐬丬乏ⱅ低䕎㈬착_x0018_＀＀_x0018_＀＀_x0008_＀＀_x0001_＀＀_x0001_＀＀뺻秅珮㿢귓亩&gt;卞䕐彃䑉䑟呁⡁䘧䑗䥌䕂剕䴳㤵ⵍ䑆㩓䝆奟䕉䑌Ⱗⰰⰰⱄ低䕎丬乏ⱅ⤲_x0018_＀＀_x0018_＀＀_x0008_＀＀_x0001_＀＀_x0001_＀＀策௘Ⰵ䀇귕亩&gt;卞䕐彃䑉䑟呁⡁䘧䑗䥌啂䑓䴳㜴ⵍ䑆㩓䝆奟䕉䑌Ⱗⰰⰰⱄ低䕎丬乏ⱅ⤲_x0018_＀＀_x0018_＀＀_x0008_＀＀_x0001_＀＀_x0001_＀＀징訙鸻䀂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6694</t>
        </r>
      </text>
    </comment>
  </commentList>
</comments>
</file>

<file path=xl/comments2.xml><?xml version="1.0" encoding="utf-8"?>
<comments xmlns="http://schemas.openxmlformats.org/spreadsheetml/2006/main">
  <authors>
    <author>DJF 1/31/13</author>
    <author>hazlett</author>
    <author>DJF 10/25/12</author>
    <author>DJF 1/30/13</author>
    <author>DJF</author>
    <author>vinayakr</author>
    <author>Gonzalez, Andres (Research)</author>
    <author>DJF 10/23/12</author>
    <author>Alexander French</author>
  </authors>
  <commentList>
    <comment ref="BG24" authorId="0">
      <text>
        <r>
          <rPr>
            <b/>
            <sz val="8"/>
            <color indexed="81"/>
            <rFont val="Tahoma"/>
            <family val="2"/>
          </rPr>
          <t>DJF 1/31/13:</t>
        </r>
        <r>
          <rPr>
            <sz val="8"/>
            <color indexed="81"/>
            <rFont val="Tahoma"/>
            <family val="2"/>
          </rPr>
          <t xml:space="preserve">
Expect global car production for flat to up 2%</t>
        </r>
      </text>
    </comment>
    <comment ref="Y25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in the low single digit percentage point range</t>
        </r>
      </text>
    </comment>
    <comment ref="Z25" authorId="1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Flat Q/Q, consistent with normal seasonality and reflecting a more challenging environment in Europe.</t>
        </r>
      </text>
    </comment>
    <comment ref="AA25" authorId="2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down MSD</t>
        </r>
      </text>
    </comment>
    <comment ref="AB25" authorId="3">
      <text>
        <r>
          <rPr>
            <b/>
            <sz val="8"/>
            <color indexed="81"/>
            <rFont val="Tahoma"/>
            <family val="2"/>
          </rPr>
          <t>DJF 1/30/13:</t>
        </r>
        <r>
          <rPr>
            <sz val="8"/>
            <color indexed="81"/>
            <rFont val="Tahoma"/>
            <family val="2"/>
          </rPr>
          <t xml:space="preserve">
Down LSD</t>
        </r>
      </text>
    </comment>
    <comment ref="AD25" authorId="4">
      <text>
        <r>
          <rPr>
            <b/>
            <sz val="9"/>
            <color indexed="81"/>
            <rFont val="Tahoma"/>
            <family val="2"/>
          </rPr>
          <t>DJF:</t>
        </r>
        <r>
          <rPr>
            <sz val="9"/>
            <color indexed="81"/>
            <rFont val="Tahoma"/>
            <family val="2"/>
          </rPr>
          <t xml:space="preserve">
Flat</t>
        </r>
      </text>
    </comment>
    <comment ref="AE25" authorId="5">
      <text>
        <r>
          <rPr>
            <b/>
            <sz val="10"/>
            <color indexed="81"/>
            <rFont val="Tahoma"/>
            <family val="2"/>
          </rPr>
          <t>vinayakr:</t>
        </r>
        <r>
          <rPr>
            <sz val="10"/>
            <color indexed="81"/>
            <rFont val="Tahoma"/>
            <family val="2"/>
          </rPr>
          <t xml:space="preserve">
up low single digits</t>
        </r>
      </text>
    </comment>
    <comment ref="W27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in low single digits Q/Q</t>
        </r>
      </text>
    </comment>
    <comment ref="B30" authorId="6">
      <text>
        <r>
          <rPr>
            <sz val="9"/>
            <color indexed="81"/>
            <rFont val="Tahoma"/>
            <family val="2"/>
          </rPr>
          <t>Included as new reporting Segment</t>
        </r>
      </text>
    </comment>
    <comment ref="W35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in low single digits Q/Q</t>
        </r>
      </text>
    </comment>
    <comment ref="B38" authorId="6">
      <text>
        <r>
          <rPr>
            <sz val="9"/>
            <color indexed="81"/>
            <rFont val="Tahoma"/>
            <family val="2"/>
          </rPr>
          <t>Included as new reporting Segment</t>
        </r>
      </text>
    </comment>
    <comment ref="W43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in low single digits Q/Q</t>
        </r>
      </text>
    </comment>
    <comment ref="B46" authorId="6">
      <text>
        <r>
          <rPr>
            <sz val="9"/>
            <color indexed="81"/>
            <rFont val="Tahoma"/>
            <family val="2"/>
          </rPr>
          <t>Included as new reporting Segment</t>
        </r>
      </text>
    </comment>
    <comment ref="W51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in low single digits Q/Q</t>
        </r>
      </text>
    </comment>
    <comment ref="BG56" authorId="3">
      <text>
        <r>
          <rPr>
            <b/>
            <sz val="8"/>
            <color indexed="81"/>
            <rFont val="Tahoma"/>
            <family val="2"/>
          </rPr>
          <t>DJF 1/30/13:</t>
        </r>
        <r>
          <rPr>
            <sz val="8"/>
            <color indexed="81"/>
            <rFont val="Tahoma"/>
            <family val="2"/>
          </rPr>
          <t xml:space="preserve">
Expected to grow double-digits.</t>
        </r>
      </text>
    </comment>
    <comment ref="Y57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in the high-teens digit percentage point range</t>
        </r>
      </text>
    </comment>
    <comment ref="Z57" authorId="1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Up ~10%, driven by banking remodel transactions.</t>
        </r>
      </text>
    </comment>
    <comment ref="AA57" authorId="2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Flat</t>
        </r>
      </text>
    </comment>
    <comment ref="AB57" authorId="3">
      <text>
        <r>
          <rPr>
            <b/>
            <sz val="8"/>
            <color indexed="81"/>
            <rFont val="Tahoma"/>
            <family val="2"/>
          </rPr>
          <t>DJF 1/30/13:</t>
        </r>
        <r>
          <rPr>
            <sz val="8"/>
            <color indexed="81"/>
            <rFont val="Tahoma"/>
            <family val="2"/>
          </rPr>
          <t xml:space="preserve">
down LSD</t>
        </r>
      </text>
    </comment>
    <comment ref="AC57" authorId="4">
      <text>
        <r>
          <rPr>
            <b/>
            <sz val="9"/>
            <color indexed="81"/>
            <rFont val="Tahoma"/>
            <family val="2"/>
          </rPr>
          <t>DJF:</t>
        </r>
        <r>
          <rPr>
            <sz val="9"/>
            <color indexed="81"/>
            <rFont val="Tahoma"/>
            <family val="2"/>
          </rPr>
          <t xml:space="preserve">
up low double digits, driven by "broad portfolio"</t>
        </r>
      </text>
    </comment>
    <comment ref="AD57" authorId="4">
      <text>
        <r>
          <rPr>
            <b/>
            <sz val="9"/>
            <color indexed="81"/>
            <rFont val="Tahoma"/>
            <family val="2"/>
          </rPr>
          <t>DJF:</t>
        </r>
        <r>
          <rPr>
            <sz val="9"/>
            <color indexed="81"/>
            <rFont val="Tahoma"/>
            <family val="2"/>
          </rPr>
          <t xml:space="preserve">
down low to mid single digits</t>
        </r>
      </text>
    </comment>
    <comment ref="AE57" authorId="5">
      <text>
        <r>
          <rPr>
            <b/>
            <sz val="8"/>
            <color indexed="81"/>
            <rFont val="Tahoma"/>
            <family val="2"/>
          </rPr>
          <t>vinayakr: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Flat</t>
        </r>
      </text>
    </comment>
    <comment ref="W59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Down in high single digits</t>
        </r>
      </text>
    </comment>
    <comment ref="AE63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 for $250M per Q by YE2013.
</t>
        </r>
      </text>
    </comment>
    <comment ref="B64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LT, Emerging could reach Core revenues.</t>
        </r>
      </text>
    </comment>
    <comment ref="Y64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up 100% Q/Q</t>
        </r>
      </text>
    </comment>
    <comment ref="Z64" authorId="2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Grown for 6 consecutive Q's</t>
        </r>
      </text>
    </comment>
    <comment ref="AA64" authorId="3">
      <text>
        <r>
          <rPr>
            <b/>
            <sz val="8"/>
            <color indexed="81"/>
            <rFont val="Tahoma"/>
            <family val="2"/>
          </rPr>
          <t>DJF 1/31/13:</t>
        </r>
        <r>
          <rPr>
            <sz val="8"/>
            <color indexed="81"/>
            <rFont val="Tahoma"/>
            <family val="2"/>
          </rPr>
          <t xml:space="preserve">
$280mn run-rate exiting 4Q12.</t>
        </r>
      </text>
    </comment>
    <comment ref="Z68" authorId="2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Up 14% Q/Q, per CC</t>
        </r>
      </text>
    </comment>
    <comment ref="AA68" authorId="0">
      <text>
        <r>
          <rPr>
            <b/>
            <sz val="8"/>
            <color indexed="81"/>
            <rFont val="Tahoma"/>
            <family val="2"/>
          </rPr>
          <t>DJF 1/31/13:</t>
        </r>
        <r>
          <rPr>
            <sz val="8"/>
            <color indexed="81"/>
            <rFont val="Tahoma"/>
            <family val="2"/>
          </rPr>
          <t xml:space="preserve">
up 1% Q/Q</t>
        </r>
      </text>
    </comment>
    <comment ref="B69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LT, Emerging could reach Core revenues.</t>
        </r>
      </text>
    </comment>
    <comment ref="Z69" authorId="2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Per CC</t>
        </r>
      </text>
    </comment>
    <comment ref="B74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LT, Emerging could reach Core revenues.</t>
        </r>
      </text>
    </comment>
    <comment ref="B78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e-Government, ID, Passport, MIFARE, banking cards, Readers, Tags</t>
        </r>
      </text>
    </comment>
    <comment ref="B79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ID, Authentication</t>
        </r>
      </text>
    </comment>
    <comment ref="AB79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25% per cc</t>
        </r>
      </text>
    </comment>
    <comment ref="B114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restated in April 2013</t>
        </r>
      </text>
    </comment>
    <comment ref="Y115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in the high single digit percentage point range</t>
        </r>
      </text>
    </comment>
    <comment ref="Z115" authorId="1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Up in low teens.  Seeing a positive improvement in demand for our HPRF products from base station customers.</t>
        </r>
      </text>
    </comment>
    <comment ref="AA115" authorId="7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down HSD</t>
        </r>
      </text>
    </comment>
    <comment ref="AB115" authorId="3">
      <text>
        <r>
          <rPr>
            <b/>
            <sz val="8"/>
            <color indexed="81"/>
            <rFont val="Tahoma"/>
            <family val="2"/>
          </rPr>
          <t>DJF 1/30/13:</t>
        </r>
        <r>
          <rPr>
            <sz val="8"/>
            <color indexed="81"/>
            <rFont val="Tahoma"/>
            <family val="2"/>
          </rPr>
          <t xml:space="preserve">
Down LSD</t>
        </r>
      </text>
    </comment>
    <comment ref="AC115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up low double digits</t>
        </r>
      </text>
    </comment>
    <comment ref="AD115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up low teens</t>
        </r>
      </text>
    </comment>
    <comment ref="AE115" authorId="5">
      <text>
        <r>
          <rPr>
            <b/>
            <sz val="8"/>
            <color indexed="81"/>
            <rFont val="Tahoma"/>
            <family val="2"/>
          </rPr>
          <t>vinayakr: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Flat</t>
        </r>
      </text>
    </comment>
    <comment ref="W117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Down high-teens Q/Q</t>
        </r>
      </text>
    </comment>
    <comment ref="B121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Compete with FSL, Infineon</t>
        </r>
      </text>
    </comment>
    <comment ref="B126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Compete with FSL, Infineon</t>
        </r>
      </text>
    </comment>
    <comment ref="B137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restated in April 2013</t>
        </r>
      </text>
    </comment>
    <comment ref="Y138" authorId="1">
      <text>
        <r>
          <rPr>
            <b/>
            <sz val="8"/>
            <color indexed="81"/>
            <rFont val="Tahoma"/>
            <family val="2"/>
          </rPr>
          <t xml:space="preserve">DJF:
</t>
        </r>
        <r>
          <rPr>
            <sz val="8"/>
            <color indexed="81"/>
            <rFont val="Tahoma"/>
            <family val="2"/>
          </rPr>
          <t>High speed interface and MCU drive growth.
Logic flat</t>
        </r>
        <r>
          <rPr>
            <b/>
            <sz val="8"/>
            <color indexed="81"/>
            <rFont val="Tahoma"/>
            <family val="2"/>
          </rPr>
          <t xml:space="preserve">
hazlett:</t>
        </r>
        <r>
          <rPr>
            <sz val="8"/>
            <color indexed="81"/>
            <rFont val="Tahoma"/>
            <family val="2"/>
          </rPr>
          <t xml:space="preserve">
Guide: up in the mid single digit percentage point range</t>
        </r>
      </text>
    </comment>
    <comment ref="Z138" authorId="1">
      <text>
        <r>
          <rPr>
            <b/>
            <sz val="8"/>
            <color indexed="81"/>
            <rFont val="Tahoma"/>
            <family val="2"/>
          </rPr>
          <t xml:space="preserve">DJF:
-- </t>
        </r>
        <r>
          <rPr>
            <sz val="8"/>
            <color indexed="81"/>
            <rFont val="Tahoma"/>
            <family val="2"/>
          </rPr>
          <t>Full ramp of new high-speed interface and logic design wins</t>
        </r>
        <r>
          <rPr>
            <b/>
            <sz val="8"/>
            <color indexed="81"/>
            <rFont val="Tahoma"/>
            <family val="2"/>
          </rPr>
          <t xml:space="preserve">
-- </t>
        </r>
        <r>
          <rPr>
            <sz val="8"/>
            <color indexed="81"/>
            <rFont val="Tahoma"/>
            <family val="2"/>
          </rPr>
          <t>MCUs slightly down</t>
        </r>
        <r>
          <rPr>
            <b/>
            <sz val="8"/>
            <color indexed="81"/>
            <rFont val="Tahoma"/>
            <family val="2"/>
          </rPr>
          <t xml:space="preserve">
DJF:</t>
        </r>
        <r>
          <rPr>
            <sz val="8"/>
            <color indexed="81"/>
            <rFont val="Tahoma"/>
            <family val="2"/>
          </rPr>
          <t xml:space="preserve">
Guide: up &gt;20%, due to new high-speed interface and logic programs are expected to accelerate
</t>
        </r>
      </text>
    </comment>
    <comment ref="AA138" authorId="7">
      <text>
        <r>
          <rPr>
            <b/>
            <sz val="8"/>
            <color indexed="81"/>
            <rFont val="Tahoma"/>
            <family val="2"/>
          </rPr>
          <t xml:space="preserve">DJF:
</t>
        </r>
        <r>
          <rPr>
            <sz val="8"/>
            <color indexed="81"/>
            <rFont val="Tahoma"/>
            <family val="2"/>
          </rPr>
          <t>Logic drove half of decline.  25% driven by MCUs and high-speed interface.</t>
        </r>
        <r>
          <rPr>
            <b/>
            <sz val="8"/>
            <color indexed="81"/>
            <rFont val="Tahoma"/>
            <family val="2"/>
          </rPr>
          <t xml:space="preserve">
DJF:</t>
        </r>
        <r>
          <rPr>
            <sz val="8"/>
            <color indexed="81"/>
            <rFont val="Tahoma"/>
            <family val="2"/>
          </rPr>
          <t xml:space="preserve">
Guide: down 10%</t>
        </r>
      </text>
    </comment>
    <comment ref="AB138" authorId="3">
      <text>
        <r>
          <rPr>
            <b/>
            <sz val="8"/>
            <color indexed="81"/>
            <rFont val="Tahoma"/>
            <family val="2"/>
          </rPr>
          <t>DJF 1/30/13:</t>
        </r>
        <r>
          <rPr>
            <sz val="8"/>
            <color indexed="81"/>
            <rFont val="Tahoma"/>
            <family val="2"/>
          </rPr>
          <t xml:space="preserve">
Down about 10%</t>
        </r>
      </text>
    </comment>
    <comment ref="AC138" authorId="0">
      <text>
        <r>
          <rPr>
            <sz val="9"/>
            <color indexed="81"/>
            <rFont val="Tahoma"/>
            <family val="2"/>
          </rPr>
          <t>Guide: up 10%.  Includes very little of MCU interface design win</t>
        </r>
        <r>
          <rPr>
            <b/>
            <sz val="9"/>
            <color indexed="81"/>
            <rFont val="Tahoma"/>
            <family val="2"/>
          </rPr>
          <t xml:space="preserve">
DJF 1/31/13:</t>
        </r>
        <r>
          <rPr>
            <sz val="9"/>
            <color indexed="81"/>
            <rFont val="Tahoma"/>
            <family val="2"/>
          </rPr>
          <t xml:space="preserve">
New design win starts to kick in during 2Q, most impact on 3Q.</t>
        </r>
      </text>
    </comment>
    <comment ref="AD138" authorId="0">
      <text>
        <r>
          <rPr>
            <b/>
            <sz val="9"/>
            <color indexed="81"/>
            <rFont val="Tahoma"/>
            <family val="2"/>
          </rPr>
          <t xml:space="preserve">DJF:
</t>
        </r>
        <r>
          <rPr>
            <sz val="9"/>
            <color indexed="81"/>
            <rFont val="Tahoma"/>
            <family val="2"/>
          </rPr>
          <t>Guide: upper twenties increase driven by new product ramps</t>
        </r>
        <r>
          <rPr>
            <b/>
            <sz val="9"/>
            <color indexed="81"/>
            <rFont val="Tahoma"/>
            <family val="2"/>
          </rPr>
          <t xml:space="preserve">
DJF 1/31/13:</t>
        </r>
        <r>
          <rPr>
            <sz val="9"/>
            <color indexed="81"/>
            <rFont val="Tahoma"/>
            <family val="2"/>
          </rPr>
          <t xml:space="preserve">
New design win starts to kick in during 2Q, most impact on 3Q.
Impact should be ~$20mn per Q once ramped</t>
        </r>
      </text>
    </comment>
    <comment ref="AE138" authorId="5">
      <text>
        <r>
          <rPr>
            <b/>
            <sz val="8"/>
            <color indexed="81"/>
            <rFont val="Tahoma"/>
            <family val="2"/>
          </rPr>
          <t>vinayakr: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Up mid teens</t>
        </r>
      </text>
    </comment>
    <comment ref="W140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Down mid-teens Q/Q</t>
        </r>
      </text>
    </comment>
    <comment ref="AB154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one-time benefit from the positivie settlement of a legal dispute</t>
        </r>
      </text>
    </comment>
    <comment ref="B156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excludes PPA and restructuring (similar to NXP)
includes SBC and ignores legal provision/other adjustments (different than NXP)</t>
        </r>
      </text>
    </comment>
    <comment ref="AB161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adjusted for one-time legal provision</t>
        </r>
      </text>
    </comment>
    <comment ref="AE172" authorId="4">
      <text>
        <r>
          <rPr>
            <b/>
            <sz val="9"/>
            <color indexed="81"/>
            <rFont val="Tahoma"/>
            <family val="2"/>
          </rPr>
          <t>DJF:</t>
        </r>
        <r>
          <rPr>
            <sz val="9"/>
            <color indexed="81"/>
            <rFont val="Tahoma"/>
            <family val="2"/>
          </rPr>
          <t xml:space="preserve">
Not including IP licensing but giving profit contribution</t>
        </r>
      </text>
    </comment>
    <comment ref="B181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estimated margin rank</t>
        </r>
      </text>
    </comment>
    <comment ref="B188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per $/euro file in NXP --&gt; Other</t>
        </r>
      </text>
    </comment>
    <comment ref="B189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~25-30% of COGs is euro denominated</t>
        </r>
      </text>
    </comment>
    <comment ref="B200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excludes PPA and restructuring (similar to NXP)
includes SBC and ignores legal provision/other adjustments (different than NXP)</t>
        </r>
      </text>
    </comment>
    <comment ref="AB204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adjusted for one-time legal provision</t>
        </r>
      </text>
    </comment>
    <comment ref="B208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per $/euro file in NXP --&gt; Other</t>
        </r>
      </text>
    </comment>
    <comment ref="B209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~65% of opex is euro denominated</t>
        </r>
      </text>
    </comment>
    <comment ref="W210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bonus true up?</t>
        </r>
      </text>
    </comment>
    <comment ref="AB222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legal provision</t>
        </r>
      </text>
    </comment>
    <comment ref="Z227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New opportunities ramped at ~33% GMs</t>
        </r>
      </text>
    </comment>
    <comment ref="B243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per $/euro file in NXP --&gt; Other</t>
        </r>
      </text>
    </comment>
    <comment ref="B244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~65% of opex is euro denominated</t>
        </r>
      </text>
    </comment>
    <comment ref="AB253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80-85mn this Q?</t>
        </r>
      </text>
    </comment>
    <comment ref="Y258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Up in the high single digit percentage point range</t>
        </r>
      </text>
    </comment>
    <comment ref="Z258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Flat Q/Q</t>
        </r>
      </text>
    </comment>
    <comment ref="AA258" authorId="2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Down HSD</t>
        </r>
      </text>
    </comment>
    <comment ref="AB259" authorId="3">
      <text>
        <r>
          <rPr>
            <b/>
            <sz val="8"/>
            <color indexed="81"/>
            <rFont val="Tahoma"/>
            <family val="2"/>
          </rPr>
          <t>DJF 1/30/13:</t>
        </r>
        <r>
          <rPr>
            <sz val="8"/>
            <color indexed="81"/>
            <rFont val="Tahoma"/>
            <family val="2"/>
          </rPr>
          <t xml:space="preserve">
Up LSD</t>
        </r>
      </text>
    </comment>
    <comment ref="AC259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up low to mid single digits</t>
        </r>
      </text>
    </comment>
    <comment ref="AD259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up low to mid single digits</t>
        </r>
      </text>
    </comment>
    <comment ref="AE259" authorId="5">
      <text>
        <r>
          <rPr>
            <b/>
            <sz val="8"/>
            <color indexed="81"/>
            <rFont val="Tahoma"/>
            <family val="2"/>
          </rPr>
          <t>vinayakr: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Flat to slightly down</t>
        </r>
      </text>
    </comment>
    <comment ref="BG261" authorId="0">
      <text>
        <r>
          <rPr>
            <b/>
            <sz val="8"/>
            <color indexed="81"/>
            <rFont val="Tahoma"/>
            <family val="2"/>
          </rPr>
          <t>DJF 1/31/13:</t>
        </r>
        <r>
          <rPr>
            <sz val="8"/>
            <color indexed="81"/>
            <rFont val="Tahoma"/>
            <family val="2"/>
          </rPr>
          <t xml:space="preserve">
Assume no growth LT.</t>
        </r>
      </text>
    </comment>
    <comment ref="B266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restated April 2011 to include GPL (formerly HPMS-compute)</t>
        </r>
      </text>
    </comment>
    <comment ref="X278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Saw severe pricing pressure (as much as you would see on an annual basis - every 1% price decline hurts margins by 50bps) in addition to lapping 71% factory utilization.</t>
        </r>
      </text>
    </comment>
    <comment ref="Y278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saw severe pricing pressure in addition to lapping low factory utilization</t>
        </r>
      </text>
    </comment>
    <comment ref="AB278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-- 650bps below target
-- 50% due to pricing/product mix
-- 50% due to poor operational performance including slower ramp post quality issues in Q4 and a slower return to work post Chinese New Year
-- GPL fall through was as expected</t>
        </r>
      </text>
    </comment>
    <comment ref="B305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per $/euro file in NXP --&gt; Other</t>
        </r>
      </text>
    </comment>
    <comment ref="B306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~65% of opex is euro denominated</t>
        </r>
      </text>
    </comment>
    <comment ref="W307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bonus true up?</t>
        </r>
      </text>
    </comment>
    <comment ref="Z314" authorId="2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Walking away from certain low-end businesses</t>
        </r>
      </text>
    </comment>
    <comment ref="B342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per $/euro file in NXP --&gt; Other</t>
        </r>
      </text>
    </comment>
    <comment ref="B343" authorId="4">
      <text>
        <r>
          <rPr>
            <b/>
            <sz val="10"/>
            <color indexed="81"/>
            <rFont val="Tahoma"/>
            <family val="2"/>
          </rPr>
          <t>DJF:</t>
        </r>
        <r>
          <rPr>
            <sz val="10"/>
            <color indexed="81"/>
            <rFont val="Tahoma"/>
            <family val="2"/>
          </rPr>
          <t xml:space="preserve">
~65% of opex is euro denominated</t>
        </r>
      </text>
    </comment>
    <comment ref="B351" authorId="6">
      <text>
        <r>
          <rPr>
            <sz val="9"/>
            <color indexed="81"/>
            <rFont val="Tahoma"/>
            <family val="2"/>
          </rPr>
          <t>Named as Corporate and other to match new operating information</t>
        </r>
      </text>
    </comment>
    <comment ref="V351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Guidance: Combination of revenue from Manufacturing Operations and Corporate &amp; Other is expected to be ~$96M</t>
        </r>
      </text>
    </comment>
    <comment ref="W351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Expected contribution of MO and CO is $70M as per guidance</t>
        </r>
      </text>
    </comment>
    <comment ref="Y351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Manufactering Operations + Corporate and Other = $59M</t>
        </r>
      </text>
    </comment>
    <comment ref="Z351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Manufacturing + Corporate &amp; Other at $60M</t>
        </r>
      </text>
    </comment>
    <comment ref="AA351" authorId="2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$45mn guidance for manufacturing and corporate</t>
        </r>
      </text>
    </comment>
    <comment ref="AB351" authorId="0">
      <text>
        <r>
          <rPr>
            <b/>
            <sz val="8"/>
            <color indexed="81"/>
            <rFont val="Tahoma"/>
            <family val="2"/>
          </rPr>
          <t>DJF 1/31/13:</t>
        </r>
        <r>
          <rPr>
            <sz val="8"/>
            <color indexed="81"/>
            <rFont val="Tahoma"/>
            <family val="2"/>
          </rPr>
          <t xml:space="preserve">
Manufacturing &amp; Other down 50% Q/Q due to tri-annual TSMC maintenance.
Run-rate of sales to SSMC should be ~$30-35mn.</t>
        </r>
      </text>
    </comment>
    <comment ref="AC351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Guidance for manufacturing and other: $26mn</t>
        </r>
      </text>
    </comment>
    <comment ref="AD351" authorId="4">
      <text>
        <r>
          <rPr>
            <b/>
            <sz val="8"/>
            <color indexed="81"/>
            <rFont val="Tahoma"/>
            <family val="2"/>
          </rPr>
          <t>DJF:</t>
        </r>
        <r>
          <rPr>
            <sz val="8"/>
            <color indexed="81"/>
            <rFont val="Tahoma"/>
            <family val="2"/>
          </rPr>
          <t xml:space="preserve">
$30-35mn normalized runr-rate per 4Q EPS call</t>
        </r>
      </text>
    </comment>
    <comment ref="AE351" authorId="5">
      <text>
        <r>
          <rPr>
            <b/>
            <sz val="9"/>
            <color indexed="81"/>
            <rFont val="Tahoma"/>
            <family val="2"/>
          </rPr>
          <t>vinayakr:</t>
        </r>
        <r>
          <rPr>
            <sz val="9"/>
            <color indexed="81"/>
            <rFont val="Tahoma"/>
            <family val="2"/>
          </rPr>
          <t xml:space="preserve">
Guided to $34mn</t>
        </r>
      </text>
    </comment>
    <comment ref="AA380" authorId="2">
      <text>
        <r>
          <rPr>
            <b/>
            <sz val="8"/>
            <color indexed="81"/>
            <rFont val="Tahoma"/>
            <family val="2"/>
          </rPr>
          <t>DJF 10/25/12:</t>
        </r>
        <r>
          <rPr>
            <sz val="8"/>
            <color indexed="81"/>
            <rFont val="Tahoma"/>
            <family val="2"/>
          </rPr>
          <t xml:space="preserve">
$45mn guidance for manufacturing and corporate</t>
        </r>
      </text>
    </comment>
    <comment ref="V385" authorId="1">
      <text>
        <r>
          <rPr>
            <b/>
            <sz val="8"/>
            <color indexed="81"/>
            <rFont val="Tahoma"/>
            <family val="2"/>
          </rPr>
          <t>hazlett:</t>
        </r>
        <r>
          <rPr>
            <sz val="8"/>
            <color indexed="81"/>
            <rFont val="Tahoma"/>
            <family val="2"/>
          </rPr>
          <t xml:space="preserve">
Plug to balance income statement</t>
        </r>
      </text>
    </comment>
    <comment ref="AE397" authorId="8">
      <text>
        <r>
          <rPr>
            <b/>
            <sz val="8"/>
            <color indexed="81"/>
            <rFont val="Tahoma"/>
            <family val="2"/>
          </rPr>
          <t>Alexander French:</t>
        </r>
        <r>
          <rPr>
            <sz val="8"/>
            <color indexed="81"/>
            <rFont val="Tahoma"/>
            <family val="2"/>
          </rPr>
          <t xml:space="preserve">
Manufacturing operations segment will be reflected withing corporate and other</t>
        </r>
      </text>
    </comment>
    <comment ref="AA540" authorId="0">
      <text>
        <r>
          <rPr>
            <b/>
            <sz val="10"/>
            <color indexed="81"/>
            <rFont val="Tahoma"/>
            <family val="2"/>
          </rPr>
          <t>DJF 1/31/13:</t>
        </r>
        <r>
          <rPr>
            <sz val="10"/>
            <color indexed="81"/>
            <rFont val="Tahoma"/>
            <family val="2"/>
          </rPr>
          <t xml:space="preserve">
HPMS running at full utilization.  Standard products under-utilized.</t>
        </r>
      </text>
    </comment>
  </commentList>
</comments>
</file>

<file path=xl/sharedStrings.xml><?xml version="1.0" encoding="utf-8"?>
<sst xmlns="http://schemas.openxmlformats.org/spreadsheetml/2006/main" count="1541" uniqueCount="914">
  <si>
    <t>Total Interest Income (net) and Other Income</t>
  </si>
  <si>
    <t>PBT</t>
  </si>
  <si>
    <t>Income Tax Expense (Benefit)</t>
  </si>
  <si>
    <t>Effective tax rate %</t>
  </si>
  <si>
    <t>Net Income, Cont. Ops.</t>
  </si>
  <si>
    <t>Note: Utilization</t>
  </si>
  <si>
    <t>HPMS Revenue</t>
  </si>
  <si>
    <t>HPMS segment GAAP gross profit</t>
  </si>
  <si>
    <t>PPA effects</t>
  </si>
  <si>
    <t>Stock-based compensation</t>
  </si>
  <si>
    <t>Other incidentals</t>
  </si>
  <si>
    <t>Other adjustments</t>
  </si>
  <si>
    <t>HPMS segment non-GAAP gross profit</t>
  </si>
  <si>
    <t>HPMS segment GAAP gross margin</t>
  </si>
  <si>
    <t>HPMS segment non-GAAP gross margin</t>
  </si>
  <si>
    <t>HPMS segment GAAP operating profit</t>
  </si>
  <si>
    <t>HPMS segment non-GAAP operating profit</t>
  </si>
  <si>
    <t>HPMS segment GAAP operating margin</t>
  </si>
  <si>
    <t>HPMS segment non-GAAP operating margin</t>
  </si>
  <si>
    <t>Q/Q Change in COGs</t>
  </si>
  <si>
    <t>Q/Q Change in Revs</t>
  </si>
  <si>
    <t>Q/Q Change in Opex</t>
  </si>
  <si>
    <t>Non-Gaap COGs</t>
  </si>
  <si>
    <t>Non-Gaap Opex</t>
  </si>
  <si>
    <t>Segment GAAP gross profit</t>
  </si>
  <si>
    <t>Segment non-GAAP gross profit</t>
  </si>
  <si>
    <t>Segment GAAP gross margin</t>
  </si>
  <si>
    <t>Segment non-GAAP gross margin</t>
  </si>
  <si>
    <t>Segment GAAP operating profit</t>
  </si>
  <si>
    <t>Segment non-GAAP operating profit</t>
  </si>
  <si>
    <t>Segment GAAP operating margin</t>
  </si>
  <si>
    <t>Segment non-GAAP operating margin</t>
  </si>
  <si>
    <t>Autos</t>
  </si>
  <si>
    <t>Incr. Margins</t>
  </si>
  <si>
    <t>Plus: Software</t>
  </si>
  <si>
    <t>Incremental Revenues:</t>
  </si>
  <si>
    <t>OM %</t>
  </si>
  <si>
    <t>Other Margin Improvements (Detractors)</t>
  </si>
  <si>
    <t>Drivers: Incremental Margins by Segment</t>
  </si>
  <si>
    <t>Net Income Margin %</t>
  </si>
  <si>
    <t>Income (Loss) from Discontinued Operations</t>
  </si>
  <si>
    <t>Segment Mix (% of HPMS)</t>
  </si>
  <si>
    <t>Non-Gaap Operating Income</t>
  </si>
  <si>
    <t>Non-Gaap Op. Margins %</t>
  </si>
  <si>
    <t>Non-Gaap Gross Margin %</t>
  </si>
  <si>
    <t>Non-Gaap Gross Margin</t>
  </si>
  <si>
    <t>Total Opex</t>
  </si>
  <si>
    <t>Other Opex</t>
  </si>
  <si>
    <t>F2Q13A</t>
  </si>
  <si>
    <t>PBT Margin %</t>
  </si>
  <si>
    <t>($ in millions; fiscal year ends in December)</t>
  </si>
  <si>
    <t>Other non GAAP expenses</t>
  </si>
  <si>
    <t>COGS - MW</t>
  </si>
  <si>
    <t>Gross Profit - MW</t>
  </si>
  <si>
    <t>Gross Margin - MW</t>
  </si>
  <si>
    <t>R&amp;D - MW</t>
  </si>
  <si>
    <t>Other OpEx - MW</t>
  </si>
  <si>
    <t>Operating Expenses - MW</t>
  </si>
  <si>
    <t>Operating Income - MW</t>
  </si>
  <si>
    <t>Operating Margin MW%</t>
  </si>
  <si>
    <t>Total Interest Income (net) and Other Income - MW</t>
  </si>
  <si>
    <t>PBT - MW</t>
  </si>
  <si>
    <t>PBT Margin MW%</t>
  </si>
  <si>
    <t>Taxes-Extraordinary</t>
  </si>
  <si>
    <t>Income Tax Expense (Benefit) - MW</t>
  </si>
  <si>
    <t>Effective tax rate MW</t>
  </si>
  <si>
    <t>Extraordinary, net of tax</t>
  </si>
  <si>
    <t>Net Income, Cont. Ops. - MW</t>
  </si>
  <si>
    <t>Net Income Margin MW%</t>
  </si>
  <si>
    <t xml:space="preserve">EPS - MW </t>
  </si>
  <si>
    <t>% of Rev. Growth</t>
  </si>
  <si>
    <t>Average Basic Shares - GAAP</t>
  </si>
  <si>
    <t>Average Basic Shares - non-GAAP</t>
  </si>
  <si>
    <t>Average Diluted Shares - GAAP</t>
  </si>
  <si>
    <t>Average Diluted Shares - non-GAAP</t>
  </si>
  <si>
    <t>Dilution Ratio</t>
  </si>
  <si>
    <t>Period-end Shares</t>
  </si>
  <si>
    <t>Dividends Declared Per Share</t>
  </si>
  <si>
    <t>Average Price Per Share</t>
  </si>
  <si>
    <t>Cost of equity</t>
  </si>
  <si>
    <t>Statutory Tax (%)</t>
  </si>
  <si>
    <t>2008-Q1</t>
  </si>
  <si>
    <t>2008-Q2</t>
  </si>
  <si>
    <t>2008-Q3</t>
  </si>
  <si>
    <t>2008-Q4</t>
  </si>
  <si>
    <t>2009-Q1</t>
  </si>
  <si>
    <t>2009-Q2</t>
  </si>
  <si>
    <t>2009-Q3</t>
  </si>
  <si>
    <t>2009-Q4</t>
  </si>
  <si>
    <t>2010-Q1</t>
  </si>
  <si>
    <t>2010-Q2</t>
  </si>
  <si>
    <t>2010-Q3</t>
  </si>
  <si>
    <t>2010-Q4</t>
  </si>
  <si>
    <t>2011-Q1</t>
  </si>
  <si>
    <t>2011-Q2</t>
  </si>
  <si>
    <t>2011-Q3</t>
  </si>
  <si>
    <t>2011-Q4</t>
  </si>
  <si>
    <t>2012-Q1</t>
  </si>
  <si>
    <t>2012-Q2</t>
  </si>
  <si>
    <t>2012-Q3</t>
  </si>
  <si>
    <t>2012-Q4</t>
  </si>
  <si>
    <t>2013-Q1</t>
  </si>
  <si>
    <t>2013-Q2</t>
  </si>
  <si>
    <t>2013-Q3</t>
  </si>
  <si>
    <t>2013-Q4</t>
  </si>
  <si>
    <t>2014-Q1</t>
  </si>
  <si>
    <t>2014-Q2</t>
  </si>
  <si>
    <t>2014-Q3</t>
  </si>
  <si>
    <t>2014-Q4</t>
  </si>
  <si>
    <t>2007-FY</t>
  </si>
  <si>
    <t>2008-FY</t>
  </si>
  <si>
    <t>2009-FY</t>
  </si>
  <si>
    <t>2010-FY</t>
  </si>
  <si>
    <t>2011-FY</t>
  </si>
  <si>
    <t>2012-FY</t>
  </si>
  <si>
    <t>2013-FY</t>
  </si>
  <si>
    <t>2014-FY</t>
  </si>
  <si>
    <t>2015-FY</t>
  </si>
  <si>
    <t>2016-FY</t>
  </si>
  <si>
    <t>2017-FY</t>
  </si>
  <si>
    <t>2018-FY</t>
  </si>
  <si>
    <t>2019-FY</t>
  </si>
  <si>
    <t>Actual/Estimate Toggle</t>
  </si>
  <si>
    <t>USD</t>
  </si>
  <si>
    <t>F3Q13A</t>
  </si>
  <si>
    <t>A</t>
  </si>
  <si>
    <t>E</t>
  </si>
  <si>
    <t>2015-Q1</t>
  </si>
  <si>
    <t>2015-Q2</t>
  </si>
  <si>
    <t>2015-Q3</t>
  </si>
  <si>
    <t>2015-Q4</t>
  </si>
  <si>
    <t>2016-Q1</t>
  </si>
  <si>
    <t>2016-Q2</t>
  </si>
  <si>
    <t>2016-Q3</t>
  </si>
  <si>
    <t>2016-Q4</t>
  </si>
  <si>
    <t>2017-Q1</t>
  </si>
  <si>
    <t>2017-Q2</t>
  </si>
  <si>
    <t>2017-Q3</t>
  </si>
  <si>
    <t>2017-Q4</t>
  </si>
  <si>
    <t>2018-Q1</t>
  </si>
  <si>
    <t>2018-Q2</t>
  </si>
  <si>
    <t>2018-Q3</t>
  </si>
  <si>
    <t>2018-Q4</t>
  </si>
  <si>
    <t>2020-FY</t>
  </si>
  <si>
    <t>Assets</t>
  </si>
  <si>
    <t>Cash and cash equivalents</t>
  </si>
  <si>
    <t>Accounts receivables, net</t>
  </si>
  <si>
    <t>Total Current Assets</t>
  </si>
  <si>
    <t>Total Assets</t>
  </si>
  <si>
    <t>Liabilities &amp; Shareholders' Equity</t>
  </si>
  <si>
    <t>Accounts payable</t>
  </si>
  <si>
    <t>Total Current Liabilities</t>
  </si>
  <si>
    <t>Shareholders' Equity</t>
  </si>
  <si>
    <t>Total Liabilities &amp; Equity</t>
  </si>
  <si>
    <t>Check</t>
  </si>
  <si>
    <t>Working Capital Metrics</t>
  </si>
  <si>
    <t xml:space="preserve"> </t>
  </si>
  <si>
    <t>A/R Days Sales Out</t>
  </si>
  <si>
    <t>Inventory Turns</t>
  </si>
  <si>
    <t>Days of Inventory</t>
  </si>
  <si>
    <t>Accounts Payable DSO</t>
  </si>
  <si>
    <t>Revenues</t>
  </si>
  <si>
    <t>Cost of Goods Sold</t>
  </si>
  <si>
    <t>Stockholders Equity</t>
  </si>
  <si>
    <t>Preferred stock</t>
  </si>
  <si>
    <t>Common stock</t>
  </si>
  <si>
    <t>Temporary BS plug for earnings (all quarters going forward)</t>
  </si>
  <si>
    <t>Additional paid-in capital</t>
  </si>
  <si>
    <t>Total share capital</t>
  </si>
  <si>
    <t>Dividends</t>
  </si>
  <si>
    <t>Retained earnings (accumulated deficit)</t>
  </si>
  <si>
    <t>Accumulated other comprehensive income (loss)</t>
  </si>
  <si>
    <t>vs. Balance Sheet</t>
  </si>
  <si>
    <t>Balance Sheet Metrics</t>
  </si>
  <si>
    <t>Average diluted shares - non GAAP</t>
  </si>
  <si>
    <t>Book value per share</t>
  </si>
  <si>
    <t>Tangible book value</t>
  </si>
  <si>
    <t>Tangible book value per share</t>
  </si>
  <si>
    <t>Total cash</t>
  </si>
  <si>
    <t>Total cash per share</t>
  </si>
  <si>
    <t>Net working capital</t>
  </si>
  <si>
    <t>Unrecorded goodwill from poolings, write-offs, and cumulative amortization</t>
  </si>
  <si>
    <t>ND</t>
  </si>
  <si>
    <t>Change in Share Capital</t>
  </si>
  <si>
    <t>Cash flows provided by (used for) operating activities:</t>
  </si>
  <si>
    <t>Net income</t>
  </si>
  <si>
    <t>Adjustments to reconcile net income to net cash provided by operating activities:</t>
  </si>
  <si>
    <t>Depreciation and amortization</t>
  </si>
  <si>
    <t>Stock-based compensation expense</t>
  </si>
  <si>
    <t>Other operating activities</t>
  </si>
  <si>
    <t>Changes in current assets and liabilities:</t>
  </si>
  <si>
    <t>Accounts receivable</t>
  </si>
  <si>
    <t>Inventory</t>
  </si>
  <si>
    <t>Net cash provided by operating activities</t>
  </si>
  <si>
    <t>Cash flows from investing activities:</t>
  </si>
  <si>
    <t>Other investing activities</t>
  </si>
  <si>
    <t>Net cash used for investing activities</t>
  </si>
  <si>
    <t>Cash flows from financing activities:</t>
  </si>
  <si>
    <t>Net cash used for financing activities</t>
  </si>
  <si>
    <t>Effect of exchange rate changes on cash and cash equivalents</t>
  </si>
  <si>
    <t>Cash and cash equivalents, beginning of period</t>
  </si>
  <si>
    <t>Change in cash flow due to restatement</t>
  </si>
  <si>
    <t>Net increase (decrease) in cash and cash equivalents</t>
  </si>
  <si>
    <t>Cash and cash equivalents, end of period</t>
  </si>
  <si>
    <t>PP&amp;E Schedule</t>
  </si>
  <si>
    <t>Capital Expenditures</t>
  </si>
  <si>
    <t>HPMS Gross Margin Details</t>
  </si>
  <si>
    <t>Standard Products Gross Margin Details</t>
  </si>
  <si>
    <t>Operating Margins</t>
  </si>
  <si>
    <t>One time PPE Plug</t>
  </si>
  <si>
    <t>Percentage of Total Revenues</t>
  </si>
  <si>
    <t>Gain on sale of assets</t>
  </si>
  <si>
    <t>Gross PP&amp;E</t>
  </si>
  <si>
    <t>Percentage of Total Assets</t>
  </si>
  <si>
    <t>Less Accumulated Depreciation and Amortization</t>
  </si>
  <si>
    <t>Net PP&amp;E</t>
  </si>
  <si>
    <t>Depreciation Schedule</t>
  </si>
  <si>
    <t>Total Depreciation and Amortization</t>
  </si>
  <si>
    <t>Percentage of Gross PP&amp;E</t>
  </si>
  <si>
    <t>vs. Cash Flow Statement</t>
  </si>
  <si>
    <t>Cash Flow Statement Metrics</t>
  </si>
  <si>
    <t>Free Cash Flow</t>
  </si>
  <si>
    <t>Other financing activities</t>
  </si>
  <si>
    <t>Gross Margin</t>
  </si>
  <si>
    <t>Capex</t>
  </si>
  <si>
    <t>BRCM.O,mscalc:sedolCodeCalc</t>
  </si>
  <si>
    <t>BRCM.O,mscalc:closePriceCurrencyCalc</t>
  </si>
  <si>
    <t>BRCM.O,mscalc:targetPrice,,,,USD</t>
  </si>
  <si>
    <t>Q-o-Q growth</t>
  </si>
  <si>
    <t>Y-o-Y growth</t>
  </si>
  <si>
    <t>Percent of Revenue</t>
  </si>
  <si>
    <t>Total Bottoms Up Revenue</t>
  </si>
  <si>
    <t>Implied COGs</t>
  </si>
  <si>
    <t>Implied Opex</t>
  </si>
  <si>
    <t>Gross Margin (non-GAAP)</t>
  </si>
  <si>
    <t>Reconciliation</t>
  </si>
  <si>
    <t>Gross Margin %</t>
  </si>
  <si>
    <t>GPL</t>
  </si>
  <si>
    <t>HPMS Gross Margin (non-GAAP)</t>
  </si>
  <si>
    <t>Note: HPMS Revenues</t>
  </si>
  <si>
    <t>$/euro</t>
  </si>
  <si>
    <t>% Q/Q opex growth</t>
  </si>
  <si>
    <t>est. currency benefit (impact)</t>
  </si>
  <si>
    <t>Q/Q opex growth in constant $'s</t>
  </si>
  <si>
    <t>Incremental GMs</t>
  </si>
  <si>
    <t>This sheet contains Factset binary data for use with this workbook's =FDS codes.  Modifying the worksheet's contents may damage the workbook's =FDS functionality.</t>
  </si>
  <si>
    <t>Consensus</t>
  </si>
  <si>
    <t>COGS</t>
  </si>
  <si>
    <t>Gross Profit</t>
  </si>
  <si>
    <t>R&amp;D</t>
  </si>
  <si>
    <t>SG&amp;A</t>
  </si>
  <si>
    <t>Operating Income</t>
  </si>
  <si>
    <t>Net Income</t>
  </si>
  <si>
    <t>EPS</t>
  </si>
  <si>
    <t>2235822</t>
  </si>
  <si>
    <t>48</t>
  </si>
  <si>
    <t>TXN.N,mscalc:sedolCodeCalc</t>
  </si>
  <si>
    <t>TXN.N,mscalc:closePriceCurrencyCalc</t>
  </si>
  <si>
    <t>TXN.N,mscalc:targetPrice,,,,USD</t>
  </si>
  <si>
    <t>NA</t>
  </si>
  <si>
    <t>Currency</t>
  </si>
  <si>
    <t xml:space="preserve">Non-Gaap SG&amp;A </t>
  </si>
  <si>
    <t>Non-Gaap R&amp;D</t>
  </si>
  <si>
    <t>FY2013A</t>
  </si>
  <si>
    <t>F4Q13A</t>
  </si>
  <si>
    <t>Current Stock Price</t>
  </si>
  <si>
    <t>Count</t>
  </si>
  <si>
    <t>Payments to repurchase stock</t>
  </si>
  <si>
    <t>2007-Q1</t>
  </si>
  <si>
    <t>2007-Q2</t>
  </si>
  <si>
    <t>2007-Q3</t>
  </si>
  <si>
    <t>2007-Q4</t>
  </si>
  <si>
    <t>Intangible assets, net</t>
  </si>
  <si>
    <t>Other assets</t>
  </si>
  <si>
    <t>Other long-term liabilities</t>
  </si>
  <si>
    <t>Acquisition of intangible assets</t>
  </si>
  <si>
    <t>Payments on (Proceeds from) debt, net</t>
  </si>
  <si>
    <t>AVGO.O,mscalc:closePriceCurrencyCalc</t>
  </si>
  <si>
    <t>AVGO.O,mscalc:sedolCodeCalc</t>
  </si>
  <si>
    <t>AVGO.O,mscalc:targetPrice,,,,USD</t>
  </si>
  <si>
    <t>B3WS2X9</t>
  </si>
  <si>
    <t>38</t>
  </si>
  <si>
    <t>Other current liabilities</t>
  </si>
  <si>
    <t>Other current assets</t>
  </si>
  <si>
    <t>Property, plant and equipment, net</t>
  </si>
  <si>
    <t>Acquisition of property and equipment</t>
  </si>
  <si>
    <t>Issuance of ordinary stock</t>
  </si>
  <si>
    <t>Dividend payments to shareholders</t>
  </si>
  <si>
    <t>Gain/Loss on disposal of PP&amp;E</t>
  </si>
  <si>
    <t>ALTR.O,mscalc:closePriceCurrencyCalc</t>
  </si>
  <si>
    <t>ALTR.O,mscalc:sedolCodeCalc</t>
  </si>
  <si>
    <t>ALTR.O,mscalc:targetPrice,,,,USD</t>
  </si>
  <si>
    <t>2021690</t>
  </si>
  <si>
    <t>Long-term investments</t>
  </si>
  <si>
    <t>Accrued liabilities</t>
  </si>
  <si>
    <t>Accounts payable and accrued liabilities</t>
  </si>
  <si>
    <t>Income Taxes payable</t>
  </si>
  <si>
    <t>Deferred taxes</t>
  </si>
  <si>
    <t>NXPI.O</t>
  </si>
  <si>
    <t>NXP Semiconductor NV</t>
  </si>
  <si>
    <t>NXPI.O,mscalc:targetPrice,,,,USD</t>
  </si>
  <si>
    <t>NXPI.O,mscalc:closePriceCurrencyCalc</t>
  </si>
  <si>
    <t>NXPI.O,mscalc:sedolCodeCalc</t>
  </si>
  <si>
    <t>B505PN7</t>
  </si>
  <si>
    <t>NXP Semiconductors</t>
  </si>
  <si>
    <t>NXP Semiconductors Bottoms Up Model</t>
  </si>
  <si>
    <t>NXPI Statement of Cash Flows (Non Cumulative)</t>
  </si>
  <si>
    <t>NXPI Statement of Cash Flows (Cumulative)</t>
  </si>
  <si>
    <t>NXP Semiconductors Balance Sheet</t>
  </si>
  <si>
    <t>NXP Semiconductors Income Statement</t>
  </si>
  <si>
    <t>Interest income (expense), net</t>
  </si>
  <si>
    <t>Adjustments for Net Income to Common Shareholders - GAAP</t>
  </si>
  <si>
    <t>Results relating to equity-accounted investees</t>
  </si>
  <si>
    <t>Net (income) loss attributable to non-controlling interests</t>
  </si>
  <si>
    <t>Assets held for sale</t>
  </si>
  <si>
    <t>Goodwill</t>
  </si>
  <si>
    <t>Liabilities held for sale</t>
  </si>
  <si>
    <t>Short-term provisions</t>
  </si>
  <si>
    <t>Long-term provisions</t>
  </si>
  <si>
    <t>Securities</t>
  </si>
  <si>
    <t>Proceeds from (payments of) sale of interests in business</t>
  </si>
  <si>
    <t>Proceeds from disposal of property, plant and equipment</t>
  </si>
  <si>
    <t>Other items</t>
  </si>
  <si>
    <t>Other receivables</t>
  </si>
  <si>
    <t>Other payables</t>
  </si>
  <si>
    <t>Provisions</t>
  </si>
  <si>
    <t>Exchange differences</t>
  </si>
  <si>
    <t>Results  relating to equity accounted investees</t>
  </si>
  <si>
    <t>Income (loss) from discontinued operations, net of tax</t>
  </si>
  <si>
    <t>Cash and cash equivalents of discontinued operations</t>
  </si>
  <si>
    <t>F1Q14A</t>
  </si>
  <si>
    <t>Standard Products</t>
  </si>
  <si>
    <t>High Performance Mixed Signal</t>
  </si>
  <si>
    <t>Minority interest</t>
  </si>
  <si>
    <t>Adjusted EBITDA</t>
  </si>
  <si>
    <t>Depreciation</t>
  </si>
  <si>
    <t>Amortization</t>
  </si>
  <si>
    <t>Debt Metrics</t>
  </si>
  <si>
    <t>Net debt</t>
  </si>
  <si>
    <t>Net debt / LTM Adjusted EBITDA</t>
  </si>
  <si>
    <t>Automotive</t>
  </si>
  <si>
    <t>Identification</t>
  </si>
  <si>
    <t>Percent of HPMS Revenue</t>
  </si>
  <si>
    <t>Percent of Total Revenue</t>
  </si>
  <si>
    <t>Corporate and Other</t>
  </si>
  <si>
    <t>Manufacturing Operations</t>
  </si>
  <si>
    <t>Divested Home Activities</t>
  </si>
  <si>
    <t>Percent Gross Margin</t>
  </si>
  <si>
    <t>PPA Effects</t>
  </si>
  <si>
    <t>Restructuring</t>
  </si>
  <si>
    <t>Other Incidental</t>
  </si>
  <si>
    <t>Impairment</t>
  </si>
  <si>
    <t>HPMS Operating Income (non-GAAP)</t>
  </si>
  <si>
    <t>HPMS Operating Income (GAAP)</t>
  </si>
  <si>
    <t>Percent Operating Margin</t>
  </si>
  <si>
    <t>SP Operating Income (GAAP)</t>
  </si>
  <si>
    <t>SP Operating Income (non-GAAP)</t>
  </si>
  <si>
    <t>MO Gross Margin GAAP to non-GAAP Reconciliation</t>
  </si>
  <si>
    <t>MO Gross Margin (non-GAAP)</t>
  </si>
  <si>
    <t>MO Operating Income (GAAP)</t>
  </si>
  <si>
    <t>MO Operating Income GAAP to non-GAAP Reconciliation</t>
  </si>
  <si>
    <t>MO Operating Income (non-GAAP)</t>
  </si>
  <si>
    <t>C&amp;O Gross Margin (GAAP)</t>
  </si>
  <si>
    <t>C&amp;O Gross Margin GAAP to non-GAAP Reconciliation</t>
  </si>
  <si>
    <t>C&amp;O Gross Margin (non-GAAP)</t>
  </si>
  <si>
    <t>C&amp;O Operating Income (GAAP)</t>
  </si>
  <si>
    <t>C&amp;O Operating Income GAAP to non-GAAP Reconciliation</t>
  </si>
  <si>
    <t>C&amp;O Operating Income (non-GAAP)</t>
  </si>
  <si>
    <t>Total Bottoms Up Gross Margin (GAAP)</t>
  </si>
  <si>
    <t>Total Bottoms Up Gross Margin (non-GAAP)</t>
  </si>
  <si>
    <t>Total Bottoms Up Operating Income (GAAP)</t>
  </si>
  <si>
    <t>Total Bottoms Up Operating Income (non-GAAP)</t>
  </si>
  <si>
    <t>Revenue from Income Statement</t>
  </si>
  <si>
    <t>Gross Margin (GAAP) from Income Statement</t>
  </si>
  <si>
    <t>Gross Margin (non-GAAP) from Income Statement</t>
  </si>
  <si>
    <t>Operating Margin (GAAP) from Income Statement</t>
  </si>
  <si>
    <t>DH Operating Income (non-GAAP)</t>
  </si>
  <si>
    <t>DH Operating Income GAAP to non-GAAP Reconciliation</t>
  </si>
  <si>
    <t>DH Operating Income (GAAP)</t>
  </si>
  <si>
    <t>DH Gross Margin (non-GAAP)</t>
  </si>
  <si>
    <t>United States</t>
  </si>
  <si>
    <t>Adjusted Free Cash Flow</t>
  </si>
  <si>
    <t>Less: Capital Expenditures</t>
  </si>
  <si>
    <t>Less: Purchased Intangibles</t>
  </si>
  <si>
    <t>NXP Consolidated</t>
  </si>
  <si>
    <t>Adjustment for one-time tax benefits</t>
  </si>
  <si>
    <t>Share Count</t>
  </si>
  <si>
    <t>Net Interest Expense</t>
  </si>
  <si>
    <t>Tax Shield</t>
  </si>
  <si>
    <t>Adjusted Interest</t>
  </si>
  <si>
    <t>Unlevered Free Cash Flow</t>
  </si>
  <si>
    <t>Interest Expense Adjustments</t>
  </si>
  <si>
    <t>DH Gross Margin (GAAP)</t>
  </si>
  <si>
    <t>DH Gross Margin GAAP to non-GAAP Reconciliation</t>
  </si>
  <si>
    <t>BU / Income Statement Revenue Check</t>
  </si>
  <si>
    <t>BU / Income Statement Gross Margin (GAAP) Check</t>
  </si>
  <si>
    <t>BU / Income Statement Gross Margin (non-GAAP) Check</t>
  </si>
  <si>
    <t>BU / Income Statement Operating Income (GAAP) Check</t>
  </si>
  <si>
    <t>,mscalc:closePriceCurrencyCalc</t>
  </si>
  <si>
    <t>,mscalc:targetPrice,,,,USD</t>
  </si>
  <si>
    <t>,mscalc:sedolCodeCalc</t>
  </si>
  <si>
    <t>NXPI.O,mscalc:targetPrice</t>
  </si>
  <si>
    <t>$AL$2</t>
  </si>
  <si>
    <t>FY2011A</t>
  </si>
  <si>
    <t>FY2012A</t>
  </si>
  <si>
    <t>Manufacturing &amp; Other</t>
  </si>
  <si>
    <t>FY2010A</t>
  </si>
  <si>
    <t xml:space="preserve">Long-term debt </t>
  </si>
  <si>
    <t>Infrastructure &amp; Industrial</t>
  </si>
  <si>
    <t>Portable &amp; Computing</t>
  </si>
  <si>
    <t>EPS - Non-GAAP</t>
  </si>
  <si>
    <t>Plus: Depreciation</t>
  </si>
  <si>
    <t>F1Q07A</t>
  </si>
  <si>
    <t>F2Q07A</t>
  </si>
  <si>
    <t>F3Q07A</t>
  </si>
  <si>
    <t>F4Q07A</t>
  </si>
  <si>
    <t>F1Q08A</t>
  </si>
  <si>
    <t>F2Q08A</t>
  </si>
  <si>
    <t>F3Q08A</t>
  </si>
  <si>
    <t>F4Q08A</t>
  </si>
  <si>
    <t>F1Q09A</t>
  </si>
  <si>
    <t>F2Q09A</t>
  </si>
  <si>
    <t>F3Q09A</t>
  </si>
  <si>
    <t>F4Q09A</t>
  </si>
  <si>
    <t>F1Q10A</t>
  </si>
  <si>
    <t>F2Q10A</t>
  </si>
  <si>
    <t>F3Q10A</t>
  </si>
  <si>
    <t>F4Q10A</t>
  </si>
  <si>
    <t>F1Q11A</t>
  </si>
  <si>
    <t>F2Q11A</t>
  </si>
  <si>
    <t>F3Q11A</t>
  </si>
  <si>
    <t>F4Q11A</t>
  </si>
  <si>
    <t>F1Q12A</t>
  </si>
  <si>
    <t>F2Q12A</t>
  </si>
  <si>
    <t>Power Amplifiers for Base Stations</t>
  </si>
  <si>
    <t>Silicon Tuners</t>
  </si>
  <si>
    <t>Power Lighting System</t>
  </si>
  <si>
    <t>Subtotal</t>
  </si>
  <si>
    <t>Non-GAAP EPS Reconciliation</t>
  </si>
  <si>
    <t>Modelware Net Income</t>
  </si>
  <si>
    <t>Plus: Stock-based Comp</t>
  </si>
  <si>
    <t>MO Gross Margin</t>
  </si>
  <si>
    <t>Non-Gaap Net Income</t>
  </si>
  <si>
    <t>Estimated % of Revenues by Segment</t>
  </si>
  <si>
    <t>Estimated Segment Revenues</t>
  </si>
  <si>
    <t>Core ID</t>
  </si>
  <si>
    <t>Emerging ID</t>
  </si>
  <si>
    <t>% of ID Revenues</t>
  </si>
  <si>
    <t>NFC</t>
  </si>
  <si>
    <t>e-Government</t>
  </si>
  <si>
    <t>Auto col?</t>
  </si>
  <si>
    <t>Banking</t>
  </si>
  <si>
    <t>Infrastructure</t>
  </si>
  <si>
    <t>Tags</t>
  </si>
  <si>
    <t>Core Segments as % of ID Revenues</t>
  </si>
  <si>
    <t>Emerging Segments as % of ID Revenues</t>
  </si>
  <si>
    <t>Core Subtotal</t>
  </si>
  <si>
    <t>Others</t>
  </si>
  <si>
    <t>Emerging Subtotal</t>
  </si>
  <si>
    <t>Core Segment Revenues</t>
  </si>
  <si>
    <t>Emerging Segments Revenues</t>
  </si>
  <si>
    <t>Net Debt</t>
  </si>
  <si>
    <t>Net Debt Calculation</t>
  </si>
  <si>
    <t>Long-term Debt</t>
  </si>
  <si>
    <t>Less: Cash &amp; Securities</t>
  </si>
  <si>
    <t>Q/Q Growth</t>
  </si>
  <si>
    <t>Y/Y Growth</t>
  </si>
  <si>
    <t>Total ID</t>
  </si>
  <si>
    <t>Automotives</t>
  </si>
  <si>
    <t>Product Revenues</t>
  </si>
  <si>
    <t>Total Revenues</t>
  </si>
  <si>
    <t>Note: SSMC Cash</t>
  </si>
  <si>
    <t>NXP Cash</t>
  </si>
  <si>
    <t>NXP Ownership Share</t>
  </si>
  <si>
    <t>Net Debt for Valuation Calc.</t>
  </si>
  <si>
    <t>NXPI Revenue Summary</t>
  </si>
  <si>
    <t>Old</t>
  </si>
  <si>
    <t>Utilization</t>
  </si>
  <si>
    <t>Estimated ID Segment Revenues</t>
  </si>
  <si>
    <t>Percent of Revenues</t>
  </si>
  <si>
    <t>Headcount</t>
  </si>
  <si>
    <t>Note: Revenues</t>
  </si>
  <si>
    <t>Fab Costs</t>
  </si>
  <si>
    <t>Back / end test</t>
  </si>
  <si>
    <t>Manufacturing</t>
  </si>
  <si>
    <t>Company</t>
  </si>
  <si>
    <t>Q/Q Change</t>
  </si>
  <si>
    <t>Gross Margins</t>
  </si>
  <si>
    <t>Y/Y Change</t>
  </si>
  <si>
    <t>% of Revs.</t>
  </si>
  <si>
    <t>F3Q12A</t>
  </si>
  <si>
    <t>One-time Items</t>
  </si>
  <si>
    <t>SG&amp;A - MW</t>
  </si>
  <si>
    <t>Net Income to Common</t>
  </si>
  <si>
    <t>Net Income to Common - MW</t>
  </si>
  <si>
    <t>F1Q13A</t>
  </si>
  <si>
    <r>
      <t xml:space="preserve">Old </t>
    </r>
    <r>
      <rPr>
        <b/>
        <sz val="11"/>
        <rFont val="Arial"/>
        <family val="2"/>
      </rPr>
      <t>Portable &amp; Computing</t>
    </r>
  </si>
  <si>
    <t>Less: General Purpose Logic</t>
  </si>
  <si>
    <t>Less: Software</t>
  </si>
  <si>
    <r>
      <t>Old</t>
    </r>
    <r>
      <rPr>
        <b/>
        <sz val="11"/>
        <rFont val="Arial"/>
        <family val="2"/>
      </rPr>
      <t xml:space="preserve"> Corporate and Other</t>
    </r>
  </si>
  <si>
    <r>
      <t xml:space="preserve">New </t>
    </r>
    <r>
      <rPr>
        <b/>
        <sz val="11"/>
        <rFont val="Arial"/>
        <family val="2"/>
      </rPr>
      <t>Corporate and Other</t>
    </r>
  </si>
  <si>
    <r>
      <t xml:space="preserve">Old </t>
    </r>
    <r>
      <rPr>
        <b/>
        <sz val="11"/>
        <rFont val="Arial"/>
        <family val="2"/>
      </rPr>
      <t>Infrastructure &amp; Industrial</t>
    </r>
  </si>
  <si>
    <t>SBC</t>
  </si>
  <si>
    <t>GM %</t>
  </si>
  <si>
    <t>Plus: General Purpose Logic</t>
  </si>
  <si>
    <r>
      <t xml:space="preserve">New </t>
    </r>
    <r>
      <rPr>
        <b/>
        <sz val="11"/>
        <rFont val="Arial"/>
        <family val="2"/>
      </rPr>
      <t>Standard Products</t>
    </r>
  </si>
  <si>
    <r>
      <t xml:space="preserve">Old </t>
    </r>
    <r>
      <rPr>
        <b/>
        <sz val="11"/>
        <rFont val="Arial"/>
        <family val="2"/>
      </rPr>
      <t>Standard Products</t>
    </r>
  </si>
  <si>
    <t>Adjustment for SSMC FCF</t>
  </si>
  <si>
    <t>MW Net Income</t>
  </si>
  <si>
    <t>F4Q12A</t>
  </si>
  <si>
    <t>Total</t>
  </si>
  <si>
    <t>Description</t>
  </si>
  <si>
    <t>Operating Margin %</t>
  </si>
  <si>
    <t>FY2009A</t>
  </si>
  <si>
    <t>FY2008A</t>
  </si>
  <si>
    <t>FY2007A</t>
  </si>
  <si>
    <t>F2Q14A</t>
  </si>
  <si>
    <t>F3Q14A</t>
  </si>
  <si>
    <t>Secure Identification Solutions</t>
  </si>
  <si>
    <t>Secure Connected Devices</t>
  </si>
  <si>
    <t>F4Q14A</t>
  </si>
  <si>
    <t>F1Q15A</t>
  </si>
  <si>
    <t>F2Q15A</t>
  </si>
  <si>
    <t>F1Q18E</t>
  </si>
  <si>
    <t>F2Q18E</t>
  </si>
  <si>
    <t>F3Q18E</t>
  </si>
  <si>
    <t>F4Q18E</t>
  </si>
  <si>
    <t>FY2014A</t>
  </si>
  <si>
    <t>Financials</t>
  </si>
  <si>
    <t>FY2018E</t>
  </si>
  <si>
    <t>FY2019E</t>
  </si>
  <si>
    <t>F3Q15A</t>
  </si>
  <si>
    <t>F4Q15A</t>
  </si>
  <si>
    <t xml:space="preserve">Secure Interface &amp; Infrastructure </t>
  </si>
  <si>
    <t>HPMS Non-GAAP  Gross Margin</t>
  </si>
  <si>
    <t>SP Non-GAAP  Gross Margin</t>
  </si>
  <si>
    <t>FY2015A</t>
  </si>
  <si>
    <t>F1Q16A</t>
  </si>
  <si>
    <t>F2Q16A</t>
  </si>
  <si>
    <t>F3Q16A</t>
  </si>
  <si>
    <t>F4Q16A</t>
  </si>
  <si>
    <t>FY2016A</t>
  </si>
  <si>
    <t>F1Q17A</t>
  </si>
  <si>
    <t>F2Q17A</t>
  </si>
  <si>
    <t>Trailing 12 month adjusted EBITDA</t>
  </si>
  <si>
    <t>F3Q17A</t>
  </si>
  <si>
    <t>FY2020E</t>
  </si>
  <si>
    <t>F4Q17A</t>
  </si>
  <si>
    <t>FY2017A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</si>
  <si>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</si>
  <si>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</si>
  <si>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</si>
  <si>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</si>
  <si>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</si>
  <si>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</si>
  <si>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Tel: +1 (1)212 761 4000</t>
  </si>
  <si>
    <t>Authors: Craig Hettenbach, Joseph Moore, Vinayak Rao</t>
  </si>
  <si>
    <t>Date: 19 Mar 2018</t>
  </si>
  <si>
    <t>Ticker: NXPI.O</t>
  </si>
  <si>
    <t>Stock Rating: Equal-Weight</t>
  </si>
  <si>
    <t>Industry: Semiconductors</t>
  </si>
  <si>
    <t>Industry View: In-Line</t>
  </si>
  <si>
    <t>Price as of 19 Mar 2018: 122.50</t>
  </si>
  <si>
    <t>Target Price: 127.5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</si>
  <si>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</si>
  <si>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</si>
  <si>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</si>
  <si>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</si>
  <si>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NXP Semiconductor NV.</t>
  </si>
  <si>
    <t>STOCK RATINGS</t>
  </si>
  <si>
    <t>Global Stock Ratings Distribution</t>
  </si>
  <si>
    <t>(as of February 28, 2018)</t>
  </si>
  <si>
    <t>Coverage Universe</t>
  </si>
  <si>
    <t>Investment Banking Clients (IBC)</t>
  </si>
  <si>
    <t>Other Material Investment Services Clients (MISC)</t>
  </si>
  <si>
    <t>Stock Rating Category</t>
  </si>
  <si>
    <t>% of Total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</si>
  <si>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</si>
  <si>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</si>
  <si>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</si>
  <si>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</si>
  <si>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</si>
  <si>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</si>
  <si>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</si>
  <si>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</si>
  <si>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</si>
  <si>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</si>
  <si>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</si>
  <si>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</si>
  <si>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</si>
  <si>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</si>
  <si>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</si>
  <si>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</si>
  <si>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</si>
  <si>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</si>
  <si>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</si>
  <si>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</si>
  <si>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</si>
  <si>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</si>
  <si>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</si>
  <si>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</si>
  <si>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</si>
  <si>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</si>
  <si>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</si>
  <si>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</si>
  <si>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</si>
  <si>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</si>
  <si>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</si>
  <si>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</si>
  <si>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</si>
  <si>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</si>
  <si>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</si>
  <si>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</si>
  <si>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</si>
  <si>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</si>
  <si>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</si>
  <si>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</si>
  <si>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</si>
  <si>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</si>
  <si>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</si>
  <si>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</si>
  <si>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</si>
  <si>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</si>
  <si>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</si>
  <si>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</si>
  <si>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</si>
  <si>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</si>
  <si>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</si>
  <si>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</si>
  <si>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</si>
  <si>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</si>
  <si>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</si>
  <si>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</si>
  <si>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</si>
  <si>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</si>
  <si>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</si>
  <si>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</si>
  <si>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</si>
  <si>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</si>
  <si>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</si>
  <si>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</si>
  <si>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</si>
  <si>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</si>
  <si>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</si>
  <si>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</si>
  <si>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</si>
  <si>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</si>
  <si>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</si>
  <si>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</si>
  <si>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</si>
  <si>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</si>
  <si>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</si>
  <si>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</si>
  <si>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</si>
  <si>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</si>
  <si>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</si>
  <si>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</si>
  <si>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</si>
  <si>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</si>
  <si>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</si>
  <si>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</si>
  <si>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</si>
  <si>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</si>
  <si>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</si>
  <si>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</si>
  <si>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</si>
  <si>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</si>
  <si>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</si>
  <si>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</si>
  <si>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</si>
  <si>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</si>
  <si>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</si>
  <si>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</si>
  <si>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</si>
  <si>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</si>
  <si>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</si>
  <si>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</si>
  <si>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</si>
  <si>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</si>
  <si>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</si>
  <si>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</si>
  <si>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</si>
  <si>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</si>
  <si>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</si>
  <si>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</si>
  <si>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</si>
  <si>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</si>
  <si>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</si>
  <si>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</si>
  <si>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</si>
  <si>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</si>
  <si>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</si>
  <si>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</si>
  <si>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</si>
  <si>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</si>
  <si>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</si>
  <si>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</si>
  <si>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</si>
  <si>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</si>
  <si>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</si>
  <si>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</si>
  <si>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</si>
  <si>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</si>
  <si>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</si>
  <si>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</si>
  <si>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</si>
  <si>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</si>
  <si>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</si>
  <si>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</si>
  <si>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</si>
  <si>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</si>
  <si>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</si>
  <si>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</si>
  <si>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</si>
  <si>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</si>
  <si>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</si>
  <si>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</si>
  <si>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</si>
  <si>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</si>
  <si>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</si>
  <si>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</si>
  <si>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</si>
  <si>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</si>
  <si>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</si>
  <si>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</si>
  <si>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</si>
  <si>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</si>
  <si>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</si>
  <si>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</si>
  <si>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</si>
  <si>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</si>
  <si>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</si>
  <si>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</si>
  <si>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</si>
  <si>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</si>
  <si>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</si>
  <si>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</si>
  <si>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</si>
  <si>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</si>
  <si>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</si>
  <si>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</si>
  <si>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</si>
  <si>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</si>
  <si>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</si>
  <si>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</si>
  <si>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NXP Semiconductor NV.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</si>
  <si>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</si>
  <si>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</si>
  <si>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</si>
  <si>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</si>
  <si>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</si>
  <si>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</si>
  <si>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</si>
  <si>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</si>
  <si>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</si>
  <si>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</si>
  <si>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</si>
  <si>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</si>
  <si>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</si>
  <si>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</si>
  <si>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</si>
  <si>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</si>
  <si>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</si>
  <si>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</si>
  <si>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</si>
  <si>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</si>
  <si>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</si>
  <si>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</si>
  <si>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</si>
  <si>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</si>
  <si>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</si>
  <si>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</si>
  <si>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</si>
  <si>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</si>
  <si>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</si>
  <si>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</si>
  <si>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</si>
  <si>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</si>
  <si>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</si>
  <si>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</si>
  <si>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</si>
  <si>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</si>
  <si>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</si>
  <si>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</si>
  <si>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</si>
  <si>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</si>
  <si>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</si>
  <si>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</si>
  <si>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</si>
  <si>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</si>
  <si>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</si>
  <si>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</si>
  <si>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</si>
  <si>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</si>
  <si>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</si>
  <si>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</si>
  <si>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</si>
  <si>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</si>
  <si>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</si>
  <si>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</si>
  <si>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</si>
  <si>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</si>
  <si>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</si>
  <si>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</si>
  <si>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</si>
  <si>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</si>
  <si>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</si>
  <si>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</si>
  <si>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</si>
  <si>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</si>
  <si>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</si>
  <si>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</si>
  <si>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</si>
  <si>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</si>
  <si>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NXP Semiconductor NV.</t>
  </si>
  <si>
    <t>Within the last 12 months, Morgan Stanley has provided or is providing investment banking services to,</t>
  </si>
  <si>
    <t>or has an investment banking client relationship with, the following company: NXP Semiconductor NV.</t>
  </si>
  <si>
    <t>Within the last 12 months, Morgan Stanley has received compensation for products and services other than</t>
  </si>
  <si>
    <t>investment banking services from NXP Semiconductor NV.</t>
  </si>
  <si>
    <t>In the next 3 months, Morgan Stanley expects to receive or intends to seek compensation for investment</t>
  </si>
  <si>
    <t>banking services from NXP Semiconductor NV.</t>
  </si>
  <si>
    <t>As of February 28, 2018, Morgan Stanley beneficially owned 1% or more of a class of common equity</t>
  </si>
  <si>
    <t>securities of the following companies covered in Morgan Stanley Research: NXP Semiconductor NV.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</si>
  <si>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</si>
  <si>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</si>
  <si>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</si>
  <si>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</si>
  <si>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</si>
  <si>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Craig Hettenbach.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</si>
  <si>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</si>
  <si>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</si>
  <si>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</si>
  <si>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</si>
  <si>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</si>
  <si>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</si>
  <si>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</si>
  <si>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</si>
  <si>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</si>
  <si>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</si>
  <si>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</si>
  <si>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</si>
  <si>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</si>
  <si>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</si>
  <si>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</si>
  <si>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</si>
  <si>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</si>
  <si>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</si>
  <si>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</si>
  <si>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</si>
  <si>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</si>
  <si>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</si>
  <si>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</si>
  <si>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</si>
  <si>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DocType</t>
  </si>
  <si>
    <t>Model</t>
  </si>
  <si>
    <t>SubjectCode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</si>
  <si>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</si>
  <si>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</si>
  <si>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</si>
  <si>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</si>
  <si>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</si>
  <si>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</si>
  <si>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</si>
  <si>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</si>
  <si>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</si>
  <si>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</si>
  <si>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</si>
  <si>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</si>
  <si>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</si>
  <si>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</si>
  <si>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</si>
  <si>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</si>
  <si>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</si>
  <si>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</si>
  <si>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</si>
  <si>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</si>
  <si>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</si>
  <si>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</si>
  <si>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</si>
  <si>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</si>
  <si>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</si>
  <si>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</si>
  <si>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</si>
  <si>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</si>
  <si>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</si>
  <si>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</si>
  <si>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</si>
  <si>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</si>
  <si>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</si>
  <si>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</si>
  <si>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</si>
  <si>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</si>
  <si>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</si>
  <si>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</si>
  <si>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</si>
  <si>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Equal-Weight / In-Line</t>
  </si>
  <si>
    <t>Regular Update</t>
  </si>
  <si>
    <t>NorthAmerica</t>
  </si>
  <si>
    <t>vinayakr</t>
  </si>
  <si>
    <t>MSA89GWN, MSA32FNJ, MSA68HLF</t>
  </si>
  <si>
    <t>L:\SEMI CAP\Joe Files\Companies\NXPI\NXPI WIP_No comments.xlsm</t>
  </si>
  <si>
    <t>[BRO MSA]</t>
  </si>
  <si>
    <t>[PRODUCT MODEL]</t>
  </si>
  <si>
    <t>[EMAIL_ALERT YES]</t>
  </si>
  <si>
    <t>[DISCIPLINE Company]</t>
  </si>
  <si>
    <t>[SUPPRESSED NO]</t>
  </si>
  <si>
    <t>[DOCDAT 2018-03-19]</t>
  </si>
  <si>
    <t>[DOCTIME 06:54]</t>
  </si>
  <si>
    <t>[PSYM NXPI.O(S&amp;P) (None)]</t>
  </si>
  <si>
    <t>[COU 1]</t>
  </si>
  <si>
    <t>[ANA MSA32FNJ MSA68HLF]</t>
  </si>
  <si>
    <t>[HL NXPI.O Model]</t>
  </si>
  <si>
    <t>[IND SEMICO]</t>
  </si>
  <si>
    <t>[PANA MSA89GWN]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</si>
</sst>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1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_);_(* \(#,##0.0\);_(* &quot;-&quot;?_);_(@_)"/>
    <numFmt numFmtId="165" formatCode="[$-409]mmm\-yy;@"/>
    <numFmt numFmtId="166" formatCode="&quot;$&quot;#,##0.0_);\(&quot;$&quot;#,##0.0\)"/>
    <numFmt numFmtId="168" formatCode="0.0%"/>
    <numFmt numFmtId="169" formatCode="_(&quot;$&quot;* #,##0.0_);_(&quot;$&quot;* \(#,##0.0\);_(&quot;$&quot;* &quot;-&quot;_);_(@_)"/>
    <numFmt numFmtId="170" formatCode="_(&quot;$&quot;* #,##0.000_);_(&quot;$&quot;* \(#,##0.000\);_(&quot;$&quot;* &quot;-&quot;_);_(@_)"/>
    <numFmt numFmtId="171" formatCode="_(* #,##0.0000_);_(* \(#,##0.0000\);_(* &quot;-&quot;?_);_(@_)"/>
    <numFmt numFmtId="172" formatCode="_(* #,##0.0000_);_(* \(#,##0.0000\);_(* &quot;-&quot;??_);_(@_)"/>
    <numFmt numFmtId="173" formatCode="_(&quot;$&quot;* #,##0.00_);_(&quot;$&quot;* \(#,##0.00\);_(&quot;$&quot;* &quot;-&quot;_);_(@_)"/>
    <numFmt numFmtId="174" formatCode="#,##0.0_);\(#,##0.0\);#,##0.0_);@_)"/>
    <numFmt numFmtId="175" formatCode="_(* #,##0.00_);_(* \(#,##0.00\);_(* &quot;-&quot;?_);_(@_)"/>
    <numFmt numFmtId="177" formatCode="_(* #,##0.0_);_(* \(#,##0.0\);_(* &quot;-&quot;??_);_(@_)"/>
    <numFmt numFmtId="178" formatCode="#,##0.0000_);\(#,##0.0000\)"/>
    <numFmt numFmtId="179" formatCode="#,##0.0_);\(#,##0.0\)"/>
    <numFmt numFmtId="180" formatCode="_(* #,##0.0_);_(* \(#,##0.0\);_(* &quot;-&quot;_);_(@_)"/>
    <numFmt numFmtId="181" formatCode="#,##0.000_);\(#,##0.000\)"/>
    <numFmt numFmtId="182" formatCode="0.0"/>
    <numFmt numFmtId="183" formatCode="_(* #,##0.000_);_(* \(#,##0.000\);_(* &quot;-&quot;_);_(@_)"/>
    <numFmt numFmtId="184" formatCode="_(* #,##0_);_(* \(#,##0\);_(* &quot;-&quot;??_);_(@_)"/>
    <numFmt numFmtId="185" formatCode="_(* #,##0.00_);_(* \(#,##0.00\);_(* &quot;-&quot;_);_(@_)"/>
    <numFmt numFmtId="186" formatCode="_(&quot;$&quot;* #,##0.0_);_(&quot;$&quot;* \(#,##0.0\);_(&quot;$&quot;* &quot;-&quot;??_);_(@_)"/>
    <numFmt numFmtId="188" formatCode="&quot;$&quot;#,##0.0_);[Red]\(&quot;$&quot;#,##0.0\)"/>
    <numFmt numFmtId="189" formatCode="_(&quot;$&quot;* #,##0_);_(&quot;$&quot;* \(#,##0\);_(&quot;$&quot;* &quot;-&quot;??_);_(@_)"/>
    <numFmt numFmtId="194" formatCode="#,##0.0"/>
    <numFmt numFmtId="196" formatCode="&quot;$&quot;#,##0.000_);[Red]\(&quot;$&quot;#,##0.000\)"/>
    <numFmt numFmtId="199" formatCode="0.00_);\(0.00\)"/>
    <numFmt numFmtId="208" formatCode="_(&quot;$&quot;* #,##0.00000_);_(&quot;$&quot;* \(#,##0.00000\);_(&quot;$&quot;* &quot;-&quot;?????_);_(@_)"/>
    <numFmt numFmtId="209" formatCode="_(* #,##0_);_(* \(#,##0\);_(* &quot;-&quot;?_);_(@_)"/>
    <numFmt numFmtId="210" formatCode="_(&quot;$&quot;* #,##0_);_(&quot;$&quot;* \(#,##0\);_(&quot;$&quot;* &quot;-&quot;?_);_(@_)"/>
    <numFmt numFmtId="211" formatCode="0.000"/>
    <numFmt numFmtId="212" formatCode="_(&quot;$&quot;* #,##0.00_);_(&quot;$&quot;* \(#,##0.00\);_(&quot;$&quot;* &quot;-&quot;?_);_(@_)"/>
    <numFmt numFmtId="213" formatCode="0_)"/>
    <numFmt numFmtId="221" formatCode="0.0\X"/>
    <numFmt numFmtId="224" formatCode="&quot;$&quot;#,##0.0;\(&quot;$&quot;#,##0.0\)"/>
    <numFmt numFmtId="225" formatCode="\£\ #,##0_);[Red]\(\£\ #,##0\)"/>
    <numFmt numFmtId="226" formatCode="\¥\ #,##0_);[Red]\(\¥\ #,##0\)"/>
    <numFmt numFmtId="227" formatCode="_(* #,##0.0_);_(* \(#,##0.0\);_(* &quot;--- &quot;_)"/>
    <numFmt numFmtId="228" formatCode="General_)"/>
    <numFmt numFmtId="229" formatCode="\•\ \ @"/>
    <numFmt numFmtId="230" formatCode="0.000_)"/>
    <numFmt numFmtId="231" formatCode="\ \ _•\–\ \ \ \ @"/>
    <numFmt numFmtId="232" formatCode="#,##0.0;\(###0.0\)"/>
    <numFmt numFmtId="233" formatCode="mmm\-yyyy"/>
    <numFmt numFmtId="234" formatCode="0.00_)"/>
    <numFmt numFmtId="235" formatCode="0.00000000000000000%"/>
    <numFmt numFmtId="236" formatCode="#,##0.0;\(#,##0.0\)"/>
    <numFmt numFmtId="237" formatCode="0.00\ "/>
    <numFmt numFmtId="238" formatCode="_-* #,##0.00_-;\-* #,##0.00_-;_-* &quot;-&quot;??_-;_-@_-"/>
    <numFmt numFmtId="239" formatCode="#,##0.0_);[Red]\(#,##0.0\)"/>
    <numFmt numFmtId="240" formatCode="&quot;Ç&quot;\ &quot;´&quot;&quot;´&quot;&quot;´&quot;&quot;´&quot;\ &quot;»&quot;&quot;»&quot;&quot;»&quot;&quot;»&quot;"/>
    <numFmt numFmtId="241" formatCode="0.0_)\%;\(0.0\)\%;0.0_)\%;@_)_%"/>
    <numFmt numFmtId="242" formatCode="&quot;$&quot;_(#,##0.00_);&quot;$&quot;\(#,##0.00\);&quot;$&quot;_(0.00_);@_)"/>
    <numFmt numFmtId="243" formatCode="#,##0.0_)_x;\(#,##0.0\)_x;0.0_)_x;@_)_x"/>
    <numFmt numFmtId="244" formatCode="0.0%;\(0.0%\)"/>
    <numFmt numFmtId="245" formatCode="0.0%_);\(0.0%\)"/>
    <numFmt numFmtId="246" formatCode="0.00\ \ \ \ "/>
    <numFmt numFmtId="247" formatCode="yyyy"/>
    <numFmt numFmtId="248" formatCode="0.00%_);[Red]\(0.00%\)"/>
    <numFmt numFmtId="249" formatCode="0.0%_);[Red]\(0.0%\)"/>
    <numFmt numFmtId="250" formatCode="#,##0.000_);[Red]\(#,##0.000\)"/>
    <numFmt numFmtId="251" formatCode="0.00%;[Red]\(0.00%\)"/>
    <numFmt numFmtId="252" formatCode="&quot;Fr.&quot;#,##0_);[Red]\(&quot;Fr.&quot;#,##0\)"/>
    <numFmt numFmtId="253" formatCode="&quot;£&quot;\ #,##0_);[Red]\(&quot;£&quot;\ #,##0\)"/>
    <numFmt numFmtId="254" formatCode="&quot;\&quot;\ #,##0_);[Red]\(&quot;\&quot;\ #,##0\)"/>
    <numFmt numFmtId="255" formatCode="&quot;•&quot;\ \ @"/>
    <numFmt numFmtId="256" formatCode="#,##0.00000;[Red]\(#,##0.00000\)"/>
    <numFmt numFmtId="257" formatCode="&quot;$&quot;#,##0.00;\(&quot;$&quot;#,##0.00\)"/>
    <numFmt numFmtId="258" formatCode="_ * #,##0_)_£_ ;_ * \(#,##0\)_£_ ;_ * &quot;-&quot;_)_£_ ;_ @_ "/>
    <numFmt numFmtId="259" formatCode="&quot;$&quot;#,##0.0;[Red]\(&quot;$&quot;#,##0.0\)"/>
    <numFmt numFmtId="260" formatCode="\ \ _•&quot;–&quot;\ \ \ \ @"/>
    <numFmt numFmtId="261" formatCode="#,##0.0;[Red]\(#,##0.0\)"/>
    <numFmt numFmtId="262" formatCode="#,##0;[Red]\(#,##0\)"/>
    <numFmt numFmtId="263" formatCode="#,##0.00\x_);[Red]\(#,##0.00\x\)"/>
    <numFmt numFmtId="264" formatCode="0%;[Red]\(0%\)"/>
    <numFmt numFmtId="265" formatCode="#,##0_);\(#,##0\);\-_)"/>
    <numFmt numFmtId="266" formatCode="_(#,##0_)\ &quot;e&quot;;\(#,##0\)\ &quot;e&quot;"/>
    <numFmt numFmtId="267" formatCode="_([$€-2]* #,##0.00_);_([$€-2]* \(#,##0.00\);_([$€-2]* &quot;-&quot;??_)"/>
    <numFmt numFmtId="268" formatCode="_-&quot;$&quot;* #,##0_-;\-&quot;$&quot;* #,##0_-;_-&quot;$&quot;* &quot;-&quot;_-;_-@_-"/>
    <numFmt numFmtId="269" formatCode="_-* #,##0_-;\-* #,##0_-;_-* &quot;-&quot;_-;_-@_-"/>
    <numFmt numFmtId="270" formatCode="&quot;¥&quot;\ #,##0_);[Red]\(&quot;¥&quot;\ #,##0\)"/>
    <numFmt numFmtId="271" formatCode="_-&quot;$&quot;* #,##0.00_-;\-&quot;$&quot;* #,##0.00_-;_-&quot;$&quot;* &quot;-&quot;??_-;_-@_-"/>
    <numFmt numFmtId="272" formatCode="[Blue]General;[Blue]\-General;[Blue]&quot;--&quot;"/>
    <numFmt numFmtId="273" formatCode="&quot;$&quot;#,##0.00;[Red]\(&quot;$&quot;#,##0.00\)"/>
    <numFmt numFmtId="274" formatCode="0.00_);\(0.00\);0.00"/>
    <numFmt numFmtId="275" formatCode="&quot;$&quot;#,##0\ ;\(&quot;$&quot;#,##0\)"/>
    <numFmt numFmtId="276" formatCode="&quot;SFr.&quot;#,##0.00;&quot;SFr.&quot;\-#,##0.00"/>
    <numFmt numFmtId="277" formatCode="0.0%;[Red]\(0.0%\)"/>
    <numFmt numFmtId="278" formatCode="0.00\%;\-0.00\%;0.00\%"/>
    <numFmt numFmtId="279" formatCode="0.00\x;\-0.00\x;0.00\x"/>
    <numFmt numFmtId="280" formatCode="##0.00000"/>
    <numFmt numFmtId="281" formatCode="&quot;?G&quot;#,##0.00;\-&quot;?G&quot;#,###"/>
    <numFmt numFmtId="282" formatCode="#,###,##0"/>
    <numFmt numFmtId="283" formatCode="&quot;DM&quot;#,##0.00;[Red]\-&quot;DM&quot;#,##0.00"/>
    <numFmt numFmtId="289" formatCode="mm/dd/yy\ hh:mm"/>
  </numFmts>
  <fonts count="35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MS Sans Serif"/>
      <family val="2"/>
    </font>
    <font>
      <b/>
      <sz val="16"/>
      <color indexed="53"/>
      <name val="Arial"/>
      <family val="2"/>
    </font>
    <font>
      <b/>
      <sz val="14"/>
      <name val="Arial"/>
      <family val="2"/>
    </font>
    <font>
      <sz val="12"/>
      <color indexed="8"/>
      <name val="Arial MT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8"/>
      <name val="Arial"/>
      <family val="2"/>
    </font>
    <font>
      <sz val="9"/>
      <color indexed="8"/>
      <name val="Arial MT"/>
    </font>
    <font>
      <sz val="11"/>
      <color indexed="12"/>
      <name val="Arial"/>
      <family val="2"/>
    </font>
    <font>
      <i/>
      <sz val="11"/>
      <color indexed="12"/>
      <name val="Arial"/>
      <family val="2"/>
    </font>
    <font>
      <sz val="11"/>
      <color indexed="53"/>
      <name val="Arial"/>
      <family val="2"/>
    </font>
    <font>
      <i/>
      <sz val="11"/>
      <name val="Arial"/>
      <family val="2"/>
    </font>
    <font>
      <b/>
      <sz val="11"/>
      <color indexed="12"/>
      <name val="Arial"/>
      <family val="2"/>
    </font>
    <font>
      <sz val="11"/>
      <color indexed="10"/>
      <name val="Arial"/>
      <family val="2"/>
    </font>
    <font>
      <sz val="11"/>
      <color indexed="17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i/>
      <sz val="11"/>
      <color indexed="10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i/>
      <sz val="11"/>
      <color indexed="8"/>
      <name val="Arial"/>
      <family val="2"/>
    </font>
    <font>
      <b/>
      <sz val="11"/>
      <color indexed="8"/>
      <name val="Arial"/>
      <family val="2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9"/>
      <name val="Times New Roman"/>
      <family val="1"/>
    </font>
    <font>
      <sz val="10"/>
      <color indexed="8"/>
      <name val="Times New Roman"/>
      <family val="1"/>
    </font>
    <font>
      <i/>
      <sz val="8"/>
      <name val="Times New Roman"/>
      <family val="1"/>
    </font>
    <font>
      <b/>
      <sz val="11"/>
      <color indexed="9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u/>
      <sz val="11"/>
      <color indexed="12"/>
      <name val="Arial"/>
      <family val="2"/>
    </font>
    <font>
      <u/>
      <sz val="11"/>
      <name val="Arial"/>
      <family val="2"/>
    </font>
    <font>
      <sz val="8"/>
      <color indexed="81"/>
      <name val="Tahoma"/>
      <family val="2"/>
    </font>
    <font>
      <b/>
      <sz val="11"/>
      <color indexed="1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indexed="63"/>
      <name val="Verdana"/>
      <family val="2"/>
    </font>
    <font>
      <sz val="10"/>
      <color indexed="8"/>
      <name val="Arial"/>
      <family val="2"/>
    </font>
    <font>
      <b/>
      <sz val="11"/>
      <color indexed="9"/>
      <name val="Arial"/>
      <family val="2"/>
    </font>
    <font>
      <sz val="11"/>
      <color indexed="24"/>
      <name val="Arial"/>
      <family val="2"/>
    </font>
    <font>
      <b/>
      <sz val="11"/>
      <color indexed="12"/>
      <name val="Arial"/>
      <family val="2"/>
    </font>
    <font>
      <b/>
      <i/>
      <sz val="11"/>
      <name val="Arial"/>
      <family val="2"/>
    </font>
    <font>
      <b/>
      <i/>
      <sz val="11"/>
      <color indexed="12"/>
      <name val="Arial"/>
      <family val="2"/>
    </font>
    <font>
      <b/>
      <sz val="11"/>
      <color indexed="24"/>
      <name val="Arial"/>
      <family val="2"/>
    </font>
    <font>
      <sz val="11"/>
      <color indexed="24"/>
      <name val="Arial"/>
      <family val="2"/>
    </font>
    <font>
      <b/>
      <sz val="11"/>
      <color indexed="17"/>
      <name val="Arial"/>
      <family val="2"/>
    </font>
    <font>
      <sz val="11"/>
      <color indexed="17"/>
      <name val="Arial"/>
      <family val="2"/>
    </font>
    <font>
      <sz val="11"/>
      <color indexed="5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i/>
      <sz val="11"/>
      <color indexed="10"/>
      <name val="Arial"/>
      <family val="2"/>
    </font>
    <font>
      <i/>
      <sz val="11"/>
      <color indexed="10"/>
      <name val="Arial"/>
      <family val="2"/>
    </font>
    <font>
      <i/>
      <sz val="11"/>
      <color indexed="12"/>
      <name val="Arial"/>
      <family val="2"/>
    </font>
    <font>
      <u/>
      <sz val="10"/>
      <name val="Arial"/>
      <family val="2"/>
    </font>
    <font>
      <i/>
      <u/>
      <sz val="11"/>
      <name val="Arial"/>
      <family val="2"/>
    </font>
    <font>
      <i/>
      <u/>
      <sz val="11"/>
      <color indexed="12"/>
      <name val="Arial"/>
      <family val="2"/>
    </font>
    <font>
      <u/>
      <sz val="11"/>
      <name val="Arial"/>
      <family val="2"/>
    </font>
    <font>
      <b/>
      <u/>
      <sz val="10"/>
      <name val="Arial"/>
      <family val="2"/>
    </font>
    <font>
      <u/>
      <sz val="11"/>
      <color indexed="12"/>
      <name val="Arial"/>
      <family val="2"/>
    </font>
    <font>
      <u/>
      <sz val="10"/>
      <name val="Arial"/>
      <family val="2"/>
    </font>
    <font>
      <i/>
      <sz val="10"/>
      <name val="Arial"/>
      <family val="2"/>
    </font>
    <font>
      <i/>
      <u/>
      <sz val="11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i/>
      <sz val="11"/>
      <color indexed="9"/>
      <name val="Arial"/>
      <family val="2"/>
    </font>
    <font>
      <sz val="11"/>
      <color indexed="9"/>
      <name val="Arial"/>
      <family val="2"/>
    </font>
    <font>
      <b/>
      <u/>
      <sz val="11"/>
      <name val="Arial"/>
      <family val="2"/>
    </font>
    <font>
      <i/>
      <sz val="11"/>
      <color indexed="17"/>
      <name val="Arial"/>
      <family val="2"/>
    </font>
    <font>
      <sz val="11"/>
      <color indexed="10"/>
      <name val="Arial"/>
      <family val="2"/>
    </font>
    <font>
      <b/>
      <i/>
      <sz val="11"/>
      <color indexed="10"/>
      <name val="Arial"/>
      <family val="2"/>
    </font>
    <font>
      <i/>
      <u/>
      <sz val="11"/>
      <color indexed="12"/>
      <name val="Arial"/>
      <family val="2"/>
    </font>
    <font>
      <u/>
      <sz val="11"/>
      <color indexed="24"/>
      <name val="Arial"/>
      <family val="2"/>
    </font>
    <font>
      <b/>
      <u/>
      <sz val="11"/>
      <color indexed="10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1"/>
      <color indexed="48"/>
      <name val="Arial"/>
      <family val="2"/>
    </font>
    <font>
      <sz val="11"/>
      <color indexed="21"/>
      <name val="Arial"/>
      <family val="2"/>
    </font>
    <font>
      <u/>
      <sz val="11"/>
      <color indexed="17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9"/>
      <name val="Arial"/>
      <family val="2"/>
    </font>
    <font>
      <sz val="11"/>
      <color indexed="24"/>
      <name val="Arial"/>
      <family val="2"/>
    </font>
    <font>
      <i/>
      <sz val="11"/>
      <color indexed="24"/>
      <name val="Arial"/>
      <family val="2"/>
    </font>
    <font>
      <u/>
      <sz val="11"/>
      <color indexed="24"/>
      <name val="Arial"/>
      <family val="2"/>
    </font>
    <font>
      <i/>
      <sz val="11"/>
      <color indexed="24"/>
      <name val="Arial"/>
      <family val="2"/>
    </font>
    <font>
      <i/>
      <sz val="9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u/>
      <sz val="10"/>
      <color indexed="10"/>
      <name val="Arial"/>
      <family val="2"/>
    </font>
    <font>
      <i/>
      <sz val="10"/>
      <color indexed="10"/>
      <name val="Arial"/>
      <family val="2"/>
    </font>
    <font>
      <sz val="11"/>
      <color indexed="24"/>
      <name val="Arial"/>
      <family val="2"/>
    </font>
    <font>
      <b/>
      <sz val="11"/>
      <color indexed="10"/>
      <name val="Arial"/>
      <family val="2"/>
    </font>
    <font>
      <i/>
      <sz val="11"/>
      <color indexed="24"/>
      <name val="Arial"/>
      <family val="2"/>
    </font>
    <font>
      <sz val="11"/>
      <color indexed="24"/>
      <name val="Arial"/>
      <family val="2"/>
    </font>
    <font>
      <sz val="11"/>
      <color indexed="58"/>
      <name val="Arial"/>
      <family val="2"/>
    </font>
    <font>
      <i/>
      <sz val="11"/>
      <color indexed="58"/>
      <name val="Arial"/>
      <family val="2"/>
    </font>
    <font>
      <u val="singleAccounting"/>
      <sz val="11"/>
      <color indexed="58"/>
      <name val="Arial"/>
      <family val="2"/>
    </font>
    <font>
      <u val="singleAccounting"/>
      <sz val="11"/>
      <name val="Arial"/>
      <family val="2"/>
    </font>
    <font>
      <sz val="8"/>
      <name val="Tms Rmn"/>
    </font>
    <font>
      <sz val="10"/>
      <name val="Times New Roman"/>
      <family val="1"/>
    </font>
    <font>
      <sz val="12"/>
      <name val="Times New Roman"/>
      <family val="1"/>
    </font>
    <font>
      <sz val="11"/>
      <name val="‚l‚r ƒSƒVƒbƒN"/>
      <charset val="128"/>
    </font>
    <font>
      <sz val="12"/>
      <name val="Arial MT"/>
    </font>
    <font>
      <sz val="9"/>
      <color indexed="12"/>
      <name val="Times New Roman"/>
      <family val="1"/>
    </font>
    <font>
      <sz val="8"/>
      <name val="Arial MT"/>
    </font>
    <font>
      <sz val="8"/>
      <color indexed="13"/>
      <name val="Arial"/>
      <family val="2"/>
    </font>
    <font>
      <sz val="8"/>
      <color indexed="12"/>
      <name val="Tms Rmn"/>
    </font>
    <font>
      <b/>
      <sz val="12"/>
      <name val="Times New Roman"/>
      <family val="1"/>
    </font>
    <font>
      <sz val="10"/>
      <color indexed="18"/>
      <name val="Times New Roman"/>
      <family val="1"/>
    </font>
    <font>
      <b/>
      <sz val="8"/>
      <name val="GillSans"/>
    </font>
    <font>
      <sz val="11"/>
      <name val="Tms Rmn"/>
      <family val="1"/>
    </font>
    <font>
      <i/>
      <sz val="9"/>
      <name val="MS Sans Serif"/>
      <family val="2"/>
    </font>
    <font>
      <b/>
      <sz val="11"/>
      <name val="Times New Roman"/>
      <family val="1"/>
    </font>
    <font>
      <sz val="8"/>
      <name val="Times New Roman"/>
      <family val="1"/>
    </font>
    <font>
      <sz val="10"/>
      <color indexed="2"/>
      <name val="Tahoma"/>
      <family val="2"/>
    </font>
    <font>
      <sz val="14"/>
      <color indexed="32"/>
      <name val="Times New Roman"/>
      <family val="1"/>
    </font>
    <font>
      <b/>
      <sz val="10"/>
      <color indexed="0"/>
      <name val="Tahoma"/>
      <family val="2"/>
    </font>
    <font>
      <sz val="9"/>
      <name val="GillSans Light"/>
    </font>
    <font>
      <b/>
      <sz val="10"/>
      <color indexed="17"/>
      <name val="Helvetica"/>
      <family val="2"/>
    </font>
    <font>
      <sz val="9"/>
      <name val="Futura UBS Bk"/>
      <family val="2"/>
    </font>
    <font>
      <sz val="10"/>
      <name val="Tahoma"/>
      <family val="2"/>
    </font>
    <font>
      <sz val="10"/>
      <color indexed="12"/>
      <name val="Times New Roman"/>
      <family val="1"/>
    </font>
    <font>
      <sz val="10"/>
      <name val="GillSans Light"/>
    </font>
    <font>
      <b/>
      <i/>
      <sz val="10"/>
      <color indexed="4"/>
      <name val="Tahoma"/>
      <family val="2"/>
    </font>
    <font>
      <sz val="10"/>
      <color indexed="4"/>
      <name val="Tahoma"/>
      <family val="2"/>
    </font>
    <font>
      <sz val="7"/>
      <name val="Small Fonts"/>
      <family val="2"/>
    </font>
    <font>
      <b/>
      <i/>
      <sz val="16"/>
      <name val="Helv"/>
    </font>
    <font>
      <sz val="10"/>
      <color theme="1"/>
      <name val="Arial"/>
      <family val="2"/>
    </font>
    <font>
      <b/>
      <sz val="12"/>
      <name val="Tms Rmn"/>
    </font>
    <font>
      <b/>
      <sz val="13.5"/>
      <name val="MS Sans Serif"/>
      <family val="2"/>
    </font>
    <font>
      <sz val="8"/>
      <color indexed="32"/>
      <name val="Arial"/>
      <family val="2"/>
    </font>
    <font>
      <sz val="8"/>
      <color indexed="12"/>
      <name val="Helvetica"/>
      <family val="2"/>
    </font>
    <font>
      <b/>
      <sz val="10"/>
      <name val="GillSans"/>
    </font>
    <font>
      <b/>
      <sz val="11"/>
      <color indexed="9"/>
      <name val="GillSans"/>
    </font>
    <font>
      <b/>
      <sz val="11"/>
      <name val="GillSans"/>
    </font>
    <font>
      <b/>
      <sz val="9"/>
      <name val="Times New Roman"/>
      <family val="1"/>
    </font>
    <font>
      <u/>
      <sz val="8"/>
      <name val="Tms Rmn"/>
    </font>
    <font>
      <sz val="8"/>
      <color indexed="16"/>
      <name val="Helv"/>
    </font>
    <font>
      <u/>
      <sz val="9"/>
      <color indexed="12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indexed="62"/>
      <name val="Arial"/>
      <family val="2"/>
    </font>
    <font>
      <sz val="12"/>
      <name val="Osaka"/>
      <family val="3"/>
      <charset val="128"/>
    </font>
    <font>
      <sz val="11"/>
      <name val="ＭＳ Ｐゴシック"/>
      <family val="3"/>
      <charset val="128"/>
    </font>
    <font>
      <b/>
      <sz val="11"/>
      <color rgb="FF00B05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Courier"/>
      <family val="3"/>
    </font>
    <font>
      <b/>
      <sz val="8"/>
      <color indexed="8"/>
      <name val="Verdana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  <charset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b/>
      <sz val="10"/>
      <color indexed="9"/>
      <name val="Verdana"/>
      <family val="2"/>
    </font>
    <font>
      <sz val="10"/>
      <color indexed="8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3"/>
      <color indexed="8"/>
      <name val="Verdana"/>
      <family val="2"/>
    </font>
    <font>
      <sz val="10"/>
      <name val="Arial"/>
      <family val="2"/>
    </font>
    <font>
      <sz val="10"/>
      <name val="Segoe UI"/>
      <family val="2"/>
    </font>
    <font>
      <b/>
      <sz val="11"/>
      <color indexed="10"/>
      <name val="Calibri"/>
      <family val="2"/>
    </font>
    <font>
      <sz val="11"/>
      <color indexed="19"/>
      <name val="Calibri"/>
      <family val="2"/>
    </font>
    <font>
      <u/>
      <sz val="11"/>
      <color indexed="24"/>
      <name val="Calibri"/>
      <family val="2"/>
      <scheme val="minor"/>
    </font>
    <font>
      <sz val="10"/>
      <name val="Helv"/>
      <family val="2"/>
    </font>
    <font>
      <u/>
      <sz val="11"/>
      <color indexed="24"/>
      <name val="Calibri"/>
      <family val="2"/>
    </font>
    <font>
      <sz val="10"/>
      <color indexed="2"/>
      <name val="Segoe UI"/>
      <family val="2"/>
    </font>
    <font>
      <b/>
      <sz val="10"/>
      <color indexed="0"/>
      <name val="Segoe UI"/>
      <family val="2"/>
    </font>
    <font>
      <b/>
      <i/>
      <sz val="10"/>
      <color indexed="4"/>
      <name val="Segoe UI"/>
      <family val="2"/>
    </font>
    <font>
      <sz val="10"/>
      <color indexed="4"/>
      <name val="Segoe UI"/>
      <family val="2"/>
    </font>
    <font>
      <sz val="11"/>
      <color theme="6" tint="-0.499984740745262"/>
      <name val="Arial"/>
      <family val="2"/>
    </font>
    <font>
      <sz val="12"/>
      <name val="palatino"/>
    </font>
    <font>
      <u/>
      <sz val="11"/>
      <color indexed="12"/>
      <name val="Calibri"/>
      <family val="2"/>
    </font>
    <font>
      <sz val="8.25"/>
      <color indexed="8"/>
      <name val="Microsoft Sans Serif"/>
      <family val="2"/>
    </font>
    <font>
      <sz val="11"/>
      <color indexed="16"/>
      <name val="Calibri"/>
      <family val="2"/>
      <scheme val="minor"/>
    </font>
    <font>
      <b/>
      <sz val="11"/>
      <color indexed="53"/>
      <name val="Calibri"/>
      <family val="2"/>
      <scheme val="minor"/>
    </font>
    <font>
      <sz val="11"/>
      <color indexed="58"/>
      <name val="Calibri"/>
      <family val="2"/>
      <scheme val="minor"/>
    </font>
    <font>
      <sz val="11"/>
      <color indexed="23"/>
      <name val="Calibri"/>
      <family val="2"/>
      <scheme val="minor"/>
    </font>
    <font>
      <sz val="11"/>
      <color indexed="53"/>
      <name val="Calibri"/>
      <family val="2"/>
      <scheme val="minor"/>
    </font>
    <font>
      <sz val="11"/>
      <color indexed="13"/>
      <name val="Calibri"/>
      <family val="2"/>
      <scheme val="minor"/>
    </font>
    <font>
      <sz val="10"/>
      <name val="Helvetica"/>
      <family val="2"/>
    </font>
    <font>
      <sz val="12"/>
      <name val="¹UAAA¼"/>
      <family val="1"/>
      <charset val="129"/>
    </font>
    <font>
      <sz val="12"/>
      <name val="ⓒoUAAA¨u"/>
      <family val="1"/>
      <charset val="129"/>
    </font>
    <font>
      <sz val="12"/>
      <name val="¹UAAA¼"/>
      <family val="3"/>
      <charset val="129"/>
    </font>
    <font>
      <sz val="12"/>
      <name val="System"/>
      <family val="2"/>
    </font>
    <font>
      <sz val="8"/>
      <name val="¹UAAA¼"/>
      <family val="1"/>
      <charset val="129"/>
    </font>
    <font>
      <sz val="12"/>
      <name val="¹ÙÅÁÃ¼"/>
      <family val="1"/>
      <charset val="129"/>
    </font>
    <font>
      <sz val="12"/>
      <name val="뼻뮝"/>
      <family val="1"/>
      <charset val="129"/>
    </font>
    <font>
      <sz val="12"/>
      <name val="바탕체"/>
      <family val="3"/>
      <charset val="129"/>
    </font>
    <font>
      <u/>
      <sz val="8.5"/>
      <color indexed="9"/>
      <name val="Arial"/>
      <family val="2"/>
    </font>
    <font>
      <sz val="12"/>
      <name val="바탕체"/>
      <family val="1"/>
      <charset val="129"/>
    </font>
    <font>
      <sz val="10"/>
      <name val="GillSans"/>
      <family val="2"/>
    </font>
    <font>
      <sz val="7"/>
      <color indexed="8"/>
      <name val="Avenir LT Std 35 Light"/>
      <family val="2"/>
    </font>
    <font>
      <b/>
      <sz val="8"/>
      <name val="Times New Roman"/>
      <family val="1"/>
    </font>
    <font>
      <sz val="8"/>
      <color indexed="8"/>
      <name val="Times New Roman"/>
      <family val="1"/>
    </font>
    <font>
      <sz val="8"/>
      <color indexed="18"/>
      <name val="Times New Roman"/>
      <family val="1"/>
    </font>
    <font>
      <sz val="10"/>
      <name val="Geneva"/>
    </font>
    <font>
      <sz val="8"/>
      <color indexed="17"/>
      <name val="Times New Roman"/>
      <family val="1"/>
    </font>
    <font>
      <sz val="11"/>
      <name val="明朝"/>
      <family val="1"/>
      <charset val="128"/>
    </font>
    <font>
      <sz val="12"/>
      <name val="???"/>
      <family val="1"/>
      <charset val="129"/>
    </font>
    <font>
      <sz val="11"/>
      <name val="??"/>
      <family val="1"/>
    </font>
    <font>
      <u/>
      <sz val="8.4"/>
      <color indexed="12"/>
      <name val="Arial"/>
      <family val="2"/>
    </font>
    <font>
      <sz val="9"/>
      <name val="‚l‚r –¾’©"/>
      <family val="1"/>
      <charset val="128"/>
    </font>
    <font>
      <sz val="12"/>
      <name val="Arial MT"/>
      <family val="2"/>
    </font>
    <font>
      <sz val="8"/>
      <color indexed="12"/>
      <name val="Tms Rmn"/>
      <family val="1"/>
    </font>
    <font>
      <sz val="12"/>
      <name val="Tms Rmn"/>
      <family val="1"/>
    </font>
    <font>
      <i/>
      <sz val="10"/>
      <name val="Tms Rmn"/>
    </font>
    <font>
      <sz val="8"/>
      <name val="Tms Rmn"/>
      <family val="1"/>
    </font>
    <font>
      <u/>
      <sz val="8"/>
      <name val="Times New Roman"/>
      <family val="1"/>
    </font>
    <font>
      <sz val="10"/>
      <name val="MS Serif"/>
      <family val="1"/>
    </font>
    <font>
      <b/>
      <sz val="14"/>
      <name val="Tms Rmn"/>
    </font>
    <font>
      <sz val="10"/>
      <color indexed="16"/>
      <name val="MS Serif"/>
      <family val="1"/>
    </font>
    <font>
      <sz val="10"/>
      <color indexed="2"/>
      <name val="MS UI Gothic"/>
      <family val="3"/>
    </font>
    <font>
      <b/>
      <sz val="10"/>
      <color indexed="0"/>
      <name val="MS UI Gothic"/>
      <family val="3"/>
    </font>
    <font>
      <b/>
      <u/>
      <sz val="11"/>
      <color indexed="37"/>
      <name val="Arial"/>
      <family val="2"/>
    </font>
    <font>
      <sz val="11"/>
      <name val="??"/>
      <family val="3"/>
      <charset val="129"/>
    </font>
    <font>
      <sz val="10"/>
      <name val="MS UI Gothic"/>
      <family val="3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i/>
      <sz val="10"/>
      <color indexed="4"/>
      <name val="MS UI Gothic"/>
      <family val="3"/>
    </font>
    <font>
      <sz val="10"/>
      <color indexed="4"/>
      <name val="MS UI Gothic"/>
      <family val="3"/>
    </font>
    <font>
      <b/>
      <sz val="12"/>
      <name val="Tms Rmn"/>
      <family val="1"/>
    </font>
    <font>
      <sz val="6"/>
      <color indexed="12"/>
      <name val="Tms Rmn"/>
    </font>
    <font>
      <sz val="14"/>
      <name val="Terminal"/>
      <family val="3"/>
      <charset val="255"/>
    </font>
    <font>
      <sz val="6"/>
      <name val="Tms Rmn"/>
    </font>
    <font>
      <sz val="7"/>
      <name val="Times New Roman"/>
      <family val="1"/>
    </font>
    <font>
      <sz val="7"/>
      <color indexed="17"/>
      <name val="Times New Roman"/>
      <family val="1"/>
    </font>
    <font>
      <b/>
      <sz val="8"/>
      <color indexed="8"/>
      <name val="Helv"/>
      <family val="2"/>
    </font>
    <font>
      <b/>
      <sz val="8"/>
      <color indexed="18"/>
      <name val="Times New Roman"/>
      <family val="1"/>
    </font>
    <font>
      <sz val="7"/>
      <color indexed="12"/>
      <name val="Tms Rmn"/>
    </font>
    <font>
      <sz val="8"/>
      <color indexed="16"/>
      <name val="Helv"/>
      <family val="2"/>
    </font>
    <font>
      <sz val="14"/>
      <name val="ＭＳ 明朝"/>
      <family val="1"/>
      <charset val="128"/>
    </font>
    <font>
      <sz val="11"/>
      <color indexed="16"/>
      <name val="Calibri"/>
      <family val="2"/>
    </font>
    <font>
      <sz val="11"/>
      <color indexed="58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b/>
      <sz val="18"/>
      <color indexed="18"/>
      <name val="Cambria"/>
      <family val="2"/>
    </font>
    <font>
      <sz val="12"/>
      <name val="바탕체"/>
      <family val="3"/>
    </font>
    <font>
      <sz val="12"/>
      <name val="新細明體"/>
      <family val="1"/>
      <charset val="136"/>
    </font>
    <font>
      <u/>
      <sz val="8.5"/>
      <color indexed="12"/>
      <name val="Arial"/>
      <family val="2"/>
    </font>
    <font>
      <u/>
      <sz val="8"/>
      <color indexed="12"/>
      <name val="Arial"/>
      <family val="2"/>
    </font>
    <font>
      <sz val="12"/>
      <name val="바탕체"/>
      <family val="1"/>
    </font>
    <font>
      <sz val="10"/>
      <color indexed="63"/>
      <name val="Verdana"/>
      <family val="2"/>
    </font>
    <font>
      <sz val="10"/>
      <color indexed="9"/>
      <name val="Verdana"/>
      <family val="2"/>
    </font>
    <font>
      <b/>
      <sz val="10"/>
      <color indexed="63"/>
      <name val="Verdana"/>
      <family val="2"/>
    </font>
    <font>
      <sz val="8"/>
      <color theme="1"/>
      <name val="Arial"/>
      <family val="2"/>
    </font>
    <font>
      <sz val="7"/>
      <color theme="1"/>
      <name val="Avenir LT Std 35 Light"/>
      <family val="2"/>
    </font>
    <font>
      <b/>
      <sz val="10"/>
      <name val="Helvetica"/>
      <family val="2"/>
    </font>
    <font>
      <sz val="12"/>
      <name val="±¼¸²A¼"/>
      <family val="3"/>
      <charset val="129"/>
    </font>
    <font>
      <sz val="24"/>
      <name val="Arial"/>
      <family val="2"/>
    </font>
    <font>
      <b/>
      <sz val="8"/>
      <name val="Helv"/>
      <family val="2"/>
    </font>
    <font>
      <b/>
      <sz val="14"/>
      <name val="Tms Rmn"/>
      <family val="1"/>
    </font>
    <font>
      <sz val="7"/>
      <name val="Arial"/>
      <family val="2"/>
    </font>
    <font>
      <sz val="8"/>
      <color indexed="39"/>
      <name val="Arial"/>
      <family val="2"/>
    </font>
    <font>
      <sz val="10"/>
      <color indexed="12"/>
      <name val="MS Sans Serif"/>
      <family val="2"/>
    </font>
    <font>
      <i/>
      <sz val="10"/>
      <name val="Helv"/>
      <family val="2"/>
    </font>
    <font>
      <sz val="10"/>
      <name val="Garamond"/>
      <family val="1"/>
    </font>
    <font>
      <sz val="9"/>
      <color indexed="18"/>
      <name val="Arial"/>
      <family val="2"/>
    </font>
    <font>
      <sz val="10"/>
      <color indexed="23"/>
      <name val="MS Sans Serif"/>
      <family val="2"/>
    </font>
    <font>
      <b/>
      <sz val="8"/>
      <color indexed="12"/>
      <name val="FrankfurtGothicHeavy"/>
      <family val="2"/>
    </font>
    <font>
      <sz val="10"/>
      <color indexed="62"/>
      <name val="Arial"/>
      <family val="2"/>
    </font>
    <font>
      <sz val="10"/>
      <name val="MS Sans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9"/>
      <color indexed="8"/>
      <name val="Arial"/>
      <family val="2"/>
    </font>
    <font>
      <b/>
      <sz val="18"/>
      <color indexed="56"/>
      <name val="Cambria"/>
      <family val="2"/>
    </font>
    <font>
      <sz val="9"/>
      <color indexed="8"/>
      <name val="Arial"/>
      <family val="2"/>
    </font>
    <font>
      <b/>
      <sz val="12"/>
      <color indexed="8"/>
      <name val="Arial"/>
      <family val="2"/>
    </font>
    <font>
      <b/>
      <i/>
      <sz val="12"/>
      <color indexed="10"/>
      <name val="Arial"/>
      <family val="2"/>
    </font>
    <font>
      <b/>
      <sz val="9"/>
      <color indexed="8"/>
      <name val="Arial"/>
      <family val="2"/>
    </font>
    <font>
      <b/>
      <i/>
      <sz val="10"/>
      <color indexed="8"/>
      <name val="Arial"/>
      <family val="2"/>
    </font>
    <font>
      <sz val="11"/>
      <color rgb="FF2270AB"/>
      <name val="Arial"/>
      <family val="2"/>
    </font>
    <font>
      <sz val="11"/>
      <color theme="4"/>
      <name val="Arial"/>
      <family val="2"/>
    </font>
    <font>
      <u/>
      <sz val="11"/>
      <color rgb="FF2270AB"/>
      <name val="Arial"/>
      <family val="2"/>
    </font>
    <font>
      <b/>
      <sz val="11"/>
      <color rgb="FF0070C0"/>
      <name val="Arial"/>
      <family val="2"/>
    </font>
    <font>
      <b/>
      <sz val="11"/>
      <color rgb="FF2270AB"/>
      <name val="Arial"/>
      <family val="2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48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mediumGray"/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15"/>
      </patternFill>
    </fill>
    <fill>
      <patternFill patternType="solid">
        <fgColor indexed="41"/>
      </patternFill>
    </fill>
    <fill>
      <patternFill patternType="solid">
        <fgColor indexed="35"/>
      </patternFill>
    </fill>
    <fill>
      <patternFill patternType="solid">
        <fgColor indexed="40"/>
      </patternFill>
    </fill>
    <fill>
      <patternFill patternType="solid">
        <fgColor indexed="11"/>
      </patternFill>
    </fill>
    <fill>
      <patternFill patternType="solid">
        <fgColor indexed="24"/>
      </patternFill>
    </fill>
    <fill>
      <patternFill patternType="solid">
        <fgColor indexed="25"/>
      </patternFill>
    </fill>
    <fill>
      <patternFill patternType="solid">
        <fgColor indexed="28"/>
      </patternFill>
    </fill>
    <fill>
      <patternFill patternType="solid">
        <fgColor indexed="31"/>
      </patternFill>
    </fill>
    <fill>
      <patternFill patternType="solid">
        <fgColor indexed="60"/>
      </patternFill>
    </fill>
    <fill>
      <patternFill patternType="solid">
        <fgColor indexed="38"/>
      </patternFill>
    </fill>
    <fill>
      <patternFill patternType="solid">
        <fgColor indexed="39"/>
      </patternFill>
    </fill>
    <fill>
      <patternFill patternType="solid">
        <fgColor indexed="23"/>
      </patternFill>
    </fill>
    <fill>
      <patternFill patternType="gray0625"/>
    </fill>
    <fill>
      <patternFill patternType="lightGray">
        <fgColor indexed="12"/>
      </patternFill>
    </fill>
    <fill>
      <patternFill patternType="solid">
        <fgColor indexed="2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lightGray">
        <fgColor indexed="9"/>
      </patternFill>
    </fill>
    <fill>
      <patternFill patternType="gray0625">
        <fgColor indexed="9"/>
        <bgColor indexed="9"/>
      </patternFill>
    </fill>
    <fill>
      <patternFill patternType="lightGray">
        <fgColor indexed="9"/>
        <bgColor indexed="9"/>
      </patternFill>
    </fill>
    <fill>
      <patternFill patternType="solid">
        <fgColor indexed="9"/>
        <bgColor indexed="9"/>
      </patternFill>
    </fill>
    <fill>
      <patternFill patternType="gray125">
        <fgColor indexed="9"/>
        <bgColor indexed="9"/>
      </patternFill>
    </fill>
    <fill>
      <patternFill patternType="gray0625">
        <fgColor indexed="22"/>
      </patternFill>
    </fill>
    <fill>
      <patternFill patternType="gray0625">
        <fgColor indexed="9"/>
      </patternFill>
    </fill>
    <fill>
      <patternFill patternType="lightGray">
        <fgColor indexed="2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ck">
        <color indexed="24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3"/>
      </bottom>
      <diagonal/>
    </border>
    <border>
      <left/>
      <right/>
      <top style="thin">
        <color indexed="24"/>
      </top>
      <bottom style="double">
        <color indexed="2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6520">
    <xf numFmtId="0" fontId="0" fillId="0" borderId="0" applyNumberFormat="0" applyFont="0" applyFill="0" applyBorder="0" applyAlignment="0" applyProtection="0"/>
    <xf numFmtId="0" fontId="110" fillId="0" borderId="0" applyNumberFormat="0" applyFont="0" applyFill="0" applyBorder="0" applyAlignment="0" applyProtection="0"/>
    <xf numFmtId="0" fontId="40" fillId="0" borderId="0" applyNumberFormat="0" applyFont="0" applyFill="0" applyBorder="0" applyAlignment="0" applyProtection="0"/>
    <xf numFmtId="0" fontId="19" fillId="0" borderId="0"/>
    <xf numFmtId="0" fontId="40" fillId="0" borderId="0" applyFill="0" applyAlignment="0">
      <protection locked="0"/>
    </xf>
    <xf numFmtId="0" fontId="46" fillId="0" borderId="0"/>
    <xf numFmtId="0" fontId="46" fillId="0" borderId="0"/>
    <xf numFmtId="213" fontId="46" fillId="0" borderId="0"/>
    <xf numFmtId="0" fontId="79" fillId="2" borderId="0" applyNumberFormat="0" applyBorder="0" applyAlignment="0" applyProtection="0"/>
    <xf numFmtId="0" fontId="79" fillId="3" borderId="0" applyNumberFormat="0" applyBorder="0" applyAlignment="0" applyProtection="0"/>
    <xf numFmtId="0" fontId="79" fillId="4" borderId="0" applyNumberFormat="0" applyBorder="0" applyAlignment="0" applyProtection="0"/>
    <xf numFmtId="0" fontId="79" fillId="2" borderId="0" applyNumberFormat="0" applyBorder="0" applyAlignment="0" applyProtection="0"/>
    <xf numFmtId="0" fontId="79" fillId="5" borderId="0" applyNumberFormat="0" applyBorder="0" applyAlignment="0" applyProtection="0"/>
    <xf numFmtId="0" fontId="79" fillId="4" borderId="0" applyNumberFormat="0" applyBorder="0" applyAlignment="0" applyProtection="0"/>
    <xf numFmtId="0" fontId="79" fillId="6" borderId="0" applyNumberFormat="0" applyBorder="0" applyAlignment="0" applyProtection="0"/>
    <xf numFmtId="0" fontId="79" fillId="3" borderId="0" applyNumberFormat="0" applyBorder="0" applyAlignment="0" applyProtection="0"/>
    <xf numFmtId="0" fontId="79" fillId="4" borderId="0" applyNumberFormat="0" applyBorder="0" applyAlignment="0" applyProtection="0"/>
    <xf numFmtId="0" fontId="79" fillId="6" borderId="0" applyNumberFormat="0" applyBorder="0" applyAlignment="0" applyProtection="0"/>
    <xf numFmtId="0" fontId="79" fillId="7" borderId="0" applyNumberFormat="0" applyBorder="0" applyAlignment="0" applyProtection="0"/>
    <xf numFmtId="0" fontId="79" fillId="4" borderId="0" applyNumberFormat="0" applyBorder="0" applyAlignment="0" applyProtection="0"/>
    <xf numFmtId="0" fontId="80" fillId="8" borderId="0" applyNumberFormat="0" applyBorder="0" applyAlignment="0" applyProtection="0"/>
    <xf numFmtId="0" fontId="80" fillId="3" borderId="0" applyNumberFormat="0" applyBorder="0" applyAlignment="0" applyProtection="0"/>
    <xf numFmtId="0" fontId="80" fillId="9" borderId="0" applyNumberFormat="0" applyBorder="0" applyAlignment="0" applyProtection="0"/>
    <xf numFmtId="0" fontId="80" fillId="6" borderId="0" applyNumberFormat="0" applyBorder="0" applyAlignment="0" applyProtection="0"/>
    <xf numFmtId="0" fontId="80" fillId="8" borderId="0" applyNumberFormat="0" applyBorder="0" applyAlignment="0" applyProtection="0"/>
    <xf numFmtId="0" fontId="80" fillId="4" borderId="0" applyNumberFormat="0" applyBorder="0" applyAlignment="0" applyProtection="0"/>
    <xf numFmtId="0" fontId="80" fillId="8" borderId="0" applyNumberFormat="0" applyBorder="0" applyAlignment="0" applyProtection="0"/>
    <xf numFmtId="0" fontId="80" fillId="3" borderId="0" applyNumberFormat="0" applyBorder="0" applyAlignment="0" applyProtection="0"/>
    <xf numFmtId="0" fontId="80" fillId="9" borderId="0" applyNumberFormat="0" applyBorder="0" applyAlignment="0" applyProtection="0"/>
    <xf numFmtId="0" fontId="80" fillId="10" borderId="0" applyNumberFormat="0" applyBorder="0" applyAlignment="0" applyProtection="0"/>
    <xf numFmtId="0" fontId="80" fillId="8" borderId="0" applyNumberFormat="0" applyBorder="0" applyAlignment="0" applyProtection="0"/>
    <xf numFmtId="0" fontId="80" fillId="3" borderId="0" applyNumberFormat="0" applyBorder="0" applyAlignment="0" applyProtection="0"/>
    <xf numFmtId="0" fontId="81" fillId="11" borderId="0" applyNumberFormat="0" applyBorder="0" applyAlignment="0" applyProtection="0"/>
    <xf numFmtId="0" fontId="47" fillId="0" borderId="0"/>
    <xf numFmtId="0" fontId="82" fillId="12" borderId="3" applyNumberFormat="0" applyAlignment="0" applyProtection="0"/>
    <xf numFmtId="0" fontId="83" fillId="13" borderId="4" applyNumberFormat="0" applyAlignment="0" applyProtection="0"/>
    <xf numFmtId="43" fontId="19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38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  <xf numFmtId="43" fontId="140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40" fillId="0" borderId="0" applyFont="0" applyFill="0" applyBorder="0" applyAlignment="0" applyProtection="0"/>
    <xf numFmtId="0" fontId="84" fillId="0" borderId="0" applyNumberFormat="0" applyFill="0" applyBorder="0" applyAlignment="0" applyProtection="0"/>
    <xf numFmtId="0" fontId="85" fillId="14" borderId="0" applyNumberFormat="0" applyBorder="0" applyAlignment="0" applyProtection="0"/>
    <xf numFmtId="0" fontId="86" fillId="0" borderId="10" applyNumberFormat="0" applyFill="0" applyAlignment="0" applyProtection="0"/>
    <xf numFmtId="0" fontId="87" fillId="0" borderId="11" applyNumberFormat="0" applyFill="0" applyAlignment="0" applyProtection="0"/>
    <xf numFmtId="0" fontId="88" fillId="0" borderId="12" applyNumberFormat="0" applyFill="0" applyAlignment="0" applyProtection="0"/>
    <xf numFmtId="0" fontId="88" fillId="0" borderId="0" applyNumberFormat="0" applyFill="0" applyBorder="0" applyAlignment="0" applyProtection="0"/>
    <xf numFmtId="0" fontId="89" fillId="4" borderId="3" applyNumberFormat="0" applyAlignment="0" applyProtection="0"/>
    <xf numFmtId="0" fontId="90" fillId="0" borderId="13" applyNumberFormat="0" applyFill="0" applyAlignment="0" applyProtection="0"/>
    <xf numFmtId="0" fontId="91" fillId="4" borderId="0" applyNumberFormat="0" applyBorder="0" applyAlignment="0" applyProtection="0"/>
    <xf numFmtId="0" fontId="40" fillId="0" borderId="0" applyNumberFormat="0" applyFont="0" applyFill="0" applyBorder="0" applyAlignment="0" applyProtection="0"/>
    <xf numFmtId="0" fontId="40" fillId="0" borderId="0" applyNumberFormat="0" applyFont="0" applyFill="0" applyBorder="0" applyAlignment="0" applyProtection="0"/>
    <xf numFmtId="0" fontId="40" fillId="0" borderId="0" applyNumberFormat="0" applyFont="0" applyFill="0" applyBorder="0" applyAlignment="0" applyProtection="0"/>
    <xf numFmtId="0" fontId="137" fillId="0" borderId="0"/>
    <xf numFmtId="0" fontId="23" fillId="0" borderId="0"/>
    <xf numFmtId="166" fontId="28" fillId="0" borderId="0"/>
    <xf numFmtId="0" fontId="23" fillId="0" borderId="0"/>
    <xf numFmtId="0" fontId="19" fillId="4" borderId="14" applyNumberFormat="0" applyFont="0" applyAlignment="0" applyProtection="0"/>
    <xf numFmtId="182" fontId="19" fillId="0" borderId="0"/>
    <xf numFmtId="0" fontId="92" fillId="12" borderId="15" applyNumberFormat="0" applyAlignment="0" applyProtection="0"/>
    <xf numFmtId="0" fontId="48" fillId="0" borderId="0">
      <alignment vertical="center"/>
    </xf>
    <xf numFmtId="9" fontId="19" fillId="0" borderId="0" applyFont="0" applyFill="0" applyBorder="0" applyAlignment="0" applyProtection="0"/>
    <xf numFmtId="9" fontId="11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40" fillId="0" borderId="0" applyFont="0" applyFill="0" applyBorder="0" applyAlignment="0" applyProtection="0"/>
    <xf numFmtId="9" fontId="11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8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40" fillId="0" borderId="0" applyFont="0" applyFill="0" applyBorder="0" applyAlignment="0" applyProtection="0"/>
    <xf numFmtId="9" fontId="110" fillId="0" borderId="0" applyFont="0" applyFill="0" applyBorder="0" applyAlignment="0" applyProtection="0"/>
    <xf numFmtId="0" fontId="40" fillId="17" borderId="0" applyNumberFormat="0" applyFont="0" applyBorder="0" applyAlignment="0" applyProtection="0"/>
    <xf numFmtId="179" fontId="49" fillId="0" borderId="0"/>
    <xf numFmtId="0" fontId="49" fillId="0" borderId="0"/>
    <xf numFmtId="0" fontId="49" fillId="0" borderId="16">
      <alignment horizontal="centerContinuous"/>
    </xf>
    <xf numFmtId="0" fontId="50" fillId="0" borderId="16"/>
    <xf numFmtId="0" fontId="19" fillId="0" borderId="0">
      <alignment vertical="top"/>
    </xf>
    <xf numFmtId="0" fontId="93" fillId="0" borderId="0" applyNumberFormat="0" applyFill="0" applyBorder="0" applyAlignment="0" applyProtection="0"/>
    <xf numFmtId="0" fontId="94" fillId="0" borderId="18" applyNumberFormat="0" applyFill="0" applyAlignment="0" applyProtection="0"/>
    <xf numFmtId="0" fontId="95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17" borderId="0" applyNumberFormat="0" applyFont="0" applyBorder="0" applyAlignment="0" applyProtection="0"/>
    <xf numFmtId="0" fontId="19" fillId="0" borderId="0" applyNumberFormat="0" applyFont="0" applyFill="0" applyBorder="0" applyAlignment="0" applyProtection="0"/>
    <xf numFmtId="9" fontId="66" fillId="0" borderId="0">
      <alignment horizontal="right"/>
    </xf>
    <xf numFmtId="224" fontId="153" fillId="0" borderId="0">
      <alignment horizontal="right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Fill="0" applyAlignment="0">
      <protection locked="0"/>
    </xf>
    <xf numFmtId="44" fontId="154" fillId="0" borderId="0" applyFont="0" applyFill="0" applyBorder="0" applyAlignment="0" applyProtection="0"/>
    <xf numFmtId="42" fontId="154" fillId="0" borderId="0" applyFont="0" applyFill="0" applyBorder="0" applyAlignment="0" applyProtection="0"/>
    <xf numFmtId="225" fontId="155" fillId="0" borderId="0" applyFont="0" applyFill="0" applyBorder="0" applyAlignment="0" applyProtection="0"/>
    <xf numFmtId="226" fontId="155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56" fillId="0" borderId="0"/>
    <xf numFmtId="0" fontId="46" fillId="0" borderId="0"/>
    <xf numFmtId="9" fontId="19" fillId="0" borderId="0"/>
    <xf numFmtId="9" fontId="19" fillId="0" borderId="0"/>
    <xf numFmtId="9" fontId="19" fillId="0" borderId="0"/>
    <xf numFmtId="9" fontId="19" fillId="0" borderId="0"/>
    <xf numFmtId="0" fontId="46" fillId="0" borderId="0"/>
    <xf numFmtId="0" fontId="46" fillId="0" borderId="0"/>
    <xf numFmtId="2" fontId="46" fillId="0" borderId="0"/>
    <xf numFmtId="1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179" fontId="19" fillId="0" borderId="0"/>
    <xf numFmtId="179" fontId="19" fillId="0" borderId="0"/>
    <xf numFmtId="179" fontId="19" fillId="0" borderId="0"/>
    <xf numFmtId="179" fontId="19" fillId="0" borderId="0"/>
    <xf numFmtId="0" fontId="79" fillId="2" borderId="0" applyNumberFormat="0" applyBorder="0" applyAlignment="0" applyProtection="0"/>
    <xf numFmtId="0" fontId="79" fillId="3" borderId="0" applyNumberFormat="0" applyBorder="0" applyAlignment="0" applyProtection="0"/>
    <xf numFmtId="0" fontId="79" fillId="4" borderId="0" applyNumberFormat="0" applyBorder="0" applyAlignment="0" applyProtection="0"/>
    <xf numFmtId="0" fontId="79" fillId="2" borderId="0" applyNumberFormat="0" applyBorder="0" applyAlignment="0" applyProtection="0"/>
    <xf numFmtId="0" fontId="79" fillId="5" borderId="0" applyNumberFormat="0" applyBorder="0" applyAlignment="0" applyProtection="0"/>
    <xf numFmtId="0" fontId="79" fillId="4" borderId="0" applyNumberFormat="0" applyBorder="0" applyAlignment="0" applyProtection="0"/>
    <xf numFmtId="0" fontId="79" fillId="6" borderId="0" applyNumberFormat="0" applyBorder="0" applyAlignment="0" applyProtection="0"/>
    <xf numFmtId="0" fontId="79" fillId="3" borderId="0" applyNumberFormat="0" applyBorder="0" applyAlignment="0" applyProtection="0"/>
    <xf numFmtId="0" fontId="79" fillId="4" borderId="0" applyNumberFormat="0" applyBorder="0" applyAlignment="0" applyProtection="0"/>
    <xf numFmtId="0" fontId="79" fillId="6" borderId="0" applyNumberFormat="0" applyBorder="0" applyAlignment="0" applyProtection="0"/>
    <xf numFmtId="0" fontId="79" fillId="7" borderId="0" applyNumberFormat="0" applyBorder="0" applyAlignment="0" applyProtection="0"/>
    <xf numFmtId="0" fontId="79" fillId="4" borderId="0" applyNumberFormat="0" applyBorder="0" applyAlignment="0" applyProtection="0"/>
    <xf numFmtId="0" fontId="80" fillId="8" borderId="0" applyNumberFormat="0" applyBorder="0" applyAlignment="0" applyProtection="0"/>
    <xf numFmtId="0" fontId="80" fillId="3" borderId="0" applyNumberFormat="0" applyBorder="0" applyAlignment="0" applyProtection="0"/>
    <xf numFmtId="0" fontId="80" fillId="9" borderId="0" applyNumberFormat="0" applyBorder="0" applyAlignment="0" applyProtection="0"/>
    <xf numFmtId="0" fontId="80" fillId="6" borderId="0" applyNumberFormat="0" applyBorder="0" applyAlignment="0" applyProtection="0"/>
    <xf numFmtId="0" fontId="80" fillId="8" borderId="0" applyNumberFormat="0" applyBorder="0" applyAlignment="0" applyProtection="0"/>
    <xf numFmtId="0" fontId="80" fillId="4" borderId="0" applyNumberFormat="0" applyBorder="0" applyAlignment="0" applyProtection="0"/>
    <xf numFmtId="37" fontId="157" fillId="0" borderId="0">
      <alignment horizontal="center"/>
    </xf>
    <xf numFmtId="0" fontId="80" fillId="8" borderId="0" applyNumberFormat="0" applyBorder="0" applyAlignment="0" applyProtection="0"/>
    <xf numFmtId="0" fontId="80" fillId="3" borderId="0" applyNumberFormat="0" applyBorder="0" applyAlignment="0" applyProtection="0"/>
    <xf numFmtId="0" fontId="80" fillId="9" borderId="0" applyNumberFormat="0" applyBorder="0" applyAlignment="0" applyProtection="0"/>
    <xf numFmtId="0" fontId="80" fillId="10" borderId="0" applyNumberFormat="0" applyBorder="0" applyAlignment="0" applyProtection="0"/>
    <xf numFmtId="0" fontId="80" fillId="8" borderId="0" applyNumberFormat="0" applyBorder="0" applyAlignment="0" applyProtection="0"/>
    <xf numFmtId="0" fontId="80" fillId="3" borderId="0" applyNumberFormat="0" applyBorder="0" applyAlignment="0" applyProtection="0"/>
    <xf numFmtId="227" fontId="158" fillId="0" borderId="0" applyFont="0" applyFill="0" applyBorder="0" applyAlignment="0" applyProtection="0"/>
    <xf numFmtId="228" fontId="159" fillId="0" borderId="0">
      <alignment horizontal="left"/>
    </xf>
    <xf numFmtId="0" fontId="81" fillId="11" borderId="0" applyNumberFormat="0" applyBorder="0" applyAlignment="0" applyProtection="0"/>
    <xf numFmtId="1" fontId="160" fillId="26" borderId="1" applyNumberFormat="0" applyBorder="0" applyAlignment="0">
      <alignment horizontal="center" vertical="top" wrapText="1"/>
      <protection hidden="1"/>
    </xf>
    <xf numFmtId="0" fontId="161" fillId="0" borderId="0" applyNumberFormat="0" applyFill="0" applyBorder="0" applyAlignment="0" applyProtection="0"/>
    <xf numFmtId="0" fontId="162" fillId="0" borderId="2" applyNumberFormat="0" applyFill="0" applyAlignment="0" applyProtection="0"/>
    <xf numFmtId="229" fontId="155" fillId="0" borderId="0" applyFon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1" fillId="0" borderId="0"/>
    <xf numFmtId="0" fontId="82" fillId="12" borderId="3" applyNumberFormat="0" applyAlignment="0" applyProtection="0"/>
    <xf numFmtId="0" fontId="153" fillId="0" borderId="0">
      <alignment horizontal="right"/>
    </xf>
    <xf numFmtId="1" fontId="163" fillId="0" borderId="0"/>
    <xf numFmtId="0" fontId="83" fillId="13" borderId="4" applyNumberFormat="0" applyAlignment="0" applyProtection="0"/>
    <xf numFmtId="0" fontId="164" fillId="0" borderId="2" applyNumberFormat="0" applyFill="0" applyProtection="0">
      <alignment horizontal="left" vertical="center"/>
    </xf>
    <xf numFmtId="182" fontId="65" fillId="0" borderId="0" applyBorder="0">
      <alignment horizontal="right"/>
    </xf>
    <xf numFmtId="182" fontId="65" fillId="0" borderId="5" applyAlignment="0">
      <alignment horizontal="right"/>
    </xf>
    <xf numFmtId="230" fontId="165" fillId="0" borderId="0"/>
    <xf numFmtId="230" fontId="165" fillId="0" borderId="0"/>
    <xf numFmtId="230" fontId="165" fillId="0" borderId="0"/>
    <xf numFmtId="230" fontId="165" fillId="0" borderId="0"/>
    <xf numFmtId="230" fontId="165" fillId="0" borderId="0"/>
    <xf numFmtId="230" fontId="165" fillId="0" borderId="0"/>
    <xf numFmtId="230" fontId="165" fillId="0" borderId="0"/>
    <xf numFmtId="230" fontId="165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66" fillId="0" borderId="0"/>
    <xf numFmtId="0" fontId="167" fillId="0" borderId="0" applyFill="0" applyBorder="0">
      <alignment horizontal="left"/>
    </xf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68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231" fontId="155" fillId="0" borderId="0" applyFont="0" applyFill="0" applyBorder="0" applyAlignment="0" applyProtection="0"/>
    <xf numFmtId="14" fontId="36" fillId="0" borderId="6" applyFont="0">
      <alignment horizontal="right"/>
    </xf>
    <xf numFmtId="0" fontId="154" fillId="0" borderId="0"/>
    <xf numFmtId="0" fontId="168" fillId="0" borderId="0"/>
    <xf numFmtId="232" fontId="153" fillId="0" borderId="0">
      <alignment horizontal="right"/>
    </xf>
    <xf numFmtId="0" fontId="153" fillId="0" borderId="0"/>
    <xf numFmtId="5" fontId="68" fillId="0" borderId="0" applyFont="0" applyFill="0" applyBorder="0" applyAlignment="0" applyProtection="0">
      <protection locked="0"/>
    </xf>
    <xf numFmtId="0" fontId="84" fillId="0" borderId="0" applyNumberFormat="0" applyFill="0" applyBorder="0" applyAlignment="0" applyProtection="0"/>
    <xf numFmtId="0" fontId="169" fillId="0" borderId="0"/>
    <xf numFmtId="1" fontId="170" fillId="27" borderId="7" applyNumberFormat="0" applyBorder="0" applyAlignment="0">
      <alignment horizontal="centerContinuous" vertical="center"/>
      <protection locked="0"/>
    </xf>
    <xf numFmtId="0" fontId="171" fillId="28" borderId="0"/>
    <xf numFmtId="0" fontId="153" fillId="0" borderId="0"/>
    <xf numFmtId="0" fontId="172" fillId="0" borderId="0" applyNumberFormat="0" applyFill="0" applyBorder="0" applyProtection="0">
      <alignment horizontal="left" vertical="center"/>
    </xf>
    <xf numFmtId="49" fontId="41" fillId="0" borderId="0" applyFill="0" applyBorder="0"/>
    <xf numFmtId="49" fontId="19" fillId="0" borderId="0"/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0" fontId="85" fillId="14" borderId="0" applyNumberFormat="0" applyBorder="0" applyAlignment="0" applyProtection="0"/>
    <xf numFmtId="0" fontId="173" fillId="0" borderId="0"/>
    <xf numFmtId="38" fontId="41" fillId="15" borderId="0" applyNumberFormat="0" applyBorder="0" applyAlignment="0" applyProtection="0"/>
    <xf numFmtId="38" fontId="41" fillId="15" borderId="0" applyNumberFormat="0" applyBorder="0" applyAlignment="0" applyProtection="0"/>
    <xf numFmtId="168" fontId="19" fillId="29" borderId="8" applyNumberFormat="0" applyFont="0" applyBorder="0" applyAlignment="0" applyProtection="0"/>
    <xf numFmtId="168" fontId="19" fillId="29" borderId="8" applyNumberFormat="0" applyFont="0" applyBorder="0" applyAlignment="0" applyProtection="0"/>
    <xf numFmtId="179" fontId="174" fillId="29" borderId="0" applyNumberFormat="0" applyFont="0" applyAlignment="0"/>
    <xf numFmtId="0" fontId="62" fillId="0" borderId="9" applyNumberFormat="0" applyAlignment="0" applyProtection="0">
      <alignment horizontal="left" vertical="center"/>
    </xf>
    <xf numFmtId="0" fontId="62" fillId="0" borderId="6">
      <alignment horizontal="left" vertical="center"/>
    </xf>
    <xf numFmtId="0" fontId="86" fillId="0" borderId="10" applyNumberFormat="0" applyFill="0" applyAlignment="0" applyProtection="0"/>
    <xf numFmtId="0" fontId="87" fillId="0" borderId="11" applyNumberFormat="0" applyFill="0" applyAlignment="0" applyProtection="0"/>
    <xf numFmtId="0" fontId="88" fillId="0" borderId="12" applyNumberFormat="0" applyFill="0" applyAlignment="0" applyProtection="0"/>
    <xf numFmtId="0" fontId="88" fillId="0" borderId="0" applyNumberFormat="0" applyFill="0" applyBorder="0" applyAlignment="0" applyProtection="0"/>
    <xf numFmtId="0" fontId="175" fillId="0" borderId="0">
      <alignment wrapText="1"/>
    </xf>
    <xf numFmtId="10" fontId="41" fillId="30" borderId="8" applyNumberFormat="0" applyBorder="0" applyAlignment="0" applyProtection="0"/>
    <xf numFmtId="10" fontId="41" fillId="30" borderId="8" applyNumberFormat="0" applyBorder="0" applyAlignment="0" applyProtection="0"/>
    <xf numFmtId="0" fontId="89" fillId="4" borderId="3" applyNumberFormat="0" applyAlignment="0" applyProtection="0"/>
    <xf numFmtId="0" fontId="176" fillId="0" borderId="0" applyNumberFormat="0" applyFill="0" applyBorder="0" applyAlignment="0">
      <protection locked="0"/>
    </xf>
    <xf numFmtId="0" fontId="153" fillId="0" borderId="0"/>
    <xf numFmtId="0" fontId="177" fillId="0" borderId="0" applyNumberFormat="0" applyFill="0" applyBorder="0" applyProtection="0">
      <alignment horizontal="left" vertical="center"/>
    </xf>
    <xf numFmtId="0" fontId="90" fillId="0" borderId="13" applyNumberFormat="0" applyFill="0" applyAlignment="0" applyProtection="0"/>
    <xf numFmtId="0" fontId="171" fillId="0" borderId="0"/>
    <xf numFmtId="0" fontId="178" fillId="0" borderId="0"/>
    <xf numFmtId="0" fontId="179" fillId="0" borderId="0"/>
    <xf numFmtId="233" fontId="41" fillId="30" borderId="0">
      <alignment horizontal="center"/>
    </xf>
    <xf numFmtId="233" fontId="41" fillId="30" borderId="0">
      <alignment horizontal="center"/>
    </xf>
    <xf numFmtId="0" fontId="91" fillId="4" borderId="0" applyNumberFormat="0" applyBorder="0" applyAlignment="0" applyProtection="0"/>
    <xf numFmtId="37" fontId="180" fillId="0" borderId="0"/>
    <xf numFmtId="234" fontId="181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2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82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83" fillId="0" borderId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164" fontId="66" fillId="0" borderId="0" applyFont="0" applyFill="0" applyBorder="0" applyProtection="0">
      <alignment horizontal="right"/>
    </xf>
    <xf numFmtId="43" fontId="154" fillId="0" borderId="0" applyFont="0" applyFill="0" applyBorder="0" applyAlignment="0" applyProtection="0"/>
    <xf numFmtId="41" fontId="154" fillId="0" borderId="0" applyFont="0" applyFill="0" applyBorder="0" applyAlignment="0" applyProtection="0"/>
    <xf numFmtId="0" fontId="184" fillId="0" borderId="0">
      <alignment horizontal="left"/>
    </xf>
    <xf numFmtId="0" fontId="92" fillId="12" borderId="15" applyNumberFormat="0" applyAlignment="0" applyProtection="0"/>
    <xf numFmtId="0" fontId="179" fillId="0" borderId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68" fillId="0" borderId="0" applyFont="0" applyFill="0" applyBorder="0" applyAlignment="0" applyProtection="0"/>
    <xf numFmtId="1" fontId="185" fillId="15" borderId="0">
      <alignment horizontal="center"/>
    </xf>
    <xf numFmtId="235" fontId="41" fillId="0" borderId="0"/>
    <xf numFmtId="0" fontId="186" fillId="0" borderId="0"/>
    <xf numFmtId="0" fontId="177" fillId="0" borderId="0" applyNumberFormat="0" applyFill="0" applyBorder="0" applyProtection="0">
      <alignment horizontal="right" vertical="center"/>
    </xf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16">
      <alignment horizontal="centerContinuous"/>
    </xf>
    <xf numFmtId="0" fontId="49" fillId="0" borderId="16">
      <alignment horizontal="centerContinuous"/>
    </xf>
    <xf numFmtId="0" fontId="49" fillId="0" borderId="16">
      <alignment horizontal="centerContinuous"/>
    </xf>
    <xf numFmtId="0" fontId="49" fillId="0" borderId="16">
      <alignment horizontal="centerContinuous"/>
    </xf>
    <xf numFmtId="0" fontId="49" fillId="0" borderId="16">
      <alignment horizontal="centerContinuous"/>
    </xf>
    <xf numFmtId="0" fontId="49" fillId="0" borderId="16">
      <alignment horizontal="centerContinuous"/>
    </xf>
    <xf numFmtId="0" fontId="49" fillId="0" borderId="16">
      <alignment horizontal="centerContinuous"/>
    </xf>
    <xf numFmtId="0" fontId="49" fillId="0" borderId="16">
      <alignment horizontal="centerContinuous"/>
    </xf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61" fillId="0" borderId="0"/>
    <xf numFmtId="0" fontId="6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47" fillId="0" borderId="0">
      <alignment vertical="center"/>
    </xf>
    <xf numFmtId="0" fontId="47" fillId="0" borderId="0">
      <alignment vertical="center"/>
    </xf>
    <xf numFmtId="0" fontId="93" fillId="0" borderId="0" applyNumberFormat="0" applyFill="0" applyBorder="0" applyAlignment="0" applyProtection="0"/>
    <xf numFmtId="0" fontId="188" fillId="31" borderId="0" applyNumberFormat="0" applyBorder="0" applyProtection="0">
      <alignment horizontal="left" vertical="center"/>
    </xf>
    <xf numFmtId="0" fontId="189" fillId="1" borderId="0" applyNumberFormat="0" applyBorder="0" applyProtection="0">
      <alignment horizontal="left" vertical="center"/>
    </xf>
    <xf numFmtId="182" fontId="60" fillId="0" borderId="0"/>
    <xf numFmtId="189" fontId="190" fillId="0" borderId="17" applyNumberFormat="0" applyFont="0" applyFill="0" applyAlignment="0" applyProtection="0"/>
    <xf numFmtId="0" fontId="94" fillId="0" borderId="18" applyNumberFormat="0" applyFill="0" applyAlignment="0" applyProtection="0"/>
    <xf numFmtId="182" fontId="65" fillId="0" borderId="32"/>
    <xf numFmtId="236" fontId="191" fillId="0" borderId="0">
      <alignment horizontal="right"/>
    </xf>
    <xf numFmtId="237" fontId="185" fillId="15" borderId="1" applyBorder="0">
      <alignment horizontal="right" vertical="center"/>
      <protection locked="0"/>
    </xf>
    <xf numFmtId="0" fontId="192" fillId="0" borderId="0" applyNumberFormat="0"/>
    <xf numFmtId="0" fontId="95" fillId="0" borderId="0" applyNumberFormat="0" applyFill="0" applyBorder="0" applyAlignment="0" applyProtection="0"/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0" fontId="19" fillId="0" borderId="0" applyNumberFormat="0" applyFont="0" applyFill="0" applyBorder="0" applyAlignment="0" applyProtection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82" fillId="0" borderId="0"/>
    <xf numFmtId="0" fontId="182" fillId="0" borderId="0"/>
    <xf numFmtId="9" fontId="68" fillId="0" borderId="0" applyFont="0" applyFill="0" applyBorder="0" applyAlignment="0" applyProtection="0"/>
    <xf numFmtId="0" fontId="182" fillId="0" borderId="0"/>
    <xf numFmtId="9" fontId="68" fillId="0" borderId="0" applyFont="0" applyFill="0" applyBorder="0" applyAlignment="0" applyProtection="0"/>
    <xf numFmtId="0" fontId="182" fillId="0" borderId="0"/>
    <xf numFmtId="9" fontId="68" fillId="0" borderId="0" applyFont="0" applyFill="0" applyBorder="0" applyAlignment="0" applyProtection="0"/>
    <xf numFmtId="0" fontId="182" fillId="0" borderId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3" fontId="130" fillId="0" borderId="0"/>
    <xf numFmtId="0" fontId="19" fillId="0" borderId="0"/>
    <xf numFmtId="3" fontId="130" fillId="0" borderId="0"/>
    <xf numFmtId="0" fontId="19" fillId="0" borderId="0"/>
    <xf numFmtId="0" fontId="19" fillId="0" borderId="0"/>
    <xf numFmtId="0" fontId="19" fillId="0" borderId="0"/>
    <xf numFmtId="3" fontId="130" fillId="0" borderId="0"/>
    <xf numFmtId="3" fontId="130" fillId="0" borderId="0"/>
    <xf numFmtId="3" fontId="130" fillId="0" borderId="0"/>
    <xf numFmtId="3" fontId="130" fillId="0" borderId="0"/>
    <xf numFmtId="3" fontId="130" fillId="0" borderId="0"/>
    <xf numFmtId="0" fontId="19" fillId="0" borderId="0"/>
    <xf numFmtId="3" fontId="130" fillId="0" borderId="0"/>
    <xf numFmtId="0" fontId="19" fillId="0" borderId="0"/>
    <xf numFmtId="0" fontId="19" fillId="0" borderId="0"/>
    <xf numFmtId="3" fontId="130" fillId="0" borderId="0"/>
    <xf numFmtId="3" fontId="130" fillId="0" borderId="0"/>
    <xf numFmtId="0" fontId="19" fillId="0" borderId="0"/>
    <xf numFmtId="194" fontId="130" fillId="0" borderId="0"/>
    <xf numFmtId="233" fontId="19" fillId="0" borderId="0" applyFont="0" applyFill="0" applyBorder="0" applyAlignment="0" applyProtection="0"/>
    <xf numFmtId="0" fontId="193" fillId="0" borderId="0" applyNumberFormat="0" applyFill="0" applyBorder="0" applyAlignment="0" applyProtection="0">
      <alignment vertical="top"/>
      <protection locked="0"/>
    </xf>
    <xf numFmtId="0" fontId="194" fillId="0" borderId="0" applyNumberFormat="0" applyFill="0" applyBorder="0" applyAlignment="0" applyProtection="0"/>
    <xf numFmtId="0" fontId="18" fillId="0" borderId="0"/>
    <xf numFmtId="3" fontId="130" fillId="0" borderId="0"/>
    <xf numFmtId="168" fontId="19" fillId="0" borderId="0" applyFont="0" applyFill="0" applyBorder="0" applyAlignment="0" applyProtection="0"/>
    <xf numFmtId="49" fontId="130" fillId="0" borderId="0">
      <alignment horizontal="right"/>
    </xf>
    <xf numFmtId="3" fontId="41" fillId="0" borderId="0"/>
    <xf numFmtId="3" fontId="130" fillId="0" borderId="0"/>
    <xf numFmtId="3" fontId="60" fillId="0" borderId="0" applyNumberFormat="0"/>
    <xf numFmtId="3" fontId="195" fillId="0" borderId="0"/>
    <xf numFmtId="0" fontId="60" fillId="0" borderId="6">
      <alignment horizontal="right" wrapText="1"/>
    </xf>
    <xf numFmtId="0" fontId="60" fillId="0" borderId="6">
      <alignment horizontal="right" wrapText="1"/>
    </xf>
    <xf numFmtId="3" fontId="60" fillId="0" borderId="2" applyNumberFormat="0"/>
    <xf numFmtId="168" fontId="196" fillId="0" borderId="0" applyFont="0" applyFill="0" applyBorder="0" applyAlignment="0" applyProtection="0"/>
    <xf numFmtId="42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0" fontId="197" fillId="0" borderId="0" applyFont="0" applyFill="0" applyBorder="0" applyAlignment="0" applyProtection="0">
      <alignment vertical="center"/>
    </xf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7" fillId="0" borderId="0"/>
    <xf numFmtId="0" fontId="199" fillId="0" borderId="0" applyNumberFormat="0" applyFill="0" applyBorder="0" applyAlignment="0" applyProtection="0"/>
    <xf numFmtId="0" fontId="200" fillId="0" borderId="33" applyNumberFormat="0" applyFill="0" applyAlignment="0" applyProtection="0"/>
    <xf numFmtId="0" fontId="201" fillId="0" borderId="34" applyNumberFormat="0" applyFill="0" applyAlignment="0" applyProtection="0"/>
    <xf numFmtId="0" fontId="202" fillId="0" borderId="35" applyNumberFormat="0" applyFill="0" applyAlignment="0" applyProtection="0"/>
    <xf numFmtId="0" fontId="202" fillId="0" borderId="0" applyNumberFormat="0" applyFill="0" applyBorder="0" applyAlignment="0" applyProtection="0"/>
    <xf numFmtId="0" fontId="203" fillId="33" borderId="0" applyNumberFormat="0" applyBorder="0" applyAlignment="0" applyProtection="0"/>
    <xf numFmtId="0" fontId="204" fillId="34" borderId="0" applyNumberFormat="0" applyBorder="0" applyAlignment="0" applyProtection="0"/>
    <xf numFmtId="0" fontId="205" fillId="35" borderId="0" applyNumberFormat="0" applyBorder="0" applyAlignment="0" applyProtection="0"/>
    <xf numFmtId="0" fontId="206" fillId="36" borderId="36" applyNumberFormat="0" applyAlignment="0" applyProtection="0"/>
    <xf numFmtId="0" fontId="207" fillId="37" borderId="37" applyNumberFormat="0" applyAlignment="0" applyProtection="0"/>
    <xf numFmtId="0" fontId="208" fillId="37" borderId="36" applyNumberFormat="0" applyAlignment="0" applyProtection="0"/>
    <xf numFmtId="0" fontId="209" fillId="0" borderId="38" applyNumberFormat="0" applyFill="0" applyAlignment="0" applyProtection="0"/>
    <xf numFmtId="0" fontId="210" fillId="38" borderId="39" applyNumberFormat="0" applyAlignment="0" applyProtection="0"/>
    <xf numFmtId="0" fontId="211" fillId="0" borderId="0" applyNumberFormat="0" applyFill="0" applyBorder="0" applyAlignment="0" applyProtection="0"/>
    <xf numFmtId="0" fontId="17" fillId="39" borderId="40" applyNumberFormat="0" applyFont="0" applyAlignment="0" applyProtection="0"/>
    <xf numFmtId="0" fontId="212" fillId="0" borderId="0" applyNumberFormat="0" applyFill="0" applyBorder="0" applyAlignment="0" applyProtection="0"/>
    <xf numFmtId="0" fontId="213" fillId="0" borderId="41" applyNumberFormat="0" applyFill="0" applyAlignment="0" applyProtection="0"/>
    <xf numFmtId="0" fontId="214" fillId="40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214" fillId="43" borderId="0" applyNumberFormat="0" applyBorder="0" applyAlignment="0" applyProtection="0"/>
    <xf numFmtId="0" fontId="214" fillId="44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214" fillId="47" borderId="0" applyNumberFormat="0" applyBorder="0" applyAlignment="0" applyProtection="0"/>
    <xf numFmtId="0" fontId="214" fillId="48" borderId="0" applyNumberFormat="0" applyBorder="0" applyAlignment="0" applyProtection="0"/>
    <xf numFmtId="0" fontId="17" fillId="49" borderId="0" applyNumberFormat="0" applyBorder="0" applyAlignment="0" applyProtection="0"/>
    <xf numFmtId="0" fontId="17" fillId="50" borderId="0" applyNumberFormat="0" applyBorder="0" applyAlignment="0" applyProtection="0"/>
    <xf numFmtId="0" fontId="214" fillId="51" borderId="0" applyNumberFormat="0" applyBorder="0" applyAlignment="0" applyProtection="0"/>
    <xf numFmtId="0" fontId="214" fillId="52" borderId="0" applyNumberFormat="0" applyBorder="0" applyAlignment="0" applyProtection="0"/>
    <xf numFmtId="0" fontId="17" fillId="53" borderId="0" applyNumberFormat="0" applyBorder="0" applyAlignment="0" applyProtection="0"/>
    <xf numFmtId="0" fontId="17" fillId="54" borderId="0" applyNumberFormat="0" applyBorder="0" applyAlignment="0" applyProtection="0"/>
    <xf numFmtId="0" fontId="214" fillId="55" borderId="0" applyNumberFormat="0" applyBorder="0" applyAlignment="0" applyProtection="0"/>
    <xf numFmtId="0" fontId="214" fillId="56" borderId="0" applyNumberFormat="0" applyBorder="0" applyAlignment="0" applyProtection="0"/>
    <xf numFmtId="0" fontId="17" fillId="57" borderId="0" applyNumberFormat="0" applyBorder="0" applyAlignment="0" applyProtection="0"/>
    <xf numFmtId="0" fontId="17" fillId="58" borderId="0" applyNumberFormat="0" applyBorder="0" applyAlignment="0" applyProtection="0"/>
    <xf numFmtId="0" fontId="214" fillId="59" borderId="0" applyNumberFormat="0" applyBorder="0" applyAlignment="0" applyProtection="0"/>
    <xf numFmtId="0" fontId="214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214" fillId="63" borderId="0" applyNumberFormat="0" applyBorder="0" applyAlignment="0" applyProtection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28" fillId="0" borderId="0" applyNumberFormat="0" applyFill="0" applyBorder="0" applyAlignment="0" applyProtection="0">
      <alignment vertical="top"/>
      <protection locked="0"/>
    </xf>
    <xf numFmtId="0" fontId="206" fillId="36" borderId="36" applyNumberFormat="0" applyAlignment="0" applyProtection="0"/>
    <xf numFmtId="3" fontId="130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194" fontId="130" fillId="0" borderId="0"/>
    <xf numFmtId="0" fontId="17" fillId="0" borderId="0"/>
    <xf numFmtId="3" fontId="130" fillId="0" borderId="0" applyBorder="0"/>
    <xf numFmtId="43" fontId="17" fillId="0" borderId="0" applyFont="0" applyFill="0" applyBorder="0" applyAlignment="0" applyProtection="0"/>
    <xf numFmtId="0" fontId="206" fillId="36" borderId="36" applyNumberFormat="0" applyAlignment="0" applyProtection="0"/>
    <xf numFmtId="0" fontId="17" fillId="0" borderId="0"/>
    <xf numFmtId="9" fontId="17" fillId="0" borderId="0" applyFont="0" applyFill="0" applyBorder="0" applyAlignment="0" applyProtection="0"/>
    <xf numFmtId="0" fontId="17" fillId="0" borderId="0"/>
    <xf numFmtId="3" fontId="130" fillId="0" borderId="0"/>
    <xf numFmtId="0" fontId="19" fillId="0" borderId="0"/>
    <xf numFmtId="0" fontId="17" fillId="0" borderId="0"/>
    <xf numFmtId="0" fontId="17" fillId="0" borderId="0"/>
    <xf numFmtId="0" fontId="17" fillId="0" borderId="0"/>
    <xf numFmtId="0" fontId="19" fillId="0" borderId="0"/>
    <xf numFmtId="0" fontId="19" fillId="0" borderId="0"/>
    <xf numFmtId="0" fontId="68" fillId="0" borderId="0" applyAlignment="0"/>
    <xf numFmtId="0" fontId="216" fillId="0" borderId="0" applyAlignment="0"/>
    <xf numFmtId="0" fontId="216" fillId="0" borderId="0" applyAlignment="0"/>
    <xf numFmtId="0" fontId="216" fillId="0" borderId="0" applyAlignment="0"/>
    <xf numFmtId="0" fontId="216" fillId="0" borderId="0" applyAlignment="0"/>
    <xf numFmtId="0" fontId="217" fillId="20" borderId="0" applyAlignment="0"/>
    <xf numFmtId="238" fontId="17" fillId="0" borderId="0" applyFont="0" applyFill="0" applyBorder="0" applyAlignment="0" applyProtection="0"/>
    <xf numFmtId="0" fontId="193" fillId="0" borderId="0" applyNumberFormat="0" applyFill="0" applyBorder="0" applyAlignment="0" applyProtection="0">
      <alignment vertical="top"/>
      <protection locked="0"/>
    </xf>
    <xf numFmtId="0" fontId="218" fillId="0" borderId="0" applyAlignment="0"/>
    <xf numFmtId="0" fontId="219" fillId="64" borderId="0" applyAlignment="0"/>
    <xf numFmtId="0" fontId="63" fillId="65" borderId="0" applyAlignment="0"/>
    <xf numFmtId="0" fontId="220" fillId="0" borderId="0" applyAlignment="0"/>
    <xf numFmtId="0" fontId="19" fillId="0" borderId="0"/>
    <xf numFmtId="0" fontId="19" fillId="0" borderId="0"/>
    <xf numFmtId="0" fontId="19" fillId="0" borderId="0"/>
    <xf numFmtId="0" fontId="19" fillId="0" borderId="0"/>
    <xf numFmtId="0" fontId="221" fillId="66" borderId="0" applyAlignment="0"/>
    <xf numFmtId="2" fontId="222" fillId="64" borderId="42" applyProtection="0"/>
    <xf numFmtId="2" fontId="223" fillId="67" borderId="42" applyProtection="0"/>
    <xf numFmtId="2" fontId="223" fillId="65" borderId="42" applyProtection="0"/>
    <xf numFmtId="2" fontId="223" fillId="20" borderId="42" applyProtection="0"/>
    <xf numFmtId="0" fontId="224" fillId="0" borderId="0" applyAlignment="0"/>
    <xf numFmtId="0" fontId="225" fillId="0" borderId="0" applyAlignment="0"/>
    <xf numFmtId="0" fontId="226" fillId="0" borderId="0" applyAlignment="0"/>
    <xf numFmtId="0" fontId="227" fillId="0" borderId="0" applyAlignment="0"/>
    <xf numFmtId="0" fontId="228" fillId="0" borderId="0" applyAlignment="0"/>
    <xf numFmtId="0" fontId="229" fillId="0" borderId="0" applyAlignment="0"/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>
      <alignment wrapText="1"/>
    </xf>
    <xf numFmtId="0" fontId="226" fillId="0" borderId="0" applyAlignment="0"/>
    <xf numFmtId="43" fontId="17" fillId="0" borderId="0" applyFont="0" applyFill="0" applyBorder="0" applyAlignment="0" applyProtection="0"/>
    <xf numFmtId="0" fontId="226" fillId="0" borderId="0" applyAlignment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0" fontId="226" fillId="0" borderId="0" applyAlignment="0"/>
    <xf numFmtId="0" fontId="226" fillId="0" borderId="0" applyAlignment="0"/>
    <xf numFmtId="43" fontId="17" fillId="0" borderId="0" applyFont="0" applyFill="0" applyBorder="0" applyAlignment="0" applyProtection="0"/>
    <xf numFmtId="0" fontId="206" fillId="36" borderId="36" applyNumberFormat="0" applyAlignment="0" applyProtection="0"/>
    <xf numFmtId="0" fontId="206" fillId="36" borderId="36" applyNumberFormat="0" applyAlignment="0" applyProtection="0"/>
    <xf numFmtId="0" fontId="16" fillId="0" borderId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4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19" fillId="0" borderId="0"/>
    <xf numFmtId="0" fontId="61" fillId="0" borderId="0"/>
    <xf numFmtId="0" fontId="61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230" fillId="0" borderId="0"/>
    <xf numFmtId="43" fontId="19" fillId="0" borderId="0" applyFont="0" applyFill="0" applyBorder="0" applyAlignment="0" applyProtection="0"/>
    <xf numFmtId="0" fontId="230" fillId="0" borderId="0"/>
    <xf numFmtId="0" fontId="230" fillId="0" borderId="0"/>
    <xf numFmtId="43" fontId="19" fillId="0" borderId="0" applyFont="0" applyFill="0" applyBorder="0" applyAlignment="0" applyProtection="0"/>
    <xf numFmtId="0" fontId="230" fillId="0" borderId="0"/>
    <xf numFmtId="0" fontId="230" fillId="0" borderId="0"/>
    <xf numFmtId="43" fontId="19" fillId="0" borderId="0" applyFont="0" applyFill="0" applyBorder="0" applyAlignment="0" applyProtection="0"/>
    <xf numFmtId="0" fontId="238" fillId="0" borderId="0"/>
    <xf numFmtId="0" fontId="239" fillId="0" borderId="0"/>
    <xf numFmtId="0" fontId="240" fillId="0" borderId="0"/>
    <xf numFmtId="0" fontId="230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9" fontId="230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233" fontId="41" fillId="30" borderId="0">
      <alignment horizontal="center"/>
    </xf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79" fontId="230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4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3" fontId="230" fillId="0" borderId="0" applyFont="0" applyFill="0" applyBorder="0" applyAlignment="0" applyProtection="0"/>
    <xf numFmtId="43" fontId="230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7" fillId="0" borderId="0"/>
    <xf numFmtId="0" fontId="19" fillId="0" borderId="0" applyNumberFormat="0" applyFon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19" fillId="0" borderId="0"/>
    <xf numFmtId="44" fontId="230" fillId="0" borderId="0" applyFont="0" applyFill="0" applyBorder="0" applyAlignment="0" applyProtection="0"/>
    <xf numFmtId="0" fontId="85" fillId="5" borderId="0" applyNumberFormat="0" applyBorder="0" applyAlignment="0" applyProtection="0"/>
    <xf numFmtId="0" fontId="85" fillId="14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86" fillId="0" borderId="43" applyNumberFormat="0" applyFill="0" applyAlignment="0" applyProtection="0"/>
    <xf numFmtId="0" fontId="86" fillId="0" borderId="10" applyNumberFormat="0" applyFill="0" applyAlignment="0" applyProtection="0"/>
    <xf numFmtId="0" fontId="87" fillId="0" borderId="44" applyNumberFormat="0" applyFill="0" applyAlignment="0" applyProtection="0"/>
    <xf numFmtId="49" fontId="230" fillId="0" borderId="0" applyFill="0" applyBorder="0">
      <alignment horizontal="right" vertical="center"/>
    </xf>
    <xf numFmtId="0" fontId="87" fillId="0" borderId="11" applyNumberFormat="0" applyFill="0" applyAlignment="0" applyProtection="0"/>
    <xf numFmtId="49" fontId="230" fillId="0" borderId="0" applyFill="0" applyBorder="0">
      <alignment horizontal="right" vertical="center"/>
    </xf>
    <xf numFmtId="0" fontId="88" fillId="0" borderId="45" applyNumberFormat="0" applyFill="0" applyAlignment="0" applyProtection="0"/>
    <xf numFmtId="0" fontId="88" fillId="0" borderId="12" applyNumberFormat="0" applyFill="0" applyAlignment="0" applyProtection="0"/>
    <xf numFmtId="0" fontId="19" fillId="0" borderId="0"/>
    <xf numFmtId="0" fontId="19" fillId="0" borderId="0"/>
    <xf numFmtId="0" fontId="46" fillId="0" borderId="0"/>
    <xf numFmtId="0" fontId="19" fillId="0" borderId="0" applyNumberFormat="0" applyFont="0" applyFill="0" applyBorder="0" applyAlignment="0" applyProtection="0"/>
    <xf numFmtId="0" fontId="46" fillId="0" borderId="0"/>
    <xf numFmtId="0" fontId="46" fillId="0" borderId="0"/>
    <xf numFmtId="0" fontId="46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230" fillId="0" borderId="0"/>
    <xf numFmtId="0" fontId="46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46" fillId="0" borderId="0"/>
    <xf numFmtId="0" fontId="46" fillId="0" borderId="0"/>
    <xf numFmtId="0" fontId="46" fillId="0" borderId="0"/>
    <xf numFmtId="0" fontId="95" fillId="0" borderId="46" applyNumberFormat="0" applyFill="0" applyAlignment="0" applyProtection="0"/>
    <xf numFmtId="0" fontId="90" fillId="0" borderId="13" applyNumberFormat="0" applyFill="0" applyAlignment="0" applyProtection="0"/>
    <xf numFmtId="0" fontId="19" fillId="0" borderId="0"/>
    <xf numFmtId="0" fontId="230" fillId="4" borderId="14" applyNumberFormat="0" applyFont="0" applyAlignment="0" applyProtection="0"/>
    <xf numFmtId="0" fontId="19" fillId="0" borderId="0"/>
    <xf numFmtId="0" fontId="233" fillId="4" borderId="0" applyNumberFormat="0" applyBorder="0" applyAlignment="0" applyProtection="0"/>
    <xf numFmtId="0" fontId="91" fillId="4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9" fontId="230" fillId="0" borderId="0" applyFont="0" applyFill="0" applyBorder="0" applyAlignment="0" applyProtection="0"/>
    <xf numFmtId="10" fontId="230" fillId="0" borderId="0" applyFont="0" applyFill="0" applyBorder="0" applyAlignment="0" applyProtection="0"/>
    <xf numFmtId="0" fontId="14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4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230" fillId="0" borderId="0">
      <alignment vertical="top"/>
    </xf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230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1" fontId="230" fillId="0" borderId="0">
      <alignment horizontal="center"/>
    </xf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89" fillId="4" borderId="3" applyNumberFormat="0" applyAlignment="0" applyProtection="0"/>
    <xf numFmtId="43" fontId="19" fillId="0" borderId="0" applyFont="0" applyFill="0" applyBorder="0" applyAlignment="0" applyProtection="0"/>
    <xf numFmtId="0" fontId="89" fillId="4" borderId="3" applyNumberFormat="0" applyAlignment="0" applyProtection="0"/>
    <xf numFmtId="43" fontId="19" fillId="0" borderId="0" applyFont="0" applyFill="0" applyBorder="0" applyAlignment="0" applyProtection="0"/>
    <xf numFmtId="0" fontId="89" fillId="4" borderId="3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89" fillId="4" borderId="3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10" fontId="41" fillId="30" borderId="8" applyNumberFormat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236" fillId="0" borderId="0" applyNumberFormat="0" applyFill="0" applyBorder="0" applyAlignment="0" applyProtection="0"/>
    <xf numFmtId="0" fontId="231" fillId="0" borderId="0">
      <alignment wrapText="1"/>
    </xf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38" fontId="41" fillId="15" borderId="0" applyNumberFormat="0" applyBorder="0" applyAlignment="0" applyProtection="0"/>
    <xf numFmtId="0" fontId="173" fillId="0" borderId="0"/>
    <xf numFmtId="0" fontId="173" fillId="0" borderId="0"/>
    <xf numFmtId="0" fontId="173" fillId="0" borderId="0"/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3" fontId="19" fillId="0" borderId="0" applyFont="0" applyFill="0" applyBorder="0" applyAlignment="0" applyProtection="0"/>
    <xf numFmtId="49" fontId="19" fillId="0" borderId="0" applyFill="0" applyBorder="0">
      <alignment horizontal="right" vertical="center"/>
    </xf>
    <xf numFmtId="43" fontId="19" fillId="0" borderId="0" applyFont="0" applyFill="0" applyBorder="0" applyAlignment="0" applyProtection="0"/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9" fontId="19" fillId="0" borderId="0" applyFill="0" applyBorder="0">
      <alignment horizontal="right" vertical="center"/>
    </xf>
    <xf numFmtId="49" fontId="41" fillId="0" borderId="0" applyFill="0" applyBorder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238" fillId="28" borderId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237" fillId="0" borderId="0"/>
    <xf numFmtId="5" fontId="68" fillId="0" borderId="0" applyFont="0" applyFill="0" applyBorder="0" applyAlignment="0" applyProtection="0">
      <protection locked="0"/>
    </xf>
    <xf numFmtId="0" fontId="14" fillId="0" borderId="0"/>
    <xf numFmtId="0" fontId="14" fillId="0" borderId="0"/>
    <xf numFmtId="0" fontId="19" fillId="0" borderId="0"/>
    <xf numFmtId="0" fontId="19" fillId="0" borderId="0"/>
    <xf numFmtId="0" fontId="231" fillId="0" borderId="0"/>
    <xf numFmtId="43" fontId="230" fillId="0" borderId="0" applyFont="0" applyFill="0" applyBorder="0" applyAlignment="0" applyProtection="0"/>
    <xf numFmtId="0" fontId="234" fillId="0" borderId="0" applyNumberFormat="0" applyFill="0" applyBorder="0" applyAlignment="0" applyProtection="0"/>
    <xf numFmtId="0" fontId="82" fillId="12" borderId="3" applyNumberFormat="0" applyAlignment="0" applyProtection="0"/>
    <xf numFmtId="0" fontId="232" fillId="12" borderId="3" applyNumberFormat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81" fillId="11" borderId="0" applyNumberFormat="0" applyBorder="0" applyAlignment="0" applyProtection="0"/>
    <xf numFmtId="0" fontId="81" fillId="72" borderId="0" applyNumberFormat="0" applyBorder="0" applyAlignment="0" applyProtection="0"/>
    <xf numFmtId="0" fontId="80" fillId="3" borderId="0" applyNumberFormat="0" applyBorder="0" applyAlignment="0" applyProtection="0"/>
    <xf numFmtId="0" fontId="80" fillId="71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80" fillId="9" borderId="0" applyNumberFormat="0" applyBorder="0" applyAlignment="0" applyProtection="0"/>
    <xf numFmtId="0" fontId="80" fillId="69" borderId="0" applyNumberFormat="0" applyBorder="0" applyAlignment="0" applyProtection="0"/>
    <xf numFmtId="0" fontId="80" fillId="3" borderId="0" applyNumberFormat="0" applyBorder="0" applyAlignment="0" applyProtection="0"/>
    <xf numFmtId="0" fontId="80" fillId="68" borderId="0" applyNumberFormat="0" applyBorder="0" applyAlignment="0" applyProtection="0"/>
    <xf numFmtId="0" fontId="80" fillId="8" borderId="0" applyNumberFormat="0" applyBorder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80" fillId="70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80" fillId="4" borderId="0" applyNumberFormat="0" applyBorder="0" applyAlignment="0" applyProtection="0"/>
    <xf numFmtId="0" fontId="80" fillId="3" borderId="0" applyNumberFormat="0" applyBorder="0" applyAlignment="0" applyProtection="0"/>
    <xf numFmtId="0" fontId="80" fillId="8" borderId="0" applyNumberFormat="0" applyBorder="0" applyAlignment="0" applyProtection="0"/>
    <xf numFmtId="0" fontId="80" fillId="5" borderId="0" applyNumberFormat="0" applyBorder="0" applyAlignment="0" applyProtection="0"/>
    <xf numFmtId="9" fontId="230" fillId="0" borderId="0" applyFont="0" applyFill="0" applyBorder="0" applyAlignment="0" applyProtection="0"/>
    <xf numFmtId="0" fontId="80" fillId="6" borderId="0" applyNumberFormat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80" fillId="11" borderId="0" applyNumberFormat="0" applyBorder="0" applyAlignment="0" applyProtection="0"/>
    <xf numFmtId="0" fontId="80" fillId="9" borderId="0" applyNumberFormat="0" applyBorder="0" applyAlignment="0" applyProtection="0"/>
    <xf numFmtId="0" fontId="80" fillId="69" borderId="0" applyNumberFormat="0" applyBorder="0" applyAlignment="0" applyProtection="0"/>
    <xf numFmtId="43" fontId="19" fillId="0" borderId="0" applyFont="0" applyFill="0" applyBorder="0" applyAlignment="0" applyProtection="0"/>
    <xf numFmtId="0" fontId="80" fillId="3" borderId="0" applyNumberFormat="0" applyBorder="0" applyAlignment="0" applyProtection="0"/>
    <xf numFmtId="0" fontId="80" fillId="68" borderId="0" applyNumberFormat="0" applyBorder="0" applyAlignment="0" applyProtection="0"/>
    <xf numFmtId="43" fontId="19" fillId="0" borderId="0" applyFont="0" applyFill="0" applyBorder="0" applyAlignment="0" applyProtection="0"/>
    <xf numFmtId="0" fontId="80" fillId="8" borderId="0" applyNumberFormat="0" applyBorder="0" applyAlignment="0" applyProtection="0"/>
    <xf numFmtId="0" fontId="80" fillId="5" borderId="0" applyNumberFormat="0" applyBorder="0" applyAlignment="0" applyProtection="0"/>
    <xf numFmtId="43" fontId="19" fillId="0" borderId="0" applyFont="0" applyFill="0" applyBorder="0" applyAlignment="0" applyProtection="0"/>
    <xf numFmtId="0" fontId="79" fillId="4" borderId="0" applyNumberFormat="0" applyBorder="0" applyAlignment="0" applyProtection="0"/>
    <xf numFmtId="0" fontId="79" fillId="9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79" fillId="7" borderId="0" applyNumberFormat="0" applyBorder="0" applyAlignment="0" applyProtection="0"/>
    <xf numFmtId="9" fontId="19" fillId="0" borderId="0" applyFont="0" applyFill="0" applyBorder="0" applyAlignment="0" applyProtection="0"/>
    <xf numFmtId="0" fontId="79" fillId="5" borderId="0" applyNumberFormat="0" applyBorder="0" applyAlignment="0" applyProtection="0"/>
    <xf numFmtId="43" fontId="19" fillId="0" borderId="0" applyFont="0" applyFill="0" applyBorder="0" applyAlignment="0" applyProtection="0"/>
    <xf numFmtId="0" fontId="79" fillId="6" borderId="0" applyNumberFormat="0" applyBorder="0" applyAlignment="0" applyProtection="0"/>
    <xf numFmtId="0" fontId="79" fillId="11" borderId="0" applyNumberFormat="0" applyBorder="0" applyAlignment="0" applyProtection="0"/>
    <xf numFmtId="0" fontId="19" fillId="0" borderId="0" applyNumberFormat="0" applyFont="0" applyFill="0" applyBorder="0" applyAlignment="0" applyProtection="0"/>
    <xf numFmtId="9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79" fillId="6" borderId="0" applyNumberFormat="0" applyBorder="0" applyAlignment="0" applyProtection="0"/>
    <xf numFmtId="0" fontId="79" fillId="5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79" fillId="4" borderId="0" applyNumberFormat="0" applyBorder="0" applyAlignment="0" applyProtection="0"/>
    <xf numFmtId="0" fontId="79" fillId="9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79" fillId="4" borderId="0" applyNumberFormat="0" applyBorder="0" applyAlignment="0" applyProtection="0"/>
    <xf numFmtId="0" fontId="79" fillId="9" borderId="0" applyNumberFormat="0" applyBorder="0" applyAlignment="0" applyProtection="0"/>
    <xf numFmtId="43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43" fontId="19" fillId="0" borderId="0" applyFont="0" applyFill="0" applyBorder="0" applyAlignment="0" applyProtection="0"/>
    <xf numFmtId="0" fontId="79" fillId="2" borderId="0" applyNumberFormat="0" applyBorder="0" applyAlignment="0" applyProtection="0"/>
    <xf numFmtId="9" fontId="19" fillId="0" borderId="0" applyFont="0" applyFill="0" applyBorder="0" applyAlignment="0" applyProtection="0"/>
    <xf numFmtId="0" fontId="79" fillId="7" borderId="0" applyNumberFormat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0" fontId="19" fillId="0" borderId="0"/>
    <xf numFmtId="0" fontId="1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16">
      <alignment horizontal="centerContinuous"/>
    </xf>
    <xf numFmtId="0" fontId="49" fillId="0" borderId="16">
      <alignment horizontal="centerContinuous"/>
    </xf>
    <xf numFmtId="0" fontId="49" fillId="0" borderId="16">
      <alignment horizontal="centerContinuous"/>
    </xf>
    <xf numFmtId="0" fontId="49" fillId="0" borderId="16">
      <alignment horizontal="centerContinuous"/>
    </xf>
    <xf numFmtId="0" fontId="230" fillId="0" borderId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43" fontId="230" fillId="0" borderId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9" borderId="14" applyNumberFormat="0" applyFont="0" applyAlignment="0" applyProtection="0"/>
    <xf numFmtId="0" fontId="240" fillId="0" borderId="0"/>
    <xf numFmtId="9" fontId="230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9" fontId="230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179" fontId="19" fillId="0" borderId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/>
    <xf numFmtId="0" fontId="19" fillId="0" borderId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235" fontId="41" fillId="0" borderId="0"/>
    <xf numFmtId="0" fontId="19" fillId="0" borderId="0"/>
    <xf numFmtId="0" fontId="186" fillId="0" borderId="0"/>
    <xf numFmtId="0" fontId="186" fillId="0" borderId="0"/>
    <xf numFmtId="0" fontId="186" fillId="0" borderId="0"/>
    <xf numFmtId="179" fontId="49" fillId="0" borderId="0"/>
    <xf numFmtId="179" fontId="49" fillId="0" borderId="0"/>
    <xf numFmtId="0" fontId="19" fillId="0" borderId="0"/>
    <xf numFmtId="0" fontId="49" fillId="0" borderId="0"/>
    <xf numFmtId="0" fontId="49" fillId="0" borderId="0"/>
    <xf numFmtId="0" fontId="19" fillId="0" borderId="0"/>
    <xf numFmtId="0" fontId="49" fillId="0" borderId="16">
      <alignment horizontal="centerContinuous"/>
    </xf>
    <xf numFmtId="0" fontId="49" fillId="0" borderId="16">
      <alignment horizontal="centerContinuous"/>
    </xf>
    <xf numFmtId="0" fontId="94" fillId="0" borderId="47" applyNumberFormat="0" applyFill="0" applyAlignment="0" applyProtection="0"/>
    <xf numFmtId="0" fontId="94" fillId="0" borderId="18" applyNumberFormat="0" applyFill="0" applyAlignment="0" applyProtection="0"/>
    <xf numFmtId="194" fontId="130" fillId="0" borderId="0"/>
    <xf numFmtId="0" fontId="19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30" fillId="0" borderId="0" applyFont="0" applyFill="0" applyBorder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9" fontId="230" fillId="0" borderId="0" applyFont="0" applyFill="0" applyBorder="0" applyAlignment="0" applyProtection="0"/>
    <xf numFmtId="0" fontId="47" fillId="0" borderId="0"/>
    <xf numFmtId="10" fontId="19" fillId="0" borderId="0" applyFont="0" applyFill="0" applyBorder="0" applyAlignment="0" applyProtection="0"/>
    <xf numFmtId="0" fontId="47" fillId="0" borderId="0"/>
    <xf numFmtId="9" fontId="19" fillId="0" borderId="0" applyFont="0" applyFill="0" applyBorder="0" applyAlignment="0" applyProtection="0"/>
    <xf numFmtId="0" fontId="79" fillId="4" borderId="0" applyNumberFormat="0" applyBorder="0" applyAlignment="0" applyProtection="0"/>
    <xf numFmtId="0" fontId="79" fillId="3" borderId="0" applyNumberFormat="0" applyBorder="0" applyAlignment="0" applyProtection="0"/>
    <xf numFmtId="9" fontId="19" fillId="0" borderId="0" applyFont="0" applyFill="0" applyBorder="0" applyAlignment="0" applyProtection="0"/>
    <xf numFmtId="0" fontId="79" fillId="5" borderId="0" applyNumberFormat="0" applyBorder="0" applyAlignment="0" applyProtection="0"/>
    <xf numFmtId="0" fontId="79" fillId="2" borderId="0" applyNumberFormat="0" applyBorder="0" applyAlignment="0" applyProtection="0"/>
    <xf numFmtId="0" fontId="79" fillId="3" borderId="0" applyNumberFormat="0" applyBorder="0" applyAlignment="0" applyProtection="0"/>
    <xf numFmtId="179" fontId="19" fillId="0" borderId="0"/>
    <xf numFmtId="179" fontId="19" fillId="0" borderId="0"/>
    <xf numFmtId="179" fontId="19" fillId="0" borderId="0"/>
    <xf numFmtId="179" fontId="19" fillId="0" borderId="0"/>
    <xf numFmtId="213" fontId="46" fillId="0" borderId="0"/>
    <xf numFmtId="213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10" fontId="46" fillId="0" borderId="0"/>
    <xf numFmtId="2" fontId="46" fillId="0" borderId="0"/>
    <xf numFmtId="0" fontId="46" fillId="0" borderId="0"/>
    <xf numFmtId="0" fontId="46" fillId="0" borderId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19" fillId="0" borderId="0"/>
    <xf numFmtId="9" fontId="68" fillId="0" borderId="0" applyFont="0" applyFill="0" applyBorder="0" applyAlignment="0" applyProtection="0"/>
    <xf numFmtId="9" fontId="19" fillId="0" borderId="0"/>
    <xf numFmtId="9" fontId="68" fillId="0" borderId="0" applyFont="0" applyFill="0" applyBorder="0" applyAlignment="0" applyProtection="0"/>
    <xf numFmtId="9" fontId="19" fillId="0" borderId="0"/>
    <xf numFmtId="9" fontId="19" fillId="0" borderId="0"/>
    <xf numFmtId="0" fontId="46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3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68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235" fillId="0" borderId="0"/>
    <xf numFmtId="0" fontId="235" fillId="0" borderId="0"/>
    <xf numFmtId="0" fontId="235" fillId="0" borderId="0"/>
    <xf numFmtId="0" fontId="235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1" fontId="19" fillId="0" borderId="0">
      <alignment horizontal="center"/>
    </xf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3" fontId="130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47" fillId="0" borderId="0">
      <alignment vertic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3" fillId="0" borderId="0"/>
    <xf numFmtId="0" fontId="13" fillId="39" borderId="40" applyNumberFormat="0" applyFont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9" borderId="0" applyNumberFormat="0" applyBorder="0" applyAlignment="0" applyProtection="0"/>
    <xf numFmtId="0" fontId="13" fillId="50" borderId="0" applyNumberFormat="0" applyBorder="0" applyAlignment="0" applyProtection="0"/>
    <xf numFmtId="0" fontId="13" fillId="53" borderId="0" applyNumberFormat="0" applyBorder="0" applyAlignment="0" applyProtection="0"/>
    <xf numFmtId="0" fontId="13" fillId="54" borderId="0" applyNumberFormat="0" applyBorder="0" applyAlignment="0" applyProtection="0"/>
    <xf numFmtId="0" fontId="13" fillId="57" borderId="0" applyNumberFormat="0" applyBorder="0" applyAlignment="0" applyProtection="0"/>
    <xf numFmtId="0" fontId="13" fillId="58" borderId="0" applyNumberFormat="0" applyBorder="0" applyAlignment="0" applyProtection="0"/>
    <xf numFmtId="0" fontId="13" fillId="61" borderId="0" applyNumberFormat="0" applyBorder="0" applyAlignment="0" applyProtection="0"/>
    <xf numFmtId="0" fontId="13" fillId="62" borderId="0" applyNumberFormat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238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9" fillId="0" borderId="0" applyNumberFormat="0" applyFont="0" applyFill="0" applyBorder="0" applyAlignment="0" applyProtection="0"/>
    <xf numFmtId="0" fontId="13" fillId="0" borderId="0"/>
    <xf numFmtId="0" fontId="19" fillId="0" borderId="0"/>
    <xf numFmtId="0" fontId="13" fillId="0" borderId="0"/>
    <xf numFmtId="0" fontId="13" fillId="0" borderId="0"/>
    <xf numFmtId="0" fontId="19" fillId="0" borderId="0" applyNumberFormat="0" applyFont="0" applyFill="0" applyBorder="0" applyAlignment="0" applyProtection="0"/>
    <xf numFmtId="0" fontId="13" fillId="0" borderId="0"/>
    <xf numFmtId="0" fontId="13" fillId="0" borderId="0"/>
    <xf numFmtId="0" fontId="19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2" fillId="42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2" fillId="0" borderId="0"/>
    <xf numFmtId="0" fontId="12" fillId="50" borderId="0" applyNumberFormat="0" applyBorder="0" applyAlignment="0" applyProtection="0"/>
    <xf numFmtId="0" fontId="12" fillId="39" borderId="40" applyNumberFormat="0" applyFont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9" borderId="0" applyNumberFormat="0" applyBorder="0" applyAlignment="0" applyProtection="0"/>
    <xf numFmtId="0" fontId="12" fillId="50" borderId="0" applyNumberFormat="0" applyBorder="0" applyAlignment="0" applyProtection="0"/>
    <xf numFmtId="0" fontId="12" fillId="53" borderId="0" applyNumberFormat="0" applyBorder="0" applyAlignment="0" applyProtection="0"/>
    <xf numFmtId="0" fontId="12" fillId="54" borderId="0" applyNumberFormat="0" applyBorder="0" applyAlignment="0" applyProtection="0"/>
    <xf numFmtId="0" fontId="12" fillId="57" borderId="0" applyNumberFormat="0" applyBorder="0" applyAlignment="0" applyProtection="0"/>
    <xf numFmtId="0" fontId="12" fillId="58" borderId="0" applyNumberFormat="0" applyBorder="0" applyAlignment="0" applyProtection="0"/>
    <xf numFmtId="0" fontId="12" fillId="61" borderId="0" applyNumberFormat="0" applyBorder="0" applyAlignment="0" applyProtection="0"/>
    <xf numFmtId="0" fontId="12" fillId="62" borderId="0" applyNumberFormat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 applyNumberFormat="0" applyFont="0" applyFill="0" applyBorder="0" applyAlignment="0" applyProtection="0"/>
    <xf numFmtId="23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46" borderId="0" applyNumberFormat="0" applyBorder="0" applyAlignment="0" applyProtection="0"/>
    <xf numFmtId="0" fontId="12" fillId="41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49" borderId="0" applyNumberFormat="0" applyBorder="0" applyAlignment="0" applyProtection="0"/>
    <xf numFmtId="0" fontId="12" fillId="0" borderId="0"/>
    <xf numFmtId="0" fontId="12" fillId="0" borderId="0"/>
    <xf numFmtId="0" fontId="12" fillId="45" borderId="0" applyNumberFormat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39" borderId="40" applyNumberFormat="0" applyFont="0" applyAlignment="0" applyProtection="0"/>
    <xf numFmtId="0" fontId="12" fillId="53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2" fillId="54" borderId="0" applyNumberFormat="0" applyBorder="0" applyAlignment="0" applyProtection="0"/>
    <xf numFmtId="0" fontId="12" fillId="57" borderId="0" applyNumberFormat="0" applyBorder="0" applyAlignment="0" applyProtection="0"/>
    <xf numFmtId="0" fontId="12" fillId="58" borderId="0" applyNumberFormat="0" applyBorder="0" applyAlignment="0" applyProtection="0"/>
    <xf numFmtId="0" fontId="12" fillId="61" borderId="0" applyNumberFormat="0" applyBorder="0" applyAlignment="0" applyProtection="0"/>
    <xf numFmtId="0" fontId="12" fillId="62" borderId="0" applyNumberFormat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238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1" fillId="0" borderId="0"/>
    <xf numFmtId="0" fontId="11" fillId="39" borderId="40" applyNumberFormat="0" applyFont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3" borderId="0" applyNumberFormat="0" applyBorder="0" applyAlignment="0" applyProtection="0"/>
    <xf numFmtId="0" fontId="11" fillId="54" borderId="0" applyNumberFormat="0" applyBorder="0" applyAlignment="0" applyProtection="0"/>
    <xf numFmtId="0" fontId="11" fillId="57" borderId="0" applyNumberFormat="0" applyBorder="0" applyAlignment="0" applyProtection="0"/>
    <xf numFmtId="0" fontId="11" fillId="58" borderId="0" applyNumberFormat="0" applyBorder="0" applyAlignment="0" applyProtection="0"/>
    <xf numFmtId="0" fontId="11" fillId="61" borderId="0" applyNumberFormat="0" applyBorder="0" applyAlignment="0" applyProtection="0"/>
    <xf numFmtId="0" fontId="11" fillId="62" borderId="0" applyNumberFormat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23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39" borderId="40" applyNumberFormat="0" applyFont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3" borderId="0" applyNumberFormat="0" applyBorder="0" applyAlignment="0" applyProtection="0"/>
    <xf numFmtId="0" fontId="11" fillId="54" borderId="0" applyNumberFormat="0" applyBorder="0" applyAlignment="0" applyProtection="0"/>
    <xf numFmtId="0" fontId="11" fillId="57" borderId="0" applyNumberFormat="0" applyBorder="0" applyAlignment="0" applyProtection="0"/>
    <xf numFmtId="0" fontId="11" fillId="58" borderId="0" applyNumberFormat="0" applyBorder="0" applyAlignment="0" applyProtection="0"/>
    <xf numFmtId="0" fontId="11" fillId="61" borderId="0" applyNumberFormat="0" applyBorder="0" applyAlignment="0" applyProtection="0"/>
    <xf numFmtId="0" fontId="11" fillId="62" borderId="0" applyNumberFormat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23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42" borderId="0" applyNumberFormat="0" applyBorder="0" applyAlignment="0" applyProtection="0"/>
    <xf numFmtId="0" fontId="11" fillId="0" borderId="0"/>
    <xf numFmtId="0" fontId="11" fillId="50" borderId="0" applyNumberFormat="0" applyBorder="0" applyAlignment="0" applyProtection="0"/>
    <xf numFmtId="0" fontId="11" fillId="39" borderId="40" applyNumberFormat="0" applyFont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53" borderId="0" applyNumberFormat="0" applyBorder="0" applyAlignment="0" applyProtection="0"/>
    <xf numFmtId="0" fontId="11" fillId="54" borderId="0" applyNumberFormat="0" applyBorder="0" applyAlignment="0" applyProtection="0"/>
    <xf numFmtId="0" fontId="11" fillId="57" borderId="0" applyNumberFormat="0" applyBorder="0" applyAlignment="0" applyProtection="0"/>
    <xf numFmtId="0" fontId="11" fillId="58" borderId="0" applyNumberFormat="0" applyBorder="0" applyAlignment="0" applyProtection="0"/>
    <xf numFmtId="0" fontId="11" fillId="61" borderId="0" applyNumberFormat="0" applyBorder="0" applyAlignment="0" applyProtection="0"/>
    <xf numFmtId="0" fontId="11" fillId="62" borderId="0" applyNumberFormat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23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46" borderId="0" applyNumberFormat="0" applyBorder="0" applyAlignment="0" applyProtection="0"/>
    <xf numFmtId="0" fontId="11" fillId="41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49" borderId="0" applyNumberFormat="0" applyBorder="0" applyAlignment="0" applyProtection="0"/>
    <xf numFmtId="0" fontId="11" fillId="0" borderId="0"/>
    <xf numFmtId="0" fontId="11" fillId="0" borderId="0"/>
    <xf numFmtId="0" fontId="11" fillId="45" borderId="0" applyNumberFormat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39" borderId="40" applyNumberFormat="0" applyFont="0" applyAlignment="0" applyProtection="0"/>
    <xf numFmtId="0" fontId="11" fillId="53" borderId="0" applyNumberFormat="0" applyBorder="0" applyAlignment="0" applyProtection="0"/>
    <xf numFmtId="0" fontId="11" fillId="54" borderId="0" applyNumberFormat="0" applyBorder="0" applyAlignment="0" applyProtection="0"/>
    <xf numFmtId="0" fontId="11" fillId="57" borderId="0" applyNumberFormat="0" applyBorder="0" applyAlignment="0" applyProtection="0"/>
    <xf numFmtId="0" fontId="11" fillId="58" borderId="0" applyNumberFormat="0" applyBorder="0" applyAlignment="0" applyProtection="0"/>
    <xf numFmtId="0" fontId="11" fillId="61" borderId="0" applyNumberFormat="0" applyBorder="0" applyAlignment="0" applyProtection="0"/>
    <xf numFmtId="0" fontId="11" fillId="62" borderId="0" applyNumberFormat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238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0" fillId="0" borderId="0" applyNumberFormat="0" applyFont="0" applyFill="0" applyBorder="0" applyAlignment="0" applyProtection="0"/>
    <xf numFmtId="0" fontId="20" fillId="0" borderId="0"/>
    <xf numFmtId="0" fontId="19" fillId="0" borderId="0"/>
    <xf numFmtId="0" fontId="19" fillId="0" borderId="0"/>
    <xf numFmtId="0" fontId="20" fillId="0" borderId="0" applyNumberFormat="0" applyFont="0" applyFill="0" applyBorder="0" applyAlignment="0" applyProtection="0"/>
    <xf numFmtId="0" fontId="19" fillId="0" borderId="0"/>
    <xf numFmtId="3" fontId="13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Fill="0" applyAlignment="0">
      <protection locked="0"/>
    </xf>
    <xf numFmtId="0" fontId="19" fillId="0" borderId="0"/>
    <xf numFmtId="0" fontId="19" fillId="0" borderId="0"/>
    <xf numFmtId="0" fontId="11" fillId="73" borderId="0" applyNumberFormat="0" applyBorder="0" applyAlignment="0" applyProtection="0"/>
    <xf numFmtId="0" fontId="11" fillId="73" borderId="0" applyNumberFormat="0" applyBorder="0" applyAlignment="0" applyProtection="0"/>
    <xf numFmtId="0" fontId="11" fillId="73" borderId="0" applyNumberFormat="0" applyBorder="0" applyAlignment="0" applyProtection="0"/>
    <xf numFmtId="0" fontId="11" fillId="73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9" borderId="0" applyNumberFormat="0" applyBorder="0" applyAlignment="0" applyProtection="0"/>
    <xf numFmtId="0" fontId="11" fillId="49" borderId="0" applyNumberFormat="0" applyBorder="0" applyAlignment="0" applyProtection="0"/>
    <xf numFmtId="0" fontId="11" fillId="49" borderId="0" applyNumberFormat="0" applyBorder="0" applyAlignment="0" applyProtection="0"/>
    <xf numFmtId="0" fontId="11" fillId="49" borderId="0" applyNumberFormat="0" applyBorder="0" applyAlignment="0" applyProtection="0"/>
    <xf numFmtId="0" fontId="11" fillId="74" borderId="0" applyNumberFormat="0" applyBorder="0" applyAlignment="0" applyProtection="0"/>
    <xf numFmtId="0" fontId="11" fillId="74" borderId="0" applyNumberFormat="0" applyBorder="0" applyAlignment="0" applyProtection="0"/>
    <xf numFmtId="0" fontId="11" fillId="74" borderId="0" applyNumberFormat="0" applyBorder="0" applyAlignment="0" applyProtection="0"/>
    <xf numFmtId="0" fontId="11" fillId="74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61" borderId="0" applyNumberFormat="0" applyBorder="0" applyAlignment="0" applyProtection="0"/>
    <xf numFmtId="0" fontId="11" fillId="61" borderId="0" applyNumberFormat="0" applyBorder="0" applyAlignment="0" applyProtection="0"/>
    <xf numFmtId="0" fontId="11" fillId="61" borderId="0" applyNumberFormat="0" applyBorder="0" applyAlignment="0" applyProtection="0"/>
    <xf numFmtId="0" fontId="11" fillId="61" borderId="0" applyNumberFormat="0" applyBorder="0" applyAlignment="0" applyProtection="0"/>
    <xf numFmtId="0" fontId="19" fillId="0" borderId="0"/>
    <xf numFmtId="0" fontId="19" fillId="0" borderId="0"/>
    <xf numFmtId="0" fontId="11" fillId="75" borderId="0" applyNumberFormat="0" applyBorder="0" applyAlignment="0" applyProtection="0"/>
    <xf numFmtId="0" fontId="11" fillId="75" borderId="0" applyNumberFormat="0" applyBorder="0" applyAlignment="0" applyProtection="0"/>
    <xf numFmtId="0" fontId="11" fillId="75" borderId="0" applyNumberFormat="0" applyBorder="0" applyAlignment="0" applyProtection="0"/>
    <xf numFmtId="0" fontId="11" fillId="75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74" borderId="0" applyNumberFormat="0" applyBorder="0" applyAlignment="0" applyProtection="0"/>
    <xf numFmtId="0" fontId="11" fillId="74" borderId="0" applyNumberFormat="0" applyBorder="0" applyAlignment="0" applyProtection="0"/>
    <xf numFmtId="0" fontId="11" fillId="74" borderId="0" applyNumberFormat="0" applyBorder="0" applyAlignment="0" applyProtection="0"/>
    <xf numFmtId="0" fontId="11" fillId="74" borderId="0" applyNumberFormat="0" applyBorder="0" applyAlignment="0" applyProtection="0"/>
    <xf numFmtId="0" fontId="11" fillId="58" borderId="0" applyNumberFormat="0" applyBorder="0" applyAlignment="0" applyProtection="0"/>
    <xf numFmtId="0" fontId="11" fillId="58" borderId="0" applyNumberFormat="0" applyBorder="0" applyAlignment="0" applyProtection="0"/>
    <xf numFmtId="0" fontId="11" fillId="58" borderId="0" applyNumberFormat="0" applyBorder="0" applyAlignment="0" applyProtection="0"/>
    <xf numFmtId="0" fontId="11" fillId="58" borderId="0" applyNumberFormat="0" applyBorder="0" applyAlignment="0" applyProtection="0"/>
    <xf numFmtId="0" fontId="11" fillId="62" borderId="0" applyNumberFormat="0" applyBorder="0" applyAlignment="0" applyProtection="0"/>
    <xf numFmtId="0" fontId="11" fillId="62" borderId="0" applyNumberFormat="0" applyBorder="0" applyAlignment="0" applyProtection="0"/>
    <xf numFmtId="0" fontId="11" fillId="62" borderId="0" applyNumberFormat="0" applyBorder="0" applyAlignment="0" applyProtection="0"/>
    <xf numFmtId="0" fontId="11" fillId="62" borderId="0" applyNumberFormat="0" applyBorder="0" applyAlignment="0" applyProtection="0"/>
    <xf numFmtId="0" fontId="214" fillId="76" borderId="0" applyNumberFormat="0" applyBorder="0" applyAlignment="0" applyProtection="0"/>
    <xf numFmtId="0" fontId="214" fillId="4" borderId="0" applyNumberFormat="0" applyBorder="0" applyAlignment="0" applyProtection="0"/>
    <xf numFmtId="0" fontId="214" fillId="77" borderId="0" applyNumberFormat="0" applyBorder="0" applyAlignment="0" applyProtection="0"/>
    <xf numFmtId="0" fontId="214" fillId="73" borderId="0" applyNumberFormat="0" applyBorder="0" applyAlignment="0" applyProtection="0"/>
    <xf numFmtId="0" fontId="214" fillId="2" borderId="0" applyNumberFormat="0" applyBorder="0" applyAlignment="0" applyProtection="0"/>
    <xf numFmtId="0" fontId="214" fillId="3" borderId="0" applyNumberFormat="0" applyBorder="0" applyAlignment="0" applyProtection="0"/>
    <xf numFmtId="0" fontId="214" fillId="78" borderId="0" applyNumberFormat="0" applyBorder="0" applyAlignment="0" applyProtection="0"/>
    <xf numFmtId="0" fontId="214" fillId="79" borderId="0" applyNumberFormat="0" applyBorder="0" applyAlignment="0" applyProtection="0"/>
    <xf numFmtId="0" fontId="214" fillId="9" borderId="0" applyNumberFormat="0" applyBorder="0" applyAlignment="0" applyProtection="0"/>
    <xf numFmtId="0" fontId="214" fillId="73" borderId="0" applyNumberFormat="0" applyBorder="0" applyAlignment="0" applyProtection="0"/>
    <xf numFmtId="0" fontId="214" fillId="80" borderId="0" applyNumberFormat="0" applyBorder="0" applyAlignment="0" applyProtection="0"/>
    <xf numFmtId="0" fontId="214" fillId="3" borderId="0" applyNumberFormat="0" applyBorder="0" applyAlignment="0" applyProtection="0"/>
    <xf numFmtId="0" fontId="245" fillId="81" borderId="0" applyNumberFormat="0" applyBorder="0" applyAlignment="0" applyProtection="0"/>
    <xf numFmtId="0" fontId="246" fillId="12" borderId="36" applyNumberFormat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238" fontId="79" fillId="0" borderId="0" applyFont="0" applyFill="0" applyBorder="0" applyAlignment="0" applyProtection="0"/>
    <xf numFmtId="238" fontId="79" fillId="0" borderId="0" applyFont="0" applyFill="0" applyBorder="0" applyAlignment="0" applyProtection="0"/>
    <xf numFmtId="238" fontId="79" fillId="0" borderId="0" applyFont="0" applyFill="0" applyBorder="0" applyAlignment="0" applyProtection="0"/>
    <xf numFmtId="238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247" fillId="3" borderId="0" applyNumberFormat="0" applyBorder="0" applyAlignment="0" applyProtection="0"/>
    <xf numFmtId="0" fontId="200" fillId="0" borderId="48" applyNumberFormat="0" applyFill="0" applyAlignment="0" applyProtection="0"/>
    <xf numFmtId="0" fontId="201" fillId="0" borderId="49" applyNumberFormat="0" applyFill="0" applyAlignment="0" applyProtection="0"/>
    <xf numFmtId="0" fontId="202" fillId="0" borderId="50" applyNumberFormat="0" applyFill="0" applyAlignment="0" applyProtection="0"/>
    <xf numFmtId="0" fontId="243" fillId="0" borderId="0" applyNumberFormat="0" applyFill="0" applyBorder="0" applyAlignment="0" applyProtection="0">
      <alignment vertical="top"/>
      <protection locked="0"/>
    </xf>
    <xf numFmtId="0" fontId="193" fillId="0" borderId="0" applyNumberFormat="0" applyFill="0" applyBorder="0" applyAlignment="0" applyProtection="0">
      <alignment vertical="top"/>
      <protection locked="0"/>
    </xf>
    <xf numFmtId="0" fontId="236" fillId="0" borderId="0" applyNumberFormat="0" applyFill="0" applyBorder="0" applyAlignment="0" applyProtection="0"/>
    <xf numFmtId="0" fontId="248" fillId="36" borderId="36" applyNumberFormat="0" applyAlignment="0" applyProtection="0"/>
    <xf numFmtId="0" fontId="248" fillId="36" borderId="36" applyNumberFormat="0" applyAlignment="0" applyProtection="0"/>
    <xf numFmtId="0" fontId="248" fillId="36" borderId="36" applyNumberFormat="0" applyAlignment="0" applyProtection="0"/>
    <xf numFmtId="0" fontId="248" fillId="36" borderId="36" applyNumberFormat="0" applyAlignment="0" applyProtection="0"/>
    <xf numFmtId="0" fontId="248" fillId="36" borderId="36" applyNumberFormat="0" applyAlignment="0" applyProtection="0"/>
    <xf numFmtId="0" fontId="249" fillId="0" borderId="51" applyNumberFormat="0" applyFill="0" applyAlignment="0" applyProtection="0"/>
    <xf numFmtId="0" fontId="250" fillId="35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9" fillId="0" borderId="0" applyNumberFormat="0" applyFont="0" applyFill="0" applyBorder="0" applyAlignment="0" applyProtection="0"/>
    <xf numFmtId="0" fontId="79" fillId="0" borderId="0"/>
    <xf numFmtId="0" fontId="79" fillId="0" borderId="0"/>
    <xf numFmtId="0" fontId="79" fillId="0" borderId="0"/>
    <xf numFmtId="0" fontId="19" fillId="0" borderId="0"/>
    <xf numFmtId="0" fontId="19" fillId="0" borderId="0"/>
    <xf numFmtId="0" fontId="79" fillId="0" borderId="0"/>
    <xf numFmtId="0" fontId="19" fillId="0" borderId="0" applyNumberFormat="0" applyFont="0" applyFill="0" applyBorder="0" applyAlignment="0" applyProtection="0"/>
    <xf numFmtId="0" fontId="79" fillId="0" borderId="0"/>
    <xf numFmtId="0" fontId="19" fillId="0" borderId="0" applyNumberFormat="0" applyFont="0" applyFill="0" applyBorder="0" applyAlignment="0" applyProtection="0"/>
    <xf numFmtId="0" fontId="7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6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9" fillId="0" borderId="0"/>
    <xf numFmtId="0" fontId="24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79" fillId="4" borderId="40" applyNumberFormat="0" applyFont="0" applyAlignment="0" applyProtection="0"/>
    <xf numFmtId="0" fontId="79" fillId="4" borderId="40" applyNumberFormat="0" applyFont="0" applyAlignment="0" applyProtection="0"/>
    <xf numFmtId="0" fontId="79" fillId="4" borderId="40" applyNumberFormat="0" applyFont="0" applyAlignment="0" applyProtection="0"/>
    <xf numFmtId="0" fontId="79" fillId="4" borderId="40" applyNumberFormat="0" applyFont="0" applyAlignment="0" applyProtection="0"/>
    <xf numFmtId="0" fontId="207" fillId="12" borderId="37" applyNumberFormat="0" applyAlignment="0" applyProtection="0"/>
    <xf numFmtId="9" fontId="68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>
      <alignment vertical="top"/>
    </xf>
    <xf numFmtId="0" fontId="19" fillId="0" borderId="0">
      <alignment vertical="top"/>
    </xf>
    <xf numFmtId="0" fontId="130" fillId="0" borderId="0">
      <alignment vertical="top"/>
    </xf>
    <xf numFmtId="0" fontId="19" fillId="0" borderId="0">
      <alignment vertical="top"/>
    </xf>
    <xf numFmtId="0" fontId="242" fillId="0" borderId="0" applyNumberFormat="0" applyAlignment="0" applyProtection="0"/>
    <xf numFmtId="0" fontId="19" fillId="0" borderId="0">
      <alignment vertical="top"/>
    </xf>
    <xf numFmtId="0" fontId="19" fillId="0" borderId="0"/>
    <xf numFmtId="0" fontId="61" fillId="0" borderId="0"/>
    <xf numFmtId="0" fontId="61" fillId="0" borderId="0"/>
    <xf numFmtId="0" fontId="61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30" fillId="0" borderId="0">
      <alignment vertical="top"/>
    </xf>
    <xf numFmtId="0" fontId="19" fillId="0" borderId="0"/>
    <xf numFmtId="0" fontId="213" fillId="0" borderId="52" applyNumberFormat="0" applyFill="0" applyAlignment="0" applyProtection="0"/>
    <xf numFmtId="0" fontId="19" fillId="0" borderId="0" applyNumberFormat="0" applyFont="0" applyFill="0" applyBorder="0" applyAlignment="0" applyProtection="0"/>
    <xf numFmtId="0" fontId="19" fillId="0" borderId="0" applyFont="0" applyFill="0" applyBorder="0" applyAlignment="0" applyProtection="0"/>
    <xf numFmtId="3" fontId="130" fillId="0" borderId="0"/>
    <xf numFmtId="0" fontId="19" fillId="0" borderId="0" applyNumberFormat="0" applyFont="0" applyFill="0" applyBorder="0" applyAlignment="0" applyProtection="0"/>
    <xf numFmtId="0" fontId="154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5" fontId="267" fillId="0" borderId="0" applyFont="0" applyFill="0" applyBorder="0" applyAlignment="0" applyProtection="0"/>
    <xf numFmtId="8" fontId="267" fillId="0" borderId="0" applyFont="0" applyFill="0" applyBorder="0" applyAlignment="0" applyProtection="0"/>
    <xf numFmtId="0" fontId="262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48" fontId="268" fillId="0" borderId="0"/>
    <xf numFmtId="251" fontId="266" fillId="0" borderId="0"/>
    <xf numFmtId="10" fontId="267" fillId="0" borderId="0" applyFont="0" applyFill="0" applyBorder="0" applyAlignment="0" applyProtection="0"/>
    <xf numFmtId="10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42" fontId="19" fillId="0" borderId="0" applyFont="0" applyFill="0" applyBorder="0" applyAlignment="0" applyProtection="0"/>
    <xf numFmtId="252" fontId="269" fillId="0" borderId="0" applyFont="0" applyFill="0" applyBorder="0" applyAlignment="0" applyProtection="0"/>
    <xf numFmtId="0" fontId="270" fillId="0" borderId="0" applyFont="0" applyFill="0" applyBorder="0" applyAlignment="0" applyProtection="0"/>
    <xf numFmtId="0" fontId="313" fillId="0" borderId="0"/>
    <xf numFmtId="40" fontId="271" fillId="0" borderId="0" applyFont="0" applyFill="0" applyBorder="0" applyAlignment="0" applyProtection="0"/>
    <xf numFmtId="0" fontId="272" fillId="0" borderId="0" applyNumberFormat="0" applyFill="0" applyBorder="0" applyAlignment="0" applyProtection="0">
      <alignment vertical="top"/>
      <protection locked="0"/>
    </xf>
    <xf numFmtId="38" fontId="271" fillId="0" borderId="0" applyFont="0" applyFill="0" applyBorder="0" applyAlignment="0" applyProtection="0"/>
    <xf numFmtId="0" fontId="270" fillId="0" borderId="0"/>
    <xf numFmtId="0" fontId="36" fillId="0" borderId="6" applyNumberFormat="0" applyBorder="0" applyAlignment="0">
      <alignment horizontal="left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3" fontId="130" fillId="0" borderId="0"/>
    <xf numFmtId="0" fontId="19" fillId="0" borderId="0"/>
    <xf numFmtId="0" fontId="235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3" fontId="130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74" fontId="19" fillId="0" borderId="0" applyFont="0" applyFill="0" applyBorder="0" applyAlignment="0" applyProtection="0"/>
    <xf numFmtId="3" fontId="130" fillId="0" borderId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242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/>
    <xf numFmtId="0" fontId="19" fillId="0" borderId="0" applyFill="0" applyAlignment="0">
      <protection locked="0"/>
    </xf>
    <xf numFmtId="0" fontId="19" fillId="0" borderId="0" applyFill="0" applyAlignment="0"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3" fontId="130" fillId="0" borderId="0"/>
    <xf numFmtId="0" fontId="19" fillId="0" borderId="0"/>
    <xf numFmtId="0" fontId="19" fillId="0" borderId="0"/>
    <xf numFmtId="0" fontId="19" fillId="0" borderId="0"/>
    <xf numFmtId="3" fontId="130" fillId="0" borderId="0"/>
    <xf numFmtId="0" fontId="19" fillId="0" borderId="0" applyNumberFormat="0" applyFill="0" applyBorder="0" applyAlignment="0" applyProtection="0"/>
    <xf numFmtId="3" fontId="130" fillId="0" borderId="0"/>
    <xf numFmtId="240" fontId="251" fillId="0" borderId="0"/>
    <xf numFmtId="0" fontId="251" fillId="0" borderId="0"/>
    <xf numFmtId="3" fontId="130" fillId="0" borderId="0"/>
    <xf numFmtId="0" fontId="19" fillId="0" borderId="0" applyNumberFormat="0" applyFill="0" applyBorder="0" applyAlignment="0" applyProtection="0"/>
    <xf numFmtId="3" fontId="130" fillId="0" borderId="0"/>
    <xf numFmtId="0" fontId="19" fillId="0" borderId="0"/>
    <xf numFmtId="0" fontId="19" fillId="0" borderId="0"/>
    <xf numFmtId="0" fontId="19" fillId="0" borderId="0"/>
    <xf numFmtId="3" fontId="130" fillId="0" borderId="0"/>
    <xf numFmtId="3" fontId="130" fillId="0" borderId="0"/>
    <xf numFmtId="3" fontId="130" fillId="0" borderId="0"/>
    <xf numFmtId="3" fontId="130" fillId="0" borderId="0"/>
    <xf numFmtId="0" fontId="19" fillId="0" borderId="0" applyFill="0" applyAlignment="0">
      <protection locked="0"/>
    </xf>
    <xf numFmtId="0" fontId="19" fillId="0" borderId="0"/>
    <xf numFmtId="0" fontId="19" fillId="0" borderId="0"/>
    <xf numFmtId="3" fontId="13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3" fontId="130" fillId="0" borderId="0"/>
    <xf numFmtId="0" fontId="19" fillId="0" borderId="0" applyFill="0" applyAlignment="0">
      <protection locked="0"/>
    </xf>
    <xf numFmtId="0" fontId="19" fillId="0" borderId="0" applyFill="0" applyAlignment="0">
      <protection locked="0"/>
    </xf>
    <xf numFmtId="0" fontId="19" fillId="0" borderId="0" applyFill="0" applyAlignment="0">
      <protection locked="0"/>
    </xf>
    <xf numFmtId="0" fontId="19" fillId="0" borderId="0" applyFill="0" applyAlignment="0">
      <protection locked="0"/>
    </xf>
    <xf numFmtId="0" fontId="19" fillId="0" borderId="0" applyFill="0" applyAlignment="0">
      <protection locked="0"/>
    </xf>
    <xf numFmtId="0" fontId="19" fillId="0" borderId="0" applyFill="0" applyAlignment="0">
      <protection locked="0"/>
    </xf>
    <xf numFmtId="0" fontId="19" fillId="0" borderId="0" applyFill="0" applyAlignment="0">
      <protection locked="0"/>
    </xf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Font="0" applyFill="0" applyBorder="0" applyAlignment="0" applyProtection="0"/>
    <xf numFmtId="243" fontId="19" fillId="0" borderId="0" applyFont="0" applyFill="0" applyBorder="0" applyAlignment="0" applyProtection="0"/>
    <xf numFmtId="0" fontId="19" fillId="0" borderId="0" applyFill="0" applyAlignment="0">
      <protection locked="0"/>
    </xf>
    <xf numFmtId="0" fontId="19" fillId="0" borderId="0" applyFill="0" applyAlignment="0">
      <protection locked="0"/>
    </xf>
    <xf numFmtId="241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/>
    <xf numFmtId="0" fontId="19" fillId="0" borderId="0"/>
    <xf numFmtId="3" fontId="130" fillId="0" borderId="0"/>
    <xf numFmtId="0" fontId="19" fillId="0" borderId="0"/>
    <xf numFmtId="0" fontId="19" fillId="0" borderId="0"/>
    <xf numFmtId="3" fontId="130" fillId="0" borderId="0"/>
    <xf numFmtId="0" fontId="19" fillId="0" borderId="0"/>
    <xf numFmtId="0" fontId="19" fillId="0" borderId="0"/>
    <xf numFmtId="0" fontId="19" fillId="0" borderId="0"/>
    <xf numFmtId="0" fontId="19" fillId="0" borderId="0" applyFill="0" applyAlignment="0">
      <protection locked="0"/>
    </xf>
    <xf numFmtId="0" fontId="19" fillId="0" borderId="0" applyFill="0" applyAlignment="0">
      <protection locked="0"/>
    </xf>
    <xf numFmtId="0" fontId="19" fillId="0" borderId="0" applyFill="0" applyAlignment="0">
      <protection locked="0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3" fontId="130" fillId="0" borderId="0"/>
    <xf numFmtId="3" fontId="13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3" fontId="13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ill="0" applyBorder="0" applyAlignment="0" applyProtection="0"/>
    <xf numFmtId="3" fontId="130" fillId="0" borderId="0"/>
    <xf numFmtId="0" fontId="19" fillId="0" borderId="0" applyNumberFormat="0" applyFill="0" applyBorder="0" applyAlignment="0" applyProtection="0"/>
    <xf numFmtId="0" fontId="19" fillId="0" borderId="0"/>
    <xf numFmtId="0" fontId="19" fillId="0" borderId="0" applyFill="0" applyAlignment="0">
      <protection locked="0"/>
    </xf>
    <xf numFmtId="0" fontId="19" fillId="0" borderId="0"/>
    <xf numFmtId="0" fontId="273" fillId="0" borderId="53" applyBorder="0"/>
    <xf numFmtId="253" fontId="155" fillId="0" borderId="0" applyFont="0" applyFill="0" applyBorder="0" applyAlignment="0" applyProtection="0"/>
    <xf numFmtId="254" fontId="155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ill="0" applyBorder="0" applyAlignment="0" applyProtection="0"/>
    <xf numFmtId="9" fontId="19" fillId="0" borderId="0"/>
    <xf numFmtId="9" fontId="19" fillId="0" borderId="0"/>
    <xf numFmtId="9" fontId="19" fillId="0" borderId="0"/>
    <xf numFmtId="9" fontId="19" fillId="0" borderId="0"/>
    <xf numFmtId="9" fontId="19" fillId="0" borderId="0"/>
    <xf numFmtId="9" fontId="19" fillId="0" borderId="0"/>
    <xf numFmtId="9" fontId="19" fillId="0" borderId="0"/>
    <xf numFmtId="9" fontId="19" fillId="0" borderId="0"/>
    <xf numFmtId="9" fontId="19" fillId="0" borderId="0"/>
    <xf numFmtId="9" fontId="19" fillId="0" borderId="0"/>
    <xf numFmtId="9" fontId="19" fillId="0" borderId="0"/>
    <xf numFmtId="9" fontId="19" fillId="0" borderId="0"/>
    <xf numFmtId="0" fontId="19" fillId="0" borderId="0"/>
    <xf numFmtId="0" fontId="130" fillId="0" borderId="0"/>
    <xf numFmtId="0" fontId="46" fillId="0" borderId="0"/>
    <xf numFmtId="2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213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179" fontId="19" fillId="0" borderId="0"/>
    <xf numFmtId="179" fontId="19" fillId="0" borderId="0"/>
    <xf numFmtId="179" fontId="19" fillId="0" borderId="0"/>
    <xf numFmtId="179" fontId="19" fillId="0" borderId="0"/>
    <xf numFmtId="179" fontId="19" fillId="0" borderId="0"/>
    <xf numFmtId="179" fontId="19" fillId="0" borderId="0"/>
    <xf numFmtId="179" fontId="19" fillId="0" borderId="0"/>
    <xf numFmtId="179" fontId="19" fillId="0" borderId="0"/>
    <xf numFmtId="179" fontId="19" fillId="0" borderId="0"/>
    <xf numFmtId="179" fontId="19" fillId="0" borderId="0"/>
    <xf numFmtId="179" fontId="19" fillId="0" borderId="0"/>
    <xf numFmtId="179" fontId="19" fillId="0" borderId="0"/>
    <xf numFmtId="10" fontId="252" fillId="0" borderId="0" applyFont="0" applyFill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79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79" fillId="3" borderId="0" applyNumberFormat="0" applyBorder="0" applyAlignment="0" applyProtection="0"/>
    <xf numFmtId="0" fontId="10" fillId="49" borderId="0" applyNumberFormat="0" applyBorder="0" applyAlignment="0" applyProtection="0"/>
    <xf numFmtId="0" fontId="10" fillId="49" borderId="0" applyNumberFormat="0" applyBorder="0" applyAlignment="0" applyProtection="0"/>
    <xf numFmtId="0" fontId="10" fillId="49" borderId="0" applyNumberFormat="0" applyBorder="0" applyAlignment="0" applyProtection="0"/>
    <xf numFmtId="0" fontId="79" fillId="4" borderId="0" applyNumberFormat="0" applyBorder="0" applyAlignment="0" applyProtection="0"/>
    <xf numFmtId="0" fontId="10" fillId="49" borderId="0" applyNumberFormat="0" applyBorder="0" applyAlignment="0" applyProtection="0"/>
    <xf numFmtId="0" fontId="10" fillId="49" borderId="0" applyNumberFormat="0" applyBorder="0" applyAlignment="0" applyProtection="0"/>
    <xf numFmtId="0" fontId="10" fillId="49" borderId="0" applyNumberFormat="0" applyBorder="0" applyAlignment="0" applyProtection="0"/>
    <xf numFmtId="0" fontId="10" fillId="82" borderId="0" applyNumberFormat="0" applyBorder="0" applyAlignment="0" applyProtection="0"/>
    <xf numFmtId="0" fontId="10" fillId="82" borderId="0" applyNumberFormat="0" applyBorder="0" applyAlignment="0" applyProtection="0"/>
    <xf numFmtId="0" fontId="10" fillId="82" borderId="0" applyNumberFormat="0" applyBorder="0" applyAlignment="0" applyProtection="0"/>
    <xf numFmtId="0" fontId="10" fillId="82" borderId="0" applyNumberFormat="0" applyBorder="0" applyAlignment="0" applyProtection="0"/>
    <xf numFmtId="0" fontId="10" fillId="82" borderId="0" applyNumberFormat="0" applyBorder="0" applyAlignment="0" applyProtection="0"/>
    <xf numFmtId="0" fontId="10" fillId="82" borderId="0" applyNumberFormat="0" applyBorder="0" applyAlignment="0" applyProtection="0"/>
    <xf numFmtId="0" fontId="79" fillId="2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79" fillId="5" borderId="0" applyNumberFormat="0" applyBorder="0" applyAlignment="0" applyProtection="0"/>
    <xf numFmtId="0" fontId="10" fillId="61" borderId="0" applyNumberFormat="0" applyBorder="0" applyAlignment="0" applyProtection="0"/>
    <xf numFmtId="0" fontId="10" fillId="61" borderId="0" applyNumberFormat="0" applyBorder="0" applyAlignment="0" applyProtection="0"/>
    <xf numFmtId="0" fontId="10" fillId="61" borderId="0" applyNumberFormat="0" applyBorder="0" applyAlignment="0" applyProtection="0"/>
    <xf numFmtId="0" fontId="79" fillId="4" borderId="0" applyNumberFormat="0" applyBorder="0" applyAlignment="0" applyProtection="0"/>
    <xf numFmtId="0" fontId="10" fillId="61" borderId="0" applyNumberFormat="0" applyBorder="0" applyAlignment="0" applyProtection="0"/>
    <xf numFmtId="0" fontId="10" fillId="61" borderId="0" applyNumberFormat="0" applyBorder="0" applyAlignment="0" applyProtection="0"/>
    <xf numFmtId="0" fontId="10" fillId="61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10" fillId="74" borderId="0" applyNumberFormat="0" applyBorder="0" applyAlignment="0" applyProtection="0"/>
    <xf numFmtId="0" fontId="79" fillId="6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79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79" fillId="4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10" fillId="6" borderId="0" applyNumberFormat="0" applyBorder="0" applyAlignment="0" applyProtection="0"/>
    <xf numFmtId="0" fontId="79" fillId="6" borderId="0" applyNumberFormat="0" applyBorder="0" applyAlignment="0" applyProtection="0"/>
    <xf numFmtId="0" fontId="10" fillId="73" borderId="0" applyNumberFormat="0" applyBorder="0" applyAlignment="0" applyProtection="0"/>
    <xf numFmtId="0" fontId="10" fillId="73" borderId="0" applyNumberFormat="0" applyBorder="0" applyAlignment="0" applyProtection="0"/>
    <xf numFmtId="0" fontId="10" fillId="73" borderId="0" applyNumberFormat="0" applyBorder="0" applyAlignment="0" applyProtection="0"/>
    <xf numFmtId="0" fontId="10" fillId="73" borderId="0" applyNumberFormat="0" applyBorder="0" applyAlignment="0" applyProtection="0"/>
    <xf numFmtId="0" fontId="10" fillId="73" borderId="0" applyNumberFormat="0" applyBorder="0" applyAlignment="0" applyProtection="0"/>
    <xf numFmtId="0" fontId="10" fillId="73" borderId="0" applyNumberFormat="0" applyBorder="0" applyAlignment="0" applyProtection="0"/>
    <xf numFmtId="0" fontId="79" fillId="7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79" fillId="4" borderId="0" applyNumberFormat="0" applyBorder="0" applyAlignment="0" applyProtection="0"/>
    <xf numFmtId="0" fontId="214" fillId="7" borderId="0" applyNumberFormat="0" applyBorder="0" applyAlignment="0" applyProtection="0"/>
    <xf numFmtId="0" fontId="80" fillId="8" borderId="0" applyNumberFormat="0" applyBorder="0" applyAlignment="0" applyProtection="0"/>
    <xf numFmtId="0" fontId="214" fillId="80" borderId="0" applyNumberFormat="0" applyBorder="0" applyAlignment="0" applyProtection="0"/>
    <xf numFmtId="0" fontId="80" fillId="3" borderId="0" applyNumberFormat="0" applyBorder="0" applyAlignment="0" applyProtection="0"/>
    <xf numFmtId="0" fontId="214" fillId="3" borderId="0" applyNumberFormat="0" applyBorder="0" applyAlignment="0" applyProtection="0"/>
    <xf numFmtId="0" fontId="80" fillId="9" borderId="0" applyNumberFormat="0" applyBorder="0" applyAlignment="0" applyProtection="0"/>
    <xf numFmtId="0" fontId="214" fillId="6" borderId="0" applyNumberFormat="0" applyBorder="0" applyAlignment="0" applyProtection="0"/>
    <xf numFmtId="0" fontId="80" fillId="6" borderId="0" applyNumberFormat="0" applyBorder="0" applyAlignment="0" applyProtection="0"/>
    <xf numFmtId="0" fontId="214" fillId="75" borderId="0" applyNumberFormat="0" applyBorder="0" applyAlignment="0" applyProtection="0"/>
    <xf numFmtId="0" fontId="80" fillId="8" borderId="0" applyNumberFormat="0" applyBorder="0" applyAlignment="0" applyProtection="0"/>
    <xf numFmtId="0" fontId="214" fillId="2" borderId="0" applyNumberFormat="0" applyBorder="0" applyAlignment="0" applyProtection="0"/>
    <xf numFmtId="0" fontId="80" fillId="4" borderId="0" applyNumberFormat="0" applyBorder="0" applyAlignment="0" applyProtection="0"/>
    <xf numFmtId="37" fontId="274" fillId="0" borderId="0">
      <alignment horizontal="center"/>
    </xf>
    <xf numFmtId="0" fontId="253" fillId="0" borderId="0" applyFont="0" applyFill="0" applyBorder="0" applyAlignment="0" applyProtection="0"/>
    <xf numFmtId="0" fontId="253" fillId="0" borderId="0" applyFont="0" applyFill="0" applyBorder="0" applyAlignment="0" applyProtection="0"/>
    <xf numFmtId="0" fontId="214" fillId="28" borderId="0" applyNumberFormat="0" applyBorder="0" applyAlignment="0" applyProtection="0"/>
    <xf numFmtId="0" fontId="80" fillId="8" borderId="0" applyNumberFormat="0" applyBorder="0" applyAlignment="0" applyProtection="0"/>
    <xf numFmtId="0" fontId="214" fillId="83" borderId="0" applyNumberFormat="0" applyBorder="0" applyAlignment="0" applyProtection="0"/>
    <xf numFmtId="0" fontId="80" fillId="3" borderId="0" applyNumberFormat="0" applyBorder="0" applyAlignment="0" applyProtection="0"/>
    <xf numFmtId="0" fontId="214" fillId="84" borderId="0" applyNumberFormat="0" applyBorder="0" applyAlignment="0" applyProtection="0"/>
    <xf numFmtId="0" fontId="80" fillId="9" borderId="0" applyNumberFormat="0" applyBorder="0" applyAlignment="0" applyProtection="0"/>
    <xf numFmtId="0" fontId="214" fillId="85" borderId="0" applyNumberFormat="0" applyBorder="0" applyAlignment="0" applyProtection="0"/>
    <xf numFmtId="0" fontId="80" fillId="10" borderId="0" applyNumberFormat="0" applyBorder="0" applyAlignment="0" applyProtection="0"/>
    <xf numFmtId="0" fontId="214" fillId="28" borderId="0" applyNumberFormat="0" applyBorder="0" applyAlignment="0" applyProtection="0"/>
    <xf numFmtId="0" fontId="80" fillId="8" borderId="0" applyNumberFormat="0" applyBorder="0" applyAlignment="0" applyProtection="0"/>
    <xf numFmtId="0" fontId="80" fillId="3" borderId="0" applyNumberFormat="0" applyBorder="0" applyAlignment="0" applyProtection="0"/>
    <xf numFmtId="265" fontId="41" fillId="0" borderId="0" applyFont="0" applyFill="0" applyBorder="0" applyProtection="0"/>
    <xf numFmtId="265" fontId="41" fillId="0" borderId="0" applyFont="0" applyFill="0" applyBorder="0" applyProtection="0"/>
    <xf numFmtId="0" fontId="25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54" fillId="0" borderId="0" applyFont="0" applyFill="0" applyBorder="0" applyAlignment="0" applyProtection="0"/>
    <xf numFmtId="0" fontId="25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54" fillId="0" borderId="0" applyFont="0" applyFill="0" applyBorder="0" applyAlignment="0" applyProtection="0"/>
    <xf numFmtId="0" fontId="253" fillId="0" borderId="0" applyFont="0" applyFill="0" applyBorder="0" applyAlignment="0" applyProtection="0"/>
    <xf numFmtId="0" fontId="253" fillId="0" borderId="0" applyFont="0" applyFill="0" applyBorder="0" applyAlignment="0" applyProtection="0"/>
    <xf numFmtId="0" fontId="19" fillId="0" borderId="0"/>
    <xf numFmtId="0" fontId="25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254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168" fontId="314" fillId="0" borderId="0" applyFont="0" applyFill="0" applyBorder="0" applyAlignment="0" applyProtection="0"/>
    <xf numFmtId="0" fontId="306" fillId="81" borderId="0" applyNumberFormat="0" applyBorder="0" applyAlignment="0" applyProtection="0"/>
    <xf numFmtId="0" fontId="306" fillId="81" borderId="0" applyNumberFormat="0" applyBorder="0" applyAlignment="0" applyProtection="0"/>
    <xf numFmtId="0" fontId="81" fillId="11" borderId="0" applyNumberFormat="0" applyBorder="0" applyAlignment="0" applyProtection="0"/>
    <xf numFmtId="248" fontId="266" fillId="0" borderId="0"/>
    <xf numFmtId="239" fontId="168" fillId="0" borderId="0" applyFont="0" applyFill="0" applyBorder="0" applyAlignment="0" applyProtection="0"/>
    <xf numFmtId="1" fontId="160" fillId="26" borderId="1" applyNumberFormat="0" applyBorder="0" applyAlignment="0">
      <alignment horizontal="center" vertical="top" wrapText="1"/>
      <protection hidden="1"/>
    </xf>
    <xf numFmtId="37" fontId="153" fillId="0" borderId="0" applyNumberFormat="0" applyFill="0" applyBorder="0" applyAlignment="0" applyProtection="0"/>
    <xf numFmtId="0" fontId="275" fillId="0" borderId="0" applyNumberFormat="0" applyFill="0" applyBorder="0" applyAlignment="0" applyProtection="0"/>
    <xf numFmtId="0" fontId="276" fillId="0" borderId="0" applyNumberFormat="0" applyFill="0" applyBorder="0" applyAlignment="0" applyProtection="0"/>
    <xf numFmtId="0" fontId="267" fillId="0" borderId="2" applyNumberFormat="0" applyFont="0" applyFill="0" applyAlignment="0" applyProtection="0"/>
    <xf numFmtId="0" fontId="267" fillId="0" borderId="1" applyNumberFormat="0" applyFont="0" applyFill="0" applyAlignment="0" applyProtection="0"/>
    <xf numFmtId="0" fontId="267" fillId="0" borderId="1" applyNumberFormat="0" applyFont="0" applyFill="0" applyAlignment="0" applyProtection="0"/>
    <xf numFmtId="0" fontId="267" fillId="0" borderId="20" applyNumberFormat="0" applyFont="0" applyFill="0" applyAlignment="0" applyProtection="0"/>
    <xf numFmtId="0" fontId="267" fillId="0" borderId="17" applyNumberFormat="0" applyFont="0" applyFill="0" applyAlignment="0" applyProtection="0"/>
    <xf numFmtId="37" fontId="277" fillId="0" borderId="0" applyNumberFormat="0" applyFill="0" applyBorder="0" applyAlignment="0" applyProtection="0">
      <alignment horizontal="center"/>
    </xf>
    <xf numFmtId="255" fontId="155" fillId="0" borderId="0" applyFont="0" applyFill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255" fillId="0" borderId="0"/>
    <xf numFmtId="0" fontId="256" fillId="0" borderId="0"/>
    <xf numFmtId="0" fontId="255" fillId="0" borderId="0"/>
    <xf numFmtId="0" fontId="255" fillId="0" borderId="0"/>
    <xf numFmtId="0" fontId="257" fillId="0" borderId="0"/>
    <xf numFmtId="0" fontId="254" fillId="0" borderId="0"/>
    <xf numFmtId="0" fontId="257" fillId="0" borderId="0"/>
    <xf numFmtId="0" fontId="254" fillId="0" borderId="0"/>
    <xf numFmtId="0" fontId="257" fillId="0" borderId="0"/>
    <xf numFmtId="0" fontId="254" fillId="0" borderId="0"/>
    <xf numFmtId="0" fontId="19" fillId="0" borderId="0"/>
    <xf numFmtId="256" fontId="269" fillId="0" borderId="0" applyFill="0" applyBorder="0" applyAlignment="0"/>
    <xf numFmtId="0" fontId="82" fillId="12" borderId="3" applyNumberFormat="0" applyAlignment="0" applyProtection="0"/>
    <xf numFmtId="239" fontId="264" fillId="0" borderId="0" applyFont="0" applyFill="0" applyBorder="0" applyAlignment="0" applyProtection="0"/>
    <xf numFmtId="0" fontId="278" fillId="0" borderId="0">
      <alignment horizontal="right"/>
    </xf>
    <xf numFmtId="257" fontId="278" fillId="0" borderId="0"/>
    <xf numFmtId="0" fontId="83" fillId="13" borderId="4" applyNumberFormat="0" applyAlignment="0" applyProtection="0"/>
    <xf numFmtId="258" fontId="19" fillId="0" borderId="0"/>
    <xf numFmtId="258" fontId="19" fillId="0" borderId="0"/>
    <xf numFmtId="258" fontId="19" fillId="0" borderId="0"/>
    <xf numFmtId="258" fontId="19" fillId="0" borderId="0"/>
    <xf numFmtId="258" fontId="19" fillId="0" borderId="0"/>
    <xf numFmtId="258" fontId="19" fillId="0" borderId="0"/>
    <xf numFmtId="258" fontId="19" fillId="0" borderId="0"/>
    <xf numFmtId="236" fontId="265" fillId="0" borderId="0" applyFont="0"/>
    <xf numFmtId="179" fontId="162" fillId="0" borderId="0" applyFont="0" applyFill="0" applyBorder="0" applyAlignment="0">
      <alignment horizontal="center" wrapText="1"/>
    </xf>
    <xf numFmtId="38" fontId="48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94" fontId="130" fillId="0" borderId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1" fillId="0" borderId="0" applyFont="0" applyFill="0" applyBorder="0" applyAlignment="0" applyProtection="0"/>
    <xf numFmtId="238" fontId="79" fillId="0" borderId="0" applyFont="0" applyFill="0" applyBorder="0" applyAlignment="0" applyProtection="0"/>
    <xf numFmtId="238" fontId="79" fillId="0" borderId="0" applyFont="0" applyFill="0" applyBorder="0" applyAlignment="0" applyProtection="0"/>
    <xf numFmtId="43" fontId="263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238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22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3" fontId="279" fillId="0" borderId="0"/>
    <xf numFmtId="194" fontId="279" fillId="0" borderId="0"/>
    <xf numFmtId="2" fontId="279" fillId="0" borderId="0"/>
    <xf numFmtId="228" fontId="167" fillId="0" borderId="0" applyFill="0" applyBorder="0">
      <alignment horizontal="left"/>
    </xf>
    <xf numFmtId="0" fontId="280" fillId="0" borderId="0" applyNumberFormat="0" applyAlignment="0">
      <alignment horizontal="left"/>
    </xf>
    <xf numFmtId="259" fontId="168" fillId="0" borderId="0"/>
    <xf numFmtId="166" fontId="162" fillId="0" borderId="0" applyFont="0" applyFill="0" applyBorder="0" applyAlignment="0">
      <alignment horizontal="center" wrapText="1"/>
    </xf>
    <xf numFmtId="8" fontId="168" fillId="0" borderId="0" applyFont="0" applyFill="0" applyBorder="0" applyAlignment="0" applyProtection="0">
      <alignment horizontal="left"/>
    </xf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7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7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41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188" fontId="281" fillId="0" borderId="0" applyFont="0" applyFill="0" applyBorder="0" applyAlignment="0" applyProtection="0"/>
    <xf numFmtId="244" fontId="19" fillId="15" borderId="20">
      <alignment horizontal="right"/>
    </xf>
    <xf numFmtId="260" fontId="155" fillId="0" borderId="0" applyFont="0" applyFill="0" applyBorder="0" applyAlignment="0" applyProtection="0"/>
    <xf numFmtId="233" fontId="19" fillId="0" borderId="0" applyFont="0" applyFill="0" applyBorder="0" applyAlignment="0" applyProtection="0"/>
    <xf numFmtId="14" fontId="264" fillId="0" borderId="0" applyFont="0" applyFill="0" applyBorder="0" applyAlignment="0" applyProtection="0">
      <alignment horizontal="center"/>
    </xf>
    <xf numFmtId="247" fontId="264" fillId="0" borderId="0" applyFont="0" applyFill="0" applyBorder="0" applyAlignment="0" applyProtection="0">
      <alignment horizontal="center"/>
    </xf>
    <xf numFmtId="0" fontId="168" fillId="0" borderId="0"/>
    <xf numFmtId="259" fontId="278" fillId="0" borderId="0"/>
    <xf numFmtId="6" fontId="168" fillId="0" borderId="0" applyFont="0" applyFill="0" applyBorder="0" applyAlignment="0" applyProtection="0"/>
    <xf numFmtId="0" fontId="282" fillId="0" borderId="0" applyNumberFormat="0" applyAlignment="0">
      <alignment horizontal="left"/>
    </xf>
    <xf numFmtId="267" fontId="79" fillId="0" borderId="0" applyFont="0" applyFill="0" applyBorder="0" applyAlignment="0" applyProtection="0"/>
    <xf numFmtId="0" fontId="84" fillId="0" borderId="0" applyNumberFormat="0" applyFill="0" applyBorder="0" applyAlignment="0" applyProtection="0"/>
    <xf numFmtId="0" fontId="215" fillId="0" borderId="0">
      <alignment vertical="center"/>
    </xf>
    <xf numFmtId="0" fontId="283" fillId="0" borderId="0"/>
    <xf numFmtId="0" fontId="237" fillId="0" borderId="0"/>
    <xf numFmtId="0" fontId="169" fillId="0" borderId="0"/>
    <xf numFmtId="0" fontId="284" fillId="28" borderId="0"/>
    <xf numFmtId="0" fontId="238" fillId="28" borderId="0"/>
    <xf numFmtId="0" fontId="171" fillId="28" borderId="0"/>
    <xf numFmtId="261" fontId="278" fillId="0" borderId="0"/>
    <xf numFmtId="188" fontId="19" fillId="15" borderId="20">
      <alignment horizontal="right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0" fontId="307" fillId="3" borderId="0" applyNumberFormat="0" applyBorder="0" applyAlignment="0" applyProtection="0"/>
    <xf numFmtId="0" fontId="307" fillId="3" borderId="0" applyNumberFormat="0" applyBorder="0" applyAlignment="0" applyProtection="0"/>
    <xf numFmtId="0" fontId="85" fillId="14" borderId="0" applyNumberFormat="0" applyBorder="0" applyAlignment="0" applyProtection="0"/>
    <xf numFmtId="0" fontId="173" fillId="0" borderId="0"/>
    <xf numFmtId="0" fontId="173" fillId="0" borderId="0"/>
    <xf numFmtId="0" fontId="173" fillId="0" borderId="0"/>
    <xf numFmtId="0" fontId="173" fillId="0" borderId="0"/>
    <xf numFmtId="0" fontId="173" fillId="0" borderId="0"/>
    <xf numFmtId="0" fontId="173" fillId="0" borderId="0"/>
    <xf numFmtId="251" fontId="268" fillId="0" borderId="0"/>
    <xf numFmtId="248" fontId="268" fillId="0" borderId="0" applyFill="0" applyBorder="0" applyAlignment="0" applyProtection="0"/>
    <xf numFmtId="168" fontId="19" fillId="29" borderId="8" applyNumberFormat="0" applyFont="0" applyBorder="0" applyAlignment="0" applyProtection="0"/>
    <xf numFmtId="168" fontId="19" fillId="29" borderId="8" applyNumberFormat="0" applyFont="0" applyBorder="0" applyAlignment="0" applyProtection="0"/>
    <xf numFmtId="0" fontId="285" fillId="0" borderId="0" applyNumberFormat="0" applyFill="0" applyBorder="0" applyAlignment="0" applyProtection="0"/>
    <xf numFmtId="0" fontId="197" fillId="0" borderId="9" applyNumberFormat="0" applyAlignment="0" applyProtection="0">
      <alignment horizontal="left" vertical="center"/>
    </xf>
    <xf numFmtId="0" fontId="197" fillId="0" borderId="6">
      <alignment horizontal="left" vertical="center"/>
    </xf>
    <xf numFmtId="0" fontId="308" fillId="0" borderId="54" applyNumberFormat="0" applyFill="0" applyAlignment="0" applyProtection="0"/>
    <xf numFmtId="0" fontId="308" fillId="0" borderId="54" applyNumberFormat="0" applyFill="0" applyAlignment="0" applyProtection="0"/>
    <xf numFmtId="0" fontId="86" fillId="0" borderId="10" applyNumberFormat="0" applyFill="0" applyAlignment="0" applyProtection="0"/>
    <xf numFmtId="0" fontId="309" fillId="0" borderId="55" applyNumberFormat="0" applyFill="0" applyAlignment="0" applyProtection="0"/>
    <xf numFmtId="0" fontId="309" fillId="0" borderId="55" applyNumberFormat="0" applyFill="0" applyAlignment="0" applyProtection="0"/>
    <xf numFmtId="0" fontId="87" fillId="0" borderId="11" applyNumberFormat="0" applyFill="0" applyAlignment="0" applyProtection="0"/>
    <xf numFmtId="0" fontId="310" fillId="0" borderId="56" applyNumberFormat="0" applyFill="0" applyAlignment="0" applyProtection="0"/>
    <xf numFmtId="0" fontId="310" fillId="0" borderId="56" applyNumberFormat="0" applyFill="0" applyAlignment="0" applyProtection="0"/>
    <xf numFmtId="0" fontId="88" fillId="0" borderId="12" applyNumberFormat="0" applyFill="0" applyAlignment="0" applyProtection="0"/>
    <xf numFmtId="0" fontId="310" fillId="0" borderId="0" applyNumberFormat="0" applyFill="0" applyBorder="0" applyAlignment="0" applyProtection="0"/>
    <xf numFmtId="0" fontId="310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86" fillId="0" borderId="0">
      <protection locked="0"/>
    </xf>
    <xf numFmtId="0" fontId="286" fillId="0" borderId="0">
      <protection locked="0"/>
    </xf>
    <xf numFmtId="0" fontId="287" fillId="0" borderId="0">
      <alignment wrapText="1"/>
    </xf>
    <xf numFmtId="0" fontId="231" fillId="0" borderId="0">
      <alignment wrapText="1"/>
    </xf>
    <xf numFmtId="0" fontId="175" fillId="0" borderId="0">
      <alignment wrapText="1"/>
    </xf>
    <xf numFmtId="0" fontId="64" fillId="0" borderId="57" applyNumberFormat="0" applyFill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129" fillId="0" borderId="0" applyNumberFormat="0" applyFill="0" applyBorder="0" applyAlignment="0" applyProtection="0">
      <alignment vertical="top"/>
      <protection locked="0"/>
    </xf>
    <xf numFmtId="0" fontId="193" fillId="0" borderId="0" applyNumberFormat="0" applyFill="0" applyBorder="0" applyAlignment="0" applyProtection="0">
      <alignment vertical="top"/>
      <protection locked="0"/>
    </xf>
    <xf numFmtId="0" fontId="129" fillId="0" borderId="0" applyNumberFormat="0" applyFill="0" applyBorder="0" applyAlignment="0" applyProtection="0">
      <alignment vertical="top"/>
      <protection locked="0"/>
    </xf>
    <xf numFmtId="0" fontId="260" fillId="0" borderId="0" applyNumberFormat="0" applyFill="0" applyBorder="0" applyAlignment="0" applyProtection="0">
      <alignment vertical="top"/>
      <protection locked="0"/>
    </xf>
    <xf numFmtId="0" fontId="316" fillId="0" borderId="0" applyNumberFormat="0" applyFill="0" applyBorder="0" applyAlignment="0" applyProtection="0">
      <alignment vertical="top"/>
      <protection locked="0"/>
    </xf>
    <xf numFmtId="0" fontId="315" fillId="0" borderId="0" applyNumberFormat="0" applyFill="0" applyBorder="0" applyAlignment="0" applyProtection="0">
      <alignment vertical="top"/>
      <protection locked="0"/>
    </xf>
    <xf numFmtId="0" fontId="316" fillId="0" borderId="0" applyNumberFormat="0" applyFill="0" applyBorder="0" applyAlignment="0" applyProtection="0">
      <alignment vertical="top"/>
      <protection locked="0"/>
    </xf>
    <xf numFmtId="0" fontId="315" fillId="0" borderId="0" applyNumberFormat="0" applyFill="0" applyBorder="0" applyAlignment="0" applyProtection="0">
      <alignment vertical="top"/>
      <protection locked="0"/>
    </xf>
    <xf numFmtId="0" fontId="236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93" fillId="0" borderId="0" applyNumberFormat="0" applyFill="0" applyBorder="0" applyAlignment="0" applyProtection="0">
      <alignment vertical="top"/>
      <protection locked="0"/>
    </xf>
    <xf numFmtId="0" fontId="236" fillId="0" borderId="0" applyNumberFormat="0" applyFill="0" applyBorder="0" applyAlignment="0" applyProtection="0"/>
    <xf numFmtId="38" fontId="168" fillId="0" borderId="0"/>
    <xf numFmtId="239" fontId="168" fillId="0" borderId="0" applyFont="0" applyFill="0" applyBorder="0" applyAlignment="0" applyProtection="0"/>
    <xf numFmtId="0" fontId="248" fillId="36" borderId="36" applyNumberFormat="0" applyAlignment="0" applyProtection="0"/>
    <xf numFmtId="0" fontId="89" fillId="4" borderId="3" applyNumberFormat="0" applyAlignment="0" applyProtection="0"/>
    <xf numFmtId="0" fontId="248" fillId="36" borderId="36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0" fontId="89" fillId="4" borderId="3" applyNumberFormat="0" applyAlignment="0" applyProtection="0"/>
    <xf numFmtId="262" fontId="278" fillId="0" borderId="0"/>
    <xf numFmtId="38" fontId="50" fillId="0" borderId="0" applyNumberFormat="0" applyBorder="0" applyProtection="0">
      <alignment horizontal="left"/>
    </xf>
    <xf numFmtId="38" fontId="288" fillId="0" borderId="0"/>
    <xf numFmtId="38" fontId="289" fillId="0" borderId="0"/>
    <xf numFmtId="38" fontId="290" fillId="0" borderId="0"/>
    <xf numFmtId="38" fontId="291" fillId="0" borderId="0"/>
    <xf numFmtId="0" fontId="292" fillId="0" borderId="0"/>
    <xf numFmtId="0" fontId="292" fillId="0" borderId="0"/>
    <xf numFmtId="0" fontId="19" fillId="0" borderId="0"/>
    <xf numFmtId="0" fontId="311" fillId="0" borderId="51" applyNumberFormat="0" applyFill="0" applyAlignment="0" applyProtection="0"/>
    <xf numFmtId="0" fontId="311" fillId="0" borderId="51" applyNumberFormat="0" applyFill="0" applyAlignment="0" applyProtection="0"/>
    <xf numFmtId="0" fontId="90" fillId="0" borderId="13" applyNumberFormat="0" applyFill="0" applyAlignment="0" applyProtection="0"/>
    <xf numFmtId="245" fontId="19" fillId="0" borderId="0">
      <alignment horizontal="right"/>
    </xf>
    <xf numFmtId="248" fontId="266" fillId="0" borderId="0" applyFill="0" applyBorder="0" applyAlignment="0" applyProtection="0"/>
    <xf numFmtId="0" fontId="284" fillId="0" borderId="0"/>
    <xf numFmtId="0" fontId="238" fillId="0" borderId="0"/>
    <xf numFmtId="0" fontId="171" fillId="0" borderId="0"/>
    <xf numFmtId="0" fontId="293" fillId="0" borderId="0"/>
    <xf numFmtId="0" fontId="239" fillId="0" borderId="0"/>
    <xf numFmtId="0" fontId="178" fillId="0" borderId="0"/>
    <xf numFmtId="0" fontId="294" fillId="0" borderId="0"/>
    <xf numFmtId="0" fontId="240" fillId="0" borderId="0"/>
    <xf numFmtId="0" fontId="179" fillId="0" borderId="0"/>
    <xf numFmtId="37" fontId="183" fillId="0" borderId="0" applyNumberFormat="0" applyFill="0" applyBorder="0" applyAlignment="0" applyProtection="0">
      <alignment horizontal="center"/>
    </xf>
    <xf numFmtId="37" fontId="183" fillId="0" borderId="0" applyNumberFormat="0" applyFill="0" applyBorder="0" applyAlignment="0" applyProtection="0">
      <alignment horizontal="center"/>
    </xf>
    <xf numFmtId="14" fontId="267" fillId="0" borderId="0" applyFont="0" applyFill="0" applyBorder="0" applyAlignment="0" applyProtection="0"/>
    <xf numFmtId="263" fontId="168" fillId="0" borderId="0" applyFont="0" applyFill="0" applyBorder="0" applyAlignment="0" applyProtection="0"/>
    <xf numFmtId="266" fontId="41" fillId="0" borderId="0"/>
    <xf numFmtId="0" fontId="91" fillId="4" borderId="0" applyNumberFormat="0" applyBorder="0" applyAlignment="0" applyProtection="0"/>
    <xf numFmtId="0" fontId="48" fillId="0" borderId="0"/>
    <xf numFmtId="0" fontId="155" fillId="0" borderId="0"/>
    <xf numFmtId="3" fontId="130" fillId="0" borderId="0"/>
    <xf numFmtId="3" fontId="13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41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41" fillId="0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30" fillId="0" borderId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41" fillId="0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41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231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4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0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0" fillId="0" borderId="0"/>
    <xf numFmtId="0" fontId="10" fillId="0" borderId="0"/>
    <xf numFmtId="0" fontId="19" fillId="0" borderId="0"/>
    <xf numFmtId="0" fontId="79" fillId="0" borderId="0"/>
    <xf numFmtId="0" fontId="19" fillId="0" borderId="0" applyNumberFormat="0" applyFont="0" applyFill="0" applyBorder="0" applyAlignment="0" applyProtection="0"/>
    <xf numFmtId="0" fontId="79" fillId="0" borderId="0"/>
    <xf numFmtId="3" fontId="130" fillId="0" borderId="0"/>
    <xf numFmtId="3" fontId="130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3" fontId="130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>
      <alignment vertical="center"/>
    </xf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>
      <alignment vertical="center"/>
    </xf>
    <xf numFmtId="0" fontId="1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231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ill="0" applyBorder="0" applyAlignment="0" applyProtection="0"/>
    <xf numFmtId="0" fontId="10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1" fillId="0" borderId="0" applyNumberFormat="0" applyFont="0" applyFill="0" applyBorder="0" applyAlignment="0" applyProtection="0"/>
    <xf numFmtId="0" fontId="1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0" fillId="0" borderId="0"/>
    <xf numFmtId="3" fontId="130" fillId="0" borderId="0"/>
    <xf numFmtId="0" fontId="19" fillId="0" borderId="0"/>
    <xf numFmtId="0" fontId="182" fillId="0" borderId="0"/>
    <xf numFmtId="0" fontId="1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1" fillId="0" borderId="0" applyNumberFormat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1" fillId="0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7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0" fillId="0" borderId="0"/>
    <xf numFmtId="0" fontId="10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79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41" fillId="0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/>
    <xf numFmtId="0" fontId="19" fillId="0" borderId="0"/>
    <xf numFmtId="0" fontId="7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7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82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82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79" fillId="0" borderId="0"/>
    <xf numFmtId="0" fontId="19" fillId="0" borderId="0" applyNumberFormat="0" applyFont="0" applyFill="0" applyBorder="0" applyAlignment="0" applyProtection="0"/>
    <xf numFmtId="0" fontId="182" fillId="0" borderId="0"/>
    <xf numFmtId="0" fontId="7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82" fillId="0" borderId="0"/>
    <xf numFmtId="0" fontId="19" fillId="0" borderId="0" applyNumberFormat="0" applyFont="0" applyFill="0" applyBorder="0" applyAlignment="0" applyProtection="0"/>
    <xf numFmtId="0" fontId="182" fillId="0" borderId="0"/>
    <xf numFmtId="0" fontId="19" fillId="0" borderId="0"/>
    <xf numFmtId="0" fontId="231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321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295" fillId="0" borderId="0"/>
    <xf numFmtId="228" fontId="50" fillId="0" borderId="0" applyBorder="0">
      <alignment horizontal="left"/>
    </xf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79" fillId="4" borderId="40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79" fillId="4" borderId="40" applyNumberFormat="0" applyFont="0" applyAlignment="0" applyProtection="0"/>
    <xf numFmtId="0" fontId="79" fillId="4" borderId="40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164" fontId="66" fillId="0" borderId="0" applyFont="0" applyFill="0" applyBorder="0" applyProtection="0">
      <alignment horizontal="right"/>
    </xf>
    <xf numFmtId="3" fontId="130" fillId="0" borderId="17" applyBorder="0"/>
    <xf numFmtId="3" fontId="130" fillId="0" borderId="17" applyBorder="0"/>
    <xf numFmtId="3" fontId="130" fillId="0" borderId="17" applyBorder="0"/>
    <xf numFmtId="164" fontId="66" fillId="0" borderId="0" applyFont="0" applyFill="0" applyBorder="0" applyProtection="0">
      <alignment horizontal="right"/>
    </xf>
    <xf numFmtId="3" fontId="130" fillId="0" borderId="0" applyBorder="0"/>
    <xf numFmtId="3" fontId="130" fillId="0" borderId="0" applyBorder="0"/>
    <xf numFmtId="3" fontId="130" fillId="0" borderId="0" applyBorder="0"/>
    <xf numFmtId="3" fontId="130" fillId="0" borderId="0" applyBorder="0"/>
    <xf numFmtId="3" fontId="130" fillId="0" borderId="0" applyBorder="0"/>
    <xf numFmtId="3" fontId="130" fillId="0" borderId="0" applyBorder="0"/>
    <xf numFmtId="239" fontId="168" fillId="0" borderId="0" applyFont="0" applyFill="0" applyBorder="0" applyAlignment="0" applyProtection="0"/>
    <xf numFmtId="251" fontId="266" fillId="0" borderId="0"/>
    <xf numFmtId="0" fontId="92" fillId="12" borderId="15" applyNumberFormat="0" applyAlignment="0" applyProtection="0"/>
    <xf numFmtId="0" fontId="294" fillId="0" borderId="0"/>
    <xf numFmtId="0" fontId="240" fillId="0" borderId="0"/>
    <xf numFmtId="0" fontId="179" fillId="0" borderId="0"/>
    <xf numFmtId="168" fontId="168" fillId="0" borderId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30" fillId="0" borderId="0" applyFont="0" applyFill="0" applyBorder="0" applyProtection="0">
      <alignment horizontal="right"/>
    </xf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30" fillId="0" borderId="0" applyFont="0" applyFill="0" applyBorder="0" applyProtection="0">
      <alignment horizontal="right"/>
    </xf>
    <xf numFmtId="9" fontId="228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265" fillId="0" borderId="0"/>
    <xf numFmtId="264" fontId="168" fillId="0" borderId="0" applyFont="0" applyBorder="0"/>
    <xf numFmtId="168" fontId="281" fillId="0" borderId="0" applyFont="0" applyFill="0" applyBorder="0" applyAlignment="0" applyProtection="0"/>
    <xf numFmtId="10" fontId="281" fillId="0" borderId="0" applyFont="0" applyFill="0" applyBorder="0" applyAlignment="0" applyProtection="0"/>
    <xf numFmtId="9" fontId="19" fillId="0" borderId="0"/>
    <xf numFmtId="168" fontId="296" fillId="0" borderId="0" applyFill="0" applyBorder="0" applyAlignment="0" applyProtection="0"/>
    <xf numFmtId="249" fontId="168" fillId="0" borderId="0" applyFont="0" applyFill="0" applyBorder="0" applyAlignment="0" applyProtection="0"/>
    <xf numFmtId="250" fontId="168" fillId="0" borderId="0" applyFont="0" applyFill="0" applyBorder="0" applyAlignment="0" applyProtection="0"/>
    <xf numFmtId="38" fontId="168" fillId="0" borderId="0" applyFont="0" applyFill="0" applyBorder="0" applyAlignment="0" applyProtection="0"/>
    <xf numFmtId="3" fontId="168" fillId="0" borderId="0"/>
    <xf numFmtId="246" fontId="262" fillId="15" borderId="0"/>
    <xf numFmtId="49" fontId="130" fillId="0" borderId="0">
      <alignment horizontal="right"/>
    </xf>
    <xf numFmtId="0" fontId="186" fillId="0" borderId="0"/>
    <xf numFmtId="0" fontId="186" fillId="0" borderId="0"/>
    <xf numFmtId="0" fontId="186" fillId="0" borderId="0"/>
    <xf numFmtId="0" fontId="186" fillId="0" borderId="0"/>
    <xf numFmtId="0" fontId="186" fillId="0" borderId="0"/>
    <xf numFmtId="0" fontId="186" fillId="0" borderId="0"/>
    <xf numFmtId="189" fontId="297" fillId="0" borderId="0" applyNumberFormat="0" applyFill="0" applyBorder="0" applyAlignment="0" applyProtection="0">
      <alignment horizontal="left"/>
    </xf>
    <xf numFmtId="0" fontId="19" fillId="17" borderId="0" applyNumberFormat="0" applyFont="0" applyBorder="0" applyAlignment="0" applyProtection="0"/>
    <xf numFmtId="0" fontId="19" fillId="17" borderId="0" applyNumberFormat="0" applyFont="0" applyBorder="0" applyAlignment="0" applyProtection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16">
      <alignment horizontal="centerContinuous"/>
    </xf>
    <xf numFmtId="0" fontId="49" fillId="0" borderId="16">
      <alignment horizontal="centerContinuous"/>
    </xf>
    <xf numFmtId="0" fontId="49" fillId="0" borderId="16">
      <alignment horizontal="centerContinuous"/>
    </xf>
    <xf numFmtId="0" fontId="49" fillId="0" borderId="16">
      <alignment horizontal="centerContinuous"/>
    </xf>
    <xf numFmtId="0" fontId="298" fillId="86" borderId="0" applyNumberFormat="0" applyFont="0" applyBorder="0" applyAlignment="0" applyProtection="0"/>
    <xf numFmtId="239" fontId="168" fillId="0" borderId="0" applyFont="0" applyFill="0" applyBorder="0" applyAlignment="0" applyProtection="0"/>
    <xf numFmtId="3" fontId="41" fillId="0" borderId="0"/>
    <xf numFmtId="0" fontId="19" fillId="0" borderId="0"/>
    <xf numFmtId="0" fontId="19" fillId="0" borderId="0" applyNumberFormat="0" applyFill="0" applyBorder="0" applyAlignment="0" applyProtection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/>
    <xf numFmtId="0" fontId="19" fillId="0" borderId="0">
      <alignment vertical="top"/>
    </xf>
    <xf numFmtId="3" fontId="130" fillId="0" borderId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3" fontId="130" fillId="0" borderId="0"/>
    <xf numFmtId="0" fontId="19" fillId="0" borderId="0"/>
    <xf numFmtId="0" fontId="19" fillId="0" borderId="0">
      <alignment vertical="top"/>
    </xf>
    <xf numFmtId="0" fontId="19" fillId="0" borderId="0" applyNumberFormat="0" applyFill="0" applyBorder="0" applyAlignment="0" applyProtection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3" fontId="130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>
      <alignment vertical="top"/>
    </xf>
    <xf numFmtId="0" fontId="318" fillId="64" borderId="42" applyNumberFormat="0" applyAlignment="0" applyProtection="0"/>
    <xf numFmtId="2" fontId="318" fillId="67" borderId="42" applyProtection="0">
      <alignment horizontal="right"/>
    </xf>
    <xf numFmtId="2" fontId="319" fillId="19" borderId="42" applyProtection="0">
      <alignment horizontal="right"/>
    </xf>
    <xf numFmtId="0" fontId="41" fillId="25" borderId="8" applyNumberFormat="0" applyProtection="0">
      <alignment horizontal="center" wrapText="1"/>
    </xf>
    <xf numFmtId="14" fontId="222" fillId="20" borderId="42" applyProtection="0">
      <alignment horizontal="right"/>
    </xf>
    <xf numFmtId="14" fontId="222" fillId="20" borderId="42" applyProtection="0">
      <alignment horizontal="left"/>
    </xf>
    <xf numFmtId="0" fontId="41" fillId="0" borderId="0" applyNumberFormat="0" applyFill="0" applyBorder="0" applyProtection="0">
      <alignment vertical="center"/>
    </xf>
    <xf numFmtId="0" fontId="320" fillId="64" borderId="42" applyNumberFormat="0" applyProtection="0">
      <alignment horizontal="left"/>
    </xf>
    <xf numFmtId="0" fontId="65" fillId="0" borderId="0" applyNumberFormat="0" applyFill="0" applyBorder="0" applyProtection="0">
      <alignment vertical="center"/>
    </xf>
    <xf numFmtId="41" fontId="19" fillId="0" borderId="0" applyFont="0" applyFill="0" applyBorder="0" applyAlignment="0" applyProtection="0"/>
    <xf numFmtId="0" fontId="41" fillId="18" borderId="8" applyNumberFormat="0" applyProtection="0">
      <alignment wrapText="1"/>
    </xf>
    <xf numFmtId="41" fontId="19" fillId="0" borderId="0" applyFont="0" applyFill="0" applyBorder="0" applyAlignment="0" applyProtection="0"/>
    <xf numFmtId="0" fontId="19" fillId="0" borderId="0">
      <alignment vertical="top"/>
    </xf>
    <xf numFmtId="0" fontId="19" fillId="0" borderId="0">
      <alignment vertical="top"/>
    </xf>
    <xf numFmtId="41" fontId="19" fillId="0" borderId="0" applyFont="0" applyFill="0" applyBorder="0" applyAlignment="0" applyProtection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68" fillId="0" borderId="0" applyNumberFormat="0" applyBorder="0" applyAlignment="0"/>
    <xf numFmtId="0" fontId="111" fillId="0" borderId="0" applyNumberFormat="0" applyBorder="0" applyAlignment="0"/>
    <xf numFmtId="196" fontId="299" fillId="0" borderId="0" applyFill="0" applyBorder="0" applyAlignment="0" applyProtection="0"/>
    <xf numFmtId="248" fontId="300" fillId="0" borderId="0" applyFill="0" applyBorder="0" applyAlignment="0" applyProtection="0"/>
    <xf numFmtId="0" fontId="187" fillId="0" borderId="0" applyNumberFormat="0" applyFill="0" applyBorder="0" applyProtection="0">
      <alignment horizontal="left" vertical="center"/>
    </xf>
    <xf numFmtId="239" fontId="168" fillId="0" borderId="0" applyFill="0" applyBorder="0" applyAlignment="0" applyProtection="0">
      <protection locked="0"/>
    </xf>
    <xf numFmtId="40" fontId="301" fillId="0" borderId="0" applyBorder="0">
      <alignment horizontal="right"/>
    </xf>
    <xf numFmtId="239" fontId="299" fillId="0" borderId="0" applyFill="0" applyBorder="0" applyAlignment="0" applyProtection="0"/>
    <xf numFmtId="0" fontId="60" fillId="0" borderId="0" applyFill="0" applyBorder="0" applyProtection="0">
      <alignment horizontal="left"/>
    </xf>
    <xf numFmtId="0" fontId="41" fillId="0" borderId="1" applyFill="0" applyBorder="0" applyProtection="0">
      <alignment horizontal="left" vertical="top"/>
    </xf>
    <xf numFmtId="0" fontId="41" fillId="0" borderId="1" applyFill="0" applyBorder="0" applyProtection="0">
      <alignment horizontal="left" vertical="top"/>
    </xf>
    <xf numFmtId="38" fontId="279" fillId="0" borderId="0" applyNumberFormat="0" applyBorder="0">
      <alignment horizontal="left"/>
    </xf>
    <xf numFmtId="0" fontId="267" fillId="0" borderId="0" applyNumberFormat="0" applyFont="0" applyFill="0" applyBorder="0" applyProtection="0">
      <alignment horizontal="left" vertical="top" wrapText="1"/>
    </xf>
    <xf numFmtId="0" fontId="312" fillId="0" borderId="0" applyNumberFormat="0" applyFill="0" applyBorder="0" applyAlignment="0" applyProtection="0"/>
    <xf numFmtId="0" fontId="312" fillId="0" borderId="0" applyNumberFormat="0" applyFill="0" applyBorder="0" applyAlignment="0" applyProtection="0"/>
    <xf numFmtId="0" fontId="93" fillId="0" borderId="0" applyNumberFormat="0" applyFill="0" applyBorder="0" applyAlignment="0" applyProtection="0"/>
    <xf numFmtId="239" fontId="302" fillId="0" borderId="0" applyNumberFormat="0" applyFill="0" applyBorder="0" applyAlignment="0" applyProtection="0"/>
    <xf numFmtId="37" fontId="281" fillId="0" borderId="0" applyNumberFormat="0" applyFill="0" applyBorder="0" applyAlignment="0" applyProtection="0">
      <alignment horizontal="center"/>
    </xf>
    <xf numFmtId="0" fontId="60" fillId="0" borderId="6">
      <alignment horizontal="right" wrapText="1"/>
    </xf>
    <xf numFmtId="0" fontId="60" fillId="0" borderId="6">
      <alignment horizontal="center" wrapText="1"/>
    </xf>
    <xf numFmtId="0" fontId="60" fillId="0" borderId="6">
      <alignment horizontal="right" wrapText="1"/>
    </xf>
    <xf numFmtId="0" fontId="60" fillId="0" borderId="6">
      <alignment horizontal="right" wrapText="1"/>
    </xf>
    <xf numFmtId="0" fontId="60" fillId="0" borderId="6">
      <alignment horizontal="right" wrapText="1"/>
    </xf>
    <xf numFmtId="0" fontId="60" fillId="0" borderId="6">
      <alignment horizontal="right" wrapText="1"/>
    </xf>
    <xf numFmtId="0" fontId="60" fillId="0" borderId="6">
      <alignment horizontal="right" wrapText="1"/>
    </xf>
    <xf numFmtId="0" fontId="60" fillId="0" borderId="6">
      <alignment horizontal="right" wrapText="1"/>
    </xf>
    <xf numFmtId="0" fontId="60" fillId="0" borderId="6">
      <alignment horizontal="right" wrapText="1"/>
    </xf>
    <xf numFmtId="0" fontId="60" fillId="0" borderId="6">
      <alignment horizontal="right" wrapText="1"/>
    </xf>
    <xf numFmtId="37" fontId="281" fillId="0" borderId="0" applyNumberFormat="0" applyFill="0" applyBorder="0" applyAlignment="0" applyProtection="0">
      <alignment horizontal="center"/>
    </xf>
    <xf numFmtId="0" fontId="213" fillId="0" borderId="58" applyNumberFormat="0" applyFill="0" applyAlignment="0" applyProtection="0"/>
    <xf numFmtId="0" fontId="226" fillId="0" borderId="0" applyAlignment="0">
      <alignment wrapText="1"/>
    </xf>
    <xf numFmtId="0" fontId="94" fillId="0" borderId="18" applyNumberFormat="0" applyFill="0" applyAlignment="0" applyProtection="0"/>
    <xf numFmtId="1" fontId="168" fillId="0" borderId="2" applyNumberFormat="0">
      <alignment horizontal="right"/>
    </xf>
    <xf numFmtId="37" fontId="41" fillId="17" borderId="0" applyNumberFormat="0" applyBorder="0" applyAlignment="0" applyProtection="0"/>
    <xf numFmtId="37" fontId="41" fillId="0" borderId="0"/>
    <xf numFmtId="3" fontId="66" fillId="0" borderId="57" applyProtection="0"/>
    <xf numFmtId="6" fontId="303" fillId="0" borderId="59" applyNumberFormat="0" applyFill="0" applyBorder="0" applyAlignment="0" applyProtection="0">
      <alignment horizontal="right"/>
    </xf>
    <xf numFmtId="237" fontId="185" fillId="15" borderId="1" applyBorder="0">
      <alignment horizontal="right" vertical="center"/>
      <protection locked="0"/>
    </xf>
    <xf numFmtId="0" fontId="304" fillId="0" borderId="0" applyNumberFormat="0"/>
    <xf numFmtId="0" fontId="95" fillId="0" borderId="0" applyNumberFormat="0" applyFill="0" applyBorder="0" applyAlignment="0" applyProtection="0"/>
    <xf numFmtId="1" fontId="168" fillId="0" borderId="0" applyFont="0" applyFill="0" applyBorder="0" applyAlignment="0" applyProtection="0"/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19" fillId="0" borderId="0">
      <alignment horizontal="center"/>
    </xf>
    <xf numFmtId="1" fontId="298" fillId="0" borderId="2">
      <alignment horizontal="center"/>
    </xf>
    <xf numFmtId="0" fontId="258" fillId="0" borderId="0"/>
    <xf numFmtId="40" fontId="261" fillId="0" borderId="0" applyFont="0" applyFill="0" applyBorder="0" applyAlignment="0" applyProtection="0"/>
    <xf numFmtId="0" fontId="19" fillId="0" borderId="0"/>
    <xf numFmtId="0" fontId="259" fillId="0" borderId="0" applyFont="0" applyFill="0" applyBorder="0" applyAlignment="0" applyProtection="0"/>
    <xf numFmtId="0" fontId="259" fillId="0" borderId="0" applyFont="0" applyFill="0" applyBorder="0" applyAlignment="0" applyProtection="0"/>
    <xf numFmtId="0" fontId="3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305" fillId="0" borderId="0"/>
    <xf numFmtId="0" fontId="269" fillId="0" borderId="0"/>
    <xf numFmtId="0" fontId="19" fillId="0" borderId="0" applyNumberFormat="0" applyFont="0" applyFill="0" applyBorder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322" fillId="0" borderId="0" applyFont="0" applyFill="0" applyBorder="0" applyAlignment="0" applyProtection="0"/>
    <xf numFmtId="43" fontId="321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321" fillId="0" borderId="0" applyFont="0" applyFill="0" applyBorder="0" applyAlignment="0" applyProtection="0"/>
    <xf numFmtId="3" fontId="130" fillId="0" borderId="17" applyBorder="0"/>
    <xf numFmtId="1" fontId="160" fillId="26" borderId="1" applyNumberFormat="0" applyBorder="0" applyAlignment="0">
      <alignment horizontal="center" vertical="top" wrapText="1"/>
      <protection hidden="1"/>
    </xf>
    <xf numFmtId="0" fontId="19" fillId="0" borderId="0" applyNumberFormat="0" applyFont="0" applyFill="0" applyBorder="0" applyAlignment="0" applyProtection="0"/>
    <xf numFmtId="9" fontId="182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0" fontId="10" fillId="0" borderId="0"/>
    <xf numFmtId="0" fontId="19" fillId="0" borderId="0"/>
    <xf numFmtId="0" fontId="19" fillId="0" borderId="0"/>
    <xf numFmtId="269" fontId="19" fillId="0" borderId="0" applyFont="0" applyFill="0" applyBorder="0" applyAlignment="0" applyProtection="0"/>
    <xf numFmtId="238" fontId="19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3" fontId="130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3" fontId="130" fillId="0" borderId="0"/>
    <xf numFmtId="0" fontId="19" fillId="0" borderId="0" applyNumberFormat="0" applyFill="0" applyBorder="0" applyAlignment="0" applyProtection="0"/>
    <xf numFmtId="3" fontId="130" fillId="0" borderId="0"/>
    <xf numFmtId="3" fontId="130" fillId="0" borderId="0"/>
    <xf numFmtId="0" fontId="19" fillId="0" borderId="0" applyNumberFormat="0" applyFill="0" applyBorder="0" applyAlignment="0" applyProtection="0"/>
    <xf numFmtId="3" fontId="130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3" fontId="130" fillId="0" borderId="0"/>
    <xf numFmtId="0" fontId="154" fillId="0" borderId="0"/>
    <xf numFmtId="269" fontId="154" fillId="0" borderId="0" applyFont="0" applyFill="0" applyBorder="0" applyAlignment="0" applyProtection="0"/>
    <xf numFmtId="238" fontId="154" fillId="0" borderId="0" applyFont="0" applyFill="0" applyBorder="0" applyAlignment="0" applyProtection="0"/>
    <xf numFmtId="270" fontId="155" fillId="0" borderId="0" applyFont="0" applyFill="0" applyBorder="0" applyAlignment="0" applyProtection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0" fontId="46" fillId="0" borderId="0"/>
    <xf numFmtId="268" fontId="154" fillId="0" borderId="0" applyFont="0" applyFill="0" applyBorder="0" applyAlignment="0" applyProtection="0"/>
    <xf numFmtId="271" fontId="154" fillId="0" borderId="0" applyFont="0" applyFill="0" applyBorder="0" applyAlignment="0" applyProtection="0"/>
    <xf numFmtId="0" fontId="323" fillId="0" borderId="0">
      <alignment horizontal="right"/>
    </xf>
    <xf numFmtId="0" fontId="48" fillId="0" borderId="0"/>
    <xf numFmtId="0" fontId="19" fillId="6" borderId="0" applyNumberFormat="0" applyFont="0" applyAlignment="0"/>
    <xf numFmtId="272" fontId="168" fillId="0" borderId="0">
      <alignment horizontal="right"/>
    </xf>
    <xf numFmtId="0" fontId="324" fillId="0" borderId="0"/>
    <xf numFmtId="273" fontId="278" fillId="0" borderId="0">
      <alignment horizontal="right"/>
    </xf>
    <xf numFmtId="0" fontId="19" fillId="0" borderId="0">
      <alignment horizontal="center" wrapText="1"/>
      <protection hidden="1"/>
    </xf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0" fontId="165" fillId="0" borderId="0"/>
    <xf numFmtId="3" fontId="19" fillId="0" borderId="0" applyFont="0" applyFill="0" applyBorder="0" applyAlignment="0" applyProtection="0"/>
    <xf numFmtId="0" fontId="135" fillId="15" borderId="0" applyNumberFormat="0" applyFill="0" applyBorder="0" applyAlignment="0"/>
    <xf numFmtId="0" fontId="325" fillId="87" borderId="0">
      <alignment horizontal="center" vertical="center" wrapText="1"/>
    </xf>
    <xf numFmtId="274" fontId="19" fillId="0" borderId="0" applyFill="0" applyBorder="0">
      <alignment horizontal="right"/>
      <protection locked="0"/>
    </xf>
    <xf numFmtId="228" fontId="326" fillId="0" borderId="0"/>
    <xf numFmtId="228" fontId="326" fillId="0" borderId="0"/>
    <xf numFmtId="8" fontId="46" fillId="0" borderId="0" applyFont="0" applyFill="0" applyBorder="0" applyAlignment="0" applyProtection="0"/>
    <xf numFmtId="188" fontId="327" fillId="0" borderId="0" applyFont="0" applyFill="0" applyBorder="0" applyAlignment="0" applyProtection="0"/>
    <xf numFmtId="275" fontId="19" fillId="0" borderId="0" applyFont="0" applyFill="0" applyBorder="0" applyAlignment="0" applyProtection="0"/>
    <xf numFmtId="0" fontId="46" fillId="0" borderId="0" applyFont="0" applyFill="0" applyBorder="0" applyAlignment="0">
      <protection locked="0"/>
    </xf>
    <xf numFmtId="44" fontId="19" fillId="0" borderId="0" applyFont="0" applyFill="0" applyBorder="0" applyAlignment="0" applyProtection="0"/>
    <xf numFmtId="38" fontId="228" fillId="29" borderId="60">
      <protection locked="0"/>
    </xf>
    <xf numFmtId="37" fontId="64" fillId="0" borderId="61" applyAlignment="0">
      <protection locked="0"/>
    </xf>
    <xf numFmtId="10" fontId="64" fillId="0" borderId="61" applyAlignment="0">
      <protection locked="0"/>
    </xf>
    <xf numFmtId="37" fontId="64" fillId="0" borderId="61" applyAlignment="0">
      <protection locked="0"/>
    </xf>
    <xf numFmtId="182" fontId="278" fillId="0" borderId="0"/>
    <xf numFmtId="2" fontId="226" fillId="16" borderId="0">
      <alignment horizontal="left"/>
      <protection hidden="1"/>
    </xf>
    <xf numFmtId="236" fontId="168" fillId="0" borderId="0"/>
    <xf numFmtId="2" fontId="278" fillId="0" borderId="0"/>
    <xf numFmtId="264" fontId="168" fillId="0" borderId="0"/>
    <xf numFmtId="261" fontId="278" fillId="0" borderId="0"/>
    <xf numFmtId="262" fontId="328" fillId="0" borderId="0" applyBorder="0" applyAlignment="0"/>
    <xf numFmtId="239" fontId="329" fillId="30" borderId="0" applyNumberFormat="0" applyBorder="0" applyAlignment="0">
      <protection locked="0"/>
    </xf>
    <xf numFmtId="10" fontId="330" fillId="0" borderId="0">
      <protection locked="0"/>
    </xf>
    <xf numFmtId="15" fontId="330" fillId="0" borderId="0">
      <protection locked="0"/>
    </xf>
    <xf numFmtId="2" fontId="330" fillId="0" borderId="25">
      <protection locked="0"/>
    </xf>
    <xf numFmtId="37" fontId="65" fillId="6" borderId="0"/>
    <xf numFmtId="37" fontId="62" fillId="6" borderId="0"/>
    <xf numFmtId="0" fontId="330" fillId="0" borderId="0">
      <protection locked="0"/>
    </xf>
    <xf numFmtId="199" fontId="19" fillId="0" borderId="0" applyFill="0" applyBorder="0">
      <alignment horizontal="right"/>
      <protection locked="0"/>
    </xf>
    <xf numFmtId="0" fontId="36" fillId="24" borderId="30">
      <alignment horizontal="left" vertical="center" wrapText="1"/>
    </xf>
    <xf numFmtId="4" fontId="278" fillId="0" borderId="0"/>
    <xf numFmtId="276" fontId="168" fillId="0" borderId="0"/>
    <xf numFmtId="0" fontId="46" fillId="0" borderId="0"/>
    <xf numFmtId="0" fontId="19" fillId="0" borderId="0" applyNumberFormat="0" applyFill="0" applyBorder="0" applyAlignment="0" applyProtection="0"/>
    <xf numFmtId="0" fontId="46" fillId="0" borderId="0"/>
    <xf numFmtId="0" fontId="10" fillId="0" borderId="0"/>
    <xf numFmtId="0" fontId="10" fillId="0" borderId="0"/>
    <xf numFmtId="239" fontId="65" fillId="0" borderId="0" applyNumberFormat="0" applyFill="0" applyBorder="0" applyAlignment="0" applyProtection="0"/>
    <xf numFmtId="0" fontId="331" fillId="0" borderId="25"/>
    <xf numFmtId="38" fontId="332" fillId="0" borderId="0"/>
    <xf numFmtId="3" fontId="130" fillId="0" borderId="17" applyBorder="0"/>
    <xf numFmtId="239" fontId="60" fillId="0" borderId="0" applyFont="0" applyBorder="0">
      <alignment horizontal="right"/>
    </xf>
    <xf numFmtId="1" fontId="60" fillId="0" borderId="0">
      <alignment horizontal="right"/>
    </xf>
    <xf numFmtId="37" fontId="64" fillId="0" borderId="61">
      <protection locked="0"/>
    </xf>
    <xf numFmtId="10" fontId="332" fillId="0" borderId="0"/>
    <xf numFmtId="9" fontId="46" fillId="0" borderId="0" applyFont="0" applyFill="0" applyBorder="0" applyAlignment="0" applyProtection="0"/>
    <xf numFmtId="277" fontId="168" fillId="0" borderId="0">
      <alignment horizontal="right"/>
    </xf>
    <xf numFmtId="10" fontId="327" fillId="0" borderId="0" applyFont="0" applyFill="0" applyBorder="0" applyAlignment="0" applyProtection="0"/>
    <xf numFmtId="239" fontId="333" fillId="0" borderId="0">
      <alignment horizontal="right"/>
    </xf>
    <xf numFmtId="278" fontId="19" fillId="0" borderId="0" applyFill="0" applyBorder="0">
      <alignment horizontal="right"/>
      <protection locked="0"/>
    </xf>
    <xf numFmtId="37" fontId="64" fillId="0" borderId="0">
      <protection locked="0"/>
    </xf>
    <xf numFmtId="250" fontId="155" fillId="0" borderId="0" applyFill="0" applyBorder="0">
      <alignment horizontal="right"/>
      <protection locked="0"/>
    </xf>
    <xf numFmtId="2" fontId="332" fillId="0" borderId="0"/>
    <xf numFmtId="279" fontId="19" fillId="0" borderId="0">
      <alignment horizontal="right"/>
      <protection locked="0"/>
    </xf>
    <xf numFmtId="37" fontId="46" fillId="0" borderId="0" applyFont="0" applyFill="0" applyBorder="0" applyAlignment="0" applyProtection="0"/>
    <xf numFmtId="0" fontId="328" fillId="0" borderId="0" applyNumberFormat="0" applyFill="0" applyBorder="0" applyAlignment="0" applyProtection="0"/>
    <xf numFmtId="280" fontId="334" fillId="0" borderId="0" applyFill="0" applyBorder="0">
      <alignment horizontal="right"/>
      <protection hidden="1"/>
    </xf>
    <xf numFmtId="0" fontId="62" fillId="87" borderId="8">
      <alignment horizontal="center" vertical="center" wrapText="1"/>
      <protection hidden="1"/>
    </xf>
    <xf numFmtId="0" fontId="59" fillId="19" borderId="0">
      <alignment horizontal="right"/>
    </xf>
    <xf numFmtId="182" fontId="168" fillId="0" borderId="0"/>
    <xf numFmtId="281" fontId="155" fillId="0" borderId="0">
      <protection locked="0"/>
    </xf>
    <xf numFmtId="0" fontId="68" fillId="0" borderId="1" applyBorder="0">
      <alignment horizontal="center"/>
    </xf>
    <xf numFmtId="38" fontId="19" fillId="0" borderId="0" applyNumberFormat="0" applyBorder="0">
      <alignment horizontal="left"/>
    </xf>
    <xf numFmtId="0" fontId="332" fillId="0" borderId="0"/>
    <xf numFmtId="0" fontId="63" fillId="88" borderId="0" applyNumberFormat="0" applyBorder="0">
      <alignment horizontal="centerContinuous"/>
    </xf>
    <xf numFmtId="0" fontId="19" fillId="0" borderId="0" applyBorder="0"/>
    <xf numFmtId="38" fontId="19" fillId="0" borderId="0">
      <alignment horizontal="right"/>
    </xf>
    <xf numFmtId="239" fontId="41" fillId="30" borderId="60">
      <alignment horizontal="right"/>
    </xf>
    <xf numFmtId="239" fontId="65" fillId="30" borderId="60"/>
    <xf numFmtId="1" fontId="335" fillId="0" borderId="0" applyFont="0">
      <alignment horizontal="right"/>
    </xf>
    <xf numFmtId="0" fontId="314" fillId="0" borderId="0"/>
    <xf numFmtId="269" fontId="314" fillId="0" borderId="0" applyFont="0" applyFill="0" applyBorder="0" applyAlignment="0" applyProtection="0"/>
    <xf numFmtId="238" fontId="314" fillId="0" borderId="0" applyFont="0" applyFill="0" applyBorder="0" applyAlignment="0" applyProtection="0"/>
    <xf numFmtId="9" fontId="130" fillId="0" borderId="0" applyFont="0" applyFill="0" applyBorder="0" applyProtection="0">
      <alignment horizontal="right"/>
    </xf>
    <xf numFmtId="268" fontId="314" fillId="0" borderId="0" applyFont="0" applyFill="0" applyBorder="0" applyAlignment="0" applyProtection="0"/>
    <xf numFmtId="271" fontId="314" fillId="0" borderId="0" applyFont="0" applyFill="0" applyBorder="0" applyAlignment="0" applyProtection="0"/>
    <xf numFmtId="0" fontId="193" fillId="0" borderId="0" applyNumberFormat="0" applyFill="0" applyBorder="0" applyAlignment="0" applyProtection="0">
      <alignment vertical="top"/>
      <protection locked="0"/>
    </xf>
    <xf numFmtId="0" fontId="41" fillId="0" borderId="0"/>
    <xf numFmtId="9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244" fontId="19" fillId="15" borderId="20">
      <alignment horizontal="right"/>
    </xf>
    <xf numFmtId="43" fontId="10" fillId="0" borderId="0" applyFont="0" applyFill="0" applyBorder="0" applyAlignment="0" applyProtection="0"/>
    <xf numFmtId="188" fontId="19" fillId="15" borderId="20">
      <alignment horizontal="right"/>
    </xf>
    <xf numFmtId="43" fontId="10" fillId="0" borderId="0" applyFont="0" applyFill="0" applyBorder="0" applyAlignment="0" applyProtection="0"/>
    <xf numFmtId="0" fontId="173" fillId="0" borderId="0"/>
    <xf numFmtId="43" fontId="10" fillId="0" borderId="0" applyFont="0" applyFill="0" applyBorder="0" applyAlignment="0" applyProtection="0"/>
    <xf numFmtId="0" fontId="10" fillId="0" borderId="0"/>
    <xf numFmtId="43" fontId="41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0" fontId="10" fillId="0" borderId="0"/>
    <xf numFmtId="0" fontId="19" fillId="0" borderId="0"/>
    <xf numFmtId="0" fontId="10" fillId="0" borderId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86" fillId="0" borderId="0"/>
    <xf numFmtId="0" fontId="41" fillId="0" borderId="0"/>
    <xf numFmtId="0" fontId="41" fillId="0" borderId="0"/>
    <xf numFmtId="0" fontId="19" fillId="0" borderId="0" applyFont="0" applyFill="0" applyBorder="0" applyAlignment="0" applyProtection="0"/>
    <xf numFmtId="0" fontId="20" fillId="0" borderId="0" applyNumberFormat="0" applyFont="0" applyFill="0" applyBorder="0" applyAlignment="0" applyProtection="0"/>
    <xf numFmtId="240" fontId="251" fillId="0" borderId="0"/>
    <xf numFmtId="43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68" fillId="0" borderId="1" applyBorder="0">
      <alignment horizontal="center"/>
    </xf>
    <xf numFmtId="0" fontId="193" fillId="0" borderId="0" applyNumberFormat="0" applyFill="0" applyBorder="0" applyAlignment="0" applyProtection="0">
      <alignment vertical="top"/>
      <protection locked="0"/>
    </xf>
    <xf numFmtId="0" fontId="194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0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9" fillId="0" borderId="0"/>
    <xf numFmtId="0" fontId="10" fillId="0" borderId="0"/>
    <xf numFmtId="0" fontId="19" fillId="0" borderId="0" applyNumberFormat="0" applyFont="0" applyFill="0" applyBorder="0" applyAlignment="0" applyProtection="0"/>
    <xf numFmtId="0" fontId="10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82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82" fillId="0" borderId="0"/>
    <xf numFmtId="0" fontId="19" fillId="0" borderId="0"/>
    <xf numFmtId="3" fontId="130" fillId="0" borderId="0" applyBorder="0"/>
    <xf numFmtId="0" fontId="41" fillId="0" borderId="1" applyFill="0" applyBorder="0" applyProtection="0">
      <alignment horizontal="left" vertical="top"/>
    </xf>
    <xf numFmtId="9" fontId="10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267" fillId="0" borderId="1" applyNumberFormat="0" applyFont="0" applyFill="0" applyAlignment="0" applyProtection="0"/>
    <xf numFmtId="9" fontId="1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237" fontId="185" fillId="15" borderId="1" applyBorder="0">
      <alignment horizontal="right" vertical="center"/>
      <protection locked="0"/>
    </xf>
    <xf numFmtId="9" fontId="19" fillId="0" borderId="0" applyFont="0" applyFill="0" applyBorder="0" applyAlignment="0" applyProtection="0"/>
    <xf numFmtId="0" fontId="61" fillId="0" borderId="0"/>
    <xf numFmtId="0" fontId="61" fillId="0" borderId="0"/>
    <xf numFmtId="4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9" fillId="0" borderId="0"/>
    <xf numFmtId="0" fontId="9" fillId="39" borderId="40" applyNumberFormat="0" applyFont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9" borderId="0" applyNumberFormat="0" applyBorder="0" applyAlignment="0" applyProtection="0"/>
    <xf numFmtId="0" fontId="9" fillId="50" borderId="0" applyNumberFormat="0" applyBorder="0" applyAlignment="0" applyProtection="0"/>
    <xf numFmtId="0" fontId="9" fillId="53" borderId="0" applyNumberFormat="0" applyBorder="0" applyAlignment="0" applyProtection="0"/>
    <xf numFmtId="0" fontId="9" fillId="54" borderId="0" applyNumberFormat="0" applyBorder="0" applyAlignment="0" applyProtection="0"/>
    <xf numFmtId="0" fontId="9" fillId="57" borderId="0" applyNumberFormat="0" applyBorder="0" applyAlignment="0" applyProtection="0"/>
    <xf numFmtId="0" fontId="9" fillId="58" borderId="0" applyNumberFormat="0" applyBorder="0" applyAlignment="0" applyProtection="0"/>
    <xf numFmtId="0" fontId="9" fillId="61" borderId="0" applyNumberFormat="0" applyBorder="0" applyAlignment="0" applyProtection="0"/>
    <xf numFmtId="0" fontId="9" fillId="62" borderId="0" applyNumberFormat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23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 applyNumberFormat="0" applyFont="0" applyFill="0" applyBorder="0" applyAlignment="0" applyProtection="0"/>
    <xf numFmtId="0" fontId="9" fillId="0" borderId="0"/>
    <xf numFmtId="0" fontId="9" fillId="39" borderId="40" applyNumberFormat="0" applyFont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9" borderId="0" applyNumberFormat="0" applyBorder="0" applyAlignment="0" applyProtection="0"/>
    <xf numFmtId="0" fontId="9" fillId="50" borderId="0" applyNumberFormat="0" applyBorder="0" applyAlignment="0" applyProtection="0"/>
    <xf numFmtId="0" fontId="9" fillId="53" borderId="0" applyNumberFormat="0" applyBorder="0" applyAlignment="0" applyProtection="0"/>
    <xf numFmtId="0" fontId="9" fillId="54" borderId="0" applyNumberFormat="0" applyBorder="0" applyAlignment="0" applyProtection="0"/>
    <xf numFmtId="0" fontId="9" fillId="57" borderId="0" applyNumberFormat="0" applyBorder="0" applyAlignment="0" applyProtection="0"/>
    <xf numFmtId="0" fontId="9" fillId="58" borderId="0" applyNumberFormat="0" applyBorder="0" applyAlignment="0" applyProtection="0"/>
    <xf numFmtId="0" fontId="9" fillId="61" borderId="0" applyNumberFormat="0" applyBorder="0" applyAlignment="0" applyProtection="0"/>
    <xf numFmtId="0" fontId="9" fillId="62" borderId="0" applyNumberFormat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23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42" borderId="0" applyNumberFormat="0" applyBorder="0" applyAlignment="0" applyProtection="0"/>
    <xf numFmtId="0" fontId="9" fillId="0" borderId="0"/>
    <xf numFmtId="0" fontId="9" fillId="50" borderId="0" applyNumberFormat="0" applyBorder="0" applyAlignment="0" applyProtection="0"/>
    <xf numFmtId="0" fontId="9" fillId="39" borderId="40" applyNumberFormat="0" applyFont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9" borderId="0" applyNumberFormat="0" applyBorder="0" applyAlignment="0" applyProtection="0"/>
    <xf numFmtId="0" fontId="9" fillId="50" borderId="0" applyNumberFormat="0" applyBorder="0" applyAlignment="0" applyProtection="0"/>
    <xf numFmtId="0" fontId="9" fillId="53" borderId="0" applyNumberFormat="0" applyBorder="0" applyAlignment="0" applyProtection="0"/>
    <xf numFmtId="0" fontId="9" fillId="54" borderId="0" applyNumberFormat="0" applyBorder="0" applyAlignment="0" applyProtection="0"/>
    <xf numFmtId="0" fontId="9" fillId="57" borderId="0" applyNumberFormat="0" applyBorder="0" applyAlignment="0" applyProtection="0"/>
    <xf numFmtId="0" fontId="9" fillId="58" borderId="0" applyNumberFormat="0" applyBorder="0" applyAlignment="0" applyProtection="0"/>
    <xf numFmtId="0" fontId="9" fillId="61" borderId="0" applyNumberFormat="0" applyBorder="0" applyAlignment="0" applyProtection="0"/>
    <xf numFmtId="0" fontId="9" fillId="62" borderId="0" applyNumberFormat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23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46" borderId="0" applyNumberFormat="0" applyBorder="0" applyAlignment="0" applyProtection="0"/>
    <xf numFmtId="0" fontId="9" fillId="41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49" borderId="0" applyNumberFormat="0" applyBorder="0" applyAlignment="0" applyProtection="0"/>
    <xf numFmtId="0" fontId="9" fillId="0" borderId="0"/>
    <xf numFmtId="0" fontId="9" fillId="0" borderId="0"/>
    <xf numFmtId="0" fontId="9" fillId="45" borderId="0" applyNumberFormat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39" borderId="40" applyNumberFormat="0" applyFont="0" applyAlignment="0" applyProtection="0"/>
    <xf numFmtId="0" fontId="9" fillId="53" borderId="0" applyNumberFormat="0" applyBorder="0" applyAlignment="0" applyProtection="0"/>
    <xf numFmtId="0" fontId="9" fillId="54" borderId="0" applyNumberFormat="0" applyBorder="0" applyAlignment="0" applyProtection="0"/>
    <xf numFmtId="0" fontId="9" fillId="57" borderId="0" applyNumberFormat="0" applyBorder="0" applyAlignment="0" applyProtection="0"/>
    <xf numFmtId="0" fontId="9" fillId="58" borderId="0" applyNumberFormat="0" applyBorder="0" applyAlignment="0" applyProtection="0"/>
    <xf numFmtId="0" fontId="9" fillId="61" borderId="0" applyNumberFormat="0" applyBorder="0" applyAlignment="0" applyProtection="0"/>
    <xf numFmtId="0" fontId="9" fillId="62" borderId="0" applyNumberFormat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23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39" borderId="40" applyNumberFormat="0" applyFont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9" borderId="0" applyNumberFormat="0" applyBorder="0" applyAlignment="0" applyProtection="0"/>
    <xf numFmtId="0" fontId="9" fillId="50" borderId="0" applyNumberFormat="0" applyBorder="0" applyAlignment="0" applyProtection="0"/>
    <xf numFmtId="0" fontId="9" fillId="53" borderId="0" applyNumberFormat="0" applyBorder="0" applyAlignment="0" applyProtection="0"/>
    <xf numFmtId="0" fontId="9" fillId="54" borderId="0" applyNumberFormat="0" applyBorder="0" applyAlignment="0" applyProtection="0"/>
    <xf numFmtId="0" fontId="9" fillId="57" borderId="0" applyNumberFormat="0" applyBorder="0" applyAlignment="0" applyProtection="0"/>
    <xf numFmtId="0" fontId="9" fillId="58" borderId="0" applyNumberFormat="0" applyBorder="0" applyAlignment="0" applyProtection="0"/>
    <xf numFmtId="0" fontId="9" fillId="61" borderId="0" applyNumberFormat="0" applyBorder="0" applyAlignment="0" applyProtection="0"/>
    <xf numFmtId="0" fontId="9" fillId="62" borderId="0" applyNumberFormat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23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39" borderId="40" applyNumberFormat="0" applyFont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9" borderId="0" applyNumberFormat="0" applyBorder="0" applyAlignment="0" applyProtection="0"/>
    <xf numFmtId="0" fontId="9" fillId="50" borderId="0" applyNumberFormat="0" applyBorder="0" applyAlignment="0" applyProtection="0"/>
    <xf numFmtId="0" fontId="9" fillId="53" borderId="0" applyNumberFormat="0" applyBorder="0" applyAlignment="0" applyProtection="0"/>
    <xf numFmtId="0" fontId="9" fillId="54" borderId="0" applyNumberFormat="0" applyBorder="0" applyAlignment="0" applyProtection="0"/>
    <xf numFmtId="0" fontId="9" fillId="57" borderId="0" applyNumberFormat="0" applyBorder="0" applyAlignment="0" applyProtection="0"/>
    <xf numFmtId="0" fontId="9" fillId="58" borderId="0" applyNumberFormat="0" applyBorder="0" applyAlignment="0" applyProtection="0"/>
    <xf numFmtId="0" fontId="9" fillId="61" borderId="0" applyNumberFormat="0" applyBorder="0" applyAlignment="0" applyProtection="0"/>
    <xf numFmtId="0" fontId="9" fillId="62" borderId="0" applyNumberFormat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23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42" borderId="0" applyNumberFormat="0" applyBorder="0" applyAlignment="0" applyProtection="0"/>
    <xf numFmtId="0" fontId="9" fillId="0" borderId="0"/>
    <xf numFmtId="0" fontId="9" fillId="50" borderId="0" applyNumberFormat="0" applyBorder="0" applyAlignment="0" applyProtection="0"/>
    <xf numFmtId="0" fontId="9" fillId="39" borderId="40" applyNumberFormat="0" applyFont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9" borderId="0" applyNumberFormat="0" applyBorder="0" applyAlignment="0" applyProtection="0"/>
    <xf numFmtId="0" fontId="9" fillId="50" borderId="0" applyNumberFormat="0" applyBorder="0" applyAlignment="0" applyProtection="0"/>
    <xf numFmtId="0" fontId="9" fillId="53" borderId="0" applyNumberFormat="0" applyBorder="0" applyAlignment="0" applyProtection="0"/>
    <xf numFmtId="0" fontId="9" fillId="54" borderId="0" applyNumberFormat="0" applyBorder="0" applyAlignment="0" applyProtection="0"/>
    <xf numFmtId="0" fontId="9" fillId="57" borderId="0" applyNumberFormat="0" applyBorder="0" applyAlignment="0" applyProtection="0"/>
    <xf numFmtId="0" fontId="9" fillId="58" borderId="0" applyNumberFormat="0" applyBorder="0" applyAlignment="0" applyProtection="0"/>
    <xf numFmtId="0" fontId="9" fillId="61" borderId="0" applyNumberFormat="0" applyBorder="0" applyAlignment="0" applyProtection="0"/>
    <xf numFmtId="0" fontId="9" fillId="62" borderId="0" applyNumberFormat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23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46" borderId="0" applyNumberFormat="0" applyBorder="0" applyAlignment="0" applyProtection="0"/>
    <xf numFmtId="0" fontId="9" fillId="41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49" borderId="0" applyNumberFormat="0" applyBorder="0" applyAlignment="0" applyProtection="0"/>
    <xf numFmtId="0" fontId="9" fillId="0" borderId="0"/>
    <xf numFmtId="0" fontId="9" fillId="0" borderId="0"/>
    <xf numFmtId="0" fontId="9" fillId="45" borderId="0" applyNumberFormat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39" borderId="40" applyNumberFormat="0" applyFont="0" applyAlignment="0" applyProtection="0"/>
    <xf numFmtId="0" fontId="9" fillId="53" borderId="0" applyNumberFormat="0" applyBorder="0" applyAlignment="0" applyProtection="0"/>
    <xf numFmtId="0" fontId="9" fillId="54" borderId="0" applyNumberFormat="0" applyBorder="0" applyAlignment="0" applyProtection="0"/>
    <xf numFmtId="0" fontId="9" fillId="57" borderId="0" applyNumberFormat="0" applyBorder="0" applyAlignment="0" applyProtection="0"/>
    <xf numFmtId="0" fontId="9" fillId="58" borderId="0" applyNumberFormat="0" applyBorder="0" applyAlignment="0" applyProtection="0"/>
    <xf numFmtId="0" fontId="9" fillId="61" borderId="0" applyNumberFormat="0" applyBorder="0" applyAlignment="0" applyProtection="0"/>
    <xf numFmtId="0" fontId="9" fillId="62" borderId="0" applyNumberFormat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23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73" borderId="0" applyNumberFormat="0" applyBorder="0" applyAlignment="0" applyProtection="0"/>
    <xf numFmtId="0" fontId="9" fillId="73" borderId="0" applyNumberFormat="0" applyBorder="0" applyAlignment="0" applyProtection="0"/>
    <xf numFmtId="0" fontId="9" fillId="73" borderId="0" applyNumberFormat="0" applyBorder="0" applyAlignment="0" applyProtection="0"/>
    <xf numFmtId="0" fontId="9" fillId="73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9" borderId="0" applyNumberFormat="0" applyBorder="0" applyAlignment="0" applyProtection="0"/>
    <xf numFmtId="0" fontId="9" fillId="49" borderId="0" applyNumberFormat="0" applyBorder="0" applyAlignment="0" applyProtection="0"/>
    <xf numFmtId="0" fontId="9" fillId="49" borderId="0" applyNumberFormat="0" applyBorder="0" applyAlignment="0" applyProtection="0"/>
    <xf numFmtId="0" fontId="9" fillId="49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57" borderId="0" applyNumberFormat="0" applyBorder="0" applyAlignment="0" applyProtection="0"/>
    <xf numFmtId="0" fontId="9" fillId="57" borderId="0" applyNumberFormat="0" applyBorder="0" applyAlignment="0" applyProtection="0"/>
    <xf numFmtId="0" fontId="9" fillId="57" borderId="0" applyNumberFormat="0" applyBorder="0" applyAlignment="0" applyProtection="0"/>
    <xf numFmtId="0" fontId="9" fillId="57" borderId="0" applyNumberFormat="0" applyBorder="0" applyAlignment="0" applyProtection="0"/>
    <xf numFmtId="0" fontId="9" fillId="61" borderId="0" applyNumberFormat="0" applyBorder="0" applyAlignment="0" applyProtection="0"/>
    <xf numFmtId="0" fontId="9" fillId="61" borderId="0" applyNumberFormat="0" applyBorder="0" applyAlignment="0" applyProtection="0"/>
    <xf numFmtId="0" fontId="9" fillId="61" borderId="0" applyNumberFormat="0" applyBorder="0" applyAlignment="0" applyProtection="0"/>
    <xf numFmtId="0" fontId="9" fillId="61" borderId="0" applyNumberFormat="0" applyBorder="0" applyAlignment="0" applyProtection="0"/>
    <xf numFmtId="0" fontId="9" fillId="75" borderId="0" applyNumberFormat="0" applyBorder="0" applyAlignment="0" applyProtection="0"/>
    <xf numFmtId="0" fontId="9" fillId="75" borderId="0" applyNumberFormat="0" applyBorder="0" applyAlignment="0" applyProtection="0"/>
    <xf numFmtId="0" fontId="9" fillId="75" borderId="0" applyNumberFormat="0" applyBorder="0" applyAlignment="0" applyProtection="0"/>
    <xf numFmtId="0" fontId="9" fillId="75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74" borderId="0" applyNumberFormat="0" applyBorder="0" applyAlignment="0" applyProtection="0"/>
    <xf numFmtId="0" fontId="9" fillId="58" borderId="0" applyNumberFormat="0" applyBorder="0" applyAlignment="0" applyProtection="0"/>
    <xf numFmtId="0" fontId="9" fillId="58" borderId="0" applyNumberFormat="0" applyBorder="0" applyAlignment="0" applyProtection="0"/>
    <xf numFmtId="0" fontId="9" fillId="58" borderId="0" applyNumberFormat="0" applyBorder="0" applyAlignment="0" applyProtection="0"/>
    <xf numFmtId="0" fontId="9" fillId="58" borderId="0" applyNumberFormat="0" applyBorder="0" applyAlignment="0" applyProtection="0"/>
    <xf numFmtId="0" fontId="9" fillId="62" borderId="0" applyNumberFormat="0" applyBorder="0" applyAlignment="0" applyProtection="0"/>
    <xf numFmtId="0" fontId="9" fillId="62" borderId="0" applyNumberFormat="0" applyBorder="0" applyAlignment="0" applyProtection="0"/>
    <xf numFmtId="0" fontId="9" fillId="62" borderId="0" applyNumberFormat="0" applyBorder="0" applyAlignment="0" applyProtection="0"/>
    <xf numFmtId="0" fontId="9" fillId="62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79" fillId="72" borderId="0" applyNumberFormat="0" applyBorder="0" applyAlignment="0" applyProtection="0"/>
    <xf numFmtId="43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89" fillId="2" borderId="3" applyNumberFormat="0" applyAlignment="0" applyProtection="0"/>
    <xf numFmtId="0" fontId="89" fillId="2" borderId="3" applyNumberFormat="0" applyAlignment="0" applyProtection="0"/>
    <xf numFmtId="0" fontId="338" fillId="0" borderId="62" applyNumberFormat="0" applyFill="0" applyAlignment="0" applyProtection="0"/>
    <xf numFmtId="0" fontId="65" fillId="0" borderId="0"/>
    <xf numFmtId="0" fontId="82" fillId="6" borderId="3" applyNumberFormat="0" applyAlignment="0" applyProtection="0"/>
    <xf numFmtId="0" fontId="19" fillId="0" borderId="0" applyNumberFormat="0" applyFill="0" applyBorder="0" applyAlignment="0" applyProtection="0"/>
    <xf numFmtId="0" fontId="80" fillId="90" borderId="0" applyNumberFormat="0" applyBorder="0" applyAlignment="0" applyProtection="0"/>
    <xf numFmtId="0" fontId="128" fillId="0" borderId="0" applyNumberFormat="0" applyFill="0" applyBorder="0" applyAlignment="0" applyProtection="0">
      <alignment vertical="top"/>
      <protection locked="0"/>
    </xf>
    <xf numFmtId="0" fontId="19" fillId="0" borderId="0" applyNumberFormat="0" applyFont="0" applyFill="0" applyBorder="0" applyAlignment="0" applyProtection="0"/>
    <xf numFmtId="282" fontId="341" fillId="95" borderId="0" applyNumberFormat="0" applyBorder="0">
      <alignment horizontal="right"/>
      <protection locked="0"/>
    </xf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79" fillId="69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49" borderId="0" applyNumberFormat="0" applyBorder="0" applyAlignment="0" applyProtection="0"/>
    <xf numFmtId="0" fontId="8" fillId="49" borderId="0" applyNumberFormat="0" applyBorder="0" applyAlignment="0" applyProtection="0"/>
    <xf numFmtId="0" fontId="8" fillId="49" borderId="0" applyNumberFormat="0" applyBorder="0" applyAlignment="0" applyProtection="0"/>
    <xf numFmtId="0" fontId="8" fillId="49" borderId="0" applyNumberFormat="0" applyBorder="0" applyAlignment="0" applyProtection="0"/>
    <xf numFmtId="0" fontId="8" fillId="49" borderId="0" applyNumberFormat="0" applyBorder="0" applyAlignment="0" applyProtection="0"/>
    <xf numFmtId="0" fontId="8" fillId="49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82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61" borderId="0" applyNumberFormat="0" applyBorder="0" applyAlignment="0" applyProtection="0"/>
    <xf numFmtId="0" fontId="8" fillId="61" borderId="0" applyNumberFormat="0" applyBorder="0" applyAlignment="0" applyProtection="0"/>
    <xf numFmtId="0" fontId="8" fillId="61" borderId="0" applyNumberFormat="0" applyBorder="0" applyAlignment="0" applyProtection="0"/>
    <xf numFmtId="0" fontId="89" fillId="2" borderId="3" applyNumberFormat="0" applyAlignment="0" applyProtection="0"/>
    <xf numFmtId="0" fontId="8" fillId="61" borderId="0" applyNumberFormat="0" applyBorder="0" applyAlignment="0" applyProtection="0"/>
    <xf numFmtId="0" fontId="8" fillId="61" borderId="0" applyNumberFormat="0" applyBorder="0" applyAlignment="0" applyProtection="0"/>
    <xf numFmtId="0" fontId="8" fillId="61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74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46" fillId="0" borderId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6" borderId="0" applyNumberFormat="0" applyBorder="0" applyAlignment="0" applyProtection="0"/>
    <xf numFmtId="0" fontId="8" fillId="73" borderId="0" applyNumberFormat="0" applyBorder="0" applyAlignment="0" applyProtection="0"/>
    <xf numFmtId="0" fontId="8" fillId="73" borderId="0" applyNumberFormat="0" applyBorder="0" applyAlignment="0" applyProtection="0"/>
    <xf numFmtId="0" fontId="8" fillId="73" borderId="0" applyNumberFormat="0" applyBorder="0" applyAlignment="0" applyProtection="0"/>
    <xf numFmtId="0" fontId="8" fillId="73" borderId="0" applyNumberFormat="0" applyBorder="0" applyAlignment="0" applyProtection="0"/>
    <xf numFmtId="0" fontId="8" fillId="73" borderId="0" applyNumberFormat="0" applyBorder="0" applyAlignment="0" applyProtection="0"/>
    <xf numFmtId="0" fontId="8" fillId="73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8" fillId="2" borderId="0" applyNumberFormat="0" applyBorder="0" applyAlignment="0" applyProtection="0"/>
    <xf numFmtId="0" fontId="79" fillId="14" borderId="0" applyNumberFormat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80" fillId="68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79" fillId="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/>
    <xf numFmtId="9" fontId="19" fillId="0" borderId="0"/>
    <xf numFmtId="9" fontId="19" fillId="0" borderId="0"/>
    <xf numFmtId="9" fontId="19" fillId="0" borderId="0"/>
    <xf numFmtId="179" fontId="19" fillId="0" borderId="0"/>
    <xf numFmtId="179" fontId="19" fillId="0" borderId="0"/>
    <xf numFmtId="179" fontId="19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80" fillId="93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49" fontId="19" fillId="0" borderId="0" applyFill="0" applyBorder="0">
      <alignment horizontal="right" vertical="center"/>
    </xf>
    <xf numFmtId="0" fontId="19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19" fillId="4" borderId="14" applyNumberFormat="0" applyFont="0" applyAlignment="0" applyProtection="0"/>
    <xf numFmtId="0" fontId="80" fillId="77" borderId="0" applyNumberFormat="0" applyBorder="0" applyAlignment="0" applyProtection="0"/>
    <xf numFmtId="41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10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282" fontId="68" fillId="95" borderId="0" applyNumberFormat="0" applyBorder="0">
      <alignment horizontal="right"/>
      <protection locked="0"/>
    </xf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80" fillId="89" borderId="0" applyNumberFormat="0" applyBorder="0" applyAlignment="0" applyProtection="0"/>
    <xf numFmtId="0" fontId="79" fillId="7" borderId="0" applyNumberFormat="0" applyBorder="0" applyAlignment="0" applyProtection="0"/>
    <xf numFmtId="9" fontId="19" fillId="0" borderId="0" applyFont="0" applyFill="0" applyBorder="0" applyAlignment="0" applyProtection="0"/>
    <xf numFmtId="0" fontId="235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1" fontId="19" fillId="0" borderId="0">
      <alignment horizontal="center"/>
    </xf>
    <xf numFmtId="1" fontId="19" fillId="0" borderId="0">
      <alignment horizont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0" fillId="91" borderId="0" applyNumberFormat="0" applyBorder="0" applyAlignment="0" applyProtection="0"/>
    <xf numFmtId="1" fontId="19" fillId="0" borderId="8"/>
    <xf numFmtId="0" fontId="19" fillId="0" borderId="0"/>
    <xf numFmtId="0" fontId="19" fillId="0" borderId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79" fontId="19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19" fillId="0" borderId="0"/>
    <xf numFmtId="0" fontId="79" fillId="72" borderId="0" applyNumberFormat="0" applyBorder="0" applyAlignment="0" applyProtection="0"/>
    <xf numFmtId="0" fontId="36" fillId="0" borderId="8">
      <alignment horizontal="center"/>
    </xf>
    <xf numFmtId="0" fontId="79" fillId="77" borderId="0" applyNumberFormat="0" applyBorder="0" applyAlignment="0" applyProtection="0"/>
    <xf numFmtId="0" fontId="79" fillId="11" borderId="0" applyNumberFormat="0" applyBorder="0" applyAlignment="0" applyProtection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80" fillId="92" borderId="0" applyNumberFormat="0" applyBorder="0" applyAlignment="0" applyProtection="0"/>
    <xf numFmtId="0" fontId="80" fillId="71" borderId="0" applyNumberFormat="0" applyBorder="0" applyAlignment="0" applyProtection="0"/>
    <xf numFmtId="0" fontId="19" fillId="0" borderId="0" applyNumberFormat="0" applyFill="0" applyBorder="0" applyAlignment="0" applyProtection="0"/>
    <xf numFmtId="179" fontId="19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8" fillId="0" borderId="0"/>
    <xf numFmtId="0" fontId="8" fillId="0" borderId="0"/>
    <xf numFmtId="0" fontId="19" fillId="0" borderId="0" applyNumberFormat="0" applyFont="0" applyFill="0" applyBorder="0" applyAlignment="0" applyProtection="0"/>
    <xf numFmtId="0" fontId="340" fillId="0" borderId="63" applyNumberFormat="0" applyFill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/>
    <xf numFmtId="43" fontId="8" fillId="0" borderId="0" applyFont="0" applyFill="0" applyBorder="0" applyAlignment="0" applyProtection="0"/>
    <xf numFmtId="9" fontId="19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9" fillId="0" borderId="0"/>
    <xf numFmtId="1" fontId="19" fillId="0" borderId="0">
      <alignment horizontal="center"/>
    </xf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79" fillId="81" borderId="0" applyNumberFormat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1" fontId="19" fillId="0" borderId="0">
      <alignment horizontal="center"/>
    </xf>
    <xf numFmtId="1" fontId="19" fillId="0" borderId="0">
      <alignment horizontal="center"/>
    </xf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80" fillId="90" borderId="0" applyNumberFormat="0" applyBorder="0" applyAlignment="0" applyProtection="0"/>
    <xf numFmtId="43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86" fillId="0" borderId="0"/>
    <xf numFmtId="0" fontId="19" fillId="0" borderId="0"/>
    <xf numFmtId="0" fontId="19" fillId="0" borderId="0"/>
    <xf numFmtId="0" fontId="19" fillId="0" borderId="8"/>
    <xf numFmtId="41" fontId="19" fillId="0" borderId="0" applyFont="0" applyFill="0" applyBorder="0" applyAlignment="0" applyProtection="0"/>
    <xf numFmtId="0" fontId="336" fillId="0" borderId="8" applyFill="0" applyAlignment="0" applyProtection="0">
      <alignment vertical="center"/>
    </xf>
    <xf numFmtId="0" fontId="173" fillId="0" borderId="0"/>
    <xf numFmtId="0" fontId="89" fillId="2" borderId="3" applyNumberFormat="0" applyAlignment="0" applyProtection="0"/>
    <xf numFmtId="0" fontId="92" fillId="6" borderId="15" applyNumberFormat="0" applyAlignment="0" applyProtection="0"/>
    <xf numFmtId="0" fontId="89" fillId="2" borderId="3" applyNumberFormat="0" applyAlignment="0" applyProtection="0"/>
    <xf numFmtId="282" fontId="68" fillId="94" borderId="0" applyNumberFormat="0" applyBorder="0">
      <alignment vertical="top"/>
      <protection locked="0"/>
    </xf>
    <xf numFmtId="0" fontId="61" fillId="0" borderId="0"/>
    <xf numFmtId="10" fontId="19" fillId="0" borderId="8"/>
    <xf numFmtId="0" fontId="89" fillId="2" borderId="3" applyNumberFormat="0" applyAlignment="0" applyProtection="0"/>
    <xf numFmtId="0" fontId="19" fillId="0" borderId="0"/>
    <xf numFmtId="0" fontId="340" fillId="0" borderId="0" applyNumberFormat="0" applyFill="0" applyBorder="0" applyAlignment="0" applyProtection="0"/>
    <xf numFmtId="0" fontId="339" fillId="0" borderId="11" applyNumberFormat="0" applyFill="0" applyAlignment="0" applyProtection="0"/>
    <xf numFmtId="4" fontId="337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342" fillId="0" borderId="0" applyNumberFormat="0" applyFill="0" applyBorder="0" applyAlignment="0" applyProtection="0"/>
    <xf numFmtId="282" fontId="343" fillId="96" borderId="0" applyNumberFormat="0" applyBorder="0">
      <alignment horizontal="left"/>
      <protection locked="0"/>
    </xf>
    <xf numFmtId="282" fontId="68" fillId="95" borderId="0" applyNumberFormat="0" applyBorder="0">
      <alignment horizontal="center"/>
      <protection locked="0"/>
    </xf>
    <xf numFmtId="282" fontId="344" fillId="94" borderId="0" applyNumberFormat="0" applyBorder="0">
      <alignment horizontal="center"/>
      <protection locked="0"/>
    </xf>
    <xf numFmtId="282" fontId="344" fillId="95" borderId="0" applyNumberFormat="0" applyBorder="0">
      <alignment horizontal="center"/>
      <protection locked="0"/>
    </xf>
    <xf numFmtId="282" fontId="343" fillId="96" borderId="0" applyNumberFormat="0" applyBorder="0">
      <protection locked="0"/>
    </xf>
    <xf numFmtId="282" fontId="111" fillId="97" borderId="0" applyNumberFormat="0" applyBorder="0">
      <alignment horizontal="left"/>
      <protection locked="0"/>
    </xf>
    <xf numFmtId="282" fontId="345" fillId="94" borderId="0" applyNumberFormat="0" applyBorder="0">
      <protection locked="0"/>
    </xf>
    <xf numFmtId="282" fontId="111" fillId="98" borderId="0" applyNumberFormat="0" applyBorder="0">
      <alignment horizontal="right"/>
      <protection locked="0"/>
    </xf>
    <xf numFmtId="282" fontId="111" fillId="99" borderId="0" applyNumberFormat="0" applyBorder="0">
      <alignment vertical="top"/>
      <protection locked="0"/>
    </xf>
    <xf numFmtId="282" fontId="111" fillId="95" borderId="0" applyNumberFormat="0" applyBorder="0">
      <protection locked="0"/>
    </xf>
    <xf numFmtId="282" fontId="346" fillId="97" borderId="0" applyNumberFormat="0" applyBorder="0">
      <protection locked="0"/>
    </xf>
    <xf numFmtId="282" fontId="111" fillId="100" borderId="0" applyNumberFormat="0" applyBorder="0">
      <protection locked="0"/>
    </xf>
    <xf numFmtId="282" fontId="347" fillId="101" borderId="0" applyNumberFormat="0" applyBorder="0">
      <protection locked="0"/>
    </xf>
    <xf numFmtId="0" fontId="19" fillId="0" borderId="0" applyNumberFormat="0" applyFont="0" applyFill="0" applyBorder="0" applyAlignment="0" applyProtection="0"/>
    <xf numFmtId="283" fontId="337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19" fillId="0" borderId="0" applyNumberFormat="0" applyFill="0" applyBorder="0" applyAlignment="0" applyProtection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7" fillId="0" borderId="0"/>
    <xf numFmtId="0" fontId="7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>
      <alignment vertical="top"/>
    </xf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44" fontId="19" fillId="0" borderId="0" applyFont="0" applyFill="0" applyBorder="0" applyAlignment="0" applyProtection="0"/>
    <xf numFmtId="0" fontId="19" fillId="0" borderId="0">
      <alignment vertical="top"/>
    </xf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43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>
      <alignment vertical="top"/>
    </xf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7" fillId="0" borderId="0"/>
    <xf numFmtId="0" fontId="19" fillId="0" borderId="0"/>
    <xf numFmtId="0" fontId="19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/>
    <xf numFmtId="0" fontId="19" fillId="0" borderId="0" applyNumberFormat="0" applyFont="0" applyFill="0" applyBorder="0" applyAlignment="0" applyProtection="0"/>
    <xf numFmtId="0" fontId="173" fillId="0" borderId="0"/>
    <xf numFmtId="0" fontId="18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9" fillId="0" borderId="0" applyNumberFormat="0" applyFont="0" applyFill="0" applyBorder="0" applyAlignment="0" applyProtection="0"/>
    <xf numFmtId="0" fontId="6" fillId="0" borderId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42" borderId="0" applyNumberFormat="0" applyBorder="0" applyAlignment="0" applyProtection="0"/>
    <xf numFmtId="0" fontId="6" fillId="0" borderId="0"/>
    <xf numFmtId="0" fontId="6" fillId="50" borderId="0" applyNumberFormat="0" applyBorder="0" applyAlignment="0" applyProtection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46" borderId="0" applyNumberFormat="0" applyBorder="0" applyAlignment="0" applyProtection="0"/>
    <xf numFmtId="0" fontId="6" fillId="41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49" borderId="0" applyNumberFormat="0" applyBorder="0" applyAlignment="0" applyProtection="0"/>
    <xf numFmtId="0" fontId="6" fillId="0" borderId="0"/>
    <xf numFmtId="0" fontId="6" fillId="0" borderId="0"/>
    <xf numFmtId="0" fontId="6" fillId="45" borderId="0" applyNumberFormat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39" borderId="40" applyNumberFormat="0" applyFont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42" borderId="0" applyNumberFormat="0" applyBorder="0" applyAlignment="0" applyProtection="0"/>
    <xf numFmtId="0" fontId="6" fillId="0" borderId="0"/>
    <xf numFmtId="0" fontId="6" fillId="50" borderId="0" applyNumberFormat="0" applyBorder="0" applyAlignment="0" applyProtection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46" borderId="0" applyNumberFormat="0" applyBorder="0" applyAlignment="0" applyProtection="0"/>
    <xf numFmtId="0" fontId="6" fillId="41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49" borderId="0" applyNumberFormat="0" applyBorder="0" applyAlignment="0" applyProtection="0"/>
    <xf numFmtId="0" fontId="6" fillId="0" borderId="0"/>
    <xf numFmtId="0" fontId="6" fillId="0" borderId="0"/>
    <xf numFmtId="0" fontId="6" fillId="45" borderId="0" applyNumberFormat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39" borderId="40" applyNumberFormat="0" applyFont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57" borderId="0" applyNumberFormat="0" applyBorder="0" applyAlignment="0" applyProtection="0"/>
    <xf numFmtId="0" fontId="6" fillId="57" borderId="0" applyNumberFormat="0" applyBorder="0" applyAlignment="0" applyProtection="0"/>
    <xf numFmtId="0" fontId="6" fillId="57" borderId="0" applyNumberFormat="0" applyBorder="0" applyAlignment="0" applyProtection="0"/>
    <xf numFmtId="0" fontId="6" fillId="57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75" borderId="0" applyNumberFormat="0" applyBorder="0" applyAlignment="0" applyProtection="0"/>
    <xf numFmtId="0" fontId="6" fillId="75" borderId="0" applyNumberFormat="0" applyBorder="0" applyAlignment="0" applyProtection="0"/>
    <xf numFmtId="0" fontId="6" fillId="75" borderId="0" applyNumberFormat="0" applyBorder="0" applyAlignment="0" applyProtection="0"/>
    <xf numFmtId="0" fontId="6" fillId="75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58" borderId="0" applyNumberFormat="0" applyBorder="0" applyAlignment="0" applyProtection="0"/>
    <xf numFmtId="0" fontId="6" fillId="58" borderId="0" applyNumberFormat="0" applyBorder="0" applyAlignment="0" applyProtection="0"/>
    <xf numFmtId="0" fontId="6" fillId="58" borderId="0" applyNumberFormat="0" applyBorder="0" applyAlignment="0" applyProtection="0"/>
    <xf numFmtId="0" fontId="6" fillId="58" borderId="0" applyNumberFormat="0" applyBorder="0" applyAlignment="0" applyProtection="0"/>
    <xf numFmtId="0" fontId="6" fillId="62" borderId="0" applyNumberFormat="0" applyBorder="0" applyAlignment="0" applyProtection="0"/>
    <xf numFmtId="0" fontId="6" fillId="62" borderId="0" applyNumberFormat="0" applyBorder="0" applyAlignment="0" applyProtection="0"/>
    <xf numFmtId="0" fontId="6" fillId="62" borderId="0" applyNumberFormat="0" applyBorder="0" applyAlignment="0" applyProtection="0"/>
    <xf numFmtId="0" fontId="6" fillId="62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82" borderId="0" applyNumberFormat="0" applyBorder="0" applyAlignment="0" applyProtection="0"/>
    <xf numFmtId="0" fontId="6" fillId="82" borderId="0" applyNumberFormat="0" applyBorder="0" applyAlignment="0" applyProtection="0"/>
    <xf numFmtId="0" fontId="6" fillId="82" borderId="0" applyNumberFormat="0" applyBorder="0" applyAlignment="0" applyProtection="0"/>
    <xf numFmtId="0" fontId="6" fillId="82" borderId="0" applyNumberFormat="0" applyBorder="0" applyAlignment="0" applyProtection="0"/>
    <xf numFmtId="0" fontId="6" fillId="82" borderId="0" applyNumberFormat="0" applyBorder="0" applyAlignment="0" applyProtection="0"/>
    <xf numFmtId="0" fontId="6" fillId="82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19" fillId="0" borderId="0" applyNumberFormat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42" borderId="0" applyNumberFormat="0" applyBorder="0" applyAlignment="0" applyProtection="0"/>
    <xf numFmtId="0" fontId="6" fillId="0" borderId="0"/>
    <xf numFmtId="0" fontId="6" fillId="50" borderId="0" applyNumberFormat="0" applyBorder="0" applyAlignment="0" applyProtection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46" borderId="0" applyNumberFormat="0" applyBorder="0" applyAlignment="0" applyProtection="0"/>
    <xf numFmtId="0" fontId="6" fillId="41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49" borderId="0" applyNumberFormat="0" applyBorder="0" applyAlignment="0" applyProtection="0"/>
    <xf numFmtId="0" fontId="6" fillId="0" borderId="0"/>
    <xf numFmtId="0" fontId="6" fillId="0" borderId="0"/>
    <xf numFmtId="0" fontId="6" fillId="45" borderId="0" applyNumberFormat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39" borderId="40" applyNumberFormat="0" applyFont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42" borderId="0" applyNumberFormat="0" applyBorder="0" applyAlignment="0" applyProtection="0"/>
    <xf numFmtId="0" fontId="6" fillId="0" borderId="0"/>
    <xf numFmtId="0" fontId="6" fillId="50" borderId="0" applyNumberFormat="0" applyBorder="0" applyAlignment="0" applyProtection="0"/>
    <xf numFmtId="0" fontId="6" fillId="39" borderId="40" applyNumberFormat="0" applyFont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46" borderId="0" applyNumberFormat="0" applyBorder="0" applyAlignment="0" applyProtection="0"/>
    <xf numFmtId="0" fontId="6" fillId="41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49" borderId="0" applyNumberFormat="0" applyBorder="0" applyAlignment="0" applyProtection="0"/>
    <xf numFmtId="0" fontId="6" fillId="0" borderId="0"/>
    <xf numFmtId="0" fontId="6" fillId="0" borderId="0"/>
    <xf numFmtId="0" fontId="6" fillId="45" borderId="0" applyNumberFormat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39" borderId="40" applyNumberFormat="0" applyFont="0" applyAlignment="0" applyProtection="0"/>
    <xf numFmtId="0" fontId="6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61" borderId="0" applyNumberFormat="0" applyBorder="0" applyAlignment="0" applyProtection="0"/>
    <xf numFmtId="0" fontId="6" fillId="62" borderId="0" applyNumberFormat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238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57" borderId="0" applyNumberFormat="0" applyBorder="0" applyAlignment="0" applyProtection="0"/>
    <xf numFmtId="0" fontId="6" fillId="57" borderId="0" applyNumberFormat="0" applyBorder="0" applyAlignment="0" applyProtection="0"/>
    <xf numFmtId="0" fontId="6" fillId="57" borderId="0" applyNumberFormat="0" applyBorder="0" applyAlignment="0" applyProtection="0"/>
    <xf numFmtId="0" fontId="6" fillId="57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75" borderId="0" applyNumberFormat="0" applyBorder="0" applyAlignment="0" applyProtection="0"/>
    <xf numFmtId="0" fontId="6" fillId="75" borderId="0" applyNumberFormat="0" applyBorder="0" applyAlignment="0" applyProtection="0"/>
    <xf numFmtId="0" fontId="6" fillId="75" borderId="0" applyNumberFormat="0" applyBorder="0" applyAlignment="0" applyProtection="0"/>
    <xf numFmtId="0" fontId="6" fillId="75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58" borderId="0" applyNumberFormat="0" applyBorder="0" applyAlignment="0" applyProtection="0"/>
    <xf numFmtId="0" fontId="6" fillId="58" borderId="0" applyNumberFormat="0" applyBorder="0" applyAlignment="0" applyProtection="0"/>
    <xf numFmtId="0" fontId="6" fillId="58" borderId="0" applyNumberFormat="0" applyBorder="0" applyAlignment="0" applyProtection="0"/>
    <xf numFmtId="0" fontId="6" fillId="58" borderId="0" applyNumberFormat="0" applyBorder="0" applyAlignment="0" applyProtection="0"/>
    <xf numFmtId="0" fontId="6" fillId="62" borderId="0" applyNumberFormat="0" applyBorder="0" applyAlignment="0" applyProtection="0"/>
    <xf numFmtId="0" fontId="6" fillId="62" borderId="0" applyNumberFormat="0" applyBorder="0" applyAlignment="0" applyProtection="0"/>
    <xf numFmtId="0" fontId="6" fillId="62" borderId="0" applyNumberFormat="0" applyBorder="0" applyAlignment="0" applyProtection="0"/>
    <xf numFmtId="0" fontId="6" fillId="62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49" borderId="0" applyNumberFormat="0" applyBorder="0" applyAlignment="0" applyProtection="0"/>
    <xf numFmtId="0" fontId="6" fillId="82" borderId="0" applyNumberFormat="0" applyBorder="0" applyAlignment="0" applyProtection="0"/>
    <xf numFmtId="0" fontId="6" fillId="82" borderId="0" applyNumberFormat="0" applyBorder="0" applyAlignment="0" applyProtection="0"/>
    <xf numFmtId="0" fontId="6" fillId="82" borderId="0" applyNumberFormat="0" applyBorder="0" applyAlignment="0" applyProtection="0"/>
    <xf numFmtId="0" fontId="6" fillId="82" borderId="0" applyNumberFormat="0" applyBorder="0" applyAlignment="0" applyProtection="0"/>
    <xf numFmtId="0" fontId="6" fillId="82" borderId="0" applyNumberFormat="0" applyBorder="0" applyAlignment="0" applyProtection="0"/>
    <xf numFmtId="0" fontId="6" fillId="82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61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74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6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73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2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0" borderId="0" applyNumberFormat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2" borderId="0" applyNumberFormat="0" applyBorder="0" applyAlignment="0" applyProtection="0"/>
    <xf numFmtId="0" fontId="5" fillId="0" borderId="0"/>
    <xf numFmtId="0" fontId="5" fillId="50" borderId="0" applyNumberFormat="0" applyBorder="0" applyAlignment="0" applyProtection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6" borderId="0" applyNumberFormat="0" applyBorder="0" applyAlignment="0" applyProtection="0"/>
    <xf numFmtId="0" fontId="5" fillId="41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49" borderId="0" applyNumberFormat="0" applyBorder="0" applyAlignment="0" applyProtection="0"/>
    <xf numFmtId="0" fontId="5" fillId="0" borderId="0"/>
    <xf numFmtId="0" fontId="5" fillId="0" borderId="0"/>
    <xf numFmtId="0" fontId="5" fillId="45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39" borderId="40" applyNumberFormat="0" applyFont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2" borderId="0" applyNumberFormat="0" applyBorder="0" applyAlignment="0" applyProtection="0"/>
    <xf numFmtId="0" fontId="5" fillId="0" borderId="0"/>
    <xf numFmtId="0" fontId="5" fillId="50" borderId="0" applyNumberFormat="0" applyBorder="0" applyAlignment="0" applyProtection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6" borderId="0" applyNumberFormat="0" applyBorder="0" applyAlignment="0" applyProtection="0"/>
    <xf numFmtId="0" fontId="5" fillId="41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49" borderId="0" applyNumberFormat="0" applyBorder="0" applyAlignment="0" applyProtection="0"/>
    <xf numFmtId="0" fontId="5" fillId="0" borderId="0"/>
    <xf numFmtId="0" fontId="5" fillId="0" borderId="0"/>
    <xf numFmtId="0" fontId="5" fillId="45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39" borderId="40" applyNumberFormat="0" applyFont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2" borderId="0" applyNumberFormat="0" applyBorder="0" applyAlignment="0" applyProtection="0"/>
    <xf numFmtId="0" fontId="5" fillId="0" borderId="0"/>
    <xf numFmtId="0" fontId="5" fillId="50" borderId="0" applyNumberFormat="0" applyBorder="0" applyAlignment="0" applyProtection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6" borderId="0" applyNumberFormat="0" applyBorder="0" applyAlignment="0" applyProtection="0"/>
    <xf numFmtId="0" fontId="5" fillId="41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49" borderId="0" applyNumberFormat="0" applyBorder="0" applyAlignment="0" applyProtection="0"/>
    <xf numFmtId="0" fontId="5" fillId="0" borderId="0"/>
    <xf numFmtId="0" fontId="5" fillId="0" borderId="0"/>
    <xf numFmtId="0" fontId="5" fillId="45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39" borderId="40" applyNumberFormat="0" applyFont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2" borderId="0" applyNumberFormat="0" applyBorder="0" applyAlignment="0" applyProtection="0"/>
    <xf numFmtId="0" fontId="5" fillId="0" borderId="0"/>
    <xf numFmtId="0" fontId="5" fillId="50" borderId="0" applyNumberFormat="0" applyBorder="0" applyAlignment="0" applyProtection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6" borderId="0" applyNumberFormat="0" applyBorder="0" applyAlignment="0" applyProtection="0"/>
    <xf numFmtId="0" fontId="5" fillId="41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49" borderId="0" applyNumberFormat="0" applyBorder="0" applyAlignment="0" applyProtection="0"/>
    <xf numFmtId="0" fontId="5" fillId="0" borderId="0"/>
    <xf numFmtId="0" fontId="5" fillId="0" borderId="0"/>
    <xf numFmtId="0" fontId="5" fillId="45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39" borderId="40" applyNumberFormat="0" applyFont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2" borderId="0" applyNumberFormat="0" applyBorder="0" applyAlignment="0" applyProtection="0"/>
    <xf numFmtId="0" fontId="5" fillId="0" borderId="0"/>
    <xf numFmtId="0" fontId="5" fillId="50" borderId="0" applyNumberFormat="0" applyBorder="0" applyAlignment="0" applyProtection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6" borderId="0" applyNumberFormat="0" applyBorder="0" applyAlignment="0" applyProtection="0"/>
    <xf numFmtId="0" fontId="5" fillId="41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49" borderId="0" applyNumberFormat="0" applyBorder="0" applyAlignment="0" applyProtection="0"/>
    <xf numFmtId="0" fontId="5" fillId="0" borderId="0"/>
    <xf numFmtId="0" fontId="5" fillId="0" borderId="0"/>
    <xf numFmtId="0" fontId="5" fillId="45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39" borderId="40" applyNumberFormat="0" applyFont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2" borderId="0" applyNumberFormat="0" applyBorder="0" applyAlignment="0" applyProtection="0"/>
    <xf numFmtId="0" fontId="5" fillId="0" borderId="0"/>
    <xf numFmtId="0" fontId="5" fillId="50" borderId="0" applyNumberFormat="0" applyBorder="0" applyAlignment="0" applyProtection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6" borderId="0" applyNumberFormat="0" applyBorder="0" applyAlignment="0" applyProtection="0"/>
    <xf numFmtId="0" fontId="5" fillId="41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49" borderId="0" applyNumberFormat="0" applyBorder="0" applyAlignment="0" applyProtection="0"/>
    <xf numFmtId="0" fontId="5" fillId="0" borderId="0"/>
    <xf numFmtId="0" fontId="5" fillId="0" borderId="0"/>
    <xf numFmtId="0" fontId="5" fillId="45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39" borderId="40" applyNumberFormat="0" applyFont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2" borderId="0" applyNumberFormat="0" applyBorder="0" applyAlignment="0" applyProtection="0"/>
    <xf numFmtId="0" fontId="5" fillId="0" borderId="0"/>
    <xf numFmtId="0" fontId="5" fillId="50" borderId="0" applyNumberFormat="0" applyBorder="0" applyAlignment="0" applyProtection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6" borderId="0" applyNumberFormat="0" applyBorder="0" applyAlignment="0" applyProtection="0"/>
    <xf numFmtId="0" fontId="5" fillId="41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49" borderId="0" applyNumberFormat="0" applyBorder="0" applyAlignment="0" applyProtection="0"/>
    <xf numFmtId="0" fontId="5" fillId="0" borderId="0"/>
    <xf numFmtId="0" fontId="5" fillId="0" borderId="0"/>
    <xf numFmtId="0" fontId="5" fillId="45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39" borderId="40" applyNumberFormat="0" applyFont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2" borderId="0" applyNumberFormat="0" applyBorder="0" applyAlignment="0" applyProtection="0"/>
    <xf numFmtId="0" fontId="5" fillId="0" borderId="0"/>
    <xf numFmtId="0" fontId="5" fillId="50" borderId="0" applyNumberFormat="0" applyBorder="0" applyAlignment="0" applyProtection="0"/>
    <xf numFmtId="0" fontId="5" fillId="39" borderId="40" applyNumberFormat="0" applyFont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46" borderId="0" applyNumberFormat="0" applyBorder="0" applyAlignment="0" applyProtection="0"/>
    <xf numFmtId="0" fontId="5" fillId="41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49" borderId="0" applyNumberFormat="0" applyBorder="0" applyAlignment="0" applyProtection="0"/>
    <xf numFmtId="0" fontId="5" fillId="0" borderId="0"/>
    <xf numFmtId="0" fontId="5" fillId="0" borderId="0"/>
    <xf numFmtId="0" fontId="5" fillId="45" borderId="0" applyNumberFormat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39" borderId="40" applyNumberFormat="0" applyFont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5" fillId="61" borderId="0" applyNumberFormat="0" applyBorder="0" applyAlignment="0" applyProtection="0"/>
    <xf numFmtId="0" fontId="5" fillId="62" borderId="0" applyNumberFormat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238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57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75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58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6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49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82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61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74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6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73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2" borderId="0" applyNumberFormat="0" applyBorder="0" applyAlignment="0" applyProtection="0"/>
    <xf numFmtId="0" fontId="4" fillId="0" borderId="0"/>
    <xf numFmtId="0" fontId="4" fillId="50" borderId="0" applyNumberFormat="0" applyBorder="0" applyAlignment="0" applyProtection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6" borderId="0" applyNumberFormat="0" applyBorder="0" applyAlignment="0" applyProtection="0"/>
    <xf numFmtId="0" fontId="4" fillId="4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49" borderId="0" applyNumberFormat="0" applyBorder="0" applyAlignment="0" applyProtection="0"/>
    <xf numFmtId="0" fontId="4" fillId="0" borderId="0"/>
    <xf numFmtId="0" fontId="4" fillId="0" borderId="0"/>
    <xf numFmtId="0" fontId="4" fillId="45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39" borderId="40" applyNumberFormat="0" applyFont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2" borderId="0" applyNumberFormat="0" applyBorder="0" applyAlignment="0" applyProtection="0"/>
    <xf numFmtId="0" fontId="4" fillId="0" borderId="0"/>
    <xf numFmtId="0" fontId="4" fillId="50" borderId="0" applyNumberFormat="0" applyBorder="0" applyAlignment="0" applyProtection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6" borderId="0" applyNumberFormat="0" applyBorder="0" applyAlignment="0" applyProtection="0"/>
    <xf numFmtId="0" fontId="4" fillId="4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49" borderId="0" applyNumberFormat="0" applyBorder="0" applyAlignment="0" applyProtection="0"/>
    <xf numFmtId="0" fontId="4" fillId="0" borderId="0"/>
    <xf numFmtId="0" fontId="4" fillId="0" borderId="0"/>
    <xf numFmtId="0" fontId="4" fillId="45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39" borderId="40" applyNumberFormat="0" applyFont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2" borderId="0" applyNumberFormat="0" applyBorder="0" applyAlignment="0" applyProtection="0"/>
    <xf numFmtId="0" fontId="4" fillId="0" borderId="0"/>
    <xf numFmtId="0" fontId="4" fillId="50" borderId="0" applyNumberFormat="0" applyBorder="0" applyAlignment="0" applyProtection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6" borderId="0" applyNumberFormat="0" applyBorder="0" applyAlignment="0" applyProtection="0"/>
    <xf numFmtId="0" fontId="4" fillId="4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49" borderId="0" applyNumberFormat="0" applyBorder="0" applyAlignment="0" applyProtection="0"/>
    <xf numFmtId="0" fontId="4" fillId="0" borderId="0"/>
    <xf numFmtId="0" fontId="4" fillId="0" borderId="0"/>
    <xf numFmtId="0" fontId="4" fillId="45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39" borderId="40" applyNumberFormat="0" applyFont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2" borderId="0" applyNumberFormat="0" applyBorder="0" applyAlignment="0" applyProtection="0"/>
    <xf numFmtId="0" fontId="4" fillId="0" borderId="0"/>
    <xf numFmtId="0" fontId="4" fillId="50" borderId="0" applyNumberFormat="0" applyBorder="0" applyAlignment="0" applyProtection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6" borderId="0" applyNumberFormat="0" applyBorder="0" applyAlignment="0" applyProtection="0"/>
    <xf numFmtId="0" fontId="4" fillId="4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49" borderId="0" applyNumberFormat="0" applyBorder="0" applyAlignment="0" applyProtection="0"/>
    <xf numFmtId="0" fontId="4" fillId="0" borderId="0"/>
    <xf numFmtId="0" fontId="4" fillId="0" borderId="0"/>
    <xf numFmtId="0" fontId="4" fillId="45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39" borderId="40" applyNumberFormat="0" applyFont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2" borderId="0" applyNumberFormat="0" applyBorder="0" applyAlignment="0" applyProtection="0"/>
    <xf numFmtId="0" fontId="4" fillId="0" borderId="0"/>
    <xf numFmtId="0" fontId="4" fillId="50" borderId="0" applyNumberFormat="0" applyBorder="0" applyAlignment="0" applyProtection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6" borderId="0" applyNumberFormat="0" applyBorder="0" applyAlignment="0" applyProtection="0"/>
    <xf numFmtId="0" fontId="4" fillId="4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49" borderId="0" applyNumberFormat="0" applyBorder="0" applyAlignment="0" applyProtection="0"/>
    <xf numFmtId="0" fontId="4" fillId="0" borderId="0"/>
    <xf numFmtId="0" fontId="4" fillId="0" borderId="0"/>
    <xf numFmtId="0" fontId="4" fillId="45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39" borderId="40" applyNumberFormat="0" applyFont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2" borderId="0" applyNumberFormat="0" applyBorder="0" applyAlignment="0" applyProtection="0"/>
    <xf numFmtId="0" fontId="4" fillId="0" borderId="0"/>
    <xf numFmtId="0" fontId="4" fillId="50" borderId="0" applyNumberFormat="0" applyBorder="0" applyAlignment="0" applyProtection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6" borderId="0" applyNumberFormat="0" applyBorder="0" applyAlignment="0" applyProtection="0"/>
    <xf numFmtId="0" fontId="4" fillId="4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49" borderId="0" applyNumberFormat="0" applyBorder="0" applyAlignment="0" applyProtection="0"/>
    <xf numFmtId="0" fontId="4" fillId="0" borderId="0"/>
    <xf numFmtId="0" fontId="4" fillId="0" borderId="0"/>
    <xf numFmtId="0" fontId="4" fillId="45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39" borderId="40" applyNumberFormat="0" applyFont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2" borderId="0" applyNumberFormat="0" applyBorder="0" applyAlignment="0" applyProtection="0"/>
    <xf numFmtId="0" fontId="4" fillId="0" borderId="0"/>
    <xf numFmtId="0" fontId="4" fillId="50" borderId="0" applyNumberFormat="0" applyBorder="0" applyAlignment="0" applyProtection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6" borderId="0" applyNumberFormat="0" applyBorder="0" applyAlignment="0" applyProtection="0"/>
    <xf numFmtId="0" fontId="4" fillId="4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49" borderId="0" applyNumberFormat="0" applyBorder="0" applyAlignment="0" applyProtection="0"/>
    <xf numFmtId="0" fontId="4" fillId="0" borderId="0"/>
    <xf numFmtId="0" fontId="4" fillId="0" borderId="0"/>
    <xf numFmtId="0" fontId="4" fillId="45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39" borderId="40" applyNumberFormat="0" applyFont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2" borderId="0" applyNumberFormat="0" applyBorder="0" applyAlignment="0" applyProtection="0"/>
    <xf numFmtId="0" fontId="4" fillId="0" borderId="0"/>
    <xf numFmtId="0" fontId="4" fillId="50" borderId="0" applyNumberFormat="0" applyBorder="0" applyAlignment="0" applyProtection="0"/>
    <xf numFmtId="0" fontId="4" fillId="39" borderId="40" applyNumberFormat="0" applyFont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46" borderId="0" applyNumberFormat="0" applyBorder="0" applyAlignment="0" applyProtection="0"/>
    <xf numFmtId="0" fontId="4" fillId="4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49" borderId="0" applyNumberFormat="0" applyBorder="0" applyAlignment="0" applyProtection="0"/>
    <xf numFmtId="0" fontId="4" fillId="0" borderId="0"/>
    <xf numFmtId="0" fontId="4" fillId="0" borderId="0"/>
    <xf numFmtId="0" fontId="4" fillId="45" borderId="0" applyNumberFormat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39" borderId="40" applyNumberFormat="0" applyFont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4" fillId="61" borderId="0" applyNumberFormat="0" applyBorder="0" applyAlignment="0" applyProtection="0"/>
    <xf numFmtId="0" fontId="4" fillId="62" borderId="0" applyNumberFormat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238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57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75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58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6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49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82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61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74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73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82" fillId="0" borderId="0"/>
    <xf numFmtId="44" fontId="68" fillId="0" borderId="0" applyFont="0" applyFill="0" applyBorder="0" applyAlignment="0" applyProtection="0"/>
    <xf numFmtId="44" fontId="68" fillId="0" borderId="0" applyFont="0" applyFill="0" applyBorder="0" applyAlignment="0" applyProtection="0"/>
    <xf numFmtId="0" fontId="182" fillId="0" borderId="0"/>
    <xf numFmtId="9" fontId="68" fillId="0" borderId="0" applyFont="0" applyFill="0" applyBorder="0" applyAlignment="0" applyProtection="0"/>
    <xf numFmtId="43" fontId="182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68" fillId="0" borderId="0" applyFont="0" applyFill="0" applyBorder="0" applyAlignment="0" applyProtection="0"/>
    <xf numFmtId="43" fontId="182" fillId="0" borderId="0" applyFont="0" applyFill="0" applyBorder="0" applyAlignment="0" applyProtection="0"/>
    <xf numFmtId="0" fontId="182" fillId="0" borderId="0"/>
    <xf numFmtId="44" fontId="68" fillId="0" borderId="0" applyFont="0" applyFill="0" applyBorder="0" applyAlignment="0" applyProtection="0"/>
    <xf numFmtId="44" fontId="68" fillId="0" borderId="0" applyFont="0" applyFill="0" applyBorder="0" applyAlignment="0" applyProtection="0"/>
    <xf numFmtId="0" fontId="182" fillId="0" borderId="0"/>
    <xf numFmtId="9" fontId="68" fillId="0" borderId="0" applyFont="0" applyFill="0" applyBorder="0" applyAlignment="0" applyProtection="0"/>
    <xf numFmtId="43" fontId="18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68" fillId="0" borderId="0" applyFont="0" applyFill="0" applyBorder="0" applyAlignment="0" applyProtection="0"/>
    <xf numFmtId="9" fontId="68" fillId="0" borderId="0" applyFont="0" applyFill="0" applyBorder="0" applyAlignment="0" applyProtection="0"/>
    <xf numFmtId="43" fontId="182" fillId="0" borderId="0" applyFont="0" applyFill="0" applyBorder="0" applyAlignment="0" applyProtection="0"/>
    <xf numFmtId="9" fontId="68" fillId="0" borderId="0" applyFont="0" applyFill="0" applyBorder="0" applyAlignment="0" applyProtection="0"/>
    <xf numFmtId="44" fontId="68" fillId="0" borderId="0" applyFont="0" applyFill="0" applyBorder="0" applyAlignment="0" applyProtection="0"/>
    <xf numFmtId="0" fontId="182" fillId="0" borderId="0"/>
    <xf numFmtId="43" fontId="182" fillId="0" borderId="0" applyFont="0" applyFill="0" applyBorder="0" applyAlignment="0" applyProtection="0"/>
    <xf numFmtId="9" fontId="68" fillId="0" borderId="0" applyFont="0" applyFill="0" applyBorder="0" applyAlignment="0" applyProtection="0"/>
    <xf numFmtId="44" fontId="68" fillId="0" borderId="0" applyFont="0" applyFill="0" applyBorder="0" applyAlignment="0" applyProtection="0"/>
    <xf numFmtId="0" fontId="182" fillId="0" borderId="0"/>
    <xf numFmtId="43" fontId="182" fillId="0" borderId="0" applyFont="0" applyFill="0" applyBorder="0" applyAlignment="0" applyProtection="0"/>
    <xf numFmtId="44" fontId="68" fillId="0" borderId="0" applyFont="0" applyFill="0" applyBorder="0" applyAlignment="0" applyProtection="0"/>
    <xf numFmtId="0" fontId="182" fillId="0" borderId="0"/>
    <xf numFmtId="43" fontId="182" fillId="0" borderId="0" applyFont="0" applyFill="0" applyBorder="0" applyAlignment="0" applyProtection="0"/>
    <xf numFmtId="0" fontId="19" fillId="0" borderId="0" applyNumberFormat="0" applyFont="0" applyFill="0" applyBorder="0" applyAlignment="0" applyProtection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2" borderId="0" applyNumberFormat="0" applyBorder="0" applyAlignment="0" applyProtection="0"/>
    <xf numFmtId="0" fontId="1" fillId="0" borderId="0"/>
    <xf numFmtId="0" fontId="1" fillId="50" borderId="0" applyNumberFormat="0" applyBorder="0" applyAlignment="0" applyProtection="0"/>
    <xf numFmtId="0" fontId="1" fillId="39" borderId="40" applyNumberFormat="0" applyFont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6" borderId="0" applyNumberFormat="0" applyBorder="0" applyAlignment="0" applyProtection="0"/>
    <xf numFmtId="0" fontId="1" fillId="41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49" borderId="0" applyNumberFormat="0" applyBorder="0" applyAlignment="0" applyProtection="0"/>
    <xf numFmtId="0" fontId="1" fillId="0" borderId="0"/>
    <xf numFmtId="0" fontId="1" fillId="0" borderId="0"/>
    <xf numFmtId="0" fontId="1" fillId="45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39" borderId="40" applyNumberFormat="0" applyFont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238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57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75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58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6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49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82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61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74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73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215" fillId="0" borderId="0"/>
  </cellStyleXfs>
  <cellXfs count="1972">
    <xf numFmtId="0" fontId="0" fillId="0" borderId="0" xfId="0"/>
    <xf numFmtId="0" fontId="19" fillId="0" borderId="0" xfId="1" applyFont="1"/>
    <xf numFmtId="0" fontId="21" fillId="0" borderId="0" xfId="1" applyFont="1" applyFill="1" applyAlignment="1">
      <alignment vertical="center"/>
    </xf>
    <xf numFmtId="0" fontId="19" fillId="15" borderId="0" xfId="1" applyFont="1" applyFill="1"/>
    <xf numFmtId="0" fontId="22" fillId="0" borderId="0" xfId="59" applyNumberFormat="1" applyFont="1" applyFill="1" applyBorder="1" applyAlignment="1">
      <alignment horizontal="left"/>
    </xf>
    <xf numFmtId="0" fontId="19" fillId="0" borderId="0" xfId="1" applyFont="1" applyFill="1"/>
    <xf numFmtId="164" fontId="19" fillId="0" borderId="0" xfId="1" applyNumberFormat="1" applyFont="1"/>
    <xf numFmtId="0" fontId="19" fillId="0" borderId="2" xfId="1" applyFont="1" applyBorder="1"/>
    <xf numFmtId="0" fontId="24" fillId="0" borderId="0" xfId="1" applyFont="1"/>
    <xf numFmtId="0" fontId="25" fillId="0" borderId="7" xfId="1" applyFont="1" applyBorder="1"/>
    <xf numFmtId="0" fontId="25" fillId="0" borderId="19" xfId="1" applyFont="1" applyBorder="1"/>
    <xf numFmtId="0" fontId="24" fillId="0" borderId="0" xfId="1" applyFont="1" applyFill="1"/>
    <xf numFmtId="0" fontId="26" fillId="0" borderId="1" xfId="1" applyFont="1" applyBorder="1"/>
    <xf numFmtId="0" fontId="26" fillId="0" borderId="20" xfId="1" applyFont="1" applyBorder="1"/>
    <xf numFmtId="0" fontId="24" fillId="0" borderId="0" xfId="1" applyFont="1" applyBorder="1"/>
    <xf numFmtId="0" fontId="24" fillId="0" borderId="21" xfId="1" applyFont="1" applyBorder="1"/>
    <xf numFmtId="0" fontId="24" fillId="0" borderId="22" xfId="1" applyFont="1" applyBorder="1"/>
    <xf numFmtId="1" fontId="27" fillId="15" borderId="23" xfId="58" applyNumberFormat="1" applyFont="1" applyFill="1" applyBorder="1" applyAlignment="1">
      <alignment horizontal="right"/>
    </xf>
    <xf numFmtId="1" fontId="27" fillId="15" borderId="6" xfId="58" applyNumberFormat="1" applyFont="1" applyFill="1" applyBorder="1" applyAlignment="1">
      <alignment horizontal="right"/>
    </xf>
    <xf numFmtId="1" fontId="27" fillId="15" borderId="24" xfId="58" applyNumberFormat="1" applyFont="1" applyFill="1" applyBorder="1" applyAlignment="1">
      <alignment horizontal="right"/>
    </xf>
    <xf numFmtId="0" fontId="24" fillId="0" borderId="25" xfId="1" applyFont="1" applyBorder="1"/>
    <xf numFmtId="1" fontId="27" fillId="15" borderId="8" xfId="58" applyNumberFormat="1" applyFont="1" applyFill="1" applyBorder="1" applyAlignment="1">
      <alignment horizontal="right"/>
    </xf>
    <xf numFmtId="0" fontId="24" fillId="0" borderId="1" xfId="1" applyFont="1" applyBorder="1"/>
    <xf numFmtId="0" fontId="24" fillId="0" borderId="1" xfId="1" applyFont="1" applyFill="1" applyBorder="1"/>
    <xf numFmtId="0" fontId="24" fillId="0" borderId="20" xfId="1" applyFont="1" applyFill="1" applyBorder="1"/>
    <xf numFmtId="0" fontId="24" fillId="0" borderId="1" xfId="1" applyFont="1" applyFill="1" applyBorder="1" applyAlignment="1">
      <alignment horizontal="left" indent="1"/>
    </xf>
    <xf numFmtId="0" fontId="24" fillId="0" borderId="20" xfId="1" applyFont="1" applyFill="1" applyBorder="1" applyAlignment="1">
      <alignment horizontal="left" indent="1"/>
    </xf>
    <xf numFmtId="164" fontId="29" fillId="0" borderId="1" xfId="1" applyNumberFormat="1" applyFont="1" applyFill="1" applyBorder="1" applyAlignment="1"/>
    <xf numFmtId="164" fontId="29" fillId="0" borderId="0" xfId="1" applyNumberFormat="1" applyFont="1" applyFill="1" applyBorder="1" applyAlignment="1"/>
    <xf numFmtId="164" fontId="29" fillId="0" borderId="20" xfId="1" applyNumberFormat="1" applyFont="1" applyFill="1" applyBorder="1" applyAlignment="1"/>
    <xf numFmtId="164" fontId="24" fillId="0" borderId="0" xfId="1" applyNumberFormat="1" applyFont="1" applyFill="1" applyBorder="1" applyAlignment="1"/>
    <xf numFmtId="164" fontId="24" fillId="0" borderId="20" xfId="1" applyNumberFormat="1" applyFont="1" applyFill="1" applyBorder="1" applyAlignment="1"/>
    <xf numFmtId="164" fontId="24" fillId="0" borderId="1" xfId="1" applyNumberFormat="1" applyFont="1" applyFill="1" applyBorder="1" applyAlignment="1"/>
    <xf numFmtId="0" fontId="26" fillId="0" borderId="1" xfId="1" applyFont="1" applyFill="1" applyBorder="1" applyAlignment="1">
      <alignment horizontal="left" indent="1"/>
    </xf>
    <xf numFmtId="0" fontId="26" fillId="0" borderId="20" xfId="1" applyFont="1" applyFill="1" applyBorder="1" applyAlignment="1">
      <alignment horizontal="left" indent="1"/>
    </xf>
    <xf numFmtId="168" fontId="26" fillId="0" borderId="0" xfId="64" applyNumberFormat="1" applyFont="1" applyFill="1" applyBorder="1" applyAlignment="1"/>
    <xf numFmtId="168" fontId="26" fillId="0" borderId="20" xfId="64" applyNumberFormat="1" applyFont="1" applyFill="1" applyBorder="1" applyAlignment="1"/>
    <xf numFmtId="169" fontId="29" fillId="0" borderId="0" xfId="1" applyNumberFormat="1" applyFont="1" applyFill="1" applyBorder="1" applyAlignment="1"/>
    <xf numFmtId="169" fontId="29" fillId="0" borderId="20" xfId="1" applyNumberFormat="1" applyFont="1" applyFill="1" applyBorder="1" applyAlignment="1"/>
    <xf numFmtId="169" fontId="29" fillId="0" borderId="1" xfId="1" applyNumberFormat="1" applyFont="1" applyFill="1" applyBorder="1" applyAlignment="1"/>
    <xf numFmtId="169" fontId="29" fillId="0" borderId="0" xfId="1" applyNumberFormat="1" applyFont="1" applyFill="1" applyBorder="1"/>
    <xf numFmtId="169" fontId="29" fillId="0" borderId="20" xfId="1" applyNumberFormat="1" applyFont="1" applyFill="1" applyBorder="1"/>
    <xf numFmtId="170" fontId="29" fillId="0" borderId="0" xfId="1" applyNumberFormat="1" applyFont="1" applyFill="1" applyBorder="1" applyAlignment="1"/>
    <xf numFmtId="0" fontId="25" fillId="0" borderId="1" xfId="1" applyFont="1" applyFill="1" applyBorder="1"/>
    <xf numFmtId="0" fontId="25" fillId="0" borderId="20" xfId="1" applyFont="1" applyFill="1" applyBorder="1"/>
    <xf numFmtId="164" fontId="25" fillId="0" borderId="1" xfId="1" applyNumberFormat="1" applyFont="1" applyFill="1" applyBorder="1" applyAlignment="1"/>
    <xf numFmtId="164" fontId="25" fillId="0" borderId="0" xfId="1" applyNumberFormat="1" applyFont="1" applyFill="1" applyBorder="1" applyAlignment="1"/>
    <xf numFmtId="164" fontId="25" fillId="0" borderId="20" xfId="1" applyNumberFormat="1" applyFont="1" applyFill="1" applyBorder="1" applyAlignment="1"/>
    <xf numFmtId="0" fontId="24" fillId="0" borderId="1" xfId="1" applyFont="1" applyFill="1" applyBorder="1" applyAlignment="1">
      <alignment horizontal="left" indent="2"/>
    </xf>
    <xf numFmtId="0" fontId="24" fillId="0" borderId="20" xfId="1" applyFont="1" applyFill="1" applyBorder="1" applyAlignment="1">
      <alignment horizontal="left" indent="2"/>
    </xf>
    <xf numFmtId="169" fontId="29" fillId="0" borderId="1" xfId="1" applyNumberFormat="1" applyFont="1" applyFill="1" applyBorder="1"/>
    <xf numFmtId="171" fontId="24" fillId="0" borderId="20" xfId="1" applyNumberFormat="1" applyFont="1" applyFill="1" applyBorder="1" applyAlignment="1"/>
    <xf numFmtId="173" fontId="24" fillId="0" borderId="1" xfId="1" applyNumberFormat="1" applyFont="1" applyFill="1" applyBorder="1"/>
    <xf numFmtId="173" fontId="24" fillId="0" borderId="0" xfId="1" applyNumberFormat="1" applyFont="1" applyFill="1" applyBorder="1"/>
    <xf numFmtId="173" fontId="24" fillId="0" borderId="20" xfId="1" applyNumberFormat="1" applyFont="1" applyFill="1" applyBorder="1"/>
    <xf numFmtId="0" fontId="24" fillId="0" borderId="21" xfId="1" applyFont="1" applyFill="1" applyBorder="1"/>
    <xf numFmtId="0" fontId="24" fillId="0" borderId="22" xfId="1" applyFont="1" applyFill="1" applyBorder="1"/>
    <xf numFmtId="0" fontId="24" fillId="0" borderId="17" xfId="1" applyFont="1" applyFill="1" applyBorder="1"/>
    <xf numFmtId="0" fontId="24" fillId="0" borderId="0" xfId="1" applyFont="1" applyFill="1" applyBorder="1"/>
    <xf numFmtId="37" fontId="29" fillId="0" borderId="0" xfId="1" applyNumberFormat="1" applyFont="1" applyFill="1" applyBorder="1"/>
    <xf numFmtId="43" fontId="29" fillId="0" borderId="0" xfId="1" applyNumberFormat="1" applyFont="1" applyFill="1" applyBorder="1"/>
    <xf numFmtId="0" fontId="24" fillId="0" borderId="2" xfId="1" applyFont="1" applyFill="1" applyBorder="1"/>
    <xf numFmtId="0" fontId="24" fillId="0" borderId="7" xfId="1" applyFont="1" applyFill="1" applyBorder="1"/>
    <xf numFmtId="0" fontId="24" fillId="0" borderId="19" xfId="1" applyFont="1" applyFill="1" applyBorder="1"/>
    <xf numFmtId="164" fontId="29" fillId="0" borderId="7" xfId="1" applyNumberFormat="1" applyFont="1" applyFill="1" applyBorder="1"/>
    <xf numFmtId="164" fontId="29" fillId="0" borderId="17" xfId="1" applyNumberFormat="1" applyFont="1" applyFill="1" applyBorder="1"/>
    <xf numFmtId="164" fontId="29" fillId="0" borderId="19" xfId="1" applyNumberFormat="1" applyFont="1" applyFill="1" applyBorder="1"/>
    <xf numFmtId="174" fontId="24" fillId="0" borderId="17" xfId="1" applyNumberFormat="1" applyFont="1" applyFill="1" applyBorder="1"/>
    <xf numFmtId="164" fontId="24" fillId="0" borderId="1" xfId="1" applyNumberFormat="1" applyFont="1" applyFill="1" applyBorder="1"/>
    <xf numFmtId="164" fontId="24" fillId="0" borderId="0" xfId="1" applyNumberFormat="1" applyFont="1" applyFill="1" applyBorder="1"/>
    <xf numFmtId="164" fontId="24" fillId="0" borderId="20" xfId="1" applyNumberFormat="1" applyFont="1" applyFill="1" applyBorder="1"/>
    <xf numFmtId="164" fontId="29" fillId="0" borderId="1" xfId="1" applyNumberFormat="1" applyFont="1" applyFill="1" applyBorder="1"/>
    <xf numFmtId="164" fontId="29" fillId="0" borderId="0" xfId="1" applyNumberFormat="1" applyFont="1" applyFill="1" applyBorder="1"/>
    <xf numFmtId="164" fontId="29" fillId="0" borderId="20" xfId="1" applyNumberFormat="1" applyFont="1" applyFill="1" applyBorder="1"/>
    <xf numFmtId="174" fontId="24" fillId="0" borderId="0" xfId="1" applyNumberFormat="1" applyFont="1" applyFill="1" applyBorder="1"/>
    <xf numFmtId="174" fontId="24" fillId="0" borderId="20" xfId="1" applyNumberFormat="1" applyFont="1" applyFill="1" applyBorder="1"/>
    <xf numFmtId="175" fontId="26" fillId="0" borderId="1" xfId="1" applyNumberFormat="1" applyFont="1" applyFill="1" applyBorder="1"/>
    <xf numFmtId="175" fontId="26" fillId="0" borderId="0" xfId="1" applyNumberFormat="1" applyFont="1" applyFill="1" applyBorder="1"/>
    <xf numFmtId="175" fontId="26" fillId="0" borderId="20" xfId="1" applyNumberFormat="1" applyFont="1" applyFill="1" applyBorder="1"/>
    <xf numFmtId="174" fontId="29" fillId="0" borderId="0" xfId="1" applyNumberFormat="1" applyFont="1" applyFill="1" applyBorder="1"/>
    <xf numFmtId="174" fontId="29" fillId="0" borderId="20" xfId="1" applyNumberFormat="1" applyFont="1" applyFill="1" applyBorder="1"/>
    <xf numFmtId="174" fontId="29" fillId="0" borderId="1" xfId="1" applyNumberFormat="1" applyFont="1" applyFill="1" applyBorder="1"/>
    <xf numFmtId="175" fontId="35" fillId="0" borderId="1" xfId="1" applyNumberFormat="1" applyFont="1" applyFill="1" applyBorder="1"/>
    <xf numFmtId="175" fontId="35" fillId="0" borderId="0" xfId="1" applyNumberFormat="1" applyFont="1" applyFill="1" applyBorder="1"/>
    <xf numFmtId="175" fontId="35" fillId="0" borderId="20" xfId="1" applyNumberFormat="1" applyFont="1" applyFill="1" applyBorder="1"/>
    <xf numFmtId="164" fontId="35" fillId="0" borderId="0" xfId="1" applyNumberFormat="1" applyFont="1" applyFill="1" applyBorder="1"/>
    <xf numFmtId="164" fontId="35" fillId="0" borderId="20" xfId="1" applyNumberFormat="1" applyFont="1" applyFill="1" applyBorder="1"/>
    <xf numFmtId="164" fontId="30" fillId="0" borderId="1" xfId="1" applyNumberFormat="1" applyFont="1" applyFill="1" applyBorder="1"/>
    <xf numFmtId="164" fontId="30" fillId="0" borderId="0" xfId="1" applyNumberFormat="1" applyFont="1" applyFill="1" applyBorder="1"/>
    <xf numFmtId="164" fontId="30" fillId="0" borderId="20" xfId="1" applyNumberFormat="1" applyFont="1" applyFill="1" applyBorder="1"/>
    <xf numFmtId="168" fontId="26" fillId="0" borderId="0" xfId="64" applyNumberFormat="1" applyFont="1" applyFill="1" applyBorder="1"/>
    <xf numFmtId="168" fontId="26" fillId="0" borderId="20" xfId="64" applyNumberFormat="1" applyFont="1" applyFill="1" applyBorder="1"/>
    <xf numFmtId="168" fontId="30" fillId="0" borderId="0" xfId="64" applyNumberFormat="1" applyFont="1" applyFill="1" applyBorder="1"/>
    <xf numFmtId="168" fontId="30" fillId="0" borderId="20" xfId="64" applyNumberFormat="1" applyFont="1" applyFill="1" applyBorder="1"/>
    <xf numFmtId="168" fontId="30" fillId="0" borderId="1" xfId="64" applyNumberFormat="1" applyFont="1" applyFill="1" applyBorder="1"/>
    <xf numFmtId="0" fontId="24" fillId="0" borderId="1" xfId="1" applyFont="1" applyFill="1" applyBorder="1" applyAlignment="1">
      <alignment horizontal="left"/>
    </xf>
    <xf numFmtId="0" fontId="24" fillId="0" borderId="20" xfId="1" applyFont="1" applyFill="1" applyBorder="1" applyAlignment="1">
      <alignment horizontal="left"/>
    </xf>
    <xf numFmtId="169" fontId="24" fillId="0" borderId="1" xfId="1" applyNumberFormat="1" applyFont="1" applyFill="1" applyBorder="1"/>
    <xf numFmtId="169" fontId="24" fillId="0" borderId="0" xfId="1" applyNumberFormat="1" applyFont="1" applyFill="1" applyBorder="1"/>
    <xf numFmtId="169" fontId="24" fillId="0" borderId="20" xfId="1" applyNumberFormat="1" applyFont="1" applyFill="1" applyBorder="1"/>
    <xf numFmtId="0" fontId="24" fillId="0" borderId="21" xfId="1" applyFont="1" applyFill="1" applyBorder="1" applyAlignment="1">
      <alignment horizontal="left"/>
    </xf>
    <xf numFmtId="0" fontId="24" fillId="0" borderId="22" xfId="1" applyFont="1" applyFill="1" applyBorder="1" applyAlignment="1">
      <alignment horizontal="left"/>
    </xf>
    <xf numFmtId="169" fontId="24" fillId="0" borderId="21" xfId="1" applyNumberFormat="1" applyFont="1" applyFill="1" applyBorder="1"/>
    <xf numFmtId="169" fontId="24" fillId="0" borderId="2" xfId="1" applyNumberFormat="1" applyFont="1" applyFill="1" applyBorder="1"/>
    <xf numFmtId="169" fontId="24" fillId="0" borderId="22" xfId="1" applyNumberFormat="1" applyFont="1" applyFill="1" applyBorder="1"/>
    <xf numFmtId="0" fontId="24" fillId="0" borderId="0" xfId="1" applyFont="1" applyFill="1" applyBorder="1" applyAlignment="1">
      <alignment horizontal="left" wrapText="1" indent="2"/>
    </xf>
    <xf numFmtId="37" fontId="24" fillId="0" borderId="0" xfId="1" applyNumberFormat="1" applyFont="1" applyFill="1" applyAlignment="1">
      <alignment horizontal="center"/>
    </xf>
    <xf numFmtId="0" fontId="36" fillId="0" borderId="0" xfId="1" applyFont="1"/>
    <xf numFmtId="0" fontId="37" fillId="0" borderId="0" xfId="1" applyFont="1"/>
    <xf numFmtId="166" fontId="25" fillId="0" borderId="1" xfId="58" applyFont="1" applyFill="1" applyBorder="1"/>
    <xf numFmtId="166" fontId="25" fillId="0" borderId="20" xfId="58" applyFont="1" applyFill="1" applyBorder="1"/>
    <xf numFmtId="0" fontId="29" fillId="0" borderId="0" xfId="1" applyFont="1" applyFill="1" applyBorder="1"/>
    <xf numFmtId="0" fontId="29" fillId="0" borderId="20" xfId="1" applyFont="1" applyFill="1" applyBorder="1"/>
    <xf numFmtId="0" fontId="29" fillId="0" borderId="1" xfId="1" applyFont="1" applyFill="1" applyBorder="1"/>
    <xf numFmtId="0" fontId="29" fillId="0" borderId="17" xfId="1" applyFont="1" applyFill="1" applyBorder="1"/>
    <xf numFmtId="164" fontId="24" fillId="0" borderId="25" xfId="1" applyNumberFormat="1" applyFont="1" applyBorder="1"/>
    <xf numFmtId="0" fontId="24" fillId="0" borderId="21" xfId="1" applyFont="1" applyFill="1" applyBorder="1" applyAlignment="1">
      <alignment horizontal="left" indent="1"/>
    </xf>
    <xf numFmtId="0" fontId="24" fillId="0" borderId="22" xfId="1" applyFont="1" applyFill="1" applyBorder="1" applyAlignment="1">
      <alignment horizontal="left" indent="1"/>
    </xf>
    <xf numFmtId="164" fontId="24" fillId="0" borderId="2" xfId="1" applyNumberFormat="1" applyFont="1" applyFill="1" applyBorder="1"/>
    <xf numFmtId="166" fontId="25" fillId="0" borderId="1" xfId="58" applyNumberFormat="1" applyFont="1" applyFill="1" applyBorder="1" applyAlignment="1"/>
    <xf numFmtId="166" fontId="25" fillId="0" borderId="20" xfId="58" applyNumberFormat="1" applyFont="1" applyFill="1" applyBorder="1" applyAlignment="1"/>
    <xf numFmtId="164" fontId="25" fillId="0" borderId="17" xfId="1" applyNumberFormat="1" applyFont="1" applyFill="1" applyBorder="1"/>
    <xf numFmtId="164" fontId="25" fillId="0" borderId="19" xfId="1" applyNumberFormat="1" applyFont="1" applyFill="1" applyBorder="1"/>
    <xf numFmtId="164" fontId="25" fillId="0" borderId="7" xfId="1" applyNumberFormat="1" applyFont="1" applyFill="1" applyBorder="1"/>
    <xf numFmtId="164" fontId="25" fillId="0" borderId="0" xfId="1" applyNumberFormat="1" applyFont="1" applyFill="1" applyBorder="1"/>
    <xf numFmtId="164" fontId="25" fillId="0" borderId="20" xfId="1" applyNumberFormat="1" applyFont="1" applyFill="1" applyBorder="1"/>
    <xf numFmtId="164" fontId="29" fillId="0" borderId="0" xfId="36" applyNumberFormat="1" applyFont="1" applyFill="1" applyBorder="1"/>
    <xf numFmtId="164" fontId="29" fillId="0" borderId="1" xfId="36" applyNumberFormat="1" applyFont="1" applyFill="1" applyBorder="1"/>
    <xf numFmtId="164" fontId="29" fillId="0" borderId="20" xfId="36" applyNumberFormat="1" applyFont="1" applyFill="1" applyBorder="1"/>
    <xf numFmtId="166" fontId="25" fillId="0" borderId="23" xfId="58" applyFont="1" applyFill="1" applyBorder="1"/>
    <xf numFmtId="166" fontId="25" fillId="0" borderId="24" xfId="58" applyFont="1" applyFill="1" applyBorder="1"/>
    <xf numFmtId="164" fontId="25" fillId="0" borderId="6" xfId="1" applyNumberFormat="1" applyFont="1" applyFill="1" applyBorder="1"/>
    <xf numFmtId="164" fontId="25" fillId="0" borderId="24" xfId="1" applyNumberFormat="1" applyFont="1" applyFill="1" applyBorder="1"/>
    <xf numFmtId="164" fontId="25" fillId="0" borderId="23" xfId="1" applyNumberFormat="1" applyFont="1" applyFill="1" applyBorder="1"/>
    <xf numFmtId="37" fontId="25" fillId="0" borderId="1" xfId="58" applyNumberFormat="1" applyFont="1" applyFill="1" applyBorder="1"/>
    <xf numFmtId="37" fontId="25" fillId="0" borderId="20" xfId="58" applyNumberFormat="1" applyFont="1" applyFill="1" applyBorder="1"/>
    <xf numFmtId="164" fontId="33" fillId="0" borderId="0" xfId="1" applyNumberFormat="1" applyFont="1" applyFill="1" applyBorder="1"/>
    <xf numFmtId="164" fontId="33" fillId="0" borderId="20" xfId="1" applyNumberFormat="1" applyFont="1" applyFill="1" applyBorder="1"/>
    <xf numFmtId="164" fontId="33" fillId="0" borderId="1" xfId="1" applyNumberFormat="1" applyFont="1" applyFill="1" applyBorder="1"/>
    <xf numFmtId="164" fontId="25" fillId="0" borderId="1" xfId="1" applyNumberFormat="1" applyFont="1" applyFill="1" applyBorder="1"/>
    <xf numFmtId="37" fontId="25" fillId="0" borderId="23" xfId="58" applyNumberFormat="1" applyFont="1" applyFill="1" applyBorder="1"/>
    <xf numFmtId="37" fontId="25" fillId="0" borderId="24" xfId="58" applyNumberFormat="1" applyFont="1" applyFill="1" applyBorder="1"/>
    <xf numFmtId="0" fontId="24" fillId="0" borderId="6" xfId="1" applyFont="1" applyFill="1" applyBorder="1"/>
    <xf numFmtId="37" fontId="29" fillId="0" borderId="6" xfId="1" applyNumberFormat="1" applyFont="1" applyFill="1" applyBorder="1"/>
    <xf numFmtId="0" fontId="38" fillId="0" borderId="23" xfId="1" applyFont="1" applyFill="1" applyBorder="1"/>
    <xf numFmtId="0" fontId="38" fillId="0" borderId="24" xfId="1" applyFont="1" applyFill="1" applyBorder="1"/>
    <xf numFmtId="177" fontId="38" fillId="0" borderId="6" xfId="36" applyNumberFormat="1" applyFont="1" applyFill="1" applyBorder="1"/>
    <xf numFmtId="177" fontId="38" fillId="0" borderId="24" xfId="36" applyNumberFormat="1" applyFont="1" applyFill="1" applyBorder="1"/>
    <xf numFmtId="177" fontId="38" fillId="0" borderId="23" xfId="36" applyNumberFormat="1" applyFont="1" applyFill="1" applyBorder="1"/>
    <xf numFmtId="178" fontId="29" fillId="0" borderId="0" xfId="1" applyNumberFormat="1" applyFont="1" applyFill="1" applyBorder="1"/>
    <xf numFmtId="178" fontId="29" fillId="0" borderId="17" xfId="1" applyNumberFormat="1" applyFont="1" applyFill="1" applyBorder="1"/>
    <xf numFmtId="43" fontId="29" fillId="0" borderId="17" xfId="1" applyNumberFormat="1" applyFont="1" applyFill="1" applyBorder="1"/>
    <xf numFmtId="37" fontId="29" fillId="0" borderId="2" xfId="1" applyNumberFormat="1" applyFont="1" applyFill="1" applyBorder="1"/>
    <xf numFmtId="0" fontId="25" fillId="15" borderId="23" xfId="1" applyFont="1" applyFill="1" applyBorder="1" applyAlignment="1">
      <alignment horizontal="left"/>
    </xf>
    <xf numFmtId="0" fontId="25" fillId="15" borderId="24" xfId="1" applyFont="1" applyFill="1" applyBorder="1" applyAlignment="1">
      <alignment horizontal="left"/>
    </xf>
    <xf numFmtId="1" fontId="27" fillId="15" borderId="26" xfId="58" applyNumberFormat="1" applyFont="1" applyFill="1" applyBorder="1" applyAlignment="1">
      <alignment horizontal="right"/>
    </xf>
    <xf numFmtId="164" fontId="24" fillId="0" borderId="17" xfId="1" applyNumberFormat="1" applyFont="1" applyFill="1" applyBorder="1"/>
    <xf numFmtId="164" fontId="29" fillId="15" borderId="20" xfId="1" applyNumberFormat="1" applyFont="1" applyFill="1" applyBorder="1"/>
    <xf numFmtId="164" fontId="29" fillId="15" borderId="0" xfId="1" applyNumberFormat="1" applyFont="1" applyFill="1" applyBorder="1"/>
    <xf numFmtId="168" fontId="26" fillId="0" borderId="1" xfId="64" applyNumberFormat="1" applyFont="1" applyFill="1" applyBorder="1"/>
    <xf numFmtId="168" fontId="30" fillId="15" borderId="20" xfId="64" applyNumberFormat="1" applyFont="1" applyFill="1" applyBorder="1"/>
    <xf numFmtId="179" fontId="24" fillId="0" borderId="0" xfId="1" applyNumberFormat="1" applyFont="1" applyFill="1" applyBorder="1"/>
    <xf numFmtId="179" fontId="24" fillId="0" borderId="2" xfId="1" applyNumberFormat="1" applyFont="1" applyFill="1" applyBorder="1"/>
    <xf numFmtId="0" fontId="24" fillId="0" borderId="19" xfId="1" applyFont="1" applyFill="1" applyBorder="1" applyAlignment="1">
      <alignment horizontal="left"/>
    </xf>
    <xf numFmtId="164" fontId="24" fillId="0" borderId="19" xfId="1" applyNumberFormat="1" applyFont="1" applyFill="1" applyBorder="1"/>
    <xf numFmtId="0" fontId="25" fillId="0" borderId="23" xfId="1" applyFont="1" applyFill="1" applyBorder="1" applyAlignment="1">
      <alignment horizontal="left" indent="1"/>
    </xf>
    <xf numFmtId="0" fontId="25" fillId="0" borderId="24" xfId="1" applyFont="1" applyFill="1" applyBorder="1" applyAlignment="1">
      <alignment horizontal="left" indent="1"/>
    </xf>
    <xf numFmtId="180" fontId="25" fillId="0" borderId="6" xfId="1" applyNumberFormat="1" applyFont="1" applyFill="1" applyBorder="1"/>
    <xf numFmtId="180" fontId="25" fillId="0" borderId="24" xfId="1" applyNumberFormat="1" applyFont="1" applyFill="1" applyBorder="1"/>
    <xf numFmtId="180" fontId="25" fillId="0" borderId="23" xfId="1" applyNumberFormat="1" applyFont="1" applyFill="1" applyBorder="1"/>
    <xf numFmtId="164" fontId="29" fillId="0" borderId="22" xfId="1" applyNumberFormat="1" applyFont="1" applyFill="1" applyBorder="1"/>
    <xf numFmtId="37" fontId="25" fillId="0" borderId="0" xfId="58" applyNumberFormat="1" applyFont="1" applyFill="1" applyBorder="1"/>
    <xf numFmtId="164" fontId="24" fillId="0" borderId="6" xfId="1" applyNumberFormat="1" applyFont="1" applyFill="1" applyBorder="1"/>
    <xf numFmtId="177" fontId="24" fillId="0" borderId="17" xfId="36" applyNumberFormat="1" applyFont="1" applyFill="1" applyBorder="1"/>
    <xf numFmtId="177" fontId="24" fillId="0" borderId="24" xfId="36" applyNumberFormat="1" applyFont="1" applyFill="1" applyBorder="1"/>
    <xf numFmtId="177" fontId="24" fillId="0" borderId="7" xfId="36" applyNumberFormat="1" applyFont="1" applyFill="1" applyBorder="1"/>
    <xf numFmtId="177" fontId="24" fillId="0" borderId="19" xfId="36" applyNumberFormat="1" applyFont="1" applyFill="1" applyBorder="1"/>
    <xf numFmtId="0" fontId="24" fillId="0" borderId="25" xfId="1" applyFont="1" applyFill="1" applyBorder="1"/>
    <xf numFmtId="177" fontId="38" fillId="0" borderId="6" xfId="36" applyNumberFormat="1" applyFont="1" applyFill="1" applyBorder="1" applyAlignment="1"/>
    <xf numFmtId="181" fontId="24" fillId="0" borderId="0" xfId="1" applyNumberFormat="1" applyFont="1" applyFill="1" applyBorder="1"/>
    <xf numFmtId="164" fontId="24" fillId="18" borderId="0" xfId="57" applyNumberFormat="1" applyFont="1" applyFill="1" applyBorder="1"/>
    <xf numFmtId="164" fontId="24" fillId="18" borderId="19" xfId="57" applyNumberFormat="1" applyFont="1" applyFill="1" applyBorder="1"/>
    <xf numFmtId="164" fontId="24" fillId="18" borderId="1" xfId="57" applyNumberFormat="1" applyFont="1" applyFill="1" applyBorder="1"/>
    <xf numFmtId="164" fontId="24" fillId="18" borderId="20" xfId="57" applyNumberFormat="1" applyFont="1" applyFill="1" applyBorder="1"/>
    <xf numFmtId="164" fontId="39" fillId="18" borderId="0" xfId="57" applyNumberFormat="1" applyFont="1" applyFill="1" applyBorder="1"/>
    <xf numFmtId="164" fontId="24" fillId="18" borderId="2" xfId="57" applyNumberFormat="1" applyFont="1" applyFill="1" applyBorder="1"/>
    <xf numFmtId="164" fontId="24" fillId="18" borderId="22" xfId="57" applyNumberFormat="1" applyFont="1" applyFill="1" applyBorder="1"/>
    <xf numFmtId="164" fontId="24" fillId="18" borderId="21" xfId="57" applyNumberFormat="1" applyFont="1" applyFill="1" applyBorder="1"/>
    <xf numFmtId="164" fontId="39" fillId="18" borderId="2" xfId="57" applyNumberFormat="1" applyFont="1" applyFill="1" applyBorder="1"/>
    <xf numFmtId="0" fontId="29" fillId="0" borderId="0" xfId="1" applyFont="1" applyAlignment="1">
      <alignment horizontal="center"/>
    </xf>
    <xf numFmtId="164" fontId="24" fillId="0" borderId="0" xfId="1" applyNumberFormat="1" applyFont="1" applyAlignment="1">
      <alignment horizontal="center"/>
    </xf>
    <xf numFmtId="182" fontId="24" fillId="0" borderId="0" xfId="1" applyNumberFormat="1" applyFont="1"/>
    <xf numFmtId="0" fontId="19" fillId="0" borderId="0" xfId="1" applyFont="1" applyFill="1" applyBorder="1" applyAlignment="1">
      <alignment horizontal="left" wrapText="1" indent="2"/>
    </xf>
    <xf numFmtId="0" fontId="19" fillId="0" borderId="0" xfId="1" applyFont="1" applyBorder="1"/>
    <xf numFmtId="2" fontId="19" fillId="0" borderId="0" xfId="1" applyNumberFormat="1" applyFont="1"/>
    <xf numFmtId="0" fontId="26" fillId="0" borderId="22" xfId="1" applyFont="1" applyBorder="1"/>
    <xf numFmtId="0" fontId="25" fillId="0" borderId="7" xfId="1" applyFont="1" applyFill="1" applyBorder="1"/>
    <xf numFmtId="37" fontId="24" fillId="0" borderId="0" xfId="1" applyNumberFormat="1" applyFont="1" applyFill="1" applyBorder="1"/>
    <xf numFmtId="37" fontId="24" fillId="0" borderId="20" xfId="1" applyNumberFormat="1" applyFont="1" applyFill="1" applyBorder="1"/>
    <xf numFmtId="37" fontId="24" fillId="0" borderId="1" xfId="1" applyNumberFormat="1" applyFont="1" applyFill="1" applyBorder="1"/>
    <xf numFmtId="37" fontId="24" fillId="0" borderId="19" xfId="1" applyNumberFormat="1" applyFont="1" applyFill="1" applyBorder="1"/>
    <xf numFmtId="0" fontId="24" fillId="0" borderId="1" xfId="1" applyFont="1" applyFill="1" applyBorder="1" applyAlignment="1">
      <alignment horizontal="left" wrapText="1" indent="1"/>
    </xf>
    <xf numFmtId="0" fontId="24" fillId="0" borderId="20" xfId="1" applyFont="1" applyFill="1" applyBorder="1" applyAlignment="1">
      <alignment horizontal="left" wrapText="1" indent="1"/>
    </xf>
    <xf numFmtId="41" fontId="29" fillId="0" borderId="0" xfId="1" applyNumberFormat="1" applyFont="1" applyFill="1" applyBorder="1"/>
    <xf numFmtId="41" fontId="29" fillId="0" borderId="20" xfId="1" applyNumberFormat="1" applyFont="1" applyFill="1" applyBorder="1"/>
    <xf numFmtId="41" fontId="29" fillId="0" borderId="1" xfId="1" applyNumberFormat="1" applyFont="1" applyFill="1" applyBorder="1"/>
    <xf numFmtId="180" fontId="24" fillId="0" borderId="0" xfId="1" applyNumberFormat="1" applyFont="1" applyFill="1" applyBorder="1"/>
    <xf numFmtId="180" fontId="24" fillId="0" borderId="20" xfId="1" applyNumberFormat="1" applyFont="1" applyFill="1" applyBorder="1"/>
    <xf numFmtId="180" fontId="24" fillId="0" borderId="1" xfId="1" applyNumberFormat="1" applyFont="1" applyFill="1" applyBorder="1"/>
    <xf numFmtId="180" fontId="29" fillId="0" borderId="0" xfId="1" applyNumberFormat="1" applyFont="1" applyFill="1" applyBorder="1"/>
    <xf numFmtId="180" fontId="29" fillId="0" borderId="20" xfId="1" applyNumberFormat="1" applyFont="1" applyFill="1" applyBorder="1"/>
    <xf numFmtId="180" fontId="29" fillId="0" borderId="1" xfId="1" applyNumberFormat="1" applyFont="1" applyFill="1" applyBorder="1"/>
    <xf numFmtId="0" fontId="25" fillId="0" borderId="27" xfId="1" applyFont="1" applyFill="1" applyBorder="1" applyAlignment="1">
      <alignment horizontal="left"/>
    </xf>
    <xf numFmtId="0" fontId="25" fillId="0" borderId="28" xfId="1" applyFont="1" applyFill="1" applyBorder="1" applyAlignment="1">
      <alignment horizontal="left"/>
    </xf>
    <xf numFmtId="180" fontId="25" fillId="0" borderId="29" xfId="1" applyNumberFormat="1" applyFont="1" applyFill="1" applyBorder="1"/>
    <xf numFmtId="180" fontId="25" fillId="0" borderId="27" xfId="1" applyNumberFormat="1" applyFont="1" applyFill="1" applyBorder="1"/>
    <xf numFmtId="180" fontId="25" fillId="0" borderId="28" xfId="1" applyNumberFormat="1" applyFont="1" applyFill="1" applyBorder="1"/>
    <xf numFmtId="0" fontId="25" fillId="0" borderId="1" xfId="1" applyFont="1" applyFill="1" applyBorder="1" applyAlignment="1">
      <alignment horizontal="left"/>
    </xf>
    <xf numFmtId="0" fontId="25" fillId="0" borderId="20" xfId="1" applyFont="1" applyFill="1" applyBorder="1" applyAlignment="1">
      <alignment horizontal="left"/>
    </xf>
    <xf numFmtId="180" fontId="31" fillId="0" borderId="0" xfId="1" applyNumberFormat="1" applyFont="1" applyFill="1" applyBorder="1"/>
    <xf numFmtId="180" fontId="25" fillId="0" borderId="0" xfId="1" applyNumberFormat="1" applyFont="1" applyFill="1" applyBorder="1"/>
    <xf numFmtId="180" fontId="25" fillId="0" borderId="1" xfId="1" applyNumberFormat="1" applyFont="1" applyFill="1" applyBorder="1"/>
    <xf numFmtId="180" fontId="25" fillId="0" borderId="20" xfId="1" applyNumberFormat="1" applyFont="1" applyFill="1" applyBorder="1"/>
    <xf numFmtId="180" fontId="33" fillId="0" borderId="0" xfId="1" applyNumberFormat="1" applyFont="1" applyFill="1" applyBorder="1"/>
    <xf numFmtId="180" fontId="33" fillId="0" borderId="20" xfId="1" applyNumberFormat="1" applyFont="1" applyFill="1" applyBorder="1"/>
    <xf numFmtId="180" fontId="33" fillId="0" borderId="1" xfId="1" applyNumberFormat="1" applyFont="1" applyFill="1" applyBorder="1"/>
    <xf numFmtId="0" fontId="25" fillId="0" borderId="21" xfId="1" applyFont="1" applyFill="1" applyBorder="1" applyAlignment="1">
      <alignment horizontal="left"/>
    </xf>
    <xf numFmtId="0" fontId="25" fillId="0" borderId="22" xfId="1" applyFont="1" applyFill="1" applyBorder="1" applyAlignment="1">
      <alignment horizontal="left"/>
    </xf>
    <xf numFmtId="180" fontId="25" fillId="0" borderId="2" xfId="1" applyNumberFormat="1" applyFont="1" applyFill="1" applyBorder="1"/>
    <xf numFmtId="180" fontId="25" fillId="0" borderId="21" xfId="1" applyNumberFormat="1" applyFont="1" applyFill="1" applyBorder="1"/>
    <xf numFmtId="180" fontId="25" fillId="0" borderId="22" xfId="1" applyNumberFormat="1" applyFont="1" applyFill="1" applyBorder="1"/>
    <xf numFmtId="0" fontId="25" fillId="0" borderId="0" xfId="1" applyFont="1" applyFill="1" applyBorder="1" applyAlignment="1">
      <alignment horizontal="left"/>
    </xf>
    <xf numFmtId="0" fontId="24" fillId="0" borderId="24" xfId="1" applyFont="1" applyFill="1" applyBorder="1"/>
    <xf numFmtId="177" fontId="24" fillId="0" borderId="6" xfId="36" applyNumberFormat="1" applyFont="1" applyFill="1" applyBorder="1"/>
    <xf numFmtId="177" fontId="38" fillId="0" borderId="2" xfId="36" applyNumberFormat="1" applyFont="1" applyFill="1" applyBorder="1"/>
    <xf numFmtId="0" fontId="26" fillId="0" borderId="0" xfId="1" applyFont="1" applyFill="1" applyBorder="1"/>
    <xf numFmtId="37" fontId="33" fillId="0" borderId="0" xfId="1" applyNumberFormat="1" applyFont="1" applyFill="1" applyBorder="1"/>
    <xf numFmtId="0" fontId="29" fillId="0" borderId="0" xfId="1" applyFont="1"/>
    <xf numFmtId="0" fontId="24" fillId="0" borderId="2" xfId="1" applyFont="1" applyBorder="1"/>
    <xf numFmtId="1" fontId="25" fillId="15" borderId="6" xfId="58" applyNumberFormat="1" applyFont="1" applyFill="1" applyBorder="1" applyAlignment="1">
      <alignment horizontal="right"/>
    </xf>
    <xf numFmtId="1" fontId="25" fillId="15" borderId="24" xfId="58" applyNumberFormat="1" applyFont="1" applyFill="1" applyBorder="1" applyAlignment="1">
      <alignment horizontal="right"/>
    </xf>
    <xf numFmtId="0" fontId="24" fillId="0" borderId="19" xfId="1" applyFont="1" applyBorder="1"/>
    <xf numFmtId="177" fontId="24" fillId="0" borderId="0" xfId="36" applyNumberFormat="1" applyFont="1" applyFill="1"/>
    <xf numFmtId="177" fontId="24" fillId="0" borderId="20" xfId="36" applyNumberFormat="1" applyFont="1" applyFill="1" applyBorder="1"/>
    <xf numFmtId="177" fontId="24" fillId="0" borderId="0" xfId="36" applyNumberFormat="1" applyFont="1" applyBorder="1"/>
    <xf numFmtId="177" fontId="24" fillId="0" borderId="20" xfId="36" applyNumberFormat="1" applyFont="1" applyBorder="1"/>
    <xf numFmtId="0" fontId="24" fillId="0" borderId="20" xfId="1" applyFont="1" applyBorder="1"/>
    <xf numFmtId="177" fontId="29" fillId="0" borderId="0" xfId="36" applyNumberFormat="1" applyFont="1" applyFill="1"/>
    <xf numFmtId="177" fontId="29" fillId="0" borderId="20" xfId="36" applyNumberFormat="1" applyFont="1" applyFill="1" applyBorder="1"/>
    <xf numFmtId="177" fontId="29" fillId="0" borderId="0" xfId="36" applyNumberFormat="1" applyFont="1" applyBorder="1"/>
    <xf numFmtId="177" fontId="29" fillId="0" borderId="20" xfId="36" applyNumberFormat="1" applyFont="1" applyBorder="1"/>
    <xf numFmtId="177" fontId="29" fillId="0" borderId="1" xfId="36" applyNumberFormat="1" applyFont="1" applyFill="1" applyBorder="1"/>
    <xf numFmtId="177" fontId="29" fillId="0" borderId="0" xfId="36" applyNumberFormat="1" applyFont="1" applyFill="1" applyBorder="1"/>
    <xf numFmtId="0" fontId="26" fillId="0" borderId="1" xfId="1" applyFont="1" applyBorder="1" applyAlignment="1">
      <alignment horizontal="left" indent="1"/>
    </xf>
    <xf numFmtId="0" fontId="26" fillId="0" borderId="20" xfId="1" applyFont="1" applyBorder="1" applyAlignment="1">
      <alignment horizontal="left" indent="1"/>
    </xf>
    <xf numFmtId="168" fontId="26" fillId="0" borderId="1" xfId="64" applyNumberFormat="1" applyFont="1" applyBorder="1"/>
    <xf numFmtId="168" fontId="26" fillId="0" borderId="0" xfId="64" applyNumberFormat="1" applyFont="1" applyBorder="1"/>
    <xf numFmtId="168" fontId="26" fillId="0" borderId="2" xfId="64" applyNumberFormat="1" applyFont="1" applyFill="1" applyBorder="1"/>
    <xf numFmtId="168" fontId="26" fillId="0" borderId="22" xfId="64" applyNumberFormat="1" applyFont="1" applyFill="1" applyBorder="1"/>
    <xf numFmtId="177" fontId="39" fillId="0" borderId="2" xfId="36" applyNumberFormat="1" applyFont="1" applyFill="1" applyBorder="1"/>
    <xf numFmtId="177" fontId="24" fillId="0" borderId="22" xfId="36" applyNumberFormat="1" applyFont="1" applyFill="1" applyBorder="1"/>
    <xf numFmtId="177" fontId="24" fillId="0" borderId="2" xfId="36" applyNumberFormat="1" applyFont="1" applyFill="1" applyBorder="1"/>
    <xf numFmtId="177" fontId="24" fillId="0" borderId="21" xfId="36" applyNumberFormat="1" applyFont="1" applyFill="1" applyBorder="1"/>
    <xf numFmtId="177" fontId="24" fillId="0" borderId="0" xfId="36" applyNumberFormat="1" applyFont="1" applyFill="1" applyBorder="1"/>
    <xf numFmtId="177" fontId="24" fillId="0" borderId="1" xfId="36" applyNumberFormat="1" applyFont="1" applyFill="1" applyBorder="1"/>
    <xf numFmtId="0" fontId="25" fillId="0" borderId="21" xfId="1" applyFont="1" applyBorder="1"/>
    <xf numFmtId="0" fontId="25" fillId="0" borderId="22" xfId="1" applyFont="1" applyBorder="1"/>
    <xf numFmtId="177" fontId="25" fillId="0" borderId="6" xfId="36" applyNumberFormat="1" applyFont="1" applyBorder="1"/>
    <xf numFmtId="177" fontId="25" fillId="0" borderId="24" xfId="36" applyNumberFormat="1" applyFont="1" applyBorder="1"/>
    <xf numFmtId="168" fontId="26" fillId="0" borderId="0" xfId="64" applyNumberFormat="1" applyFont="1" applyFill="1"/>
    <xf numFmtId="168" fontId="29" fillId="0" borderId="0" xfId="1" applyNumberFormat="1" applyFont="1"/>
    <xf numFmtId="177" fontId="29" fillId="0" borderId="0" xfId="1" applyNumberFormat="1" applyFont="1"/>
    <xf numFmtId="177" fontId="29" fillId="0" borderId="0" xfId="36" applyNumberFormat="1" applyFont="1"/>
    <xf numFmtId="0" fontId="31" fillId="0" borderId="0" xfId="1" applyFont="1"/>
    <xf numFmtId="1" fontId="25" fillId="15" borderId="23" xfId="58" applyNumberFormat="1" applyFont="1" applyFill="1" applyBorder="1" applyAlignment="1">
      <alignment horizontal="right"/>
    </xf>
    <xf numFmtId="0" fontId="26" fillId="0" borderId="21" xfId="1" applyFont="1" applyBorder="1" applyAlignment="1">
      <alignment horizontal="left" indent="1"/>
    </xf>
    <xf numFmtId="0" fontId="26" fillId="0" borderId="22" xfId="1" applyFont="1" applyBorder="1" applyAlignment="1">
      <alignment horizontal="left" indent="1"/>
    </xf>
    <xf numFmtId="168" fontId="26" fillId="0" borderId="2" xfId="64" applyNumberFormat="1" applyFont="1" applyBorder="1"/>
    <xf numFmtId="168" fontId="26" fillId="0" borderId="22" xfId="64" applyNumberFormat="1" applyFont="1" applyBorder="1"/>
    <xf numFmtId="168" fontId="26" fillId="0" borderId="21" xfId="64" applyNumberFormat="1" applyFont="1" applyBorder="1"/>
    <xf numFmtId="180" fontId="24" fillId="0" borderId="0" xfId="1" applyNumberFormat="1" applyFont="1"/>
    <xf numFmtId="180" fontId="24" fillId="0" borderId="19" xfId="1" applyNumberFormat="1" applyFont="1" applyBorder="1"/>
    <xf numFmtId="180" fontId="24" fillId="0" borderId="2" xfId="1" applyNumberFormat="1" applyFont="1" applyBorder="1"/>
    <xf numFmtId="180" fontId="24" fillId="0" borderId="22" xfId="1" applyNumberFormat="1" applyFont="1" applyBorder="1"/>
    <xf numFmtId="180" fontId="24" fillId="0" borderId="21" xfId="1" applyNumberFormat="1" applyFont="1" applyBorder="1"/>
    <xf numFmtId="0" fontId="40" fillId="0" borderId="0" xfId="1" applyFont="1"/>
    <xf numFmtId="0" fontId="40" fillId="0" borderId="0" xfId="1" applyFont="1" applyBorder="1"/>
    <xf numFmtId="0" fontId="25" fillId="0" borderId="2" xfId="1" applyFont="1" applyFill="1" applyBorder="1" applyAlignment="1">
      <alignment horizontal="left"/>
    </xf>
    <xf numFmtId="0" fontId="25" fillId="0" borderId="24" xfId="1" applyFont="1" applyFill="1" applyBorder="1" applyAlignment="1">
      <alignment horizontal="left"/>
    </xf>
    <xf numFmtId="0" fontId="19" fillId="15" borderId="0" xfId="1" applyFont="1" applyFill="1" applyBorder="1"/>
    <xf numFmtId="37" fontId="19" fillId="0" borderId="0" xfId="1" applyNumberFormat="1" applyFont="1" applyFill="1" applyAlignment="1">
      <alignment horizontal="center"/>
    </xf>
    <xf numFmtId="0" fontId="42" fillId="0" borderId="0" xfId="1" applyFont="1"/>
    <xf numFmtId="49" fontId="0" fillId="0" borderId="0" xfId="1" applyNumberFormat="1" applyFont="1"/>
    <xf numFmtId="0" fontId="25" fillId="0" borderId="0" xfId="1" applyFont="1" applyBorder="1"/>
    <xf numFmtId="0" fontId="19" fillId="0" borderId="0" xfId="1" applyFont="1" applyFill="1" applyBorder="1"/>
    <xf numFmtId="0" fontId="53" fillId="0" borderId="0" xfId="59" applyNumberFormat="1" applyFont="1" applyFill="1" applyBorder="1" applyAlignment="1">
      <alignment horizontal="left"/>
    </xf>
    <xf numFmtId="166" fontId="52" fillId="0" borderId="2" xfId="58" applyNumberFormat="1" applyFont="1" applyFill="1" applyBorder="1" applyAlignment="1"/>
    <xf numFmtId="0" fontId="26" fillId="0" borderId="0" xfId="1" applyFont="1" applyBorder="1"/>
    <xf numFmtId="0" fontId="25" fillId="0" borderId="2" xfId="1" applyFont="1" applyBorder="1"/>
    <xf numFmtId="0" fontId="0" fillId="0" borderId="1" xfId="1" applyFont="1" applyBorder="1"/>
    <xf numFmtId="168" fontId="26" fillId="0" borderId="0" xfId="64" applyNumberFormat="1" applyFont="1"/>
    <xf numFmtId="168" fontId="26" fillId="0" borderId="20" xfId="64" applyNumberFormat="1" applyFont="1" applyBorder="1"/>
    <xf numFmtId="168" fontId="30" fillId="0" borderId="1" xfId="64" applyNumberFormat="1" applyFont="1" applyBorder="1"/>
    <xf numFmtId="168" fontId="30" fillId="0" borderId="0" xfId="64" applyNumberFormat="1" applyFont="1" applyBorder="1"/>
    <xf numFmtId="168" fontId="30" fillId="0" borderId="20" xfId="64" applyNumberFormat="1" applyFont="1" applyBorder="1"/>
    <xf numFmtId="168" fontId="30" fillId="0" borderId="0" xfId="64" applyNumberFormat="1" applyFont="1"/>
    <xf numFmtId="174" fontId="25" fillId="0" borderId="0" xfId="1" applyNumberFormat="1" applyFont="1" applyBorder="1" applyAlignment="1">
      <alignment horizontal="centerContinuous"/>
    </xf>
    <xf numFmtId="0" fontId="53" fillId="0" borderId="0" xfId="1" applyFont="1" applyBorder="1"/>
    <xf numFmtId="174" fontId="53" fillId="0" borderId="0" xfId="1" applyNumberFormat="1" applyFont="1" applyBorder="1" applyAlignment="1">
      <alignment horizontal="centerContinuous"/>
    </xf>
    <xf numFmtId="0" fontId="19" fillId="0" borderId="0" xfId="1" quotePrefix="1" applyFont="1" applyFill="1" applyBorder="1"/>
    <xf numFmtId="0" fontId="24" fillId="0" borderId="7" xfId="1" applyFont="1" applyBorder="1"/>
    <xf numFmtId="168" fontId="30" fillId="15" borderId="0" xfId="64" applyNumberFormat="1" applyFont="1" applyFill="1"/>
    <xf numFmtId="164" fontId="29" fillId="0" borderId="21" xfId="1" applyNumberFormat="1" applyFont="1" applyFill="1" applyBorder="1"/>
    <xf numFmtId="164" fontId="24" fillId="0" borderId="0" xfId="1" applyNumberFormat="1" applyFont="1"/>
    <xf numFmtId="0" fontId="24" fillId="0" borderId="17" xfId="1" applyFont="1" applyBorder="1"/>
    <xf numFmtId="183" fontId="24" fillId="0" borderId="1" xfId="1" applyNumberFormat="1" applyFont="1" applyFill="1" applyBorder="1"/>
    <xf numFmtId="0" fontId="0" fillId="0" borderId="0" xfId="1" applyFont="1" applyFill="1"/>
    <xf numFmtId="168" fontId="32" fillId="0" borderId="0" xfId="64" applyNumberFormat="1" applyFont="1" applyBorder="1"/>
    <xf numFmtId="168" fontId="32" fillId="0" borderId="0" xfId="64" applyNumberFormat="1" applyFont="1"/>
    <xf numFmtId="164" fontId="35" fillId="0" borderId="1" xfId="1" applyNumberFormat="1" applyFont="1" applyFill="1" applyBorder="1" applyAlignment="1"/>
    <xf numFmtId="168" fontId="30" fillId="0" borderId="0" xfId="64" applyNumberFormat="1" applyFont="1" applyFill="1"/>
    <xf numFmtId="0" fontId="67" fillId="0" borderId="0" xfId="1" applyFont="1" applyFill="1"/>
    <xf numFmtId="0" fontId="24" fillId="0" borderId="7" xfId="1" applyFont="1" applyFill="1" applyBorder="1" applyAlignment="1">
      <alignment horizontal="left"/>
    </xf>
    <xf numFmtId="43" fontId="19" fillId="0" borderId="0" xfId="1" applyNumberFormat="1" applyFont="1" applyFill="1"/>
    <xf numFmtId="177" fontId="29" fillId="0" borderId="19" xfId="36" applyNumberFormat="1" applyFont="1" applyBorder="1"/>
    <xf numFmtId="177" fontId="29" fillId="0" borderId="22" xfId="36" applyNumberFormat="1" applyFont="1" applyBorder="1"/>
    <xf numFmtId="41" fontId="24" fillId="0" borderId="0" xfId="1" applyNumberFormat="1" applyFont="1" applyFill="1" applyBorder="1"/>
    <xf numFmtId="41" fontId="24" fillId="0" borderId="20" xfId="1" applyNumberFormat="1" applyFont="1" applyFill="1" applyBorder="1"/>
    <xf numFmtId="164" fontId="35" fillId="0" borderId="0" xfId="1" applyNumberFormat="1" applyFont="1" applyFill="1" applyBorder="1" applyAlignment="1"/>
    <xf numFmtId="182" fontId="0" fillId="0" borderId="0" xfId="1" applyNumberFormat="1" applyFont="1"/>
    <xf numFmtId="173" fontId="29" fillId="0" borderId="0" xfId="1" applyNumberFormat="1" applyFont="1" applyFill="1" applyBorder="1"/>
    <xf numFmtId="181" fontId="29" fillId="0" borderId="0" xfId="1" applyNumberFormat="1" applyFont="1" applyFill="1" applyBorder="1"/>
    <xf numFmtId="0" fontId="68" fillId="0" borderId="0" xfId="1" applyFont="1"/>
    <xf numFmtId="180" fontId="24" fillId="0" borderId="21" xfId="1" applyNumberFormat="1" applyFont="1" applyFill="1" applyBorder="1"/>
    <xf numFmtId="0" fontId="37" fillId="0" borderId="1" xfId="1" applyFont="1" applyFill="1" applyBorder="1"/>
    <xf numFmtId="1" fontId="27" fillId="15" borderId="7" xfId="58" applyNumberFormat="1" applyFont="1" applyFill="1" applyBorder="1" applyAlignment="1">
      <alignment horizontal="right"/>
    </xf>
    <xf numFmtId="169" fontId="19" fillId="0" borderId="0" xfId="1" applyNumberFormat="1" applyFont="1"/>
    <xf numFmtId="194" fontId="70" fillId="0" borderId="0" xfId="64" applyNumberFormat="1" applyFont="1"/>
    <xf numFmtId="194" fontId="70" fillId="0" borderId="20" xfId="64" applyNumberFormat="1" applyFont="1" applyBorder="1"/>
    <xf numFmtId="168" fontId="32" fillId="0" borderId="20" xfId="64" applyNumberFormat="1" applyFont="1" applyBorder="1"/>
    <xf numFmtId="164" fontId="37" fillId="0" borderId="0" xfId="1" applyNumberFormat="1" applyFont="1" applyBorder="1"/>
    <xf numFmtId="164" fontId="42" fillId="0" borderId="0" xfId="1" applyNumberFormat="1" applyFont="1" applyBorder="1"/>
    <xf numFmtId="164" fontId="29" fillId="0" borderId="0" xfId="1" applyNumberFormat="1" applyFont="1" applyBorder="1"/>
    <xf numFmtId="164" fontId="29" fillId="0" borderId="20" xfId="1" applyNumberFormat="1" applyFont="1" applyBorder="1"/>
    <xf numFmtId="164" fontId="71" fillId="0" borderId="0" xfId="1" applyNumberFormat="1" applyFont="1" applyBorder="1"/>
    <xf numFmtId="164" fontId="71" fillId="0" borderId="20" xfId="1" applyNumberFormat="1" applyFont="1" applyBorder="1"/>
    <xf numFmtId="164" fontId="71" fillId="0" borderId="0" xfId="1" applyNumberFormat="1" applyFont="1" applyFill="1" applyBorder="1"/>
    <xf numFmtId="164" fontId="71" fillId="0" borderId="20" xfId="1" applyNumberFormat="1" applyFont="1" applyFill="1" applyBorder="1"/>
    <xf numFmtId="164" fontId="37" fillId="0" borderId="0" xfId="1" applyNumberFormat="1" applyFont="1" applyFill="1" applyBorder="1"/>
    <xf numFmtId="164" fontId="37" fillId="0" borderId="20" xfId="1" applyNumberFormat="1" applyFont="1" applyFill="1" applyBorder="1"/>
    <xf numFmtId="164" fontId="37" fillId="0" borderId="0" xfId="1" applyNumberFormat="1" applyFont="1"/>
    <xf numFmtId="164" fontId="37" fillId="0" borderId="20" xfId="1" applyNumberFormat="1" applyFont="1" applyBorder="1"/>
    <xf numFmtId="164" fontId="0" fillId="0" borderId="1" xfId="1" applyNumberFormat="1" applyFont="1" applyBorder="1"/>
    <xf numFmtId="164" fontId="0" fillId="0" borderId="0" xfId="1" applyNumberFormat="1" applyFont="1"/>
    <xf numFmtId="164" fontId="30" fillId="0" borderId="0" xfId="64" applyNumberFormat="1" applyFont="1" applyFill="1"/>
    <xf numFmtId="164" fontId="30" fillId="0" borderId="20" xfId="64" applyNumberFormat="1" applyFont="1" applyFill="1" applyBorder="1"/>
    <xf numFmtId="164" fontId="26" fillId="0" borderId="0" xfId="64" applyNumberFormat="1" applyFont="1" applyFill="1"/>
    <xf numFmtId="164" fontId="26" fillId="0" borderId="0" xfId="64" applyNumberFormat="1" applyFont="1"/>
    <xf numFmtId="164" fontId="26" fillId="0" borderId="20" xfId="64" applyNumberFormat="1" applyFont="1" applyBorder="1"/>
    <xf numFmtId="164" fontId="32" fillId="0" borderId="0" xfId="64" applyNumberFormat="1" applyFont="1" applyBorder="1"/>
    <xf numFmtId="164" fontId="71" fillId="0" borderId="1" xfId="1" applyNumberFormat="1" applyFont="1" applyBorder="1"/>
    <xf numFmtId="164" fontId="37" fillId="0" borderId="1" xfId="1" applyNumberFormat="1" applyFont="1" applyBorder="1"/>
    <xf numFmtId="164" fontId="29" fillId="0" borderId="1" xfId="1" applyNumberFormat="1" applyFont="1" applyBorder="1"/>
    <xf numFmtId="164" fontId="36" fillId="0" borderId="0" xfId="1" applyNumberFormat="1" applyFont="1"/>
    <xf numFmtId="164" fontId="36" fillId="0" borderId="1" xfId="1" applyNumberFormat="1" applyFont="1" applyBorder="1"/>
    <xf numFmtId="164" fontId="73" fillId="0" borderId="0" xfId="64" applyNumberFormat="1" applyFont="1" applyFill="1"/>
    <xf numFmtId="164" fontId="73" fillId="0" borderId="20" xfId="64" applyNumberFormat="1" applyFont="1" applyFill="1" applyBorder="1"/>
    <xf numFmtId="164" fontId="72" fillId="0" borderId="0" xfId="64" applyNumberFormat="1" applyFont="1" applyFill="1"/>
    <xf numFmtId="164" fontId="72" fillId="0" borderId="0" xfId="64" applyNumberFormat="1" applyFont="1"/>
    <xf numFmtId="164" fontId="72" fillId="0" borderId="20" xfId="64" applyNumberFormat="1" applyFont="1" applyBorder="1"/>
    <xf numFmtId="164" fontId="74" fillId="0" borderId="0" xfId="64" applyNumberFormat="1" applyFont="1"/>
    <xf numFmtId="164" fontId="74" fillId="0" borderId="20" xfId="64" applyNumberFormat="1" applyFont="1" applyBorder="1"/>
    <xf numFmtId="164" fontId="72" fillId="0" borderId="0" xfId="64" applyNumberFormat="1" applyFont="1" applyBorder="1"/>
    <xf numFmtId="164" fontId="36" fillId="0" borderId="0" xfId="1" applyNumberFormat="1" applyFont="1" applyAlignment="1">
      <alignment horizontal="right"/>
    </xf>
    <xf numFmtId="164" fontId="37" fillId="0" borderId="21" xfId="1" applyNumberFormat="1" applyFont="1" applyBorder="1"/>
    <xf numFmtId="164" fontId="37" fillId="0" borderId="2" xfId="1" applyNumberFormat="1" applyFont="1" applyBorder="1"/>
    <xf numFmtId="164" fontId="37" fillId="0" borderId="2" xfId="1" applyNumberFormat="1" applyFont="1" applyFill="1" applyBorder="1"/>
    <xf numFmtId="164" fontId="37" fillId="0" borderId="22" xfId="1" applyNumberFormat="1" applyFont="1" applyBorder="1"/>
    <xf numFmtId="164" fontId="37" fillId="0" borderId="0" xfId="1" applyNumberFormat="1" applyFont="1" applyBorder="1" applyAlignment="1">
      <alignment horizontal="centerContinuous"/>
    </xf>
    <xf numFmtId="164" fontId="37" fillId="0" borderId="0" xfId="1" applyNumberFormat="1" applyFont="1" applyBorder="1" applyAlignment="1">
      <alignment horizontal="center"/>
    </xf>
    <xf numFmtId="164" fontId="75" fillId="15" borderId="0" xfId="1" applyNumberFormat="1" applyFont="1" applyFill="1" applyBorder="1"/>
    <xf numFmtId="164" fontId="75" fillId="15" borderId="20" xfId="1" applyNumberFormat="1" applyFont="1" applyFill="1" applyBorder="1"/>
    <xf numFmtId="164" fontId="72" fillId="0" borderId="20" xfId="1" applyNumberFormat="1" applyFont="1" applyBorder="1" applyAlignment="1">
      <alignment horizontal="left" indent="1"/>
    </xf>
    <xf numFmtId="164" fontId="26" fillId="0" borderId="20" xfId="1" applyNumberFormat="1" applyFont="1" applyBorder="1" applyAlignment="1">
      <alignment horizontal="left" indent="1"/>
    </xf>
    <xf numFmtId="164" fontId="76" fillId="0" borderId="1" xfId="1" applyNumberFormat="1" applyFont="1" applyBorder="1"/>
    <xf numFmtId="164" fontId="76" fillId="0" borderId="0" xfId="1" applyNumberFormat="1" applyFont="1" applyBorder="1"/>
    <xf numFmtId="164" fontId="76" fillId="0" borderId="20" xfId="1" applyNumberFormat="1" applyFont="1" applyBorder="1"/>
    <xf numFmtId="164" fontId="76" fillId="0" borderId="21" xfId="1" applyNumberFormat="1" applyFont="1" applyBorder="1"/>
    <xf numFmtId="164" fontId="76" fillId="0" borderId="2" xfId="1" applyNumberFormat="1" applyFont="1" applyBorder="1"/>
    <xf numFmtId="164" fontId="76" fillId="0" borderId="22" xfId="1" applyNumberFormat="1" applyFont="1" applyBorder="1"/>
    <xf numFmtId="0" fontId="25" fillId="0" borderId="17" xfId="1" applyFont="1" applyBorder="1"/>
    <xf numFmtId="174" fontId="25" fillId="0" borderId="17" xfId="1" applyNumberFormat="1" applyFont="1" applyBorder="1" applyAlignment="1">
      <alignment horizontal="centerContinuous"/>
    </xf>
    <xf numFmtId="174" fontId="25" fillId="0" borderId="20" xfId="1" applyNumberFormat="1" applyFont="1" applyBorder="1" applyAlignment="1">
      <alignment horizontal="centerContinuous"/>
    </xf>
    <xf numFmtId="174" fontId="25" fillId="0" borderId="21" xfId="1" applyNumberFormat="1" applyFont="1" applyBorder="1" applyAlignment="1">
      <alignment horizontal="centerContinuous"/>
    </xf>
    <xf numFmtId="174" fontId="25" fillId="0" borderId="2" xfId="1" applyNumberFormat="1" applyFont="1" applyBorder="1" applyAlignment="1">
      <alignment horizontal="centerContinuous"/>
    </xf>
    <xf numFmtId="174" fontId="25" fillId="0" borderId="22" xfId="1" applyNumberFormat="1" applyFont="1" applyBorder="1" applyAlignment="1">
      <alignment horizontal="centerContinuous"/>
    </xf>
    <xf numFmtId="164" fontId="37" fillId="0" borderId="6" xfId="1" applyNumberFormat="1" applyFont="1" applyBorder="1"/>
    <xf numFmtId="164" fontId="37" fillId="0" borderId="6" xfId="1" applyNumberFormat="1" applyFont="1" applyFill="1" applyBorder="1"/>
    <xf numFmtId="164" fontId="42" fillId="0" borderId="20" xfId="1" applyNumberFormat="1" applyFont="1" applyBorder="1"/>
    <xf numFmtId="168" fontId="30" fillId="0" borderId="2" xfId="64" applyNumberFormat="1" applyFont="1" applyFill="1" applyBorder="1"/>
    <xf numFmtId="168" fontId="30" fillId="0" borderId="22" xfId="64" applyNumberFormat="1" applyFont="1" applyFill="1" applyBorder="1"/>
    <xf numFmtId="168" fontId="32" fillId="0" borderId="21" xfId="64" applyNumberFormat="1" applyFont="1" applyBorder="1"/>
    <xf numFmtId="168" fontId="32" fillId="0" borderId="2" xfId="64" applyNumberFormat="1" applyFont="1" applyBorder="1"/>
    <xf numFmtId="164" fontId="74" fillId="0" borderId="0" xfId="64" applyNumberFormat="1" applyFont="1" applyFill="1"/>
    <xf numFmtId="168" fontId="32" fillId="0" borderId="0" xfId="64" applyNumberFormat="1" applyFont="1" applyFill="1"/>
    <xf numFmtId="194" fontId="70" fillId="0" borderId="0" xfId="64" applyNumberFormat="1" applyFont="1" applyFill="1"/>
    <xf numFmtId="168" fontId="0" fillId="0" borderId="0" xfId="1" applyNumberFormat="1" applyFont="1"/>
    <xf numFmtId="164" fontId="35" fillId="0" borderId="20" xfId="1" applyNumberFormat="1" applyFont="1" applyFill="1" applyBorder="1" applyAlignment="1"/>
    <xf numFmtId="9" fontId="19" fillId="0" borderId="0" xfId="64" applyFont="1"/>
    <xf numFmtId="168" fontId="19" fillId="0" borderId="0" xfId="1" applyNumberFormat="1" applyFont="1"/>
    <xf numFmtId="208" fontId="19" fillId="0" borderId="0" xfId="1" applyNumberFormat="1" applyFont="1"/>
    <xf numFmtId="1" fontId="27" fillId="0" borderId="17" xfId="59" applyNumberFormat="1" applyFont="1" applyFill="1" applyBorder="1" applyAlignment="1">
      <alignment horizontal="right"/>
    </xf>
    <xf numFmtId="1" fontId="27" fillId="0" borderId="0" xfId="59" applyNumberFormat="1" applyFont="1" applyFill="1" applyBorder="1" applyAlignment="1">
      <alignment horizontal="right"/>
    </xf>
    <xf numFmtId="1" fontId="27" fillId="0" borderId="7" xfId="59" applyNumberFormat="1" applyFont="1" applyFill="1" applyBorder="1" applyAlignment="1">
      <alignment horizontal="right"/>
    </xf>
    <xf numFmtId="1" fontId="27" fillId="0" borderId="20" xfId="59" applyNumberFormat="1" applyFont="1" applyFill="1" applyBorder="1" applyAlignment="1">
      <alignment horizontal="right"/>
    </xf>
    <xf numFmtId="194" fontId="70" fillId="0" borderId="20" xfId="64" applyNumberFormat="1" applyFont="1" applyFill="1" applyBorder="1"/>
    <xf numFmtId="177" fontId="96" fillId="0" borderId="0" xfId="36" applyNumberFormat="1" applyFont="1" applyFill="1"/>
    <xf numFmtId="177" fontId="96" fillId="0" borderId="20" xfId="36" applyNumberFormat="1" applyFont="1" applyFill="1" applyBorder="1"/>
    <xf numFmtId="177" fontId="96" fillId="0" borderId="0" xfId="36" applyNumberFormat="1" applyFont="1" applyFill="1" applyBorder="1"/>
    <xf numFmtId="0" fontId="0" fillId="0" borderId="1" xfId="1" applyFont="1" applyFill="1" applyBorder="1"/>
    <xf numFmtId="168" fontId="32" fillId="0" borderId="0" xfId="64" applyNumberFormat="1" applyFont="1" applyFill="1" applyBorder="1"/>
    <xf numFmtId="177" fontId="26" fillId="0" borderId="0" xfId="36" applyNumberFormat="1" applyFont="1" applyFill="1"/>
    <xf numFmtId="168" fontId="98" fillId="0" borderId="0" xfId="64" applyNumberFormat="1" applyFont="1" applyFill="1"/>
    <xf numFmtId="168" fontId="98" fillId="0" borderId="20" xfId="64" applyNumberFormat="1" applyFont="1" applyFill="1" applyBorder="1"/>
    <xf numFmtId="168" fontId="32" fillId="0" borderId="20" xfId="64" applyNumberFormat="1" applyFont="1" applyFill="1" applyBorder="1"/>
    <xf numFmtId="0" fontId="67" fillId="0" borderId="0" xfId="1" applyNumberFormat="1" applyFont="1" applyFill="1" applyAlignment="1"/>
    <xf numFmtId="0" fontId="22" fillId="0" borderId="0" xfId="59" applyNumberFormat="1" applyFont="1" applyFill="1" applyBorder="1" applyAlignment="1"/>
    <xf numFmtId="0" fontId="0" fillId="0" borderId="0" xfId="1" applyNumberFormat="1" applyFont="1" applyAlignment="1"/>
    <xf numFmtId="0" fontId="53" fillId="0" borderId="0" xfId="59" applyNumberFormat="1" applyFont="1" applyFill="1" applyBorder="1" applyAlignment="1"/>
    <xf numFmtId="0" fontId="52" fillId="0" borderId="2" xfId="58" applyNumberFormat="1" applyFont="1" applyFill="1" applyBorder="1" applyAlignment="1"/>
    <xf numFmtId="0" fontId="25" fillId="0" borderId="7" xfId="1" applyNumberFormat="1" applyFont="1" applyBorder="1" applyAlignment="1"/>
    <xf numFmtId="0" fontId="26" fillId="0" borderId="1" xfId="1" applyNumberFormat="1" applyFont="1" applyBorder="1" applyAlignment="1"/>
    <xf numFmtId="0" fontId="25" fillId="0" borderId="21" xfId="1" applyNumberFormat="1" applyFont="1" applyBorder="1" applyAlignment="1"/>
    <xf numFmtId="0" fontId="25" fillId="0" borderId="1" xfId="1" applyNumberFormat="1" applyFont="1" applyBorder="1" applyAlignment="1"/>
    <xf numFmtId="0" fontId="97" fillId="0" borderId="1" xfId="1" applyNumberFormat="1" applyFont="1" applyFill="1" applyBorder="1" applyAlignment="1"/>
    <xf numFmtId="0" fontId="26" fillId="0" borderId="1" xfId="1" applyNumberFormat="1" applyFont="1" applyFill="1" applyBorder="1" applyAlignment="1"/>
    <xf numFmtId="0" fontId="37" fillId="0" borderId="1" xfId="1" applyNumberFormat="1" applyFont="1" applyBorder="1" applyAlignment="1"/>
    <xf numFmtId="0" fontId="42" fillId="0" borderId="1" xfId="1" applyNumberFormat="1" applyFont="1" applyBorder="1" applyAlignment="1"/>
    <xf numFmtId="0" fontId="42" fillId="0" borderId="1" xfId="1" applyNumberFormat="1" applyFont="1" applyFill="1" applyBorder="1" applyAlignment="1"/>
    <xf numFmtId="0" fontId="26" fillId="0" borderId="21" xfId="1" applyNumberFormat="1" applyFont="1" applyBorder="1" applyAlignment="1"/>
    <xf numFmtId="0" fontId="24" fillId="0" borderId="1" xfId="1" applyNumberFormat="1" applyFont="1" applyBorder="1" applyAlignment="1"/>
    <xf numFmtId="0" fontId="37" fillId="0" borderId="21" xfId="1" applyNumberFormat="1" applyFont="1" applyBorder="1" applyAlignment="1"/>
    <xf numFmtId="0" fontId="37" fillId="0" borderId="6" xfId="1" applyNumberFormat="1" applyFont="1" applyBorder="1" applyAlignment="1"/>
    <xf numFmtId="0" fontId="25" fillId="0" borderId="17" xfId="1" applyNumberFormat="1" applyFont="1" applyBorder="1" applyAlignment="1"/>
    <xf numFmtId="0" fontId="37" fillId="0" borderId="0" xfId="1" applyNumberFormat="1" applyFont="1" applyBorder="1" applyAlignment="1"/>
    <xf numFmtId="0" fontId="53" fillId="0" borderId="0" xfId="1" applyNumberFormat="1" applyFont="1" applyBorder="1" applyAlignment="1"/>
    <xf numFmtId="0" fontId="19" fillId="0" borderId="0" xfId="1" applyNumberFormat="1" applyFont="1" applyAlignment="1"/>
    <xf numFmtId="0" fontId="19" fillId="15" borderId="0" xfId="1" applyNumberFormat="1" applyFont="1" applyFill="1" applyBorder="1" applyAlignment="1"/>
    <xf numFmtId="0" fontId="19" fillId="0" borderId="0" xfId="1" applyNumberFormat="1" applyFont="1" applyFill="1" applyBorder="1" applyAlignment="1"/>
    <xf numFmtId="168" fontId="98" fillId="0" borderId="20" xfId="64" applyNumberFormat="1" applyFont="1" applyBorder="1"/>
    <xf numFmtId="0" fontId="26" fillId="0" borderId="1" xfId="1" applyNumberFormat="1" applyFont="1" applyBorder="1" applyAlignment="1">
      <alignment horizontal="left" indent="1"/>
    </xf>
    <xf numFmtId="0" fontId="26" fillId="0" borderId="1" xfId="1" applyNumberFormat="1" applyFont="1" applyFill="1" applyBorder="1" applyAlignment="1">
      <alignment horizontal="left" indent="1"/>
    </xf>
    <xf numFmtId="9" fontId="26" fillId="0" borderId="20" xfId="64" applyFont="1" applyBorder="1" applyAlignment="1">
      <alignment horizontal="left" indent="1"/>
    </xf>
    <xf numFmtId="9" fontId="30" fillId="0" borderId="0" xfId="64" applyFont="1" applyFill="1"/>
    <xf numFmtId="9" fontId="30" fillId="0" borderId="20" xfId="64" applyFont="1" applyFill="1" applyBorder="1"/>
    <xf numFmtId="9" fontId="26" fillId="0" borderId="0" xfId="64" applyFont="1" applyFill="1"/>
    <xf numFmtId="9" fontId="26" fillId="0" borderId="0" xfId="64" applyFont="1"/>
    <xf numFmtId="9" fontId="26" fillId="0" borderId="20" xfId="64" applyFont="1" applyBorder="1"/>
    <xf numFmtId="9" fontId="32" fillId="0" borderId="0" xfId="64" applyFont="1" applyBorder="1"/>
    <xf numFmtId="9" fontId="0" fillId="0" borderId="1" xfId="64" applyFont="1" applyBorder="1"/>
    <xf numFmtId="9" fontId="0" fillId="0" borderId="0" xfId="64" applyFont="1"/>
    <xf numFmtId="0" fontId="0" fillId="0" borderId="0" xfId="1" applyFont="1" applyBorder="1"/>
    <xf numFmtId="1" fontId="27" fillId="15" borderId="23" xfId="59" applyNumberFormat="1" applyFont="1" applyFill="1" applyBorder="1" applyAlignment="1">
      <alignment horizontal="right"/>
    </xf>
    <xf numFmtId="1" fontId="27" fillId="15" borderId="6" xfId="59" applyNumberFormat="1" applyFont="1" applyFill="1" applyBorder="1" applyAlignment="1">
      <alignment horizontal="right"/>
    </xf>
    <xf numFmtId="1" fontId="27" fillId="15" borderId="24" xfId="59" applyNumberFormat="1" applyFont="1" applyFill="1" applyBorder="1" applyAlignment="1">
      <alignment horizontal="right"/>
    </xf>
    <xf numFmtId="177" fontId="26" fillId="0" borderId="0" xfId="36" applyNumberFormat="1" applyFont="1"/>
    <xf numFmtId="177" fontId="72" fillId="0" borderId="0" xfId="36" applyNumberFormat="1" applyFont="1"/>
    <xf numFmtId="0" fontId="36" fillId="0" borderId="1" xfId="1" applyFont="1" applyBorder="1"/>
    <xf numFmtId="0" fontId="99" fillId="0" borderId="0" xfId="1" applyFont="1"/>
    <xf numFmtId="0" fontId="56" fillId="0" borderId="1" xfId="1" applyNumberFormat="1" applyFont="1" applyBorder="1" applyAlignment="1"/>
    <xf numFmtId="0" fontId="100" fillId="0" borderId="20" xfId="1" applyFont="1" applyBorder="1" applyAlignment="1">
      <alignment horizontal="left" indent="1"/>
    </xf>
    <xf numFmtId="168" fontId="101" fillId="0" borderId="0" xfId="64" applyNumberFormat="1" applyFont="1" applyFill="1"/>
    <xf numFmtId="168" fontId="101" fillId="0" borderId="20" xfId="64" applyNumberFormat="1" applyFont="1" applyFill="1" applyBorder="1"/>
    <xf numFmtId="168" fontId="100" fillId="0" borderId="0" xfId="64" applyNumberFormat="1" applyFont="1" applyFill="1"/>
    <xf numFmtId="168" fontId="100" fillId="0" borderId="0" xfId="64" applyNumberFormat="1" applyFont="1"/>
    <xf numFmtId="168" fontId="100" fillId="0" borderId="20" xfId="64" applyNumberFormat="1" applyFont="1" applyBorder="1"/>
    <xf numFmtId="0" fontId="56" fillId="0" borderId="25" xfId="1" applyFont="1" applyBorder="1"/>
    <xf numFmtId="168" fontId="100" fillId="0" borderId="0" xfId="64" applyNumberFormat="1" applyFont="1" applyBorder="1"/>
    <xf numFmtId="177" fontId="100" fillId="0" borderId="0" xfId="36" applyNumberFormat="1" applyFont="1"/>
    <xf numFmtId="0" fontId="99" fillId="0" borderId="1" xfId="1" applyFont="1" applyBorder="1"/>
    <xf numFmtId="177" fontId="42" fillId="0" borderId="0" xfId="36" applyNumberFormat="1" applyFont="1"/>
    <xf numFmtId="177" fontId="102" fillId="0" borderId="0" xfId="36" applyNumberFormat="1" applyFont="1"/>
    <xf numFmtId="177" fontId="37" fillId="0" borderId="0" xfId="36" applyNumberFormat="1" applyFont="1"/>
    <xf numFmtId="0" fontId="37" fillId="0" borderId="20" xfId="1" applyFont="1" applyBorder="1" applyAlignment="1">
      <alignment horizontal="left" indent="1"/>
    </xf>
    <xf numFmtId="168" fontId="71" fillId="0" borderId="0" xfId="64" applyNumberFormat="1" applyFont="1" applyFill="1"/>
    <xf numFmtId="168" fontId="71" fillId="0" borderId="20" xfId="64" applyNumberFormat="1" applyFont="1" applyFill="1" applyBorder="1"/>
    <xf numFmtId="168" fontId="37" fillId="0" borderId="0" xfId="64" applyNumberFormat="1" applyFont="1" applyFill="1"/>
    <xf numFmtId="168" fontId="37" fillId="0" borderId="0" xfId="64" applyNumberFormat="1" applyFont="1"/>
    <xf numFmtId="168" fontId="37" fillId="0" borderId="20" xfId="64" applyNumberFormat="1" applyFont="1" applyBorder="1"/>
    <xf numFmtId="168" fontId="37" fillId="0" borderId="0" xfId="64" applyNumberFormat="1" applyFont="1" applyBorder="1"/>
    <xf numFmtId="165" fontId="27" fillId="15" borderId="23" xfId="59" applyNumberFormat="1" applyFont="1" applyFill="1" applyBorder="1" applyAlignment="1">
      <alignment horizontal="right"/>
    </xf>
    <xf numFmtId="165" fontId="27" fillId="15" borderId="6" xfId="59" applyNumberFormat="1" applyFont="1" applyFill="1" applyBorder="1" applyAlignment="1">
      <alignment horizontal="right"/>
    </xf>
    <xf numFmtId="165" fontId="27" fillId="15" borderId="24" xfId="59" applyNumberFormat="1" applyFont="1" applyFill="1" applyBorder="1" applyAlignment="1">
      <alignment horizontal="right"/>
    </xf>
    <xf numFmtId="0" fontId="102" fillId="0" borderId="1" xfId="1" applyNumberFormat="1" applyFont="1" applyBorder="1" applyAlignment="1"/>
    <xf numFmtId="1" fontId="27" fillId="15" borderId="7" xfId="59" applyNumberFormat="1" applyFont="1" applyFill="1" applyBorder="1" applyAlignment="1">
      <alignment horizontal="right"/>
    </xf>
    <xf numFmtId="1" fontId="27" fillId="0" borderId="1" xfId="59" applyNumberFormat="1" applyFont="1" applyFill="1" applyBorder="1" applyAlignment="1">
      <alignment horizontal="right"/>
    </xf>
    <xf numFmtId="9" fontId="32" fillId="0" borderId="0" xfId="64" applyFont="1"/>
    <xf numFmtId="9" fontId="32" fillId="0" borderId="20" xfId="64" applyFont="1" applyBorder="1"/>
    <xf numFmtId="9" fontId="32" fillId="0" borderId="0" xfId="64" applyFont="1" applyFill="1"/>
    <xf numFmtId="9" fontId="42" fillId="0" borderId="0" xfId="64" applyFont="1"/>
    <xf numFmtId="9" fontId="42" fillId="0" borderId="20" xfId="64" applyFont="1" applyBorder="1"/>
    <xf numFmtId="9" fontId="42" fillId="0" borderId="0" xfId="64" applyFont="1" applyFill="1"/>
    <xf numFmtId="9" fontId="43" fillId="0" borderId="0" xfId="64" applyFont="1"/>
    <xf numFmtId="177" fontId="56" fillId="0" borderId="0" xfId="36" applyNumberFormat="1" applyFont="1"/>
    <xf numFmtId="177" fontId="55" fillId="0" borderId="0" xfId="36" applyNumberFormat="1" applyFont="1"/>
    <xf numFmtId="177" fontId="26" fillId="0" borderId="20" xfId="36" applyNumberFormat="1" applyFont="1" applyBorder="1" applyAlignment="1">
      <alignment horizontal="left" indent="1"/>
    </xf>
    <xf numFmtId="177" fontId="30" fillId="0" borderId="0" xfId="36" applyNumberFormat="1" applyFont="1" applyFill="1"/>
    <xf numFmtId="177" fontId="30" fillId="0" borderId="20" xfId="36" applyNumberFormat="1" applyFont="1" applyFill="1" applyBorder="1"/>
    <xf numFmtId="177" fontId="26" fillId="0" borderId="20" xfId="36" applyNumberFormat="1" applyFont="1" applyBorder="1"/>
    <xf numFmtId="177" fontId="32" fillId="0" borderId="0" xfId="36" applyNumberFormat="1" applyFont="1" applyBorder="1"/>
    <xf numFmtId="177" fontId="0" fillId="0" borderId="1" xfId="36" applyNumberFormat="1" applyFont="1" applyBorder="1"/>
    <xf numFmtId="177" fontId="0" fillId="0" borderId="0" xfId="36" applyNumberFormat="1" applyFont="1"/>
    <xf numFmtId="177" fontId="99" fillId="0" borderId="0" xfId="36" applyNumberFormat="1" applyFont="1"/>
    <xf numFmtId="177" fontId="100" fillId="0" borderId="20" xfId="36" applyNumberFormat="1" applyFont="1" applyBorder="1" applyAlignment="1">
      <alignment horizontal="left" indent="1"/>
    </xf>
    <xf numFmtId="177" fontId="101" fillId="0" borderId="0" xfId="36" applyNumberFormat="1" applyFont="1" applyFill="1"/>
    <xf numFmtId="177" fontId="101" fillId="0" borderId="20" xfId="36" applyNumberFormat="1" applyFont="1" applyFill="1" applyBorder="1"/>
    <xf numFmtId="177" fontId="100" fillId="0" borderId="0" xfId="36" applyNumberFormat="1" applyFont="1" applyFill="1"/>
    <xf numFmtId="177" fontId="100" fillId="0" borderId="20" xfId="36" applyNumberFormat="1" applyFont="1" applyBorder="1"/>
    <xf numFmtId="177" fontId="100" fillId="0" borderId="0" xfId="36" applyNumberFormat="1" applyFont="1" applyBorder="1"/>
    <xf numFmtId="177" fontId="99" fillId="0" borderId="1" xfId="36" applyNumberFormat="1" applyFont="1" applyBorder="1"/>
    <xf numFmtId="177" fontId="36" fillId="0" borderId="0" xfId="36" applyNumberFormat="1" applyFont="1"/>
    <xf numFmtId="177" fontId="72" fillId="0" borderId="20" xfId="36" applyNumberFormat="1" applyFont="1" applyBorder="1" applyAlignment="1">
      <alignment horizontal="left" indent="1"/>
    </xf>
    <xf numFmtId="177" fontId="73" fillId="0" borderId="0" xfId="36" applyNumberFormat="1" applyFont="1" applyFill="1"/>
    <xf numFmtId="177" fontId="73" fillId="0" borderId="20" xfId="36" applyNumberFormat="1" applyFont="1" applyFill="1" applyBorder="1"/>
    <xf numFmtId="177" fontId="72" fillId="0" borderId="0" xfId="36" applyNumberFormat="1" applyFont="1" applyFill="1"/>
    <xf numFmtId="177" fontId="72" fillId="0" borderId="20" xfId="36" applyNumberFormat="1" applyFont="1" applyBorder="1"/>
    <xf numFmtId="177" fontId="72" fillId="0" borderId="0" xfId="36" applyNumberFormat="1" applyFont="1" applyBorder="1"/>
    <xf numFmtId="177" fontId="36" fillId="0" borderId="1" xfId="36" applyNumberFormat="1" applyFont="1" applyBorder="1"/>
    <xf numFmtId="177" fontId="37" fillId="0" borderId="20" xfId="36" applyNumberFormat="1" applyFont="1" applyBorder="1"/>
    <xf numFmtId="177" fontId="37" fillId="0" borderId="0" xfId="36" applyNumberFormat="1" applyFont="1" applyFill="1"/>
    <xf numFmtId="177" fontId="42" fillId="0" borderId="20" xfId="36" applyNumberFormat="1" applyFont="1" applyBorder="1"/>
    <xf numFmtId="177" fontId="42" fillId="0" borderId="0" xfId="36" applyNumberFormat="1" applyFont="1" applyFill="1"/>
    <xf numFmtId="9" fontId="36" fillId="0" borderId="0" xfId="64" applyFont="1"/>
    <xf numFmtId="9" fontId="72" fillId="0" borderId="20" xfId="64" applyFont="1" applyBorder="1" applyAlignment="1">
      <alignment horizontal="left" indent="1"/>
    </xf>
    <xf numFmtId="9" fontId="73" fillId="0" borderId="0" xfId="64" applyFont="1" applyFill="1"/>
    <xf numFmtId="9" fontId="73" fillId="0" borderId="20" xfId="64" applyFont="1" applyFill="1" applyBorder="1"/>
    <xf numFmtId="9" fontId="72" fillId="0" borderId="0" xfId="64" applyFont="1" applyFill="1"/>
    <xf numFmtId="9" fontId="72" fillId="0" borderId="0" xfId="64" applyFont="1"/>
    <xf numFmtId="9" fontId="72" fillId="0" borderId="20" xfId="64" applyFont="1" applyBorder="1"/>
    <xf numFmtId="9" fontId="72" fillId="0" borderId="0" xfId="64" applyFont="1" applyBorder="1"/>
    <xf numFmtId="9" fontId="36" fillId="0" borderId="1" xfId="64" applyFont="1" applyBorder="1"/>
    <xf numFmtId="9" fontId="37" fillId="0" borderId="0" xfId="64" applyFont="1"/>
    <xf numFmtId="9" fontId="37" fillId="0" borderId="20" xfId="64" applyFont="1" applyBorder="1"/>
    <xf numFmtId="9" fontId="99" fillId="0" borderId="0" xfId="64" applyFont="1"/>
    <xf numFmtId="9" fontId="100" fillId="0" borderId="20" xfId="64" applyFont="1" applyBorder="1" applyAlignment="1">
      <alignment horizontal="left" indent="1"/>
    </xf>
    <xf numFmtId="9" fontId="101" fillId="0" borderId="0" xfId="64" applyFont="1" applyFill="1"/>
    <xf numFmtId="9" fontId="101" fillId="0" borderId="20" xfId="64" applyFont="1" applyFill="1" applyBorder="1"/>
    <xf numFmtId="9" fontId="100" fillId="0" borderId="0" xfId="64" applyFont="1" applyFill="1"/>
    <xf numFmtId="9" fontId="100" fillId="0" borderId="0" xfId="64" applyFont="1"/>
    <xf numFmtId="9" fontId="100" fillId="0" borderId="20" xfId="64" applyFont="1" applyBorder="1"/>
    <xf numFmtId="9" fontId="100" fillId="0" borderId="0" xfId="64" applyFont="1" applyBorder="1"/>
    <xf numFmtId="9" fontId="99" fillId="0" borderId="1" xfId="64" applyFont="1" applyBorder="1"/>
    <xf numFmtId="9" fontId="40" fillId="0" borderId="0" xfId="64" applyFont="1"/>
    <xf numFmtId="9" fontId="42" fillId="0" borderId="20" xfId="64" applyFont="1" applyBorder="1" applyAlignment="1">
      <alignment horizontal="left" indent="1"/>
    </xf>
    <xf numFmtId="9" fontId="43" fillId="0" borderId="0" xfId="64" applyFont="1" applyFill="1"/>
    <xf numFmtId="9" fontId="43" fillId="0" borderId="20" xfId="64" applyFont="1" applyFill="1" applyBorder="1"/>
    <xf numFmtId="9" fontId="42" fillId="0" borderId="0" xfId="64" applyFont="1" applyBorder="1"/>
    <xf numFmtId="9" fontId="40" fillId="0" borderId="1" xfId="64" applyFont="1" applyBorder="1"/>
    <xf numFmtId="9" fontId="37" fillId="0" borderId="20" xfId="64" applyFont="1" applyBorder="1" applyAlignment="1">
      <alignment horizontal="left" indent="1"/>
    </xf>
    <xf numFmtId="9" fontId="71" fillId="0" borderId="0" xfId="64" applyFont="1" applyFill="1"/>
    <xf numFmtId="9" fontId="71" fillId="0" borderId="20" xfId="64" applyFont="1" applyFill="1" applyBorder="1"/>
    <xf numFmtId="9" fontId="37" fillId="0" borderId="0" xfId="64" applyFont="1" applyFill="1"/>
    <xf numFmtId="9" fontId="37" fillId="0" borderId="0" xfId="64" applyFont="1" applyBorder="1"/>
    <xf numFmtId="9" fontId="105" fillId="0" borderId="0" xfId="64" applyFont="1"/>
    <xf numFmtId="9" fontId="102" fillId="0" borderId="20" xfId="64" applyFont="1" applyBorder="1" applyAlignment="1">
      <alignment horizontal="left" indent="1"/>
    </xf>
    <xf numFmtId="9" fontId="104" fillId="0" borderId="0" xfId="64" applyFont="1" applyFill="1"/>
    <xf numFmtId="9" fontId="104" fillId="0" borderId="20" xfId="64" applyFont="1" applyFill="1" applyBorder="1"/>
    <xf numFmtId="9" fontId="102" fillId="0" borderId="0" xfId="64" applyFont="1" applyFill="1"/>
    <xf numFmtId="9" fontId="102" fillId="0" borderId="0" xfId="64" applyFont="1"/>
    <xf numFmtId="9" fontId="102" fillId="0" borderId="20" xfId="64" applyFont="1" applyBorder="1"/>
    <xf numFmtId="9" fontId="102" fillId="0" borderId="0" xfId="64" applyFont="1" applyBorder="1"/>
    <xf numFmtId="9" fontId="105" fillId="0" borderId="1" xfId="64" applyFont="1" applyBorder="1"/>
    <xf numFmtId="0" fontId="42" fillId="0" borderId="1" xfId="36" applyNumberFormat="1" applyFont="1" applyBorder="1" applyAlignment="1"/>
    <xf numFmtId="0" fontId="56" fillId="0" borderId="1" xfId="36" applyNumberFormat="1" applyFont="1" applyBorder="1" applyAlignment="1"/>
    <xf numFmtId="0" fontId="37" fillId="0" borderId="1" xfId="36" applyNumberFormat="1" applyFont="1" applyBorder="1" applyAlignment="1"/>
    <xf numFmtId="0" fontId="42" fillId="0" borderId="1" xfId="64" applyNumberFormat="1" applyFont="1" applyBorder="1" applyAlignment="1"/>
    <xf numFmtId="0" fontId="37" fillId="0" borderId="1" xfId="64" applyNumberFormat="1" applyFont="1" applyBorder="1" applyAlignment="1"/>
    <xf numFmtId="0" fontId="56" fillId="0" borderId="1" xfId="64" applyNumberFormat="1" applyFont="1" applyBorder="1" applyAlignment="1"/>
    <xf numFmtId="0" fontId="102" fillId="0" borderId="1" xfId="64" applyNumberFormat="1" applyFont="1" applyBorder="1" applyAlignment="1"/>
    <xf numFmtId="9" fontId="56" fillId="0" borderId="0" xfId="64" applyFont="1"/>
    <xf numFmtId="9" fontId="55" fillId="0" borderId="0" xfId="64" applyFont="1"/>
    <xf numFmtId="0" fontId="56" fillId="0" borderId="0" xfId="1" applyFont="1"/>
    <xf numFmtId="0" fontId="56" fillId="0" borderId="1" xfId="1" applyFont="1" applyFill="1" applyBorder="1"/>
    <xf numFmtId="0" fontId="56" fillId="0" borderId="20" xfId="1" applyFont="1" applyFill="1" applyBorder="1"/>
    <xf numFmtId="164" fontId="56" fillId="18" borderId="1" xfId="57" applyNumberFormat="1" applyFont="1" applyFill="1" applyBorder="1"/>
    <xf numFmtId="164" fontId="56" fillId="18" borderId="0" xfId="57" applyNumberFormat="1" applyFont="1" applyFill="1" applyBorder="1"/>
    <xf numFmtId="164" fontId="56" fillId="18" borderId="20" xfId="57" applyNumberFormat="1" applyFont="1" applyFill="1" applyBorder="1"/>
    <xf numFmtId="164" fontId="56" fillId="0" borderId="0" xfId="1" applyNumberFormat="1" applyFont="1" applyFill="1" applyBorder="1"/>
    <xf numFmtId="0" fontId="56" fillId="0" borderId="1" xfId="1" applyFont="1" applyBorder="1"/>
    <xf numFmtId="189" fontId="0" fillId="0" borderId="0" xfId="42" applyNumberFormat="1" applyFont="1"/>
    <xf numFmtId="184" fontId="0" fillId="0" borderId="0" xfId="36" applyNumberFormat="1" applyFont="1"/>
    <xf numFmtId="177" fontId="40" fillId="0" borderId="0" xfId="36" applyNumberFormat="1" applyFont="1"/>
    <xf numFmtId="184" fontId="40" fillId="0" borderId="0" xfId="36" applyNumberFormat="1" applyFont="1"/>
    <xf numFmtId="0" fontId="105" fillId="0" borderId="0" xfId="1" applyFont="1"/>
    <xf numFmtId="184" fontId="105" fillId="0" borderId="0" xfId="36" applyNumberFormat="1" applyFont="1"/>
    <xf numFmtId="184" fontId="36" fillId="0" borderId="0" xfId="36" applyNumberFormat="1" applyFont="1"/>
    <xf numFmtId="0" fontId="102" fillId="0" borderId="0" xfId="1" applyFont="1"/>
    <xf numFmtId="0" fontId="37" fillId="0" borderId="7" xfId="1" applyNumberFormat="1" applyFont="1" applyBorder="1" applyAlignment="1"/>
    <xf numFmtId="174" fontId="25" fillId="0" borderId="23" xfId="1" applyNumberFormat="1" applyFont="1" applyBorder="1" applyAlignment="1">
      <alignment horizontal="centerContinuous"/>
    </xf>
    <xf numFmtId="174" fontId="25" fillId="0" borderId="6" xfId="1" applyNumberFormat="1" applyFont="1" applyBorder="1" applyAlignment="1">
      <alignment horizontal="centerContinuous"/>
    </xf>
    <xf numFmtId="174" fontId="25" fillId="0" borderId="24" xfId="1" applyNumberFormat="1" applyFont="1" applyBorder="1" applyAlignment="1">
      <alignment horizontal="centerContinuous"/>
    </xf>
    <xf numFmtId="0" fontId="32" fillId="0" borderId="1" xfId="36" applyNumberFormat="1" applyFont="1" applyBorder="1" applyAlignment="1"/>
    <xf numFmtId="0" fontId="72" fillId="0" borderId="1" xfId="36" applyNumberFormat="1" applyFont="1" applyBorder="1" applyAlignment="1"/>
    <xf numFmtId="168" fontId="106" fillId="0" borderId="0" xfId="64" applyNumberFormat="1" applyFont="1"/>
    <xf numFmtId="168" fontId="32" fillId="0" borderId="20" xfId="64" applyNumberFormat="1" applyFont="1" applyBorder="1" applyAlignment="1">
      <alignment horizontal="left" indent="1"/>
    </xf>
    <xf numFmtId="168" fontId="106" fillId="0" borderId="1" xfId="64" applyNumberFormat="1" applyFont="1" applyBorder="1"/>
    <xf numFmtId="177" fontId="55" fillId="0" borderId="20" xfId="36" applyNumberFormat="1" applyFont="1" applyBorder="1"/>
    <xf numFmtId="177" fontId="55" fillId="0" borderId="0" xfId="36" applyNumberFormat="1" applyFont="1" applyFill="1"/>
    <xf numFmtId="177" fontId="102" fillId="0" borderId="20" xfId="36" applyNumberFormat="1" applyFont="1" applyBorder="1"/>
    <xf numFmtId="184" fontId="42" fillId="0" borderId="20" xfId="36" applyNumberFormat="1" applyFont="1" applyBorder="1" applyAlignment="1">
      <alignment horizontal="left" indent="1"/>
    </xf>
    <xf numFmtId="184" fontId="42" fillId="0" borderId="0" xfId="36" applyNumberFormat="1" applyFont="1"/>
    <xf numFmtId="184" fontId="42" fillId="0" borderId="20" xfId="36" applyNumberFormat="1" applyFont="1" applyBorder="1"/>
    <xf numFmtId="184" fontId="42" fillId="0" borderId="0" xfId="36" applyNumberFormat="1" applyFont="1" applyBorder="1"/>
    <xf numFmtId="184" fontId="40" fillId="0" borderId="1" xfId="36" applyNumberFormat="1" applyFont="1" applyBorder="1"/>
    <xf numFmtId="184" fontId="42" fillId="0" borderId="0" xfId="36" applyNumberFormat="1" applyFont="1" applyFill="1" applyBorder="1"/>
    <xf numFmtId="184" fontId="42" fillId="0" borderId="0" xfId="36" applyNumberFormat="1" applyFont="1" applyFill="1"/>
    <xf numFmtId="184" fontId="42" fillId="0" borderId="1" xfId="36" applyNumberFormat="1" applyFont="1" applyBorder="1"/>
    <xf numFmtId="184" fontId="102" fillId="0" borderId="20" xfId="36" applyNumberFormat="1" applyFont="1" applyBorder="1" applyAlignment="1">
      <alignment horizontal="left" indent="1"/>
    </xf>
    <xf numFmtId="184" fontId="102" fillId="0" borderId="0" xfId="36" applyNumberFormat="1" applyFont="1" applyFill="1" applyBorder="1"/>
    <xf numFmtId="184" fontId="102" fillId="0" borderId="0" xfId="36" applyNumberFormat="1" applyFont="1" applyFill="1"/>
    <xf numFmtId="184" fontId="102" fillId="0" borderId="0" xfId="36" applyNumberFormat="1" applyFont="1"/>
    <xf numFmtId="184" fontId="102" fillId="0" borderId="20" xfId="36" applyNumberFormat="1" applyFont="1" applyBorder="1"/>
    <xf numFmtId="184" fontId="102" fillId="0" borderId="1" xfId="36" applyNumberFormat="1" applyFont="1" applyBorder="1"/>
    <xf numFmtId="184" fontId="102" fillId="0" borderId="0" xfId="36" applyNumberFormat="1" applyFont="1" applyBorder="1"/>
    <xf numFmtId="184" fontId="105" fillId="0" borderId="1" xfId="36" applyNumberFormat="1" applyFont="1" applyBorder="1"/>
    <xf numFmtId="184" fontId="37" fillId="0" borderId="20" xfId="36" applyNumberFormat="1" applyFont="1" applyBorder="1" applyAlignment="1">
      <alignment horizontal="left" indent="1"/>
    </xf>
    <xf numFmtId="184" fontId="37" fillId="0" borderId="0" xfId="36" applyNumberFormat="1" applyFont="1" applyFill="1" applyBorder="1"/>
    <xf numFmtId="184" fontId="37" fillId="0" borderId="0" xfId="36" applyNumberFormat="1" applyFont="1" applyFill="1"/>
    <xf numFmtId="184" fontId="37" fillId="0" borderId="0" xfId="36" applyNumberFormat="1" applyFont="1"/>
    <xf numFmtId="184" fontId="37" fillId="0" borderId="20" xfId="36" applyNumberFormat="1" applyFont="1" applyBorder="1"/>
    <xf numFmtId="184" fontId="37" fillId="0" borderId="1" xfId="36" applyNumberFormat="1" applyFont="1" applyBorder="1"/>
    <xf numFmtId="184" fontId="37" fillId="0" borderId="0" xfId="36" applyNumberFormat="1" applyFont="1" applyBorder="1"/>
    <xf numFmtId="184" fontId="36" fillId="0" borderId="1" xfId="36" applyNumberFormat="1" applyFont="1" applyBorder="1"/>
    <xf numFmtId="0" fontId="32" fillId="0" borderId="1" xfId="64" applyNumberFormat="1" applyFont="1" applyBorder="1" applyAlignment="1"/>
    <xf numFmtId="0" fontId="102" fillId="0" borderId="1" xfId="36" applyNumberFormat="1" applyFont="1" applyBorder="1" applyAlignment="1"/>
    <xf numFmtId="9" fontId="42" fillId="0" borderId="1" xfId="64" applyFont="1" applyBorder="1" applyAlignment="1"/>
    <xf numFmtId="9" fontId="37" fillId="0" borderId="0" xfId="64" applyFont="1" applyFill="1" applyBorder="1"/>
    <xf numFmtId="9" fontId="37" fillId="0" borderId="1" xfId="64" applyFont="1" applyBorder="1"/>
    <xf numFmtId="9" fontId="102" fillId="0" borderId="1" xfId="64" applyFont="1" applyBorder="1" applyAlignment="1"/>
    <xf numFmtId="9" fontId="37" fillId="0" borderId="1" xfId="64" applyFont="1" applyBorder="1" applyAlignment="1"/>
    <xf numFmtId="168" fontId="42" fillId="0" borderId="1" xfId="64" applyNumberFormat="1" applyFont="1" applyBorder="1" applyAlignment="1"/>
    <xf numFmtId="168" fontId="37" fillId="0" borderId="20" xfId="64" applyNumberFormat="1" applyFont="1" applyBorder="1" applyAlignment="1">
      <alignment horizontal="left" indent="1"/>
    </xf>
    <xf numFmtId="168" fontId="37" fillId="0" borderId="0" xfId="64" applyNumberFormat="1" applyFont="1" applyFill="1" applyBorder="1"/>
    <xf numFmtId="168" fontId="37" fillId="0" borderId="1" xfId="64" applyNumberFormat="1" applyFont="1" applyBorder="1"/>
    <xf numFmtId="168" fontId="102" fillId="0" borderId="1" xfId="64" applyNumberFormat="1" applyFont="1" applyBorder="1" applyAlignment="1"/>
    <xf numFmtId="168" fontId="37" fillId="0" borderId="1" xfId="64" applyNumberFormat="1" applyFont="1" applyBorder="1" applyAlignment="1"/>
    <xf numFmtId="168" fontId="42" fillId="0" borderId="20" xfId="64" applyNumberFormat="1" applyFont="1" applyBorder="1" applyAlignment="1">
      <alignment horizontal="left" indent="1"/>
    </xf>
    <xf numFmtId="168" fontId="42" fillId="0" borderId="0" xfId="64" applyNumberFormat="1" applyFont="1" applyFill="1" applyBorder="1"/>
    <xf numFmtId="168" fontId="42" fillId="0" borderId="0" xfId="64" applyNumberFormat="1" applyFont="1" applyFill="1"/>
    <xf numFmtId="168" fontId="42" fillId="0" borderId="0" xfId="64" applyNumberFormat="1" applyFont="1"/>
    <xf numFmtId="168" fontId="42" fillId="0" borderId="20" xfId="64" applyNumberFormat="1" applyFont="1" applyBorder="1"/>
    <xf numFmtId="168" fontId="42" fillId="0" borderId="1" xfId="64" applyNumberFormat="1" applyFont="1" applyBorder="1"/>
    <xf numFmtId="168" fontId="32" fillId="0" borderId="1" xfId="64" applyNumberFormat="1" applyFont="1" applyBorder="1"/>
    <xf numFmtId="168" fontId="108" fillId="0" borderId="0" xfId="64" applyNumberFormat="1" applyFont="1"/>
    <xf numFmtId="168" fontId="72" fillId="0" borderId="0" xfId="64" applyNumberFormat="1" applyFont="1"/>
    <xf numFmtId="168" fontId="72" fillId="0" borderId="1" xfId="64" applyNumberFormat="1" applyFont="1" applyBorder="1"/>
    <xf numFmtId="168" fontId="72" fillId="0" borderId="0" xfId="64" applyNumberFormat="1" applyFont="1" applyBorder="1"/>
    <xf numFmtId="168" fontId="108" fillId="0" borderId="1" xfId="64" applyNumberFormat="1" applyFont="1" applyBorder="1"/>
    <xf numFmtId="168" fontId="109" fillId="0" borderId="0" xfId="64" applyNumberFormat="1" applyFont="1"/>
    <xf numFmtId="168" fontId="107" fillId="0" borderId="1" xfId="64" applyNumberFormat="1" applyFont="1" applyBorder="1"/>
    <xf numFmtId="168" fontId="107" fillId="0" borderId="0" xfId="64" applyNumberFormat="1" applyFont="1" applyBorder="1"/>
    <xf numFmtId="168" fontId="109" fillId="0" borderId="1" xfId="64" applyNumberFormat="1" applyFont="1" applyBorder="1"/>
    <xf numFmtId="184" fontId="37" fillId="0" borderId="22" xfId="36" applyNumberFormat="1" applyFont="1" applyBorder="1" applyAlignment="1">
      <alignment horizontal="left" indent="1"/>
    </xf>
    <xf numFmtId="184" fontId="37" fillId="0" borderId="2" xfId="36" applyNumberFormat="1" applyFont="1" applyFill="1" applyBorder="1"/>
    <xf numFmtId="184" fontId="37" fillId="0" borderId="2" xfId="36" applyNumberFormat="1" applyFont="1" applyBorder="1"/>
    <xf numFmtId="184" fontId="37" fillId="0" borderId="22" xfId="36" applyNumberFormat="1" applyFont="1" applyBorder="1"/>
    <xf numFmtId="184" fontId="37" fillId="0" borderId="21" xfId="36" applyNumberFormat="1" applyFont="1" applyBorder="1"/>
    <xf numFmtId="0" fontId="37" fillId="0" borderId="21" xfId="36" applyNumberFormat="1" applyFont="1" applyBorder="1" applyAlignment="1"/>
    <xf numFmtId="9" fontId="42" fillId="0" borderId="20" xfId="64" applyNumberFormat="1" applyFont="1" applyBorder="1"/>
    <xf numFmtId="9" fontId="102" fillId="0" borderId="20" xfId="64" applyNumberFormat="1" applyFont="1" applyBorder="1"/>
    <xf numFmtId="9" fontId="37" fillId="0" borderId="20" xfId="64" applyNumberFormat="1" applyFont="1" applyBorder="1"/>
    <xf numFmtId="168" fontId="37" fillId="0" borderId="21" xfId="64" applyNumberFormat="1" applyFont="1" applyBorder="1" applyAlignment="1"/>
    <xf numFmtId="9" fontId="37" fillId="0" borderId="2" xfId="64" applyNumberFormat="1" applyFont="1" applyBorder="1"/>
    <xf numFmtId="9" fontId="37" fillId="0" borderId="22" xfId="64" applyNumberFormat="1" applyFont="1" applyBorder="1"/>
    <xf numFmtId="168" fontId="102" fillId="0" borderId="20" xfId="64" applyNumberFormat="1" applyFont="1" applyBorder="1" applyAlignment="1">
      <alignment horizontal="left" indent="1"/>
    </xf>
    <xf numFmtId="168" fontId="102" fillId="0" borderId="0" xfId="64" applyNumberFormat="1" applyFont="1" applyFill="1" applyBorder="1"/>
    <xf numFmtId="168" fontId="102" fillId="0" borderId="0" xfId="64" applyNumberFormat="1" applyFont="1" applyFill="1"/>
    <xf numFmtId="168" fontId="102" fillId="0" borderId="0" xfId="64" applyNumberFormat="1" applyFont="1"/>
    <xf numFmtId="168" fontId="102" fillId="0" borderId="20" xfId="64" applyNumberFormat="1" applyFont="1" applyBorder="1"/>
    <xf numFmtId="168" fontId="102" fillId="0" borderId="1" xfId="64" applyNumberFormat="1" applyFont="1" applyBorder="1"/>
    <xf numFmtId="168" fontId="37" fillId="0" borderId="22" xfId="64" applyNumberFormat="1" applyFont="1" applyBorder="1" applyAlignment="1">
      <alignment horizontal="left" indent="1"/>
    </xf>
    <xf numFmtId="168" fontId="37" fillId="0" borderId="2" xfId="64" applyNumberFormat="1" applyFont="1" applyFill="1" applyBorder="1"/>
    <xf numFmtId="168" fontId="37" fillId="0" borderId="2" xfId="64" applyNumberFormat="1" applyFont="1" applyBorder="1"/>
    <xf numFmtId="168" fontId="37" fillId="0" borderId="22" xfId="64" applyNumberFormat="1" applyFont="1" applyBorder="1"/>
    <xf numFmtId="168" fontId="37" fillId="0" borderId="21" xfId="64" applyNumberFormat="1" applyFont="1" applyBorder="1"/>
    <xf numFmtId="168" fontId="42" fillId="0" borderId="2" xfId="64" applyNumberFormat="1" applyFont="1" applyBorder="1"/>
    <xf numFmtId="9" fontId="42" fillId="0" borderId="1" xfId="64" applyFont="1" applyBorder="1"/>
    <xf numFmtId="9" fontId="37" fillId="0" borderId="21" xfId="64" applyFont="1" applyBorder="1" applyAlignment="1"/>
    <xf numFmtId="9" fontId="42" fillId="0" borderId="0" xfId="64" applyFont="1" applyFill="1" applyBorder="1"/>
    <xf numFmtId="9" fontId="102" fillId="0" borderId="0" xfId="64" applyFont="1" applyFill="1" applyBorder="1"/>
    <xf numFmtId="9" fontId="102" fillId="0" borderId="1" xfId="64" applyFont="1" applyBorder="1"/>
    <xf numFmtId="9" fontId="37" fillId="0" borderId="22" xfId="64" applyFont="1" applyBorder="1" applyAlignment="1">
      <alignment horizontal="left" indent="1"/>
    </xf>
    <xf numFmtId="9" fontId="37" fillId="0" borderId="2" xfId="64" applyFont="1" applyFill="1" applyBorder="1"/>
    <xf numFmtId="9" fontId="37" fillId="0" borderId="2" xfId="64" applyFont="1" applyBorder="1"/>
    <xf numFmtId="9" fontId="37" fillId="0" borderId="22" xfId="64" applyFont="1" applyBorder="1"/>
    <xf numFmtId="9" fontId="37" fillId="0" borderId="21" xfId="64" applyFont="1" applyBorder="1"/>
    <xf numFmtId="168" fontId="32" fillId="0" borderId="7" xfId="64" applyNumberFormat="1" applyFont="1" applyBorder="1"/>
    <xf numFmtId="168" fontId="32" fillId="0" borderId="17" xfId="64" applyNumberFormat="1" applyFont="1" applyBorder="1"/>
    <xf numFmtId="168" fontId="72" fillId="0" borderId="21" xfId="64" applyNumberFormat="1" applyFont="1" applyBorder="1"/>
    <xf numFmtId="168" fontId="72" fillId="0" borderId="2" xfId="64" applyNumberFormat="1" applyFont="1" applyBorder="1"/>
    <xf numFmtId="184" fontId="37" fillId="0" borderId="7" xfId="36" applyNumberFormat="1" applyFont="1" applyBorder="1"/>
    <xf numFmtId="184" fontId="37" fillId="0" borderId="17" xfId="36" applyNumberFormat="1" applyFont="1" applyBorder="1"/>
    <xf numFmtId="184" fontId="37" fillId="0" borderId="19" xfId="36" applyNumberFormat="1" applyFont="1" applyBorder="1"/>
    <xf numFmtId="0" fontId="37" fillId="15" borderId="23" xfId="1" applyNumberFormat="1" applyFont="1" applyFill="1" applyBorder="1" applyAlignment="1"/>
    <xf numFmtId="0" fontId="26" fillId="15" borderId="24" xfId="1" applyFont="1" applyFill="1" applyBorder="1" applyAlignment="1">
      <alignment horizontal="left" indent="1"/>
    </xf>
    <xf numFmtId="209" fontId="42" fillId="0" borderId="0" xfId="1" applyNumberFormat="1" applyFont="1" applyBorder="1"/>
    <xf numFmtId="209" fontId="102" fillId="0" borderId="0" xfId="1" applyNumberFormat="1" applyFont="1" applyBorder="1"/>
    <xf numFmtId="209" fontId="37" fillId="0" borderId="0" xfId="1" applyNumberFormat="1" applyFont="1" applyBorder="1"/>
    <xf numFmtId="168" fontId="0" fillId="0" borderId="0" xfId="64" applyNumberFormat="1" applyFont="1"/>
    <xf numFmtId="44" fontId="0" fillId="0" borderId="0" xfId="42" applyFont="1"/>
    <xf numFmtId="0" fontId="26" fillId="21" borderId="24" xfId="1" applyFont="1" applyFill="1" applyBorder="1" applyAlignment="1">
      <alignment horizontal="left" indent="1"/>
    </xf>
    <xf numFmtId="168" fontId="30" fillId="21" borderId="6" xfId="64" applyNumberFormat="1" applyFont="1" applyFill="1" applyBorder="1"/>
    <xf numFmtId="168" fontId="30" fillId="21" borderId="24" xfId="64" applyNumberFormat="1" applyFont="1" applyFill="1" applyBorder="1"/>
    <xf numFmtId="168" fontId="26" fillId="21" borderId="6" xfId="64" applyNumberFormat="1" applyFont="1" applyFill="1" applyBorder="1"/>
    <xf numFmtId="168" fontId="26" fillId="21" borderId="24" xfId="64" applyNumberFormat="1" applyFont="1" applyFill="1" applyBorder="1"/>
    <xf numFmtId="194" fontId="70" fillId="21" borderId="6" xfId="64" applyNumberFormat="1" applyFont="1" applyFill="1" applyBorder="1"/>
    <xf numFmtId="194" fontId="70" fillId="21" borderId="24" xfId="64" applyNumberFormat="1" applyFont="1" applyFill="1" applyBorder="1"/>
    <xf numFmtId="168" fontId="112" fillId="21" borderId="6" xfId="64" applyNumberFormat="1" applyFont="1" applyFill="1" applyBorder="1"/>
    <xf numFmtId="168" fontId="112" fillId="21" borderId="24" xfId="64" applyNumberFormat="1" applyFont="1" applyFill="1" applyBorder="1"/>
    <xf numFmtId="0" fontId="112" fillId="21" borderId="24" xfId="1" applyFont="1" applyFill="1" applyBorder="1" applyAlignment="1">
      <alignment horizontal="left" indent="1"/>
    </xf>
    <xf numFmtId="194" fontId="113" fillId="21" borderId="6" xfId="64" applyNumberFormat="1" applyFont="1" applyFill="1" applyBorder="1"/>
    <xf numFmtId="194" fontId="113" fillId="21" borderId="24" xfId="64" applyNumberFormat="1" applyFont="1" applyFill="1" applyBorder="1"/>
    <xf numFmtId="184" fontId="114" fillId="0" borderId="20" xfId="36" applyNumberFormat="1" applyFont="1" applyBorder="1" applyAlignment="1">
      <alignment horizontal="left" indent="1"/>
    </xf>
    <xf numFmtId="184" fontId="114" fillId="0" borderId="0" xfId="36" applyNumberFormat="1" applyFont="1" applyFill="1" applyBorder="1"/>
    <xf numFmtId="184" fontId="114" fillId="0" borderId="0" xfId="36" applyNumberFormat="1" applyFont="1" applyFill="1"/>
    <xf numFmtId="184" fontId="114" fillId="0" borderId="0" xfId="36" applyNumberFormat="1" applyFont="1"/>
    <xf numFmtId="184" fontId="114" fillId="0" borderId="20" xfId="36" applyNumberFormat="1" applyFont="1" applyBorder="1"/>
    <xf numFmtId="184" fontId="114" fillId="0" borderId="1" xfId="36" applyNumberFormat="1" applyFont="1" applyBorder="1"/>
    <xf numFmtId="184" fontId="114" fillId="0" borderId="0" xfId="36" applyNumberFormat="1" applyFont="1" applyBorder="1"/>
    <xf numFmtId="184" fontId="103" fillId="0" borderId="1" xfId="36" applyNumberFormat="1" applyFont="1" applyBorder="1"/>
    <xf numFmtId="184" fontId="103" fillId="0" borderId="0" xfId="36" applyNumberFormat="1" applyFont="1"/>
    <xf numFmtId="168" fontId="37" fillId="15" borderId="6" xfId="64" applyNumberFormat="1" applyFont="1" applyFill="1" applyBorder="1" applyAlignment="1">
      <alignment horizontal="right"/>
    </xf>
    <xf numFmtId="168" fontId="37" fillId="15" borderId="24" xfId="64" applyNumberFormat="1" applyFont="1" applyFill="1" applyBorder="1" applyAlignment="1">
      <alignment horizontal="right"/>
    </xf>
    <xf numFmtId="168" fontId="37" fillId="15" borderId="23" xfId="64" applyNumberFormat="1" applyFont="1" applyFill="1" applyBorder="1" applyAlignment="1">
      <alignment horizontal="right"/>
    </xf>
    <xf numFmtId="0" fontId="37" fillId="15" borderId="23" xfId="1" applyFont="1" applyFill="1" applyBorder="1" applyAlignment="1">
      <alignment horizontal="right"/>
    </xf>
    <xf numFmtId="0" fontId="37" fillId="15" borderId="6" xfId="1" applyFont="1" applyFill="1" applyBorder="1" applyAlignment="1">
      <alignment horizontal="right"/>
    </xf>
    <xf numFmtId="209" fontId="42" fillId="0" borderId="1" xfId="1" applyNumberFormat="1" applyFont="1" applyBorder="1"/>
    <xf numFmtId="209" fontId="37" fillId="0" borderId="1" xfId="1" applyNumberFormat="1" applyFont="1" applyBorder="1"/>
    <xf numFmtId="168" fontId="42" fillId="0" borderId="0" xfId="64" applyNumberFormat="1" applyFont="1" applyBorder="1"/>
    <xf numFmtId="168" fontId="102" fillId="0" borderId="0" xfId="64" applyNumberFormat="1" applyFont="1" applyBorder="1"/>
    <xf numFmtId="9" fontId="42" fillId="0" borderId="1" xfId="64" applyNumberFormat="1" applyFont="1" applyBorder="1"/>
    <xf numFmtId="9" fontId="42" fillId="0" borderId="0" xfId="64" applyNumberFormat="1" applyFont="1" applyBorder="1"/>
    <xf numFmtId="9" fontId="102" fillId="0" borderId="1" xfId="64" applyNumberFormat="1" applyFont="1" applyBorder="1"/>
    <xf numFmtId="9" fontId="102" fillId="0" borderId="0" xfId="64" applyNumberFormat="1" applyFont="1" applyBorder="1"/>
    <xf numFmtId="9" fontId="37" fillId="0" borderId="1" xfId="64" applyNumberFormat="1" applyFont="1" applyBorder="1"/>
    <xf numFmtId="9" fontId="37" fillId="0" borderId="0" xfId="64" applyNumberFormat="1" applyFont="1" applyBorder="1"/>
    <xf numFmtId="9" fontId="37" fillId="0" borderId="21" xfId="64" applyNumberFormat="1" applyFont="1" applyBorder="1"/>
    <xf numFmtId="164" fontId="75" fillId="0" borderId="0" xfId="1" applyNumberFormat="1" applyFont="1" applyFill="1" applyBorder="1"/>
    <xf numFmtId="43" fontId="105" fillId="0" borderId="0" xfId="36" applyNumberFormat="1" applyFont="1"/>
    <xf numFmtId="210" fontId="29" fillId="0" borderId="1" xfId="1" applyNumberFormat="1" applyFont="1" applyFill="1" applyBorder="1" applyAlignment="1"/>
    <xf numFmtId="210" fontId="29" fillId="0" borderId="0" xfId="1" applyNumberFormat="1" applyFont="1" applyFill="1" applyBorder="1" applyAlignment="1"/>
    <xf numFmtId="210" fontId="29" fillId="0" borderId="20" xfId="1" applyNumberFormat="1" applyFont="1" applyFill="1" applyBorder="1" applyAlignment="1"/>
    <xf numFmtId="209" fontId="56" fillId="0" borderId="0" xfId="1" applyNumberFormat="1" applyFont="1"/>
    <xf numFmtId="209" fontId="56" fillId="0" borderId="20" xfId="1" applyNumberFormat="1" applyFont="1" applyFill="1" applyBorder="1"/>
    <xf numFmtId="209" fontId="55" fillId="0" borderId="1" xfId="1" applyNumberFormat="1" applyFont="1" applyFill="1" applyBorder="1" applyAlignment="1"/>
    <xf numFmtId="209" fontId="55" fillId="0" borderId="0" xfId="1" applyNumberFormat="1" applyFont="1" applyFill="1" applyBorder="1" applyAlignment="1"/>
    <xf numFmtId="209" fontId="55" fillId="0" borderId="20" xfId="1" applyNumberFormat="1" applyFont="1" applyFill="1" applyBorder="1" applyAlignment="1"/>
    <xf numFmtId="209" fontId="56" fillId="0" borderId="20" xfId="1" applyNumberFormat="1" applyFont="1" applyFill="1" applyBorder="1" applyAlignment="1"/>
    <xf numFmtId="209" fontId="56" fillId="0" borderId="0" xfId="1" applyNumberFormat="1" applyFont="1" applyFill="1" applyBorder="1" applyAlignment="1"/>
    <xf numFmtId="209" fontId="56" fillId="0" borderId="1" xfId="1" applyNumberFormat="1" applyFont="1" applyFill="1" applyBorder="1" applyAlignment="1"/>
    <xf numFmtId="209" fontId="56" fillId="0" borderId="1" xfId="1" applyNumberFormat="1" applyFont="1" applyBorder="1"/>
    <xf numFmtId="209" fontId="24" fillId="0" borderId="0" xfId="1" applyNumberFormat="1" applyFont="1"/>
    <xf numFmtId="209" fontId="24" fillId="0" borderId="20" xfId="1" applyNumberFormat="1" applyFont="1" applyFill="1" applyBorder="1"/>
    <xf numFmtId="209" fontId="24" fillId="0" borderId="1" xfId="1" applyNumberFormat="1" applyFont="1" applyFill="1" applyBorder="1" applyAlignment="1"/>
    <xf numFmtId="209" fontId="24" fillId="0" borderId="0" xfId="1" applyNumberFormat="1" applyFont="1" applyFill="1" applyBorder="1" applyAlignment="1"/>
    <xf numFmtId="209" fontId="24" fillId="0" borderId="20" xfId="1" applyNumberFormat="1" applyFont="1" applyFill="1" applyBorder="1" applyAlignment="1"/>
    <xf numFmtId="209" fontId="24" fillId="0" borderId="1" xfId="1" applyNumberFormat="1" applyFont="1" applyBorder="1"/>
    <xf numFmtId="209" fontId="25" fillId="0" borderId="1" xfId="1" applyNumberFormat="1" applyFont="1" applyFill="1" applyBorder="1" applyAlignment="1"/>
    <xf numFmtId="209" fontId="25" fillId="0" borderId="0" xfId="1" applyNumberFormat="1" applyFont="1" applyFill="1" applyBorder="1" applyAlignment="1"/>
    <xf numFmtId="209" fontId="25" fillId="0" borderId="20" xfId="1" applyNumberFormat="1" applyFont="1" applyFill="1" applyBorder="1" applyAlignment="1"/>
    <xf numFmtId="209" fontId="29" fillId="0" borderId="1" xfId="1" applyNumberFormat="1" applyFont="1" applyFill="1" applyBorder="1" applyAlignment="1"/>
    <xf numFmtId="209" fontId="29" fillId="0" borderId="0" xfId="1" applyNumberFormat="1" applyFont="1" applyFill="1" applyBorder="1" applyAlignment="1"/>
    <xf numFmtId="209" fontId="29" fillId="0" borderId="20" xfId="1" applyNumberFormat="1" applyFont="1" applyFill="1" applyBorder="1" applyAlignment="1"/>
    <xf numFmtId="209" fontId="24" fillId="0" borderId="0" xfId="1" applyNumberFormat="1" applyFont="1" applyFill="1"/>
    <xf numFmtId="209" fontId="24" fillId="0" borderId="0" xfId="1" applyNumberFormat="1" applyFont="1" applyBorder="1"/>
    <xf numFmtId="209" fontId="24" fillId="0" borderId="20" xfId="1" applyNumberFormat="1" applyFont="1" applyBorder="1"/>
    <xf numFmtId="0" fontId="24" fillId="0" borderId="1" xfId="1" applyNumberFormat="1" applyFont="1" applyFill="1" applyBorder="1"/>
    <xf numFmtId="0" fontId="24" fillId="0" borderId="1" xfId="1" applyNumberFormat="1" applyFont="1" applyFill="1" applyBorder="1" applyAlignment="1">
      <alignment horizontal="left"/>
    </xf>
    <xf numFmtId="0" fontId="56" fillId="0" borderId="1" xfId="1" applyNumberFormat="1" applyFont="1" applyFill="1" applyBorder="1"/>
    <xf numFmtId="0" fontId="56" fillId="0" borderId="1" xfId="1" applyNumberFormat="1" applyFont="1" applyFill="1" applyBorder="1" applyAlignment="1">
      <alignment horizontal="left"/>
    </xf>
    <xf numFmtId="0" fontId="25" fillId="0" borderId="1" xfId="1" applyNumberFormat="1" applyFont="1" applyFill="1" applyBorder="1"/>
    <xf numFmtId="0" fontId="24" fillId="0" borderId="1" xfId="1" applyNumberFormat="1" applyFont="1" applyFill="1" applyBorder="1" applyAlignment="1">
      <alignment horizontal="left" indent="2"/>
    </xf>
    <xf numFmtId="0" fontId="24" fillId="0" borderId="1" xfId="1" applyNumberFormat="1" applyFont="1" applyFill="1" applyBorder="1" applyAlignment="1">
      <alignment horizontal="left" indent="1"/>
    </xf>
    <xf numFmtId="0" fontId="26" fillId="0" borderId="1" xfId="1" applyNumberFormat="1" applyFont="1" applyFill="1" applyBorder="1" applyAlignment="1">
      <alignment horizontal="left"/>
    </xf>
    <xf numFmtId="0" fontId="42" fillId="0" borderId="1" xfId="1" applyNumberFormat="1" applyFont="1" applyFill="1" applyBorder="1" applyAlignment="1">
      <alignment horizontal="left" indent="1"/>
    </xf>
    <xf numFmtId="180" fontId="24" fillId="0" borderId="0" xfId="1" applyNumberFormat="1" applyFont="1" applyBorder="1"/>
    <xf numFmtId="1" fontId="27" fillId="15" borderId="19" xfId="58" applyNumberFormat="1" applyFont="1" applyFill="1" applyBorder="1" applyAlignment="1">
      <alignment horizontal="right"/>
    </xf>
    <xf numFmtId="184" fontId="29" fillId="0" borderId="0" xfId="36" applyNumberFormat="1" applyFont="1" applyFill="1" applyBorder="1"/>
    <xf numFmtId="179" fontId="43" fillId="0" borderId="0" xfId="1" applyNumberFormat="1" applyFont="1" applyFill="1" applyBorder="1"/>
    <xf numFmtId="0" fontId="42" fillId="0" borderId="1" xfId="1" applyFont="1" applyBorder="1"/>
    <xf numFmtId="164" fontId="24" fillId="17" borderId="0" xfId="57" applyNumberFormat="1" applyFont="1" applyFill="1" applyBorder="1"/>
    <xf numFmtId="164" fontId="24" fillId="17" borderId="20" xfId="57" applyNumberFormat="1" applyFont="1" applyFill="1" applyBorder="1"/>
    <xf numFmtId="209" fontId="24" fillId="0" borderId="1" xfId="1" applyNumberFormat="1" applyFont="1" applyFill="1" applyBorder="1"/>
    <xf numFmtId="164" fontId="24" fillId="0" borderId="21" xfId="1" applyNumberFormat="1" applyFont="1" applyFill="1" applyBorder="1"/>
    <xf numFmtId="0" fontId="42" fillId="0" borderId="20" xfId="1" applyFont="1" applyBorder="1"/>
    <xf numFmtId="177" fontId="42" fillId="0" borderId="0" xfId="36" applyNumberFormat="1" applyFont="1" applyBorder="1"/>
    <xf numFmtId="177" fontId="42" fillId="0" borderId="20" xfId="36" applyNumberFormat="1" applyFont="1" applyFill="1" applyBorder="1"/>
    <xf numFmtId="9" fontId="42" fillId="0" borderId="0" xfId="64" applyNumberFormat="1" applyFont="1" applyFill="1" applyAlignment="1"/>
    <xf numFmtId="9" fontId="58" fillId="0" borderId="0" xfId="64" applyNumberFormat="1" applyFont="1" applyFill="1" applyBorder="1" applyAlignment="1"/>
    <xf numFmtId="9" fontId="42" fillId="0" borderId="0" xfId="64" applyNumberFormat="1" applyFont="1" applyFill="1" applyBorder="1" applyAlignment="1"/>
    <xf numFmtId="9" fontId="43" fillId="0" borderId="0" xfId="64" applyNumberFormat="1" applyFont="1" applyFill="1" applyBorder="1" applyAlignment="1"/>
    <xf numFmtId="9" fontId="42" fillId="0" borderId="0" xfId="64" applyNumberFormat="1" applyFont="1" applyAlignment="1"/>
    <xf numFmtId="9" fontId="42" fillId="0" borderId="0" xfId="64" applyNumberFormat="1" applyFont="1" applyBorder="1" applyAlignment="1"/>
    <xf numFmtId="0" fontId="58" fillId="17" borderId="0" xfId="1" applyNumberFormat="1" applyFont="1" applyFill="1" applyBorder="1" applyAlignment="1"/>
    <xf numFmtId="0" fontId="37" fillId="17" borderId="0" xfId="1" applyFont="1" applyFill="1" applyBorder="1"/>
    <xf numFmtId="174" fontId="37" fillId="17" borderId="0" xfId="1" applyNumberFormat="1" applyFont="1" applyFill="1" applyBorder="1" applyAlignment="1">
      <alignment horizontal="centerContinuous"/>
    </xf>
    <xf numFmtId="0" fontId="42" fillId="17" borderId="0" xfId="1" applyFont="1" applyFill="1"/>
    <xf numFmtId="174" fontId="37" fillId="0" borderId="0" xfId="1" applyNumberFormat="1" applyFont="1" applyBorder="1" applyAlignment="1">
      <alignment horizontal="centerContinuous"/>
    </xf>
    <xf numFmtId="0" fontId="116" fillId="17" borderId="0" xfId="1" applyNumberFormat="1" applyFont="1" applyFill="1" applyBorder="1" applyAlignment="1"/>
    <xf numFmtId="0" fontId="58" fillId="0" borderId="0" xfId="1" applyNumberFormat="1" applyFont="1" applyFill="1" applyBorder="1" applyAlignment="1"/>
    <xf numFmtId="0" fontId="37" fillId="0" borderId="0" xfId="1" applyFont="1" applyFill="1" applyBorder="1"/>
    <xf numFmtId="174" fontId="37" fillId="0" borderId="0" xfId="1" applyNumberFormat="1" applyFont="1" applyFill="1" applyBorder="1" applyAlignment="1">
      <alignment horizontal="centerContinuous"/>
    </xf>
    <xf numFmtId="0" fontId="42" fillId="0" borderId="0" xfId="1" applyFont="1" applyFill="1"/>
    <xf numFmtId="0" fontId="37" fillId="0" borderId="0" xfId="1" applyFont="1" applyBorder="1"/>
    <xf numFmtId="0" fontId="42" fillId="0" borderId="0" xfId="1" applyNumberFormat="1" applyFont="1" applyBorder="1" applyAlignment="1"/>
    <xf numFmtId="174" fontId="29" fillId="0" borderId="19" xfId="1" applyNumberFormat="1" applyFont="1" applyFill="1" applyBorder="1"/>
    <xf numFmtId="43" fontId="72" fillId="0" borderId="0" xfId="36" applyNumberFormat="1" applyFont="1"/>
    <xf numFmtId="209" fontId="56" fillId="0" borderId="0" xfId="1" applyNumberFormat="1" applyFont="1" applyFill="1"/>
    <xf numFmtId="209" fontId="56" fillId="0" borderId="1" xfId="1" applyNumberFormat="1" applyFont="1" applyFill="1" applyBorder="1"/>
    <xf numFmtId="184" fontId="0" fillId="0" borderId="0" xfId="1" applyNumberFormat="1" applyFont="1"/>
    <xf numFmtId="0" fontId="24" fillId="0" borderId="0" xfId="1" applyFont="1" applyFill="1" applyBorder="1" applyAlignment="1">
      <alignment horizontal="left" indent="1"/>
    </xf>
    <xf numFmtId="0" fontId="56" fillId="0" borderId="20" xfId="1" applyFont="1" applyBorder="1"/>
    <xf numFmtId="0" fontId="37" fillId="0" borderId="20" xfId="1" applyFont="1" applyBorder="1"/>
    <xf numFmtId="0" fontId="37" fillId="0" borderId="7" xfId="1" applyFont="1" applyFill="1" applyBorder="1"/>
    <xf numFmtId="0" fontId="42" fillId="0" borderId="0" xfId="1" applyFont="1" applyBorder="1"/>
    <xf numFmtId="0" fontId="56" fillId="0" borderId="0" xfId="1" applyFont="1" applyBorder="1"/>
    <xf numFmtId="168" fontId="19" fillId="0" borderId="0" xfId="64" applyNumberFormat="1" applyFont="1"/>
    <xf numFmtId="211" fontId="0" fillId="0" borderId="0" xfId="1" applyNumberFormat="1" applyFont="1"/>
    <xf numFmtId="164" fontId="24" fillId="0" borderId="0" xfId="57" applyNumberFormat="1" applyFont="1" applyFill="1" applyBorder="1"/>
    <xf numFmtId="164" fontId="24" fillId="0" borderId="20" xfId="57" applyNumberFormat="1" applyFont="1" applyFill="1" applyBorder="1"/>
    <xf numFmtId="164" fontId="35" fillId="0" borderId="0" xfId="57" applyNumberFormat="1" applyFont="1" applyFill="1" applyBorder="1"/>
    <xf numFmtId="164" fontId="35" fillId="0" borderId="20" xfId="57" applyNumberFormat="1" applyFont="1" applyFill="1" applyBorder="1"/>
    <xf numFmtId="164" fontId="56" fillId="0" borderId="0" xfId="57" applyNumberFormat="1" applyFont="1" applyFill="1" applyBorder="1"/>
    <xf numFmtId="164" fontId="56" fillId="0" borderId="20" xfId="57" applyNumberFormat="1" applyFont="1" applyFill="1" applyBorder="1"/>
    <xf numFmtId="212" fontId="24" fillId="0" borderId="0" xfId="1" applyNumberFormat="1" applyFont="1"/>
    <xf numFmtId="212" fontId="24" fillId="0" borderId="20" xfId="1" applyNumberFormat="1" applyFont="1" applyFill="1" applyBorder="1"/>
    <xf numFmtId="212" fontId="24" fillId="18" borderId="1" xfId="57" applyNumberFormat="1" applyFont="1" applyFill="1" applyBorder="1"/>
    <xf numFmtId="212" fontId="24" fillId="18" borderId="0" xfId="57" applyNumberFormat="1" applyFont="1" applyFill="1" applyBorder="1"/>
    <xf numFmtId="212" fontId="24" fillId="18" borderId="20" xfId="57" applyNumberFormat="1" applyFont="1" applyFill="1" applyBorder="1"/>
    <xf numFmtId="212" fontId="24" fillId="0" borderId="25" xfId="1" applyNumberFormat="1" applyFont="1" applyBorder="1"/>
    <xf numFmtId="212" fontId="39" fillId="18" borderId="0" xfId="57" applyNumberFormat="1" applyFont="1" applyFill="1" applyBorder="1"/>
    <xf numFmtId="212" fontId="24" fillId="0" borderId="1" xfId="1" applyNumberFormat="1" applyFont="1" applyBorder="1"/>
    <xf numFmtId="212" fontId="0" fillId="0" borderId="0" xfId="1" applyNumberFormat="1" applyFont="1"/>
    <xf numFmtId="44" fontId="24" fillId="0" borderId="0" xfId="42" applyFont="1"/>
    <xf numFmtId="44" fontId="24" fillId="0" borderId="20" xfId="42" applyFont="1" applyFill="1" applyBorder="1"/>
    <xf numFmtId="44" fontId="24" fillId="18" borderId="1" xfId="42" applyFont="1" applyFill="1" applyBorder="1"/>
    <xf numFmtId="44" fontId="24" fillId="18" borderId="0" xfId="42" applyFont="1" applyFill="1" applyBorder="1"/>
    <xf numFmtId="44" fontId="24" fillId="18" borderId="20" xfId="42" applyFont="1" applyFill="1" applyBorder="1"/>
    <xf numFmtId="44" fontId="24" fillId="0" borderId="25" xfId="42" applyFont="1" applyBorder="1"/>
    <xf numFmtId="44" fontId="39" fillId="18" borderId="0" xfId="42" applyFont="1" applyFill="1" applyBorder="1"/>
    <xf numFmtId="44" fontId="24" fillId="0" borderId="1" xfId="42" applyFont="1" applyBorder="1"/>
    <xf numFmtId="0" fontId="36" fillId="0" borderId="0" xfId="1" applyFont="1" applyFill="1"/>
    <xf numFmtId="0" fontId="69" fillId="0" borderId="1" xfId="1" applyNumberFormat="1" applyFont="1" applyFill="1" applyBorder="1" applyAlignment="1"/>
    <xf numFmtId="0" fontId="72" fillId="0" borderId="20" xfId="1" applyFont="1" applyFill="1" applyBorder="1" applyAlignment="1">
      <alignment horizontal="left" indent="1"/>
    </xf>
    <xf numFmtId="168" fontId="73" fillId="0" borderId="0" xfId="64" applyNumberFormat="1" applyFont="1" applyFill="1" applyBorder="1"/>
    <xf numFmtId="168" fontId="73" fillId="0" borderId="20" xfId="64" applyNumberFormat="1" applyFont="1" applyFill="1" applyBorder="1"/>
    <xf numFmtId="168" fontId="73" fillId="0" borderId="1" xfId="64" applyNumberFormat="1" applyFont="1" applyFill="1" applyBorder="1"/>
    <xf numFmtId="177" fontId="117" fillId="0" borderId="0" xfId="36" applyNumberFormat="1" applyFont="1" applyFill="1" applyBorder="1"/>
    <xf numFmtId="0" fontId="36" fillId="0" borderId="1" xfId="1" applyFont="1" applyFill="1" applyBorder="1"/>
    <xf numFmtId="0" fontId="58" fillId="0" borderId="1" xfId="1" applyNumberFormat="1" applyFont="1" applyBorder="1" applyAlignment="1"/>
    <xf numFmtId="0" fontId="71" fillId="0" borderId="1" xfId="1" applyNumberFormat="1" applyFont="1" applyBorder="1" applyAlignment="1"/>
    <xf numFmtId="164" fontId="105" fillId="0" borderId="0" xfId="1" applyNumberFormat="1" applyFont="1"/>
    <xf numFmtId="164" fontId="107" fillId="0" borderId="20" xfId="1" applyNumberFormat="1" applyFont="1" applyBorder="1" applyAlignment="1">
      <alignment horizontal="left" indent="1"/>
    </xf>
    <xf numFmtId="164" fontId="118" fillId="0" borderId="0" xfId="64" applyNumberFormat="1" applyFont="1" applyFill="1"/>
    <xf numFmtId="164" fontId="118" fillId="0" borderId="20" xfId="64" applyNumberFormat="1" applyFont="1" applyFill="1" applyBorder="1"/>
    <xf numFmtId="164" fontId="107" fillId="0" borderId="0" xfId="64" applyNumberFormat="1" applyFont="1" applyFill="1"/>
    <xf numFmtId="164" fontId="107" fillId="0" borderId="0" xfId="64" applyNumberFormat="1" applyFont="1"/>
    <xf numFmtId="164" fontId="107" fillId="0" borderId="20" xfId="64" applyNumberFormat="1" applyFont="1" applyBorder="1"/>
    <xf numFmtId="164" fontId="102" fillId="0" borderId="0" xfId="64" applyNumberFormat="1" applyFont="1"/>
    <xf numFmtId="164" fontId="102" fillId="0" borderId="20" xfId="64" applyNumberFormat="1" applyFont="1" applyBorder="1"/>
    <xf numFmtId="164" fontId="102" fillId="0" borderId="0" xfId="64" applyNumberFormat="1" applyFont="1" applyFill="1"/>
    <xf numFmtId="164" fontId="102" fillId="0" borderId="0" xfId="1" applyNumberFormat="1" applyFont="1" applyFill="1" applyBorder="1"/>
    <xf numFmtId="164" fontId="102" fillId="0" borderId="20" xfId="1" applyNumberFormat="1" applyFont="1" applyFill="1" applyBorder="1"/>
    <xf numFmtId="164" fontId="107" fillId="0" borderId="0" xfId="64" applyNumberFormat="1" applyFont="1" applyBorder="1"/>
    <xf numFmtId="164" fontId="102" fillId="0" borderId="0" xfId="1" applyNumberFormat="1" applyFont="1" applyBorder="1"/>
    <xf numFmtId="164" fontId="102" fillId="0" borderId="20" xfId="1" applyNumberFormat="1" applyFont="1" applyBorder="1"/>
    <xf numFmtId="164" fontId="105" fillId="0" borderId="1" xfId="1" applyNumberFormat="1" applyFont="1" applyBorder="1"/>
    <xf numFmtId="164" fontId="42" fillId="0" borderId="0" xfId="1" applyNumberFormat="1" applyFont="1" applyFill="1" applyBorder="1"/>
    <xf numFmtId="164" fontId="42" fillId="0" borderId="20" xfId="1" applyNumberFormat="1" applyFont="1" applyFill="1" applyBorder="1"/>
    <xf numFmtId="0" fontId="117" fillId="0" borderId="1" xfId="1" applyNumberFormat="1" applyFont="1" applyBorder="1" applyAlignment="1"/>
    <xf numFmtId="164" fontId="37" fillId="0" borderId="0" xfId="64" applyNumberFormat="1" applyFont="1"/>
    <xf numFmtId="164" fontId="37" fillId="0" borderId="20" xfId="64" applyNumberFormat="1" applyFont="1" applyBorder="1"/>
    <xf numFmtId="164" fontId="37" fillId="0" borderId="0" xfId="64" applyNumberFormat="1" applyFont="1" applyFill="1"/>
    <xf numFmtId="164" fontId="119" fillId="0" borderId="0" xfId="64" applyNumberFormat="1" applyFont="1"/>
    <xf numFmtId="164" fontId="119" fillId="0" borderId="20" xfId="64" applyNumberFormat="1" applyFont="1" applyBorder="1"/>
    <xf numFmtId="168" fontId="96" fillId="0" borderId="0" xfId="64" applyNumberFormat="1" applyFont="1" applyAlignment="1">
      <alignment horizontal="centerContinuous"/>
    </xf>
    <xf numFmtId="168" fontId="96" fillId="0" borderId="20" xfId="64" applyNumberFormat="1" applyFont="1" applyBorder="1" applyAlignment="1">
      <alignment horizontal="centerContinuous"/>
    </xf>
    <xf numFmtId="168" fontId="96" fillId="0" borderId="0" xfId="64" applyNumberFormat="1" applyFont="1" applyFill="1" applyAlignment="1">
      <alignment horizontal="centerContinuous"/>
    </xf>
    <xf numFmtId="168" fontId="117" fillId="0" borderId="20" xfId="64" applyNumberFormat="1" applyFont="1" applyBorder="1" applyAlignment="1">
      <alignment horizontal="centerContinuous"/>
    </xf>
    <xf numFmtId="164" fontId="105" fillId="0" borderId="0" xfId="1" applyNumberFormat="1" applyFont="1" applyAlignment="1">
      <alignment horizontal="right"/>
    </xf>
    <xf numFmtId="177" fontId="42" fillId="0" borderId="2" xfId="36" applyNumberFormat="1" applyFont="1" applyFill="1" applyBorder="1"/>
    <xf numFmtId="164" fontId="58" fillId="0" borderId="0" xfId="1" applyNumberFormat="1" applyFont="1" applyFill="1" applyBorder="1"/>
    <xf numFmtId="168" fontId="58" fillId="0" borderId="0" xfId="64" applyNumberFormat="1" applyFont="1" applyAlignment="1">
      <alignment horizontal="centerContinuous"/>
    </xf>
    <xf numFmtId="177" fontId="39" fillId="0" borderId="0" xfId="36" applyNumberFormat="1" applyFont="1" applyFill="1" applyBorder="1"/>
    <xf numFmtId="177" fontId="39" fillId="0" borderId="1" xfId="36" applyNumberFormat="1" applyFont="1" applyFill="1" applyBorder="1"/>
    <xf numFmtId="164" fontId="24" fillId="0" borderId="0" xfId="1" applyNumberFormat="1" applyFont="1" applyBorder="1"/>
    <xf numFmtId="164" fontId="24" fillId="0" borderId="20" xfId="1" applyNumberFormat="1" applyFont="1" applyBorder="1"/>
    <xf numFmtId="0" fontId="56" fillId="0" borderId="0" xfId="1" applyFont="1" applyFill="1" applyBorder="1"/>
    <xf numFmtId="164" fontId="56" fillId="0" borderId="0" xfId="1" applyNumberFormat="1" applyFont="1" applyBorder="1"/>
    <xf numFmtId="164" fontId="56" fillId="0" borderId="20" xfId="1" applyNumberFormat="1" applyFont="1" applyBorder="1"/>
    <xf numFmtId="164" fontId="24" fillId="0" borderId="2" xfId="1" applyNumberFormat="1" applyFont="1" applyBorder="1"/>
    <xf numFmtId="164" fontId="24" fillId="0" borderId="22" xfId="1" applyNumberFormat="1" applyFont="1" applyBorder="1"/>
    <xf numFmtId="0" fontId="24" fillId="15" borderId="6" xfId="1" applyFont="1" applyFill="1" applyBorder="1"/>
    <xf numFmtId="164" fontId="24" fillId="0" borderId="1" xfId="1" applyNumberFormat="1" applyFont="1" applyBorder="1"/>
    <xf numFmtId="164" fontId="24" fillId="0" borderId="21" xfId="1" applyNumberFormat="1" applyFont="1" applyBorder="1"/>
    <xf numFmtId="173" fontId="24" fillId="0" borderId="21" xfId="1" applyNumberFormat="1" applyFont="1" applyFill="1" applyBorder="1"/>
    <xf numFmtId="173" fontId="24" fillId="0" borderId="2" xfId="1" applyNumberFormat="1" applyFont="1" applyFill="1" applyBorder="1"/>
    <xf numFmtId="173" fontId="24" fillId="0" borderId="22" xfId="1" applyNumberFormat="1" applyFont="1" applyFill="1" applyBorder="1"/>
    <xf numFmtId="164" fontId="56" fillId="0" borderId="1" xfId="1" applyNumberFormat="1" applyFont="1" applyBorder="1"/>
    <xf numFmtId="164" fontId="75" fillId="0" borderId="20" xfId="1" applyNumberFormat="1" applyFont="1" applyFill="1" applyBorder="1"/>
    <xf numFmtId="164" fontId="43" fillId="0" borderId="0" xfId="1" applyNumberFormat="1" applyFont="1" applyFill="1" applyBorder="1"/>
    <xf numFmtId="164" fontId="43" fillId="0" borderId="20" xfId="1" applyNumberFormat="1" applyFont="1" applyFill="1" applyBorder="1"/>
    <xf numFmtId="9" fontId="106" fillId="0" borderId="0" xfId="64" applyFont="1"/>
    <xf numFmtId="168" fontId="40" fillId="0" borderId="0" xfId="64" applyNumberFormat="1" applyFont="1"/>
    <xf numFmtId="177" fontId="102" fillId="0" borderId="0" xfId="36" applyNumberFormat="1" applyFont="1" applyBorder="1"/>
    <xf numFmtId="177" fontId="37" fillId="0" borderId="0" xfId="36" applyNumberFormat="1" applyFont="1" applyBorder="1"/>
    <xf numFmtId="9" fontId="26" fillId="0" borderId="0" xfId="64" applyFont="1" applyBorder="1"/>
    <xf numFmtId="177" fontId="100" fillId="0" borderId="1" xfId="36" applyNumberFormat="1" applyFont="1" applyBorder="1"/>
    <xf numFmtId="177" fontId="72" fillId="0" borderId="1" xfId="36" applyNumberFormat="1" applyFont="1" applyBorder="1"/>
    <xf numFmtId="9" fontId="100" fillId="0" borderId="1" xfId="64" applyFont="1" applyBorder="1"/>
    <xf numFmtId="9" fontId="72" fillId="0" borderId="1" xfId="64" applyFont="1" applyBorder="1"/>
    <xf numFmtId="164" fontId="102" fillId="0" borderId="1" xfId="1" applyNumberFormat="1" applyFont="1" applyBorder="1"/>
    <xf numFmtId="168" fontId="100" fillId="0" borderId="1" xfId="64" applyNumberFormat="1" applyFont="1" applyBorder="1"/>
    <xf numFmtId="164" fontId="37" fillId="0" borderId="1" xfId="1" applyNumberFormat="1" applyFont="1" applyFill="1" applyBorder="1"/>
    <xf numFmtId="0" fontId="42" fillId="0" borderId="20" xfId="1" applyFont="1" applyBorder="1" applyAlignment="1">
      <alignment horizontal="left" indent="1"/>
    </xf>
    <xf numFmtId="168" fontId="43" fillId="0" borderId="0" xfId="64" applyNumberFormat="1" applyFont="1" applyFill="1"/>
    <xf numFmtId="168" fontId="43" fillId="0" borderId="20" xfId="64" applyNumberFormat="1" applyFont="1" applyFill="1" applyBorder="1"/>
    <xf numFmtId="168" fontId="42" fillId="0" borderId="20" xfId="64" applyNumberFormat="1" applyFont="1" applyFill="1" applyBorder="1"/>
    <xf numFmtId="0" fontId="40" fillId="0" borderId="1" xfId="1" applyFont="1" applyBorder="1"/>
    <xf numFmtId="43" fontId="32" fillId="0" borderId="0" xfId="36" applyFont="1" applyBorder="1"/>
    <xf numFmtId="177" fontId="42" fillId="22" borderId="20" xfId="36" applyNumberFormat="1" applyFont="1" applyFill="1" applyBorder="1"/>
    <xf numFmtId="177" fontId="42" fillId="22" borderId="0" xfId="36" applyNumberFormat="1" applyFont="1" applyFill="1"/>
    <xf numFmtId="164" fontId="40" fillId="0" borderId="0" xfId="1" applyNumberFormat="1" applyFont="1"/>
    <xf numFmtId="164" fontId="32" fillId="0" borderId="20" xfId="1" applyNumberFormat="1" applyFont="1" applyBorder="1" applyAlignment="1">
      <alignment horizontal="left" indent="1"/>
    </xf>
    <xf numFmtId="164" fontId="98" fillId="0" borderId="0" xfId="64" applyNumberFormat="1" applyFont="1" applyFill="1"/>
    <xf numFmtId="164" fontId="98" fillId="0" borderId="20" xfId="64" applyNumberFormat="1" applyFont="1" applyFill="1" applyBorder="1"/>
    <xf numFmtId="164" fontId="32" fillId="0" borderId="0" xfId="64" applyNumberFormat="1" applyFont="1" applyFill="1"/>
    <xf numFmtId="164" fontId="32" fillId="0" borderId="0" xfId="64" applyNumberFormat="1" applyFont="1"/>
    <xf numFmtId="164" fontId="32" fillId="0" borderId="20" xfId="64" applyNumberFormat="1" applyFont="1" applyBorder="1"/>
    <xf numFmtId="164" fontId="42" fillId="0" borderId="1" xfId="1" applyNumberFormat="1" applyFont="1" applyBorder="1"/>
    <xf numFmtId="0" fontId="42" fillId="0" borderId="1" xfId="1" applyNumberFormat="1" applyFont="1" applyBorder="1" applyAlignment="1">
      <alignment horizontal="left" indent="1"/>
    </xf>
    <xf numFmtId="0" fontId="120" fillId="0" borderId="1" xfId="1" applyNumberFormat="1" applyFont="1" applyBorder="1" applyAlignment="1"/>
    <xf numFmtId="43" fontId="42" fillId="0" borderId="1" xfId="36" applyFont="1" applyFill="1" applyBorder="1" applyAlignment="1">
      <alignment horizontal="left" indent="1"/>
    </xf>
    <xf numFmtId="177" fontId="42" fillId="0" borderId="1" xfId="36" applyNumberFormat="1" applyFont="1" applyFill="1" applyBorder="1" applyAlignment="1">
      <alignment horizontal="left" indent="1"/>
    </xf>
    <xf numFmtId="177" fontId="42" fillId="0" borderId="20" xfId="36" applyNumberFormat="1" applyFont="1" applyFill="1" applyBorder="1" applyAlignment="1">
      <alignment horizontal="left" indent="1"/>
    </xf>
    <xf numFmtId="0" fontId="42" fillId="0" borderId="20" xfId="1" applyFont="1" applyFill="1" applyBorder="1" applyAlignment="1">
      <alignment horizontal="left" indent="1"/>
    </xf>
    <xf numFmtId="0" fontId="26" fillId="0" borderId="1" xfId="1" applyNumberFormat="1" applyFont="1" applyBorder="1" applyAlignment="1">
      <alignment horizontal="left"/>
    </xf>
    <xf numFmtId="0" fontId="100" fillId="0" borderId="1" xfId="1" applyNumberFormat="1" applyFont="1" applyBorder="1" applyAlignment="1"/>
    <xf numFmtId="0" fontId="100" fillId="0" borderId="1" xfId="1" applyNumberFormat="1" applyFont="1" applyFill="1" applyBorder="1" applyAlignment="1"/>
    <xf numFmtId="164" fontId="37" fillId="20" borderId="1" xfId="1" applyNumberFormat="1" applyFont="1" applyFill="1" applyBorder="1"/>
    <xf numFmtId="43" fontId="32" fillId="0" borderId="1" xfId="36" applyFont="1" applyBorder="1"/>
    <xf numFmtId="43" fontId="32" fillId="0" borderId="0" xfId="36" applyFont="1"/>
    <xf numFmtId="43" fontId="32" fillId="0" borderId="20" xfId="36" applyFont="1" applyBorder="1"/>
    <xf numFmtId="43" fontId="32" fillId="0" borderId="0" xfId="36" applyFont="1" applyFill="1"/>
    <xf numFmtId="177" fontId="32" fillId="0" borderId="0" xfId="36" applyNumberFormat="1" applyFont="1"/>
    <xf numFmtId="177" fontId="32" fillId="0" borderId="20" xfId="36" applyNumberFormat="1" applyFont="1" applyBorder="1"/>
    <xf numFmtId="168" fontId="32" fillId="0" borderId="1" xfId="64" applyNumberFormat="1" applyFont="1" applyFill="1" applyBorder="1" applyAlignment="1"/>
    <xf numFmtId="168" fontId="32" fillId="0" borderId="20" xfId="64" applyNumberFormat="1" applyFont="1" applyFill="1" applyBorder="1" applyAlignment="1">
      <alignment horizontal="left" indent="1"/>
    </xf>
    <xf numFmtId="168" fontId="32" fillId="0" borderId="1" xfId="64" applyNumberFormat="1" applyFont="1" applyFill="1" applyBorder="1"/>
    <xf numFmtId="164" fontId="42" fillId="22" borderId="0" xfId="1" applyNumberFormat="1" applyFont="1" applyFill="1" applyBorder="1"/>
    <xf numFmtId="164" fontId="42" fillId="22" borderId="20" xfId="1" applyNumberFormat="1" applyFont="1" applyFill="1" applyBorder="1"/>
    <xf numFmtId="44" fontId="123" fillId="0" borderId="0" xfId="42" applyFont="1"/>
    <xf numFmtId="44" fontId="123" fillId="0" borderId="20" xfId="42" applyFont="1" applyBorder="1"/>
    <xf numFmtId="44" fontId="123" fillId="0" borderId="0" xfId="42" applyFont="1" applyFill="1"/>
    <xf numFmtId="43" fontId="40" fillId="0" borderId="0" xfId="36" applyFont="1"/>
    <xf numFmtId="43" fontId="42" fillId="0" borderId="20" xfId="36" applyFont="1" applyFill="1" applyBorder="1" applyAlignment="1">
      <alignment horizontal="left" indent="1"/>
    </xf>
    <xf numFmtId="43" fontId="42" fillId="0" borderId="0" xfId="36" applyFont="1" applyFill="1"/>
    <xf numFmtId="43" fontId="42" fillId="0" borderId="0" xfId="36" applyFont="1"/>
    <xf numFmtId="43" fontId="42" fillId="0" borderId="20" xfId="36" applyFont="1" applyBorder="1"/>
    <xf numFmtId="43" fontId="42" fillId="0" borderId="20" xfId="36" applyFont="1" applyFill="1" applyBorder="1"/>
    <xf numFmtId="43" fontId="42" fillId="0" borderId="0" xfId="36" applyFont="1" applyBorder="1"/>
    <xf numFmtId="43" fontId="42" fillId="0" borderId="1" xfId="36" applyFont="1" applyBorder="1"/>
    <xf numFmtId="175" fontId="42" fillId="0" borderId="0" xfId="1" applyNumberFormat="1" applyFont="1" applyBorder="1"/>
    <xf numFmtId="43" fontId="106" fillId="0" borderId="0" xfId="36" applyFont="1"/>
    <xf numFmtId="43" fontId="32" fillId="0" borderId="1" xfId="36" applyFont="1" applyFill="1" applyBorder="1" applyAlignment="1">
      <alignment horizontal="left" indent="1"/>
    </xf>
    <xf numFmtId="43" fontId="32" fillId="0" borderId="20" xfId="36" applyFont="1" applyFill="1" applyBorder="1" applyAlignment="1">
      <alignment horizontal="left" indent="1"/>
    </xf>
    <xf numFmtId="43" fontId="32" fillId="0" borderId="20" xfId="36" applyFont="1" applyFill="1" applyBorder="1"/>
    <xf numFmtId="9" fontId="42" fillId="0" borderId="1" xfId="64" applyFont="1" applyBorder="1" applyAlignment="1">
      <alignment horizontal="left" indent="1"/>
    </xf>
    <xf numFmtId="9" fontId="42" fillId="0" borderId="20" xfId="64" applyFont="1" applyFill="1" applyBorder="1"/>
    <xf numFmtId="184" fontId="42" fillId="0" borderId="1" xfId="36" applyNumberFormat="1" applyFont="1" applyFill="1" applyBorder="1"/>
    <xf numFmtId="184" fontId="42" fillId="0" borderId="20" xfId="36" applyNumberFormat="1" applyFont="1" applyFill="1" applyBorder="1"/>
    <xf numFmtId="184" fontId="102" fillId="0" borderId="20" xfId="36" applyNumberFormat="1" applyFont="1" applyFill="1" applyBorder="1"/>
    <xf numFmtId="9" fontId="77" fillId="0" borderId="0" xfId="64" applyFont="1"/>
    <xf numFmtId="9" fontId="77" fillId="0" borderId="0" xfId="64" applyFont="1" applyFill="1"/>
    <xf numFmtId="9" fontId="77" fillId="0" borderId="20" xfId="64" applyFont="1" applyFill="1" applyBorder="1"/>
    <xf numFmtId="168" fontId="42" fillId="0" borderId="1" xfId="64" applyNumberFormat="1" applyFont="1" applyFill="1" applyBorder="1"/>
    <xf numFmtId="168" fontId="40" fillId="0" borderId="1" xfId="64" applyNumberFormat="1" applyFont="1" applyBorder="1"/>
    <xf numFmtId="184" fontId="77" fillId="0" borderId="20" xfId="36" applyNumberFormat="1" applyFont="1" applyBorder="1"/>
    <xf numFmtId="184" fontId="124" fillId="0" borderId="0" xfId="36" applyNumberFormat="1" applyFont="1"/>
    <xf numFmtId="184" fontId="124" fillId="0" borderId="20" xfId="36" applyNumberFormat="1" applyFont="1" applyBorder="1"/>
    <xf numFmtId="184" fontId="124" fillId="0" borderId="0" xfId="36" applyNumberFormat="1" applyFont="1" applyFill="1"/>
    <xf numFmtId="168" fontId="42" fillId="0" borderId="1" xfId="64" applyNumberFormat="1" applyFont="1" applyBorder="1" applyAlignment="1">
      <alignment horizontal="left" indent="1"/>
    </xf>
    <xf numFmtId="168" fontId="32" fillId="0" borderId="1" xfId="64" applyNumberFormat="1" applyFont="1" applyBorder="1" applyAlignment="1">
      <alignment horizontal="left" indent="1"/>
    </xf>
    <xf numFmtId="184" fontId="78" fillId="0" borderId="20" xfId="36" applyNumberFormat="1" applyFont="1" applyBorder="1"/>
    <xf numFmtId="184" fontId="40" fillId="0" borderId="0" xfId="36" applyNumberFormat="1" applyFont="1" applyFill="1"/>
    <xf numFmtId="184" fontId="40" fillId="0" borderId="1" xfId="36" applyNumberFormat="1" applyFont="1" applyFill="1" applyBorder="1"/>
    <xf numFmtId="9" fontId="26" fillId="0" borderId="20" xfId="64" applyFont="1" applyFill="1" applyBorder="1"/>
    <xf numFmtId="9" fontId="32" fillId="0" borderId="20" xfId="64" applyFont="1" applyBorder="1" applyAlignment="1">
      <alignment horizontal="left" indent="1"/>
    </xf>
    <xf numFmtId="9" fontId="98" fillId="0" borderId="20" xfId="64" applyFont="1" applyFill="1" applyBorder="1"/>
    <xf numFmtId="9" fontId="32" fillId="0" borderId="20" xfId="64" applyFont="1" applyFill="1" applyBorder="1"/>
    <xf numFmtId="9" fontId="106" fillId="0" borderId="1" xfId="64" applyFont="1" applyBorder="1"/>
    <xf numFmtId="184" fontId="56" fillId="0" borderId="20" xfId="36" applyNumberFormat="1" applyFont="1" applyBorder="1"/>
    <xf numFmtId="184" fontId="56" fillId="0" borderId="20" xfId="36" applyNumberFormat="1" applyFont="1" applyFill="1" applyBorder="1"/>
    <xf numFmtId="168" fontId="100" fillId="0" borderId="20" xfId="64" applyNumberFormat="1" applyFont="1" applyFill="1" applyBorder="1"/>
    <xf numFmtId="168" fontId="26" fillId="0" borderId="20" xfId="64" applyNumberFormat="1" applyFont="1" applyBorder="1" applyAlignment="1">
      <alignment horizontal="left" indent="1"/>
    </xf>
    <xf numFmtId="168" fontId="0" fillId="0" borderId="1" xfId="64" applyNumberFormat="1" applyFont="1" applyBorder="1"/>
    <xf numFmtId="9" fontId="32" fillId="0" borderId="1" xfId="64" applyFont="1" applyBorder="1" applyAlignment="1">
      <alignment horizontal="left" indent="1"/>
    </xf>
    <xf numFmtId="209" fontId="56" fillId="0" borderId="0" xfId="1" applyNumberFormat="1" applyFont="1" applyBorder="1"/>
    <xf numFmtId="9" fontId="124" fillId="0" borderId="20" xfId="64" applyNumberFormat="1" applyFont="1" applyBorder="1"/>
    <xf numFmtId="9" fontId="124" fillId="0" borderId="20" xfId="64" applyNumberFormat="1" applyFont="1" applyFill="1" applyBorder="1"/>
    <xf numFmtId="43" fontId="0" fillId="0" borderId="0" xfId="36" applyNumberFormat="1" applyFont="1"/>
    <xf numFmtId="168" fontId="115" fillId="0" borderId="20" xfId="64" applyNumberFormat="1" applyFont="1" applyBorder="1" applyAlignment="1">
      <alignment horizontal="right"/>
    </xf>
    <xf numFmtId="168" fontId="106" fillId="0" borderId="0" xfId="64" applyNumberFormat="1" applyFont="1" applyFill="1"/>
    <xf numFmtId="168" fontId="32" fillId="0" borderId="1" xfId="64" applyNumberFormat="1" applyFont="1" applyFill="1" applyBorder="1" applyAlignment="1">
      <alignment horizontal="left" indent="1"/>
    </xf>
    <xf numFmtId="168" fontId="115" fillId="0" borderId="20" xfId="64" applyNumberFormat="1" applyFont="1" applyFill="1" applyBorder="1" applyAlignment="1">
      <alignment horizontal="right"/>
    </xf>
    <xf numFmtId="168" fontId="106" fillId="0" borderId="1" xfId="64" applyNumberFormat="1" applyFont="1" applyFill="1" applyBorder="1"/>
    <xf numFmtId="168" fontId="37" fillId="0" borderId="1" xfId="64" applyNumberFormat="1" applyFont="1" applyFill="1" applyBorder="1" applyAlignment="1">
      <alignment horizontal="left"/>
    </xf>
    <xf numFmtId="184" fontId="42" fillId="0" borderId="1" xfId="36" applyNumberFormat="1" applyFont="1" applyBorder="1" applyAlignment="1">
      <alignment horizontal="left" indent="1"/>
    </xf>
    <xf numFmtId="168" fontId="32" fillId="20" borderId="20" xfId="64" applyNumberFormat="1" applyFont="1" applyFill="1" applyBorder="1" applyAlignment="1">
      <alignment horizontal="right"/>
    </xf>
    <xf numFmtId="168" fontId="42" fillId="0" borderId="1" xfId="64" applyNumberFormat="1" applyFont="1" applyBorder="1" applyAlignment="1">
      <alignment horizontal="left"/>
    </xf>
    <xf numFmtId="9" fontId="98" fillId="20" borderId="20" xfId="64" applyNumberFormat="1" applyFont="1" applyFill="1" applyBorder="1"/>
    <xf numFmtId="0" fontId="69" fillId="19" borderId="23" xfId="1" applyNumberFormat="1" applyFont="1" applyFill="1" applyBorder="1" applyAlignment="1"/>
    <xf numFmtId="0" fontId="112" fillId="19" borderId="6" xfId="1" applyFont="1" applyFill="1" applyBorder="1"/>
    <xf numFmtId="1" fontId="112" fillId="19" borderId="6" xfId="59" applyNumberFormat="1" applyFont="1" applyFill="1" applyBorder="1" applyAlignment="1">
      <alignment horizontal="right"/>
    </xf>
    <xf numFmtId="1" fontId="112" fillId="19" borderId="23" xfId="59" applyNumberFormat="1" applyFont="1" applyFill="1" applyBorder="1" applyAlignment="1">
      <alignment horizontal="right"/>
    </xf>
    <xf numFmtId="0" fontId="120" fillId="0" borderId="21" xfId="1" applyNumberFormat="1" applyFont="1" applyBorder="1" applyAlignment="1"/>
    <xf numFmtId="0" fontId="72" fillId="19" borderId="24" xfId="1" applyFont="1" applyFill="1" applyBorder="1" applyAlignment="1">
      <alignment horizontal="left" indent="1"/>
    </xf>
    <xf numFmtId="168" fontId="73" fillId="19" borderId="6" xfId="64" applyNumberFormat="1" applyFont="1" applyFill="1" applyBorder="1"/>
    <xf numFmtId="168" fontId="73" fillId="19" borderId="24" xfId="64" applyNumberFormat="1" applyFont="1" applyFill="1" applyBorder="1"/>
    <xf numFmtId="168" fontId="73" fillId="19" borderId="23" xfId="64" applyNumberFormat="1" applyFont="1" applyFill="1" applyBorder="1"/>
    <xf numFmtId="177" fontId="117" fillId="19" borderId="6" xfId="36" applyNumberFormat="1" applyFont="1" applyFill="1" applyBorder="1"/>
    <xf numFmtId="177" fontId="117" fillId="19" borderId="24" xfId="36" applyNumberFormat="1" applyFont="1" applyFill="1" applyBorder="1"/>
    <xf numFmtId="0" fontId="37" fillId="15" borderId="23" xfId="36" applyNumberFormat="1" applyFont="1" applyFill="1" applyBorder="1" applyAlignment="1"/>
    <xf numFmtId="184" fontId="42" fillId="15" borderId="24" xfId="36" applyNumberFormat="1" applyFont="1" applyFill="1" applyBorder="1" applyAlignment="1">
      <alignment horizontal="left" indent="1"/>
    </xf>
    <xf numFmtId="184" fontId="42" fillId="15" borderId="6" xfId="36" applyNumberFormat="1" applyFont="1" applyFill="1" applyBorder="1"/>
    <xf numFmtId="184" fontId="42" fillId="15" borderId="24" xfId="36" applyNumberFormat="1" applyFont="1" applyFill="1" applyBorder="1"/>
    <xf numFmtId="184" fontId="42" fillId="15" borderId="23" xfId="36" applyNumberFormat="1" applyFont="1" applyFill="1" applyBorder="1"/>
    <xf numFmtId="168" fontId="30" fillId="15" borderId="6" xfId="64" applyNumberFormat="1" applyFont="1" applyFill="1" applyBorder="1"/>
    <xf numFmtId="168" fontId="30" fillId="15" borderId="24" xfId="64" applyNumberFormat="1" applyFont="1" applyFill="1" applyBorder="1"/>
    <xf numFmtId="168" fontId="26" fillId="15" borderId="6" xfId="64" applyNumberFormat="1" applyFont="1" applyFill="1" applyBorder="1"/>
    <xf numFmtId="168" fontId="26" fillId="15" borderId="24" xfId="64" applyNumberFormat="1" applyFont="1" applyFill="1" applyBorder="1"/>
    <xf numFmtId="184" fontId="124" fillId="0" borderId="20" xfId="36" applyNumberFormat="1" applyFont="1" applyFill="1" applyBorder="1"/>
    <xf numFmtId="184" fontId="98" fillId="20" borderId="20" xfId="36" applyNumberFormat="1" applyFont="1" applyFill="1" applyBorder="1"/>
    <xf numFmtId="184" fontId="42" fillId="20" borderId="20" xfId="36" applyNumberFormat="1" applyFont="1" applyFill="1" applyBorder="1"/>
    <xf numFmtId="168" fontId="43" fillId="20" borderId="20" xfId="64" applyNumberFormat="1" applyFont="1" applyFill="1" applyBorder="1"/>
    <xf numFmtId="168" fontId="26" fillId="0" borderId="21" xfId="64" applyNumberFormat="1" applyFont="1" applyFill="1" applyBorder="1"/>
    <xf numFmtId="0" fontId="37" fillId="0" borderId="1" xfId="1" applyFont="1" applyBorder="1"/>
    <xf numFmtId="0" fontId="37" fillId="0" borderId="19" xfId="1" applyFont="1" applyBorder="1"/>
    <xf numFmtId="177" fontId="45" fillId="0" borderId="1" xfId="36" applyNumberFormat="1" applyFont="1" applyFill="1" applyBorder="1"/>
    <xf numFmtId="177" fontId="45" fillId="0" borderId="0" xfId="36" applyNumberFormat="1" applyFont="1" applyFill="1" applyBorder="1"/>
    <xf numFmtId="177" fontId="37" fillId="0" borderId="0" xfId="36" applyNumberFormat="1" applyFont="1" applyFill="1" applyBorder="1"/>
    <xf numFmtId="177" fontId="37" fillId="0" borderId="1" xfId="36" applyNumberFormat="1" applyFont="1" applyFill="1" applyBorder="1"/>
    <xf numFmtId="209" fontId="125" fillId="0" borderId="0" xfId="1" applyNumberFormat="1" applyFont="1" applyFill="1" applyBorder="1" applyAlignment="1"/>
    <xf numFmtId="209" fontId="125" fillId="0" borderId="20" xfId="1" applyNumberFormat="1" applyFont="1" applyFill="1" applyBorder="1" applyAlignment="1"/>
    <xf numFmtId="164" fontId="55" fillId="18" borderId="0" xfId="57" applyNumberFormat="1" applyFont="1" applyFill="1" applyBorder="1"/>
    <xf numFmtId="164" fontId="55" fillId="18" borderId="20" xfId="57" applyNumberFormat="1" applyFont="1" applyFill="1" applyBorder="1"/>
    <xf numFmtId="177" fontId="24" fillId="0" borderId="2" xfId="36" applyNumberFormat="1" applyFont="1" applyBorder="1"/>
    <xf numFmtId="168" fontId="29" fillId="18" borderId="0" xfId="64" applyNumberFormat="1" applyFont="1" applyFill="1" applyBorder="1"/>
    <xf numFmtId="180" fontId="24" fillId="0" borderId="20" xfId="1" applyNumberFormat="1" applyFont="1" applyBorder="1"/>
    <xf numFmtId="180" fontId="24" fillId="0" borderId="1" xfId="1" applyNumberFormat="1" applyFont="1" applyBorder="1"/>
    <xf numFmtId="180" fontId="56" fillId="0" borderId="0" xfId="1" applyNumberFormat="1" applyFont="1"/>
    <xf numFmtId="180" fontId="56" fillId="0" borderId="20" xfId="1" applyNumberFormat="1" applyFont="1" applyBorder="1"/>
    <xf numFmtId="180" fontId="56" fillId="0" borderId="0" xfId="1" applyNumberFormat="1" applyFont="1" applyBorder="1"/>
    <xf numFmtId="180" fontId="56" fillId="0" borderId="1" xfId="1" applyNumberFormat="1" applyFont="1" applyBorder="1"/>
    <xf numFmtId="180" fontId="37" fillId="0" borderId="0" xfId="1" applyNumberFormat="1" applyFont="1"/>
    <xf numFmtId="180" fontId="37" fillId="0" borderId="20" xfId="1" applyNumberFormat="1" applyFont="1" applyBorder="1"/>
    <xf numFmtId="180" fontId="37" fillId="0" borderId="0" xfId="1" applyNumberFormat="1" applyFont="1" applyBorder="1"/>
    <xf numFmtId="180" fontId="37" fillId="0" borderId="1" xfId="1" applyNumberFormat="1" applyFont="1" applyBorder="1"/>
    <xf numFmtId="0" fontId="114" fillId="0" borderId="1" xfId="1" applyFont="1" applyBorder="1"/>
    <xf numFmtId="0" fontId="102" fillId="0" borderId="1" xfId="1" applyFont="1" applyBorder="1"/>
    <xf numFmtId="0" fontId="102" fillId="0" borderId="20" xfId="1" applyFont="1" applyBorder="1"/>
    <xf numFmtId="180" fontId="102" fillId="0" borderId="0" xfId="1" applyNumberFormat="1" applyFont="1"/>
    <xf numFmtId="180" fontId="102" fillId="0" borderId="20" xfId="1" applyNumberFormat="1" applyFont="1" applyBorder="1"/>
    <xf numFmtId="180" fontId="102" fillId="0" borderId="0" xfId="1" applyNumberFormat="1" applyFont="1" applyBorder="1"/>
    <xf numFmtId="180" fontId="102" fillId="0" borderId="1" xfId="1" applyNumberFormat="1" applyFont="1" applyBorder="1"/>
    <xf numFmtId="164" fontId="102" fillId="24" borderId="0" xfId="1" applyNumberFormat="1" applyFont="1" applyFill="1" applyBorder="1"/>
    <xf numFmtId="184" fontId="24" fillId="0" borderId="0" xfId="36" applyNumberFormat="1" applyFont="1" applyFill="1" applyBorder="1" applyAlignment="1"/>
    <xf numFmtId="165" fontId="69" fillId="19" borderId="23" xfId="59" applyNumberFormat="1" applyFont="1" applyFill="1" applyBorder="1" applyAlignment="1">
      <alignment horizontal="right"/>
    </xf>
    <xf numFmtId="165" fontId="69" fillId="19" borderId="6" xfId="59" applyNumberFormat="1" applyFont="1" applyFill="1" applyBorder="1" applyAlignment="1">
      <alignment horizontal="right"/>
    </xf>
    <xf numFmtId="165" fontId="69" fillId="19" borderId="6" xfId="36" applyNumberFormat="1" applyFont="1" applyFill="1" applyBorder="1" applyAlignment="1">
      <alignment horizontal="right"/>
    </xf>
    <xf numFmtId="165" fontId="69" fillId="19" borderId="23" xfId="36" applyNumberFormat="1" applyFont="1" applyFill="1" applyBorder="1" applyAlignment="1">
      <alignment horizontal="right"/>
    </xf>
    <xf numFmtId="165" fontId="69" fillId="19" borderId="24" xfId="36" applyNumberFormat="1" applyFont="1" applyFill="1" applyBorder="1" applyAlignment="1">
      <alignment horizontal="right"/>
    </xf>
    <xf numFmtId="165" fontId="69" fillId="21" borderId="6" xfId="64" applyNumberFormat="1" applyFont="1" applyFill="1" applyBorder="1"/>
    <xf numFmtId="165" fontId="69" fillId="21" borderId="24" xfId="64" applyNumberFormat="1" applyFont="1" applyFill="1" applyBorder="1"/>
    <xf numFmtId="164" fontId="55" fillId="0" borderId="1" xfId="1" applyNumberFormat="1" applyFont="1" applyBorder="1"/>
    <xf numFmtId="164" fontId="55" fillId="0" borderId="0" xfId="1" applyNumberFormat="1" applyFont="1" applyBorder="1"/>
    <xf numFmtId="168" fontId="24" fillId="18" borderId="0" xfId="64" applyNumberFormat="1" applyFont="1" applyFill="1" applyBorder="1"/>
    <xf numFmtId="168" fontId="24" fillId="18" borderId="20" xfId="64" applyNumberFormat="1" applyFont="1" applyFill="1" applyBorder="1"/>
    <xf numFmtId="43" fontId="56" fillId="0" borderId="0" xfId="36" applyFont="1" applyFill="1" applyBorder="1"/>
    <xf numFmtId="43" fontId="56" fillId="0" borderId="0" xfId="36" applyFont="1" applyBorder="1"/>
    <xf numFmtId="43" fontId="56" fillId="0" borderId="20" xfId="36" applyFont="1" applyBorder="1"/>
    <xf numFmtId="43" fontId="56" fillId="0" borderId="20" xfId="36" applyFont="1" applyFill="1" applyBorder="1"/>
    <xf numFmtId="171" fontId="24" fillId="0" borderId="1" xfId="1" applyNumberFormat="1" applyFont="1" applyFill="1" applyBorder="1" applyAlignment="1"/>
    <xf numFmtId="1" fontId="27" fillId="15" borderId="17" xfId="58" applyNumberFormat="1" applyFont="1" applyFill="1" applyBorder="1" applyAlignment="1">
      <alignment horizontal="right"/>
    </xf>
    <xf numFmtId="174" fontId="24" fillId="0" borderId="1" xfId="1" applyNumberFormat="1" applyFont="1" applyFill="1" applyBorder="1"/>
    <xf numFmtId="180" fontId="24" fillId="0" borderId="2" xfId="1" applyNumberFormat="1" applyFont="1" applyFill="1" applyBorder="1"/>
    <xf numFmtId="177" fontId="24" fillId="0" borderId="23" xfId="36" applyNumberFormat="1" applyFont="1" applyFill="1" applyBorder="1"/>
    <xf numFmtId="177" fontId="38" fillId="0" borderId="21" xfId="36" applyNumberFormat="1" applyFont="1" applyFill="1" applyBorder="1"/>
    <xf numFmtId="177" fontId="25" fillId="0" borderId="21" xfId="36" applyNumberFormat="1" applyFont="1" applyBorder="1"/>
    <xf numFmtId="177" fontId="25" fillId="0" borderId="2" xfId="36" applyNumberFormat="1" applyFont="1" applyBorder="1"/>
    <xf numFmtId="177" fontId="39" fillId="0" borderId="21" xfId="36" applyNumberFormat="1" applyFont="1" applyFill="1" applyBorder="1"/>
    <xf numFmtId="185" fontId="24" fillId="0" borderId="2" xfId="1" applyNumberFormat="1" applyFont="1" applyBorder="1"/>
    <xf numFmtId="177" fontId="37" fillId="0" borderId="1" xfId="36" applyNumberFormat="1" applyFont="1" applyBorder="1"/>
    <xf numFmtId="9" fontId="32" fillId="0" borderId="1" xfId="64" applyFont="1" applyBorder="1"/>
    <xf numFmtId="177" fontId="42" fillId="0" borderId="1" xfId="36" applyNumberFormat="1" applyFont="1" applyBorder="1"/>
    <xf numFmtId="1" fontId="27" fillId="15" borderId="17" xfId="59" applyNumberFormat="1" applyFont="1" applyFill="1" applyBorder="1" applyAlignment="1">
      <alignment horizontal="right"/>
    </xf>
    <xf numFmtId="1" fontId="27" fillId="19" borderId="0" xfId="59" applyNumberFormat="1" applyFont="1" applyFill="1" applyBorder="1" applyAlignment="1">
      <alignment horizontal="right"/>
    </xf>
    <xf numFmtId="168" fontId="32" fillId="21" borderId="0" xfId="64" applyNumberFormat="1" applyFont="1" applyFill="1" applyBorder="1"/>
    <xf numFmtId="168" fontId="26" fillId="21" borderId="0" xfId="64" applyNumberFormat="1" applyFont="1" applyFill="1" applyBorder="1"/>
    <xf numFmtId="0" fontId="26" fillId="0" borderId="0" xfId="64" applyNumberFormat="1" applyFont="1" applyBorder="1"/>
    <xf numFmtId="168" fontId="112" fillId="21" borderId="0" xfId="64" applyNumberFormat="1" applyFont="1" applyFill="1" applyBorder="1"/>
    <xf numFmtId="209" fontId="42" fillId="0" borderId="0" xfId="36" applyNumberFormat="1" applyFont="1" applyBorder="1"/>
    <xf numFmtId="209" fontId="42" fillId="0" borderId="0" xfId="64" applyNumberFormat="1" applyFont="1" applyBorder="1"/>
    <xf numFmtId="209" fontId="32" fillId="0" borderId="0" xfId="64" applyNumberFormat="1" applyFont="1" applyBorder="1"/>
    <xf numFmtId="209" fontId="32" fillId="0" borderId="0" xfId="64" applyNumberFormat="1" applyFont="1" applyFill="1" applyBorder="1"/>
    <xf numFmtId="0" fontId="37" fillId="19" borderId="0" xfId="1" applyFont="1" applyFill="1" applyBorder="1"/>
    <xf numFmtId="9" fontId="32" fillId="0" borderId="0" xfId="64" applyFont="1" applyFill="1" applyBorder="1"/>
    <xf numFmtId="9" fontId="26" fillId="0" borderId="0" xfId="64" applyFont="1" applyFill="1" applyBorder="1"/>
    <xf numFmtId="168" fontId="100" fillId="0" borderId="0" xfId="64" applyNumberFormat="1" applyFont="1" applyFill="1" applyBorder="1"/>
    <xf numFmtId="209" fontId="107" fillId="0" borderId="0" xfId="64" applyNumberFormat="1" applyFont="1" applyBorder="1"/>
    <xf numFmtId="209" fontId="26" fillId="0" borderId="0" xfId="64" applyNumberFormat="1" applyFont="1" applyBorder="1"/>
    <xf numFmtId="177" fontId="42" fillId="0" borderId="0" xfId="36" applyNumberFormat="1" applyFont="1" applyFill="1" applyBorder="1"/>
    <xf numFmtId="1" fontId="27" fillId="19" borderId="1" xfId="59" applyNumberFormat="1" applyFont="1" applyFill="1" applyBorder="1" applyAlignment="1">
      <alignment horizontal="right"/>
    </xf>
    <xf numFmtId="168" fontId="32" fillId="21" borderId="1" xfId="64" applyNumberFormat="1" applyFont="1" applyFill="1" applyBorder="1"/>
    <xf numFmtId="164" fontId="72" fillId="0" borderId="1" xfId="64" applyNumberFormat="1" applyFont="1" applyBorder="1"/>
    <xf numFmtId="177" fontId="96" fillId="0" borderId="1" xfId="36" applyNumberFormat="1" applyFont="1" applyFill="1" applyBorder="1"/>
    <xf numFmtId="177" fontId="32" fillId="0" borderId="1" xfId="36" applyNumberFormat="1" applyFont="1" applyBorder="1"/>
    <xf numFmtId="164" fontId="107" fillId="0" borderId="1" xfId="64" applyNumberFormat="1" applyFont="1" applyBorder="1"/>
    <xf numFmtId="168" fontId="112" fillId="21" borderId="1" xfId="64" applyNumberFormat="1" applyFont="1" applyFill="1" applyBorder="1"/>
    <xf numFmtId="164" fontId="32" fillId="0" borderId="1" xfId="64" applyNumberFormat="1" applyFont="1" applyBorder="1"/>
    <xf numFmtId="0" fontId="37" fillId="19" borderId="1" xfId="1" applyFont="1" applyFill="1" applyBorder="1"/>
    <xf numFmtId="209" fontId="56" fillId="0" borderId="20" xfId="1" applyNumberFormat="1" applyFont="1" applyBorder="1"/>
    <xf numFmtId="0" fontId="37" fillId="19" borderId="7" xfId="1" applyFont="1" applyFill="1" applyBorder="1"/>
    <xf numFmtId="0" fontId="37" fillId="19" borderId="17" xfId="1" applyFont="1" applyFill="1" applyBorder="1"/>
    <xf numFmtId="9" fontId="42" fillId="0" borderId="7" xfId="64" applyFont="1" applyBorder="1"/>
    <xf numFmtId="9" fontId="42" fillId="0" borderId="17" xfId="64" applyFont="1" applyBorder="1"/>
    <xf numFmtId="164" fontId="37" fillId="0" borderId="17" xfId="1" applyNumberFormat="1" applyFont="1" applyBorder="1"/>
    <xf numFmtId="168" fontId="24" fillId="24" borderId="0" xfId="64" applyNumberFormat="1" applyFont="1" applyFill="1" applyBorder="1"/>
    <xf numFmtId="0" fontId="29" fillId="0" borderId="7" xfId="1" applyFont="1" applyFill="1" applyBorder="1"/>
    <xf numFmtId="180" fontId="19" fillId="0" borderId="0" xfId="1" applyNumberFormat="1" applyFont="1"/>
    <xf numFmtId="165" fontId="69" fillId="21" borderId="23" xfId="64" applyNumberFormat="1" applyFont="1" applyFill="1" applyBorder="1"/>
    <xf numFmtId="168" fontId="98" fillId="0" borderId="1" xfId="64" applyNumberFormat="1" applyFont="1" applyFill="1" applyBorder="1"/>
    <xf numFmtId="168" fontId="98" fillId="0" borderId="0" xfId="64" applyNumberFormat="1" applyFont="1" applyFill="1" applyBorder="1"/>
    <xf numFmtId="168" fontId="112" fillId="21" borderId="23" xfId="64" applyNumberFormat="1" applyFont="1" applyFill="1" applyBorder="1"/>
    <xf numFmtId="177" fontId="102" fillId="0" borderId="1" xfId="36" applyNumberFormat="1" applyFont="1" applyBorder="1"/>
    <xf numFmtId="168" fontId="98" fillId="0" borderId="1" xfId="64" applyNumberFormat="1" applyFont="1" applyBorder="1"/>
    <xf numFmtId="168" fontId="98" fillId="0" borderId="0" xfId="64" applyNumberFormat="1" applyFont="1" applyBorder="1"/>
    <xf numFmtId="164" fontId="102" fillId="0" borderId="1" xfId="1" applyNumberFormat="1" applyFont="1" applyFill="1" applyBorder="1"/>
    <xf numFmtId="168" fontId="26" fillId="21" borderId="23" xfId="64" applyNumberFormat="1" applyFont="1" applyFill="1" applyBorder="1"/>
    <xf numFmtId="184" fontId="42" fillId="20" borderId="1" xfId="36" applyNumberFormat="1" applyFont="1" applyFill="1" applyBorder="1"/>
    <xf numFmtId="184" fontId="42" fillId="20" borderId="0" xfId="36" applyNumberFormat="1" applyFont="1" applyFill="1" applyBorder="1"/>
    <xf numFmtId="168" fontId="32" fillId="20" borderId="1" xfId="64" applyNumberFormat="1" applyFont="1" applyFill="1" applyBorder="1" applyAlignment="1">
      <alignment horizontal="right"/>
    </xf>
    <xf numFmtId="168" fontId="32" fillId="20" borderId="0" xfId="64" applyNumberFormat="1" applyFont="1" applyFill="1" applyBorder="1" applyAlignment="1">
      <alignment horizontal="right"/>
    </xf>
    <xf numFmtId="9" fontId="98" fillId="20" borderId="1" xfId="64" applyNumberFormat="1" applyFont="1" applyFill="1" applyBorder="1"/>
    <xf numFmtId="9" fontId="98" fillId="20" borderId="0" xfId="64" applyNumberFormat="1" applyFont="1" applyFill="1" applyBorder="1"/>
    <xf numFmtId="184" fontId="98" fillId="20" borderId="1" xfId="36" applyNumberFormat="1" applyFont="1" applyFill="1" applyBorder="1"/>
    <xf numFmtId="184" fontId="98" fillId="20" borderId="0" xfId="36" applyNumberFormat="1" applyFont="1" applyFill="1" applyBorder="1"/>
    <xf numFmtId="164" fontId="42" fillId="0" borderId="1" xfId="1" applyNumberFormat="1" applyFont="1" applyFill="1" applyBorder="1"/>
    <xf numFmtId="164" fontId="75" fillId="0" borderId="1" xfId="1" applyNumberFormat="1" applyFont="1" applyFill="1" applyBorder="1"/>
    <xf numFmtId="43" fontId="42" fillId="0" borderId="1" xfId="36" applyFont="1" applyFill="1" applyBorder="1"/>
    <xf numFmtId="43" fontId="42" fillId="0" borderId="0" xfId="36" applyFont="1" applyFill="1" applyBorder="1"/>
    <xf numFmtId="43" fontId="32" fillId="0" borderId="1" xfId="36" applyFont="1" applyFill="1" applyBorder="1"/>
    <xf numFmtId="43" fontId="32" fillId="0" borderId="0" xfId="36" applyFont="1" applyFill="1" applyBorder="1"/>
    <xf numFmtId="177" fontId="117" fillId="0" borderId="7" xfId="36" applyNumberFormat="1" applyFont="1" applyFill="1" applyBorder="1"/>
    <xf numFmtId="177" fontId="117" fillId="0" borderId="17" xfId="36" applyNumberFormat="1" applyFont="1" applyFill="1" applyBorder="1"/>
    <xf numFmtId="177" fontId="117" fillId="0" borderId="19" xfId="36" applyNumberFormat="1" applyFont="1" applyFill="1" applyBorder="1"/>
    <xf numFmtId="168" fontId="42" fillId="0" borderId="7" xfId="64" applyNumberFormat="1" applyFont="1" applyBorder="1"/>
    <xf numFmtId="168" fontId="42" fillId="0" borderId="17" xfId="64" applyNumberFormat="1" applyFont="1" applyBorder="1"/>
    <xf numFmtId="168" fontId="42" fillId="0" borderId="19" xfId="64" applyNumberFormat="1" applyFont="1" applyBorder="1"/>
    <xf numFmtId="168" fontId="24" fillId="0" borderId="0" xfId="64" applyNumberFormat="1" applyFont="1"/>
    <xf numFmtId="0" fontId="29" fillId="0" borderId="0" xfId="1" applyFont="1" applyBorder="1"/>
    <xf numFmtId="0" fontId="56" fillId="0" borderId="25" xfId="1" applyFont="1" applyFill="1" applyBorder="1"/>
    <xf numFmtId="173" fontId="25" fillId="0" borderId="1" xfId="1" applyNumberFormat="1" applyFont="1" applyFill="1" applyBorder="1"/>
    <xf numFmtId="173" fontId="25" fillId="0" borderId="0" xfId="1" applyNumberFormat="1" applyFont="1" applyFill="1" applyBorder="1"/>
    <xf numFmtId="173" fontId="25" fillId="0" borderId="20" xfId="1" applyNumberFormat="1" applyFont="1" applyFill="1" applyBorder="1"/>
    <xf numFmtId="174" fontId="24" fillId="0" borderId="7" xfId="1" applyNumberFormat="1" applyFont="1" applyFill="1" applyBorder="1"/>
    <xf numFmtId="164" fontId="29" fillId="20" borderId="1" xfId="1" applyNumberFormat="1" applyFont="1" applyFill="1" applyBorder="1"/>
    <xf numFmtId="9" fontId="42" fillId="0" borderId="1" xfId="64" applyFont="1" applyFill="1" applyBorder="1"/>
    <xf numFmtId="184" fontId="102" fillId="0" borderId="1" xfId="36" applyNumberFormat="1" applyFont="1" applyFill="1" applyBorder="1"/>
    <xf numFmtId="9" fontId="32" fillId="0" borderId="1" xfId="64" applyFont="1" applyFill="1" applyBorder="1"/>
    <xf numFmtId="177" fontId="42" fillId="0" borderId="1" xfId="36" applyNumberFormat="1" applyFont="1" applyFill="1" applyBorder="1"/>
    <xf numFmtId="184" fontId="43" fillId="20" borderId="1" xfId="36" applyNumberFormat="1" applyFont="1" applyFill="1" applyBorder="1"/>
    <xf numFmtId="168" fontId="43" fillId="20" borderId="0" xfId="64" applyNumberFormat="1" applyFont="1" applyFill="1" applyBorder="1"/>
    <xf numFmtId="168" fontId="43" fillId="20" borderId="1" xfId="64" applyNumberFormat="1" applyFont="1" applyFill="1" applyBorder="1"/>
    <xf numFmtId="43" fontId="98" fillId="0" borderId="20" xfId="36" applyFont="1" applyFill="1" applyBorder="1"/>
    <xf numFmtId="168" fontId="131" fillId="0" borderId="0" xfId="68" applyNumberFormat="1" applyFont="1" applyBorder="1"/>
    <xf numFmtId="168" fontId="131" fillId="0" borderId="1" xfId="68" applyNumberFormat="1" applyFont="1" applyBorder="1"/>
    <xf numFmtId="168" fontId="131" fillId="0" borderId="20" xfId="68" applyNumberFormat="1" applyFont="1" applyBorder="1"/>
    <xf numFmtId="0" fontId="37" fillId="0" borderId="7" xfId="36" applyNumberFormat="1" applyFont="1" applyBorder="1" applyAlignment="1"/>
    <xf numFmtId="184" fontId="37" fillId="0" borderId="19" xfId="36" applyNumberFormat="1" applyFont="1" applyBorder="1" applyAlignment="1">
      <alignment horizontal="left" indent="1"/>
    </xf>
    <xf numFmtId="184" fontId="37" fillId="0" borderId="17" xfId="36" applyNumberFormat="1" applyFont="1" applyFill="1" applyBorder="1"/>
    <xf numFmtId="184" fontId="58" fillId="0" borderId="0" xfId="36" applyNumberFormat="1" applyFont="1" applyBorder="1"/>
    <xf numFmtId="0" fontId="26" fillId="0" borderId="21" xfId="1" applyNumberFormat="1" applyFont="1" applyFill="1" applyBorder="1" applyAlignment="1">
      <alignment horizontal="left" indent="1"/>
    </xf>
    <xf numFmtId="0" fontId="26" fillId="0" borderId="22" xfId="1" applyFont="1" applyFill="1" applyBorder="1" applyAlignment="1">
      <alignment horizontal="left" indent="1"/>
    </xf>
    <xf numFmtId="164" fontId="37" fillId="0" borderId="19" xfId="1" applyNumberFormat="1" applyFont="1" applyBorder="1"/>
    <xf numFmtId="164" fontId="37" fillId="0" borderId="17" xfId="1" applyNumberFormat="1" applyFont="1" applyFill="1" applyBorder="1"/>
    <xf numFmtId="164" fontId="37" fillId="0" borderId="7" xfId="1" applyNumberFormat="1" applyFont="1" applyBorder="1"/>
    <xf numFmtId="0" fontId="26" fillId="0" borderId="21" xfId="1" applyNumberFormat="1" applyFont="1" applyFill="1" applyBorder="1" applyAlignment="1"/>
    <xf numFmtId="168" fontId="26" fillId="0" borderId="7" xfId="64" applyNumberFormat="1" applyFont="1" applyBorder="1"/>
    <xf numFmtId="168" fontId="26" fillId="0" borderId="17" xfId="64" applyNumberFormat="1" applyFont="1" applyBorder="1"/>
    <xf numFmtId="168" fontId="26" fillId="0" borderId="19" xfId="64" applyNumberFormat="1" applyFont="1" applyBorder="1"/>
    <xf numFmtId="164" fontId="37" fillId="0" borderId="7" xfId="1" applyNumberFormat="1" applyFont="1" applyFill="1" applyBorder="1"/>
    <xf numFmtId="164" fontId="37" fillId="0" borderId="19" xfId="1" applyNumberFormat="1" applyFont="1" applyFill="1" applyBorder="1"/>
    <xf numFmtId="164" fontId="105" fillId="0" borderId="0" xfId="1" applyNumberFormat="1" applyFont="1" applyBorder="1"/>
    <xf numFmtId="164" fontId="105" fillId="0" borderId="20" xfId="1" applyNumberFormat="1" applyFont="1" applyBorder="1"/>
    <xf numFmtId="164" fontId="36" fillId="0" borderId="0" xfId="1" applyNumberFormat="1" applyFont="1" applyBorder="1"/>
    <xf numFmtId="164" fontId="36" fillId="0" borderId="20" xfId="1" applyNumberFormat="1" applyFont="1" applyBorder="1"/>
    <xf numFmtId="0" fontId="0" fillId="0" borderId="1" xfId="0" applyBorder="1"/>
    <xf numFmtId="0" fontId="0" fillId="0" borderId="0" xfId="0" applyBorder="1"/>
    <xf numFmtId="0" fontId="0" fillId="0" borderId="20" xfId="0" applyBorder="1"/>
    <xf numFmtId="37" fontId="19" fillId="0" borderId="0" xfId="1" applyNumberFormat="1" applyFont="1" applyFill="1" applyBorder="1" applyAlignment="1">
      <alignment horizontal="center"/>
    </xf>
    <xf numFmtId="168" fontId="26" fillId="21" borderId="1" xfId="64" applyNumberFormat="1" applyFont="1" applyFill="1" applyBorder="1"/>
    <xf numFmtId="9" fontId="26" fillId="0" borderId="1" xfId="64" applyFont="1" applyBorder="1"/>
    <xf numFmtId="209" fontId="42" fillId="0" borderId="1" xfId="64" applyNumberFormat="1" applyFont="1" applyBorder="1"/>
    <xf numFmtId="209" fontId="42" fillId="0" borderId="1" xfId="36" applyNumberFormat="1" applyFont="1" applyBorder="1"/>
    <xf numFmtId="209" fontId="32" fillId="0" borderId="1" xfId="64" applyNumberFormat="1" applyFont="1" applyBorder="1"/>
    <xf numFmtId="209" fontId="32" fillId="0" borderId="1" xfId="64" applyNumberFormat="1" applyFont="1" applyFill="1" applyBorder="1"/>
    <xf numFmtId="175" fontId="42" fillId="0" borderId="1" xfId="1" applyNumberFormat="1" applyFont="1" applyBorder="1"/>
    <xf numFmtId="168" fontId="26" fillId="15" borderId="23" xfId="64" applyNumberFormat="1" applyFont="1" applyFill="1" applyBorder="1"/>
    <xf numFmtId="209" fontId="107" fillId="0" borderId="1" xfId="64" applyNumberFormat="1" applyFont="1" applyBorder="1"/>
    <xf numFmtId="209" fontId="26" fillId="0" borderId="1" xfId="64" applyNumberFormat="1" applyFont="1" applyBorder="1"/>
    <xf numFmtId="209" fontId="102" fillId="0" borderId="1" xfId="1" applyNumberFormat="1" applyFont="1" applyBorder="1"/>
    <xf numFmtId="174" fontId="25" fillId="0" borderId="22" xfId="1" applyNumberFormat="1" applyFont="1" applyBorder="1" applyAlignment="1">
      <alignment horizontal="center"/>
    </xf>
    <xf numFmtId="168" fontId="32" fillId="15" borderId="7" xfId="64" applyNumberFormat="1" applyFont="1" applyFill="1" applyBorder="1"/>
    <xf numFmtId="168" fontId="32" fillId="15" borderId="17" xfId="64" applyNumberFormat="1" applyFont="1" applyFill="1" applyBorder="1"/>
    <xf numFmtId="168" fontId="26" fillId="15" borderId="17" xfId="64" applyNumberFormat="1" applyFont="1" applyFill="1" applyBorder="1"/>
    <xf numFmtId="168" fontId="26" fillId="15" borderId="7" xfId="64" applyNumberFormat="1" applyFont="1" applyFill="1" applyBorder="1"/>
    <xf numFmtId="209" fontId="42" fillId="0" borderId="17" xfId="1" applyNumberFormat="1" applyFont="1" applyBorder="1"/>
    <xf numFmtId="209" fontId="42" fillId="0" borderId="7" xfId="1" applyNumberFormat="1" applyFont="1" applyBorder="1"/>
    <xf numFmtId="0" fontId="37" fillId="0" borderId="17" xfId="1" applyFont="1" applyFill="1" applyBorder="1"/>
    <xf numFmtId="184" fontId="42" fillId="0" borderId="7" xfId="36" applyNumberFormat="1" applyFont="1" applyFill="1" applyBorder="1"/>
    <xf numFmtId="184" fontId="42" fillId="0" borderId="17" xfId="36" applyNumberFormat="1" applyFont="1" applyFill="1" applyBorder="1"/>
    <xf numFmtId="184" fontId="42" fillId="0" borderId="19" xfId="36" applyNumberFormat="1" applyFont="1" applyFill="1" applyBorder="1"/>
    <xf numFmtId="164" fontId="74" fillId="0" borderId="0" xfId="64" applyNumberFormat="1" applyFont="1" applyBorder="1"/>
    <xf numFmtId="177" fontId="104" fillId="0" borderId="0" xfId="36" applyNumberFormat="1" applyFont="1" applyFill="1" applyBorder="1"/>
    <xf numFmtId="43" fontId="72" fillId="0" borderId="0" xfId="36" applyNumberFormat="1" applyFont="1" applyBorder="1"/>
    <xf numFmtId="9" fontId="56" fillId="0" borderId="0" xfId="64" applyFont="1" applyBorder="1"/>
    <xf numFmtId="164" fontId="102" fillId="0" borderId="0" xfId="64" applyNumberFormat="1" applyFont="1" applyBorder="1"/>
    <xf numFmtId="164" fontId="37" fillId="0" borderId="0" xfId="64" applyNumberFormat="1" applyFont="1" applyBorder="1"/>
    <xf numFmtId="184" fontId="77" fillId="0" borderId="0" xfId="36" applyNumberFormat="1" applyFont="1" applyBorder="1"/>
    <xf numFmtId="184" fontId="78" fillId="0" borderId="0" xfId="36" applyNumberFormat="1" applyFont="1" applyBorder="1"/>
    <xf numFmtId="184" fontId="124" fillId="0" borderId="0" xfId="36" applyNumberFormat="1" applyFont="1" applyBorder="1"/>
    <xf numFmtId="168" fontId="115" fillId="0" borderId="0" xfId="64" applyNumberFormat="1" applyFont="1" applyBorder="1" applyAlignment="1">
      <alignment horizontal="right"/>
    </xf>
    <xf numFmtId="168" fontId="115" fillId="0" borderId="0" xfId="64" applyNumberFormat="1" applyFont="1" applyFill="1" applyBorder="1" applyAlignment="1">
      <alignment horizontal="right"/>
    </xf>
    <xf numFmtId="44" fontId="123" fillId="0" borderId="0" xfId="42" applyFont="1" applyBorder="1"/>
    <xf numFmtId="184" fontId="56" fillId="0" borderId="0" xfId="36" applyNumberFormat="1" applyFont="1" applyFill="1" applyBorder="1"/>
    <xf numFmtId="184" fontId="124" fillId="0" borderId="0" xfId="36" applyNumberFormat="1" applyFont="1" applyFill="1" applyBorder="1"/>
    <xf numFmtId="9" fontId="124" fillId="0" borderId="0" xfId="64" applyNumberFormat="1" applyFont="1" applyFill="1" applyBorder="1"/>
    <xf numFmtId="168" fontId="117" fillId="0" borderId="0" xfId="64" applyNumberFormat="1" applyFont="1" applyBorder="1" applyAlignment="1">
      <alignment horizontal="centerContinuous"/>
    </xf>
    <xf numFmtId="9" fontId="77" fillId="0" borderId="0" xfId="64" applyFont="1" applyFill="1" applyBorder="1"/>
    <xf numFmtId="164" fontId="71" fillId="0" borderId="1" xfId="1" applyNumberFormat="1" applyFont="1" applyFill="1" applyBorder="1"/>
    <xf numFmtId="177" fontId="133" fillId="0" borderId="1" xfId="36" applyNumberFormat="1" applyFont="1" applyBorder="1"/>
    <xf numFmtId="177" fontId="133" fillId="0" borderId="0" xfId="36" applyNumberFormat="1" applyFont="1" applyBorder="1"/>
    <xf numFmtId="177" fontId="97" fillId="0" borderId="0" xfId="36" applyNumberFormat="1" applyFont="1" applyBorder="1"/>
    <xf numFmtId="184" fontId="102" fillId="23" borderId="1" xfId="36" applyNumberFormat="1" applyFont="1" applyFill="1" applyBorder="1"/>
    <xf numFmtId="184" fontId="77" fillId="0" borderId="1" xfId="36" applyNumberFormat="1" applyFont="1" applyBorder="1"/>
    <xf numFmtId="184" fontId="78" fillId="0" borderId="1" xfId="36" applyNumberFormat="1" applyFont="1" applyBorder="1"/>
    <xf numFmtId="168" fontId="42" fillId="22" borderId="1" xfId="64" applyNumberFormat="1" applyFont="1" applyFill="1" applyBorder="1"/>
    <xf numFmtId="184" fontId="43" fillId="22" borderId="1" xfId="36" applyNumberFormat="1" applyFont="1" applyFill="1" applyBorder="1"/>
    <xf numFmtId="168" fontId="32" fillId="0" borderId="1" xfId="64" applyNumberFormat="1" applyFont="1" applyBorder="1" applyAlignment="1">
      <alignment horizontal="right"/>
    </xf>
    <xf numFmtId="168" fontId="32" fillId="0" borderId="0" xfId="64" applyNumberFormat="1" applyFont="1" applyBorder="1" applyAlignment="1">
      <alignment horizontal="right"/>
    </xf>
    <xf numFmtId="168" fontId="115" fillId="0" borderId="1" xfId="64" applyNumberFormat="1" applyFont="1" applyFill="1" applyBorder="1" applyAlignment="1">
      <alignment horizontal="right"/>
    </xf>
    <xf numFmtId="168" fontId="115" fillId="0" borderId="1" xfId="64" applyNumberFormat="1" applyFont="1" applyBorder="1" applyAlignment="1">
      <alignment horizontal="right"/>
    </xf>
    <xf numFmtId="44" fontId="123" fillId="0" borderId="1" xfId="42" applyFont="1" applyFill="1" applyBorder="1"/>
    <xf numFmtId="44" fontId="123" fillId="24" borderId="0" xfId="42" applyFont="1" applyFill="1" applyBorder="1"/>
    <xf numFmtId="168" fontId="42" fillId="20" borderId="1" xfId="64" applyNumberFormat="1" applyFont="1" applyFill="1" applyBorder="1"/>
    <xf numFmtId="168" fontId="26" fillId="20" borderId="1" xfId="64" applyNumberFormat="1" applyFont="1" applyFill="1" applyBorder="1"/>
    <xf numFmtId="164" fontId="71" fillId="20" borderId="1" xfId="1" applyNumberFormat="1" applyFont="1" applyFill="1" applyBorder="1"/>
    <xf numFmtId="164" fontId="42" fillId="20" borderId="1" xfId="1" applyNumberFormat="1" applyFont="1" applyFill="1" applyBorder="1"/>
    <xf numFmtId="168" fontId="32" fillId="20" borderId="1" xfId="64" applyNumberFormat="1" applyFont="1" applyFill="1" applyBorder="1"/>
    <xf numFmtId="44" fontId="123" fillId="20" borderId="1" xfId="42" applyFont="1" applyFill="1" applyBorder="1"/>
    <xf numFmtId="43" fontId="42" fillId="20" borderId="1" xfId="36" applyFont="1" applyFill="1" applyBorder="1"/>
    <xf numFmtId="43" fontId="32" fillId="20" borderId="1" xfId="36" applyFont="1" applyFill="1" applyBorder="1"/>
    <xf numFmtId="177" fontId="117" fillId="19" borderId="23" xfId="36" applyNumberFormat="1" applyFont="1" applyFill="1" applyBorder="1"/>
    <xf numFmtId="184" fontId="56" fillId="0" borderId="1" xfId="36" applyNumberFormat="1" applyFont="1" applyFill="1" applyBorder="1"/>
    <xf numFmtId="184" fontId="124" fillId="0" borderId="1" xfId="36" applyNumberFormat="1" applyFont="1" applyFill="1" applyBorder="1"/>
    <xf numFmtId="9" fontId="124" fillId="0" borderId="1" xfId="64" applyNumberFormat="1" applyFont="1" applyFill="1" applyBorder="1"/>
    <xf numFmtId="168" fontId="58" fillId="0" borderId="0" xfId="64" applyNumberFormat="1" applyFont="1" applyBorder="1" applyAlignment="1">
      <alignment horizontal="centerContinuous"/>
    </xf>
    <xf numFmtId="164" fontId="102" fillId="20" borderId="1" xfId="1" applyNumberFormat="1" applyFont="1" applyFill="1" applyBorder="1"/>
    <xf numFmtId="177" fontId="42" fillId="20" borderId="1" xfId="36" applyNumberFormat="1" applyFont="1" applyFill="1" applyBorder="1"/>
    <xf numFmtId="9" fontId="42" fillId="20" borderId="1" xfId="64" applyFont="1" applyFill="1" applyBorder="1"/>
    <xf numFmtId="9" fontId="77" fillId="20" borderId="1" xfId="64" applyFont="1" applyFill="1" applyBorder="1"/>
    <xf numFmtId="9" fontId="26" fillId="0" borderId="1" xfId="64" applyFont="1" applyFill="1" applyBorder="1"/>
    <xf numFmtId="168" fontId="100" fillId="0" borderId="1" xfId="64" applyNumberFormat="1" applyFont="1" applyFill="1" applyBorder="1"/>
    <xf numFmtId="164" fontId="43" fillId="0" borderId="1" xfId="1" applyNumberFormat="1" applyFont="1" applyFill="1" applyBorder="1"/>
    <xf numFmtId="0" fontId="37" fillId="0" borderId="7" xfId="36" applyNumberFormat="1" applyFont="1" applyFill="1" applyBorder="1" applyAlignment="1"/>
    <xf numFmtId="184" fontId="42" fillId="0" borderId="19" xfId="36" applyNumberFormat="1" applyFont="1" applyFill="1" applyBorder="1" applyAlignment="1">
      <alignment horizontal="left" indent="1"/>
    </xf>
    <xf numFmtId="184" fontId="102" fillId="23" borderId="0" xfId="36" applyNumberFormat="1" applyFont="1" applyFill="1" applyBorder="1"/>
    <xf numFmtId="184" fontId="77" fillId="0" borderId="0" xfId="36" applyNumberFormat="1" applyFont="1" applyFill="1" applyBorder="1"/>
    <xf numFmtId="184" fontId="78" fillId="0" borderId="0" xfId="36" applyNumberFormat="1" applyFont="1" applyFill="1" applyBorder="1"/>
    <xf numFmtId="168" fontId="32" fillId="22" borderId="0" xfId="64" applyNumberFormat="1" applyFont="1" applyFill="1" applyBorder="1"/>
    <xf numFmtId="184" fontId="32" fillId="0" borderId="0" xfId="36" applyNumberFormat="1" applyFont="1" applyBorder="1" applyAlignment="1">
      <alignment horizontal="right"/>
    </xf>
    <xf numFmtId="44" fontId="123" fillId="0" borderId="0" xfId="42" applyFont="1" applyFill="1" applyBorder="1"/>
    <xf numFmtId="164" fontId="73" fillId="0" borderId="0" xfId="64" applyNumberFormat="1" applyFont="1" applyFill="1" applyBorder="1"/>
    <xf numFmtId="164" fontId="72" fillId="0" borderId="0" xfId="64" applyNumberFormat="1" applyFont="1" applyFill="1" applyBorder="1"/>
    <xf numFmtId="9" fontId="98" fillId="0" borderId="0" xfId="64" applyFont="1" applyFill="1" applyBorder="1"/>
    <xf numFmtId="9" fontId="30" fillId="0" borderId="0" xfId="64" applyFont="1" applyFill="1" applyBorder="1"/>
    <xf numFmtId="168" fontId="101" fillId="0" borderId="0" xfId="64" applyNumberFormat="1" applyFont="1" applyFill="1" applyBorder="1"/>
    <xf numFmtId="184" fontId="56" fillId="0" borderId="0" xfId="36" applyNumberFormat="1" applyFont="1" applyBorder="1"/>
    <xf numFmtId="168" fontId="43" fillId="0" borderId="0" xfId="64" applyNumberFormat="1" applyFont="1" applyFill="1" applyBorder="1"/>
    <xf numFmtId="9" fontId="124" fillId="0" borderId="0" xfId="64" applyNumberFormat="1" applyFont="1" applyBorder="1"/>
    <xf numFmtId="168" fontId="26" fillId="0" borderId="17" xfId="64" applyNumberFormat="1" applyFont="1" applyFill="1" applyBorder="1"/>
    <xf numFmtId="164" fontId="0" fillId="0" borderId="0" xfId="1" applyNumberFormat="1" applyFont="1" applyBorder="1"/>
    <xf numFmtId="164" fontId="71" fillId="0" borderId="17" xfId="1" applyNumberFormat="1" applyFont="1" applyBorder="1"/>
    <xf numFmtId="164" fontId="71" fillId="0" borderId="19" xfId="1" applyNumberFormat="1" applyFont="1" applyBorder="1"/>
    <xf numFmtId="164" fontId="71" fillId="0" borderId="7" xfId="1" applyNumberFormat="1" applyFont="1" applyBorder="1"/>
    <xf numFmtId="164" fontId="71" fillId="0" borderId="17" xfId="1" applyNumberFormat="1" applyFont="1" applyFill="1" applyBorder="1"/>
    <xf numFmtId="164" fontId="71" fillId="0" borderId="19" xfId="1" applyNumberFormat="1" applyFont="1" applyFill="1" applyBorder="1"/>
    <xf numFmtId="164" fontId="71" fillId="0" borderId="7" xfId="1" applyNumberFormat="1" applyFont="1" applyFill="1" applyBorder="1"/>
    <xf numFmtId="164" fontId="73" fillId="0" borderId="2" xfId="64" applyNumberFormat="1" applyFont="1" applyFill="1" applyBorder="1"/>
    <xf numFmtId="164" fontId="72" fillId="0" borderId="2" xfId="64" applyNumberFormat="1" applyFont="1" applyFill="1" applyBorder="1"/>
    <xf numFmtId="164" fontId="71" fillId="0" borderId="2" xfId="1" applyNumberFormat="1" applyFont="1" applyBorder="1"/>
    <xf numFmtId="164" fontId="71" fillId="0" borderId="22" xfId="1" applyNumberFormat="1" applyFont="1" applyBorder="1"/>
    <xf numFmtId="164" fontId="71" fillId="0" borderId="21" xfId="1" applyNumberFormat="1" applyFont="1" applyBorder="1"/>
    <xf numFmtId="164" fontId="71" fillId="0" borderId="2" xfId="1" applyNumberFormat="1" applyFont="1" applyFill="1" applyBorder="1"/>
    <xf numFmtId="164" fontId="71" fillId="0" borderId="22" xfId="1" applyNumberFormat="1" applyFont="1" applyFill="1" applyBorder="1"/>
    <xf numFmtId="164" fontId="71" fillId="0" borderId="21" xfId="1" applyNumberFormat="1" applyFont="1" applyFill="1" applyBorder="1"/>
    <xf numFmtId="0" fontId="71" fillId="0" borderId="23" xfId="1" applyNumberFormat="1" applyFont="1" applyBorder="1" applyAlignment="1"/>
    <xf numFmtId="164" fontId="37" fillId="0" borderId="24" xfId="1" applyNumberFormat="1" applyFont="1" applyBorder="1"/>
    <xf numFmtId="164" fontId="71" fillId="0" borderId="6" xfId="1" applyNumberFormat="1" applyFont="1" applyBorder="1"/>
    <xf numFmtId="164" fontId="71" fillId="0" borderId="24" xfId="1" applyNumberFormat="1" applyFont="1" applyBorder="1"/>
    <xf numFmtId="164" fontId="71" fillId="0" borderId="6" xfId="1" applyNumberFormat="1" applyFont="1" applyFill="1" applyBorder="1"/>
    <xf numFmtId="164" fontId="71" fillId="0" borderId="24" xfId="1" applyNumberFormat="1" applyFont="1" applyFill="1" applyBorder="1"/>
    <xf numFmtId="164" fontId="37" fillId="0" borderId="24" xfId="1" applyNumberFormat="1" applyFont="1" applyFill="1" applyBorder="1"/>
    <xf numFmtId="164" fontId="37" fillId="0" borderId="23" xfId="1" applyNumberFormat="1" applyFont="1" applyFill="1" applyBorder="1"/>
    <xf numFmtId="164" fontId="37" fillId="0" borderId="23" xfId="1" applyNumberFormat="1" applyFont="1" applyBorder="1"/>
    <xf numFmtId="0" fontId="24" fillId="0" borderId="1" xfId="1" applyNumberFormat="1" applyFont="1" applyFill="1" applyBorder="1" applyAlignment="1"/>
    <xf numFmtId="0" fontId="0" fillId="0" borderId="0" xfId="0" applyFill="1"/>
    <xf numFmtId="0" fontId="25" fillId="0" borderId="23" xfId="1" applyNumberFormat="1" applyFont="1" applyBorder="1" applyAlignment="1"/>
    <xf numFmtId="0" fontId="25" fillId="0" borderId="6" xfId="1" applyFont="1" applyBorder="1"/>
    <xf numFmtId="44" fontId="123" fillId="24" borderId="20" xfId="42" applyFont="1" applyFill="1" applyBorder="1"/>
    <xf numFmtId="164" fontId="71" fillId="0" borderId="23" xfId="1" applyNumberFormat="1" applyFont="1" applyFill="1" applyBorder="1"/>
    <xf numFmtId="184" fontId="97" fillId="0" borderId="1" xfId="36" applyNumberFormat="1" applyFont="1" applyBorder="1"/>
    <xf numFmtId="209" fontId="125" fillId="0" borderId="1" xfId="1" applyNumberFormat="1" applyFont="1" applyFill="1" applyBorder="1" applyAlignment="1"/>
    <xf numFmtId="0" fontId="24" fillId="0" borderId="23" xfId="1" applyFont="1" applyBorder="1"/>
    <xf numFmtId="164" fontId="29" fillId="0" borderId="2" xfId="1" applyNumberFormat="1" applyFont="1" applyFill="1" applyBorder="1"/>
    <xf numFmtId="0" fontId="29" fillId="0" borderId="19" xfId="1" applyFont="1" applyFill="1" applyBorder="1"/>
    <xf numFmtId="168" fontId="134" fillId="0" borderId="0" xfId="64" applyNumberFormat="1" applyFont="1" applyBorder="1"/>
    <xf numFmtId="3" fontId="0" fillId="0" borderId="0" xfId="0" applyNumberFormat="1"/>
    <xf numFmtId="9" fontId="19" fillId="0" borderId="0" xfId="64" applyFont="1" applyBorder="1"/>
    <xf numFmtId="209" fontId="102" fillId="0" borderId="1" xfId="36" applyNumberFormat="1" applyFont="1" applyBorder="1"/>
    <xf numFmtId="44" fontId="123" fillId="24" borderId="1" xfId="42" applyFont="1" applyFill="1" applyBorder="1"/>
    <xf numFmtId="177" fontId="102" fillId="0" borderId="1" xfId="36" applyNumberFormat="1" applyFont="1" applyFill="1" applyBorder="1"/>
    <xf numFmtId="164" fontId="55" fillId="0" borderId="0" xfId="57" applyNumberFormat="1" applyFont="1" applyFill="1" applyBorder="1"/>
    <xf numFmtId="0" fontId="51" fillId="21" borderId="23" xfId="1" applyNumberFormat="1" applyFont="1" applyFill="1" applyBorder="1" applyAlignment="1"/>
    <xf numFmtId="168" fontId="24" fillId="0" borderId="0" xfId="64" applyNumberFormat="1" applyFont="1" applyFill="1" applyBorder="1"/>
    <xf numFmtId="43" fontId="56" fillId="0" borderId="1" xfId="36" applyFont="1" applyFill="1" applyBorder="1"/>
    <xf numFmtId="0" fontId="141" fillId="0" borderId="0" xfId="1" applyFont="1" applyFill="1"/>
    <xf numFmtId="164" fontId="142" fillId="0" borderId="0" xfId="1" applyNumberFormat="1" applyFont="1" applyFill="1"/>
    <xf numFmtId="177" fontId="141" fillId="0" borderId="0" xfId="36" applyNumberFormat="1" applyFont="1" applyFill="1"/>
    <xf numFmtId="177" fontId="143" fillId="0" borderId="0" xfId="36" applyNumberFormat="1" applyFont="1" applyFill="1"/>
    <xf numFmtId="177" fontId="142" fillId="0" borderId="0" xfId="36" applyNumberFormat="1" applyFont="1" applyFill="1"/>
    <xf numFmtId="168" fontId="144" fillId="0" borderId="0" xfId="64" applyNumberFormat="1" applyFont="1" applyFill="1"/>
    <xf numFmtId="9" fontId="141" fillId="0" borderId="0" xfId="64" applyFont="1" applyFill="1"/>
    <xf numFmtId="9" fontId="143" fillId="0" borderId="0" xfId="64" applyFont="1" applyFill="1"/>
    <xf numFmtId="9" fontId="142" fillId="0" borderId="0" xfId="64" applyFont="1" applyFill="1"/>
    <xf numFmtId="164" fontId="143" fillId="0" borderId="0" xfId="1" applyNumberFormat="1" applyFont="1" applyFill="1"/>
    <xf numFmtId="0" fontId="143" fillId="0" borderId="0" xfId="1" applyFont="1" applyFill="1"/>
    <xf numFmtId="0" fontId="142" fillId="0" borderId="0" xfId="1" applyFont="1" applyFill="1"/>
    <xf numFmtId="0" fontId="69" fillId="21" borderId="21" xfId="1" applyNumberFormat="1" applyFont="1" applyFill="1" applyBorder="1" applyAlignment="1"/>
    <xf numFmtId="0" fontId="112" fillId="21" borderId="22" xfId="1" applyFont="1" applyFill="1" applyBorder="1" applyAlignment="1">
      <alignment horizontal="left" indent="1"/>
    </xf>
    <xf numFmtId="0" fontId="97" fillId="0" borderId="7" xfId="1" applyNumberFormat="1" applyFont="1" applyFill="1" applyBorder="1" applyAlignment="1"/>
    <xf numFmtId="0" fontId="26" fillId="0" borderId="19" xfId="1" applyFont="1" applyFill="1" applyBorder="1" applyAlignment="1">
      <alignment horizontal="left" indent="1"/>
    </xf>
    <xf numFmtId="168" fontId="96" fillId="0" borderId="1" xfId="64" applyNumberFormat="1" applyFont="1" applyFill="1" applyBorder="1" applyAlignment="1">
      <alignment horizontal="centerContinuous"/>
    </xf>
    <xf numFmtId="177" fontId="37" fillId="0" borderId="20" xfId="1" applyNumberFormat="1" applyFont="1" applyFill="1" applyBorder="1"/>
    <xf numFmtId="177" fontId="37" fillId="0" borderId="0" xfId="1" applyNumberFormat="1" applyFont="1" applyFill="1" applyBorder="1"/>
    <xf numFmtId="177" fontId="96" fillId="0" borderId="7" xfId="36" applyNumberFormat="1" applyFont="1" applyFill="1" applyBorder="1"/>
    <xf numFmtId="177" fontId="96" fillId="0" borderId="17" xfId="36" applyNumberFormat="1" applyFont="1" applyFill="1" applyBorder="1"/>
    <xf numFmtId="177" fontId="96" fillId="0" borderId="19" xfId="36" applyNumberFormat="1" applyFont="1" applyFill="1" applyBorder="1"/>
    <xf numFmtId="168" fontId="32" fillId="0" borderId="22" xfId="64" applyNumberFormat="1" applyFont="1" applyBorder="1"/>
    <xf numFmtId="168" fontId="30" fillId="15" borderId="22" xfId="64" applyNumberFormat="1" applyFont="1" applyFill="1" applyBorder="1"/>
    <xf numFmtId="168" fontId="30" fillId="15" borderId="21" xfId="64" applyNumberFormat="1" applyFont="1" applyFill="1" applyBorder="1"/>
    <xf numFmtId="168" fontId="30" fillId="15" borderId="2" xfId="64" applyNumberFormat="1" applyFont="1" applyFill="1" applyBorder="1"/>
    <xf numFmtId="168" fontId="145" fillId="15" borderId="2" xfId="68" applyNumberFormat="1" applyFont="1" applyFill="1" applyBorder="1"/>
    <xf numFmtId="3" fontId="0" fillId="0" borderId="0" xfId="64" applyNumberFormat="1" applyFont="1"/>
    <xf numFmtId="164" fontId="0" fillId="0" borderId="0" xfId="0" applyNumberFormat="1"/>
    <xf numFmtId="4" fontId="0" fillId="0" borderId="0" xfId="0" applyNumberFormat="1"/>
    <xf numFmtId="184" fontId="42" fillId="0" borderId="7" xfId="36" applyNumberFormat="1" applyFont="1" applyBorder="1"/>
    <xf numFmtId="184" fontId="42" fillId="0" borderId="17" xfId="36" applyNumberFormat="1" applyFont="1" applyBorder="1"/>
    <xf numFmtId="184" fontId="42" fillId="0" borderId="19" xfId="36" applyNumberFormat="1" applyFont="1" applyBorder="1"/>
    <xf numFmtId="184" fontId="146" fillId="0" borderId="1" xfId="36" applyNumberFormat="1" applyFont="1" applyBorder="1"/>
    <xf numFmtId="184" fontId="146" fillId="0" borderId="0" xfId="36" applyNumberFormat="1" applyFont="1" applyBorder="1"/>
    <xf numFmtId="184" fontId="146" fillId="0" borderId="20" xfId="36" applyNumberFormat="1" applyFont="1" applyBorder="1"/>
    <xf numFmtId="168" fontId="56" fillId="0" borderId="0" xfId="64" applyNumberFormat="1" applyFont="1" applyBorder="1" applyAlignment="1">
      <alignment horizontal="center"/>
    </xf>
    <xf numFmtId="0" fontId="24" fillId="0" borderId="1" xfId="36" applyNumberFormat="1" applyFont="1" applyBorder="1" applyAlignment="1"/>
    <xf numFmtId="0" fontId="25" fillId="0" borderId="1" xfId="36" applyNumberFormat="1" applyFont="1" applyBorder="1" applyAlignment="1"/>
    <xf numFmtId="184" fontId="25" fillId="0" borderId="1" xfId="36" applyNumberFormat="1" applyFont="1" applyBorder="1"/>
    <xf numFmtId="184" fontId="25" fillId="0" borderId="0" xfId="36" applyNumberFormat="1" applyFont="1" applyBorder="1"/>
    <xf numFmtId="184" fontId="25" fillId="0" borderId="20" xfId="36" applyNumberFormat="1" applyFont="1" applyBorder="1"/>
    <xf numFmtId="164" fontId="25" fillId="0" borderId="1" xfId="2" applyNumberFormat="1" applyFont="1" applyBorder="1"/>
    <xf numFmtId="164" fontId="25" fillId="0" borderId="0" xfId="2" applyNumberFormat="1" applyFont="1" applyBorder="1"/>
    <xf numFmtId="184" fontId="124" fillId="0" borderId="1" xfId="36" applyNumberFormat="1" applyFont="1" applyBorder="1"/>
    <xf numFmtId="168" fontId="36" fillId="0" borderId="1" xfId="64" applyNumberFormat="1" applyFont="1" applyBorder="1"/>
    <xf numFmtId="164" fontId="55" fillId="0" borderId="20" xfId="57" applyNumberFormat="1" applyFont="1" applyFill="1" applyBorder="1"/>
    <xf numFmtId="168" fontId="24" fillId="0" borderId="20" xfId="64" applyNumberFormat="1" applyFont="1" applyFill="1" applyBorder="1"/>
    <xf numFmtId="194" fontId="0" fillId="0" borderId="0" xfId="0" applyNumberFormat="1"/>
    <xf numFmtId="168" fontId="24" fillId="0" borderId="0" xfId="1" applyNumberFormat="1" applyFont="1"/>
    <xf numFmtId="168" fontId="147" fillId="17" borderId="0" xfId="0" applyNumberFormat="1" applyFont="1" applyFill="1" applyBorder="1"/>
    <xf numFmtId="177" fontId="148" fillId="17" borderId="0" xfId="36" applyNumberFormat="1" applyFont="1" applyFill="1" applyBorder="1"/>
    <xf numFmtId="177" fontId="148" fillId="17" borderId="20" xfId="36" applyNumberFormat="1" applyFont="1" applyFill="1" applyBorder="1"/>
    <xf numFmtId="177" fontId="148" fillId="17" borderId="1" xfId="36" applyNumberFormat="1" applyFont="1" applyFill="1" applyBorder="1"/>
    <xf numFmtId="186" fontId="149" fillId="18" borderId="0" xfId="43" applyNumberFormat="1" applyFont="1" applyFill="1" applyBorder="1"/>
    <xf numFmtId="186" fontId="149" fillId="18" borderId="20" xfId="43" applyNumberFormat="1" applyFont="1" applyFill="1" applyBorder="1"/>
    <xf numFmtId="186" fontId="149" fillId="18" borderId="1" xfId="43" applyNumberFormat="1" applyFont="1" applyFill="1" applyBorder="1"/>
    <xf numFmtId="177" fontId="149" fillId="18" borderId="0" xfId="37" applyNumberFormat="1" applyFont="1" applyFill="1" applyBorder="1"/>
    <xf numFmtId="177" fontId="149" fillId="18" borderId="20" xfId="37" applyNumberFormat="1" applyFont="1" applyFill="1" applyBorder="1"/>
    <xf numFmtId="177" fontId="149" fillId="18" borderId="1" xfId="37" applyNumberFormat="1" applyFont="1" applyFill="1" applyBorder="1"/>
    <xf numFmtId="177" fontId="149" fillId="18" borderId="21" xfId="37" applyNumberFormat="1" applyFont="1" applyFill="1" applyBorder="1"/>
    <xf numFmtId="177" fontId="149" fillId="18" borderId="2" xfId="37" applyNumberFormat="1" applyFont="1" applyFill="1" applyBorder="1"/>
    <xf numFmtId="177" fontId="149" fillId="18" borderId="22" xfId="37" applyNumberFormat="1" applyFont="1" applyFill="1" applyBorder="1"/>
    <xf numFmtId="177" fontId="148" fillId="17" borderId="7" xfId="36" applyNumberFormat="1" applyFont="1" applyFill="1" applyBorder="1"/>
    <xf numFmtId="177" fontId="148" fillId="17" borderId="17" xfId="36" applyNumberFormat="1" applyFont="1" applyFill="1" applyBorder="1"/>
    <xf numFmtId="177" fontId="148" fillId="17" borderId="19" xfId="36" applyNumberFormat="1" applyFont="1" applyFill="1" applyBorder="1"/>
    <xf numFmtId="43" fontId="149" fillId="18" borderId="21" xfId="36" applyFont="1" applyFill="1" applyBorder="1"/>
    <xf numFmtId="43" fontId="149" fillId="18" borderId="2" xfId="36" applyFont="1" applyFill="1" applyBorder="1"/>
    <xf numFmtId="43" fontId="149" fillId="18" borderId="22" xfId="36" applyFont="1" applyFill="1" applyBorder="1"/>
    <xf numFmtId="9" fontId="150" fillId="18" borderId="0" xfId="37" applyNumberFormat="1" applyFont="1" applyFill="1" applyBorder="1"/>
    <xf numFmtId="9" fontId="150" fillId="18" borderId="20" xfId="37" applyNumberFormat="1" applyFont="1" applyFill="1" applyBorder="1"/>
    <xf numFmtId="9" fontId="149" fillId="18" borderId="0" xfId="37" applyNumberFormat="1" applyFont="1" applyFill="1" applyBorder="1"/>
    <xf numFmtId="9" fontId="149" fillId="18" borderId="20" xfId="37" applyNumberFormat="1" applyFont="1" applyFill="1" applyBorder="1"/>
    <xf numFmtId="9" fontId="150" fillId="18" borderId="0" xfId="64" applyFont="1" applyFill="1" applyBorder="1"/>
    <xf numFmtId="9" fontId="150" fillId="18" borderId="1" xfId="64" applyFont="1" applyFill="1" applyBorder="1"/>
    <xf numFmtId="177" fontId="149" fillId="18" borderId="1" xfId="36" applyNumberFormat="1" applyFont="1" applyFill="1" applyBorder="1"/>
    <xf numFmtId="177" fontId="149" fillId="18" borderId="0" xfId="36" applyNumberFormat="1" applyFont="1" applyFill="1" applyBorder="1"/>
    <xf numFmtId="177" fontId="151" fillId="18" borderId="1" xfId="36" applyNumberFormat="1" applyFont="1" applyFill="1" applyBorder="1"/>
    <xf numFmtId="177" fontId="151" fillId="18" borderId="0" xfId="36" applyNumberFormat="1" applyFont="1" applyFill="1" applyBorder="1"/>
    <xf numFmtId="168" fontId="150" fillId="18" borderId="0" xfId="37" applyNumberFormat="1" applyFont="1" applyFill="1" applyBorder="1"/>
    <xf numFmtId="168" fontId="150" fillId="18" borderId="20" xfId="37" applyNumberFormat="1" applyFont="1" applyFill="1" applyBorder="1"/>
    <xf numFmtId="177" fontId="149" fillId="18" borderId="0" xfId="37" applyNumberFormat="1" applyFont="1" applyFill="1" applyBorder="1" applyAlignment="1"/>
    <xf numFmtId="177" fontId="149" fillId="18" borderId="20" xfId="37" applyNumberFormat="1" applyFont="1" applyFill="1" applyBorder="1" applyAlignment="1"/>
    <xf numFmtId="180" fontId="29" fillId="0" borderId="0" xfId="1" applyNumberFormat="1" applyFont="1" applyFill="1" applyBorder="1" applyAlignment="1"/>
    <xf numFmtId="180" fontId="29" fillId="0" borderId="20" xfId="1" applyNumberFormat="1" applyFont="1" applyFill="1" applyBorder="1" applyAlignment="1"/>
    <xf numFmtId="0" fontId="51" fillId="19" borderId="23" xfId="1" applyNumberFormat="1" applyFont="1" applyFill="1" applyBorder="1" applyAlignment="1"/>
    <xf numFmtId="1" fontId="27" fillId="0" borderId="20" xfId="58" applyNumberFormat="1" applyFont="1" applyFill="1" applyBorder="1" applyAlignment="1">
      <alignment horizontal="right"/>
    </xf>
    <xf numFmtId="9" fontId="39" fillId="0" borderId="0" xfId="64" applyNumberFormat="1" applyFont="1" applyFill="1" applyBorder="1" applyAlignment="1">
      <alignment horizontal="right"/>
    </xf>
    <xf numFmtId="9" fontId="39" fillId="0" borderId="0" xfId="64" applyFont="1" applyFill="1" applyBorder="1" applyAlignment="1">
      <alignment horizontal="right"/>
    </xf>
    <xf numFmtId="9" fontId="39" fillId="0" borderId="20" xfId="64" applyNumberFormat="1" applyFont="1" applyFill="1" applyBorder="1" applyAlignment="1">
      <alignment horizontal="right"/>
    </xf>
    <xf numFmtId="209" fontId="24" fillId="0" borderId="0" xfId="2" applyNumberFormat="1" applyFont="1" applyFill="1" applyBorder="1" applyAlignment="1"/>
    <xf numFmtId="209" fontId="24" fillId="0" borderId="20" xfId="2" applyNumberFormat="1" applyFont="1" applyFill="1" applyBorder="1" applyAlignment="1"/>
    <xf numFmtId="184" fontId="25" fillId="0" borderId="0" xfId="1" applyNumberFormat="1" applyFont="1" applyFill="1" applyBorder="1" applyAlignment="1"/>
    <xf numFmtId="184" fontId="26" fillId="0" borderId="0" xfId="36" applyNumberFormat="1" applyFont="1" applyFill="1" applyBorder="1" applyAlignment="1"/>
    <xf numFmtId="184" fontId="26" fillId="0" borderId="20" xfId="36" applyNumberFormat="1" applyFont="1" applyFill="1" applyBorder="1" applyAlignment="1"/>
    <xf numFmtId="184" fontId="25" fillId="0" borderId="20" xfId="1" applyNumberFormat="1" applyFont="1" applyFill="1" applyBorder="1" applyAlignment="1"/>
    <xf numFmtId="168" fontId="44" fillId="0" borderId="0" xfId="64" applyNumberFormat="1" applyFont="1" applyFill="1" applyBorder="1" applyAlignment="1">
      <alignment horizontal="right"/>
    </xf>
    <xf numFmtId="168" fontId="44" fillId="0" borderId="20" xfId="64" applyNumberFormat="1" applyFont="1" applyFill="1" applyBorder="1" applyAlignment="1">
      <alignment horizontal="right"/>
    </xf>
    <xf numFmtId="209" fontId="152" fillId="0" borderId="0" xfId="1" applyNumberFormat="1" applyFont="1" applyFill="1" applyBorder="1" applyAlignment="1"/>
    <xf numFmtId="164" fontId="24" fillId="0" borderId="17" xfId="1" applyNumberFormat="1" applyFont="1" applyBorder="1"/>
    <xf numFmtId="0" fontId="25" fillId="0" borderId="23" xfId="1" applyFont="1" applyBorder="1"/>
    <xf numFmtId="0" fontId="24" fillId="0" borderId="6" xfId="1" applyFont="1" applyBorder="1"/>
    <xf numFmtId="164" fontId="24" fillId="0" borderId="6" xfId="1" applyNumberFormat="1" applyFont="1" applyBorder="1"/>
    <xf numFmtId="0" fontId="25" fillId="15" borderId="23" xfId="1" applyFont="1" applyFill="1" applyBorder="1"/>
    <xf numFmtId="164" fontId="24" fillId="0" borderId="23" xfId="1" applyNumberFormat="1" applyFont="1" applyBorder="1"/>
    <xf numFmtId="164" fontId="24" fillId="0" borderId="7" xfId="1" applyNumberFormat="1" applyFont="1" applyBorder="1"/>
    <xf numFmtId="0" fontId="24" fillId="0" borderId="24" xfId="1" applyFont="1" applyBorder="1"/>
    <xf numFmtId="37" fontId="24" fillId="0" borderId="6" xfId="1" applyNumberFormat="1" applyFont="1" applyBorder="1" applyAlignment="1">
      <alignment horizontal="center"/>
    </xf>
    <xf numFmtId="37" fontId="24" fillId="0" borderId="24" xfId="1" applyNumberFormat="1" applyFont="1" applyBorder="1" applyAlignment="1">
      <alignment horizontal="center"/>
    </xf>
    <xf numFmtId="37" fontId="24" fillId="0" borderId="0" xfId="1" applyNumberFormat="1" applyFont="1" applyBorder="1" applyAlignment="1">
      <alignment horizontal="center"/>
    </xf>
    <xf numFmtId="37" fontId="24" fillId="0" borderId="20" xfId="1" applyNumberFormat="1" applyFont="1" applyBorder="1" applyAlignment="1">
      <alignment horizontal="center"/>
    </xf>
    <xf numFmtId="37" fontId="24" fillId="0" borderId="1" xfId="1" applyNumberFormat="1" applyFont="1" applyBorder="1" applyAlignment="1">
      <alignment horizontal="center"/>
    </xf>
    <xf numFmtId="37" fontId="24" fillId="0" borderId="17" xfId="1" applyNumberFormat="1" applyFont="1" applyBorder="1" applyAlignment="1">
      <alignment horizontal="center"/>
    </xf>
    <xf numFmtId="37" fontId="24" fillId="0" borderId="19" xfId="1" applyNumberFormat="1" applyFont="1" applyBorder="1" applyAlignment="1">
      <alignment horizontal="center"/>
    </xf>
    <xf numFmtId="37" fontId="24" fillId="0" borderId="2" xfId="1" applyNumberFormat="1" applyFont="1" applyBorder="1" applyAlignment="1">
      <alignment horizontal="center"/>
    </xf>
    <xf numFmtId="37" fontId="24" fillId="0" borderId="22" xfId="1" applyNumberFormat="1" applyFont="1" applyBorder="1" applyAlignment="1">
      <alignment horizontal="center"/>
    </xf>
    <xf numFmtId="37" fontId="24" fillId="0" borderId="21" xfId="1" applyNumberFormat="1" applyFont="1" applyBorder="1" applyAlignment="1">
      <alignment horizontal="center"/>
    </xf>
    <xf numFmtId="9" fontId="39" fillId="0" borderId="1" xfId="64" applyFont="1" applyFill="1" applyBorder="1" applyAlignment="1">
      <alignment horizontal="right"/>
    </xf>
    <xf numFmtId="182" fontId="24" fillId="0" borderId="0" xfId="1" applyNumberFormat="1" applyFont="1" applyFill="1" applyBorder="1"/>
    <xf numFmtId="182" fontId="24" fillId="0" borderId="0" xfId="0" applyNumberFormat="1" applyFont="1" applyBorder="1"/>
    <xf numFmtId="0" fontId="24" fillId="0" borderId="0" xfId="0" applyFont="1"/>
    <xf numFmtId="0" fontId="24" fillId="0" borderId="20" xfId="0" applyFont="1" applyBorder="1"/>
    <xf numFmtId="0" fontId="22" fillId="0" borderId="0" xfId="0" applyFont="1"/>
    <xf numFmtId="0" fontId="24" fillId="0" borderId="0" xfId="0" applyFont="1" applyBorder="1"/>
    <xf numFmtId="168" fontId="44" fillId="0" borderId="1" xfId="64" applyNumberFormat="1" applyFont="1" applyFill="1" applyBorder="1" applyAlignment="1">
      <alignment horizontal="right"/>
    </xf>
    <xf numFmtId="0" fontId="24" fillId="0" borderId="1" xfId="0" applyFont="1" applyBorder="1"/>
    <xf numFmtId="209" fontId="24" fillId="0" borderId="1" xfId="2" applyNumberFormat="1" applyFont="1" applyFill="1" applyBorder="1" applyAlignment="1"/>
    <xf numFmtId="168" fontId="24" fillId="0" borderId="25" xfId="64" applyNumberFormat="1" applyFont="1" applyBorder="1"/>
    <xf numFmtId="44" fontId="24" fillId="0" borderId="0" xfId="42" applyFont="1" applyFill="1" applyBorder="1"/>
    <xf numFmtId="0" fontId="0" fillId="0" borderId="0" xfId="0"/>
    <xf numFmtId="209" fontId="56" fillId="0" borderId="0" xfId="1" applyNumberFormat="1" applyFont="1" applyFill="1" applyBorder="1"/>
    <xf numFmtId="209" fontId="24" fillId="0" borderId="0" xfId="1" applyNumberFormat="1" applyFont="1" applyFill="1" applyBorder="1"/>
    <xf numFmtId="164" fontId="58" fillId="0" borderId="7" xfId="1" applyNumberFormat="1" applyFont="1" applyFill="1" applyBorder="1"/>
    <xf numFmtId="164" fontId="58" fillId="0" borderId="17" xfId="1" applyNumberFormat="1" applyFont="1" applyFill="1" applyBorder="1"/>
    <xf numFmtId="164" fontId="58" fillId="0" borderId="19" xfId="1" applyNumberFormat="1" applyFont="1" applyFill="1" applyBorder="1"/>
    <xf numFmtId="3" fontId="24" fillId="0" borderId="6" xfId="1" applyNumberFormat="1" applyFont="1" applyBorder="1"/>
    <xf numFmtId="3" fontId="24" fillId="0" borderId="6" xfId="1" applyNumberFormat="1" applyFont="1" applyFill="1" applyBorder="1" applyAlignment="1"/>
    <xf numFmtId="3" fontId="24" fillId="0" borderId="0" xfId="1" applyNumberFormat="1" applyFont="1" applyBorder="1"/>
    <xf numFmtId="3" fontId="24" fillId="0" borderId="2" xfId="1" applyNumberFormat="1" applyFont="1" applyFill="1" applyBorder="1" applyAlignment="1"/>
    <xf numFmtId="184" fontId="24" fillId="0" borderId="1" xfId="36" applyNumberFormat="1" applyFont="1" applyFill="1" applyBorder="1"/>
    <xf numFmtId="168" fontId="30" fillId="0" borderId="21" xfId="64" applyNumberFormat="1" applyFont="1" applyFill="1" applyBorder="1"/>
    <xf numFmtId="1" fontId="27" fillId="15" borderId="23" xfId="58" applyNumberFormat="1" applyFont="1" applyFill="1" applyBorder="1" applyAlignment="1">
      <alignment horizontal="right"/>
    </xf>
    <xf numFmtId="1" fontId="27" fillId="15" borderId="24" xfId="58" applyNumberFormat="1" applyFont="1" applyFill="1" applyBorder="1" applyAlignment="1">
      <alignment horizontal="right"/>
    </xf>
    <xf numFmtId="168" fontId="26" fillId="0" borderId="20" xfId="64" applyNumberFormat="1" applyFont="1" applyFill="1" applyBorder="1" applyAlignment="1"/>
    <xf numFmtId="168" fontId="30" fillId="0" borderId="20" xfId="64" applyNumberFormat="1" applyFont="1" applyFill="1" applyBorder="1" applyAlignment="1"/>
    <xf numFmtId="1" fontId="27" fillId="0" borderId="0" xfId="58" applyNumberFormat="1" applyFont="1" applyFill="1" applyBorder="1" applyAlignment="1">
      <alignment horizontal="right"/>
    </xf>
    <xf numFmtId="1" fontId="27" fillId="0" borderId="1" xfId="58" applyNumberFormat="1" applyFont="1" applyFill="1" applyBorder="1" applyAlignment="1">
      <alignment horizontal="right"/>
    </xf>
    <xf numFmtId="165" fontId="27" fillId="15" borderId="7" xfId="59" applyNumberFormat="1" applyFont="1" applyFill="1" applyBorder="1" applyAlignment="1">
      <alignment horizontal="right"/>
    </xf>
    <xf numFmtId="165" fontId="27" fillId="15" borderId="17" xfId="59" applyNumberFormat="1" applyFont="1" applyFill="1" applyBorder="1" applyAlignment="1">
      <alignment horizontal="right"/>
    </xf>
    <xf numFmtId="165" fontId="27" fillId="15" borderId="19" xfId="59" applyNumberFormat="1" applyFont="1" applyFill="1" applyBorder="1" applyAlignment="1">
      <alignment horizontal="right"/>
    </xf>
    <xf numFmtId="168" fontId="24" fillId="0" borderId="1" xfId="64" applyNumberFormat="1" applyFont="1" applyFill="1" applyBorder="1" applyAlignment="1"/>
    <xf numFmtId="168" fontId="30" fillId="0" borderId="1" xfId="64" applyNumberFormat="1" applyFont="1" applyFill="1" applyBorder="1" applyAlignment="1"/>
    <xf numFmtId="168" fontId="24" fillId="0" borderId="0" xfId="64" applyNumberFormat="1" applyFont="1" applyFill="1" applyBorder="1"/>
    <xf numFmtId="168" fontId="19" fillId="0" borderId="0" xfId="64" applyNumberFormat="1" applyFont="1"/>
    <xf numFmtId="189" fontId="27" fillId="0" borderId="0" xfId="42" applyNumberFormat="1" applyFont="1" applyFill="1" applyBorder="1" applyAlignment="1">
      <alignment horizontal="right"/>
    </xf>
    <xf numFmtId="9" fontId="24" fillId="0" borderId="0" xfId="64" applyFont="1"/>
    <xf numFmtId="1" fontId="27" fillId="15" borderId="6" xfId="58" applyNumberFormat="1" applyFont="1" applyFill="1" applyBorder="1" applyAlignment="1">
      <alignment horizontal="right"/>
    </xf>
    <xf numFmtId="168" fontId="26" fillId="0" borderId="0" xfId="64" applyNumberFormat="1" applyFont="1" applyFill="1" applyBorder="1" applyAlignment="1"/>
    <xf numFmtId="168" fontId="30" fillId="0" borderId="0" xfId="64" applyNumberFormat="1" applyFont="1" applyFill="1" applyBorder="1" applyAlignment="1"/>
    <xf numFmtId="168" fontId="26" fillId="0" borderId="0" xfId="64" applyNumberFormat="1" applyFont="1" applyFill="1" applyBorder="1"/>
    <xf numFmtId="177" fontId="24" fillId="0" borderId="0" xfId="36" applyNumberFormat="1" applyFont="1" applyBorder="1"/>
    <xf numFmtId="168" fontId="26" fillId="0" borderId="2" xfId="64" applyNumberFormat="1" applyFont="1" applyFill="1" applyBorder="1"/>
    <xf numFmtId="168" fontId="26" fillId="0" borderId="2" xfId="64" applyNumberFormat="1" applyFont="1" applyBorder="1"/>
    <xf numFmtId="168" fontId="26" fillId="0" borderId="22" xfId="64" applyNumberFormat="1" applyFont="1" applyBorder="1"/>
    <xf numFmtId="168" fontId="26" fillId="0" borderId="0" xfId="64" applyNumberFormat="1" applyFont="1"/>
    <xf numFmtId="168" fontId="26" fillId="0" borderId="21" xfId="64" applyNumberFormat="1" applyFont="1" applyBorder="1"/>
    <xf numFmtId="177" fontId="25" fillId="0" borderId="2" xfId="36" applyNumberFormat="1" applyFont="1" applyBorder="1"/>
    <xf numFmtId="1" fontId="27" fillId="15" borderId="17" xfId="58" applyNumberFormat="1" applyFont="1" applyFill="1" applyBorder="1" applyAlignment="1">
      <alignment horizontal="right"/>
    </xf>
    <xf numFmtId="168" fontId="26" fillId="0" borderId="1" xfId="64" applyNumberFormat="1" applyFont="1" applyBorder="1"/>
    <xf numFmtId="168" fontId="26" fillId="0" borderId="0" xfId="64" applyNumberFormat="1" applyFont="1" applyBorder="1"/>
    <xf numFmtId="168" fontId="26" fillId="0" borderId="20" xfId="64" applyNumberFormat="1" applyFont="1" applyBorder="1"/>
    <xf numFmtId="168" fontId="30" fillId="0" borderId="0" xfId="64" applyNumberFormat="1" applyFont="1" applyFill="1" applyBorder="1"/>
    <xf numFmtId="168" fontId="30" fillId="0" borderId="20" xfId="64" applyNumberFormat="1" applyFont="1" applyFill="1" applyBorder="1"/>
    <xf numFmtId="177" fontId="37" fillId="0" borderId="1" xfId="1" applyNumberFormat="1" applyFont="1" applyFill="1" applyBorder="1"/>
    <xf numFmtId="174" fontId="25" fillId="0" borderId="6" xfId="1" applyNumberFormat="1" applyFont="1" applyBorder="1" applyAlignment="1">
      <alignment horizontal="center"/>
    </xf>
    <xf numFmtId="9" fontId="39" fillId="0" borderId="1" xfId="64" applyNumberFormat="1" applyFont="1" applyFill="1" applyBorder="1" applyAlignment="1">
      <alignment horizontal="right"/>
    </xf>
    <xf numFmtId="42" fontId="24" fillId="0" borderId="0" xfId="1" applyNumberFormat="1" applyFont="1" applyFill="1" applyBorder="1"/>
    <xf numFmtId="209" fontId="55" fillId="0" borderId="1" xfId="91" applyNumberFormat="1" applyFont="1" applyFill="1" applyBorder="1" applyAlignment="1"/>
    <xf numFmtId="209" fontId="55" fillId="0" borderId="0" xfId="91" applyNumberFormat="1" applyFont="1" applyFill="1" applyBorder="1" applyAlignment="1"/>
    <xf numFmtId="168" fontId="26" fillId="0" borderId="20" xfId="64" applyNumberFormat="1" applyFont="1" applyFill="1" applyBorder="1" applyAlignment="1"/>
    <xf numFmtId="168" fontId="26" fillId="0" borderId="1" xfId="64" applyNumberFormat="1" applyFont="1" applyFill="1" applyBorder="1" applyAlignment="1"/>
    <xf numFmtId="209" fontId="29" fillId="0" borderId="1" xfId="91" applyNumberFormat="1" applyFont="1" applyFill="1" applyBorder="1" applyAlignment="1"/>
    <xf numFmtId="209" fontId="29" fillId="0" borderId="0" xfId="91" applyNumberFormat="1" applyFont="1" applyFill="1" applyBorder="1" applyAlignment="1"/>
    <xf numFmtId="168" fontId="24" fillId="0" borderId="0" xfId="64" applyNumberFormat="1" applyFont="1" applyFill="1" applyBorder="1" applyAlignment="1"/>
    <xf numFmtId="184" fontId="26" fillId="0" borderId="1" xfId="36" applyNumberFormat="1" applyFont="1" applyFill="1" applyBorder="1" applyAlignment="1"/>
    <xf numFmtId="182" fontId="24" fillId="0" borderId="25" xfId="1" applyNumberFormat="1" applyFont="1" applyBorder="1"/>
    <xf numFmtId="0" fontId="39" fillId="0" borderId="0" xfId="64" applyNumberFormat="1" applyFont="1" applyFill="1" applyBorder="1" applyAlignment="1">
      <alignment horizontal="right"/>
    </xf>
    <xf numFmtId="37" fontId="24" fillId="0" borderId="17" xfId="1" applyNumberFormat="1" applyFont="1" applyFill="1" applyBorder="1"/>
    <xf numFmtId="209" fontId="56" fillId="0" borderId="0" xfId="1" applyNumberFormat="1" applyFont="1" applyFill="1" applyBorder="1" applyAlignment="1">
      <alignment horizontal="left" indent="1"/>
    </xf>
    <xf numFmtId="209" fontId="25" fillId="0" borderId="0" xfId="1" applyNumberFormat="1" applyFont="1" applyFill="1" applyBorder="1"/>
    <xf numFmtId="0" fontId="26" fillId="0" borderId="0" xfId="1" applyFont="1" applyFill="1" applyBorder="1" applyAlignment="1">
      <alignment horizontal="left" indent="1"/>
    </xf>
    <xf numFmtId="0" fontId="25" fillId="0" borderId="0" xfId="1" applyFont="1" applyFill="1" applyBorder="1"/>
    <xf numFmtId="0" fontId="24" fillId="0" borderId="0" xfId="1" applyFont="1" applyFill="1" applyBorder="1" applyAlignment="1">
      <alignment horizontal="left" indent="2"/>
    </xf>
    <xf numFmtId="209" fontId="24" fillId="0" borderId="0" xfId="1" applyNumberFormat="1" applyFont="1" applyFill="1" applyBorder="1" applyAlignment="1">
      <alignment horizontal="left" indent="1"/>
    </xf>
    <xf numFmtId="165" fontId="33" fillId="15" borderId="7" xfId="59" applyNumberFormat="1" applyFont="1" applyFill="1" applyBorder="1" applyAlignment="1">
      <alignment horizontal="right"/>
    </xf>
    <xf numFmtId="165" fontId="25" fillId="15" borderId="17" xfId="59" applyNumberFormat="1" applyFont="1" applyFill="1" applyBorder="1" applyAlignment="1">
      <alignment horizontal="right"/>
    </xf>
    <xf numFmtId="165" fontId="25" fillId="15" borderId="19" xfId="59" applyNumberFormat="1" applyFont="1" applyFill="1" applyBorder="1" applyAlignment="1">
      <alignment horizontal="right"/>
    </xf>
    <xf numFmtId="165" fontId="25" fillId="15" borderId="7" xfId="59" applyNumberFormat="1" applyFont="1" applyFill="1" applyBorder="1" applyAlignment="1">
      <alignment horizontal="right"/>
    </xf>
    <xf numFmtId="1" fontId="27" fillId="15" borderId="0" xfId="58" applyNumberFormat="1" applyFont="1" applyFill="1" applyBorder="1" applyAlignment="1">
      <alignment horizontal="right"/>
    </xf>
    <xf numFmtId="42" fontId="24" fillId="0" borderId="1" xfId="1" applyNumberFormat="1" applyFont="1" applyFill="1" applyBorder="1"/>
    <xf numFmtId="209" fontId="198" fillId="0" borderId="1" xfId="1" applyNumberFormat="1" applyFont="1" applyFill="1" applyBorder="1" applyAlignment="1"/>
    <xf numFmtId="209" fontId="198" fillId="0" borderId="0" xfId="1" applyNumberFormat="1" applyFont="1" applyFill="1" applyBorder="1" applyAlignment="1"/>
    <xf numFmtId="209" fontId="198" fillId="0" borderId="20" xfId="1" applyNumberFormat="1" applyFont="1" applyFill="1" applyBorder="1" applyAlignment="1"/>
    <xf numFmtId="180" fontId="31" fillId="0" borderId="20" xfId="1" applyNumberFormat="1" applyFont="1" applyFill="1" applyBorder="1"/>
    <xf numFmtId="184" fontId="26" fillId="0" borderId="22" xfId="36" applyNumberFormat="1" applyFont="1" applyFill="1" applyBorder="1"/>
    <xf numFmtId="164" fontId="24" fillId="0" borderId="1" xfId="57" applyNumberFormat="1" applyFont="1" applyFill="1" applyBorder="1"/>
    <xf numFmtId="164" fontId="56" fillId="0" borderId="1" xfId="57" applyNumberFormat="1" applyFont="1" applyFill="1" applyBorder="1"/>
    <xf numFmtId="168" fontId="24" fillId="18" borderId="1" xfId="64" applyNumberFormat="1" applyFont="1" applyFill="1" applyBorder="1"/>
    <xf numFmtId="221" fontId="24" fillId="0" borderId="25" xfId="1" applyNumberFormat="1" applyFont="1" applyBorder="1"/>
    <xf numFmtId="164" fontId="36" fillId="0" borderId="19" xfId="1" applyNumberFormat="1" applyFont="1" applyBorder="1"/>
    <xf numFmtId="221" fontId="35" fillId="0" borderId="2" xfId="1" applyNumberFormat="1" applyFont="1" applyFill="1" applyBorder="1"/>
    <xf numFmtId="221" fontId="39" fillId="18" borderId="2" xfId="57" applyNumberFormat="1" applyFont="1" applyFill="1" applyBorder="1"/>
    <xf numFmtId="177" fontId="25" fillId="0" borderId="23" xfId="36" applyNumberFormat="1" applyFont="1" applyBorder="1"/>
    <xf numFmtId="164" fontId="36" fillId="0" borderId="7" xfId="1" applyNumberFormat="1" applyFont="1" applyBorder="1"/>
    <xf numFmtId="221" fontId="149" fillId="18" borderId="21" xfId="36" applyNumberFormat="1" applyFont="1" applyFill="1" applyBorder="1"/>
    <xf numFmtId="168" fontId="134" fillId="0" borderId="1" xfId="64" applyNumberFormat="1" applyFont="1" applyBorder="1"/>
    <xf numFmtId="221" fontId="24" fillId="0" borderId="1" xfId="1" applyNumberFormat="1" applyFont="1" applyBorder="1"/>
    <xf numFmtId="9" fontId="150" fillId="18" borderId="1" xfId="37" applyNumberFormat="1" applyFont="1" applyFill="1" applyBorder="1"/>
    <xf numFmtId="221" fontId="149" fillId="18" borderId="2" xfId="36" applyNumberFormat="1" applyFont="1" applyFill="1" applyBorder="1"/>
    <xf numFmtId="221" fontId="149" fillId="18" borderId="22" xfId="36" applyNumberFormat="1" applyFont="1" applyFill="1" applyBorder="1"/>
    <xf numFmtId="182" fontId="0" fillId="0" borderId="0" xfId="0" applyNumberFormat="1" applyBorder="1"/>
    <xf numFmtId="164" fontId="36" fillId="0" borderId="17" xfId="1" applyNumberFormat="1" applyFont="1" applyBorder="1"/>
    <xf numFmtId="168" fontId="24" fillId="0" borderId="0" xfId="64" applyNumberFormat="1" applyFont="1"/>
    <xf numFmtId="168" fontId="43" fillId="0" borderId="2" xfId="73" applyNumberFormat="1" applyFont="1" applyFill="1" applyBorder="1"/>
    <xf numFmtId="168" fontId="145" fillId="0" borderId="2" xfId="68" applyNumberFormat="1" applyFont="1" applyFill="1" applyBorder="1"/>
    <xf numFmtId="168" fontId="26" fillId="0" borderId="0" xfId="64" applyNumberFormat="1" applyFont="1" applyFill="1" applyBorder="1" applyAlignment="1"/>
    <xf numFmtId="168" fontId="26" fillId="0" borderId="0" xfId="64" applyNumberFormat="1" applyFont="1" applyFill="1" applyBorder="1"/>
    <xf numFmtId="168" fontId="30" fillId="0" borderId="0" xfId="64" applyNumberFormat="1" applyFont="1" applyFill="1" applyBorder="1"/>
    <xf numFmtId="168" fontId="26" fillId="0" borderId="0" xfId="64" applyNumberFormat="1" applyFont="1" applyBorder="1"/>
    <xf numFmtId="168" fontId="26" fillId="0" borderId="2" xfId="64" applyNumberFormat="1" applyFont="1" applyFill="1" applyBorder="1"/>
    <xf numFmtId="168" fontId="26" fillId="0" borderId="2" xfId="64" applyNumberFormat="1" applyFont="1" applyBorder="1"/>
    <xf numFmtId="168" fontId="30" fillId="0" borderId="1" xfId="64" applyNumberFormat="1" applyFont="1" applyBorder="1"/>
    <xf numFmtId="168" fontId="30" fillId="0" borderId="0" xfId="64" applyNumberFormat="1" applyFont="1" applyBorder="1"/>
    <xf numFmtId="168" fontId="30" fillId="0" borderId="2" xfId="64" applyNumberFormat="1" applyFont="1" applyFill="1" applyBorder="1"/>
    <xf numFmtId="1" fontId="27" fillId="0" borderId="0" xfId="59" applyNumberFormat="1" applyFont="1" applyFill="1" applyBorder="1" applyAlignment="1">
      <alignment horizontal="right"/>
    </xf>
    <xf numFmtId="1" fontId="27" fillId="0" borderId="20" xfId="59" applyNumberFormat="1" applyFont="1" applyFill="1" applyBorder="1" applyAlignment="1">
      <alignment horizontal="right"/>
    </xf>
    <xf numFmtId="177" fontId="96" fillId="0" borderId="0" xfId="36" applyNumberFormat="1" applyFont="1" applyFill="1" applyBorder="1"/>
    <xf numFmtId="168" fontId="100" fillId="0" borderId="0" xfId="64" applyNumberFormat="1" applyFont="1" applyBorder="1"/>
    <xf numFmtId="1" fontId="27" fillId="0" borderId="1" xfId="59" applyNumberFormat="1" applyFont="1" applyFill="1" applyBorder="1" applyAlignment="1">
      <alignment horizontal="right"/>
    </xf>
    <xf numFmtId="177" fontId="72" fillId="0" borderId="0" xfId="36" applyNumberFormat="1" applyFont="1" applyBorder="1"/>
    <xf numFmtId="9" fontId="72" fillId="0" borderId="0" xfId="64" applyFont="1" applyBorder="1"/>
    <xf numFmtId="9" fontId="100" fillId="0" borderId="0" xfId="64" applyFont="1" applyBorder="1"/>
    <xf numFmtId="168" fontId="24" fillId="0" borderId="0" xfId="64" applyNumberFormat="1" applyFont="1" applyFill="1" applyBorder="1"/>
    <xf numFmtId="168" fontId="26" fillId="21" borderId="6" xfId="64" applyNumberFormat="1" applyFont="1" applyFill="1" applyBorder="1"/>
    <xf numFmtId="168" fontId="26" fillId="15" borderId="6" xfId="64" applyNumberFormat="1" applyFont="1" applyFill="1" applyBorder="1"/>
    <xf numFmtId="9" fontId="26" fillId="0" borderId="0" xfId="64" applyFont="1" applyFill="1" applyBorder="1"/>
    <xf numFmtId="168" fontId="100" fillId="0" borderId="0" xfId="64" applyNumberFormat="1" applyFont="1" applyFill="1" applyBorder="1"/>
    <xf numFmtId="168" fontId="26" fillId="21" borderId="23" xfId="64" applyNumberFormat="1" applyFont="1" applyFill="1" applyBorder="1"/>
    <xf numFmtId="168" fontId="24" fillId="0" borderId="1" xfId="64" applyNumberFormat="1" applyFont="1" applyFill="1" applyBorder="1" applyAlignment="1"/>
    <xf numFmtId="168" fontId="24" fillId="0" borderId="0" xfId="64" applyNumberFormat="1" applyFont="1" applyFill="1" applyBorder="1" applyAlignment="1"/>
    <xf numFmtId="177" fontId="96" fillId="0" borderId="7" xfId="36" applyNumberFormat="1" applyFont="1" applyFill="1" applyBorder="1"/>
    <xf numFmtId="177" fontId="96" fillId="0" borderId="17" xfId="36" applyNumberFormat="1" applyFont="1" applyFill="1" applyBorder="1"/>
    <xf numFmtId="1" fontId="27" fillId="15" borderId="23" xfId="58" applyNumberFormat="1" applyFont="1" applyFill="1" applyBorder="1" applyAlignment="1">
      <alignment horizontal="right"/>
    </xf>
    <xf numFmtId="1" fontId="27" fillId="15" borderId="6" xfId="58" applyNumberFormat="1" applyFont="1" applyFill="1" applyBorder="1" applyAlignment="1">
      <alignment horizontal="right"/>
    </xf>
    <xf numFmtId="1" fontId="27" fillId="15" borderId="24" xfId="58" applyNumberFormat="1" applyFont="1" applyFill="1" applyBorder="1" applyAlignment="1">
      <alignment horizontal="right"/>
    </xf>
    <xf numFmtId="168" fontId="26" fillId="0" borderId="0" xfId="64" applyNumberFormat="1" applyFont="1" applyFill="1" applyBorder="1" applyAlignment="1"/>
    <xf numFmtId="168" fontId="26" fillId="0" borderId="0" xfId="64" applyNumberFormat="1" applyFont="1" applyFill="1" applyBorder="1"/>
    <xf numFmtId="168" fontId="30" fillId="0" borderId="0" xfId="64" applyNumberFormat="1" applyFont="1" applyFill="1" applyBorder="1"/>
    <xf numFmtId="168" fontId="30" fillId="0" borderId="20" xfId="64" applyNumberFormat="1" applyFont="1" applyFill="1" applyBorder="1"/>
    <xf numFmtId="168" fontId="30" fillId="0" borderId="1" xfId="64" applyNumberFormat="1" applyFont="1" applyFill="1" applyBorder="1"/>
    <xf numFmtId="168" fontId="26" fillId="0" borderId="1" xfId="64" applyNumberFormat="1" applyFont="1" applyFill="1" applyBorder="1"/>
    <xf numFmtId="1" fontId="25" fillId="15" borderId="6" xfId="58" applyNumberFormat="1" applyFont="1" applyFill="1" applyBorder="1" applyAlignment="1">
      <alignment horizontal="right"/>
    </xf>
    <xf numFmtId="1" fontId="25" fillId="15" borderId="24" xfId="58" applyNumberFormat="1" applyFont="1" applyFill="1" applyBorder="1" applyAlignment="1">
      <alignment horizontal="right"/>
    </xf>
    <xf numFmtId="177" fontId="24" fillId="0" borderId="20" xfId="36" applyNumberFormat="1" applyFont="1" applyFill="1" applyBorder="1"/>
    <xf numFmtId="177" fontId="24" fillId="0" borderId="0" xfId="36" applyNumberFormat="1" applyFont="1" applyBorder="1"/>
    <xf numFmtId="177" fontId="29" fillId="0" borderId="0" xfId="36" applyNumberFormat="1" applyFont="1" applyBorder="1"/>
    <xf numFmtId="177" fontId="29" fillId="0" borderId="20" xfId="36" applyNumberFormat="1" applyFont="1" applyBorder="1"/>
    <xf numFmtId="168" fontId="26" fillId="0" borderId="1" xfId="64" applyNumberFormat="1" applyFont="1" applyBorder="1"/>
    <xf numFmtId="168" fontId="26" fillId="0" borderId="0" xfId="64" applyNumberFormat="1" applyFont="1" applyBorder="1"/>
    <xf numFmtId="168" fontId="26" fillId="0" borderId="2" xfId="64" applyNumberFormat="1" applyFont="1" applyFill="1" applyBorder="1"/>
    <xf numFmtId="168" fontId="26" fillId="0" borderId="22" xfId="64" applyNumberFormat="1" applyFont="1" applyFill="1" applyBorder="1"/>
    <xf numFmtId="177" fontId="24" fillId="0" borderId="2" xfId="36" applyNumberFormat="1" applyFont="1" applyFill="1" applyBorder="1"/>
    <xf numFmtId="177" fontId="24" fillId="0" borderId="21" xfId="36" applyNumberFormat="1" applyFont="1" applyFill="1" applyBorder="1"/>
    <xf numFmtId="177" fontId="24" fillId="0" borderId="0" xfId="36" applyNumberFormat="1" applyFont="1" applyFill="1" applyBorder="1"/>
    <xf numFmtId="177" fontId="24" fillId="0" borderId="1" xfId="36" applyNumberFormat="1" applyFont="1" applyFill="1" applyBorder="1"/>
    <xf numFmtId="177" fontId="25" fillId="0" borderId="6" xfId="36" applyNumberFormat="1" applyFont="1" applyBorder="1"/>
    <xf numFmtId="177" fontId="25" fillId="0" borderId="24" xfId="36" applyNumberFormat="1" applyFont="1" applyBorder="1"/>
    <xf numFmtId="1" fontId="25" fillId="15" borderId="23" xfId="58" applyNumberFormat="1" applyFont="1" applyFill="1" applyBorder="1" applyAlignment="1">
      <alignment horizontal="right"/>
    </xf>
    <xf numFmtId="168" fontId="26" fillId="0" borderId="2" xfId="64" applyNumberFormat="1" applyFont="1" applyBorder="1"/>
    <xf numFmtId="168" fontId="26" fillId="0" borderId="22" xfId="64" applyNumberFormat="1" applyFont="1" applyBorder="1"/>
    <xf numFmtId="168" fontId="26" fillId="0" borderId="21" xfId="64" applyNumberFormat="1" applyFont="1" applyBorder="1"/>
    <xf numFmtId="168" fontId="26" fillId="0" borderId="20" xfId="64" applyNumberFormat="1" applyFont="1" applyBorder="1"/>
    <xf numFmtId="1" fontId="27" fillId="0" borderId="0" xfId="59" applyNumberFormat="1" applyFont="1" applyFill="1" applyBorder="1" applyAlignment="1">
      <alignment horizontal="right"/>
    </xf>
    <xf numFmtId="177" fontId="96" fillId="0" borderId="0" xfId="36" applyNumberFormat="1" applyFont="1" applyFill="1" applyBorder="1"/>
    <xf numFmtId="9" fontId="26" fillId="0" borderId="0" xfId="64" applyFont="1" applyBorder="1"/>
    <xf numFmtId="1" fontId="27" fillId="15" borderId="23" xfId="59" applyNumberFormat="1" applyFont="1" applyFill="1" applyBorder="1" applyAlignment="1">
      <alignment horizontal="right"/>
    </xf>
    <xf numFmtId="1" fontId="27" fillId="15" borderId="6" xfId="59" applyNumberFormat="1" applyFont="1" applyFill="1" applyBorder="1" applyAlignment="1">
      <alignment horizontal="right"/>
    </xf>
    <xf numFmtId="1" fontId="27" fillId="15" borderId="24" xfId="59" applyNumberFormat="1" applyFont="1" applyFill="1" applyBorder="1" applyAlignment="1">
      <alignment horizontal="right"/>
    </xf>
    <xf numFmtId="168" fontId="100" fillId="0" borderId="0" xfId="64" applyNumberFormat="1" applyFont="1" applyBorder="1"/>
    <xf numFmtId="1" fontId="27" fillId="0" borderId="1" xfId="59" applyNumberFormat="1" applyFont="1" applyFill="1" applyBorder="1" applyAlignment="1">
      <alignment horizontal="right"/>
    </xf>
    <xf numFmtId="177" fontId="72" fillId="0" borderId="0" xfId="36" applyNumberFormat="1" applyFont="1" applyBorder="1"/>
    <xf numFmtId="9" fontId="72" fillId="0" borderId="0" xfId="64" applyFont="1" applyBorder="1"/>
    <xf numFmtId="9" fontId="100" fillId="0" borderId="0" xfId="64" applyFont="1" applyBorder="1"/>
    <xf numFmtId="168" fontId="72" fillId="0" borderId="1" xfId="64" applyNumberFormat="1" applyFont="1" applyBorder="1"/>
    <xf numFmtId="168" fontId="72" fillId="0" borderId="0" xfId="64" applyNumberFormat="1" applyFont="1" applyBorder="1"/>
    <xf numFmtId="168" fontId="100" fillId="0" borderId="1" xfId="64" applyNumberFormat="1" applyFont="1" applyBorder="1"/>
    <xf numFmtId="168" fontId="26" fillId="0" borderId="7" xfId="64" applyNumberFormat="1" applyFont="1" applyBorder="1"/>
    <xf numFmtId="168" fontId="26" fillId="0" borderId="17" xfId="64" applyNumberFormat="1" applyFont="1" applyBorder="1"/>
    <xf numFmtId="168" fontId="26" fillId="0" borderId="19" xfId="64" applyNumberFormat="1" applyFont="1" applyBorder="1"/>
    <xf numFmtId="168" fontId="72" fillId="0" borderId="21" xfId="64" applyNumberFormat="1" applyFont="1" applyBorder="1"/>
    <xf numFmtId="168" fontId="72" fillId="0" borderId="2" xfId="64" applyNumberFormat="1" applyFont="1" applyBorder="1"/>
    <xf numFmtId="177" fontId="72" fillId="0" borderId="1" xfId="36" applyNumberFormat="1" applyFont="1" applyBorder="1"/>
    <xf numFmtId="9" fontId="100" fillId="0" borderId="1" xfId="64" applyFont="1" applyBorder="1"/>
    <xf numFmtId="9" fontId="72" fillId="0" borderId="1" xfId="64" applyFont="1" applyBorder="1"/>
    <xf numFmtId="168" fontId="26" fillId="15" borderId="6" xfId="64" applyNumberFormat="1" applyFont="1" applyFill="1" applyBorder="1"/>
    <xf numFmtId="168" fontId="26" fillId="0" borderId="21" xfId="64" applyNumberFormat="1" applyFont="1" applyFill="1" applyBorder="1"/>
    <xf numFmtId="177" fontId="29" fillId="0" borderId="1" xfId="36" applyNumberFormat="1" applyFont="1" applyBorder="1"/>
    <xf numFmtId="165" fontId="27" fillId="15" borderId="7" xfId="59" applyNumberFormat="1" applyFont="1" applyFill="1" applyBorder="1" applyAlignment="1">
      <alignment horizontal="right"/>
    </xf>
    <xf numFmtId="165" fontId="27" fillId="15" borderId="17" xfId="59" applyNumberFormat="1" applyFont="1" applyFill="1" applyBorder="1" applyAlignment="1">
      <alignment horizontal="right"/>
    </xf>
    <xf numFmtId="165" fontId="27" fillId="15" borderId="19" xfId="59" applyNumberFormat="1" applyFont="1" applyFill="1" applyBorder="1" applyAlignment="1">
      <alignment horizontal="right"/>
    </xf>
    <xf numFmtId="9" fontId="26" fillId="0" borderId="1" xfId="64" applyFont="1" applyBorder="1"/>
    <xf numFmtId="1" fontId="27" fillId="19" borderId="0" xfId="59" applyNumberFormat="1" applyFont="1" applyFill="1" applyBorder="1" applyAlignment="1">
      <alignment horizontal="right"/>
    </xf>
    <xf numFmtId="168" fontId="26" fillId="21" borderId="0" xfId="64" applyNumberFormat="1" applyFont="1" applyFill="1" applyBorder="1"/>
    <xf numFmtId="9" fontId="26" fillId="0" borderId="0" xfId="64" applyFont="1" applyFill="1" applyBorder="1"/>
    <xf numFmtId="168" fontId="100" fillId="0" borderId="0" xfId="64" applyNumberFormat="1" applyFont="1" applyFill="1" applyBorder="1"/>
    <xf numFmtId="1" fontId="27" fillId="19" borderId="1" xfId="59" applyNumberFormat="1" applyFont="1" applyFill="1" applyBorder="1" applyAlignment="1">
      <alignment horizontal="right"/>
    </xf>
    <xf numFmtId="1" fontId="27" fillId="19" borderId="20" xfId="59" applyNumberFormat="1" applyFont="1" applyFill="1" applyBorder="1" applyAlignment="1">
      <alignment horizontal="right"/>
    </xf>
    <xf numFmtId="168" fontId="26" fillId="21" borderId="1" xfId="64" applyNumberFormat="1" applyFont="1" applyFill="1" applyBorder="1"/>
    <xf numFmtId="177" fontId="96" fillId="0" borderId="1" xfId="36" applyNumberFormat="1" applyFont="1" applyFill="1" applyBorder="1"/>
    <xf numFmtId="9" fontId="26" fillId="0" borderId="1" xfId="64" applyFont="1" applyFill="1" applyBorder="1"/>
    <xf numFmtId="168" fontId="26" fillId="15" borderId="23" xfId="64" applyNumberFormat="1" applyFont="1" applyFill="1" applyBorder="1"/>
    <xf numFmtId="168" fontId="100" fillId="0" borderId="1" xfId="64" applyNumberFormat="1" applyFont="1" applyFill="1" applyBorder="1"/>
    <xf numFmtId="168" fontId="26" fillId="0" borderId="17" xfId="64" applyNumberFormat="1" applyFont="1" applyFill="1" applyBorder="1"/>
    <xf numFmtId="168" fontId="26" fillId="0" borderId="7" xfId="64" applyNumberFormat="1" applyFont="1" applyFill="1" applyBorder="1"/>
    <xf numFmtId="1" fontId="27" fillId="15" borderId="23" xfId="58" applyNumberFormat="1" applyFont="1" applyFill="1" applyBorder="1" applyAlignment="1">
      <alignment horizontal="right"/>
    </xf>
    <xf numFmtId="1" fontId="27" fillId="15" borderId="6" xfId="58" applyNumberFormat="1" applyFont="1" applyFill="1" applyBorder="1" applyAlignment="1">
      <alignment horizontal="right"/>
    </xf>
    <xf numFmtId="168" fontId="26" fillId="0" borderId="0" xfId="64" applyNumberFormat="1" applyFont="1" applyFill="1" applyBorder="1" applyAlignment="1"/>
    <xf numFmtId="168" fontId="26" fillId="0" borderId="1" xfId="64" applyNumberFormat="1" applyFont="1" applyFill="1" applyBorder="1" applyAlignment="1"/>
    <xf numFmtId="168" fontId="30" fillId="0" borderId="0" xfId="64" applyNumberFormat="1" applyFont="1" applyFill="1" applyBorder="1" applyAlignment="1"/>
    <xf numFmtId="168" fontId="30" fillId="0" borderId="1" xfId="64" applyNumberFormat="1" applyFont="1" applyFill="1" applyBorder="1" applyAlignment="1"/>
    <xf numFmtId="168" fontId="24" fillId="0" borderId="0" xfId="64" applyNumberFormat="1" applyFont="1" applyFill="1" applyBorder="1"/>
    <xf numFmtId="168" fontId="24" fillId="0" borderId="1" xfId="64" applyNumberFormat="1" applyFont="1" applyFill="1" applyBorder="1"/>
    <xf numFmtId="184" fontId="24" fillId="0" borderId="0" xfId="36" applyNumberFormat="1" applyFont="1" applyFill="1" applyBorder="1" applyAlignment="1"/>
    <xf numFmtId="165" fontId="27" fillId="15" borderId="17" xfId="59" applyNumberFormat="1" applyFont="1" applyFill="1" applyBorder="1" applyAlignment="1">
      <alignment horizontal="right"/>
    </xf>
    <xf numFmtId="184" fontId="24" fillId="0" borderId="1" xfId="36" applyNumberFormat="1" applyFont="1" applyFill="1" applyBorder="1" applyAlignment="1"/>
    <xf numFmtId="168" fontId="24" fillId="0" borderId="1" xfId="64" applyNumberFormat="1" applyFont="1" applyFill="1" applyBorder="1" applyAlignment="1"/>
    <xf numFmtId="168" fontId="24" fillId="0" borderId="0" xfId="64" applyNumberFormat="1" applyFont="1" applyFill="1" applyBorder="1" applyAlignment="1"/>
    <xf numFmtId="173" fontId="25" fillId="0" borderId="0" xfId="91" applyNumberFormat="1" applyFont="1" applyFill="1" applyBorder="1"/>
    <xf numFmtId="1" fontId="27" fillId="0" borderId="1" xfId="58" applyNumberFormat="1" applyFont="1" applyFill="1" applyBorder="1" applyAlignment="1">
      <alignment horizontal="right"/>
    </xf>
    <xf numFmtId="1" fontId="27" fillId="0" borderId="0" xfId="58" applyNumberFormat="1" applyFont="1" applyFill="1" applyBorder="1" applyAlignment="1">
      <alignment horizontal="right"/>
    </xf>
    <xf numFmtId="9" fontId="39" fillId="0" borderId="0" xfId="64" applyNumberFormat="1" applyFont="1" applyFill="1" applyBorder="1" applyAlignment="1">
      <alignment horizontal="right"/>
    </xf>
    <xf numFmtId="9" fontId="39" fillId="0" borderId="0" xfId="64" applyFont="1" applyFill="1" applyBorder="1" applyAlignment="1">
      <alignment horizontal="right"/>
    </xf>
    <xf numFmtId="184" fontId="26" fillId="0" borderId="0" xfId="36" applyNumberFormat="1" applyFont="1" applyFill="1" applyBorder="1" applyAlignment="1"/>
    <xf numFmtId="168" fontId="44" fillId="0" borderId="0" xfId="64" applyNumberFormat="1" applyFont="1" applyFill="1" applyBorder="1" applyAlignment="1">
      <alignment horizontal="right"/>
    </xf>
    <xf numFmtId="184" fontId="26" fillId="0" borderId="1" xfId="36" applyNumberFormat="1" applyFont="1" applyFill="1" applyBorder="1" applyAlignment="1"/>
    <xf numFmtId="189" fontId="27" fillId="0" borderId="1" xfId="42" applyNumberFormat="1" applyFont="1" applyFill="1" applyBorder="1" applyAlignment="1">
      <alignment horizontal="right"/>
    </xf>
    <xf numFmtId="173" fontId="24" fillId="0" borderId="0" xfId="91" applyNumberFormat="1" applyFont="1" applyFill="1" applyBorder="1"/>
    <xf numFmtId="189" fontId="27" fillId="0" borderId="0" xfId="42" applyNumberFormat="1" applyFont="1" applyFill="1" applyBorder="1" applyAlignment="1">
      <alignment horizontal="right"/>
    </xf>
    <xf numFmtId="9" fontId="39" fillId="0" borderId="1" xfId="64" applyNumberFormat="1" applyFont="1" applyFill="1" applyBorder="1" applyAlignment="1">
      <alignment horizontal="right"/>
    </xf>
    <xf numFmtId="173" fontId="25" fillId="0" borderId="0" xfId="91" applyNumberFormat="1" applyFont="1" applyFill="1" applyBorder="1"/>
    <xf numFmtId="180" fontId="241" fillId="0" borderId="20" xfId="1" applyNumberFormat="1" applyFont="1" applyFill="1" applyBorder="1"/>
    <xf numFmtId="182" fontId="19" fillId="0" borderId="0" xfId="1" applyNumberFormat="1" applyFont="1"/>
    <xf numFmtId="3" fontId="24" fillId="0" borderId="2" xfId="1" applyNumberFormat="1" applyFont="1" applyBorder="1"/>
    <xf numFmtId="164" fontId="24" fillId="0" borderId="17" xfId="1" applyNumberFormat="1" applyFont="1" applyBorder="1" applyAlignment="1">
      <alignment horizontal="center"/>
    </xf>
    <xf numFmtId="3" fontId="24" fillId="0" borderId="23" xfId="1" applyNumberFormat="1" applyFont="1" applyBorder="1"/>
    <xf numFmtId="3" fontId="24" fillId="0" borderId="21" xfId="1" applyNumberFormat="1" applyFont="1" applyBorder="1"/>
    <xf numFmtId="164" fontId="24" fillId="0" borderId="24" xfId="1" applyNumberFormat="1" applyFont="1" applyBorder="1"/>
    <xf numFmtId="177" fontId="241" fillId="17" borderId="0" xfId="36" applyNumberFormat="1" applyFont="1" applyFill="1" applyBorder="1"/>
    <xf numFmtId="180" fontId="241" fillId="0" borderId="0" xfId="1" applyNumberFormat="1" applyFont="1" applyFill="1" applyBorder="1"/>
    <xf numFmtId="3" fontId="24" fillId="0" borderId="1" xfId="1" applyNumberFormat="1" applyFont="1" applyBorder="1"/>
    <xf numFmtId="173" fontId="25" fillId="0" borderId="0" xfId="91" applyNumberFormat="1" applyFont="1" applyFill="1" applyBorder="1"/>
    <xf numFmtId="44" fontId="24" fillId="0" borderId="0" xfId="42" applyFont="1"/>
    <xf numFmtId="1" fontId="27" fillId="15" borderId="23" xfId="58" applyNumberFormat="1" applyFont="1" applyFill="1" applyBorder="1" applyAlignment="1">
      <alignment horizontal="right"/>
    </xf>
    <xf numFmtId="1" fontId="27" fillId="15" borderId="6" xfId="58" applyNumberFormat="1" applyFont="1" applyFill="1" applyBorder="1" applyAlignment="1">
      <alignment horizontal="right"/>
    </xf>
    <xf numFmtId="1" fontId="27" fillId="15" borderId="24" xfId="58" applyNumberFormat="1" applyFont="1" applyFill="1" applyBorder="1" applyAlignment="1">
      <alignment horizontal="right"/>
    </xf>
    <xf numFmtId="164" fontId="24" fillId="18" borderId="0" xfId="57" applyNumberFormat="1" applyFont="1" applyFill="1" applyBorder="1"/>
    <xf numFmtId="164" fontId="24" fillId="18" borderId="1" xfId="57" applyNumberFormat="1" applyFont="1" applyFill="1" applyBorder="1"/>
    <xf numFmtId="164" fontId="24" fillId="18" borderId="20" xfId="57" applyNumberFormat="1" applyFont="1" applyFill="1" applyBorder="1"/>
    <xf numFmtId="168" fontId="26" fillId="0" borderId="0" xfId="64" applyNumberFormat="1" applyFont="1" applyBorder="1"/>
    <xf numFmtId="165" fontId="27" fillId="15" borderId="6" xfId="59" applyNumberFormat="1" applyFont="1" applyFill="1" applyBorder="1" applyAlignment="1">
      <alignment horizontal="right"/>
    </xf>
    <xf numFmtId="165" fontId="27" fillId="15" borderId="24" xfId="59" applyNumberFormat="1" applyFont="1" applyFill="1" applyBorder="1" applyAlignment="1">
      <alignment horizontal="right"/>
    </xf>
    <xf numFmtId="165" fontId="27" fillId="15" borderId="7" xfId="59" applyNumberFormat="1" applyFont="1" applyFill="1" applyBorder="1" applyAlignment="1">
      <alignment horizontal="right"/>
    </xf>
    <xf numFmtId="165" fontId="27" fillId="15" borderId="17" xfId="59" applyNumberFormat="1" applyFont="1" applyFill="1" applyBorder="1" applyAlignment="1">
      <alignment horizontal="right"/>
    </xf>
    <xf numFmtId="1" fontId="27" fillId="0" borderId="20" xfId="58" applyNumberFormat="1" applyFont="1" applyFill="1" applyBorder="1" applyAlignment="1">
      <alignment horizontal="right"/>
    </xf>
    <xf numFmtId="9" fontId="39" fillId="0" borderId="0" xfId="64" applyNumberFormat="1" applyFont="1" applyFill="1" applyBorder="1" applyAlignment="1">
      <alignment horizontal="right"/>
    </xf>
    <xf numFmtId="3" fontId="24" fillId="0" borderId="0" xfId="64" applyNumberFormat="1" applyFont="1" applyBorder="1"/>
    <xf numFmtId="221" fontId="149" fillId="18" borderId="21" xfId="36" applyNumberFormat="1" applyFont="1" applyFill="1" applyBorder="1"/>
    <xf numFmtId="221" fontId="149" fillId="18" borderId="2" xfId="36" applyNumberFormat="1" applyFont="1" applyFill="1" applyBorder="1"/>
    <xf numFmtId="221" fontId="149" fillId="18" borderId="22" xfId="36" applyNumberFormat="1" applyFont="1" applyFill="1" applyBorder="1"/>
    <xf numFmtId="184" fontId="25" fillId="0" borderId="1" xfId="1" applyNumberFormat="1" applyFont="1" applyFill="1" applyBorder="1" applyAlignment="1"/>
    <xf numFmtId="180" fontId="241" fillId="0" borderId="1" xfId="1" applyNumberFormat="1" applyFont="1" applyFill="1" applyBorder="1"/>
    <xf numFmtId="177" fontId="149" fillId="18" borderId="1" xfId="37" applyNumberFormat="1" applyFont="1" applyFill="1" applyBorder="1" applyAlignment="1"/>
    <xf numFmtId="180" fontId="29" fillId="0" borderId="1" xfId="1" applyNumberFormat="1" applyFont="1" applyFill="1" applyBorder="1" applyAlignment="1"/>
    <xf numFmtId="37" fontId="24" fillId="0" borderId="7" xfId="1" applyNumberFormat="1" applyFont="1" applyFill="1" applyBorder="1"/>
    <xf numFmtId="182" fontId="24" fillId="0" borderId="1" xfId="0" applyNumberFormat="1" applyFont="1" applyBorder="1"/>
    <xf numFmtId="1" fontId="24" fillId="0" borderId="0" xfId="0" applyNumberFormat="1" applyFont="1"/>
    <xf numFmtId="168" fontId="43" fillId="15" borderId="22" xfId="64" applyNumberFormat="1" applyFont="1" applyFill="1" applyBorder="1"/>
    <xf numFmtId="168" fontId="43" fillId="15" borderId="2" xfId="64" applyNumberFormat="1" applyFont="1" applyFill="1" applyBorder="1"/>
    <xf numFmtId="37" fontId="130" fillId="0" borderId="0" xfId="1579" applyNumberFormat="1" applyFont="1" applyFill="1" applyBorder="1" applyAlignment="1">
      <alignment horizontal="right"/>
    </xf>
    <xf numFmtId="168" fontId="43" fillId="15" borderId="21" xfId="64" applyNumberFormat="1" applyFont="1" applyFill="1" applyBorder="1"/>
    <xf numFmtId="168" fontId="26" fillId="0" borderId="0" xfId="64" applyNumberFormat="1" applyFont="1" applyFill="1" applyBorder="1" applyAlignment="1"/>
    <xf numFmtId="168" fontId="24" fillId="0" borderId="0" xfId="64" applyNumberFormat="1" applyFont="1"/>
    <xf numFmtId="1" fontId="27" fillId="15" borderId="23" xfId="58" applyNumberFormat="1" applyFont="1" applyFill="1" applyBorder="1" applyAlignment="1">
      <alignment horizontal="right"/>
    </xf>
    <xf numFmtId="1" fontId="27" fillId="15" borderId="6" xfId="58" applyNumberFormat="1" applyFont="1" applyFill="1" applyBorder="1" applyAlignment="1">
      <alignment horizontal="right"/>
    </xf>
    <xf numFmtId="168" fontId="26" fillId="0" borderId="0" xfId="64" applyNumberFormat="1" applyFont="1" applyFill="1" applyBorder="1" applyAlignment="1"/>
    <xf numFmtId="168" fontId="26" fillId="0" borderId="20" xfId="64" applyNumberFormat="1" applyFont="1" applyFill="1" applyBorder="1" applyAlignment="1"/>
    <xf numFmtId="168" fontId="26" fillId="0" borderId="1" xfId="64" applyNumberFormat="1" applyFont="1" applyFill="1" applyBorder="1" applyAlignment="1"/>
    <xf numFmtId="168" fontId="30" fillId="0" borderId="0" xfId="64" applyNumberFormat="1" applyFont="1" applyFill="1" applyBorder="1" applyAlignment="1"/>
    <xf numFmtId="168" fontId="30" fillId="0" borderId="1" xfId="64" applyNumberFormat="1" applyFont="1" applyFill="1" applyBorder="1" applyAlignment="1"/>
    <xf numFmtId="168" fontId="29" fillId="0" borderId="0" xfId="64" applyNumberFormat="1" applyFont="1" applyFill="1" applyBorder="1" applyAlignment="1"/>
    <xf numFmtId="184" fontId="24" fillId="0" borderId="0" xfId="36" applyNumberFormat="1" applyFont="1" applyBorder="1"/>
    <xf numFmtId="184" fontId="24" fillId="0" borderId="0" xfId="36" applyNumberFormat="1" applyFont="1" applyFill="1" applyBorder="1"/>
    <xf numFmtId="168" fontId="24" fillId="0" borderId="0" xfId="64" applyNumberFormat="1" applyFont="1" applyFill="1" applyBorder="1"/>
    <xf numFmtId="44" fontId="24" fillId="0" borderId="0" xfId="42" applyFont="1"/>
    <xf numFmtId="168" fontId="24" fillId="0" borderId="20" xfId="64" applyNumberFormat="1" applyFont="1" applyFill="1" applyBorder="1"/>
    <xf numFmtId="168" fontId="24" fillId="0" borderId="1" xfId="64" applyNumberFormat="1" applyFont="1" applyFill="1" applyBorder="1"/>
    <xf numFmtId="168" fontId="29" fillId="0" borderId="1" xfId="64" applyNumberFormat="1" applyFont="1" applyFill="1" applyBorder="1" applyAlignment="1"/>
    <xf numFmtId="168" fontId="24" fillId="0" borderId="0" xfId="64" applyNumberFormat="1" applyFont="1" applyFill="1" applyBorder="1" applyAlignment="1"/>
    <xf numFmtId="168" fontId="24" fillId="0" borderId="20" xfId="64" applyNumberFormat="1" applyFont="1" applyFill="1" applyBorder="1" applyAlignment="1"/>
    <xf numFmtId="168" fontId="132" fillId="0" borderId="0" xfId="64" applyNumberFormat="1" applyFont="1" applyFill="1" applyBorder="1" applyAlignment="1"/>
    <xf numFmtId="1" fontId="27" fillId="0" borderId="20" xfId="58" applyNumberFormat="1" applyFont="1" applyFill="1" applyBorder="1" applyAlignment="1">
      <alignment horizontal="right"/>
    </xf>
    <xf numFmtId="9" fontId="39" fillId="0" borderId="0" xfId="64" applyNumberFormat="1" applyFont="1" applyFill="1" applyBorder="1" applyAlignment="1">
      <alignment horizontal="right"/>
    </xf>
    <xf numFmtId="9" fontId="39" fillId="0" borderId="0" xfId="64" applyFont="1" applyFill="1" applyBorder="1" applyAlignment="1">
      <alignment horizontal="right"/>
    </xf>
    <xf numFmtId="184" fontId="26" fillId="0" borderId="0" xfId="36" applyNumberFormat="1" applyFont="1" applyFill="1" applyBorder="1" applyAlignment="1"/>
    <xf numFmtId="184" fontId="26" fillId="0" borderId="20" xfId="36" applyNumberFormat="1" applyFont="1" applyFill="1" applyBorder="1" applyAlignment="1"/>
    <xf numFmtId="168" fontId="44" fillId="0" borderId="0" xfId="64" applyNumberFormat="1" applyFont="1" applyFill="1" applyBorder="1" applyAlignment="1">
      <alignment horizontal="right"/>
    </xf>
    <xf numFmtId="168" fontId="44" fillId="0" borderId="20" xfId="64" applyNumberFormat="1" applyFont="1" applyFill="1" applyBorder="1" applyAlignment="1">
      <alignment horizontal="right"/>
    </xf>
    <xf numFmtId="168" fontId="44" fillId="0" borderId="1" xfId="64" applyNumberFormat="1" applyFont="1" applyFill="1" applyBorder="1" applyAlignment="1">
      <alignment horizontal="right"/>
    </xf>
    <xf numFmtId="168" fontId="24" fillId="0" borderId="1" xfId="64" applyNumberFormat="1" applyFont="1" applyFill="1" applyBorder="1" applyAlignment="1"/>
    <xf numFmtId="184" fontId="25" fillId="0" borderId="1" xfId="36" applyNumberFormat="1" applyFont="1" applyFill="1" applyBorder="1" applyAlignment="1"/>
    <xf numFmtId="1" fontId="27" fillId="0" borderId="0" xfId="58" applyNumberFormat="1" applyFont="1" applyFill="1" applyBorder="1" applyAlignment="1">
      <alignment horizontal="right"/>
    </xf>
    <xf numFmtId="1" fontId="27" fillId="0" borderId="1" xfId="58" applyNumberFormat="1" applyFont="1" applyFill="1" applyBorder="1" applyAlignment="1">
      <alignment horizontal="right"/>
    </xf>
    <xf numFmtId="165" fontId="27" fillId="15" borderId="7" xfId="59" applyNumberFormat="1" applyFont="1" applyFill="1" applyBorder="1" applyAlignment="1">
      <alignment horizontal="right"/>
    </xf>
    <xf numFmtId="165" fontId="27" fillId="15" borderId="17" xfId="59" applyNumberFormat="1" applyFont="1" applyFill="1" applyBorder="1" applyAlignment="1">
      <alignment horizontal="right"/>
    </xf>
    <xf numFmtId="165" fontId="27" fillId="15" borderId="19" xfId="59" applyNumberFormat="1" applyFont="1" applyFill="1" applyBorder="1" applyAlignment="1">
      <alignment horizontal="right"/>
    </xf>
    <xf numFmtId="9" fontId="39" fillId="0" borderId="1" xfId="64" applyNumberFormat="1" applyFont="1" applyFill="1" applyBorder="1" applyAlignment="1">
      <alignment horizontal="right"/>
    </xf>
    <xf numFmtId="184" fontId="26" fillId="0" borderId="1" xfId="36" applyNumberFormat="1" applyFont="1" applyFill="1" applyBorder="1" applyAlignment="1"/>
    <xf numFmtId="168" fontId="29" fillId="0" borderId="20" xfId="64" applyNumberFormat="1" applyFont="1" applyFill="1" applyBorder="1" applyAlignment="1"/>
    <xf numFmtId="172" fontId="29" fillId="0" borderId="20" xfId="36" applyNumberFormat="1" applyFont="1" applyFill="1" applyBorder="1" applyAlignment="1"/>
    <xf numFmtId="184" fontId="25" fillId="0" borderId="20" xfId="36" applyNumberFormat="1" applyFont="1" applyFill="1" applyBorder="1" applyAlignment="1"/>
    <xf numFmtId="184" fontId="24" fillId="0" borderId="1" xfId="36" applyNumberFormat="1" applyFont="1" applyFill="1" applyBorder="1" applyAlignment="1"/>
    <xf numFmtId="9" fontId="24" fillId="0" borderId="1" xfId="64" applyFont="1" applyFill="1" applyBorder="1" applyAlignment="1"/>
    <xf numFmtId="9" fontId="24" fillId="0" borderId="0" xfId="64" applyFont="1" applyFill="1" applyBorder="1" applyAlignment="1"/>
    <xf numFmtId="168" fontId="132" fillId="0" borderId="1" xfId="64" applyNumberFormat="1" applyFont="1" applyFill="1" applyBorder="1" applyAlignment="1"/>
    <xf numFmtId="168" fontId="132" fillId="0" borderId="20" xfId="64" applyNumberFormat="1" applyFont="1" applyFill="1" applyBorder="1" applyAlignment="1"/>
    <xf numFmtId="9" fontId="132" fillId="0" borderId="1" xfId="64" applyNumberFormat="1" applyFont="1" applyFill="1" applyBorder="1" applyAlignment="1"/>
    <xf numFmtId="9" fontId="132" fillId="0" borderId="0" xfId="64" applyNumberFormat="1" applyFont="1" applyFill="1" applyBorder="1" applyAlignment="1"/>
    <xf numFmtId="9" fontId="132" fillId="0" borderId="20" xfId="64" applyNumberFormat="1" applyFont="1" applyFill="1" applyBorder="1" applyAlignment="1"/>
    <xf numFmtId="182" fontId="25" fillId="0" borderId="0" xfId="64" applyNumberFormat="1" applyFont="1" applyFill="1" applyBorder="1" applyAlignment="1"/>
    <xf numFmtId="182" fontId="25" fillId="0" borderId="20" xfId="64" applyNumberFormat="1" applyFont="1" applyFill="1" applyBorder="1" applyAlignment="1"/>
    <xf numFmtId="1" fontId="25" fillId="0" borderId="0" xfId="64" applyNumberFormat="1" applyFont="1" applyFill="1" applyBorder="1" applyAlignment="1"/>
    <xf numFmtId="1" fontId="25" fillId="0" borderId="20" xfId="64" applyNumberFormat="1" applyFont="1" applyFill="1" applyBorder="1" applyAlignment="1"/>
    <xf numFmtId="209" fontId="24" fillId="0" borderId="0" xfId="36" applyNumberFormat="1" applyFont="1" applyFill="1" applyBorder="1"/>
    <xf numFmtId="209" fontId="24" fillId="0" borderId="20" xfId="36" applyNumberFormat="1" applyFont="1" applyFill="1" applyBorder="1"/>
    <xf numFmtId="189" fontId="27" fillId="0" borderId="1" xfId="42" applyNumberFormat="1" applyFont="1" applyFill="1" applyBorder="1" applyAlignment="1">
      <alignment horizontal="right"/>
    </xf>
    <xf numFmtId="182" fontId="25" fillId="0" borderId="1" xfId="64" applyNumberFormat="1" applyFont="1" applyFill="1" applyBorder="1" applyAlignment="1"/>
    <xf numFmtId="1" fontId="25" fillId="0" borderId="1" xfId="64" applyNumberFormat="1" applyFont="1" applyFill="1" applyBorder="1" applyAlignment="1"/>
    <xf numFmtId="168" fontId="39" fillId="0" borderId="20" xfId="64" applyNumberFormat="1" applyFont="1" applyFill="1" applyBorder="1" applyAlignment="1">
      <alignment horizontal="right"/>
    </xf>
    <xf numFmtId="168" fontId="39" fillId="0" borderId="1" xfId="64" applyNumberFormat="1" applyFont="1" applyFill="1" applyBorder="1" applyAlignment="1">
      <alignment horizontal="right"/>
    </xf>
    <xf numFmtId="189" fontId="198" fillId="0" borderId="1" xfId="42" applyNumberFormat="1" applyFont="1" applyFill="1" applyBorder="1" applyAlignment="1">
      <alignment horizontal="right"/>
    </xf>
    <xf numFmtId="189" fontId="198" fillId="0" borderId="0" xfId="42" applyNumberFormat="1" applyFont="1" applyFill="1" applyBorder="1" applyAlignment="1">
      <alignment horizontal="right"/>
    </xf>
    <xf numFmtId="189" fontId="198" fillId="0" borderId="20" xfId="42" applyNumberFormat="1" applyFont="1" applyFill="1" applyBorder="1" applyAlignment="1">
      <alignment horizontal="right"/>
    </xf>
    <xf numFmtId="184" fontId="25" fillId="0" borderId="0" xfId="36" applyNumberFormat="1" applyFont="1" applyFill="1" applyBorder="1" applyAlignment="1"/>
    <xf numFmtId="209" fontId="24" fillId="0" borderId="0" xfId="1" applyNumberFormat="1" applyFont="1" applyBorder="1" applyAlignment="1">
      <alignment horizontal="center"/>
    </xf>
    <xf numFmtId="168" fontId="39" fillId="0" borderId="0" xfId="64" applyNumberFormat="1" applyFont="1" applyFill="1" applyBorder="1" applyAlignment="1">
      <alignment horizontal="right"/>
    </xf>
    <xf numFmtId="44" fontId="25" fillId="0" borderId="0" xfId="42" applyFont="1" applyBorder="1"/>
    <xf numFmtId="1" fontId="27" fillId="15" borderId="23" xfId="58" applyNumberFormat="1" applyFont="1" applyFill="1" applyBorder="1" applyAlignment="1">
      <alignment horizontal="right"/>
    </xf>
    <xf numFmtId="1" fontId="27" fillId="15" borderId="6" xfId="58" applyNumberFormat="1" applyFont="1" applyFill="1" applyBorder="1" applyAlignment="1">
      <alignment horizontal="right"/>
    </xf>
    <xf numFmtId="1" fontId="27" fillId="15" borderId="24" xfId="58" applyNumberFormat="1" applyFont="1" applyFill="1" applyBorder="1" applyAlignment="1">
      <alignment horizontal="right"/>
    </xf>
    <xf numFmtId="168" fontId="26" fillId="0" borderId="0" xfId="64" applyNumberFormat="1" applyFont="1" applyFill="1" applyBorder="1"/>
    <xf numFmtId="168" fontId="26" fillId="0" borderId="20" xfId="64" applyNumberFormat="1" applyFont="1" applyFill="1" applyBorder="1"/>
    <xf numFmtId="168" fontId="30" fillId="0" borderId="0" xfId="64" applyNumberFormat="1" applyFont="1" applyFill="1" applyBorder="1"/>
    <xf numFmtId="168" fontId="30" fillId="0" borderId="1" xfId="64" applyNumberFormat="1" applyFont="1" applyFill="1" applyBorder="1"/>
    <xf numFmtId="43" fontId="27" fillId="0" borderId="0" xfId="36" applyFont="1" applyFill="1" applyBorder="1" applyAlignment="1">
      <alignment horizontal="right"/>
    </xf>
    <xf numFmtId="0" fontId="25" fillId="0" borderId="1" xfId="0" applyFont="1" applyBorder="1"/>
    <xf numFmtId="0" fontId="25" fillId="0" borderId="0" xfId="0" applyFont="1" applyBorder="1"/>
    <xf numFmtId="164" fontId="25" fillId="0" borderId="0" xfId="0" applyNumberFormat="1" applyFont="1" applyBorder="1"/>
    <xf numFmtId="209" fontId="25" fillId="0" borderId="0" xfId="0" applyNumberFormat="1" applyFont="1" applyBorder="1"/>
    <xf numFmtId="168" fontId="24" fillId="0" borderId="0" xfId="64" applyNumberFormat="1" applyFont="1" applyFill="1" applyBorder="1" applyAlignment="1"/>
    <xf numFmtId="173" fontId="25" fillId="0" borderId="0" xfId="91" applyNumberFormat="1" applyFont="1" applyFill="1" applyBorder="1"/>
    <xf numFmtId="9" fontId="26" fillId="32" borderId="1" xfId="64" applyNumberFormat="1" applyFont="1" applyFill="1" applyBorder="1" applyAlignment="1"/>
    <xf numFmtId="2" fontId="26" fillId="0" borderId="0" xfId="64" applyNumberFormat="1" applyFont="1" applyFill="1" applyBorder="1" applyAlignment="1"/>
    <xf numFmtId="164" fontId="25" fillId="0" borderId="1" xfId="0" applyNumberFormat="1" applyFont="1" applyFill="1" applyBorder="1"/>
    <xf numFmtId="186" fontId="149" fillId="0" borderId="1" xfId="43" applyNumberFormat="1" applyFont="1" applyFill="1" applyBorder="1"/>
    <xf numFmtId="164" fontId="37" fillId="102" borderId="0" xfId="1" applyNumberFormat="1" applyFont="1" applyFill="1" applyBorder="1"/>
    <xf numFmtId="168" fontId="98" fillId="102" borderId="0" xfId="64" applyNumberFormat="1" applyFont="1" applyFill="1" applyBorder="1"/>
    <xf numFmtId="164" fontId="75" fillId="102" borderId="0" xfId="1" applyNumberFormat="1" applyFont="1" applyFill="1" applyBorder="1"/>
    <xf numFmtId="164" fontId="102" fillId="102" borderId="0" xfId="1" applyNumberFormat="1" applyFont="1" applyFill="1" applyBorder="1"/>
    <xf numFmtId="168" fontId="26" fillId="102" borderId="0" xfId="64" applyNumberFormat="1" applyFont="1" applyFill="1" applyBorder="1"/>
    <xf numFmtId="168" fontId="100" fillId="102" borderId="0" xfId="64" applyNumberFormat="1" applyFont="1" applyFill="1" applyBorder="1"/>
    <xf numFmtId="164" fontId="75" fillId="102" borderId="20" xfId="1" applyNumberFormat="1" applyFont="1" applyFill="1" applyBorder="1"/>
    <xf numFmtId="164" fontId="37" fillId="102" borderId="20" xfId="1" applyNumberFormat="1" applyFont="1" applyFill="1" applyBorder="1"/>
    <xf numFmtId="164" fontId="42" fillId="102" borderId="20" xfId="1" applyNumberFormat="1" applyFont="1" applyFill="1" applyBorder="1"/>
    <xf numFmtId="164" fontId="43" fillId="102" borderId="20" xfId="1" applyNumberFormat="1" applyFont="1" applyFill="1" applyBorder="1"/>
    <xf numFmtId="0" fontId="37" fillId="103" borderId="1" xfId="1" applyNumberFormat="1" applyFont="1" applyFill="1" applyBorder="1" applyAlignment="1"/>
    <xf numFmtId="0" fontId="32" fillId="103" borderId="1" xfId="64" applyNumberFormat="1" applyFont="1" applyFill="1" applyBorder="1" applyAlignment="1"/>
    <xf numFmtId="168" fontId="70" fillId="0" borderId="2" xfId="504" applyNumberFormat="1" applyFont="1" applyFill="1" applyBorder="1"/>
    <xf numFmtId="168" fontId="32" fillId="0" borderId="0" xfId="64" applyNumberFormat="1" applyFont="1" applyFill="1" applyBorder="1" applyAlignment="1">
      <alignment horizontal="right"/>
    </xf>
    <xf numFmtId="9" fontId="98" fillId="0" borderId="0" xfId="64" applyNumberFormat="1" applyFont="1" applyFill="1" applyBorder="1"/>
    <xf numFmtId="184" fontId="98" fillId="0" borderId="0" xfId="36" applyNumberFormat="1" applyFont="1" applyFill="1" applyBorder="1"/>
    <xf numFmtId="164" fontId="74" fillId="0" borderId="0" xfId="64" applyNumberFormat="1" applyFont="1" applyFill="1" applyBorder="1"/>
    <xf numFmtId="184" fontId="29" fillId="0" borderId="1" xfId="1" applyNumberFormat="1" applyFont="1" applyFill="1" applyBorder="1" applyAlignment="1"/>
    <xf numFmtId="184" fontId="29" fillId="0" borderId="0" xfId="1" applyNumberFormat="1" applyFont="1" applyFill="1" applyBorder="1" applyAlignment="1"/>
    <xf numFmtId="184" fontId="29" fillId="0" borderId="20" xfId="1" applyNumberFormat="1" applyFont="1" applyFill="1" applyBorder="1" applyAlignment="1"/>
    <xf numFmtId="184" fontId="24" fillId="0" borderId="20" xfId="36" applyNumberFormat="1" applyFont="1" applyFill="1" applyBorder="1"/>
    <xf numFmtId="168" fontId="24" fillId="0" borderId="21" xfId="504" applyNumberFormat="1" applyFont="1" applyFill="1" applyBorder="1"/>
    <xf numFmtId="168" fontId="24" fillId="0" borderId="2" xfId="64" applyNumberFormat="1" applyFont="1" applyFill="1" applyBorder="1"/>
    <xf numFmtId="0" fontId="25" fillId="0" borderId="0" xfId="0" applyFont="1" applyFill="1" applyBorder="1"/>
    <xf numFmtId="209" fontId="29" fillId="0" borderId="0" xfId="91" applyNumberFormat="1" applyFont="1" applyFill="1" applyBorder="1" applyAlignment="1"/>
    <xf numFmtId="189" fontId="27" fillId="0" borderId="0" xfId="42" applyNumberFormat="1" applyFont="1" applyFill="1" applyBorder="1" applyAlignment="1">
      <alignment horizontal="right"/>
    </xf>
    <xf numFmtId="189" fontId="198" fillId="0" borderId="0" xfId="42" applyNumberFormat="1" applyFont="1" applyFill="1" applyBorder="1" applyAlignment="1">
      <alignment horizontal="right"/>
    </xf>
    <xf numFmtId="168" fontId="26" fillId="0" borderId="0" xfId="64" applyNumberFormat="1" applyFont="1" applyFill="1" applyBorder="1" applyAlignment="1"/>
    <xf numFmtId="168" fontId="26" fillId="0" borderId="20" xfId="64" applyNumberFormat="1" applyFont="1" applyFill="1" applyBorder="1" applyAlignment="1"/>
    <xf numFmtId="168" fontId="26" fillId="0" borderId="1" xfId="64" applyNumberFormat="1" applyFont="1" applyFill="1" applyBorder="1" applyAlignment="1"/>
    <xf numFmtId="173" fontId="25" fillId="0" borderId="0" xfId="91" applyNumberFormat="1" applyFont="1" applyFill="1" applyBorder="1"/>
    <xf numFmtId="9" fontId="26" fillId="32" borderId="0" xfId="64" applyNumberFormat="1" applyFont="1" applyFill="1" applyBorder="1" applyAlignment="1"/>
    <xf numFmtId="41" fontId="111" fillId="0" borderId="0" xfId="15399" applyNumberFormat="1" applyFont="1" applyBorder="1" applyAlignment="1">
      <alignment horizontal="right" vertical="top" wrapText="1"/>
    </xf>
    <xf numFmtId="1" fontId="25" fillId="15" borderId="17" xfId="58" applyNumberFormat="1" applyFont="1" applyFill="1" applyBorder="1" applyAlignment="1">
      <alignment horizontal="right"/>
    </xf>
    <xf numFmtId="1" fontId="25" fillId="15" borderId="7" xfId="58" applyNumberFormat="1" applyFont="1" applyFill="1" applyBorder="1" applyAlignment="1">
      <alignment horizontal="right"/>
    </xf>
    <xf numFmtId="1" fontId="25" fillId="15" borderId="19" xfId="58" applyNumberFormat="1" applyFont="1" applyFill="1" applyBorder="1" applyAlignment="1">
      <alignment horizontal="right"/>
    </xf>
    <xf numFmtId="177" fontId="24" fillId="18" borderId="7" xfId="37" applyNumberFormat="1" applyFont="1" applyFill="1" applyBorder="1"/>
    <xf numFmtId="177" fontId="24" fillId="18" borderId="17" xfId="37" applyNumberFormat="1" applyFont="1" applyFill="1" applyBorder="1"/>
    <xf numFmtId="177" fontId="349" fillId="0" borderId="0" xfId="36" applyNumberFormat="1" applyFont="1" applyBorder="1"/>
    <xf numFmtId="41" fontId="111" fillId="0" borderId="0" xfId="15399" applyNumberFormat="1" applyFont="1" applyFill="1" applyBorder="1" applyAlignment="1">
      <alignment horizontal="right" vertical="top" wrapText="1"/>
    </xf>
    <xf numFmtId="37" fontId="24" fillId="0" borderId="7" xfId="1" applyNumberFormat="1" applyFont="1" applyBorder="1" applyAlignment="1">
      <alignment horizontal="center"/>
    </xf>
    <xf numFmtId="41" fontId="111" fillId="0" borderId="1" xfId="15399" applyNumberFormat="1" applyFont="1" applyBorder="1" applyAlignment="1">
      <alignment horizontal="right" vertical="top" wrapText="1"/>
    </xf>
    <xf numFmtId="41" fontId="111" fillId="0" borderId="21" xfId="15399" applyNumberFormat="1" applyFont="1" applyBorder="1" applyAlignment="1">
      <alignment horizontal="right" vertical="top" wrapText="1"/>
    </xf>
    <xf numFmtId="41" fontId="111" fillId="0" borderId="2" xfId="15399" applyNumberFormat="1" applyFont="1" applyFill="1" applyBorder="1" applyAlignment="1">
      <alignment horizontal="right" vertical="top" wrapText="1"/>
    </xf>
    <xf numFmtId="41" fontId="111" fillId="0" borderId="20" xfId="15399" applyNumberFormat="1" applyFont="1" applyBorder="1" applyAlignment="1">
      <alignment horizontal="right" vertical="top" wrapText="1"/>
    </xf>
    <xf numFmtId="41" fontId="111" fillId="0" borderId="2" xfId="15399" applyNumberFormat="1" applyFont="1" applyBorder="1" applyAlignment="1">
      <alignment horizontal="right" vertical="top" wrapText="1"/>
    </xf>
    <xf numFmtId="41" fontId="111" fillId="0" borderId="22" xfId="15399" applyNumberFormat="1" applyFont="1" applyBorder="1" applyAlignment="1">
      <alignment horizontal="right" vertical="top" wrapText="1"/>
    </xf>
    <xf numFmtId="209" fontId="24" fillId="0" borderId="20" xfId="1" applyNumberFormat="1" applyFont="1" applyBorder="1" applyAlignment="1">
      <alignment horizontal="center"/>
    </xf>
    <xf numFmtId="164" fontId="24" fillId="0" borderId="17" xfId="1" applyNumberFormat="1" applyFont="1" applyBorder="1" applyAlignment="1">
      <alignment horizontal="left"/>
    </xf>
    <xf numFmtId="164" fontId="24" fillId="0" borderId="6" xfId="1" applyNumberFormat="1" applyFont="1" applyBorder="1" applyAlignment="1">
      <alignment horizontal="left"/>
    </xf>
    <xf numFmtId="164" fontId="24" fillId="0" borderId="0" xfId="1" applyNumberFormat="1" applyFont="1" applyBorder="1" applyAlignment="1">
      <alignment horizontal="left"/>
    </xf>
    <xf numFmtId="41" fontId="111" fillId="0" borderId="0" xfId="15399" applyNumberFormat="1" applyFont="1" applyBorder="1" applyAlignment="1">
      <alignment horizontal="left" vertical="top" wrapText="1"/>
    </xf>
    <xf numFmtId="164" fontId="24" fillId="0" borderId="7" xfId="1" applyNumberFormat="1" applyFont="1" applyBorder="1" applyAlignment="1">
      <alignment horizontal="left"/>
    </xf>
    <xf numFmtId="164" fontId="24" fillId="0" borderId="19" xfId="1" applyNumberFormat="1" applyFont="1" applyBorder="1" applyAlignment="1">
      <alignment horizontal="left"/>
    </xf>
    <xf numFmtId="164" fontId="24" fillId="0" borderId="23" xfId="1" applyNumberFormat="1" applyFont="1" applyBorder="1" applyAlignment="1">
      <alignment horizontal="left"/>
    </xf>
    <xf numFmtId="164" fontId="24" fillId="0" borderId="24" xfId="1" applyNumberFormat="1" applyFont="1" applyBorder="1" applyAlignment="1">
      <alignment horizontal="left"/>
    </xf>
    <xf numFmtId="164" fontId="24" fillId="0" borderId="1" xfId="1" applyNumberFormat="1" applyFont="1" applyBorder="1" applyAlignment="1">
      <alignment horizontal="left"/>
    </xf>
    <xf numFmtId="164" fontId="24" fillId="0" borderId="20" xfId="1" applyNumberFormat="1" applyFont="1" applyBorder="1" applyAlignment="1">
      <alignment horizontal="left"/>
    </xf>
    <xf numFmtId="41" fontId="111" fillId="0" borderId="1" xfId="15399" applyNumberFormat="1" applyFont="1" applyBorder="1" applyAlignment="1">
      <alignment horizontal="left" vertical="top" wrapText="1"/>
    </xf>
    <xf numFmtId="41" fontId="111" fillId="0" borderId="20" xfId="15399" applyNumberFormat="1" applyFont="1" applyBorder="1" applyAlignment="1">
      <alignment horizontal="left" vertical="top" wrapText="1"/>
    </xf>
    <xf numFmtId="41" fontId="111" fillId="0" borderId="21" xfId="15399" applyNumberFormat="1" applyFont="1" applyBorder="1" applyAlignment="1">
      <alignment horizontal="left" vertical="top" wrapText="1"/>
    </xf>
    <xf numFmtId="41" fontId="111" fillId="0" borderId="2" xfId="15399" applyNumberFormat="1" applyFont="1" applyBorder="1" applyAlignment="1">
      <alignment horizontal="left" vertical="top" wrapText="1"/>
    </xf>
    <xf numFmtId="41" fontId="111" fillId="0" borderId="22" xfId="15399" applyNumberFormat="1" applyFont="1" applyBorder="1" applyAlignment="1">
      <alignment horizontal="left" vertical="top" wrapText="1"/>
    </xf>
    <xf numFmtId="0" fontId="24" fillId="0" borderId="23" xfId="1" applyFont="1" applyFill="1" applyBorder="1"/>
    <xf numFmtId="0" fontId="24" fillId="15" borderId="24" xfId="1" applyFont="1" applyFill="1" applyBorder="1"/>
    <xf numFmtId="0" fontId="111" fillId="0" borderId="1" xfId="15396" applyFont="1" applyBorder="1"/>
    <xf numFmtId="0" fontId="111" fillId="0" borderId="21" xfId="15396" applyFont="1" applyBorder="1"/>
    <xf numFmtId="41" fontId="24" fillId="0" borderId="0" xfId="0" applyNumberFormat="1" applyFont="1"/>
    <xf numFmtId="164" fontId="350" fillId="0" borderId="0" xfId="1" applyNumberFormat="1" applyFont="1" applyBorder="1"/>
    <xf numFmtId="168" fontId="43" fillId="0" borderId="2" xfId="64" applyNumberFormat="1" applyFont="1" applyFill="1" applyBorder="1"/>
    <xf numFmtId="0" fontId="19" fillId="0" borderId="0" xfId="4656"/>
    <xf numFmtId="209" fontId="25" fillId="0" borderId="0" xfId="0" applyNumberFormat="1" applyFont="1" applyFill="1" applyBorder="1"/>
    <xf numFmtId="177" fontId="348" fillId="18" borderId="0" xfId="36" applyNumberFormat="1" applyFont="1" applyFill="1" applyBorder="1"/>
    <xf numFmtId="177" fontId="348" fillId="18" borderId="20" xfId="36" applyNumberFormat="1" applyFont="1" applyFill="1" applyBorder="1"/>
    <xf numFmtId="9" fontId="26" fillId="32" borderId="20" xfId="64" applyNumberFormat="1" applyFont="1" applyFill="1" applyBorder="1" applyAlignment="1"/>
    <xf numFmtId="173" fontId="24" fillId="0" borderId="0" xfId="91" applyNumberFormat="1" applyFont="1" applyFill="1" applyBorder="1"/>
    <xf numFmtId="180" fontId="24" fillId="0" borderId="25" xfId="1" applyNumberFormat="1" applyFont="1" applyBorder="1"/>
    <xf numFmtId="0" fontId="37" fillId="0" borderId="25" xfId="1" applyFont="1" applyBorder="1"/>
    <xf numFmtId="0" fontId="42" fillId="0" borderId="25" xfId="1" applyFont="1" applyBorder="1"/>
    <xf numFmtId="0" fontId="102" fillId="0" borderId="25" xfId="1" applyFont="1" applyBorder="1"/>
    <xf numFmtId="164" fontId="37" fillId="0" borderId="25" xfId="1" applyNumberFormat="1" applyFont="1" applyBorder="1"/>
    <xf numFmtId="177" fontId="34" fillId="0" borderId="25" xfId="36" applyNumberFormat="1" applyFont="1" applyFill="1" applyBorder="1"/>
    <xf numFmtId="177" fontId="24" fillId="0" borderId="25" xfId="36" applyNumberFormat="1" applyFont="1" applyBorder="1"/>
    <xf numFmtId="177" fontId="56" fillId="0" borderId="25" xfId="36" applyNumberFormat="1" applyFont="1" applyBorder="1"/>
    <xf numFmtId="177" fontId="37" fillId="0" borderId="25" xfId="36" applyNumberFormat="1" applyFont="1" applyBorder="1"/>
    <xf numFmtId="168" fontId="32" fillId="0" borderId="25" xfId="64" applyNumberFormat="1" applyFont="1" applyBorder="1"/>
    <xf numFmtId="9" fontId="24" fillId="0" borderId="25" xfId="64" applyFont="1" applyBorder="1"/>
    <xf numFmtId="9" fontId="56" fillId="0" borderId="25" xfId="64" applyFont="1" applyBorder="1"/>
    <xf numFmtId="9" fontId="37" fillId="0" borderId="25" xfId="64" applyFont="1" applyBorder="1"/>
    <xf numFmtId="9" fontId="42" fillId="0" borderId="25" xfId="64" applyFont="1" applyBorder="1"/>
    <xf numFmtId="9" fontId="102" fillId="0" borderId="25" xfId="64" applyFont="1" applyBorder="1"/>
    <xf numFmtId="164" fontId="102" fillId="0" borderId="25" xfId="1" applyNumberFormat="1" applyFont="1" applyBorder="1"/>
    <xf numFmtId="184" fontId="42" fillId="0" borderId="25" xfId="36" applyNumberFormat="1" applyFont="1" applyBorder="1"/>
    <xf numFmtId="164" fontId="42" fillId="0" borderId="25" xfId="1" applyNumberFormat="1" applyFont="1" applyBorder="1"/>
    <xf numFmtId="43" fontId="42" fillId="0" borderId="25" xfId="36" applyFont="1" applyBorder="1"/>
    <xf numFmtId="43" fontId="32" fillId="0" borderId="25" xfId="36" applyFont="1" applyBorder="1"/>
    <xf numFmtId="0" fontId="37" fillId="0" borderId="25" xfId="1" applyFont="1" applyFill="1" applyBorder="1"/>
    <xf numFmtId="9" fontId="32" fillId="0" borderId="25" xfId="64" applyFont="1" applyBorder="1"/>
    <xf numFmtId="168" fontId="42" fillId="0" borderId="25" xfId="64" applyNumberFormat="1" applyFont="1" applyBorder="1"/>
    <xf numFmtId="184" fontId="102" fillId="0" borderId="25" xfId="36" applyNumberFormat="1" applyFont="1" applyBorder="1"/>
    <xf numFmtId="184" fontId="37" fillId="0" borderId="25" xfId="36" applyNumberFormat="1" applyFont="1" applyBorder="1"/>
    <xf numFmtId="168" fontId="107" fillId="0" borderId="25" xfId="64" applyNumberFormat="1" applyFont="1" applyBorder="1"/>
    <xf numFmtId="168" fontId="72" fillId="0" borderId="25" xfId="64" applyNumberFormat="1" applyFont="1" applyBorder="1"/>
    <xf numFmtId="184" fontId="114" fillId="0" borderId="25" xfId="36" applyNumberFormat="1" applyFont="1" applyBorder="1"/>
    <xf numFmtId="164" fontId="76" fillId="0" borderId="25" xfId="1" applyNumberFormat="1" applyFont="1" applyBorder="1"/>
    <xf numFmtId="0" fontId="42" fillId="0" borderId="25" xfId="1" applyFont="1" applyFill="1" applyBorder="1"/>
    <xf numFmtId="177" fontId="42" fillId="0" borderId="25" xfId="36" applyNumberFormat="1" applyFont="1" applyBorder="1"/>
    <xf numFmtId="44" fontId="25" fillId="0" borderId="1" xfId="42" applyFont="1" applyBorder="1"/>
    <xf numFmtId="164" fontId="40" fillId="0" borderId="1" xfId="1" applyNumberFormat="1" applyFont="1" applyBorder="1"/>
    <xf numFmtId="43" fontId="40" fillId="0" borderId="1" xfId="36" applyFont="1" applyBorder="1"/>
    <xf numFmtId="43" fontId="106" fillId="0" borderId="1" xfId="36" applyFont="1" applyBorder="1"/>
    <xf numFmtId="177" fontId="40" fillId="0" borderId="1" xfId="36" applyNumberFormat="1" applyFont="1" applyBorder="1"/>
    <xf numFmtId="164" fontId="351" fillId="0" borderId="20" xfId="1" applyNumberFormat="1" applyFont="1" applyFill="1" applyBorder="1"/>
    <xf numFmtId="164" fontId="352" fillId="0" borderId="20" xfId="1" applyNumberFormat="1" applyFont="1" applyFill="1" applyBorder="1"/>
    <xf numFmtId="177" fontId="352" fillId="0" borderId="20" xfId="1" applyNumberFormat="1" applyFont="1" applyFill="1" applyBorder="1"/>
    <xf numFmtId="168" fontId="24" fillId="0" borderId="2" xfId="68" applyNumberFormat="1" applyFont="1" applyFill="1" applyBorder="1"/>
    <xf numFmtId="164" fontId="351" fillId="0" borderId="19" xfId="1" applyNumberFormat="1" applyFont="1" applyFill="1" applyBorder="1"/>
    <xf numFmtId="43" fontId="37" fillId="0" borderId="0" xfId="1" applyNumberFormat="1" applyFont="1" applyBorder="1"/>
    <xf numFmtId="168" fontId="145" fillId="15" borderId="21" xfId="68" applyNumberFormat="1" applyFont="1" applyFill="1" applyBorder="1"/>
    <xf numFmtId="189" fontId="25" fillId="0" borderId="0" xfId="42" applyNumberFormat="1" applyFont="1" applyFill="1" applyBorder="1"/>
    <xf numFmtId="9" fontId="25" fillId="0" borderId="0" xfId="64" applyFont="1" applyFill="1" applyBorder="1"/>
    <xf numFmtId="189" fontId="27" fillId="0" borderId="20" xfId="42" applyNumberFormat="1" applyFont="1" applyFill="1" applyBorder="1" applyAlignment="1">
      <alignment horizontal="right"/>
    </xf>
    <xf numFmtId="209" fontId="152" fillId="0" borderId="20" xfId="1" applyNumberFormat="1" applyFont="1" applyFill="1" applyBorder="1" applyAlignment="1"/>
    <xf numFmtId="174" fontId="25" fillId="0" borderId="25" xfId="1" applyNumberFormat="1" applyFont="1" applyBorder="1" applyAlignment="1">
      <alignment horizontal="centerContinuous"/>
    </xf>
    <xf numFmtId="174" fontId="25" fillId="0" borderId="31" xfId="1" applyNumberFormat="1" applyFont="1" applyBorder="1" applyAlignment="1">
      <alignment horizontal="centerContinuous"/>
    </xf>
    <xf numFmtId="0" fontId="19" fillId="104" borderId="0" xfId="26519" applyFont="1" applyFill="1" applyAlignment="1">
      <alignment vertical="top"/>
    </xf>
    <xf numFmtId="0" fontId="19" fillId="104" borderId="0" xfId="4656" applyFill="1" applyAlignment="1">
      <alignment vertical="top"/>
    </xf>
    <xf numFmtId="0" fontId="19" fillId="104" borderId="0" xfId="4656" applyFill="1"/>
    <xf numFmtId="0" fontId="24" fillId="104" borderId="0" xfId="26519" applyFont="1" applyFill="1" applyAlignment="1">
      <alignment horizontal="left" vertical="top"/>
    </xf>
    <xf numFmtId="0" fontId="19" fillId="104" borderId="0" xfId="4656" applyFont="1" applyFill="1" applyAlignment="1">
      <alignment vertical="top"/>
    </xf>
    <xf numFmtId="0" fontId="52" fillId="104" borderId="0" xfId="26519" applyFont="1" applyFill="1" applyAlignment="1">
      <alignment vertical="top"/>
    </xf>
    <xf numFmtId="0" fontId="0" fillId="104" borderId="0" xfId="0" applyFill="1" applyAlignment="1">
      <alignment vertical="top"/>
    </xf>
    <xf numFmtId="0" fontId="353" fillId="104" borderId="0" xfId="0" applyFont="1" applyFill="1" applyAlignment="1">
      <alignment vertical="top"/>
    </xf>
    <xf numFmtId="0" fontId="354" fillId="104" borderId="0" xfId="0" applyFont="1" applyFill="1" applyAlignment="1">
      <alignment vertical="top"/>
    </xf>
    <xf numFmtId="0" fontId="354" fillId="104" borderId="0" xfId="0" applyFont="1" applyFill="1" applyAlignment="1">
      <alignment vertical="top"/>
    </xf>
    <xf numFmtId="0" fontId="353" fillId="104" borderId="0" xfId="0" applyFont="1" applyFill="1" applyAlignment="1">
      <alignment vertical="top"/>
    </xf>
    <xf numFmtId="0" fontId="0" fillId="104" borderId="0" xfId="0" applyFill="1" applyAlignment="1">
      <alignment vertical="top"/>
    </xf>
    <xf numFmtId="0" fontId="0" fillId="104" borderId="68" xfId="0" applyFill="1" applyBorder="1" applyAlignment="1">
      <alignment vertical="top"/>
    </xf>
    <xf numFmtId="0" fontId="353" fillId="104" borderId="64" xfId="0" applyFont="1" applyFill="1" applyBorder="1" applyAlignment="1">
      <alignment vertical="top"/>
    </xf>
    <xf numFmtId="0" fontId="353" fillId="104" borderId="65" xfId="0" applyFont="1" applyFill="1" applyBorder="1" applyAlignment="1">
      <alignment vertical="top"/>
    </xf>
    <xf numFmtId="0" fontId="353" fillId="104" borderId="66" xfId="0" applyFont="1" applyFill="1" applyBorder="1" applyAlignment="1">
      <alignment vertical="top"/>
    </xf>
    <xf numFmtId="0" fontId="353" fillId="104" borderId="67" xfId="0" applyFont="1" applyFill="1" applyBorder="1" applyAlignment="1">
      <alignment vertical="top"/>
    </xf>
    <xf numFmtId="9" fontId="353" fillId="104" borderId="64" xfId="0" applyNumberFormat="1" applyFont="1" applyFill="1" applyBorder="1" applyAlignment="1">
      <alignment vertical="top"/>
    </xf>
    <xf numFmtId="3" fontId="353" fillId="104" borderId="64" xfId="0" applyNumberFormat="1" applyFont="1" applyFill="1" applyBorder="1" applyAlignment="1">
      <alignment vertical="top"/>
    </xf>
    <xf numFmtId="0" fontId="0" fillId="104" borderId="69" xfId="0" applyFill="1" applyBorder="1" applyAlignment="1">
      <alignment vertical="top"/>
    </xf>
    <xf numFmtId="2" fontId="19" fillId="0" borderId="0" xfId="4656" applyNumberFormat="1" applyAlignment="1">
      <alignment horizontal="left"/>
    </xf>
    <xf numFmtId="0" fontId="19" fillId="0" borderId="0" xfId="4656" applyNumberFormat="1" applyAlignment="1">
      <alignment horizontal="left"/>
    </xf>
    <xf numFmtId="1" fontId="19" fillId="0" borderId="0" xfId="4656" applyNumberFormat="1" applyAlignment="1">
      <alignment horizontal="left"/>
    </xf>
    <xf numFmtId="0" fontId="19" fillId="0" borderId="0" xfId="4656" applyFont="1"/>
    <xf numFmtId="289" fontId="19" fillId="0" borderId="0" xfId="4656" applyNumberFormat="1" applyAlignment="1">
      <alignment horizontal="left"/>
    </xf>
    <xf numFmtId="49" fontId="19" fillId="0" borderId="0" xfId="4656" applyNumberFormat="1"/>
  </cellXfs>
  <cellStyles count="26520">
    <cellStyle name="-" xfId="99"/>
    <cellStyle name=" 1" xfId="2239"/>
    <cellStyle name=" 1 2" xfId="2240"/>
    <cellStyle name=" 1 2 2" xfId="4665"/>
    <cellStyle name="_x000a_386grabber=M" xfId="1"/>
    <cellStyle name="_x000a_386grabber=M 2" xfId="2"/>
    <cellStyle name="_x000a_386grabber=M 2 2" xfId="91"/>
    <cellStyle name="_x000a_386grabber=M 2 2 2" xfId="2241"/>
    <cellStyle name="_x000a_386grabber=M 2 3" xfId="2242"/>
    <cellStyle name="_x000a_386grabber=M 2 3 2" xfId="2243"/>
    <cellStyle name="_x000a_386grabber=M 3" xfId="90"/>
    <cellStyle name="_x000a_386grabber=M 3 2" xfId="2244"/>
    <cellStyle name="_x000a_386grabber=M 3 2 2" xfId="2245"/>
    <cellStyle name="_x000a_386grabber=M 3 2 2 2" xfId="6138"/>
    <cellStyle name="_x000a_386grabber=M 3 2 2 3" xfId="5974"/>
    <cellStyle name="_x000a_386grabber=M 3 2 3" xfId="2246"/>
    <cellStyle name="_x000a_386grabber=M 3 2 3 2" xfId="6035"/>
    <cellStyle name="_x000a_386grabber=M 3 2 4" xfId="5966"/>
    <cellStyle name="_x000a_386grabber=M 3 3" xfId="5967"/>
    <cellStyle name="_x000a_386grabber=M 4" xfId="1935"/>
    <cellStyle name="_x000a_386grabber=M 4 2" xfId="2248"/>
    <cellStyle name="_x000a_386grabber=M 4 3" xfId="2247"/>
    <cellStyle name="_x000a_386grabber=M 5" xfId="2249"/>
    <cellStyle name="_x000d__x000a_JournalTemplate=C:\COMFO\CTALK\JOURSTD.TPL_x000d__x000a_LbStateAddress=3 3 0 251 1 89 2 311_x000d__x000a_LbStateJou" xfId="1936"/>
    <cellStyle name="$" xfId="2250"/>
    <cellStyle name="$ &amp; ¢" xfId="2251"/>
    <cellStyle name="$ 1 decimal" xfId="100"/>
    <cellStyle name="$_AA - BenefitsBonus " xfId="2252"/>
    <cellStyle name="%" xfId="101"/>
    <cellStyle name="% 2" xfId="102"/>
    <cellStyle name="% 2 2" xfId="103"/>
    <cellStyle name="% 2 2 2" xfId="1521"/>
    <cellStyle name="% 2 2 2 2" xfId="2253"/>
    <cellStyle name="% 2 2 3" xfId="2254"/>
    <cellStyle name="% 2 3" xfId="1520"/>
    <cellStyle name="% 2 3 2" xfId="2255"/>
    <cellStyle name="% 2 4" xfId="2256"/>
    <cellStyle name="% 3" xfId="104"/>
    <cellStyle name="% 3 2" xfId="1368"/>
    <cellStyle name="% 3 2 2" xfId="2257"/>
    <cellStyle name="% 3 3" xfId="2258"/>
    <cellStyle name="% 4" xfId="886"/>
    <cellStyle name="% 4 2" xfId="1519"/>
    <cellStyle name="% 4 2 2" xfId="5921"/>
    <cellStyle name="% 4 3" xfId="5917"/>
    <cellStyle name="% 5" xfId="1518"/>
    <cellStyle name="% 5 2" xfId="2259"/>
    <cellStyle name="% 5 2 2" xfId="5377"/>
    <cellStyle name="% 5 3" xfId="5376"/>
    <cellStyle name="% 6" xfId="1938"/>
    <cellStyle name="% 6 2" xfId="5378"/>
    <cellStyle name="% 7" xfId="1937"/>
    <cellStyle name="% 7 2" xfId="2260"/>
    <cellStyle name="% 8" xfId="2261"/>
    <cellStyle name="% 8 2" xfId="2262"/>
    <cellStyle name="% Growth" xfId="2263"/>
    <cellStyle name="% of Revenues" xfId="2264"/>
    <cellStyle name="%.00" xfId="2265"/>
    <cellStyle name="%.00 2" xfId="2266"/>
    <cellStyle name="******************************************" xfId="1939"/>
    <cellStyle name="****************************************** 2" xfId="2267"/>
    <cellStyle name="****************************************** 3" xfId="2268"/>
    <cellStyle name="****************************************** 4" xfId="2269"/>
    <cellStyle name="****************************************** 4 2" xfId="4666"/>
    <cellStyle name="??" xfId="2270"/>
    <cellStyle name="?? [0.00]_HELPDESK" xfId="2271"/>
    <cellStyle name="?? [0]_??" xfId="2272"/>
    <cellStyle name="?? 2" xfId="4377"/>
    <cellStyle name="??&amp;O?&amp;H?_x0008_??_x0007__x0001__x0001_" xfId="2273"/>
    <cellStyle name="???? [0.00]_HELPDESK" xfId="2274"/>
    <cellStyle name="?????_VERA" xfId="2275"/>
    <cellStyle name="????_HELPDESK" xfId="2276"/>
    <cellStyle name="???[0]_For vlookup" xfId="4378"/>
    <cellStyle name="???_For vlookup" xfId="4379"/>
    <cellStyle name="??_?.????" xfId="2277"/>
    <cellStyle name="?@疾_2332JT3_2313COP2 " xfId="2278"/>
    <cellStyle name="?Q\?1@" xfId="105"/>
    <cellStyle name="?Q\?1@ 2" xfId="106"/>
    <cellStyle name="?Q\?1@ 2 2" xfId="2279"/>
    <cellStyle name="?Q\?1@ 3" xfId="1940"/>
    <cellStyle name="_2003AIMInformation for Reports" xfId="693"/>
    <cellStyle name="_2345" xfId="4380"/>
    <cellStyle name="_2345_Exhibit NB QoQ" xfId="4381"/>
    <cellStyle name="_2345_Exhibt NB MOM" xfId="4382"/>
    <cellStyle name="_2345_MBNB shipments_20080909" xfId="4383"/>
    <cellStyle name="_2345_MBNB shipments_20090309.wip" xfId="4384"/>
    <cellStyle name="_2345_MBNB shipments_Dec06_wip" xfId="4385"/>
    <cellStyle name="_2345_MBNB shipments_July07.wip" xfId="4386"/>
    <cellStyle name="_2345_NB-Mthly(0)" xfId="4387"/>
    <cellStyle name="_2345_TWN Top 4 MB 5 NB" xfId="4388"/>
    <cellStyle name="_2379-13" xfId="4389"/>
    <cellStyle name="_2379-13_Exhibit NB QoQ" xfId="4390"/>
    <cellStyle name="_2379-13_Exhibt NB MOM" xfId="4391"/>
    <cellStyle name="_2379-13_MBNB shipments_20080909" xfId="4392"/>
    <cellStyle name="_2379-13_MBNB shipments_20090309.wip" xfId="4393"/>
    <cellStyle name="_2379-13_MBNB shipments_Dec06_wip" xfId="4394"/>
    <cellStyle name="_2379-13_MBNB shipments_July07.wip" xfId="4395"/>
    <cellStyle name="_2379-13_NB-Mthly(0)" xfId="4396"/>
    <cellStyle name="_2379-13_TWN Top 4 MB 5 NB" xfId="4397"/>
    <cellStyle name="_2391_050503" xfId="4398"/>
    <cellStyle name="_2391_050503_Exhibit NB QoQ" xfId="4399"/>
    <cellStyle name="_2391_050503_Exhibt NB MOM" xfId="4400"/>
    <cellStyle name="_2391_050503_MBNB shipments_20080909" xfId="4401"/>
    <cellStyle name="_2391_050503_MBNB shipments_20090309.wip" xfId="4402"/>
    <cellStyle name="_2391_050503_MBNB shipments_Dec06_wip" xfId="4403"/>
    <cellStyle name="_2391_050503_MBNB shipments_July07.wip" xfId="4404"/>
    <cellStyle name="_2391_050503_NB-Mthly(0)" xfId="4405"/>
    <cellStyle name="_2391_050503_TWN Top 4 MB 5 NB" xfId="4406"/>
    <cellStyle name="_AA - BenefitsBonus " xfId="2280"/>
    <cellStyle name="_AAPL_MS_Model (2)" xfId="1941"/>
    <cellStyle name="_AC_InterContinental" xfId="2281"/>
    <cellStyle name="_AIMP Europe Stats May 2004" xfId="694"/>
    <cellStyle name="_AIMP Europe Stats May 2004 2" xfId="2282"/>
    <cellStyle name="_AIMP Europe Stats May 2004_Pivot Table Tips" xfId="2283"/>
    <cellStyle name="_All Public cubes and views" xfId="2284"/>
    <cellStyle name="_AMCCmodelware" xfId="1517"/>
    <cellStyle name="_AMCCmodelware 2" xfId="1516"/>
    <cellStyle name="_AMCCmodelware 2 2" xfId="1515"/>
    <cellStyle name="_AMCCmodelware 2 2 2" xfId="1514"/>
    <cellStyle name="_AMCCmodelware 2 2 2 2" xfId="2285"/>
    <cellStyle name="_AMCCmodelware 2 2 3" xfId="2286"/>
    <cellStyle name="_AMCCmodelware 2 3" xfId="1513"/>
    <cellStyle name="_AMCCmodelware 2 3 2" xfId="2287"/>
    <cellStyle name="_AMCCmodelware 2 4" xfId="2288"/>
    <cellStyle name="_AMCCmodelware 3" xfId="1512"/>
    <cellStyle name="_AMCCmodelware 3 2" xfId="1511"/>
    <cellStyle name="_AMCCmodelware 3 2 2" xfId="2289"/>
    <cellStyle name="_AMCCmodelware 3 3" xfId="2290"/>
    <cellStyle name="_AMCCmodelware 4" xfId="1510"/>
    <cellStyle name="_AMCCmodelware 4 2" xfId="2291"/>
    <cellStyle name="_AMCCmodelware 5" xfId="2292"/>
    <cellStyle name="_Analyst_Coverage_Map" xfId="2293"/>
    <cellStyle name="_Annaul model" xfId="4407"/>
    <cellStyle name="_ARX Modelware (12)" xfId="1509"/>
    <cellStyle name="_ARX QoQ Chart" xfId="1508"/>
    <cellStyle name="_asustek0613" xfId="4408"/>
    <cellStyle name="_asustek0613_Exhibit NB QoQ" xfId="4409"/>
    <cellStyle name="_asustek0613_Exhibt NB MOM" xfId="4410"/>
    <cellStyle name="_asustek0613_MBNB shipments_20080909" xfId="4411"/>
    <cellStyle name="_asustek0613_MBNB shipments_20090309.wip" xfId="4412"/>
    <cellStyle name="_asustek0613_MBNB shipments_Dec06_wip" xfId="4413"/>
    <cellStyle name="_asustek0613_MBNB shipments_July07.wip" xfId="4414"/>
    <cellStyle name="_asustek0613_NB-Mthly(0)" xfId="4415"/>
    <cellStyle name="_asustek0613_TWN Top 4 MB 5 NB" xfId="4416"/>
    <cellStyle name="_Book1" xfId="695"/>
    <cellStyle name="_Book2" xfId="4417"/>
    <cellStyle name="_Book2_Exhibit NB QoQ" xfId="4418"/>
    <cellStyle name="_Book2_Exhibt NB MOM" xfId="4419"/>
    <cellStyle name="_Book2_MBNB shipments_20080909" xfId="4420"/>
    <cellStyle name="_Book2_MBNB shipments_20090309.wip" xfId="4421"/>
    <cellStyle name="_Book2_MBNB shipments_Dec06_wip" xfId="4422"/>
    <cellStyle name="_Book2_MBNB shipments_July07.wip" xfId="4423"/>
    <cellStyle name="_Book2_NB-Mthly(0)" xfId="4424"/>
    <cellStyle name="_Book2_TWN Top 4 MB 5 NB" xfId="4425"/>
    <cellStyle name="_Book7" xfId="4426"/>
    <cellStyle name="_Book7_Exhibit NB QoQ" xfId="4427"/>
    <cellStyle name="_Book7_Exhibt NB MOM" xfId="4428"/>
    <cellStyle name="_Book7_MBNB shipments_20080909" xfId="4429"/>
    <cellStyle name="_Book7_MBNB shipments_20090309.wip" xfId="4430"/>
    <cellStyle name="_Book7_MBNB shipments_Dec06_wip" xfId="4431"/>
    <cellStyle name="_Book7_MBNB shipments_July07.wip" xfId="4432"/>
    <cellStyle name="_Book7_NB-Mthly(0)" xfId="4433"/>
    <cellStyle name="_Book7_TWN Top 4 MB 5 NB" xfId="4434"/>
    <cellStyle name="_Broadcasting&amp;Cable" xfId="2294"/>
    <cellStyle name="_By Technology, Market Share_Copy of Model2018_AAC_(WIP) " xfId="2295"/>
    <cellStyle name="_By Technology, Market Share_Copy of Model2018_AAC_(WIP)  2" xfId="5379"/>
    <cellStyle name="_CAVM Modelware" xfId="1507"/>
    <cellStyle name="_CAVM WIP" xfId="2296"/>
    <cellStyle name="_CAVM_122910 v.2" xfId="1506"/>
    <cellStyle name="_CFA10" xfId="2297"/>
    <cellStyle name="_CFA4" xfId="2298"/>
    <cellStyle name="_Change since preliminary  - page for decision support workbook" xfId="2299"/>
    <cellStyle name="_Chartered_Copy of Model2018_AAC_(WIP) " xfId="2300"/>
    <cellStyle name="_Chartered_Copy of Model2018_AAC_(WIP)  2" xfId="5380"/>
    <cellStyle name="_Chartered_Ichia Model2402_Modelware_Copy of Model2018_AAC_(WIP) " xfId="2301"/>
    <cellStyle name="_Chartered_Ichia Model2402_Modelware_Copy of Model2018_AAC_(WIP)  2" xfId="5381"/>
    <cellStyle name="_Chartered_Model_2402(New)_Modelware_Copy of Model2018_AAC_(WIP) " xfId="2302"/>
    <cellStyle name="_Chartered_Model_2402(New)_Modelware_Copy of Model2018_AAC_(WIP)  2" xfId="5382"/>
    <cellStyle name="_Chartered_Model_3311(New)_Copy of Model2018_AAC_(WIP) " xfId="2303"/>
    <cellStyle name="_Chartered_Model_3311(New)_Copy of Model2018_AAC_(WIP)  2" xfId="5888"/>
    <cellStyle name="_Comma_AA - BenefitsBonus " xfId="2304"/>
    <cellStyle name="_Copy of ITGIWWDBDA02_ITGI02" xfId="2305"/>
    <cellStyle name="_Copy of Model2018_AAC_(WIP) " xfId="2306"/>
    <cellStyle name="_Copy of Model2018_AAC_(WIP)  2" xfId="5383"/>
    <cellStyle name="_Country" xfId="2307"/>
    <cellStyle name="_Country distribution--Reference" xfId="2308"/>
    <cellStyle name="_Currency_AA - BenefitsBonus " xfId="2309"/>
    <cellStyle name="_CurrencySpace_AA - BenefitsBonus " xfId="2310"/>
    <cellStyle name="_DA" xfId="2311"/>
    <cellStyle name="_Data (2)" xfId="5847"/>
    <cellStyle name="_DPA" xfId="2312"/>
    <cellStyle name="_DQDMS-check" xfId="2313"/>
    <cellStyle name="_DQDMS-check 2" xfId="2314"/>
    <cellStyle name="_EBS Template" xfId="4435"/>
    <cellStyle name="_EBS Template_Exhibit NB QoQ" xfId="4436"/>
    <cellStyle name="_EBS Template_Exhibt NB MOM" xfId="4437"/>
    <cellStyle name="_EBS Template_MBNB shipments_20080909" xfId="4438"/>
    <cellStyle name="_EBS Template_MBNB shipments_20090309.wip" xfId="4439"/>
    <cellStyle name="_EBS Template_MBNB shipments_Dec06_wip" xfId="4440"/>
    <cellStyle name="_EBS Template_MBNB shipments_July07.wip" xfId="4441"/>
    <cellStyle name="_EBS Template_NB-Mthly(0)" xfId="4442"/>
    <cellStyle name="_EBS Template_TWN Top 4 MB 5 NB" xfId="4443"/>
    <cellStyle name="_EBS Template1" xfId="4444"/>
    <cellStyle name="_EBS Template1_Exhibit NB QoQ" xfId="4445"/>
    <cellStyle name="_EBS Template1_Exhibt NB MOM" xfId="4446"/>
    <cellStyle name="_EBS Template1_MBNB shipments_20080909" xfId="4447"/>
    <cellStyle name="_EBS Template1_MBNB shipments_20090309.wip" xfId="4448"/>
    <cellStyle name="_EBS Template1_MBNB shipments_Dec06_wip" xfId="4449"/>
    <cellStyle name="_EBS Template1_MBNB shipments_July07.wip" xfId="4450"/>
    <cellStyle name="_EBS Template1_NB-Mthly(0)" xfId="4451"/>
    <cellStyle name="_EBS Template1_TWN Top 4 MB 5 NB" xfId="4452"/>
    <cellStyle name="_EPS" xfId="2315"/>
    <cellStyle name="_EPS1" xfId="2316"/>
    <cellStyle name="_exchange rates" xfId="696"/>
    <cellStyle name="_exchange rates 2" xfId="2317"/>
    <cellStyle name="_Exhibit NB QoQ" xfId="4453"/>
    <cellStyle name="_Exhibt NB MOM" xfId="4454"/>
    <cellStyle name="_Fall 2002 IT Services Forecast Supplement" xfId="697"/>
    <cellStyle name="_Fall 2002 IT Services Forecast Supplement 2" xfId="2318"/>
    <cellStyle name="_Fall 2002 IT Services Forecast Supplement_Japan Worstcase" xfId="2319"/>
    <cellStyle name="_Fall 2002 IT Services Forecast Supplement_Japan Worstcase 2" xfId="2320"/>
    <cellStyle name="_Forecast Enterprise Software Markets, Worldwide, 2008-2013, 3Q09 Update 10-sept-09" xfId="2321"/>
    <cellStyle name="_Forecast Review -Fall 2002 IT Services Nov 13" xfId="698"/>
    <cellStyle name="_Forecast Review -Fall 2002 IT Services Nov 13 2" xfId="2322"/>
    <cellStyle name="_Forecast Review -Fall 2002 IT Services Nov 13_Japan Worstcase" xfId="2323"/>
    <cellStyle name="_Forecast Review -Fall 2002 IT Services Nov 13_Japan Worstcase 2" xfId="2324"/>
    <cellStyle name="_forecast_enterprise_software_166478" xfId="2325"/>
    <cellStyle name="_Forward Looking" xfId="5927"/>
    <cellStyle name="_FSL WIP" xfId="1942"/>
    <cellStyle name="_GMT_070822" xfId="2326"/>
    <cellStyle name="_GMT_070822 2" xfId="5384"/>
    <cellStyle name="_Google Inc_Draft_112907_OPT for MSFT" xfId="2327"/>
    <cellStyle name="_Growth charts" xfId="5563"/>
    <cellStyle name="_Growth data" xfId="5848"/>
    <cellStyle name="—_GS_Cash " xfId="2328"/>
    <cellStyle name="—_GS_Cash  2" xfId="2329"/>
    <cellStyle name="—_GS_Cash  2 2" xfId="4667"/>
    <cellStyle name="_IBMNorth America2005 YR" xfId="2330"/>
    <cellStyle name="_Ichia Model2402_Modelware_Copy of Model2018_AAC_(WIP) " xfId="2331"/>
    <cellStyle name="_Ichia Model2402_Modelware_Copy of Model2018_AAC_(WIP)  2" xfId="5385"/>
    <cellStyle name="_Info" xfId="699"/>
    <cellStyle name="_Internal--Forecast Accuracy" xfId="700"/>
    <cellStyle name="_Internal--Market Share and Service Line Forecast" xfId="701"/>
    <cellStyle name="_Internal--Market Share and Vertical Forecast" xfId="702"/>
    <cellStyle name="_IT Databook - Pivot_Sep09" xfId="2332"/>
    <cellStyle name="_IT Services Forecast Decision Support--Sept 2007" xfId="2333"/>
    <cellStyle name="_IT Services Forecast Decision Support--Sept 2007_Japan Worstcase" xfId="2334"/>
    <cellStyle name="_IT Services Forecast Decision Support--Sept 2007_Japan Worstcase 2" xfId="2335"/>
    <cellStyle name="_ITBOWWDBDA01_ITBOWWFC" xfId="2336"/>
    <cellStyle name="_ITDatabook_hardware_Jun09_v1" xfId="2337"/>
    <cellStyle name="_ITGIWW 2008-07" xfId="2338"/>
    <cellStyle name="_ITSTWWDBDA01_ITSTWWFC" xfId="2339"/>
    <cellStyle name="_IV6" xfId="2340"/>
    <cellStyle name="_Japan Worstcase" xfId="2341"/>
    <cellStyle name="_Japan Worstcase 2" xfId="2342"/>
    <cellStyle name="_JapaneseCatalog" xfId="2343"/>
    <cellStyle name="_LLTC WIP_ASR" xfId="5928"/>
    <cellStyle name="_LSI Modelware_021111" xfId="1504"/>
    <cellStyle name="_LSI Modelware_021111 2" xfId="1503"/>
    <cellStyle name="_LSI Modelware_021111 2 2" xfId="1502"/>
    <cellStyle name="_LSI Modelware_021111 2 2 2" xfId="1500"/>
    <cellStyle name="_LSI Modelware_021111 2 2 2 2" xfId="2344"/>
    <cellStyle name="_LSI Modelware_021111 2 2 3" xfId="2345"/>
    <cellStyle name="_LSI Modelware_021111 2 3" xfId="1499"/>
    <cellStyle name="_LSI Modelware_021111 2 3 2" xfId="2346"/>
    <cellStyle name="_LSI Modelware_021111 2 4" xfId="2347"/>
    <cellStyle name="_LSI Modelware_021111 3" xfId="1498"/>
    <cellStyle name="_LSI Modelware_021111 3 2" xfId="1497"/>
    <cellStyle name="_LSI Modelware_021111 3 2 2" xfId="2348"/>
    <cellStyle name="_LSI Modelware_021111 3 3" xfId="2349"/>
    <cellStyle name="_LSI Modelware_021111 4" xfId="1496"/>
    <cellStyle name="_LSI Modelware_021111 4 2" xfId="2350"/>
    <cellStyle name="_LSI Modelware_021111 5" xfId="2351"/>
    <cellStyle name="_LSI Modelware_021611" xfId="1494"/>
    <cellStyle name="_LSI Modelware_021611 2" xfId="1493"/>
    <cellStyle name="_LSI Modelware_021611 2 2" xfId="1492"/>
    <cellStyle name="_LSI Modelware_021611 2 2 2" xfId="1491"/>
    <cellStyle name="_LSI Modelware_021611 2 2 2 2" xfId="2352"/>
    <cellStyle name="_LSI Modelware_021611 2 2 3" xfId="2353"/>
    <cellStyle name="_LSI Modelware_021611 2 3" xfId="1490"/>
    <cellStyle name="_LSI Modelware_021611 2 3 2" xfId="2354"/>
    <cellStyle name="_LSI Modelware_021611 2 4" xfId="2355"/>
    <cellStyle name="_LSI Modelware_021611 3" xfId="1489"/>
    <cellStyle name="_LSI Modelware_021611 3 2" xfId="1488"/>
    <cellStyle name="_LSI Modelware_021611 3 2 2" xfId="2356"/>
    <cellStyle name="_LSI Modelware_021611 3 3" xfId="2357"/>
    <cellStyle name="_LSI Modelware_021611 4" xfId="1487"/>
    <cellStyle name="_LSI Modelware_021611 4 2" xfId="2358"/>
    <cellStyle name="_LSI Modelware_021611 5" xfId="2359"/>
    <cellStyle name="_LSI_012511 (5)" xfId="1486"/>
    <cellStyle name="_LSI_012511 (5) 2" xfId="1485"/>
    <cellStyle name="_LSI_012511 (5) 2 2" xfId="1484"/>
    <cellStyle name="_LSI_012511 (5) 2 2 2" xfId="1483"/>
    <cellStyle name="_LSI_012511 (5) 2 2 2 2" xfId="2360"/>
    <cellStyle name="_LSI_012511 (5) 2 2 3" xfId="2361"/>
    <cellStyle name="_LSI_012511 (5) 2 3" xfId="1482"/>
    <cellStyle name="_LSI_012511 (5) 2 3 2" xfId="2362"/>
    <cellStyle name="_LSI_012511 (5) 2 4" xfId="2363"/>
    <cellStyle name="_LSI_012511 (5) 3" xfId="1481"/>
    <cellStyle name="_LSI_012511 (5) 3 2" xfId="1480"/>
    <cellStyle name="_LSI_012511 (5) 3 2 2" xfId="2364"/>
    <cellStyle name="_LSI_012511 (5) 3 3" xfId="2365"/>
    <cellStyle name="_LSI_012511 (5) 4" xfId="1479"/>
    <cellStyle name="_LSI_012511 (5) 4 2" xfId="2366"/>
    <cellStyle name="_LSI_012511 (5) 5" xfId="2367"/>
    <cellStyle name="_LXK_MS_Model_wip" xfId="2368"/>
    <cellStyle name="_Market sizing Generic" xfId="703"/>
    <cellStyle name="_MBNB shipments_20080909" xfId="4455"/>
    <cellStyle name="_MBNB shipments_20090309.wip" xfId="4456"/>
    <cellStyle name="_MBNB shipments_Dec06_wip" xfId="4457"/>
    <cellStyle name="_MBNB shipments_July07.wip" xfId="4458"/>
    <cellStyle name="_Metrics1" xfId="2369"/>
    <cellStyle name="_Metrics11" xfId="2370"/>
    <cellStyle name="_Metrics13" xfId="2371"/>
    <cellStyle name="_Metrics3" xfId="2372"/>
    <cellStyle name="_Metrics5" xfId="2373"/>
    <cellStyle name="_Metrics7" xfId="2374"/>
    <cellStyle name="_Metrics9" xfId="2375"/>
    <cellStyle name="_Mkt Seg SRS Shell" xfId="804"/>
    <cellStyle name="_Mkt Seg SRS Shell 2" xfId="2376"/>
    <cellStyle name="_Model_2402(New)_Modelware_Copy of Model2018_AAC_(WIP) " xfId="2377"/>
    <cellStyle name="_Model_2402(New)_Modelware_Copy of Model2018_AAC_(WIP)  2" xfId="5386"/>
    <cellStyle name="_Model_3311(New)_Copy of Model2018_AAC_(WIP) " xfId="2378"/>
    <cellStyle name="_Model_3311(New)_Copy of Model2018_AAC_(WIP)  2" xfId="5387"/>
    <cellStyle name="_Model2394" xfId="4459"/>
    <cellStyle name="_Model2394_Exhibit NB QoQ" xfId="4460"/>
    <cellStyle name="_Model2394_Exhibt NB MOM" xfId="4461"/>
    <cellStyle name="_Model2394_MBNB shipments_20080909" xfId="4462"/>
    <cellStyle name="_Model2394_MBNB shipments_20090309.wip" xfId="4463"/>
    <cellStyle name="_Model2394_MBNB shipments_Dec06_wip" xfId="4464"/>
    <cellStyle name="_Model2394_MBNB shipments_July07.wip" xfId="4465"/>
    <cellStyle name="_Model2394_NB-Mthly(0)" xfId="4466"/>
    <cellStyle name="_Model2394_TWN Top 4 MB 5 NB" xfId="4467"/>
    <cellStyle name="_Model2401_2Q03result" xfId="4468"/>
    <cellStyle name="_Model2401_2Q03result_Exhibit NB QoQ" xfId="4469"/>
    <cellStyle name="_Model2401_2Q03result_Exhibt NB MOM" xfId="4470"/>
    <cellStyle name="_Model2401_2Q03result_MBNB shipments_20080909" xfId="4471"/>
    <cellStyle name="_Model2401_2Q03result_MBNB shipments_20090309.wip" xfId="4472"/>
    <cellStyle name="_Model2401_2Q03result_MBNB shipments_Dec06_wip" xfId="4473"/>
    <cellStyle name="_Model2401_2Q03result_MBNB shipments_July07.wip" xfId="4474"/>
    <cellStyle name="_Model2401_2Q03result_NB-Mthly(0)" xfId="4475"/>
    <cellStyle name="_Model2401_2Q03result_TWN Top 4 MB 5 NB" xfId="4476"/>
    <cellStyle name="_Model3008_08'03" xfId="4477"/>
    <cellStyle name="_Model3008_08'03_Exhibit NB QoQ" xfId="4478"/>
    <cellStyle name="_Model3008_08'03_Exhibt NB MOM" xfId="4479"/>
    <cellStyle name="_Model3008_08'03_MBNB shipments_20080909" xfId="4480"/>
    <cellStyle name="_Model3008_08'03_MBNB shipments_20090309.wip" xfId="4481"/>
    <cellStyle name="_Model3008_08'03_MBNB shipments_Dec06_wip" xfId="4482"/>
    <cellStyle name="_Model3008_08'03_MBNB shipments_July07.wip" xfId="4483"/>
    <cellStyle name="_Model3008_08'03_NB-Mthly(0)" xfId="4484"/>
    <cellStyle name="_Model3008_08'03_TWN Top 4 MB 5 NB" xfId="4485"/>
    <cellStyle name="_Model3019_08'03" xfId="4486"/>
    <cellStyle name="_Model3019_08'03_Exhibit NB QoQ" xfId="4487"/>
    <cellStyle name="_Model3019_08'03_Exhibt NB MOM" xfId="4488"/>
    <cellStyle name="_Model3019_08'03_MBNB shipments_20080909" xfId="4489"/>
    <cellStyle name="_Model3019_08'03_MBNB shipments_20090309.wip" xfId="4490"/>
    <cellStyle name="_Model3019_08'03_MBNB shipments_Dec06_wip" xfId="4491"/>
    <cellStyle name="_Model3019_08'03_MBNB shipments_July07.wip" xfId="4492"/>
    <cellStyle name="_Model3019_08'03_NB-Mthly(0)" xfId="4493"/>
    <cellStyle name="_Model3019_08'03_TWN Top 4 MB 5 NB" xfId="4494"/>
    <cellStyle name="_Model3059" xfId="4495"/>
    <cellStyle name="_Model3059_Exhibit NB QoQ" xfId="4496"/>
    <cellStyle name="_Model3059_Exhibt NB MOM" xfId="4497"/>
    <cellStyle name="_Model3059_MBNB shipments_20080909" xfId="4498"/>
    <cellStyle name="_Model3059_MBNB shipments_20090309.wip" xfId="4499"/>
    <cellStyle name="_Model3059_MBNB shipments_Dec06_wip" xfId="4500"/>
    <cellStyle name="_Model3059_MBNB shipments_July07.wip" xfId="4501"/>
    <cellStyle name="_Model3059_NB-Mthly(0)" xfId="4502"/>
    <cellStyle name="_Model3059_TWN Top 4 MB 5 NB" xfId="4503"/>
    <cellStyle name="_Monthly sales" xfId="4504"/>
    <cellStyle name="_Multiple_AA - BenefitsBonus " xfId="2379"/>
    <cellStyle name="_MultipleSpace_AA - BenefitsBonus " xfId="2380"/>
    <cellStyle name="_MW_CFA" xfId="2381"/>
    <cellStyle name="_MWAnalytics" xfId="2382"/>
    <cellStyle name="_NB-Mthly(0)" xfId="4505"/>
    <cellStyle name="_Percent_AA - BenefitsBonus " xfId="2383"/>
    <cellStyle name="_PercentSpace_AA - BenefitsBonus " xfId="2384"/>
    <cellStyle name="_Pivot AIMP 2003 2 June 2004 for publication" xfId="704"/>
    <cellStyle name="_Pivot AIMP 2003 2 June 2004 for publication 2" xfId="2385"/>
    <cellStyle name="_Pivot AIMP 2003 2 June 2004 for publication_Pivot Table Tips" xfId="2386"/>
    <cellStyle name="_Pivot_Table_templateApril05" xfId="2387"/>
    <cellStyle name="_prelim vs final" xfId="705"/>
    <cellStyle name="_Print Generic Charts Library" xfId="706"/>
    <cellStyle name="_Print Generic Charts Library 2" xfId="2388"/>
    <cellStyle name="_Print Generic Charts Library_Pivot Table Tips" xfId="2389"/>
    <cellStyle name="_Printers WW" xfId="2390"/>
    <cellStyle name="_quaterly model" xfId="4506"/>
    <cellStyle name="_Rama Other Companies" xfId="707"/>
    <cellStyle name="_Rama Other Companies 2" xfId="2391"/>
    <cellStyle name="_Rama Other Companies_Japan Worstcase" xfId="2392"/>
    <cellStyle name="_Rama Other Companies_Japan Worstcase 2" xfId="2393"/>
    <cellStyle name="_RI valuation" xfId="4507"/>
    <cellStyle name="_ROE2" xfId="2394"/>
    <cellStyle name="_ROE4" xfId="2395"/>
    <cellStyle name="_ROE8" xfId="2396"/>
    <cellStyle name="_RRS1" xfId="107"/>
    <cellStyle name="_RRS1 2" xfId="108"/>
    <cellStyle name="_RRS1 2 2" xfId="109"/>
    <cellStyle name="_RRS1 2 2 2" xfId="1475"/>
    <cellStyle name="_RRS1 2 2 2 2" xfId="2397"/>
    <cellStyle name="_RRS1 2 2 3" xfId="2398"/>
    <cellStyle name="_RRS1 2 3" xfId="1474"/>
    <cellStyle name="_RRS1 2 3 2" xfId="2399"/>
    <cellStyle name="_RRS1 2 4" xfId="2400"/>
    <cellStyle name="_RRS1 3" xfId="110"/>
    <cellStyle name="_RRS1 3 2" xfId="1359"/>
    <cellStyle name="_RRS1 3 2 2" xfId="2401"/>
    <cellStyle name="_RRS1 3 3" xfId="2402"/>
    <cellStyle name="_RRS1 4" xfId="888"/>
    <cellStyle name="_RRS1 4 2" xfId="1472"/>
    <cellStyle name="_RRS1 4 2 2" xfId="5389"/>
    <cellStyle name="_RRS1 4 3" xfId="5388"/>
    <cellStyle name="_RRS1 5" xfId="1471"/>
    <cellStyle name="_RRS1 5 2" xfId="2403"/>
    <cellStyle name="_RRS1 5 2 2" xfId="5391"/>
    <cellStyle name="_RRS1 5 3" xfId="5390"/>
    <cellStyle name="_RRS1 6" xfId="1944"/>
    <cellStyle name="_RRS1 6 2" xfId="5392"/>
    <cellStyle name="_RRS1 7" xfId="1943"/>
    <cellStyle name="_RRS1 7 2" xfId="2404"/>
    <cellStyle name="_RRS1 8" xfId="2405"/>
    <cellStyle name="_RRS1 8 2" xfId="2406"/>
    <cellStyle name="_RRS10" xfId="1470"/>
    <cellStyle name="_RRS10 2" xfId="1469"/>
    <cellStyle name="_RRS10 2 2" xfId="1467"/>
    <cellStyle name="_RRS10 2 2 2" xfId="1466"/>
    <cellStyle name="_RRS10 2 2 2 2" xfId="2407"/>
    <cellStyle name="_RRS10 2 2 3" xfId="2408"/>
    <cellStyle name="_RRS10 2 3" xfId="1465"/>
    <cellStyle name="_RRS10 2 3 2" xfId="2409"/>
    <cellStyle name="_RRS10 2 4" xfId="2410"/>
    <cellStyle name="_RRS10 3" xfId="1464"/>
    <cellStyle name="_RRS10 3 2" xfId="1463"/>
    <cellStyle name="_RRS10 3 2 2" xfId="2411"/>
    <cellStyle name="_RRS10 3 3" xfId="2412"/>
    <cellStyle name="_RRS10 4" xfId="1462"/>
    <cellStyle name="_RRS10 4 2" xfId="2413"/>
    <cellStyle name="_RRS10 5" xfId="2414"/>
    <cellStyle name="_RRS13" xfId="2415"/>
    <cellStyle name="_RRS15" xfId="2416"/>
    <cellStyle name="_RRS16" xfId="2417"/>
    <cellStyle name="_RRS2" xfId="2418"/>
    <cellStyle name="_RRS2 2" xfId="5889"/>
    <cellStyle name="_RRS20" xfId="2419"/>
    <cellStyle name="_RRS3" xfId="111"/>
    <cellStyle name="_RRS3 2" xfId="112"/>
    <cellStyle name="_RRS3 2 2" xfId="113"/>
    <cellStyle name="_RRS3 2 2 2" xfId="1460"/>
    <cellStyle name="_RRS3 2 2 2 2" xfId="2420"/>
    <cellStyle name="_RRS3 2 2 3" xfId="2421"/>
    <cellStyle name="_RRS3 2 3" xfId="1459"/>
    <cellStyle name="_RRS3 2 3 2" xfId="2422"/>
    <cellStyle name="_RRS3 2 4" xfId="2423"/>
    <cellStyle name="_RRS3 3" xfId="114"/>
    <cellStyle name="_RRS3 3 2" xfId="1356"/>
    <cellStyle name="_RRS3 3 2 2" xfId="2424"/>
    <cellStyle name="_RRS3 3 3" xfId="2425"/>
    <cellStyle name="_RRS3 4" xfId="889"/>
    <cellStyle name="_RRS3 4 2" xfId="1456"/>
    <cellStyle name="_RRS3 4 2 2" xfId="5890"/>
    <cellStyle name="_RRS3 4 3" xfId="5393"/>
    <cellStyle name="_RRS3 5" xfId="1455"/>
    <cellStyle name="_RRS3 5 2" xfId="2426"/>
    <cellStyle name="_RRS3 5 2 2" xfId="5395"/>
    <cellStyle name="_RRS3 5 3" xfId="5394"/>
    <cellStyle name="_RRS3 6" xfId="2427"/>
    <cellStyle name="_RRS3 6 2" xfId="5396"/>
    <cellStyle name="_RRS3 7" xfId="2428"/>
    <cellStyle name="_RRS3 7 2" xfId="2429"/>
    <cellStyle name="_RRS3 8" xfId="2430"/>
    <cellStyle name="_RRS3 8 2" xfId="2431"/>
    <cellStyle name="_RRS4" xfId="115"/>
    <cellStyle name="_RRS4 2" xfId="116"/>
    <cellStyle name="_RRS4 2 2" xfId="117"/>
    <cellStyle name="_RRS4 2 2 2" xfId="1454"/>
    <cellStyle name="_RRS4 2 2 2 2" xfId="2432"/>
    <cellStyle name="_RRS4 2 2 3" xfId="2433"/>
    <cellStyle name="_RRS4 2 3" xfId="1453"/>
    <cellStyle name="_RRS4 2 3 2" xfId="2434"/>
    <cellStyle name="_RRS4 2 4" xfId="2435"/>
    <cellStyle name="_RRS4 3" xfId="118"/>
    <cellStyle name="_RRS4 3 2" xfId="1355"/>
    <cellStyle name="_RRS4 3 2 2" xfId="2436"/>
    <cellStyle name="_RRS4 3 3" xfId="2437"/>
    <cellStyle name="_RRS4 4" xfId="891"/>
    <cellStyle name="_RRS4 4 2" xfId="1452"/>
    <cellStyle name="_RRS4 4 2 2" xfId="5397"/>
    <cellStyle name="_RRS4 4 3" xfId="5891"/>
    <cellStyle name="_RRS4 5" xfId="1451"/>
    <cellStyle name="_RRS4 5 2" xfId="2438"/>
    <cellStyle name="_RRS4 5 2 2" xfId="5399"/>
    <cellStyle name="_RRS4 5 3" xfId="5398"/>
    <cellStyle name="_RRS4 6" xfId="2439"/>
    <cellStyle name="_RRS4 6 2" xfId="5400"/>
    <cellStyle name="_RRS4 7" xfId="2440"/>
    <cellStyle name="_RRS4 7 2" xfId="2441"/>
    <cellStyle name="_RRS4 8" xfId="2442"/>
    <cellStyle name="_RRS4 8 2" xfId="2443"/>
    <cellStyle name="_RRS6" xfId="2444"/>
    <cellStyle name="_RRS8" xfId="2445"/>
    <cellStyle name="_sftwre_Dec08" xfId="2446"/>
    <cellStyle name="_Sheet1" xfId="2447"/>
    <cellStyle name="_SUMMARY " xfId="3"/>
    <cellStyle name="_SUMMARY  10" xfId="1353"/>
    <cellStyle name="_SUMMARY  10 2" xfId="2448"/>
    <cellStyle name="_SUMMARY  10 3" xfId="5975"/>
    <cellStyle name="_SUMMARY  11" xfId="1450"/>
    <cellStyle name="_SUMMARY  11 2" xfId="2449"/>
    <cellStyle name="_SUMMARY  12" xfId="1946"/>
    <cellStyle name="_SUMMARY  12 2" xfId="2450"/>
    <cellStyle name="_SUMMARY  12 3" xfId="2451"/>
    <cellStyle name="_SUMMARY  13" xfId="1945"/>
    <cellStyle name="_SUMMARY  13 2" xfId="2452"/>
    <cellStyle name="_SUMMARY  13 3" xfId="2453"/>
    <cellStyle name="_SUMMARY  14" xfId="2454"/>
    <cellStyle name="_SUMMARY  14 2" xfId="2455"/>
    <cellStyle name="_SUMMARY  2" xfId="119"/>
    <cellStyle name="_SUMMARY  2 2" xfId="120"/>
    <cellStyle name="_SUMMARY  2 2 2" xfId="1449"/>
    <cellStyle name="_SUMMARY  2 2 2 2" xfId="2456"/>
    <cellStyle name="_SUMMARY  2 2 3" xfId="2457"/>
    <cellStyle name="_SUMMARY  2 3" xfId="1448"/>
    <cellStyle name="_SUMMARY  2 3 2" xfId="2458"/>
    <cellStyle name="_SUMMARY  2 4" xfId="2459"/>
    <cellStyle name="_SUMMARY  3" xfId="121"/>
    <cellStyle name="_SUMMARY  3 2" xfId="122"/>
    <cellStyle name="_SUMMARY  3 2 2" xfId="123"/>
    <cellStyle name="_SUMMARY  3 2 2 2" xfId="124"/>
    <cellStyle name="_SUMMARY  3 2 2 2 2" xfId="6051"/>
    <cellStyle name="_SUMMARY  3 2 2 3" xfId="6050"/>
    <cellStyle name="_SUMMARY  3 2 3" xfId="125"/>
    <cellStyle name="_SUMMARY  3 2 3 2" xfId="6052"/>
    <cellStyle name="_SUMMARY  3 2 4" xfId="5977"/>
    <cellStyle name="_SUMMARY  3 3" xfId="126"/>
    <cellStyle name="_SUMMARY  3 3 2" xfId="127"/>
    <cellStyle name="_SUMMARY  3 3 2 2" xfId="6054"/>
    <cellStyle name="_SUMMARY  3 3 3" xfId="6053"/>
    <cellStyle name="_SUMMARY  3 4" xfId="128"/>
    <cellStyle name="_SUMMARY  3 4 2" xfId="6055"/>
    <cellStyle name="_SUMMARY  3 5" xfId="5976"/>
    <cellStyle name="_SUMMARY  4" xfId="129"/>
    <cellStyle name="_SUMMARY  4 2" xfId="130"/>
    <cellStyle name="_SUMMARY  4 2 2" xfId="131"/>
    <cellStyle name="_SUMMARY  4 2 2 2" xfId="2460"/>
    <cellStyle name="_SUMMARY  4 2 3" xfId="2461"/>
    <cellStyle name="_SUMMARY  4 3" xfId="132"/>
    <cellStyle name="_SUMMARY  4 3 2" xfId="1447"/>
    <cellStyle name="_SUMMARY  4 3 2 2" xfId="2462"/>
    <cellStyle name="_SUMMARY  4 3 3" xfId="2463"/>
    <cellStyle name="_SUMMARY  4 4" xfId="1446"/>
    <cellStyle name="_SUMMARY  4 4 2" xfId="2464"/>
    <cellStyle name="_SUMMARY  4 5" xfId="1445"/>
    <cellStyle name="_SUMMARY  4 5 2" xfId="2465"/>
    <cellStyle name="_SUMMARY  4 6" xfId="2466"/>
    <cellStyle name="_SUMMARY  5" xfId="133"/>
    <cellStyle name="_SUMMARY  5 2" xfId="134"/>
    <cellStyle name="_SUMMARY  5 2 2" xfId="135"/>
    <cellStyle name="_SUMMARY  5 2 2 2" xfId="2467"/>
    <cellStyle name="_SUMMARY  5 2 3" xfId="2468"/>
    <cellStyle name="_SUMMARY  5 3" xfId="136"/>
    <cellStyle name="_SUMMARY  5 3 2" xfId="2469"/>
    <cellStyle name="_SUMMARY  5 4" xfId="2470"/>
    <cellStyle name="_SUMMARY  6" xfId="137"/>
    <cellStyle name="_SUMMARY  6 2" xfId="138"/>
    <cellStyle name="_SUMMARY  6 2 2" xfId="988"/>
    <cellStyle name="_SUMMARY  6 2 2 2" xfId="5402"/>
    <cellStyle name="_SUMMARY  6 2 3" xfId="5892"/>
    <cellStyle name="_SUMMARY  6 3" xfId="987"/>
    <cellStyle name="_SUMMARY  6 3 2" xfId="5403"/>
    <cellStyle name="_SUMMARY  6 4" xfId="1289"/>
    <cellStyle name="_SUMMARY  7" xfId="139"/>
    <cellStyle name="_SUMMARY  7 2" xfId="985"/>
    <cellStyle name="_SUMMARY  7 2 2" xfId="5405"/>
    <cellStyle name="_SUMMARY  7 3" xfId="984"/>
    <cellStyle name="_SUMMARY  7 3 2" xfId="5406"/>
    <cellStyle name="_SUMMARY  7 4" xfId="5404"/>
    <cellStyle name="_SUMMARY  8" xfId="648"/>
    <cellStyle name="_SUMMARY  8 2" xfId="982"/>
    <cellStyle name="_SUMMARY  8 2 2" xfId="5858"/>
    <cellStyle name="_SUMMARY  8 2 2 2" xfId="5409"/>
    <cellStyle name="_SUMMARY  8 2 3" xfId="5408"/>
    <cellStyle name="_SUMMARY  8 3" xfId="2471"/>
    <cellStyle name="_SUMMARY  8 3 2" xfId="2472"/>
    <cellStyle name="_SUMMARY  8 4" xfId="5407"/>
    <cellStyle name="_SUMMARY  9" xfId="892"/>
    <cellStyle name="_SUMMARY  9 2" xfId="981"/>
    <cellStyle name="_SUMMARY  9 2 2" xfId="2473"/>
    <cellStyle name="_SUMMARY  9 3" xfId="2474"/>
    <cellStyle name="_SUMMARY _RRST1" xfId="2475"/>
    <cellStyle name="_SUMMARY _RRST6" xfId="2476"/>
    <cellStyle name="_Survey form sample" xfId="2477"/>
    <cellStyle name="_SWKS WIPsls" xfId="2478"/>
    <cellStyle name="_SWKS_113010" xfId="1443"/>
    <cellStyle name="_SWKS_113010 2" xfId="1442"/>
    <cellStyle name="_SWKS_113010 2 2" xfId="1441"/>
    <cellStyle name="_SWKS_113010 2 2 2" xfId="1440"/>
    <cellStyle name="_SWKS_113010 2 2 2 2" xfId="2479"/>
    <cellStyle name="_SWKS_113010 2 2 3" xfId="2480"/>
    <cellStyle name="_SWKS_113010 2 3" xfId="1439"/>
    <cellStyle name="_SWKS_113010 2 3 2" xfId="2481"/>
    <cellStyle name="_SWKS_113010 2 4" xfId="2482"/>
    <cellStyle name="_SWKS_113010 3" xfId="1438"/>
    <cellStyle name="_SWKS_113010 3 2" xfId="1437"/>
    <cellStyle name="_SWKS_113010 3 2 2" xfId="2483"/>
    <cellStyle name="_SWKS_113010 3 3" xfId="2484"/>
    <cellStyle name="_SWKS_113010 4" xfId="1436"/>
    <cellStyle name="_SWKS_113010 4 2" xfId="2485"/>
    <cellStyle name="_SWKS_113010 5" xfId="2486"/>
    <cellStyle name="_SWKS_122210" xfId="1432"/>
    <cellStyle name="_SWKS_122210 2" xfId="1431"/>
    <cellStyle name="_SWKS_122210 2 2" xfId="1430"/>
    <cellStyle name="_SWKS_122210 2 2 2" xfId="1429"/>
    <cellStyle name="_SWKS_122210 2 2 2 2" xfId="2487"/>
    <cellStyle name="_SWKS_122210 2 2 3" xfId="2488"/>
    <cellStyle name="_SWKS_122210 2 3" xfId="1428"/>
    <cellStyle name="_SWKS_122210 2 3 2" xfId="2489"/>
    <cellStyle name="_SWKS_122210 2 4" xfId="2490"/>
    <cellStyle name="_SWKS_122210 3" xfId="1427"/>
    <cellStyle name="_SWKS_122210 3 2" xfId="1426"/>
    <cellStyle name="_SWKS_122210 3 2 2" xfId="2491"/>
    <cellStyle name="_SWKS_122210 3 3" xfId="2492"/>
    <cellStyle name="_SWKS_122210 4" xfId="1425"/>
    <cellStyle name="_SWKS_122210 4 2" xfId="2493"/>
    <cellStyle name="_SWKS_122210 5" xfId="2494"/>
    <cellStyle name="_SY Earnings(Labor cost)" xfId="2495"/>
    <cellStyle name="_Taiwan" xfId="4508"/>
    <cellStyle name="_Telecom Constraint" xfId="2496"/>
    <cellStyle name="_Template Stats" xfId="708"/>
    <cellStyle name="_TWN Top 4 MB 5 NB" xfId="4509"/>
    <cellStyle name="_TXN modelware NEW" xfId="1424"/>
    <cellStyle name="_US GAAP" xfId="4510"/>
    <cellStyle name="_US GAAP_Copy of Model2018_AAC_(WIP) " xfId="2497"/>
    <cellStyle name="_US GAAP_Copy of Model2018_AAC_(WIP)  2" xfId="5411"/>
    <cellStyle name="_US GAAP_Exhibit NB QoQ" xfId="4511"/>
    <cellStyle name="_US GAAP_Exhibt NB MOM" xfId="4512"/>
    <cellStyle name="_US GAAP_MBNB shipments_20080909" xfId="4513"/>
    <cellStyle name="_US GAAP_MBNB shipments_20090309.wip" xfId="4514"/>
    <cellStyle name="_US GAAP_MBNB shipments_Dec06_wip" xfId="4515"/>
    <cellStyle name="_US GAAP_MBNB shipments_July07.wip" xfId="4516"/>
    <cellStyle name="_US GAAP_NB-Mthly(0)" xfId="4517"/>
    <cellStyle name="_US GAAP_TWN Top 4 MB 5 NB" xfId="4518"/>
    <cellStyle name="_Valuation_ROC RI" xfId="4519"/>
    <cellStyle name="_WIP_to_published" xfId="2498"/>
    <cellStyle name="_Wireline Tel Forecast " xfId="4"/>
    <cellStyle name="_Wireline Tel Forecast  2" xfId="140"/>
    <cellStyle name="_Wireline Tel Forecast  2 2" xfId="2499"/>
    <cellStyle name="_Wireline Tel Forecast  3" xfId="1947"/>
    <cellStyle name="_Word Charts" xfId="805"/>
    <cellStyle name="_Word Charts 2" xfId="2500"/>
    <cellStyle name="_Zip Stats_2004" xfId="709"/>
    <cellStyle name="’Ê‰Ý [0.00]_GE 3 MINIMUM" xfId="141"/>
    <cellStyle name="’Ê‰Ý_GE 3 MINIMUM" xfId="142"/>
    <cellStyle name="“ú–{Œê" xfId="2501"/>
    <cellStyle name="£ BP" xfId="143"/>
    <cellStyle name="£ BP 2" xfId="2502"/>
    <cellStyle name="¤@¯ë_2311" xfId="4520"/>
    <cellStyle name="¤d¤À¦ì[0]_2311" xfId="4521"/>
    <cellStyle name="¤d¤À¦ì_2311" xfId="4522"/>
    <cellStyle name="¥ JY" xfId="144"/>
    <cellStyle name="¥ JY 2" xfId="2503"/>
    <cellStyle name="¥ JY 3" xfId="4523"/>
    <cellStyle name="=C:\WINNT35\SYSTEM32\COMMAND.COM" xfId="145"/>
    <cellStyle name="=C:\WINNT35\SYSTEM32\COMMAND.COM 2" xfId="146"/>
    <cellStyle name="=C:\WINNT35\SYSTEM32\COMMAND.COM 2 2" xfId="147"/>
    <cellStyle name="=C:\WINNT35\SYSTEM32\COMMAND.COM 2 2 2" xfId="1423"/>
    <cellStyle name="=C:\WINNT35\SYSTEM32\COMMAND.COM 2 2 2 2" xfId="2504"/>
    <cellStyle name="=C:\WINNT35\SYSTEM32\COMMAND.COM 2 2 3" xfId="2505"/>
    <cellStyle name="=C:\WINNT35\SYSTEM32\COMMAND.COM 2 3" xfId="1422"/>
    <cellStyle name="=C:\WINNT35\SYSTEM32\COMMAND.COM 2 3 2" xfId="2506"/>
    <cellStyle name="=C:\WINNT35\SYSTEM32\COMMAND.COM 2 4" xfId="2507"/>
    <cellStyle name="=C:\WINNT35\SYSTEM32\COMMAND.COM 3" xfId="148"/>
    <cellStyle name="=C:\WINNT35\SYSTEM32\COMMAND.COM 3 2" xfId="1345"/>
    <cellStyle name="=C:\WINNT35\SYSTEM32\COMMAND.COM 3 2 2" xfId="2508"/>
    <cellStyle name="=C:\WINNT35\SYSTEM32\COMMAND.COM 3 3" xfId="2509"/>
    <cellStyle name="=C:\WINNT35\SYSTEM32\COMMAND.COM 4" xfId="897"/>
    <cellStyle name="=C:\WINNT35\SYSTEM32\COMMAND.COM 4 2" xfId="1421"/>
    <cellStyle name="=C:\WINNT35\SYSTEM32\COMMAND.COM 4 2 2" xfId="5413"/>
    <cellStyle name="=C:\WINNT35\SYSTEM32\COMMAND.COM 4 3" xfId="5412"/>
    <cellStyle name="=C:\WINNT35\SYSTEM32\COMMAND.COM 5" xfId="1420"/>
    <cellStyle name="=C:\WINNT35\SYSTEM32\COMMAND.COM 5 2" xfId="2510"/>
    <cellStyle name="=C:\WINNT35\SYSTEM32\COMMAND.COM 5 2 2" xfId="5415"/>
    <cellStyle name="=C:\WINNT35\SYSTEM32\COMMAND.COM 5 3" xfId="5414"/>
    <cellStyle name="=C:\WINNT35\SYSTEM32\COMMAND.COM 6" xfId="1949"/>
    <cellStyle name="=C:\WINNT35\SYSTEM32\COMMAND.COM 6 2" xfId="5416"/>
    <cellStyle name="=C:\WINNT35\SYSTEM32\COMMAND.COM 7" xfId="1948"/>
    <cellStyle name="=C:\WINNT35\SYSTEM32\COMMAND.COM 7 2" xfId="2511"/>
    <cellStyle name="=C:\WINNT35\SYSTEM32\COMMAND.COM 8" xfId="2512"/>
    <cellStyle name="=C:\WINNT35\SYSTEM32\COMMAND.COM 8 2" xfId="2513"/>
    <cellStyle name="§Q\?1@" xfId="2514"/>
    <cellStyle name="§Q\?1@ 2" xfId="5867"/>
    <cellStyle name="•W€_Comparables" xfId="149"/>
    <cellStyle name="•W_9501sales" xfId="5349"/>
    <cellStyle name="0" xfId="150"/>
    <cellStyle name="0 2" xfId="1419"/>
    <cellStyle name="0%" xfId="151"/>
    <cellStyle name="0% 2" xfId="152"/>
    <cellStyle name="0% 2 2" xfId="153"/>
    <cellStyle name="0% 2 2 2" xfId="1418"/>
    <cellStyle name="0% 2 2 2 2" xfId="2515"/>
    <cellStyle name="0% 2 2 3" xfId="2516"/>
    <cellStyle name="0% 2 3" xfId="1417"/>
    <cellStyle name="0% 2 3 2" xfId="2517"/>
    <cellStyle name="0% 2 4" xfId="2518"/>
    <cellStyle name="0% 3" xfId="154"/>
    <cellStyle name="0% 3 2" xfId="1344"/>
    <cellStyle name="0% 3 2 2" xfId="2519"/>
    <cellStyle name="0% 3 3" xfId="2520"/>
    <cellStyle name="0% 4" xfId="901"/>
    <cellStyle name="0% 4 2" xfId="1415"/>
    <cellStyle name="0% 4 2 2" xfId="5893"/>
    <cellStyle name="0% 4 3" xfId="5417"/>
    <cellStyle name="0% 5" xfId="1413"/>
    <cellStyle name="0% 5 2" xfId="2521"/>
    <cellStyle name="0% 5 2 2" xfId="5419"/>
    <cellStyle name="0% 5 3" xfId="5418"/>
    <cellStyle name="0% 6" xfId="2522"/>
    <cellStyle name="0% 6 2" xfId="5420"/>
    <cellStyle name="0% 7" xfId="2523"/>
    <cellStyle name="0% 7 2" xfId="2524"/>
    <cellStyle name="0% 8" xfId="2525"/>
    <cellStyle name="0% 8 2" xfId="2526"/>
    <cellStyle name="0,0_x000d__x000a_NA_x000d__x000a_" xfId="710"/>
    <cellStyle name="0,0_x000d__x000a_NA_x000d__x000a_ 2" xfId="2527"/>
    <cellStyle name="0,0_x000d__x000a_NA_x000d__x000a__Pivot Table Tips" xfId="2528"/>
    <cellStyle name="0.0" xfId="155"/>
    <cellStyle name="0.0 2" xfId="1409"/>
    <cellStyle name="0.0%" xfId="156"/>
    <cellStyle name="0.0% 2" xfId="1408"/>
    <cellStyle name="0.0_40050504 (pension)" xfId="2529"/>
    <cellStyle name="0.00" xfId="157"/>
    <cellStyle name="0.00 2" xfId="1407"/>
    <cellStyle name="0.00%" xfId="158"/>
    <cellStyle name="0.00% 2" xfId="1406"/>
    <cellStyle name="0.00_40050504 (pension)" xfId="2530"/>
    <cellStyle name="0_40050504 (pension)" xfId="2531"/>
    <cellStyle name="0_Capex &amp; Depreciation " xfId="5"/>
    <cellStyle name="0_Capex &amp; Depreciation  2" xfId="1405"/>
    <cellStyle name="0_Capex &amp; Depreciation  2 2" xfId="1404"/>
    <cellStyle name="0_Capex &amp; Depreciation _RRST1" xfId="159"/>
    <cellStyle name="0_Capex &amp; Depreciation _RRST1 2" xfId="160"/>
    <cellStyle name="0_Capex &amp; Depreciation _RRST12" xfId="963"/>
    <cellStyle name="0_Capex &amp; Depreciation _RRST19" xfId="962"/>
    <cellStyle name="0_Capex &amp; Depreciation _RRST19 2" xfId="961"/>
    <cellStyle name="0_Capex &amp; Depreciation _RRST20" xfId="161"/>
    <cellStyle name="0_Capex &amp; Depreciation _RRST20 2" xfId="162"/>
    <cellStyle name="0_Capex &amp; Depreciation _RRST25" xfId="2532"/>
    <cellStyle name="0_Capex &amp; Depreciation _RRST25 2" xfId="2533"/>
    <cellStyle name="0_Capex &amp; Depreciation _RRST3" xfId="958"/>
    <cellStyle name="0_Capex &amp; Depreciation _RRST6" xfId="163"/>
    <cellStyle name="0_Capex &amp; Depreciation _RRST6 2" xfId="164"/>
    <cellStyle name="0_Capex &amp; Depreciation _RRST9" xfId="165"/>
    <cellStyle name="0_Capex &amp; Depreciation _RRST9 2" xfId="166"/>
    <cellStyle name="0_ConsensusPanel_v20080325 (2)" xfId="2534"/>
    <cellStyle name="0_Copy of Model2018_AAC_(WIP) " xfId="2535"/>
    <cellStyle name="0_geconsensusv1" xfId="2536"/>
    <cellStyle name="0_Handset component data_Copy of Model2018_AAC_(WIP) " xfId="2537"/>
    <cellStyle name="0_IV2" xfId="2538"/>
    <cellStyle name="0_IV6" xfId="2539"/>
    <cellStyle name="0_Japan Pension Module Sumitomo Chemical" xfId="2540"/>
    <cellStyle name="0_JapaneseCatalog" xfId="2541"/>
    <cellStyle name="0_MB-Mthly(1)" xfId="4524"/>
    <cellStyle name="0_MB-Mthly(1)_Exhibit NB QoQ" xfId="4525"/>
    <cellStyle name="0_MB-Mthly(1)_Exhibt NB MOM" xfId="4526"/>
    <cellStyle name="0_MB-Mthly(1)_MBNB shipments_20080909" xfId="4527"/>
    <cellStyle name="0_MB-Mthly(1)_MBNB shipments_20090309.wip" xfId="4528"/>
    <cellStyle name="0_MB-Mthly(1)_MBNB shipments_Dec06_wip" xfId="4529"/>
    <cellStyle name="0_MB-Mthly(1)_MBNB shipments_July07.wip" xfId="4530"/>
    <cellStyle name="0_MB-Mthly(1)_NB-Mthly(0)" xfId="4531"/>
    <cellStyle name="0_ROE2" xfId="2542"/>
    <cellStyle name="0_ROE4" xfId="2543"/>
    <cellStyle name="0_SmartChart_B1035" xfId="2544"/>
    <cellStyle name="0_SmartChart_B1200" xfId="2545"/>
    <cellStyle name="0_SmartChart_C1035" xfId="2546"/>
    <cellStyle name="0_SmartChart_O1200" xfId="2547"/>
    <cellStyle name="0_TWN Top 4 MB 5 NB" xfId="4532"/>
    <cellStyle name="0_TWN Top 4 MB 5 NB_Exhibit NB QoQ" xfId="4533"/>
    <cellStyle name="0_TWN Top 4 MB 5 NB_Exhibt NB MOM" xfId="4534"/>
    <cellStyle name="0_TWN Top 4 MB 5 NB_MBNB shipments_20080909" xfId="4535"/>
    <cellStyle name="0_TWN Top 4 MB 5 NB_MBNB shipments_20090309.wip" xfId="4536"/>
    <cellStyle name="0_TWN Top 4 MB 5 NB_MBNB shipments_Dec06_wip" xfId="4537"/>
    <cellStyle name="0_TWN Top 4 MB 5 NB_MBNB shipments_July07.wip" xfId="4538"/>
    <cellStyle name="0_Valuing BP " xfId="6"/>
    <cellStyle name="0_Valuing BP  2" xfId="1403"/>
    <cellStyle name="0_Valuing BP  2 2" xfId="1402"/>
    <cellStyle name="0_Valuing BP _RRST1" xfId="167"/>
    <cellStyle name="0_Valuing BP _RRST1 2" xfId="168"/>
    <cellStyle name="0_Valuing BP _RRST12" xfId="954"/>
    <cellStyle name="0_Valuing BP _RRST19" xfId="953"/>
    <cellStyle name="0_Valuing BP _RRST19 2" xfId="952"/>
    <cellStyle name="0_Valuing BP _RRST20" xfId="169"/>
    <cellStyle name="0_Valuing BP _RRST20 2" xfId="170"/>
    <cellStyle name="0_Valuing BP _RRST25" xfId="2548"/>
    <cellStyle name="0_Valuing BP _RRST25 2" xfId="2549"/>
    <cellStyle name="0_Valuing BP _RRST3" xfId="950"/>
    <cellStyle name="0_Valuing BP _RRST6" xfId="171"/>
    <cellStyle name="0_Valuing BP _RRST6 2" xfId="172"/>
    <cellStyle name="0_Valuing BP _RRST9" xfId="173"/>
    <cellStyle name="0_Valuing BP _RRST9 2" xfId="174"/>
    <cellStyle name="0_Vendor revenues_Copy of Model2018_AAC_(WIP) " xfId="2550"/>
    <cellStyle name="0_Wireline Tel Forecast " xfId="7"/>
    <cellStyle name="0_Wireline Tel Forecast  2" xfId="1401"/>
    <cellStyle name="0_Wireline Tel Forecast  2 2" xfId="1400"/>
    <cellStyle name="0_WW NB DT PC &amp;TWN NB MB Qly" xfId="4539"/>
    <cellStyle name="0_WW NB DT PC &amp;TWN NB MB Qly_Exhibit NB QoQ" xfId="4540"/>
    <cellStyle name="0_WW NB DT PC &amp;TWN NB MB Qly_Exhibt NB MOM" xfId="4541"/>
    <cellStyle name="0_WW NB DT PC &amp;TWN NB MB Qly_MBNB shipments_20080909" xfId="4542"/>
    <cellStyle name="0_WW NB DT PC &amp;TWN NB MB Qly_MBNB shipments_20090309.wip" xfId="4543"/>
    <cellStyle name="0_WW NB DT PC &amp;TWN NB MB Qly_MBNB shipments_Dec06_wip" xfId="4544"/>
    <cellStyle name="0_WW NB DT PC &amp;TWN NB MB Qly_MBNB shipments_July07.wip" xfId="4545"/>
    <cellStyle name="0_Yardstick2012" xfId="2551"/>
    <cellStyle name="1,comma" xfId="175"/>
    <cellStyle name="1,comma 2" xfId="176"/>
    <cellStyle name="1,comma 2 2" xfId="177"/>
    <cellStyle name="1,comma 2 2 2" xfId="1399"/>
    <cellStyle name="1,comma 2 2 2 2" xfId="2552"/>
    <cellStyle name="1,comma 2 2 3" xfId="2553"/>
    <cellStyle name="1,comma 2 3" xfId="1398"/>
    <cellStyle name="1,comma 2 3 2" xfId="2554"/>
    <cellStyle name="1,comma 2 4" xfId="2555"/>
    <cellStyle name="1,comma 3" xfId="178"/>
    <cellStyle name="1,comma 3 2" xfId="1341"/>
    <cellStyle name="1,comma 3 2 2" xfId="2556"/>
    <cellStyle name="1,comma 3 3" xfId="2557"/>
    <cellStyle name="1,comma 4" xfId="909"/>
    <cellStyle name="1,comma 4 2" xfId="1397"/>
    <cellStyle name="1,comma 4 2 2" xfId="5421"/>
    <cellStyle name="1,comma 4 3" xfId="5853"/>
    <cellStyle name="1,comma 5" xfId="1396"/>
    <cellStyle name="1,comma 5 2" xfId="2558"/>
    <cellStyle name="1,comma 5 2 2" xfId="5423"/>
    <cellStyle name="1,comma 5 3" xfId="5422"/>
    <cellStyle name="1,comma 6" xfId="2559"/>
    <cellStyle name="1,comma 6 2" xfId="5868"/>
    <cellStyle name="1,comma 7" xfId="2560"/>
    <cellStyle name="1,comma 7 2" xfId="2561"/>
    <cellStyle name="1,comma 8" xfId="2562"/>
    <cellStyle name="1,comma 8 2" xfId="2563"/>
    <cellStyle name="¹eºÐA²_AIAIC°AuCoE² " xfId="2564"/>
    <cellStyle name="20% - Accent1" xfId="8" builtinId="30" customBuiltin="1"/>
    <cellStyle name="20% - Accent1 2" xfId="179"/>
    <cellStyle name="20% - Accent1 2 2" xfId="1204"/>
    <cellStyle name="20% - Accent1 2 3" xfId="1206"/>
    <cellStyle name="20% - Accent1 3" xfId="761"/>
    <cellStyle name="20% - Accent1 3 10" xfId="6150"/>
    <cellStyle name="20% - Accent1 3 10 2" xfId="9852"/>
    <cellStyle name="20% - Accent1 3 10 2 2" xfId="20974"/>
    <cellStyle name="20% - Accent1 3 10 3" xfId="13551"/>
    <cellStyle name="20% - Accent1 3 10 3 2" xfId="24668"/>
    <cellStyle name="20% - Accent1 3 10 4" xfId="17280"/>
    <cellStyle name="20% - Accent1 3 11" xfId="8003"/>
    <cellStyle name="20% - Accent1 3 11 2" xfId="19127"/>
    <cellStyle name="20% - Accent1 3 12" xfId="11704"/>
    <cellStyle name="20% - Accent1 3 12 2" xfId="22821"/>
    <cellStyle name="20% - Accent1 3 13" xfId="15433"/>
    <cellStyle name="20% - Accent1 3 2" xfId="1557"/>
    <cellStyle name="20% - Accent1 3 2 10" xfId="11755"/>
    <cellStyle name="20% - Accent1 3 2 10 2" xfId="22872"/>
    <cellStyle name="20% - Accent1 3 2 11" xfId="15484"/>
    <cellStyle name="20% - Accent1 3 2 2" xfId="1667"/>
    <cellStyle name="20% - Accent1 3 2 2 10" xfId="15583"/>
    <cellStyle name="20% - Accent1 3 2 2 2" xfId="1952"/>
    <cellStyle name="20% - Accent1 3 2 2 2 2" xfId="5134"/>
    <cellStyle name="20% - Accent1 3 2 2 2 2 2" xfId="7485"/>
    <cellStyle name="20% - Accent1 3 2 2 2 2 2 2" xfId="11186"/>
    <cellStyle name="20% - Accent1 3 2 2 2 2 2 2 2" xfId="22308"/>
    <cellStyle name="20% - Accent1 3 2 2 2 2 2 3" xfId="14885"/>
    <cellStyle name="20% - Accent1 3 2 2 2 2 2 3 2" xfId="26002"/>
    <cellStyle name="20% - Accent1 3 2 2 2 2 2 4" xfId="18614"/>
    <cellStyle name="20% - Accent1 3 2 2 2 2 3" xfId="9339"/>
    <cellStyle name="20% - Accent1 3 2 2 2 2 3 2" xfId="20461"/>
    <cellStyle name="20% - Accent1 3 2 2 2 2 4" xfId="13038"/>
    <cellStyle name="20% - Accent1 3 2 2 2 2 4 2" xfId="24155"/>
    <cellStyle name="20% - Accent1 3 2 2 2 2 5" xfId="16767"/>
    <cellStyle name="20% - Accent1 3 2 2 2 3" xfId="6566"/>
    <cellStyle name="20% - Accent1 3 2 2 2 3 2" xfId="10268"/>
    <cellStyle name="20% - Accent1 3 2 2 2 3 2 2" xfId="21390"/>
    <cellStyle name="20% - Accent1 3 2 2 2 3 3" xfId="13967"/>
    <cellStyle name="20% - Accent1 3 2 2 2 3 3 2" xfId="25084"/>
    <cellStyle name="20% - Accent1 3 2 2 2 3 4" xfId="17696"/>
    <cellStyle name="20% - Accent1 3 2 2 2 4" xfId="8420"/>
    <cellStyle name="20% - Accent1 3 2 2 2 4 2" xfId="19543"/>
    <cellStyle name="20% - Accent1 3 2 2 2 5" xfId="12120"/>
    <cellStyle name="20% - Accent1 3 2 2 2 5 2" xfId="23237"/>
    <cellStyle name="20% - Accent1 3 2 2 2 6" xfId="15849"/>
    <cellStyle name="20% - Accent1 3 2 2 3" xfId="1879"/>
    <cellStyle name="20% - Accent1 3 2 2 3 2" xfId="5076"/>
    <cellStyle name="20% - Accent1 3 2 2 3 2 2" xfId="7427"/>
    <cellStyle name="20% - Accent1 3 2 2 3 2 2 2" xfId="11128"/>
    <cellStyle name="20% - Accent1 3 2 2 3 2 2 2 2" xfId="22250"/>
    <cellStyle name="20% - Accent1 3 2 2 3 2 2 3" xfId="14827"/>
    <cellStyle name="20% - Accent1 3 2 2 3 2 2 3 2" xfId="25944"/>
    <cellStyle name="20% - Accent1 3 2 2 3 2 2 4" xfId="18556"/>
    <cellStyle name="20% - Accent1 3 2 2 3 2 3" xfId="9281"/>
    <cellStyle name="20% - Accent1 3 2 2 3 2 3 2" xfId="20403"/>
    <cellStyle name="20% - Accent1 3 2 2 3 2 4" xfId="12980"/>
    <cellStyle name="20% - Accent1 3 2 2 3 2 4 2" xfId="24097"/>
    <cellStyle name="20% - Accent1 3 2 2 3 2 5" xfId="16709"/>
    <cellStyle name="20% - Accent1 3 2 2 3 3" xfId="6508"/>
    <cellStyle name="20% - Accent1 3 2 2 3 3 2" xfId="10210"/>
    <cellStyle name="20% - Accent1 3 2 2 3 3 2 2" xfId="21332"/>
    <cellStyle name="20% - Accent1 3 2 2 3 3 3" xfId="13909"/>
    <cellStyle name="20% - Accent1 3 2 2 3 3 3 2" xfId="25026"/>
    <cellStyle name="20% - Accent1 3 2 2 3 3 4" xfId="17638"/>
    <cellStyle name="20% - Accent1 3 2 2 3 4" xfId="8362"/>
    <cellStyle name="20% - Accent1 3 2 2 3 4 2" xfId="19485"/>
    <cellStyle name="20% - Accent1 3 2 2 3 5" xfId="12062"/>
    <cellStyle name="20% - Accent1 3 2 2 3 5 2" xfId="23179"/>
    <cellStyle name="20% - Accent1 3 2 2 3 6" xfId="15791"/>
    <cellStyle name="20% - Accent1 3 2 2 4" xfId="2567"/>
    <cellStyle name="20% - Accent1 3 2 2 4 2" xfId="6708"/>
    <cellStyle name="20% - Accent1 3 2 2 4 2 2" xfId="10410"/>
    <cellStyle name="20% - Accent1 3 2 2 4 2 2 2" xfId="21532"/>
    <cellStyle name="20% - Accent1 3 2 2 4 2 3" xfId="14109"/>
    <cellStyle name="20% - Accent1 3 2 2 4 2 3 2" xfId="25226"/>
    <cellStyle name="20% - Accent1 3 2 2 4 2 4" xfId="17838"/>
    <cellStyle name="20% - Accent1 3 2 2 4 3" xfId="8562"/>
    <cellStyle name="20% - Accent1 3 2 2 4 3 2" xfId="19685"/>
    <cellStyle name="20% - Accent1 3 2 2 4 4" xfId="12262"/>
    <cellStyle name="20% - Accent1 3 2 2 4 4 2" xfId="23379"/>
    <cellStyle name="20% - Accent1 3 2 2 4 5" xfId="15991"/>
    <cellStyle name="20% - Accent1 3 2 2 5" xfId="4868"/>
    <cellStyle name="20% - Accent1 3 2 2 5 2" xfId="7219"/>
    <cellStyle name="20% - Accent1 3 2 2 5 2 2" xfId="10920"/>
    <cellStyle name="20% - Accent1 3 2 2 5 2 2 2" xfId="22042"/>
    <cellStyle name="20% - Accent1 3 2 2 5 2 3" xfId="14619"/>
    <cellStyle name="20% - Accent1 3 2 2 5 2 3 2" xfId="25736"/>
    <cellStyle name="20% - Accent1 3 2 2 5 2 4" xfId="18348"/>
    <cellStyle name="20% - Accent1 3 2 2 5 3" xfId="9073"/>
    <cellStyle name="20% - Accent1 3 2 2 5 3 2" xfId="20195"/>
    <cellStyle name="20% - Accent1 3 2 2 5 4" xfId="12772"/>
    <cellStyle name="20% - Accent1 3 2 2 5 4 2" xfId="23889"/>
    <cellStyle name="20% - Accent1 3 2 2 5 5" xfId="16501"/>
    <cellStyle name="20% - Accent1 3 2 2 6" xfId="5302"/>
    <cellStyle name="20% - Accent1 3 2 2 6 2" xfId="7627"/>
    <cellStyle name="20% - Accent1 3 2 2 6 2 2" xfId="11328"/>
    <cellStyle name="20% - Accent1 3 2 2 6 2 2 2" xfId="22450"/>
    <cellStyle name="20% - Accent1 3 2 2 6 2 3" xfId="15027"/>
    <cellStyle name="20% - Accent1 3 2 2 6 2 3 2" xfId="26144"/>
    <cellStyle name="20% - Accent1 3 2 2 6 2 4" xfId="18756"/>
    <cellStyle name="20% - Accent1 3 2 2 6 3" xfId="9481"/>
    <cellStyle name="20% - Accent1 3 2 2 6 3 2" xfId="20603"/>
    <cellStyle name="20% - Accent1 3 2 2 6 4" xfId="13180"/>
    <cellStyle name="20% - Accent1 3 2 2 6 4 2" xfId="24297"/>
    <cellStyle name="20% - Accent1 3 2 2 6 5" xfId="16909"/>
    <cellStyle name="20% - Accent1 3 2 2 7" xfId="6300"/>
    <cellStyle name="20% - Accent1 3 2 2 7 2" xfId="10002"/>
    <cellStyle name="20% - Accent1 3 2 2 7 2 2" xfId="21124"/>
    <cellStyle name="20% - Accent1 3 2 2 7 3" xfId="13701"/>
    <cellStyle name="20% - Accent1 3 2 2 7 3 2" xfId="24818"/>
    <cellStyle name="20% - Accent1 3 2 2 7 4" xfId="17430"/>
    <cellStyle name="20% - Accent1 3 2 2 8" xfId="8154"/>
    <cellStyle name="20% - Accent1 3 2 2 8 2" xfId="19277"/>
    <cellStyle name="20% - Accent1 3 2 2 9" xfId="11854"/>
    <cellStyle name="20% - Accent1 3 2 2 9 2" xfId="22971"/>
    <cellStyle name="20% - Accent1 3 2 3" xfId="1951"/>
    <cellStyle name="20% - Accent1 3 2 3 2" xfId="2568"/>
    <cellStyle name="20% - Accent1 3 2 3 2 2" xfId="6709"/>
    <cellStyle name="20% - Accent1 3 2 3 2 2 2" xfId="10411"/>
    <cellStyle name="20% - Accent1 3 2 3 2 2 2 2" xfId="21533"/>
    <cellStyle name="20% - Accent1 3 2 3 2 2 3" xfId="14110"/>
    <cellStyle name="20% - Accent1 3 2 3 2 2 3 2" xfId="25227"/>
    <cellStyle name="20% - Accent1 3 2 3 2 2 4" xfId="17839"/>
    <cellStyle name="20% - Accent1 3 2 3 2 3" xfId="8563"/>
    <cellStyle name="20% - Accent1 3 2 3 2 3 2" xfId="19686"/>
    <cellStyle name="20% - Accent1 3 2 3 2 4" xfId="12263"/>
    <cellStyle name="20% - Accent1 3 2 3 2 4 2" xfId="23380"/>
    <cellStyle name="20% - Accent1 3 2 3 2 5" xfId="15992"/>
    <cellStyle name="20% - Accent1 3 2 3 3" xfId="5133"/>
    <cellStyle name="20% - Accent1 3 2 3 3 2" xfId="7484"/>
    <cellStyle name="20% - Accent1 3 2 3 3 2 2" xfId="11185"/>
    <cellStyle name="20% - Accent1 3 2 3 3 2 2 2" xfId="22307"/>
    <cellStyle name="20% - Accent1 3 2 3 3 2 3" xfId="14884"/>
    <cellStyle name="20% - Accent1 3 2 3 3 2 3 2" xfId="26001"/>
    <cellStyle name="20% - Accent1 3 2 3 3 2 4" xfId="18613"/>
    <cellStyle name="20% - Accent1 3 2 3 3 3" xfId="9338"/>
    <cellStyle name="20% - Accent1 3 2 3 3 3 2" xfId="20460"/>
    <cellStyle name="20% - Accent1 3 2 3 3 4" xfId="13037"/>
    <cellStyle name="20% - Accent1 3 2 3 3 4 2" xfId="24154"/>
    <cellStyle name="20% - Accent1 3 2 3 3 5" xfId="16766"/>
    <cellStyle name="20% - Accent1 3 2 3 4" xfId="5303"/>
    <cellStyle name="20% - Accent1 3 2 3 4 2" xfId="7628"/>
    <cellStyle name="20% - Accent1 3 2 3 4 2 2" xfId="11329"/>
    <cellStyle name="20% - Accent1 3 2 3 4 2 2 2" xfId="22451"/>
    <cellStyle name="20% - Accent1 3 2 3 4 2 3" xfId="15028"/>
    <cellStyle name="20% - Accent1 3 2 3 4 2 3 2" xfId="26145"/>
    <cellStyle name="20% - Accent1 3 2 3 4 2 4" xfId="18757"/>
    <cellStyle name="20% - Accent1 3 2 3 4 3" xfId="9482"/>
    <cellStyle name="20% - Accent1 3 2 3 4 3 2" xfId="20604"/>
    <cellStyle name="20% - Accent1 3 2 3 4 4" xfId="13181"/>
    <cellStyle name="20% - Accent1 3 2 3 4 4 2" xfId="24298"/>
    <cellStyle name="20% - Accent1 3 2 3 4 5" xfId="16910"/>
    <cellStyle name="20% - Accent1 3 2 3 5" xfId="6565"/>
    <cellStyle name="20% - Accent1 3 2 3 5 2" xfId="10267"/>
    <cellStyle name="20% - Accent1 3 2 3 5 2 2" xfId="21389"/>
    <cellStyle name="20% - Accent1 3 2 3 5 3" xfId="13966"/>
    <cellStyle name="20% - Accent1 3 2 3 5 3 2" xfId="25083"/>
    <cellStyle name="20% - Accent1 3 2 3 5 4" xfId="17695"/>
    <cellStyle name="20% - Accent1 3 2 3 6" xfId="8419"/>
    <cellStyle name="20% - Accent1 3 2 3 6 2" xfId="19542"/>
    <cellStyle name="20% - Accent1 3 2 3 7" xfId="12119"/>
    <cellStyle name="20% - Accent1 3 2 3 7 2" xfId="23236"/>
    <cellStyle name="20% - Accent1 3 2 3 8" xfId="15848"/>
    <cellStyle name="20% - Accent1 3 2 4" xfId="1780"/>
    <cellStyle name="20% - Accent1 3 2 4 2" xfId="4977"/>
    <cellStyle name="20% - Accent1 3 2 4 2 2" xfId="7328"/>
    <cellStyle name="20% - Accent1 3 2 4 2 2 2" xfId="11029"/>
    <cellStyle name="20% - Accent1 3 2 4 2 2 2 2" xfId="22151"/>
    <cellStyle name="20% - Accent1 3 2 4 2 2 3" xfId="14728"/>
    <cellStyle name="20% - Accent1 3 2 4 2 2 3 2" xfId="25845"/>
    <cellStyle name="20% - Accent1 3 2 4 2 2 4" xfId="18457"/>
    <cellStyle name="20% - Accent1 3 2 4 2 3" xfId="9182"/>
    <cellStyle name="20% - Accent1 3 2 4 2 3 2" xfId="20304"/>
    <cellStyle name="20% - Accent1 3 2 4 2 4" xfId="12881"/>
    <cellStyle name="20% - Accent1 3 2 4 2 4 2" xfId="23998"/>
    <cellStyle name="20% - Accent1 3 2 4 2 5" xfId="16610"/>
    <cellStyle name="20% - Accent1 3 2 4 3" xfId="6409"/>
    <cellStyle name="20% - Accent1 3 2 4 3 2" xfId="10111"/>
    <cellStyle name="20% - Accent1 3 2 4 3 2 2" xfId="21233"/>
    <cellStyle name="20% - Accent1 3 2 4 3 3" xfId="13810"/>
    <cellStyle name="20% - Accent1 3 2 4 3 3 2" xfId="24927"/>
    <cellStyle name="20% - Accent1 3 2 4 3 4" xfId="17539"/>
    <cellStyle name="20% - Accent1 3 2 4 4" xfId="8263"/>
    <cellStyle name="20% - Accent1 3 2 4 4 2" xfId="19386"/>
    <cellStyle name="20% - Accent1 3 2 4 5" xfId="11963"/>
    <cellStyle name="20% - Accent1 3 2 4 5 2" xfId="23080"/>
    <cellStyle name="20% - Accent1 3 2 4 6" xfId="15692"/>
    <cellStyle name="20% - Accent1 3 2 5" xfId="2566"/>
    <cellStyle name="20% - Accent1 3 2 5 2" xfId="6707"/>
    <cellStyle name="20% - Accent1 3 2 5 2 2" xfId="10409"/>
    <cellStyle name="20% - Accent1 3 2 5 2 2 2" xfId="21531"/>
    <cellStyle name="20% - Accent1 3 2 5 2 3" xfId="14108"/>
    <cellStyle name="20% - Accent1 3 2 5 2 3 2" xfId="25225"/>
    <cellStyle name="20% - Accent1 3 2 5 2 4" xfId="17837"/>
    <cellStyle name="20% - Accent1 3 2 5 3" xfId="8561"/>
    <cellStyle name="20% - Accent1 3 2 5 3 2" xfId="19684"/>
    <cellStyle name="20% - Accent1 3 2 5 4" xfId="12261"/>
    <cellStyle name="20% - Accent1 3 2 5 4 2" xfId="23378"/>
    <cellStyle name="20% - Accent1 3 2 5 5" xfId="15990"/>
    <cellStyle name="20% - Accent1 3 2 6" xfId="4769"/>
    <cellStyle name="20% - Accent1 3 2 6 2" xfId="7120"/>
    <cellStyle name="20% - Accent1 3 2 6 2 2" xfId="10821"/>
    <cellStyle name="20% - Accent1 3 2 6 2 2 2" xfId="21943"/>
    <cellStyle name="20% - Accent1 3 2 6 2 3" xfId="14520"/>
    <cellStyle name="20% - Accent1 3 2 6 2 3 2" xfId="25637"/>
    <cellStyle name="20% - Accent1 3 2 6 2 4" xfId="18249"/>
    <cellStyle name="20% - Accent1 3 2 6 3" xfId="8974"/>
    <cellStyle name="20% - Accent1 3 2 6 3 2" xfId="20096"/>
    <cellStyle name="20% - Accent1 3 2 6 4" xfId="12673"/>
    <cellStyle name="20% - Accent1 3 2 6 4 2" xfId="23790"/>
    <cellStyle name="20% - Accent1 3 2 6 5" xfId="16402"/>
    <cellStyle name="20% - Accent1 3 2 7" xfId="5301"/>
    <cellStyle name="20% - Accent1 3 2 7 2" xfId="7626"/>
    <cellStyle name="20% - Accent1 3 2 7 2 2" xfId="11327"/>
    <cellStyle name="20% - Accent1 3 2 7 2 2 2" xfId="22449"/>
    <cellStyle name="20% - Accent1 3 2 7 2 3" xfId="15026"/>
    <cellStyle name="20% - Accent1 3 2 7 2 3 2" xfId="26143"/>
    <cellStyle name="20% - Accent1 3 2 7 2 4" xfId="18755"/>
    <cellStyle name="20% - Accent1 3 2 7 3" xfId="9480"/>
    <cellStyle name="20% - Accent1 3 2 7 3 2" xfId="20602"/>
    <cellStyle name="20% - Accent1 3 2 7 4" xfId="13179"/>
    <cellStyle name="20% - Accent1 3 2 7 4 2" xfId="24296"/>
    <cellStyle name="20% - Accent1 3 2 7 5" xfId="16908"/>
    <cellStyle name="20% - Accent1 3 2 8" xfId="6201"/>
    <cellStyle name="20% - Accent1 3 2 8 2" xfId="9903"/>
    <cellStyle name="20% - Accent1 3 2 8 2 2" xfId="21025"/>
    <cellStyle name="20% - Accent1 3 2 8 3" xfId="13602"/>
    <cellStyle name="20% - Accent1 3 2 8 3 2" xfId="24719"/>
    <cellStyle name="20% - Accent1 3 2 8 4" xfId="17331"/>
    <cellStyle name="20% - Accent1 3 2 9" xfId="8055"/>
    <cellStyle name="20% - Accent1 3 2 9 2" xfId="19178"/>
    <cellStyle name="20% - Accent1 3 3" xfId="1620"/>
    <cellStyle name="20% - Accent1 3 3 10" xfId="15537"/>
    <cellStyle name="20% - Accent1 3 3 2" xfId="1953"/>
    <cellStyle name="20% - Accent1 3 3 2 2" xfId="5135"/>
    <cellStyle name="20% - Accent1 3 3 2 2 2" xfId="7486"/>
    <cellStyle name="20% - Accent1 3 3 2 2 2 2" xfId="11187"/>
    <cellStyle name="20% - Accent1 3 3 2 2 2 2 2" xfId="22309"/>
    <cellStyle name="20% - Accent1 3 3 2 2 2 3" xfId="14886"/>
    <cellStyle name="20% - Accent1 3 3 2 2 2 3 2" xfId="26003"/>
    <cellStyle name="20% - Accent1 3 3 2 2 2 4" xfId="18615"/>
    <cellStyle name="20% - Accent1 3 3 2 2 3" xfId="9340"/>
    <cellStyle name="20% - Accent1 3 3 2 2 3 2" xfId="20462"/>
    <cellStyle name="20% - Accent1 3 3 2 2 4" xfId="13039"/>
    <cellStyle name="20% - Accent1 3 3 2 2 4 2" xfId="24156"/>
    <cellStyle name="20% - Accent1 3 3 2 2 5" xfId="16768"/>
    <cellStyle name="20% - Accent1 3 3 2 3" xfId="6567"/>
    <cellStyle name="20% - Accent1 3 3 2 3 2" xfId="10269"/>
    <cellStyle name="20% - Accent1 3 3 2 3 2 2" xfId="21391"/>
    <cellStyle name="20% - Accent1 3 3 2 3 3" xfId="13968"/>
    <cellStyle name="20% - Accent1 3 3 2 3 3 2" xfId="25085"/>
    <cellStyle name="20% - Accent1 3 3 2 3 4" xfId="17697"/>
    <cellStyle name="20% - Accent1 3 3 2 4" xfId="8421"/>
    <cellStyle name="20% - Accent1 3 3 2 4 2" xfId="19544"/>
    <cellStyle name="20% - Accent1 3 3 2 5" xfId="12121"/>
    <cellStyle name="20% - Accent1 3 3 2 5 2" xfId="23238"/>
    <cellStyle name="20% - Accent1 3 3 2 6" xfId="15850"/>
    <cellStyle name="20% - Accent1 3 3 3" xfId="1833"/>
    <cellStyle name="20% - Accent1 3 3 3 2" xfId="5030"/>
    <cellStyle name="20% - Accent1 3 3 3 2 2" xfId="7381"/>
    <cellStyle name="20% - Accent1 3 3 3 2 2 2" xfId="11082"/>
    <cellStyle name="20% - Accent1 3 3 3 2 2 2 2" xfId="22204"/>
    <cellStyle name="20% - Accent1 3 3 3 2 2 3" xfId="14781"/>
    <cellStyle name="20% - Accent1 3 3 3 2 2 3 2" xfId="25898"/>
    <cellStyle name="20% - Accent1 3 3 3 2 2 4" xfId="18510"/>
    <cellStyle name="20% - Accent1 3 3 3 2 3" xfId="9235"/>
    <cellStyle name="20% - Accent1 3 3 3 2 3 2" xfId="20357"/>
    <cellStyle name="20% - Accent1 3 3 3 2 4" xfId="12934"/>
    <cellStyle name="20% - Accent1 3 3 3 2 4 2" xfId="24051"/>
    <cellStyle name="20% - Accent1 3 3 3 2 5" xfId="16663"/>
    <cellStyle name="20% - Accent1 3 3 3 3" xfId="6462"/>
    <cellStyle name="20% - Accent1 3 3 3 3 2" xfId="10164"/>
    <cellStyle name="20% - Accent1 3 3 3 3 2 2" xfId="21286"/>
    <cellStyle name="20% - Accent1 3 3 3 3 3" xfId="13863"/>
    <cellStyle name="20% - Accent1 3 3 3 3 3 2" xfId="24980"/>
    <cellStyle name="20% - Accent1 3 3 3 3 4" xfId="17592"/>
    <cellStyle name="20% - Accent1 3 3 3 4" xfId="8316"/>
    <cellStyle name="20% - Accent1 3 3 3 4 2" xfId="19439"/>
    <cellStyle name="20% - Accent1 3 3 3 5" xfId="12016"/>
    <cellStyle name="20% - Accent1 3 3 3 5 2" xfId="23133"/>
    <cellStyle name="20% - Accent1 3 3 3 6" xfId="15745"/>
    <cellStyle name="20% - Accent1 3 3 4" xfId="2569"/>
    <cellStyle name="20% - Accent1 3 3 4 2" xfId="6710"/>
    <cellStyle name="20% - Accent1 3 3 4 2 2" xfId="10412"/>
    <cellStyle name="20% - Accent1 3 3 4 2 2 2" xfId="21534"/>
    <cellStyle name="20% - Accent1 3 3 4 2 3" xfId="14111"/>
    <cellStyle name="20% - Accent1 3 3 4 2 3 2" xfId="25228"/>
    <cellStyle name="20% - Accent1 3 3 4 2 4" xfId="17840"/>
    <cellStyle name="20% - Accent1 3 3 4 3" xfId="8564"/>
    <cellStyle name="20% - Accent1 3 3 4 3 2" xfId="19687"/>
    <cellStyle name="20% - Accent1 3 3 4 4" xfId="12264"/>
    <cellStyle name="20% - Accent1 3 3 4 4 2" xfId="23381"/>
    <cellStyle name="20% - Accent1 3 3 4 5" xfId="15993"/>
    <cellStyle name="20% - Accent1 3 3 5" xfId="4822"/>
    <cellStyle name="20% - Accent1 3 3 5 2" xfId="7173"/>
    <cellStyle name="20% - Accent1 3 3 5 2 2" xfId="10874"/>
    <cellStyle name="20% - Accent1 3 3 5 2 2 2" xfId="21996"/>
    <cellStyle name="20% - Accent1 3 3 5 2 3" xfId="14573"/>
    <cellStyle name="20% - Accent1 3 3 5 2 3 2" xfId="25690"/>
    <cellStyle name="20% - Accent1 3 3 5 2 4" xfId="18302"/>
    <cellStyle name="20% - Accent1 3 3 5 3" xfId="9027"/>
    <cellStyle name="20% - Accent1 3 3 5 3 2" xfId="20149"/>
    <cellStyle name="20% - Accent1 3 3 5 4" xfId="12726"/>
    <cellStyle name="20% - Accent1 3 3 5 4 2" xfId="23843"/>
    <cellStyle name="20% - Accent1 3 3 5 5" xfId="16455"/>
    <cellStyle name="20% - Accent1 3 3 6" xfId="5304"/>
    <cellStyle name="20% - Accent1 3 3 6 2" xfId="7629"/>
    <cellStyle name="20% - Accent1 3 3 6 2 2" xfId="11330"/>
    <cellStyle name="20% - Accent1 3 3 6 2 2 2" xfId="22452"/>
    <cellStyle name="20% - Accent1 3 3 6 2 3" xfId="15029"/>
    <cellStyle name="20% - Accent1 3 3 6 2 3 2" xfId="26146"/>
    <cellStyle name="20% - Accent1 3 3 6 2 4" xfId="18758"/>
    <cellStyle name="20% - Accent1 3 3 6 3" xfId="9483"/>
    <cellStyle name="20% - Accent1 3 3 6 3 2" xfId="20605"/>
    <cellStyle name="20% - Accent1 3 3 6 4" xfId="13182"/>
    <cellStyle name="20% - Accent1 3 3 6 4 2" xfId="24299"/>
    <cellStyle name="20% - Accent1 3 3 6 5" xfId="16911"/>
    <cellStyle name="20% - Accent1 3 3 7" xfId="6254"/>
    <cellStyle name="20% - Accent1 3 3 7 2" xfId="9956"/>
    <cellStyle name="20% - Accent1 3 3 7 2 2" xfId="21078"/>
    <cellStyle name="20% - Accent1 3 3 7 3" xfId="13655"/>
    <cellStyle name="20% - Accent1 3 3 7 3 2" xfId="24772"/>
    <cellStyle name="20% - Accent1 3 3 7 4" xfId="17384"/>
    <cellStyle name="20% - Accent1 3 3 8" xfId="8108"/>
    <cellStyle name="20% - Accent1 3 3 8 2" xfId="19231"/>
    <cellStyle name="20% - Accent1 3 3 9" xfId="11808"/>
    <cellStyle name="20% - Accent1 3 3 9 2" xfId="22925"/>
    <cellStyle name="20% - Accent1 3 4" xfId="1950"/>
    <cellStyle name="20% - Accent1 3 4 2" xfId="2570"/>
    <cellStyle name="20% - Accent1 3 4 2 2" xfId="6711"/>
    <cellStyle name="20% - Accent1 3 4 2 2 2" xfId="10413"/>
    <cellStyle name="20% - Accent1 3 4 2 2 2 2" xfId="21535"/>
    <cellStyle name="20% - Accent1 3 4 2 2 3" xfId="14112"/>
    <cellStyle name="20% - Accent1 3 4 2 2 3 2" xfId="25229"/>
    <cellStyle name="20% - Accent1 3 4 2 2 4" xfId="17841"/>
    <cellStyle name="20% - Accent1 3 4 2 3" xfId="8565"/>
    <cellStyle name="20% - Accent1 3 4 2 3 2" xfId="19688"/>
    <cellStyle name="20% - Accent1 3 4 2 4" xfId="12265"/>
    <cellStyle name="20% - Accent1 3 4 2 4 2" xfId="23382"/>
    <cellStyle name="20% - Accent1 3 4 2 5" xfId="15994"/>
    <cellStyle name="20% - Accent1 3 4 3" xfId="5132"/>
    <cellStyle name="20% - Accent1 3 4 3 2" xfId="7483"/>
    <cellStyle name="20% - Accent1 3 4 3 2 2" xfId="11184"/>
    <cellStyle name="20% - Accent1 3 4 3 2 2 2" xfId="22306"/>
    <cellStyle name="20% - Accent1 3 4 3 2 3" xfId="14883"/>
    <cellStyle name="20% - Accent1 3 4 3 2 3 2" xfId="26000"/>
    <cellStyle name="20% - Accent1 3 4 3 2 4" xfId="18612"/>
    <cellStyle name="20% - Accent1 3 4 3 3" xfId="9337"/>
    <cellStyle name="20% - Accent1 3 4 3 3 2" xfId="20459"/>
    <cellStyle name="20% - Accent1 3 4 3 4" xfId="13036"/>
    <cellStyle name="20% - Accent1 3 4 3 4 2" xfId="24153"/>
    <cellStyle name="20% - Accent1 3 4 3 5" xfId="16765"/>
    <cellStyle name="20% - Accent1 3 4 4" xfId="5305"/>
    <cellStyle name="20% - Accent1 3 4 4 2" xfId="7630"/>
    <cellStyle name="20% - Accent1 3 4 4 2 2" xfId="11331"/>
    <cellStyle name="20% - Accent1 3 4 4 2 2 2" xfId="22453"/>
    <cellStyle name="20% - Accent1 3 4 4 2 3" xfId="15030"/>
    <cellStyle name="20% - Accent1 3 4 4 2 3 2" xfId="26147"/>
    <cellStyle name="20% - Accent1 3 4 4 2 4" xfId="18759"/>
    <cellStyle name="20% - Accent1 3 4 4 3" xfId="9484"/>
    <cellStyle name="20% - Accent1 3 4 4 3 2" xfId="20606"/>
    <cellStyle name="20% - Accent1 3 4 4 4" xfId="13183"/>
    <cellStyle name="20% - Accent1 3 4 4 4 2" xfId="24300"/>
    <cellStyle name="20% - Accent1 3 4 4 5" xfId="16912"/>
    <cellStyle name="20% - Accent1 3 4 5" xfId="6564"/>
    <cellStyle name="20% - Accent1 3 4 5 2" xfId="10266"/>
    <cellStyle name="20% - Accent1 3 4 5 2 2" xfId="21388"/>
    <cellStyle name="20% - Accent1 3 4 5 3" xfId="13965"/>
    <cellStyle name="20% - Accent1 3 4 5 3 2" xfId="25082"/>
    <cellStyle name="20% - Accent1 3 4 5 4" xfId="17694"/>
    <cellStyle name="20% - Accent1 3 4 6" xfId="8418"/>
    <cellStyle name="20% - Accent1 3 4 6 2" xfId="19541"/>
    <cellStyle name="20% - Accent1 3 4 7" xfId="12118"/>
    <cellStyle name="20% - Accent1 3 4 7 2" xfId="23235"/>
    <cellStyle name="20% - Accent1 3 4 8" xfId="15847"/>
    <cellStyle name="20% - Accent1 3 5" xfId="1729"/>
    <cellStyle name="20% - Accent1 3 5 2" xfId="2571"/>
    <cellStyle name="20% - Accent1 3 5 3" xfId="4926"/>
    <cellStyle name="20% - Accent1 3 5 3 2" xfId="7277"/>
    <cellStyle name="20% - Accent1 3 5 3 2 2" xfId="10978"/>
    <cellStyle name="20% - Accent1 3 5 3 2 2 2" xfId="22100"/>
    <cellStyle name="20% - Accent1 3 5 3 2 3" xfId="14677"/>
    <cellStyle name="20% - Accent1 3 5 3 2 3 2" xfId="25794"/>
    <cellStyle name="20% - Accent1 3 5 3 2 4" xfId="18406"/>
    <cellStyle name="20% - Accent1 3 5 3 3" xfId="9131"/>
    <cellStyle name="20% - Accent1 3 5 3 3 2" xfId="20253"/>
    <cellStyle name="20% - Accent1 3 5 3 4" xfId="12830"/>
    <cellStyle name="20% - Accent1 3 5 3 4 2" xfId="23947"/>
    <cellStyle name="20% - Accent1 3 5 3 5" xfId="16559"/>
    <cellStyle name="20% - Accent1 3 5 4" xfId="6358"/>
    <cellStyle name="20% - Accent1 3 5 4 2" xfId="10060"/>
    <cellStyle name="20% - Accent1 3 5 4 2 2" xfId="21182"/>
    <cellStyle name="20% - Accent1 3 5 4 3" xfId="13759"/>
    <cellStyle name="20% - Accent1 3 5 4 3 2" xfId="24876"/>
    <cellStyle name="20% - Accent1 3 5 4 4" xfId="17488"/>
    <cellStyle name="20% - Accent1 3 5 5" xfId="8212"/>
    <cellStyle name="20% - Accent1 3 5 5 2" xfId="19335"/>
    <cellStyle name="20% - Accent1 3 5 6" xfId="11912"/>
    <cellStyle name="20% - Accent1 3 5 6 2" xfId="23029"/>
    <cellStyle name="20% - Accent1 3 5 7" xfId="15641"/>
    <cellStyle name="20% - Accent1 3 6" xfId="2565"/>
    <cellStyle name="20% - Accent1 3 6 2" xfId="6706"/>
    <cellStyle name="20% - Accent1 3 6 2 2" xfId="10408"/>
    <cellStyle name="20% - Accent1 3 6 2 2 2" xfId="21530"/>
    <cellStyle name="20% - Accent1 3 6 2 3" xfId="14107"/>
    <cellStyle name="20% - Accent1 3 6 2 3 2" xfId="25224"/>
    <cellStyle name="20% - Accent1 3 6 2 4" xfId="17836"/>
    <cellStyle name="20% - Accent1 3 6 3" xfId="8560"/>
    <cellStyle name="20% - Accent1 3 6 3 2" xfId="19683"/>
    <cellStyle name="20% - Accent1 3 6 4" xfId="12260"/>
    <cellStyle name="20% - Accent1 3 6 4 2" xfId="23377"/>
    <cellStyle name="20% - Accent1 3 6 5" xfId="15989"/>
    <cellStyle name="20% - Accent1 3 7" xfId="4717"/>
    <cellStyle name="20% - Accent1 3 7 2" xfId="7069"/>
    <cellStyle name="20% - Accent1 3 7 2 2" xfId="10770"/>
    <cellStyle name="20% - Accent1 3 7 2 2 2" xfId="21892"/>
    <cellStyle name="20% - Accent1 3 7 2 3" xfId="14469"/>
    <cellStyle name="20% - Accent1 3 7 2 3 2" xfId="25586"/>
    <cellStyle name="20% - Accent1 3 7 2 4" xfId="18198"/>
    <cellStyle name="20% - Accent1 3 7 3" xfId="8923"/>
    <cellStyle name="20% - Accent1 3 7 3 2" xfId="20045"/>
    <cellStyle name="20% - Accent1 3 7 4" xfId="12622"/>
    <cellStyle name="20% - Accent1 3 7 4 2" xfId="23739"/>
    <cellStyle name="20% - Accent1 3 7 5" xfId="16351"/>
    <cellStyle name="20% - Accent1 3 8" xfId="5300"/>
    <cellStyle name="20% - Accent1 3 8 2" xfId="7625"/>
    <cellStyle name="20% - Accent1 3 8 2 2" xfId="11326"/>
    <cellStyle name="20% - Accent1 3 8 2 2 2" xfId="22448"/>
    <cellStyle name="20% - Accent1 3 8 2 3" xfId="15025"/>
    <cellStyle name="20% - Accent1 3 8 2 3 2" xfId="26142"/>
    <cellStyle name="20% - Accent1 3 8 2 4" xfId="18754"/>
    <cellStyle name="20% - Accent1 3 8 3" xfId="9479"/>
    <cellStyle name="20% - Accent1 3 8 3 2" xfId="20601"/>
    <cellStyle name="20% - Accent1 3 8 4" xfId="13178"/>
    <cellStyle name="20% - Accent1 3 8 4 2" xfId="24295"/>
    <cellStyle name="20% - Accent1 3 8 5" xfId="16907"/>
    <cellStyle name="20% - Accent1 3 9" xfId="5910"/>
    <cellStyle name="20% - Accent2" xfId="9" builtinId="34" customBuiltin="1"/>
    <cellStyle name="20% - Accent2 2" xfId="180"/>
    <cellStyle name="20% - Accent2 2 2" xfId="1395"/>
    <cellStyle name="20% - Accent2 3" xfId="765"/>
    <cellStyle name="20% - Accent2 3 10" xfId="6152"/>
    <cellStyle name="20% - Accent2 3 10 2" xfId="9854"/>
    <cellStyle name="20% - Accent2 3 10 2 2" xfId="20976"/>
    <cellStyle name="20% - Accent2 3 10 3" xfId="13553"/>
    <cellStyle name="20% - Accent2 3 10 3 2" xfId="24670"/>
    <cellStyle name="20% - Accent2 3 10 4" xfId="17282"/>
    <cellStyle name="20% - Accent2 3 11" xfId="8005"/>
    <cellStyle name="20% - Accent2 3 11 2" xfId="19129"/>
    <cellStyle name="20% - Accent2 3 12" xfId="11706"/>
    <cellStyle name="20% - Accent2 3 12 2" xfId="22823"/>
    <cellStyle name="20% - Accent2 3 13" xfId="15435"/>
    <cellStyle name="20% - Accent2 3 2" xfId="1559"/>
    <cellStyle name="20% - Accent2 3 2 10" xfId="11757"/>
    <cellStyle name="20% - Accent2 3 2 10 2" xfId="22874"/>
    <cellStyle name="20% - Accent2 3 2 11" xfId="15486"/>
    <cellStyle name="20% - Accent2 3 2 2" xfId="1675"/>
    <cellStyle name="20% - Accent2 3 2 2 10" xfId="15590"/>
    <cellStyle name="20% - Accent2 3 2 2 2" xfId="1956"/>
    <cellStyle name="20% - Accent2 3 2 2 2 2" xfId="5138"/>
    <cellStyle name="20% - Accent2 3 2 2 2 2 2" xfId="7489"/>
    <cellStyle name="20% - Accent2 3 2 2 2 2 2 2" xfId="11190"/>
    <cellStyle name="20% - Accent2 3 2 2 2 2 2 2 2" xfId="22312"/>
    <cellStyle name="20% - Accent2 3 2 2 2 2 2 3" xfId="14889"/>
    <cellStyle name="20% - Accent2 3 2 2 2 2 2 3 2" xfId="26006"/>
    <cellStyle name="20% - Accent2 3 2 2 2 2 2 4" xfId="18618"/>
    <cellStyle name="20% - Accent2 3 2 2 2 2 3" xfId="9343"/>
    <cellStyle name="20% - Accent2 3 2 2 2 2 3 2" xfId="20465"/>
    <cellStyle name="20% - Accent2 3 2 2 2 2 4" xfId="13042"/>
    <cellStyle name="20% - Accent2 3 2 2 2 2 4 2" xfId="24159"/>
    <cellStyle name="20% - Accent2 3 2 2 2 2 5" xfId="16771"/>
    <cellStyle name="20% - Accent2 3 2 2 2 3" xfId="6570"/>
    <cellStyle name="20% - Accent2 3 2 2 2 3 2" xfId="10272"/>
    <cellStyle name="20% - Accent2 3 2 2 2 3 2 2" xfId="21394"/>
    <cellStyle name="20% - Accent2 3 2 2 2 3 3" xfId="13971"/>
    <cellStyle name="20% - Accent2 3 2 2 2 3 3 2" xfId="25088"/>
    <cellStyle name="20% - Accent2 3 2 2 2 3 4" xfId="17700"/>
    <cellStyle name="20% - Accent2 3 2 2 2 4" xfId="8424"/>
    <cellStyle name="20% - Accent2 3 2 2 2 4 2" xfId="19547"/>
    <cellStyle name="20% - Accent2 3 2 2 2 5" xfId="12124"/>
    <cellStyle name="20% - Accent2 3 2 2 2 5 2" xfId="23241"/>
    <cellStyle name="20% - Accent2 3 2 2 2 6" xfId="15853"/>
    <cellStyle name="20% - Accent2 3 2 2 3" xfId="1886"/>
    <cellStyle name="20% - Accent2 3 2 2 3 2" xfId="5083"/>
    <cellStyle name="20% - Accent2 3 2 2 3 2 2" xfId="7434"/>
    <cellStyle name="20% - Accent2 3 2 2 3 2 2 2" xfId="11135"/>
    <cellStyle name="20% - Accent2 3 2 2 3 2 2 2 2" xfId="22257"/>
    <cellStyle name="20% - Accent2 3 2 2 3 2 2 3" xfId="14834"/>
    <cellStyle name="20% - Accent2 3 2 2 3 2 2 3 2" xfId="25951"/>
    <cellStyle name="20% - Accent2 3 2 2 3 2 2 4" xfId="18563"/>
    <cellStyle name="20% - Accent2 3 2 2 3 2 3" xfId="9288"/>
    <cellStyle name="20% - Accent2 3 2 2 3 2 3 2" xfId="20410"/>
    <cellStyle name="20% - Accent2 3 2 2 3 2 4" xfId="12987"/>
    <cellStyle name="20% - Accent2 3 2 2 3 2 4 2" xfId="24104"/>
    <cellStyle name="20% - Accent2 3 2 2 3 2 5" xfId="16716"/>
    <cellStyle name="20% - Accent2 3 2 2 3 3" xfId="6515"/>
    <cellStyle name="20% - Accent2 3 2 2 3 3 2" xfId="10217"/>
    <cellStyle name="20% - Accent2 3 2 2 3 3 2 2" xfId="21339"/>
    <cellStyle name="20% - Accent2 3 2 2 3 3 3" xfId="13916"/>
    <cellStyle name="20% - Accent2 3 2 2 3 3 3 2" xfId="25033"/>
    <cellStyle name="20% - Accent2 3 2 2 3 3 4" xfId="17645"/>
    <cellStyle name="20% - Accent2 3 2 2 3 4" xfId="8369"/>
    <cellStyle name="20% - Accent2 3 2 2 3 4 2" xfId="19492"/>
    <cellStyle name="20% - Accent2 3 2 2 3 5" xfId="12069"/>
    <cellStyle name="20% - Accent2 3 2 2 3 5 2" xfId="23186"/>
    <cellStyle name="20% - Accent2 3 2 2 3 6" xfId="15798"/>
    <cellStyle name="20% - Accent2 3 2 2 4" xfId="2574"/>
    <cellStyle name="20% - Accent2 3 2 2 4 2" xfId="6714"/>
    <cellStyle name="20% - Accent2 3 2 2 4 2 2" xfId="10416"/>
    <cellStyle name="20% - Accent2 3 2 2 4 2 2 2" xfId="21538"/>
    <cellStyle name="20% - Accent2 3 2 2 4 2 3" xfId="14115"/>
    <cellStyle name="20% - Accent2 3 2 2 4 2 3 2" xfId="25232"/>
    <cellStyle name="20% - Accent2 3 2 2 4 2 4" xfId="17844"/>
    <cellStyle name="20% - Accent2 3 2 2 4 3" xfId="8568"/>
    <cellStyle name="20% - Accent2 3 2 2 4 3 2" xfId="19691"/>
    <cellStyle name="20% - Accent2 3 2 2 4 4" xfId="12268"/>
    <cellStyle name="20% - Accent2 3 2 2 4 4 2" xfId="23385"/>
    <cellStyle name="20% - Accent2 3 2 2 4 5" xfId="15997"/>
    <cellStyle name="20% - Accent2 3 2 2 5" xfId="4875"/>
    <cellStyle name="20% - Accent2 3 2 2 5 2" xfId="7226"/>
    <cellStyle name="20% - Accent2 3 2 2 5 2 2" xfId="10927"/>
    <cellStyle name="20% - Accent2 3 2 2 5 2 2 2" xfId="22049"/>
    <cellStyle name="20% - Accent2 3 2 2 5 2 3" xfId="14626"/>
    <cellStyle name="20% - Accent2 3 2 2 5 2 3 2" xfId="25743"/>
    <cellStyle name="20% - Accent2 3 2 2 5 2 4" xfId="18355"/>
    <cellStyle name="20% - Accent2 3 2 2 5 3" xfId="9080"/>
    <cellStyle name="20% - Accent2 3 2 2 5 3 2" xfId="20202"/>
    <cellStyle name="20% - Accent2 3 2 2 5 4" xfId="12779"/>
    <cellStyle name="20% - Accent2 3 2 2 5 4 2" xfId="23896"/>
    <cellStyle name="20% - Accent2 3 2 2 5 5" xfId="16508"/>
    <cellStyle name="20% - Accent2 3 2 2 6" xfId="5308"/>
    <cellStyle name="20% - Accent2 3 2 2 6 2" xfId="7633"/>
    <cellStyle name="20% - Accent2 3 2 2 6 2 2" xfId="11334"/>
    <cellStyle name="20% - Accent2 3 2 2 6 2 2 2" xfId="22456"/>
    <cellStyle name="20% - Accent2 3 2 2 6 2 3" xfId="15033"/>
    <cellStyle name="20% - Accent2 3 2 2 6 2 3 2" xfId="26150"/>
    <cellStyle name="20% - Accent2 3 2 2 6 2 4" xfId="18762"/>
    <cellStyle name="20% - Accent2 3 2 2 6 3" xfId="9487"/>
    <cellStyle name="20% - Accent2 3 2 2 6 3 2" xfId="20609"/>
    <cellStyle name="20% - Accent2 3 2 2 6 4" xfId="13186"/>
    <cellStyle name="20% - Accent2 3 2 2 6 4 2" xfId="24303"/>
    <cellStyle name="20% - Accent2 3 2 2 6 5" xfId="16915"/>
    <cellStyle name="20% - Accent2 3 2 2 7" xfId="6307"/>
    <cellStyle name="20% - Accent2 3 2 2 7 2" xfId="10009"/>
    <cellStyle name="20% - Accent2 3 2 2 7 2 2" xfId="21131"/>
    <cellStyle name="20% - Accent2 3 2 2 7 3" xfId="13708"/>
    <cellStyle name="20% - Accent2 3 2 2 7 3 2" xfId="24825"/>
    <cellStyle name="20% - Accent2 3 2 2 7 4" xfId="17437"/>
    <cellStyle name="20% - Accent2 3 2 2 8" xfId="8161"/>
    <cellStyle name="20% - Accent2 3 2 2 8 2" xfId="19284"/>
    <cellStyle name="20% - Accent2 3 2 2 9" xfId="11861"/>
    <cellStyle name="20% - Accent2 3 2 2 9 2" xfId="22978"/>
    <cellStyle name="20% - Accent2 3 2 3" xfId="1955"/>
    <cellStyle name="20% - Accent2 3 2 3 2" xfId="2575"/>
    <cellStyle name="20% - Accent2 3 2 3 2 2" xfId="6715"/>
    <cellStyle name="20% - Accent2 3 2 3 2 2 2" xfId="10417"/>
    <cellStyle name="20% - Accent2 3 2 3 2 2 2 2" xfId="21539"/>
    <cellStyle name="20% - Accent2 3 2 3 2 2 3" xfId="14116"/>
    <cellStyle name="20% - Accent2 3 2 3 2 2 3 2" xfId="25233"/>
    <cellStyle name="20% - Accent2 3 2 3 2 2 4" xfId="17845"/>
    <cellStyle name="20% - Accent2 3 2 3 2 3" xfId="8569"/>
    <cellStyle name="20% - Accent2 3 2 3 2 3 2" xfId="19692"/>
    <cellStyle name="20% - Accent2 3 2 3 2 4" xfId="12269"/>
    <cellStyle name="20% - Accent2 3 2 3 2 4 2" xfId="23386"/>
    <cellStyle name="20% - Accent2 3 2 3 2 5" xfId="15998"/>
    <cellStyle name="20% - Accent2 3 2 3 3" xfId="5137"/>
    <cellStyle name="20% - Accent2 3 2 3 3 2" xfId="7488"/>
    <cellStyle name="20% - Accent2 3 2 3 3 2 2" xfId="11189"/>
    <cellStyle name="20% - Accent2 3 2 3 3 2 2 2" xfId="22311"/>
    <cellStyle name="20% - Accent2 3 2 3 3 2 3" xfId="14888"/>
    <cellStyle name="20% - Accent2 3 2 3 3 2 3 2" xfId="26005"/>
    <cellStyle name="20% - Accent2 3 2 3 3 2 4" xfId="18617"/>
    <cellStyle name="20% - Accent2 3 2 3 3 3" xfId="9342"/>
    <cellStyle name="20% - Accent2 3 2 3 3 3 2" xfId="20464"/>
    <cellStyle name="20% - Accent2 3 2 3 3 4" xfId="13041"/>
    <cellStyle name="20% - Accent2 3 2 3 3 4 2" xfId="24158"/>
    <cellStyle name="20% - Accent2 3 2 3 3 5" xfId="16770"/>
    <cellStyle name="20% - Accent2 3 2 3 4" xfId="5309"/>
    <cellStyle name="20% - Accent2 3 2 3 4 2" xfId="7634"/>
    <cellStyle name="20% - Accent2 3 2 3 4 2 2" xfId="11335"/>
    <cellStyle name="20% - Accent2 3 2 3 4 2 2 2" xfId="22457"/>
    <cellStyle name="20% - Accent2 3 2 3 4 2 3" xfId="15034"/>
    <cellStyle name="20% - Accent2 3 2 3 4 2 3 2" xfId="26151"/>
    <cellStyle name="20% - Accent2 3 2 3 4 2 4" xfId="18763"/>
    <cellStyle name="20% - Accent2 3 2 3 4 3" xfId="9488"/>
    <cellStyle name="20% - Accent2 3 2 3 4 3 2" xfId="20610"/>
    <cellStyle name="20% - Accent2 3 2 3 4 4" xfId="13187"/>
    <cellStyle name="20% - Accent2 3 2 3 4 4 2" xfId="24304"/>
    <cellStyle name="20% - Accent2 3 2 3 4 5" xfId="16916"/>
    <cellStyle name="20% - Accent2 3 2 3 5" xfId="6569"/>
    <cellStyle name="20% - Accent2 3 2 3 5 2" xfId="10271"/>
    <cellStyle name="20% - Accent2 3 2 3 5 2 2" xfId="21393"/>
    <cellStyle name="20% - Accent2 3 2 3 5 3" xfId="13970"/>
    <cellStyle name="20% - Accent2 3 2 3 5 3 2" xfId="25087"/>
    <cellStyle name="20% - Accent2 3 2 3 5 4" xfId="17699"/>
    <cellStyle name="20% - Accent2 3 2 3 6" xfId="8423"/>
    <cellStyle name="20% - Accent2 3 2 3 6 2" xfId="19546"/>
    <cellStyle name="20% - Accent2 3 2 3 7" xfId="12123"/>
    <cellStyle name="20% - Accent2 3 2 3 7 2" xfId="23240"/>
    <cellStyle name="20% - Accent2 3 2 3 8" xfId="15852"/>
    <cellStyle name="20% - Accent2 3 2 4" xfId="1782"/>
    <cellStyle name="20% - Accent2 3 2 4 2" xfId="4979"/>
    <cellStyle name="20% - Accent2 3 2 4 2 2" xfId="7330"/>
    <cellStyle name="20% - Accent2 3 2 4 2 2 2" xfId="11031"/>
    <cellStyle name="20% - Accent2 3 2 4 2 2 2 2" xfId="22153"/>
    <cellStyle name="20% - Accent2 3 2 4 2 2 3" xfId="14730"/>
    <cellStyle name="20% - Accent2 3 2 4 2 2 3 2" xfId="25847"/>
    <cellStyle name="20% - Accent2 3 2 4 2 2 4" xfId="18459"/>
    <cellStyle name="20% - Accent2 3 2 4 2 3" xfId="9184"/>
    <cellStyle name="20% - Accent2 3 2 4 2 3 2" xfId="20306"/>
    <cellStyle name="20% - Accent2 3 2 4 2 4" xfId="12883"/>
    <cellStyle name="20% - Accent2 3 2 4 2 4 2" xfId="24000"/>
    <cellStyle name="20% - Accent2 3 2 4 2 5" xfId="16612"/>
    <cellStyle name="20% - Accent2 3 2 4 3" xfId="6411"/>
    <cellStyle name="20% - Accent2 3 2 4 3 2" xfId="10113"/>
    <cellStyle name="20% - Accent2 3 2 4 3 2 2" xfId="21235"/>
    <cellStyle name="20% - Accent2 3 2 4 3 3" xfId="13812"/>
    <cellStyle name="20% - Accent2 3 2 4 3 3 2" xfId="24929"/>
    <cellStyle name="20% - Accent2 3 2 4 3 4" xfId="17541"/>
    <cellStyle name="20% - Accent2 3 2 4 4" xfId="8265"/>
    <cellStyle name="20% - Accent2 3 2 4 4 2" xfId="19388"/>
    <cellStyle name="20% - Accent2 3 2 4 5" xfId="11965"/>
    <cellStyle name="20% - Accent2 3 2 4 5 2" xfId="23082"/>
    <cellStyle name="20% - Accent2 3 2 4 6" xfId="15694"/>
    <cellStyle name="20% - Accent2 3 2 5" xfId="2573"/>
    <cellStyle name="20% - Accent2 3 2 5 2" xfId="6713"/>
    <cellStyle name="20% - Accent2 3 2 5 2 2" xfId="10415"/>
    <cellStyle name="20% - Accent2 3 2 5 2 2 2" xfId="21537"/>
    <cellStyle name="20% - Accent2 3 2 5 2 3" xfId="14114"/>
    <cellStyle name="20% - Accent2 3 2 5 2 3 2" xfId="25231"/>
    <cellStyle name="20% - Accent2 3 2 5 2 4" xfId="17843"/>
    <cellStyle name="20% - Accent2 3 2 5 3" xfId="8567"/>
    <cellStyle name="20% - Accent2 3 2 5 3 2" xfId="19690"/>
    <cellStyle name="20% - Accent2 3 2 5 4" xfId="12267"/>
    <cellStyle name="20% - Accent2 3 2 5 4 2" xfId="23384"/>
    <cellStyle name="20% - Accent2 3 2 5 5" xfId="15996"/>
    <cellStyle name="20% - Accent2 3 2 6" xfId="4771"/>
    <cellStyle name="20% - Accent2 3 2 6 2" xfId="7122"/>
    <cellStyle name="20% - Accent2 3 2 6 2 2" xfId="10823"/>
    <cellStyle name="20% - Accent2 3 2 6 2 2 2" xfId="21945"/>
    <cellStyle name="20% - Accent2 3 2 6 2 3" xfId="14522"/>
    <cellStyle name="20% - Accent2 3 2 6 2 3 2" xfId="25639"/>
    <cellStyle name="20% - Accent2 3 2 6 2 4" xfId="18251"/>
    <cellStyle name="20% - Accent2 3 2 6 3" xfId="8976"/>
    <cellStyle name="20% - Accent2 3 2 6 3 2" xfId="20098"/>
    <cellStyle name="20% - Accent2 3 2 6 4" xfId="12675"/>
    <cellStyle name="20% - Accent2 3 2 6 4 2" xfId="23792"/>
    <cellStyle name="20% - Accent2 3 2 6 5" xfId="16404"/>
    <cellStyle name="20% - Accent2 3 2 7" xfId="5307"/>
    <cellStyle name="20% - Accent2 3 2 7 2" xfId="7632"/>
    <cellStyle name="20% - Accent2 3 2 7 2 2" xfId="11333"/>
    <cellStyle name="20% - Accent2 3 2 7 2 2 2" xfId="22455"/>
    <cellStyle name="20% - Accent2 3 2 7 2 3" xfId="15032"/>
    <cellStyle name="20% - Accent2 3 2 7 2 3 2" xfId="26149"/>
    <cellStyle name="20% - Accent2 3 2 7 2 4" xfId="18761"/>
    <cellStyle name="20% - Accent2 3 2 7 3" xfId="9486"/>
    <cellStyle name="20% - Accent2 3 2 7 3 2" xfId="20608"/>
    <cellStyle name="20% - Accent2 3 2 7 4" xfId="13185"/>
    <cellStyle name="20% - Accent2 3 2 7 4 2" xfId="24302"/>
    <cellStyle name="20% - Accent2 3 2 7 5" xfId="16914"/>
    <cellStyle name="20% - Accent2 3 2 8" xfId="6203"/>
    <cellStyle name="20% - Accent2 3 2 8 2" xfId="9905"/>
    <cellStyle name="20% - Accent2 3 2 8 2 2" xfId="21027"/>
    <cellStyle name="20% - Accent2 3 2 8 3" xfId="13604"/>
    <cellStyle name="20% - Accent2 3 2 8 3 2" xfId="24721"/>
    <cellStyle name="20% - Accent2 3 2 8 4" xfId="17333"/>
    <cellStyle name="20% - Accent2 3 2 9" xfId="8057"/>
    <cellStyle name="20% - Accent2 3 2 9 2" xfId="19180"/>
    <cellStyle name="20% - Accent2 3 3" xfId="1622"/>
    <cellStyle name="20% - Accent2 3 3 10" xfId="15539"/>
    <cellStyle name="20% - Accent2 3 3 2" xfId="1957"/>
    <cellStyle name="20% - Accent2 3 3 2 2" xfId="5139"/>
    <cellStyle name="20% - Accent2 3 3 2 2 2" xfId="7490"/>
    <cellStyle name="20% - Accent2 3 3 2 2 2 2" xfId="11191"/>
    <cellStyle name="20% - Accent2 3 3 2 2 2 2 2" xfId="22313"/>
    <cellStyle name="20% - Accent2 3 3 2 2 2 3" xfId="14890"/>
    <cellStyle name="20% - Accent2 3 3 2 2 2 3 2" xfId="26007"/>
    <cellStyle name="20% - Accent2 3 3 2 2 2 4" xfId="18619"/>
    <cellStyle name="20% - Accent2 3 3 2 2 3" xfId="9344"/>
    <cellStyle name="20% - Accent2 3 3 2 2 3 2" xfId="20466"/>
    <cellStyle name="20% - Accent2 3 3 2 2 4" xfId="13043"/>
    <cellStyle name="20% - Accent2 3 3 2 2 4 2" xfId="24160"/>
    <cellStyle name="20% - Accent2 3 3 2 2 5" xfId="16772"/>
    <cellStyle name="20% - Accent2 3 3 2 3" xfId="6571"/>
    <cellStyle name="20% - Accent2 3 3 2 3 2" xfId="10273"/>
    <cellStyle name="20% - Accent2 3 3 2 3 2 2" xfId="21395"/>
    <cellStyle name="20% - Accent2 3 3 2 3 3" xfId="13972"/>
    <cellStyle name="20% - Accent2 3 3 2 3 3 2" xfId="25089"/>
    <cellStyle name="20% - Accent2 3 3 2 3 4" xfId="17701"/>
    <cellStyle name="20% - Accent2 3 3 2 4" xfId="8425"/>
    <cellStyle name="20% - Accent2 3 3 2 4 2" xfId="19548"/>
    <cellStyle name="20% - Accent2 3 3 2 5" xfId="12125"/>
    <cellStyle name="20% - Accent2 3 3 2 5 2" xfId="23242"/>
    <cellStyle name="20% - Accent2 3 3 2 6" xfId="15854"/>
    <cellStyle name="20% - Accent2 3 3 3" xfId="1835"/>
    <cellStyle name="20% - Accent2 3 3 3 2" xfId="5032"/>
    <cellStyle name="20% - Accent2 3 3 3 2 2" xfId="7383"/>
    <cellStyle name="20% - Accent2 3 3 3 2 2 2" xfId="11084"/>
    <cellStyle name="20% - Accent2 3 3 3 2 2 2 2" xfId="22206"/>
    <cellStyle name="20% - Accent2 3 3 3 2 2 3" xfId="14783"/>
    <cellStyle name="20% - Accent2 3 3 3 2 2 3 2" xfId="25900"/>
    <cellStyle name="20% - Accent2 3 3 3 2 2 4" xfId="18512"/>
    <cellStyle name="20% - Accent2 3 3 3 2 3" xfId="9237"/>
    <cellStyle name="20% - Accent2 3 3 3 2 3 2" xfId="20359"/>
    <cellStyle name="20% - Accent2 3 3 3 2 4" xfId="12936"/>
    <cellStyle name="20% - Accent2 3 3 3 2 4 2" xfId="24053"/>
    <cellStyle name="20% - Accent2 3 3 3 2 5" xfId="16665"/>
    <cellStyle name="20% - Accent2 3 3 3 3" xfId="6464"/>
    <cellStyle name="20% - Accent2 3 3 3 3 2" xfId="10166"/>
    <cellStyle name="20% - Accent2 3 3 3 3 2 2" xfId="21288"/>
    <cellStyle name="20% - Accent2 3 3 3 3 3" xfId="13865"/>
    <cellStyle name="20% - Accent2 3 3 3 3 3 2" xfId="24982"/>
    <cellStyle name="20% - Accent2 3 3 3 3 4" xfId="17594"/>
    <cellStyle name="20% - Accent2 3 3 3 4" xfId="8318"/>
    <cellStyle name="20% - Accent2 3 3 3 4 2" xfId="19441"/>
    <cellStyle name="20% - Accent2 3 3 3 5" xfId="12018"/>
    <cellStyle name="20% - Accent2 3 3 3 5 2" xfId="23135"/>
    <cellStyle name="20% - Accent2 3 3 3 6" xfId="15747"/>
    <cellStyle name="20% - Accent2 3 3 4" xfId="2576"/>
    <cellStyle name="20% - Accent2 3 3 4 2" xfId="6716"/>
    <cellStyle name="20% - Accent2 3 3 4 2 2" xfId="10418"/>
    <cellStyle name="20% - Accent2 3 3 4 2 2 2" xfId="21540"/>
    <cellStyle name="20% - Accent2 3 3 4 2 3" xfId="14117"/>
    <cellStyle name="20% - Accent2 3 3 4 2 3 2" xfId="25234"/>
    <cellStyle name="20% - Accent2 3 3 4 2 4" xfId="17846"/>
    <cellStyle name="20% - Accent2 3 3 4 3" xfId="8570"/>
    <cellStyle name="20% - Accent2 3 3 4 3 2" xfId="19693"/>
    <cellStyle name="20% - Accent2 3 3 4 4" xfId="12270"/>
    <cellStyle name="20% - Accent2 3 3 4 4 2" xfId="23387"/>
    <cellStyle name="20% - Accent2 3 3 4 5" xfId="15999"/>
    <cellStyle name="20% - Accent2 3 3 5" xfId="4824"/>
    <cellStyle name="20% - Accent2 3 3 5 2" xfId="7175"/>
    <cellStyle name="20% - Accent2 3 3 5 2 2" xfId="10876"/>
    <cellStyle name="20% - Accent2 3 3 5 2 2 2" xfId="21998"/>
    <cellStyle name="20% - Accent2 3 3 5 2 3" xfId="14575"/>
    <cellStyle name="20% - Accent2 3 3 5 2 3 2" xfId="25692"/>
    <cellStyle name="20% - Accent2 3 3 5 2 4" xfId="18304"/>
    <cellStyle name="20% - Accent2 3 3 5 3" xfId="9029"/>
    <cellStyle name="20% - Accent2 3 3 5 3 2" xfId="20151"/>
    <cellStyle name="20% - Accent2 3 3 5 4" xfId="12728"/>
    <cellStyle name="20% - Accent2 3 3 5 4 2" xfId="23845"/>
    <cellStyle name="20% - Accent2 3 3 5 5" xfId="16457"/>
    <cellStyle name="20% - Accent2 3 3 6" xfId="5310"/>
    <cellStyle name="20% - Accent2 3 3 6 2" xfId="7635"/>
    <cellStyle name="20% - Accent2 3 3 6 2 2" xfId="11336"/>
    <cellStyle name="20% - Accent2 3 3 6 2 2 2" xfId="22458"/>
    <cellStyle name="20% - Accent2 3 3 6 2 3" xfId="15035"/>
    <cellStyle name="20% - Accent2 3 3 6 2 3 2" xfId="26152"/>
    <cellStyle name="20% - Accent2 3 3 6 2 4" xfId="18764"/>
    <cellStyle name="20% - Accent2 3 3 6 3" xfId="9489"/>
    <cellStyle name="20% - Accent2 3 3 6 3 2" xfId="20611"/>
    <cellStyle name="20% - Accent2 3 3 6 4" xfId="13188"/>
    <cellStyle name="20% - Accent2 3 3 6 4 2" xfId="24305"/>
    <cellStyle name="20% - Accent2 3 3 6 5" xfId="16917"/>
    <cellStyle name="20% - Accent2 3 3 7" xfId="6256"/>
    <cellStyle name="20% - Accent2 3 3 7 2" xfId="9958"/>
    <cellStyle name="20% - Accent2 3 3 7 2 2" xfId="21080"/>
    <cellStyle name="20% - Accent2 3 3 7 3" xfId="13657"/>
    <cellStyle name="20% - Accent2 3 3 7 3 2" xfId="24774"/>
    <cellStyle name="20% - Accent2 3 3 7 4" xfId="17386"/>
    <cellStyle name="20% - Accent2 3 3 8" xfId="8110"/>
    <cellStyle name="20% - Accent2 3 3 8 2" xfId="19233"/>
    <cellStyle name="20% - Accent2 3 3 9" xfId="11810"/>
    <cellStyle name="20% - Accent2 3 3 9 2" xfId="22927"/>
    <cellStyle name="20% - Accent2 3 4" xfId="1954"/>
    <cellStyle name="20% - Accent2 3 4 2" xfId="2577"/>
    <cellStyle name="20% - Accent2 3 4 2 2" xfId="6717"/>
    <cellStyle name="20% - Accent2 3 4 2 2 2" xfId="10419"/>
    <cellStyle name="20% - Accent2 3 4 2 2 2 2" xfId="21541"/>
    <cellStyle name="20% - Accent2 3 4 2 2 3" xfId="14118"/>
    <cellStyle name="20% - Accent2 3 4 2 2 3 2" xfId="25235"/>
    <cellStyle name="20% - Accent2 3 4 2 2 4" xfId="17847"/>
    <cellStyle name="20% - Accent2 3 4 2 3" xfId="8571"/>
    <cellStyle name="20% - Accent2 3 4 2 3 2" xfId="19694"/>
    <cellStyle name="20% - Accent2 3 4 2 4" xfId="12271"/>
    <cellStyle name="20% - Accent2 3 4 2 4 2" xfId="23388"/>
    <cellStyle name="20% - Accent2 3 4 2 5" xfId="16000"/>
    <cellStyle name="20% - Accent2 3 4 3" xfId="5136"/>
    <cellStyle name="20% - Accent2 3 4 3 2" xfId="7487"/>
    <cellStyle name="20% - Accent2 3 4 3 2 2" xfId="11188"/>
    <cellStyle name="20% - Accent2 3 4 3 2 2 2" xfId="22310"/>
    <cellStyle name="20% - Accent2 3 4 3 2 3" xfId="14887"/>
    <cellStyle name="20% - Accent2 3 4 3 2 3 2" xfId="26004"/>
    <cellStyle name="20% - Accent2 3 4 3 2 4" xfId="18616"/>
    <cellStyle name="20% - Accent2 3 4 3 3" xfId="9341"/>
    <cellStyle name="20% - Accent2 3 4 3 3 2" xfId="20463"/>
    <cellStyle name="20% - Accent2 3 4 3 4" xfId="13040"/>
    <cellStyle name="20% - Accent2 3 4 3 4 2" xfId="24157"/>
    <cellStyle name="20% - Accent2 3 4 3 5" xfId="16769"/>
    <cellStyle name="20% - Accent2 3 4 4" xfId="5311"/>
    <cellStyle name="20% - Accent2 3 4 4 2" xfId="7636"/>
    <cellStyle name="20% - Accent2 3 4 4 2 2" xfId="11337"/>
    <cellStyle name="20% - Accent2 3 4 4 2 2 2" xfId="22459"/>
    <cellStyle name="20% - Accent2 3 4 4 2 3" xfId="15036"/>
    <cellStyle name="20% - Accent2 3 4 4 2 3 2" xfId="26153"/>
    <cellStyle name="20% - Accent2 3 4 4 2 4" xfId="18765"/>
    <cellStyle name="20% - Accent2 3 4 4 3" xfId="9490"/>
    <cellStyle name="20% - Accent2 3 4 4 3 2" xfId="20612"/>
    <cellStyle name="20% - Accent2 3 4 4 4" xfId="13189"/>
    <cellStyle name="20% - Accent2 3 4 4 4 2" xfId="24306"/>
    <cellStyle name="20% - Accent2 3 4 4 5" xfId="16918"/>
    <cellStyle name="20% - Accent2 3 4 5" xfId="6568"/>
    <cellStyle name="20% - Accent2 3 4 5 2" xfId="10270"/>
    <cellStyle name="20% - Accent2 3 4 5 2 2" xfId="21392"/>
    <cellStyle name="20% - Accent2 3 4 5 3" xfId="13969"/>
    <cellStyle name="20% - Accent2 3 4 5 3 2" xfId="25086"/>
    <cellStyle name="20% - Accent2 3 4 5 4" xfId="17698"/>
    <cellStyle name="20% - Accent2 3 4 6" xfId="8422"/>
    <cellStyle name="20% - Accent2 3 4 6 2" xfId="19545"/>
    <cellStyle name="20% - Accent2 3 4 7" xfId="12122"/>
    <cellStyle name="20% - Accent2 3 4 7 2" xfId="23239"/>
    <cellStyle name="20% - Accent2 3 4 8" xfId="15851"/>
    <cellStyle name="20% - Accent2 3 5" xfId="1731"/>
    <cellStyle name="20% - Accent2 3 5 2" xfId="2578"/>
    <cellStyle name="20% - Accent2 3 5 3" xfId="4928"/>
    <cellStyle name="20% - Accent2 3 5 3 2" xfId="7279"/>
    <cellStyle name="20% - Accent2 3 5 3 2 2" xfId="10980"/>
    <cellStyle name="20% - Accent2 3 5 3 2 2 2" xfId="22102"/>
    <cellStyle name="20% - Accent2 3 5 3 2 3" xfId="14679"/>
    <cellStyle name="20% - Accent2 3 5 3 2 3 2" xfId="25796"/>
    <cellStyle name="20% - Accent2 3 5 3 2 4" xfId="18408"/>
    <cellStyle name="20% - Accent2 3 5 3 3" xfId="9133"/>
    <cellStyle name="20% - Accent2 3 5 3 3 2" xfId="20255"/>
    <cellStyle name="20% - Accent2 3 5 3 4" xfId="12832"/>
    <cellStyle name="20% - Accent2 3 5 3 4 2" xfId="23949"/>
    <cellStyle name="20% - Accent2 3 5 3 5" xfId="16561"/>
    <cellStyle name="20% - Accent2 3 5 4" xfId="6360"/>
    <cellStyle name="20% - Accent2 3 5 4 2" xfId="10062"/>
    <cellStyle name="20% - Accent2 3 5 4 2 2" xfId="21184"/>
    <cellStyle name="20% - Accent2 3 5 4 3" xfId="13761"/>
    <cellStyle name="20% - Accent2 3 5 4 3 2" xfId="24878"/>
    <cellStyle name="20% - Accent2 3 5 4 4" xfId="17490"/>
    <cellStyle name="20% - Accent2 3 5 5" xfId="8214"/>
    <cellStyle name="20% - Accent2 3 5 5 2" xfId="19337"/>
    <cellStyle name="20% - Accent2 3 5 6" xfId="11914"/>
    <cellStyle name="20% - Accent2 3 5 6 2" xfId="23031"/>
    <cellStyle name="20% - Accent2 3 5 7" xfId="15643"/>
    <cellStyle name="20% - Accent2 3 6" xfId="2572"/>
    <cellStyle name="20% - Accent2 3 6 2" xfId="6712"/>
    <cellStyle name="20% - Accent2 3 6 2 2" xfId="10414"/>
    <cellStyle name="20% - Accent2 3 6 2 2 2" xfId="21536"/>
    <cellStyle name="20% - Accent2 3 6 2 3" xfId="14113"/>
    <cellStyle name="20% - Accent2 3 6 2 3 2" xfId="25230"/>
    <cellStyle name="20% - Accent2 3 6 2 4" xfId="17842"/>
    <cellStyle name="20% - Accent2 3 6 3" xfId="8566"/>
    <cellStyle name="20% - Accent2 3 6 3 2" xfId="19689"/>
    <cellStyle name="20% - Accent2 3 6 4" xfId="12266"/>
    <cellStyle name="20% - Accent2 3 6 4 2" xfId="23383"/>
    <cellStyle name="20% - Accent2 3 6 5" xfId="15995"/>
    <cellStyle name="20% - Accent2 3 7" xfId="4719"/>
    <cellStyle name="20% - Accent2 3 7 2" xfId="7071"/>
    <cellStyle name="20% - Accent2 3 7 2 2" xfId="10772"/>
    <cellStyle name="20% - Accent2 3 7 2 2 2" xfId="21894"/>
    <cellStyle name="20% - Accent2 3 7 2 3" xfId="14471"/>
    <cellStyle name="20% - Accent2 3 7 2 3 2" xfId="25588"/>
    <cellStyle name="20% - Accent2 3 7 2 4" xfId="18200"/>
    <cellStyle name="20% - Accent2 3 7 3" xfId="8925"/>
    <cellStyle name="20% - Accent2 3 7 3 2" xfId="20047"/>
    <cellStyle name="20% - Accent2 3 7 4" xfId="12624"/>
    <cellStyle name="20% - Accent2 3 7 4 2" xfId="23741"/>
    <cellStyle name="20% - Accent2 3 7 5" xfId="16353"/>
    <cellStyle name="20% - Accent2 3 8" xfId="5306"/>
    <cellStyle name="20% - Accent2 3 8 2" xfId="7631"/>
    <cellStyle name="20% - Accent2 3 8 2 2" xfId="11332"/>
    <cellStyle name="20% - Accent2 3 8 2 2 2" xfId="22454"/>
    <cellStyle name="20% - Accent2 3 8 2 3" xfId="15031"/>
    <cellStyle name="20% - Accent2 3 8 2 3 2" xfId="26148"/>
    <cellStyle name="20% - Accent2 3 8 2 4" xfId="18760"/>
    <cellStyle name="20% - Accent2 3 8 3" xfId="9485"/>
    <cellStyle name="20% - Accent2 3 8 3 2" xfId="20607"/>
    <cellStyle name="20% - Accent2 3 8 4" xfId="13184"/>
    <cellStyle name="20% - Accent2 3 8 4 2" xfId="24301"/>
    <cellStyle name="20% - Accent2 3 8 5" xfId="16913"/>
    <cellStyle name="20% - Accent2 3 9" xfId="5862"/>
    <cellStyle name="20% - Accent3" xfId="10" builtinId="38" customBuiltin="1"/>
    <cellStyle name="20% - Accent3 2" xfId="181"/>
    <cellStyle name="20% - Accent3 2 2" xfId="1199"/>
    <cellStyle name="20% - Accent3 2 3" xfId="1200"/>
    <cellStyle name="20% - Accent3 3" xfId="769"/>
    <cellStyle name="20% - Accent3 3 10" xfId="6154"/>
    <cellStyle name="20% - Accent3 3 10 2" xfId="9856"/>
    <cellStyle name="20% - Accent3 3 10 2 2" xfId="20978"/>
    <cellStyle name="20% - Accent3 3 10 3" xfId="13555"/>
    <cellStyle name="20% - Accent3 3 10 3 2" xfId="24672"/>
    <cellStyle name="20% - Accent3 3 10 4" xfId="17284"/>
    <cellStyle name="20% - Accent3 3 11" xfId="8007"/>
    <cellStyle name="20% - Accent3 3 11 2" xfId="19131"/>
    <cellStyle name="20% - Accent3 3 12" xfId="11708"/>
    <cellStyle name="20% - Accent3 3 12 2" xfId="22825"/>
    <cellStyle name="20% - Accent3 3 13" xfId="15437"/>
    <cellStyle name="20% - Accent3 3 2" xfId="1561"/>
    <cellStyle name="20% - Accent3 3 2 10" xfId="11759"/>
    <cellStyle name="20% - Accent3 3 2 10 2" xfId="22876"/>
    <cellStyle name="20% - Accent3 3 2 11" xfId="15488"/>
    <cellStyle name="20% - Accent3 3 2 2" xfId="1672"/>
    <cellStyle name="20% - Accent3 3 2 2 2" xfId="1960"/>
    <cellStyle name="20% - Accent3 3 2 2 2 2" xfId="5142"/>
    <cellStyle name="20% - Accent3 3 2 2 2 2 2" xfId="7493"/>
    <cellStyle name="20% - Accent3 3 2 2 2 2 2 2" xfId="11194"/>
    <cellStyle name="20% - Accent3 3 2 2 2 2 2 2 2" xfId="22316"/>
    <cellStyle name="20% - Accent3 3 2 2 2 2 2 3" xfId="14893"/>
    <cellStyle name="20% - Accent3 3 2 2 2 2 2 3 2" xfId="26010"/>
    <cellStyle name="20% - Accent3 3 2 2 2 2 2 4" xfId="18622"/>
    <cellStyle name="20% - Accent3 3 2 2 2 2 3" xfId="9347"/>
    <cellStyle name="20% - Accent3 3 2 2 2 2 3 2" xfId="20469"/>
    <cellStyle name="20% - Accent3 3 2 2 2 2 4" xfId="13046"/>
    <cellStyle name="20% - Accent3 3 2 2 2 2 4 2" xfId="24163"/>
    <cellStyle name="20% - Accent3 3 2 2 2 2 5" xfId="16775"/>
    <cellStyle name="20% - Accent3 3 2 2 2 3" xfId="6574"/>
    <cellStyle name="20% - Accent3 3 2 2 2 3 2" xfId="10276"/>
    <cellStyle name="20% - Accent3 3 2 2 2 3 2 2" xfId="21398"/>
    <cellStyle name="20% - Accent3 3 2 2 2 3 3" xfId="13975"/>
    <cellStyle name="20% - Accent3 3 2 2 2 3 3 2" xfId="25092"/>
    <cellStyle name="20% - Accent3 3 2 2 2 3 4" xfId="17704"/>
    <cellStyle name="20% - Accent3 3 2 2 2 4" xfId="8428"/>
    <cellStyle name="20% - Accent3 3 2 2 2 4 2" xfId="19551"/>
    <cellStyle name="20% - Accent3 3 2 2 2 5" xfId="12128"/>
    <cellStyle name="20% - Accent3 3 2 2 2 5 2" xfId="23245"/>
    <cellStyle name="20% - Accent3 3 2 2 2 6" xfId="15857"/>
    <cellStyle name="20% - Accent3 3 2 2 3" xfId="1883"/>
    <cellStyle name="20% - Accent3 3 2 2 3 2" xfId="5080"/>
    <cellStyle name="20% - Accent3 3 2 2 3 2 2" xfId="7431"/>
    <cellStyle name="20% - Accent3 3 2 2 3 2 2 2" xfId="11132"/>
    <cellStyle name="20% - Accent3 3 2 2 3 2 2 2 2" xfId="22254"/>
    <cellStyle name="20% - Accent3 3 2 2 3 2 2 3" xfId="14831"/>
    <cellStyle name="20% - Accent3 3 2 2 3 2 2 3 2" xfId="25948"/>
    <cellStyle name="20% - Accent3 3 2 2 3 2 2 4" xfId="18560"/>
    <cellStyle name="20% - Accent3 3 2 2 3 2 3" xfId="9285"/>
    <cellStyle name="20% - Accent3 3 2 2 3 2 3 2" xfId="20407"/>
    <cellStyle name="20% - Accent3 3 2 2 3 2 4" xfId="12984"/>
    <cellStyle name="20% - Accent3 3 2 2 3 2 4 2" xfId="24101"/>
    <cellStyle name="20% - Accent3 3 2 2 3 2 5" xfId="16713"/>
    <cellStyle name="20% - Accent3 3 2 2 3 3" xfId="6512"/>
    <cellStyle name="20% - Accent3 3 2 2 3 3 2" xfId="10214"/>
    <cellStyle name="20% - Accent3 3 2 2 3 3 2 2" xfId="21336"/>
    <cellStyle name="20% - Accent3 3 2 2 3 3 3" xfId="13913"/>
    <cellStyle name="20% - Accent3 3 2 2 3 3 3 2" xfId="25030"/>
    <cellStyle name="20% - Accent3 3 2 2 3 3 4" xfId="17642"/>
    <cellStyle name="20% - Accent3 3 2 2 3 4" xfId="8366"/>
    <cellStyle name="20% - Accent3 3 2 2 3 4 2" xfId="19489"/>
    <cellStyle name="20% - Accent3 3 2 2 3 5" xfId="12066"/>
    <cellStyle name="20% - Accent3 3 2 2 3 5 2" xfId="23183"/>
    <cellStyle name="20% - Accent3 3 2 2 3 6" xfId="15795"/>
    <cellStyle name="20% - Accent3 3 2 2 4" xfId="4872"/>
    <cellStyle name="20% - Accent3 3 2 2 4 2" xfId="7223"/>
    <cellStyle name="20% - Accent3 3 2 2 4 2 2" xfId="10924"/>
    <cellStyle name="20% - Accent3 3 2 2 4 2 2 2" xfId="22046"/>
    <cellStyle name="20% - Accent3 3 2 2 4 2 3" xfId="14623"/>
    <cellStyle name="20% - Accent3 3 2 2 4 2 3 2" xfId="25740"/>
    <cellStyle name="20% - Accent3 3 2 2 4 2 4" xfId="18352"/>
    <cellStyle name="20% - Accent3 3 2 2 4 3" xfId="9077"/>
    <cellStyle name="20% - Accent3 3 2 2 4 3 2" xfId="20199"/>
    <cellStyle name="20% - Accent3 3 2 2 4 4" xfId="12776"/>
    <cellStyle name="20% - Accent3 3 2 2 4 4 2" xfId="23893"/>
    <cellStyle name="20% - Accent3 3 2 2 4 5" xfId="16505"/>
    <cellStyle name="20% - Accent3 3 2 2 5" xfId="6304"/>
    <cellStyle name="20% - Accent3 3 2 2 5 2" xfId="10006"/>
    <cellStyle name="20% - Accent3 3 2 2 5 2 2" xfId="21128"/>
    <cellStyle name="20% - Accent3 3 2 2 5 3" xfId="13705"/>
    <cellStyle name="20% - Accent3 3 2 2 5 3 2" xfId="24822"/>
    <cellStyle name="20% - Accent3 3 2 2 5 4" xfId="17434"/>
    <cellStyle name="20% - Accent3 3 2 2 6" xfId="8158"/>
    <cellStyle name="20% - Accent3 3 2 2 6 2" xfId="19281"/>
    <cellStyle name="20% - Accent3 3 2 2 7" xfId="11858"/>
    <cellStyle name="20% - Accent3 3 2 2 7 2" xfId="22975"/>
    <cellStyle name="20% - Accent3 3 2 2 8" xfId="15587"/>
    <cellStyle name="20% - Accent3 3 2 3" xfId="1959"/>
    <cellStyle name="20% - Accent3 3 2 3 2" xfId="5141"/>
    <cellStyle name="20% - Accent3 3 2 3 2 2" xfId="7492"/>
    <cellStyle name="20% - Accent3 3 2 3 2 2 2" xfId="11193"/>
    <cellStyle name="20% - Accent3 3 2 3 2 2 2 2" xfId="22315"/>
    <cellStyle name="20% - Accent3 3 2 3 2 2 3" xfId="14892"/>
    <cellStyle name="20% - Accent3 3 2 3 2 2 3 2" xfId="26009"/>
    <cellStyle name="20% - Accent3 3 2 3 2 2 4" xfId="18621"/>
    <cellStyle name="20% - Accent3 3 2 3 2 3" xfId="9346"/>
    <cellStyle name="20% - Accent3 3 2 3 2 3 2" xfId="20468"/>
    <cellStyle name="20% - Accent3 3 2 3 2 4" xfId="13045"/>
    <cellStyle name="20% - Accent3 3 2 3 2 4 2" xfId="24162"/>
    <cellStyle name="20% - Accent3 3 2 3 2 5" xfId="16774"/>
    <cellStyle name="20% - Accent3 3 2 3 3" xfId="6573"/>
    <cellStyle name="20% - Accent3 3 2 3 3 2" xfId="10275"/>
    <cellStyle name="20% - Accent3 3 2 3 3 2 2" xfId="21397"/>
    <cellStyle name="20% - Accent3 3 2 3 3 3" xfId="13974"/>
    <cellStyle name="20% - Accent3 3 2 3 3 3 2" xfId="25091"/>
    <cellStyle name="20% - Accent3 3 2 3 3 4" xfId="17703"/>
    <cellStyle name="20% - Accent3 3 2 3 4" xfId="8427"/>
    <cellStyle name="20% - Accent3 3 2 3 4 2" xfId="19550"/>
    <cellStyle name="20% - Accent3 3 2 3 5" xfId="12127"/>
    <cellStyle name="20% - Accent3 3 2 3 5 2" xfId="23244"/>
    <cellStyle name="20% - Accent3 3 2 3 6" xfId="15856"/>
    <cellStyle name="20% - Accent3 3 2 4" xfId="1784"/>
    <cellStyle name="20% - Accent3 3 2 4 2" xfId="4981"/>
    <cellStyle name="20% - Accent3 3 2 4 2 2" xfId="7332"/>
    <cellStyle name="20% - Accent3 3 2 4 2 2 2" xfId="11033"/>
    <cellStyle name="20% - Accent3 3 2 4 2 2 2 2" xfId="22155"/>
    <cellStyle name="20% - Accent3 3 2 4 2 2 3" xfId="14732"/>
    <cellStyle name="20% - Accent3 3 2 4 2 2 3 2" xfId="25849"/>
    <cellStyle name="20% - Accent3 3 2 4 2 2 4" xfId="18461"/>
    <cellStyle name="20% - Accent3 3 2 4 2 3" xfId="9186"/>
    <cellStyle name="20% - Accent3 3 2 4 2 3 2" xfId="20308"/>
    <cellStyle name="20% - Accent3 3 2 4 2 4" xfId="12885"/>
    <cellStyle name="20% - Accent3 3 2 4 2 4 2" xfId="24002"/>
    <cellStyle name="20% - Accent3 3 2 4 2 5" xfId="16614"/>
    <cellStyle name="20% - Accent3 3 2 4 3" xfId="6413"/>
    <cellStyle name="20% - Accent3 3 2 4 3 2" xfId="10115"/>
    <cellStyle name="20% - Accent3 3 2 4 3 2 2" xfId="21237"/>
    <cellStyle name="20% - Accent3 3 2 4 3 3" xfId="13814"/>
    <cellStyle name="20% - Accent3 3 2 4 3 3 2" xfId="24931"/>
    <cellStyle name="20% - Accent3 3 2 4 3 4" xfId="17543"/>
    <cellStyle name="20% - Accent3 3 2 4 4" xfId="8267"/>
    <cellStyle name="20% - Accent3 3 2 4 4 2" xfId="19390"/>
    <cellStyle name="20% - Accent3 3 2 4 5" xfId="11967"/>
    <cellStyle name="20% - Accent3 3 2 4 5 2" xfId="23084"/>
    <cellStyle name="20% - Accent3 3 2 4 6" xfId="15696"/>
    <cellStyle name="20% - Accent3 3 2 5" xfId="2580"/>
    <cellStyle name="20% - Accent3 3 2 5 2" xfId="6719"/>
    <cellStyle name="20% - Accent3 3 2 5 2 2" xfId="10421"/>
    <cellStyle name="20% - Accent3 3 2 5 2 2 2" xfId="21543"/>
    <cellStyle name="20% - Accent3 3 2 5 2 3" xfId="14120"/>
    <cellStyle name="20% - Accent3 3 2 5 2 3 2" xfId="25237"/>
    <cellStyle name="20% - Accent3 3 2 5 2 4" xfId="17849"/>
    <cellStyle name="20% - Accent3 3 2 5 3" xfId="8573"/>
    <cellStyle name="20% - Accent3 3 2 5 3 2" xfId="19696"/>
    <cellStyle name="20% - Accent3 3 2 5 4" xfId="12273"/>
    <cellStyle name="20% - Accent3 3 2 5 4 2" xfId="23390"/>
    <cellStyle name="20% - Accent3 3 2 5 5" xfId="16002"/>
    <cellStyle name="20% - Accent3 3 2 6" xfId="4773"/>
    <cellStyle name="20% - Accent3 3 2 6 2" xfId="7124"/>
    <cellStyle name="20% - Accent3 3 2 6 2 2" xfId="10825"/>
    <cellStyle name="20% - Accent3 3 2 6 2 2 2" xfId="21947"/>
    <cellStyle name="20% - Accent3 3 2 6 2 3" xfId="14524"/>
    <cellStyle name="20% - Accent3 3 2 6 2 3 2" xfId="25641"/>
    <cellStyle name="20% - Accent3 3 2 6 2 4" xfId="18253"/>
    <cellStyle name="20% - Accent3 3 2 6 3" xfId="8978"/>
    <cellStyle name="20% - Accent3 3 2 6 3 2" xfId="20100"/>
    <cellStyle name="20% - Accent3 3 2 6 4" xfId="12677"/>
    <cellStyle name="20% - Accent3 3 2 6 4 2" xfId="23794"/>
    <cellStyle name="20% - Accent3 3 2 6 5" xfId="16406"/>
    <cellStyle name="20% - Accent3 3 2 7" xfId="5313"/>
    <cellStyle name="20% - Accent3 3 2 7 2" xfId="7638"/>
    <cellStyle name="20% - Accent3 3 2 7 2 2" xfId="11339"/>
    <cellStyle name="20% - Accent3 3 2 7 2 2 2" xfId="22461"/>
    <cellStyle name="20% - Accent3 3 2 7 2 3" xfId="15038"/>
    <cellStyle name="20% - Accent3 3 2 7 2 3 2" xfId="26155"/>
    <cellStyle name="20% - Accent3 3 2 7 2 4" xfId="18767"/>
    <cellStyle name="20% - Accent3 3 2 7 3" xfId="9492"/>
    <cellStyle name="20% - Accent3 3 2 7 3 2" xfId="20614"/>
    <cellStyle name="20% - Accent3 3 2 7 4" xfId="13191"/>
    <cellStyle name="20% - Accent3 3 2 7 4 2" xfId="24308"/>
    <cellStyle name="20% - Accent3 3 2 7 5" xfId="16920"/>
    <cellStyle name="20% - Accent3 3 2 8" xfId="6205"/>
    <cellStyle name="20% - Accent3 3 2 8 2" xfId="9907"/>
    <cellStyle name="20% - Accent3 3 2 8 2 2" xfId="21029"/>
    <cellStyle name="20% - Accent3 3 2 8 3" xfId="13606"/>
    <cellStyle name="20% - Accent3 3 2 8 3 2" xfId="24723"/>
    <cellStyle name="20% - Accent3 3 2 8 4" xfId="17335"/>
    <cellStyle name="20% - Accent3 3 2 9" xfId="8059"/>
    <cellStyle name="20% - Accent3 3 2 9 2" xfId="19182"/>
    <cellStyle name="20% - Accent3 3 3" xfId="1624"/>
    <cellStyle name="20% - Accent3 3 3 10" xfId="15541"/>
    <cellStyle name="20% - Accent3 3 3 2" xfId="1961"/>
    <cellStyle name="20% - Accent3 3 3 2 2" xfId="5143"/>
    <cellStyle name="20% - Accent3 3 3 2 2 2" xfId="7494"/>
    <cellStyle name="20% - Accent3 3 3 2 2 2 2" xfId="11195"/>
    <cellStyle name="20% - Accent3 3 3 2 2 2 2 2" xfId="22317"/>
    <cellStyle name="20% - Accent3 3 3 2 2 2 3" xfId="14894"/>
    <cellStyle name="20% - Accent3 3 3 2 2 2 3 2" xfId="26011"/>
    <cellStyle name="20% - Accent3 3 3 2 2 2 4" xfId="18623"/>
    <cellStyle name="20% - Accent3 3 3 2 2 3" xfId="9348"/>
    <cellStyle name="20% - Accent3 3 3 2 2 3 2" xfId="20470"/>
    <cellStyle name="20% - Accent3 3 3 2 2 4" xfId="13047"/>
    <cellStyle name="20% - Accent3 3 3 2 2 4 2" xfId="24164"/>
    <cellStyle name="20% - Accent3 3 3 2 2 5" xfId="16776"/>
    <cellStyle name="20% - Accent3 3 3 2 3" xfId="6575"/>
    <cellStyle name="20% - Accent3 3 3 2 3 2" xfId="10277"/>
    <cellStyle name="20% - Accent3 3 3 2 3 2 2" xfId="21399"/>
    <cellStyle name="20% - Accent3 3 3 2 3 3" xfId="13976"/>
    <cellStyle name="20% - Accent3 3 3 2 3 3 2" xfId="25093"/>
    <cellStyle name="20% - Accent3 3 3 2 3 4" xfId="17705"/>
    <cellStyle name="20% - Accent3 3 3 2 4" xfId="8429"/>
    <cellStyle name="20% - Accent3 3 3 2 4 2" xfId="19552"/>
    <cellStyle name="20% - Accent3 3 3 2 5" xfId="12129"/>
    <cellStyle name="20% - Accent3 3 3 2 5 2" xfId="23246"/>
    <cellStyle name="20% - Accent3 3 3 2 6" xfId="15858"/>
    <cellStyle name="20% - Accent3 3 3 3" xfId="1837"/>
    <cellStyle name="20% - Accent3 3 3 3 2" xfId="5034"/>
    <cellStyle name="20% - Accent3 3 3 3 2 2" xfId="7385"/>
    <cellStyle name="20% - Accent3 3 3 3 2 2 2" xfId="11086"/>
    <cellStyle name="20% - Accent3 3 3 3 2 2 2 2" xfId="22208"/>
    <cellStyle name="20% - Accent3 3 3 3 2 2 3" xfId="14785"/>
    <cellStyle name="20% - Accent3 3 3 3 2 2 3 2" xfId="25902"/>
    <cellStyle name="20% - Accent3 3 3 3 2 2 4" xfId="18514"/>
    <cellStyle name="20% - Accent3 3 3 3 2 3" xfId="9239"/>
    <cellStyle name="20% - Accent3 3 3 3 2 3 2" xfId="20361"/>
    <cellStyle name="20% - Accent3 3 3 3 2 4" xfId="12938"/>
    <cellStyle name="20% - Accent3 3 3 3 2 4 2" xfId="24055"/>
    <cellStyle name="20% - Accent3 3 3 3 2 5" xfId="16667"/>
    <cellStyle name="20% - Accent3 3 3 3 3" xfId="6466"/>
    <cellStyle name="20% - Accent3 3 3 3 3 2" xfId="10168"/>
    <cellStyle name="20% - Accent3 3 3 3 3 2 2" xfId="21290"/>
    <cellStyle name="20% - Accent3 3 3 3 3 3" xfId="13867"/>
    <cellStyle name="20% - Accent3 3 3 3 3 3 2" xfId="24984"/>
    <cellStyle name="20% - Accent3 3 3 3 3 4" xfId="17596"/>
    <cellStyle name="20% - Accent3 3 3 3 4" xfId="8320"/>
    <cellStyle name="20% - Accent3 3 3 3 4 2" xfId="19443"/>
    <cellStyle name="20% - Accent3 3 3 3 5" xfId="12020"/>
    <cellStyle name="20% - Accent3 3 3 3 5 2" xfId="23137"/>
    <cellStyle name="20% - Accent3 3 3 3 6" xfId="15749"/>
    <cellStyle name="20% - Accent3 3 3 4" xfId="2581"/>
    <cellStyle name="20% - Accent3 3 3 4 2" xfId="6720"/>
    <cellStyle name="20% - Accent3 3 3 4 2 2" xfId="10422"/>
    <cellStyle name="20% - Accent3 3 3 4 2 2 2" xfId="21544"/>
    <cellStyle name="20% - Accent3 3 3 4 2 3" xfId="14121"/>
    <cellStyle name="20% - Accent3 3 3 4 2 3 2" xfId="25238"/>
    <cellStyle name="20% - Accent3 3 3 4 2 4" xfId="17850"/>
    <cellStyle name="20% - Accent3 3 3 4 3" xfId="8574"/>
    <cellStyle name="20% - Accent3 3 3 4 3 2" xfId="19697"/>
    <cellStyle name="20% - Accent3 3 3 4 4" xfId="12274"/>
    <cellStyle name="20% - Accent3 3 3 4 4 2" xfId="23391"/>
    <cellStyle name="20% - Accent3 3 3 4 5" xfId="16003"/>
    <cellStyle name="20% - Accent3 3 3 5" xfId="4826"/>
    <cellStyle name="20% - Accent3 3 3 5 2" xfId="7177"/>
    <cellStyle name="20% - Accent3 3 3 5 2 2" xfId="10878"/>
    <cellStyle name="20% - Accent3 3 3 5 2 2 2" xfId="22000"/>
    <cellStyle name="20% - Accent3 3 3 5 2 3" xfId="14577"/>
    <cellStyle name="20% - Accent3 3 3 5 2 3 2" xfId="25694"/>
    <cellStyle name="20% - Accent3 3 3 5 2 4" xfId="18306"/>
    <cellStyle name="20% - Accent3 3 3 5 3" xfId="9031"/>
    <cellStyle name="20% - Accent3 3 3 5 3 2" xfId="20153"/>
    <cellStyle name="20% - Accent3 3 3 5 4" xfId="12730"/>
    <cellStyle name="20% - Accent3 3 3 5 4 2" xfId="23847"/>
    <cellStyle name="20% - Accent3 3 3 5 5" xfId="16459"/>
    <cellStyle name="20% - Accent3 3 3 6" xfId="5314"/>
    <cellStyle name="20% - Accent3 3 3 6 2" xfId="7639"/>
    <cellStyle name="20% - Accent3 3 3 6 2 2" xfId="11340"/>
    <cellStyle name="20% - Accent3 3 3 6 2 2 2" xfId="22462"/>
    <cellStyle name="20% - Accent3 3 3 6 2 3" xfId="15039"/>
    <cellStyle name="20% - Accent3 3 3 6 2 3 2" xfId="26156"/>
    <cellStyle name="20% - Accent3 3 3 6 2 4" xfId="18768"/>
    <cellStyle name="20% - Accent3 3 3 6 3" xfId="9493"/>
    <cellStyle name="20% - Accent3 3 3 6 3 2" xfId="20615"/>
    <cellStyle name="20% - Accent3 3 3 6 4" xfId="13192"/>
    <cellStyle name="20% - Accent3 3 3 6 4 2" xfId="24309"/>
    <cellStyle name="20% - Accent3 3 3 6 5" xfId="16921"/>
    <cellStyle name="20% - Accent3 3 3 7" xfId="6258"/>
    <cellStyle name="20% - Accent3 3 3 7 2" xfId="9960"/>
    <cellStyle name="20% - Accent3 3 3 7 2 2" xfId="21082"/>
    <cellStyle name="20% - Accent3 3 3 7 3" xfId="13659"/>
    <cellStyle name="20% - Accent3 3 3 7 3 2" xfId="24776"/>
    <cellStyle name="20% - Accent3 3 3 7 4" xfId="17388"/>
    <cellStyle name="20% - Accent3 3 3 8" xfId="8112"/>
    <cellStyle name="20% - Accent3 3 3 8 2" xfId="19235"/>
    <cellStyle name="20% - Accent3 3 3 9" xfId="11812"/>
    <cellStyle name="20% - Accent3 3 3 9 2" xfId="22929"/>
    <cellStyle name="20% - Accent3 3 4" xfId="1958"/>
    <cellStyle name="20% - Accent3 3 4 2" xfId="2582"/>
    <cellStyle name="20% - Accent3 3 4 3" xfId="5140"/>
    <cellStyle name="20% - Accent3 3 4 3 2" xfId="7491"/>
    <cellStyle name="20% - Accent3 3 4 3 2 2" xfId="11192"/>
    <cellStyle name="20% - Accent3 3 4 3 2 2 2" xfId="22314"/>
    <cellStyle name="20% - Accent3 3 4 3 2 3" xfId="14891"/>
    <cellStyle name="20% - Accent3 3 4 3 2 3 2" xfId="26008"/>
    <cellStyle name="20% - Accent3 3 4 3 2 4" xfId="18620"/>
    <cellStyle name="20% - Accent3 3 4 3 3" xfId="9345"/>
    <cellStyle name="20% - Accent3 3 4 3 3 2" xfId="20467"/>
    <cellStyle name="20% - Accent3 3 4 3 4" xfId="13044"/>
    <cellStyle name="20% - Accent3 3 4 3 4 2" xfId="24161"/>
    <cellStyle name="20% - Accent3 3 4 3 5" xfId="16773"/>
    <cellStyle name="20% - Accent3 3 4 4" xfId="6572"/>
    <cellStyle name="20% - Accent3 3 4 4 2" xfId="10274"/>
    <cellStyle name="20% - Accent3 3 4 4 2 2" xfId="21396"/>
    <cellStyle name="20% - Accent3 3 4 4 3" xfId="13973"/>
    <cellStyle name="20% - Accent3 3 4 4 3 2" xfId="25090"/>
    <cellStyle name="20% - Accent3 3 4 4 4" xfId="17702"/>
    <cellStyle name="20% - Accent3 3 4 5" xfId="8426"/>
    <cellStyle name="20% - Accent3 3 4 5 2" xfId="19549"/>
    <cellStyle name="20% - Accent3 3 4 6" xfId="12126"/>
    <cellStyle name="20% - Accent3 3 4 6 2" xfId="23243"/>
    <cellStyle name="20% - Accent3 3 4 7" xfId="15855"/>
    <cellStyle name="20% - Accent3 3 5" xfId="1733"/>
    <cellStyle name="20% - Accent3 3 5 2" xfId="4930"/>
    <cellStyle name="20% - Accent3 3 5 2 2" xfId="7281"/>
    <cellStyle name="20% - Accent3 3 5 2 2 2" xfId="10982"/>
    <cellStyle name="20% - Accent3 3 5 2 2 2 2" xfId="22104"/>
    <cellStyle name="20% - Accent3 3 5 2 2 3" xfId="14681"/>
    <cellStyle name="20% - Accent3 3 5 2 2 3 2" xfId="25798"/>
    <cellStyle name="20% - Accent3 3 5 2 2 4" xfId="18410"/>
    <cellStyle name="20% - Accent3 3 5 2 3" xfId="9135"/>
    <cellStyle name="20% - Accent3 3 5 2 3 2" xfId="20257"/>
    <cellStyle name="20% - Accent3 3 5 2 4" xfId="12834"/>
    <cellStyle name="20% - Accent3 3 5 2 4 2" xfId="23951"/>
    <cellStyle name="20% - Accent3 3 5 2 5" xfId="16563"/>
    <cellStyle name="20% - Accent3 3 5 3" xfId="6362"/>
    <cellStyle name="20% - Accent3 3 5 3 2" xfId="10064"/>
    <cellStyle name="20% - Accent3 3 5 3 2 2" xfId="21186"/>
    <cellStyle name="20% - Accent3 3 5 3 3" xfId="13763"/>
    <cellStyle name="20% - Accent3 3 5 3 3 2" xfId="24880"/>
    <cellStyle name="20% - Accent3 3 5 3 4" xfId="17492"/>
    <cellStyle name="20% - Accent3 3 5 4" xfId="8216"/>
    <cellStyle name="20% - Accent3 3 5 4 2" xfId="19339"/>
    <cellStyle name="20% - Accent3 3 5 5" xfId="11916"/>
    <cellStyle name="20% - Accent3 3 5 5 2" xfId="23033"/>
    <cellStyle name="20% - Accent3 3 5 6" xfId="15645"/>
    <cellStyle name="20% - Accent3 3 6" xfId="2579"/>
    <cellStyle name="20% - Accent3 3 6 2" xfId="6718"/>
    <cellStyle name="20% - Accent3 3 6 2 2" xfId="10420"/>
    <cellStyle name="20% - Accent3 3 6 2 2 2" xfId="21542"/>
    <cellStyle name="20% - Accent3 3 6 2 3" xfId="14119"/>
    <cellStyle name="20% - Accent3 3 6 2 3 2" xfId="25236"/>
    <cellStyle name="20% - Accent3 3 6 2 4" xfId="17848"/>
    <cellStyle name="20% - Accent3 3 6 3" xfId="8572"/>
    <cellStyle name="20% - Accent3 3 6 3 2" xfId="19695"/>
    <cellStyle name="20% - Accent3 3 6 4" xfId="12272"/>
    <cellStyle name="20% - Accent3 3 6 4 2" xfId="23389"/>
    <cellStyle name="20% - Accent3 3 6 5" xfId="16001"/>
    <cellStyle name="20% - Accent3 3 7" xfId="4721"/>
    <cellStyle name="20% - Accent3 3 7 2" xfId="7073"/>
    <cellStyle name="20% - Accent3 3 7 2 2" xfId="10774"/>
    <cellStyle name="20% - Accent3 3 7 2 2 2" xfId="21896"/>
    <cellStyle name="20% - Accent3 3 7 2 3" xfId="14473"/>
    <cellStyle name="20% - Accent3 3 7 2 3 2" xfId="25590"/>
    <cellStyle name="20% - Accent3 3 7 2 4" xfId="18202"/>
    <cellStyle name="20% - Accent3 3 7 3" xfId="8927"/>
    <cellStyle name="20% - Accent3 3 7 3 2" xfId="20049"/>
    <cellStyle name="20% - Accent3 3 7 4" xfId="12626"/>
    <cellStyle name="20% - Accent3 3 7 4 2" xfId="23743"/>
    <cellStyle name="20% - Accent3 3 7 5" xfId="16355"/>
    <cellStyle name="20% - Accent3 3 8" xfId="5312"/>
    <cellStyle name="20% - Accent3 3 8 2" xfId="7637"/>
    <cellStyle name="20% - Accent3 3 8 2 2" xfId="11338"/>
    <cellStyle name="20% - Accent3 3 8 2 2 2" xfId="22460"/>
    <cellStyle name="20% - Accent3 3 8 2 3" xfId="15037"/>
    <cellStyle name="20% - Accent3 3 8 2 3 2" xfId="26154"/>
    <cellStyle name="20% - Accent3 3 8 2 4" xfId="18766"/>
    <cellStyle name="20% - Accent3 3 8 3" xfId="9491"/>
    <cellStyle name="20% - Accent3 3 8 3 2" xfId="20613"/>
    <cellStyle name="20% - Accent3 3 8 4" xfId="13190"/>
    <cellStyle name="20% - Accent3 3 8 4 2" xfId="24307"/>
    <cellStyle name="20% - Accent3 3 8 5" xfId="16919"/>
    <cellStyle name="20% - Accent3 3 9" xfId="5374"/>
    <cellStyle name="20% - Accent3 4" xfId="2583"/>
    <cellStyle name="20% - Accent3 4 2" xfId="5315"/>
    <cellStyle name="20% - Accent3 4 2 2" xfId="7640"/>
    <cellStyle name="20% - Accent3 4 2 2 2" xfId="11341"/>
    <cellStyle name="20% - Accent3 4 2 2 2 2" xfId="22463"/>
    <cellStyle name="20% - Accent3 4 2 2 3" xfId="15040"/>
    <cellStyle name="20% - Accent3 4 2 2 3 2" xfId="26157"/>
    <cellStyle name="20% - Accent3 4 2 2 4" xfId="18769"/>
    <cellStyle name="20% - Accent3 4 2 3" xfId="9494"/>
    <cellStyle name="20% - Accent3 4 2 3 2" xfId="20616"/>
    <cellStyle name="20% - Accent3 4 2 4" xfId="13193"/>
    <cellStyle name="20% - Accent3 4 2 4 2" xfId="24310"/>
    <cellStyle name="20% - Accent3 4 2 5" xfId="16922"/>
    <cellStyle name="20% - Accent3 4 3" xfId="6721"/>
    <cellStyle name="20% - Accent3 4 3 2" xfId="10423"/>
    <cellStyle name="20% - Accent3 4 3 2 2" xfId="21545"/>
    <cellStyle name="20% - Accent3 4 3 3" xfId="14122"/>
    <cellStyle name="20% - Accent3 4 3 3 2" xfId="25239"/>
    <cellStyle name="20% - Accent3 4 3 4" xfId="17851"/>
    <cellStyle name="20% - Accent3 4 4" xfId="8575"/>
    <cellStyle name="20% - Accent3 4 4 2" xfId="19698"/>
    <cellStyle name="20% - Accent3 4 5" xfId="12275"/>
    <cellStyle name="20% - Accent3 4 5 2" xfId="23392"/>
    <cellStyle name="20% - Accent3 4 6" xfId="16004"/>
    <cellStyle name="20% - Accent3 5" xfId="2584"/>
    <cellStyle name="20% - Accent3 5 2" xfId="5316"/>
    <cellStyle name="20% - Accent3 5 2 2" xfId="7641"/>
    <cellStyle name="20% - Accent3 5 2 2 2" xfId="11342"/>
    <cellStyle name="20% - Accent3 5 2 2 2 2" xfId="22464"/>
    <cellStyle name="20% - Accent3 5 2 2 3" xfId="15041"/>
    <cellStyle name="20% - Accent3 5 2 2 3 2" xfId="26158"/>
    <cellStyle name="20% - Accent3 5 2 2 4" xfId="18770"/>
    <cellStyle name="20% - Accent3 5 2 3" xfId="9495"/>
    <cellStyle name="20% - Accent3 5 2 3 2" xfId="20617"/>
    <cellStyle name="20% - Accent3 5 2 4" xfId="13194"/>
    <cellStyle name="20% - Accent3 5 2 4 2" xfId="24311"/>
    <cellStyle name="20% - Accent3 5 2 5" xfId="16923"/>
    <cellStyle name="20% - Accent3 5 3" xfId="6722"/>
    <cellStyle name="20% - Accent3 5 3 2" xfId="10424"/>
    <cellStyle name="20% - Accent3 5 3 2 2" xfId="21546"/>
    <cellStyle name="20% - Accent3 5 3 3" xfId="14123"/>
    <cellStyle name="20% - Accent3 5 3 3 2" xfId="25240"/>
    <cellStyle name="20% - Accent3 5 3 4" xfId="17852"/>
    <cellStyle name="20% - Accent3 5 4" xfId="8576"/>
    <cellStyle name="20% - Accent3 5 4 2" xfId="19699"/>
    <cellStyle name="20% - Accent3 5 5" xfId="12276"/>
    <cellStyle name="20% - Accent3 5 5 2" xfId="23393"/>
    <cellStyle name="20% - Accent3 5 6" xfId="16005"/>
    <cellStyle name="20% - Accent3 6" xfId="2585"/>
    <cellStyle name="20% - Accent3 6 2" xfId="5317"/>
    <cellStyle name="20% - Accent3 6 2 2" xfId="7642"/>
    <cellStyle name="20% - Accent3 6 2 2 2" xfId="11343"/>
    <cellStyle name="20% - Accent3 6 2 2 2 2" xfId="22465"/>
    <cellStyle name="20% - Accent3 6 2 2 3" xfId="15042"/>
    <cellStyle name="20% - Accent3 6 2 2 3 2" xfId="26159"/>
    <cellStyle name="20% - Accent3 6 2 2 4" xfId="18771"/>
    <cellStyle name="20% - Accent3 6 2 3" xfId="9496"/>
    <cellStyle name="20% - Accent3 6 2 3 2" xfId="20618"/>
    <cellStyle name="20% - Accent3 6 2 4" xfId="13195"/>
    <cellStyle name="20% - Accent3 6 2 4 2" xfId="24312"/>
    <cellStyle name="20% - Accent3 6 2 5" xfId="16924"/>
    <cellStyle name="20% - Accent3 6 3" xfId="6723"/>
    <cellStyle name="20% - Accent3 6 3 2" xfId="10425"/>
    <cellStyle name="20% - Accent3 6 3 2 2" xfId="21547"/>
    <cellStyle name="20% - Accent3 6 3 3" xfId="14124"/>
    <cellStyle name="20% - Accent3 6 3 3 2" xfId="25241"/>
    <cellStyle name="20% - Accent3 6 3 4" xfId="17853"/>
    <cellStyle name="20% - Accent3 6 4" xfId="8577"/>
    <cellStyle name="20% - Accent3 6 4 2" xfId="19700"/>
    <cellStyle name="20% - Accent3 6 5" xfId="12277"/>
    <cellStyle name="20% - Accent3 6 5 2" xfId="23394"/>
    <cellStyle name="20% - Accent3 6 6" xfId="16006"/>
    <cellStyle name="20% - Accent4" xfId="11" builtinId="42" customBuiltin="1"/>
    <cellStyle name="20% - Accent4 2" xfId="182"/>
    <cellStyle name="20% - Accent4 2 2" xfId="1394"/>
    <cellStyle name="20% - Accent4 3" xfId="773"/>
    <cellStyle name="20% - Accent4 3 10" xfId="6156"/>
    <cellStyle name="20% - Accent4 3 10 2" xfId="9858"/>
    <cellStyle name="20% - Accent4 3 10 2 2" xfId="20980"/>
    <cellStyle name="20% - Accent4 3 10 3" xfId="13557"/>
    <cellStyle name="20% - Accent4 3 10 3 2" xfId="24674"/>
    <cellStyle name="20% - Accent4 3 10 4" xfId="17286"/>
    <cellStyle name="20% - Accent4 3 11" xfId="8009"/>
    <cellStyle name="20% - Accent4 3 11 2" xfId="19133"/>
    <cellStyle name="20% - Accent4 3 12" xfId="11710"/>
    <cellStyle name="20% - Accent4 3 12 2" xfId="22827"/>
    <cellStyle name="20% - Accent4 3 13" xfId="15439"/>
    <cellStyle name="20% - Accent4 3 2" xfId="1563"/>
    <cellStyle name="20% - Accent4 3 2 10" xfId="11761"/>
    <cellStyle name="20% - Accent4 3 2 10 2" xfId="22878"/>
    <cellStyle name="20% - Accent4 3 2 11" xfId="15490"/>
    <cellStyle name="20% - Accent4 3 2 2" xfId="1681"/>
    <cellStyle name="20% - Accent4 3 2 2 10" xfId="15596"/>
    <cellStyle name="20% - Accent4 3 2 2 2" xfId="1964"/>
    <cellStyle name="20% - Accent4 3 2 2 2 2" xfId="5146"/>
    <cellStyle name="20% - Accent4 3 2 2 2 2 2" xfId="7497"/>
    <cellStyle name="20% - Accent4 3 2 2 2 2 2 2" xfId="11198"/>
    <cellStyle name="20% - Accent4 3 2 2 2 2 2 2 2" xfId="22320"/>
    <cellStyle name="20% - Accent4 3 2 2 2 2 2 3" xfId="14897"/>
    <cellStyle name="20% - Accent4 3 2 2 2 2 2 3 2" xfId="26014"/>
    <cellStyle name="20% - Accent4 3 2 2 2 2 2 4" xfId="18626"/>
    <cellStyle name="20% - Accent4 3 2 2 2 2 3" xfId="9351"/>
    <cellStyle name="20% - Accent4 3 2 2 2 2 3 2" xfId="20473"/>
    <cellStyle name="20% - Accent4 3 2 2 2 2 4" xfId="13050"/>
    <cellStyle name="20% - Accent4 3 2 2 2 2 4 2" xfId="24167"/>
    <cellStyle name="20% - Accent4 3 2 2 2 2 5" xfId="16779"/>
    <cellStyle name="20% - Accent4 3 2 2 2 3" xfId="6578"/>
    <cellStyle name="20% - Accent4 3 2 2 2 3 2" xfId="10280"/>
    <cellStyle name="20% - Accent4 3 2 2 2 3 2 2" xfId="21402"/>
    <cellStyle name="20% - Accent4 3 2 2 2 3 3" xfId="13979"/>
    <cellStyle name="20% - Accent4 3 2 2 2 3 3 2" xfId="25096"/>
    <cellStyle name="20% - Accent4 3 2 2 2 3 4" xfId="17708"/>
    <cellStyle name="20% - Accent4 3 2 2 2 4" xfId="8432"/>
    <cellStyle name="20% - Accent4 3 2 2 2 4 2" xfId="19555"/>
    <cellStyle name="20% - Accent4 3 2 2 2 5" xfId="12132"/>
    <cellStyle name="20% - Accent4 3 2 2 2 5 2" xfId="23249"/>
    <cellStyle name="20% - Accent4 3 2 2 2 6" xfId="15861"/>
    <cellStyle name="20% - Accent4 3 2 2 3" xfId="1892"/>
    <cellStyle name="20% - Accent4 3 2 2 3 2" xfId="5089"/>
    <cellStyle name="20% - Accent4 3 2 2 3 2 2" xfId="7440"/>
    <cellStyle name="20% - Accent4 3 2 2 3 2 2 2" xfId="11141"/>
    <cellStyle name="20% - Accent4 3 2 2 3 2 2 2 2" xfId="22263"/>
    <cellStyle name="20% - Accent4 3 2 2 3 2 2 3" xfId="14840"/>
    <cellStyle name="20% - Accent4 3 2 2 3 2 2 3 2" xfId="25957"/>
    <cellStyle name="20% - Accent4 3 2 2 3 2 2 4" xfId="18569"/>
    <cellStyle name="20% - Accent4 3 2 2 3 2 3" xfId="9294"/>
    <cellStyle name="20% - Accent4 3 2 2 3 2 3 2" xfId="20416"/>
    <cellStyle name="20% - Accent4 3 2 2 3 2 4" xfId="12993"/>
    <cellStyle name="20% - Accent4 3 2 2 3 2 4 2" xfId="24110"/>
    <cellStyle name="20% - Accent4 3 2 2 3 2 5" xfId="16722"/>
    <cellStyle name="20% - Accent4 3 2 2 3 3" xfId="6521"/>
    <cellStyle name="20% - Accent4 3 2 2 3 3 2" xfId="10223"/>
    <cellStyle name="20% - Accent4 3 2 2 3 3 2 2" xfId="21345"/>
    <cellStyle name="20% - Accent4 3 2 2 3 3 3" xfId="13922"/>
    <cellStyle name="20% - Accent4 3 2 2 3 3 3 2" xfId="25039"/>
    <cellStyle name="20% - Accent4 3 2 2 3 3 4" xfId="17651"/>
    <cellStyle name="20% - Accent4 3 2 2 3 4" xfId="8375"/>
    <cellStyle name="20% - Accent4 3 2 2 3 4 2" xfId="19498"/>
    <cellStyle name="20% - Accent4 3 2 2 3 5" xfId="12075"/>
    <cellStyle name="20% - Accent4 3 2 2 3 5 2" xfId="23192"/>
    <cellStyle name="20% - Accent4 3 2 2 3 6" xfId="15804"/>
    <cellStyle name="20% - Accent4 3 2 2 4" xfId="2588"/>
    <cellStyle name="20% - Accent4 3 2 2 4 2" xfId="6726"/>
    <cellStyle name="20% - Accent4 3 2 2 4 2 2" xfId="10428"/>
    <cellStyle name="20% - Accent4 3 2 2 4 2 2 2" xfId="21550"/>
    <cellStyle name="20% - Accent4 3 2 2 4 2 3" xfId="14127"/>
    <cellStyle name="20% - Accent4 3 2 2 4 2 3 2" xfId="25244"/>
    <cellStyle name="20% - Accent4 3 2 2 4 2 4" xfId="17856"/>
    <cellStyle name="20% - Accent4 3 2 2 4 3" xfId="8580"/>
    <cellStyle name="20% - Accent4 3 2 2 4 3 2" xfId="19703"/>
    <cellStyle name="20% - Accent4 3 2 2 4 4" xfId="12280"/>
    <cellStyle name="20% - Accent4 3 2 2 4 4 2" xfId="23397"/>
    <cellStyle name="20% - Accent4 3 2 2 4 5" xfId="16009"/>
    <cellStyle name="20% - Accent4 3 2 2 5" xfId="4881"/>
    <cellStyle name="20% - Accent4 3 2 2 5 2" xfId="7232"/>
    <cellStyle name="20% - Accent4 3 2 2 5 2 2" xfId="10933"/>
    <cellStyle name="20% - Accent4 3 2 2 5 2 2 2" xfId="22055"/>
    <cellStyle name="20% - Accent4 3 2 2 5 2 3" xfId="14632"/>
    <cellStyle name="20% - Accent4 3 2 2 5 2 3 2" xfId="25749"/>
    <cellStyle name="20% - Accent4 3 2 2 5 2 4" xfId="18361"/>
    <cellStyle name="20% - Accent4 3 2 2 5 3" xfId="9086"/>
    <cellStyle name="20% - Accent4 3 2 2 5 3 2" xfId="20208"/>
    <cellStyle name="20% - Accent4 3 2 2 5 4" xfId="12785"/>
    <cellStyle name="20% - Accent4 3 2 2 5 4 2" xfId="23902"/>
    <cellStyle name="20% - Accent4 3 2 2 5 5" xfId="16514"/>
    <cellStyle name="20% - Accent4 3 2 2 6" xfId="5320"/>
    <cellStyle name="20% - Accent4 3 2 2 6 2" xfId="7645"/>
    <cellStyle name="20% - Accent4 3 2 2 6 2 2" xfId="11346"/>
    <cellStyle name="20% - Accent4 3 2 2 6 2 2 2" xfId="22468"/>
    <cellStyle name="20% - Accent4 3 2 2 6 2 3" xfId="15045"/>
    <cellStyle name="20% - Accent4 3 2 2 6 2 3 2" xfId="26162"/>
    <cellStyle name="20% - Accent4 3 2 2 6 2 4" xfId="18774"/>
    <cellStyle name="20% - Accent4 3 2 2 6 3" xfId="9499"/>
    <cellStyle name="20% - Accent4 3 2 2 6 3 2" xfId="20621"/>
    <cellStyle name="20% - Accent4 3 2 2 6 4" xfId="13198"/>
    <cellStyle name="20% - Accent4 3 2 2 6 4 2" xfId="24315"/>
    <cellStyle name="20% - Accent4 3 2 2 6 5" xfId="16927"/>
    <cellStyle name="20% - Accent4 3 2 2 7" xfId="6313"/>
    <cellStyle name="20% - Accent4 3 2 2 7 2" xfId="10015"/>
    <cellStyle name="20% - Accent4 3 2 2 7 2 2" xfId="21137"/>
    <cellStyle name="20% - Accent4 3 2 2 7 3" xfId="13714"/>
    <cellStyle name="20% - Accent4 3 2 2 7 3 2" xfId="24831"/>
    <cellStyle name="20% - Accent4 3 2 2 7 4" xfId="17443"/>
    <cellStyle name="20% - Accent4 3 2 2 8" xfId="8167"/>
    <cellStyle name="20% - Accent4 3 2 2 8 2" xfId="19290"/>
    <cellStyle name="20% - Accent4 3 2 2 9" xfId="11867"/>
    <cellStyle name="20% - Accent4 3 2 2 9 2" xfId="22984"/>
    <cellStyle name="20% - Accent4 3 2 3" xfId="1963"/>
    <cellStyle name="20% - Accent4 3 2 3 2" xfId="2589"/>
    <cellStyle name="20% - Accent4 3 2 3 2 2" xfId="6727"/>
    <cellStyle name="20% - Accent4 3 2 3 2 2 2" xfId="10429"/>
    <cellStyle name="20% - Accent4 3 2 3 2 2 2 2" xfId="21551"/>
    <cellStyle name="20% - Accent4 3 2 3 2 2 3" xfId="14128"/>
    <cellStyle name="20% - Accent4 3 2 3 2 2 3 2" xfId="25245"/>
    <cellStyle name="20% - Accent4 3 2 3 2 2 4" xfId="17857"/>
    <cellStyle name="20% - Accent4 3 2 3 2 3" xfId="8581"/>
    <cellStyle name="20% - Accent4 3 2 3 2 3 2" xfId="19704"/>
    <cellStyle name="20% - Accent4 3 2 3 2 4" xfId="12281"/>
    <cellStyle name="20% - Accent4 3 2 3 2 4 2" xfId="23398"/>
    <cellStyle name="20% - Accent4 3 2 3 2 5" xfId="16010"/>
    <cellStyle name="20% - Accent4 3 2 3 3" xfId="5145"/>
    <cellStyle name="20% - Accent4 3 2 3 3 2" xfId="7496"/>
    <cellStyle name="20% - Accent4 3 2 3 3 2 2" xfId="11197"/>
    <cellStyle name="20% - Accent4 3 2 3 3 2 2 2" xfId="22319"/>
    <cellStyle name="20% - Accent4 3 2 3 3 2 3" xfId="14896"/>
    <cellStyle name="20% - Accent4 3 2 3 3 2 3 2" xfId="26013"/>
    <cellStyle name="20% - Accent4 3 2 3 3 2 4" xfId="18625"/>
    <cellStyle name="20% - Accent4 3 2 3 3 3" xfId="9350"/>
    <cellStyle name="20% - Accent4 3 2 3 3 3 2" xfId="20472"/>
    <cellStyle name="20% - Accent4 3 2 3 3 4" xfId="13049"/>
    <cellStyle name="20% - Accent4 3 2 3 3 4 2" xfId="24166"/>
    <cellStyle name="20% - Accent4 3 2 3 3 5" xfId="16778"/>
    <cellStyle name="20% - Accent4 3 2 3 4" xfId="5321"/>
    <cellStyle name="20% - Accent4 3 2 3 4 2" xfId="7646"/>
    <cellStyle name="20% - Accent4 3 2 3 4 2 2" xfId="11347"/>
    <cellStyle name="20% - Accent4 3 2 3 4 2 2 2" xfId="22469"/>
    <cellStyle name="20% - Accent4 3 2 3 4 2 3" xfId="15046"/>
    <cellStyle name="20% - Accent4 3 2 3 4 2 3 2" xfId="26163"/>
    <cellStyle name="20% - Accent4 3 2 3 4 2 4" xfId="18775"/>
    <cellStyle name="20% - Accent4 3 2 3 4 3" xfId="9500"/>
    <cellStyle name="20% - Accent4 3 2 3 4 3 2" xfId="20622"/>
    <cellStyle name="20% - Accent4 3 2 3 4 4" xfId="13199"/>
    <cellStyle name="20% - Accent4 3 2 3 4 4 2" xfId="24316"/>
    <cellStyle name="20% - Accent4 3 2 3 4 5" xfId="16928"/>
    <cellStyle name="20% - Accent4 3 2 3 5" xfId="6577"/>
    <cellStyle name="20% - Accent4 3 2 3 5 2" xfId="10279"/>
    <cellStyle name="20% - Accent4 3 2 3 5 2 2" xfId="21401"/>
    <cellStyle name="20% - Accent4 3 2 3 5 3" xfId="13978"/>
    <cellStyle name="20% - Accent4 3 2 3 5 3 2" xfId="25095"/>
    <cellStyle name="20% - Accent4 3 2 3 5 4" xfId="17707"/>
    <cellStyle name="20% - Accent4 3 2 3 6" xfId="8431"/>
    <cellStyle name="20% - Accent4 3 2 3 6 2" xfId="19554"/>
    <cellStyle name="20% - Accent4 3 2 3 7" xfId="12131"/>
    <cellStyle name="20% - Accent4 3 2 3 7 2" xfId="23248"/>
    <cellStyle name="20% - Accent4 3 2 3 8" xfId="15860"/>
    <cellStyle name="20% - Accent4 3 2 4" xfId="1786"/>
    <cellStyle name="20% - Accent4 3 2 4 2" xfId="4983"/>
    <cellStyle name="20% - Accent4 3 2 4 2 2" xfId="7334"/>
    <cellStyle name="20% - Accent4 3 2 4 2 2 2" xfId="11035"/>
    <cellStyle name="20% - Accent4 3 2 4 2 2 2 2" xfId="22157"/>
    <cellStyle name="20% - Accent4 3 2 4 2 2 3" xfId="14734"/>
    <cellStyle name="20% - Accent4 3 2 4 2 2 3 2" xfId="25851"/>
    <cellStyle name="20% - Accent4 3 2 4 2 2 4" xfId="18463"/>
    <cellStyle name="20% - Accent4 3 2 4 2 3" xfId="9188"/>
    <cellStyle name="20% - Accent4 3 2 4 2 3 2" xfId="20310"/>
    <cellStyle name="20% - Accent4 3 2 4 2 4" xfId="12887"/>
    <cellStyle name="20% - Accent4 3 2 4 2 4 2" xfId="24004"/>
    <cellStyle name="20% - Accent4 3 2 4 2 5" xfId="16616"/>
    <cellStyle name="20% - Accent4 3 2 4 3" xfId="6415"/>
    <cellStyle name="20% - Accent4 3 2 4 3 2" xfId="10117"/>
    <cellStyle name="20% - Accent4 3 2 4 3 2 2" xfId="21239"/>
    <cellStyle name="20% - Accent4 3 2 4 3 3" xfId="13816"/>
    <cellStyle name="20% - Accent4 3 2 4 3 3 2" xfId="24933"/>
    <cellStyle name="20% - Accent4 3 2 4 3 4" xfId="17545"/>
    <cellStyle name="20% - Accent4 3 2 4 4" xfId="8269"/>
    <cellStyle name="20% - Accent4 3 2 4 4 2" xfId="19392"/>
    <cellStyle name="20% - Accent4 3 2 4 5" xfId="11969"/>
    <cellStyle name="20% - Accent4 3 2 4 5 2" xfId="23086"/>
    <cellStyle name="20% - Accent4 3 2 4 6" xfId="15698"/>
    <cellStyle name="20% - Accent4 3 2 5" xfId="2587"/>
    <cellStyle name="20% - Accent4 3 2 5 2" xfId="6725"/>
    <cellStyle name="20% - Accent4 3 2 5 2 2" xfId="10427"/>
    <cellStyle name="20% - Accent4 3 2 5 2 2 2" xfId="21549"/>
    <cellStyle name="20% - Accent4 3 2 5 2 3" xfId="14126"/>
    <cellStyle name="20% - Accent4 3 2 5 2 3 2" xfId="25243"/>
    <cellStyle name="20% - Accent4 3 2 5 2 4" xfId="17855"/>
    <cellStyle name="20% - Accent4 3 2 5 3" xfId="8579"/>
    <cellStyle name="20% - Accent4 3 2 5 3 2" xfId="19702"/>
    <cellStyle name="20% - Accent4 3 2 5 4" xfId="12279"/>
    <cellStyle name="20% - Accent4 3 2 5 4 2" xfId="23396"/>
    <cellStyle name="20% - Accent4 3 2 5 5" xfId="16008"/>
    <cellStyle name="20% - Accent4 3 2 6" xfId="4775"/>
    <cellStyle name="20% - Accent4 3 2 6 2" xfId="7126"/>
    <cellStyle name="20% - Accent4 3 2 6 2 2" xfId="10827"/>
    <cellStyle name="20% - Accent4 3 2 6 2 2 2" xfId="21949"/>
    <cellStyle name="20% - Accent4 3 2 6 2 3" xfId="14526"/>
    <cellStyle name="20% - Accent4 3 2 6 2 3 2" xfId="25643"/>
    <cellStyle name="20% - Accent4 3 2 6 2 4" xfId="18255"/>
    <cellStyle name="20% - Accent4 3 2 6 3" xfId="8980"/>
    <cellStyle name="20% - Accent4 3 2 6 3 2" xfId="20102"/>
    <cellStyle name="20% - Accent4 3 2 6 4" xfId="12679"/>
    <cellStyle name="20% - Accent4 3 2 6 4 2" xfId="23796"/>
    <cellStyle name="20% - Accent4 3 2 6 5" xfId="16408"/>
    <cellStyle name="20% - Accent4 3 2 7" xfId="5319"/>
    <cellStyle name="20% - Accent4 3 2 7 2" xfId="7644"/>
    <cellStyle name="20% - Accent4 3 2 7 2 2" xfId="11345"/>
    <cellStyle name="20% - Accent4 3 2 7 2 2 2" xfId="22467"/>
    <cellStyle name="20% - Accent4 3 2 7 2 3" xfId="15044"/>
    <cellStyle name="20% - Accent4 3 2 7 2 3 2" xfId="26161"/>
    <cellStyle name="20% - Accent4 3 2 7 2 4" xfId="18773"/>
    <cellStyle name="20% - Accent4 3 2 7 3" xfId="9498"/>
    <cellStyle name="20% - Accent4 3 2 7 3 2" xfId="20620"/>
    <cellStyle name="20% - Accent4 3 2 7 4" xfId="13197"/>
    <cellStyle name="20% - Accent4 3 2 7 4 2" xfId="24314"/>
    <cellStyle name="20% - Accent4 3 2 7 5" xfId="16926"/>
    <cellStyle name="20% - Accent4 3 2 8" xfId="6207"/>
    <cellStyle name="20% - Accent4 3 2 8 2" xfId="9909"/>
    <cellStyle name="20% - Accent4 3 2 8 2 2" xfId="21031"/>
    <cellStyle name="20% - Accent4 3 2 8 3" xfId="13608"/>
    <cellStyle name="20% - Accent4 3 2 8 3 2" xfId="24725"/>
    <cellStyle name="20% - Accent4 3 2 8 4" xfId="17337"/>
    <cellStyle name="20% - Accent4 3 2 9" xfId="8061"/>
    <cellStyle name="20% - Accent4 3 2 9 2" xfId="19184"/>
    <cellStyle name="20% - Accent4 3 3" xfId="1626"/>
    <cellStyle name="20% - Accent4 3 3 10" xfId="15543"/>
    <cellStyle name="20% - Accent4 3 3 2" xfId="1965"/>
    <cellStyle name="20% - Accent4 3 3 2 2" xfId="5147"/>
    <cellStyle name="20% - Accent4 3 3 2 2 2" xfId="7498"/>
    <cellStyle name="20% - Accent4 3 3 2 2 2 2" xfId="11199"/>
    <cellStyle name="20% - Accent4 3 3 2 2 2 2 2" xfId="22321"/>
    <cellStyle name="20% - Accent4 3 3 2 2 2 3" xfId="14898"/>
    <cellStyle name="20% - Accent4 3 3 2 2 2 3 2" xfId="26015"/>
    <cellStyle name="20% - Accent4 3 3 2 2 2 4" xfId="18627"/>
    <cellStyle name="20% - Accent4 3 3 2 2 3" xfId="9352"/>
    <cellStyle name="20% - Accent4 3 3 2 2 3 2" xfId="20474"/>
    <cellStyle name="20% - Accent4 3 3 2 2 4" xfId="13051"/>
    <cellStyle name="20% - Accent4 3 3 2 2 4 2" xfId="24168"/>
    <cellStyle name="20% - Accent4 3 3 2 2 5" xfId="16780"/>
    <cellStyle name="20% - Accent4 3 3 2 3" xfId="6579"/>
    <cellStyle name="20% - Accent4 3 3 2 3 2" xfId="10281"/>
    <cellStyle name="20% - Accent4 3 3 2 3 2 2" xfId="21403"/>
    <cellStyle name="20% - Accent4 3 3 2 3 3" xfId="13980"/>
    <cellStyle name="20% - Accent4 3 3 2 3 3 2" xfId="25097"/>
    <cellStyle name="20% - Accent4 3 3 2 3 4" xfId="17709"/>
    <cellStyle name="20% - Accent4 3 3 2 4" xfId="8433"/>
    <cellStyle name="20% - Accent4 3 3 2 4 2" xfId="19556"/>
    <cellStyle name="20% - Accent4 3 3 2 5" xfId="12133"/>
    <cellStyle name="20% - Accent4 3 3 2 5 2" xfId="23250"/>
    <cellStyle name="20% - Accent4 3 3 2 6" xfId="15862"/>
    <cellStyle name="20% - Accent4 3 3 3" xfId="1839"/>
    <cellStyle name="20% - Accent4 3 3 3 2" xfId="5036"/>
    <cellStyle name="20% - Accent4 3 3 3 2 2" xfId="7387"/>
    <cellStyle name="20% - Accent4 3 3 3 2 2 2" xfId="11088"/>
    <cellStyle name="20% - Accent4 3 3 3 2 2 2 2" xfId="22210"/>
    <cellStyle name="20% - Accent4 3 3 3 2 2 3" xfId="14787"/>
    <cellStyle name="20% - Accent4 3 3 3 2 2 3 2" xfId="25904"/>
    <cellStyle name="20% - Accent4 3 3 3 2 2 4" xfId="18516"/>
    <cellStyle name="20% - Accent4 3 3 3 2 3" xfId="9241"/>
    <cellStyle name="20% - Accent4 3 3 3 2 3 2" xfId="20363"/>
    <cellStyle name="20% - Accent4 3 3 3 2 4" xfId="12940"/>
    <cellStyle name="20% - Accent4 3 3 3 2 4 2" xfId="24057"/>
    <cellStyle name="20% - Accent4 3 3 3 2 5" xfId="16669"/>
    <cellStyle name="20% - Accent4 3 3 3 3" xfId="6468"/>
    <cellStyle name="20% - Accent4 3 3 3 3 2" xfId="10170"/>
    <cellStyle name="20% - Accent4 3 3 3 3 2 2" xfId="21292"/>
    <cellStyle name="20% - Accent4 3 3 3 3 3" xfId="13869"/>
    <cellStyle name="20% - Accent4 3 3 3 3 3 2" xfId="24986"/>
    <cellStyle name="20% - Accent4 3 3 3 3 4" xfId="17598"/>
    <cellStyle name="20% - Accent4 3 3 3 4" xfId="8322"/>
    <cellStyle name="20% - Accent4 3 3 3 4 2" xfId="19445"/>
    <cellStyle name="20% - Accent4 3 3 3 5" xfId="12022"/>
    <cellStyle name="20% - Accent4 3 3 3 5 2" xfId="23139"/>
    <cellStyle name="20% - Accent4 3 3 3 6" xfId="15751"/>
    <cellStyle name="20% - Accent4 3 3 4" xfId="2590"/>
    <cellStyle name="20% - Accent4 3 3 4 2" xfId="6728"/>
    <cellStyle name="20% - Accent4 3 3 4 2 2" xfId="10430"/>
    <cellStyle name="20% - Accent4 3 3 4 2 2 2" xfId="21552"/>
    <cellStyle name="20% - Accent4 3 3 4 2 3" xfId="14129"/>
    <cellStyle name="20% - Accent4 3 3 4 2 3 2" xfId="25246"/>
    <cellStyle name="20% - Accent4 3 3 4 2 4" xfId="17858"/>
    <cellStyle name="20% - Accent4 3 3 4 3" xfId="8582"/>
    <cellStyle name="20% - Accent4 3 3 4 3 2" xfId="19705"/>
    <cellStyle name="20% - Accent4 3 3 4 4" xfId="12282"/>
    <cellStyle name="20% - Accent4 3 3 4 4 2" xfId="23399"/>
    <cellStyle name="20% - Accent4 3 3 4 5" xfId="16011"/>
    <cellStyle name="20% - Accent4 3 3 5" xfId="4828"/>
    <cellStyle name="20% - Accent4 3 3 5 2" xfId="7179"/>
    <cellStyle name="20% - Accent4 3 3 5 2 2" xfId="10880"/>
    <cellStyle name="20% - Accent4 3 3 5 2 2 2" xfId="22002"/>
    <cellStyle name="20% - Accent4 3 3 5 2 3" xfId="14579"/>
    <cellStyle name="20% - Accent4 3 3 5 2 3 2" xfId="25696"/>
    <cellStyle name="20% - Accent4 3 3 5 2 4" xfId="18308"/>
    <cellStyle name="20% - Accent4 3 3 5 3" xfId="9033"/>
    <cellStyle name="20% - Accent4 3 3 5 3 2" xfId="20155"/>
    <cellStyle name="20% - Accent4 3 3 5 4" xfId="12732"/>
    <cellStyle name="20% - Accent4 3 3 5 4 2" xfId="23849"/>
    <cellStyle name="20% - Accent4 3 3 5 5" xfId="16461"/>
    <cellStyle name="20% - Accent4 3 3 6" xfId="5322"/>
    <cellStyle name="20% - Accent4 3 3 6 2" xfId="7647"/>
    <cellStyle name="20% - Accent4 3 3 6 2 2" xfId="11348"/>
    <cellStyle name="20% - Accent4 3 3 6 2 2 2" xfId="22470"/>
    <cellStyle name="20% - Accent4 3 3 6 2 3" xfId="15047"/>
    <cellStyle name="20% - Accent4 3 3 6 2 3 2" xfId="26164"/>
    <cellStyle name="20% - Accent4 3 3 6 2 4" xfId="18776"/>
    <cellStyle name="20% - Accent4 3 3 6 3" xfId="9501"/>
    <cellStyle name="20% - Accent4 3 3 6 3 2" xfId="20623"/>
    <cellStyle name="20% - Accent4 3 3 6 4" xfId="13200"/>
    <cellStyle name="20% - Accent4 3 3 6 4 2" xfId="24317"/>
    <cellStyle name="20% - Accent4 3 3 6 5" xfId="16929"/>
    <cellStyle name="20% - Accent4 3 3 7" xfId="6260"/>
    <cellStyle name="20% - Accent4 3 3 7 2" xfId="9962"/>
    <cellStyle name="20% - Accent4 3 3 7 2 2" xfId="21084"/>
    <cellStyle name="20% - Accent4 3 3 7 3" xfId="13661"/>
    <cellStyle name="20% - Accent4 3 3 7 3 2" xfId="24778"/>
    <cellStyle name="20% - Accent4 3 3 7 4" xfId="17390"/>
    <cellStyle name="20% - Accent4 3 3 8" xfId="8114"/>
    <cellStyle name="20% - Accent4 3 3 8 2" xfId="19237"/>
    <cellStyle name="20% - Accent4 3 3 9" xfId="11814"/>
    <cellStyle name="20% - Accent4 3 3 9 2" xfId="22931"/>
    <cellStyle name="20% - Accent4 3 4" xfId="1962"/>
    <cellStyle name="20% - Accent4 3 4 2" xfId="2591"/>
    <cellStyle name="20% - Accent4 3 4 2 2" xfId="6729"/>
    <cellStyle name="20% - Accent4 3 4 2 2 2" xfId="10431"/>
    <cellStyle name="20% - Accent4 3 4 2 2 2 2" xfId="21553"/>
    <cellStyle name="20% - Accent4 3 4 2 2 3" xfId="14130"/>
    <cellStyle name="20% - Accent4 3 4 2 2 3 2" xfId="25247"/>
    <cellStyle name="20% - Accent4 3 4 2 2 4" xfId="17859"/>
    <cellStyle name="20% - Accent4 3 4 2 3" xfId="8583"/>
    <cellStyle name="20% - Accent4 3 4 2 3 2" xfId="19706"/>
    <cellStyle name="20% - Accent4 3 4 2 4" xfId="12283"/>
    <cellStyle name="20% - Accent4 3 4 2 4 2" xfId="23400"/>
    <cellStyle name="20% - Accent4 3 4 2 5" xfId="16012"/>
    <cellStyle name="20% - Accent4 3 4 3" xfId="5144"/>
    <cellStyle name="20% - Accent4 3 4 3 2" xfId="7495"/>
    <cellStyle name="20% - Accent4 3 4 3 2 2" xfId="11196"/>
    <cellStyle name="20% - Accent4 3 4 3 2 2 2" xfId="22318"/>
    <cellStyle name="20% - Accent4 3 4 3 2 3" xfId="14895"/>
    <cellStyle name="20% - Accent4 3 4 3 2 3 2" xfId="26012"/>
    <cellStyle name="20% - Accent4 3 4 3 2 4" xfId="18624"/>
    <cellStyle name="20% - Accent4 3 4 3 3" xfId="9349"/>
    <cellStyle name="20% - Accent4 3 4 3 3 2" xfId="20471"/>
    <cellStyle name="20% - Accent4 3 4 3 4" xfId="13048"/>
    <cellStyle name="20% - Accent4 3 4 3 4 2" xfId="24165"/>
    <cellStyle name="20% - Accent4 3 4 3 5" xfId="16777"/>
    <cellStyle name="20% - Accent4 3 4 4" xfId="5323"/>
    <cellStyle name="20% - Accent4 3 4 4 2" xfId="7648"/>
    <cellStyle name="20% - Accent4 3 4 4 2 2" xfId="11349"/>
    <cellStyle name="20% - Accent4 3 4 4 2 2 2" xfId="22471"/>
    <cellStyle name="20% - Accent4 3 4 4 2 3" xfId="15048"/>
    <cellStyle name="20% - Accent4 3 4 4 2 3 2" xfId="26165"/>
    <cellStyle name="20% - Accent4 3 4 4 2 4" xfId="18777"/>
    <cellStyle name="20% - Accent4 3 4 4 3" xfId="9502"/>
    <cellStyle name="20% - Accent4 3 4 4 3 2" xfId="20624"/>
    <cellStyle name="20% - Accent4 3 4 4 4" xfId="13201"/>
    <cellStyle name="20% - Accent4 3 4 4 4 2" xfId="24318"/>
    <cellStyle name="20% - Accent4 3 4 4 5" xfId="16930"/>
    <cellStyle name="20% - Accent4 3 4 5" xfId="6576"/>
    <cellStyle name="20% - Accent4 3 4 5 2" xfId="10278"/>
    <cellStyle name="20% - Accent4 3 4 5 2 2" xfId="21400"/>
    <cellStyle name="20% - Accent4 3 4 5 3" xfId="13977"/>
    <cellStyle name="20% - Accent4 3 4 5 3 2" xfId="25094"/>
    <cellStyle name="20% - Accent4 3 4 5 4" xfId="17706"/>
    <cellStyle name="20% - Accent4 3 4 6" xfId="8430"/>
    <cellStyle name="20% - Accent4 3 4 6 2" xfId="19553"/>
    <cellStyle name="20% - Accent4 3 4 7" xfId="12130"/>
    <cellStyle name="20% - Accent4 3 4 7 2" xfId="23247"/>
    <cellStyle name="20% - Accent4 3 4 8" xfId="15859"/>
    <cellStyle name="20% - Accent4 3 5" xfId="1735"/>
    <cellStyle name="20% - Accent4 3 5 2" xfId="2592"/>
    <cellStyle name="20% - Accent4 3 5 3" xfId="4932"/>
    <cellStyle name="20% - Accent4 3 5 3 2" xfId="7283"/>
    <cellStyle name="20% - Accent4 3 5 3 2 2" xfId="10984"/>
    <cellStyle name="20% - Accent4 3 5 3 2 2 2" xfId="22106"/>
    <cellStyle name="20% - Accent4 3 5 3 2 3" xfId="14683"/>
    <cellStyle name="20% - Accent4 3 5 3 2 3 2" xfId="25800"/>
    <cellStyle name="20% - Accent4 3 5 3 2 4" xfId="18412"/>
    <cellStyle name="20% - Accent4 3 5 3 3" xfId="9137"/>
    <cellStyle name="20% - Accent4 3 5 3 3 2" xfId="20259"/>
    <cellStyle name="20% - Accent4 3 5 3 4" xfId="12836"/>
    <cellStyle name="20% - Accent4 3 5 3 4 2" xfId="23953"/>
    <cellStyle name="20% - Accent4 3 5 3 5" xfId="16565"/>
    <cellStyle name="20% - Accent4 3 5 4" xfId="6364"/>
    <cellStyle name="20% - Accent4 3 5 4 2" xfId="10066"/>
    <cellStyle name="20% - Accent4 3 5 4 2 2" xfId="21188"/>
    <cellStyle name="20% - Accent4 3 5 4 3" xfId="13765"/>
    <cellStyle name="20% - Accent4 3 5 4 3 2" xfId="24882"/>
    <cellStyle name="20% - Accent4 3 5 4 4" xfId="17494"/>
    <cellStyle name="20% - Accent4 3 5 5" xfId="8218"/>
    <cellStyle name="20% - Accent4 3 5 5 2" xfId="19341"/>
    <cellStyle name="20% - Accent4 3 5 6" xfId="11918"/>
    <cellStyle name="20% - Accent4 3 5 6 2" xfId="23035"/>
    <cellStyle name="20% - Accent4 3 5 7" xfId="15647"/>
    <cellStyle name="20% - Accent4 3 6" xfId="2586"/>
    <cellStyle name="20% - Accent4 3 6 2" xfId="6724"/>
    <cellStyle name="20% - Accent4 3 6 2 2" xfId="10426"/>
    <cellStyle name="20% - Accent4 3 6 2 2 2" xfId="21548"/>
    <cellStyle name="20% - Accent4 3 6 2 3" xfId="14125"/>
    <cellStyle name="20% - Accent4 3 6 2 3 2" xfId="25242"/>
    <cellStyle name="20% - Accent4 3 6 2 4" xfId="17854"/>
    <cellStyle name="20% - Accent4 3 6 3" xfId="8578"/>
    <cellStyle name="20% - Accent4 3 6 3 2" xfId="19701"/>
    <cellStyle name="20% - Accent4 3 6 4" xfId="12278"/>
    <cellStyle name="20% - Accent4 3 6 4 2" xfId="23395"/>
    <cellStyle name="20% - Accent4 3 6 5" xfId="16007"/>
    <cellStyle name="20% - Accent4 3 7" xfId="4723"/>
    <cellStyle name="20% - Accent4 3 7 2" xfId="7075"/>
    <cellStyle name="20% - Accent4 3 7 2 2" xfId="10776"/>
    <cellStyle name="20% - Accent4 3 7 2 2 2" xfId="21898"/>
    <cellStyle name="20% - Accent4 3 7 2 3" xfId="14475"/>
    <cellStyle name="20% - Accent4 3 7 2 3 2" xfId="25592"/>
    <cellStyle name="20% - Accent4 3 7 2 4" xfId="18204"/>
    <cellStyle name="20% - Accent4 3 7 3" xfId="8929"/>
    <cellStyle name="20% - Accent4 3 7 3 2" xfId="20051"/>
    <cellStyle name="20% - Accent4 3 7 4" xfId="12628"/>
    <cellStyle name="20% - Accent4 3 7 4 2" xfId="23745"/>
    <cellStyle name="20% - Accent4 3 7 5" xfId="16357"/>
    <cellStyle name="20% - Accent4 3 8" xfId="5318"/>
    <cellStyle name="20% - Accent4 3 8 2" xfId="7643"/>
    <cellStyle name="20% - Accent4 3 8 2 2" xfId="11344"/>
    <cellStyle name="20% - Accent4 3 8 2 2 2" xfId="22466"/>
    <cellStyle name="20% - Accent4 3 8 2 3" xfId="15043"/>
    <cellStyle name="20% - Accent4 3 8 2 3 2" xfId="26160"/>
    <cellStyle name="20% - Accent4 3 8 2 4" xfId="18772"/>
    <cellStyle name="20% - Accent4 3 8 3" xfId="9497"/>
    <cellStyle name="20% - Accent4 3 8 3 2" xfId="20619"/>
    <cellStyle name="20% - Accent4 3 8 4" xfId="13196"/>
    <cellStyle name="20% - Accent4 3 8 4 2" xfId="24313"/>
    <cellStyle name="20% - Accent4 3 8 5" xfId="16925"/>
    <cellStyle name="20% - Accent4 3 9" xfId="5278"/>
    <cellStyle name="20% - Accent5" xfId="12" builtinId="46" customBuiltin="1"/>
    <cellStyle name="20% - Accent5 2" xfId="183"/>
    <cellStyle name="20% - Accent5 2 2" xfId="1393"/>
    <cellStyle name="20% - Accent5 3" xfId="777"/>
    <cellStyle name="20% - Accent5 3 10" xfId="8011"/>
    <cellStyle name="20% - Accent5 3 10 2" xfId="19135"/>
    <cellStyle name="20% - Accent5 3 11" xfId="11712"/>
    <cellStyle name="20% - Accent5 3 11 2" xfId="22829"/>
    <cellStyle name="20% - Accent5 3 12" xfId="15441"/>
    <cellStyle name="20% - Accent5 3 2" xfId="1565"/>
    <cellStyle name="20% - Accent5 3 2 10" xfId="11763"/>
    <cellStyle name="20% - Accent5 3 2 10 2" xfId="22880"/>
    <cellStyle name="20% - Accent5 3 2 11" xfId="15492"/>
    <cellStyle name="20% - Accent5 3 2 2" xfId="1684"/>
    <cellStyle name="20% - Accent5 3 2 2 10" xfId="15598"/>
    <cellStyle name="20% - Accent5 3 2 2 2" xfId="1968"/>
    <cellStyle name="20% - Accent5 3 2 2 2 2" xfId="5150"/>
    <cellStyle name="20% - Accent5 3 2 2 2 2 2" xfId="7501"/>
    <cellStyle name="20% - Accent5 3 2 2 2 2 2 2" xfId="11202"/>
    <cellStyle name="20% - Accent5 3 2 2 2 2 2 2 2" xfId="22324"/>
    <cellStyle name="20% - Accent5 3 2 2 2 2 2 3" xfId="14901"/>
    <cellStyle name="20% - Accent5 3 2 2 2 2 2 3 2" xfId="26018"/>
    <cellStyle name="20% - Accent5 3 2 2 2 2 2 4" xfId="18630"/>
    <cellStyle name="20% - Accent5 3 2 2 2 2 3" xfId="9355"/>
    <cellStyle name="20% - Accent5 3 2 2 2 2 3 2" xfId="20477"/>
    <cellStyle name="20% - Accent5 3 2 2 2 2 4" xfId="13054"/>
    <cellStyle name="20% - Accent5 3 2 2 2 2 4 2" xfId="24171"/>
    <cellStyle name="20% - Accent5 3 2 2 2 2 5" xfId="16783"/>
    <cellStyle name="20% - Accent5 3 2 2 2 3" xfId="6582"/>
    <cellStyle name="20% - Accent5 3 2 2 2 3 2" xfId="10284"/>
    <cellStyle name="20% - Accent5 3 2 2 2 3 2 2" xfId="21406"/>
    <cellStyle name="20% - Accent5 3 2 2 2 3 3" xfId="13983"/>
    <cellStyle name="20% - Accent5 3 2 2 2 3 3 2" xfId="25100"/>
    <cellStyle name="20% - Accent5 3 2 2 2 3 4" xfId="17712"/>
    <cellStyle name="20% - Accent5 3 2 2 2 4" xfId="8436"/>
    <cellStyle name="20% - Accent5 3 2 2 2 4 2" xfId="19559"/>
    <cellStyle name="20% - Accent5 3 2 2 2 5" xfId="12136"/>
    <cellStyle name="20% - Accent5 3 2 2 2 5 2" xfId="23253"/>
    <cellStyle name="20% - Accent5 3 2 2 2 6" xfId="15865"/>
    <cellStyle name="20% - Accent5 3 2 2 3" xfId="1894"/>
    <cellStyle name="20% - Accent5 3 2 2 3 2" xfId="5091"/>
    <cellStyle name="20% - Accent5 3 2 2 3 2 2" xfId="7442"/>
    <cellStyle name="20% - Accent5 3 2 2 3 2 2 2" xfId="11143"/>
    <cellStyle name="20% - Accent5 3 2 2 3 2 2 2 2" xfId="22265"/>
    <cellStyle name="20% - Accent5 3 2 2 3 2 2 3" xfId="14842"/>
    <cellStyle name="20% - Accent5 3 2 2 3 2 2 3 2" xfId="25959"/>
    <cellStyle name="20% - Accent5 3 2 2 3 2 2 4" xfId="18571"/>
    <cellStyle name="20% - Accent5 3 2 2 3 2 3" xfId="9296"/>
    <cellStyle name="20% - Accent5 3 2 2 3 2 3 2" xfId="20418"/>
    <cellStyle name="20% - Accent5 3 2 2 3 2 4" xfId="12995"/>
    <cellStyle name="20% - Accent5 3 2 2 3 2 4 2" xfId="24112"/>
    <cellStyle name="20% - Accent5 3 2 2 3 2 5" xfId="16724"/>
    <cellStyle name="20% - Accent5 3 2 2 3 3" xfId="6523"/>
    <cellStyle name="20% - Accent5 3 2 2 3 3 2" xfId="10225"/>
    <cellStyle name="20% - Accent5 3 2 2 3 3 2 2" xfId="21347"/>
    <cellStyle name="20% - Accent5 3 2 2 3 3 3" xfId="13924"/>
    <cellStyle name="20% - Accent5 3 2 2 3 3 3 2" xfId="25041"/>
    <cellStyle name="20% - Accent5 3 2 2 3 3 4" xfId="17653"/>
    <cellStyle name="20% - Accent5 3 2 2 3 4" xfId="8377"/>
    <cellStyle name="20% - Accent5 3 2 2 3 4 2" xfId="19500"/>
    <cellStyle name="20% - Accent5 3 2 2 3 5" xfId="12077"/>
    <cellStyle name="20% - Accent5 3 2 2 3 5 2" xfId="23194"/>
    <cellStyle name="20% - Accent5 3 2 2 3 6" xfId="15806"/>
    <cellStyle name="20% - Accent5 3 2 2 4" xfId="2595"/>
    <cellStyle name="20% - Accent5 3 2 2 4 2" xfId="6732"/>
    <cellStyle name="20% - Accent5 3 2 2 4 2 2" xfId="10434"/>
    <cellStyle name="20% - Accent5 3 2 2 4 2 2 2" xfId="21556"/>
    <cellStyle name="20% - Accent5 3 2 2 4 2 3" xfId="14133"/>
    <cellStyle name="20% - Accent5 3 2 2 4 2 3 2" xfId="25250"/>
    <cellStyle name="20% - Accent5 3 2 2 4 2 4" xfId="17862"/>
    <cellStyle name="20% - Accent5 3 2 2 4 3" xfId="8586"/>
    <cellStyle name="20% - Accent5 3 2 2 4 3 2" xfId="19709"/>
    <cellStyle name="20% - Accent5 3 2 2 4 4" xfId="12286"/>
    <cellStyle name="20% - Accent5 3 2 2 4 4 2" xfId="23403"/>
    <cellStyle name="20% - Accent5 3 2 2 4 5" xfId="16015"/>
    <cellStyle name="20% - Accent5 3 2 2 5" xfId="4883"/>
    <cellStyle name="20% - Accent5 3 2 2 5 2" xfId="7234"/>
    <cellStyle name="20% - Accent5 3 2 2 5 2 2" xfId="10935"/>
    <cellStyle name="20% - Accent5 3 2 2 5 2 2 2" xfId="22057"/>
    <cellStyle name="20% - Accent5 3 2 2 5 2 3" xfId="14634"/>
    <cellStyle name="20% - Accent5 3 2 2 5 2 3 2" xfId="25751"/>
    <cellStyle name="20% - Accent5 3 2 2 5 2 4" xfId="18363"/>
    <cellStyle name="20% - Accent5 3 2 2 5 3" xfId="9088"/>
    <cellStyle name="20% - Accent5 3 2 2 5 3 2" xfId="20210"/>
    <cellStyle name="20% - Accent5 3 2 2 5 4" xfId="12787"/>
    <cellStyle name="20% - Accent5 3 2 2 5 4 2" xfId="23904"/>
    <cellStyle name="20% - Accent5 3 2 2 5 5" xfId="16516"/>
    <cellStyle name="20% - Accent5 3 2 2 6" xfId="5326"/>
    <cellStyle name="20% - Accent5 3 2 2 6 2" xfId="7651"/>
    <cellStyle name="20% - Accent5 3 2 2 6 2 2" xfId="11352"/>
    <cellStyle name="20% - Accent5 3 2 2 6 2 2 2" xfId="22474"/>
    <cellStyle name="20% - Accent5 3 2 2 6 2 3" xfId="15051"/>
    <cellStyle name="20% - Accent5 3 2 2 6 2 3 2" xfId="26168"/>
    <cellStyle name="20% - Accent5 3 2 2 6 2 4" xfId="18780"/>
    <cellStyle name="20% - Accent5 3 2 2 6 3" xfId="9505"/>
    <cellStyle name="20% - Accent5 3 2 2 6 3 2" xfId="20627"/>
    <cellStyle name="20% - Accent5 3 2 2 6 4" xfId="13204"/>
    <cellStyle name="20% - Accent5 3 2 2 6 4 2" xfId="24321"/>
    <cellStyle name="20% - Accent5 3 2 2 6 5" xfId="16933"/>
    <cellStyle name="20% - Accent5 3 2 2 7" xfId="6315"/>
    <cellStyle name="20% - Accent5 3 2 2 7 2" xfId="10017"/>
    <cellStyle name="20% - Accent5 3 2 2 7 2 2" xfId="21139"/>
    <cellStyle name="20% - Accent5 3 2 2 7 3" xfId="13716"/>
    <cellStyle name="20% - Accent5 3 2 2 7 3 2" xfId="24833"/>
    <cellStyle name="20% - Accent5 3 2 2 7 4" xfId="17445"/>
    <cellStyle name="20% - Accent5 3 2 2 8" xfId="8169"/>
    <cellStyle name="20% - Accent5 3 2 2 8 2" xfId="19292"/>
    <cellStyle name="20% - Accent5 3 2 2 9" xfId="11869"/>
    <cellStyle name="20% - Accent5 3 2 2 9 2" xfId="22986"/>
    <cellStyle name="20% - Accent5 3 2 3" xfId="1967"/>
    <cellStyle name="20% - Accent5 3 2 3 2" xfId="2596"/>
    <cellStyle name="20% - Accent5 3 2 3 2 2" xfId="6733"/>
    <cellStyle name="20% - Accent5 3 2 3 2 2 2" xfId="10435"/>
    <cellStyle name="20% - Accent5 3 2 3 2 2 2 2" xfId="21557"/>
    <cellStyle name="20% - Accent5 3 2 3 2 2 3" xfId="14134"/>
    <cellStyle name="20% - Accent5 3 2 3 2 2 3 2" xfId="25251"/>
    <cellStyle name="20% - Accent5 3 2 3 2 2 4" xfId="17863"/>
    <cellStyle name="20% - Accent5 3 2 3 2 3" xfId="8587"/>
    <cellStyle name="20% - Accent5 3 2 3 2 3 2" xfId="19710"/>
    <cellStyle name="20% - Accent5 3 2 3 2 4" xfId="12287"/>
    <cellStyle name="20% - Accent5 3 2 3 2 4 2" xfId="23404"/>
    <cellStyle name="20% - Accent5 3 2 3 2 5" xfId="16016"/>
    <cellStyle name="20% - Accent5 3 2 3 3" xfId="5149"/>
    <cellStyle name="20% - Accent5 3 2 3 3 2" xfId="7500"/>
    <cellStyle name="20% - Accent5 3 2 3 3 2 2" xfId="11201"/>
    <cellStyle name="20% - Accent5 3 2 3 3 2 2 2" xfId="22323"/>
    <cellStyle name="20% - Accent5 3 2 3 3 2 3" xfId="14900"/>
    <cellStyle name="20% - Accent5 3 2 3 3 2 3 2" xfId="26017"/>
    <cellStyle name="20% - Accent5 3 2 3 3 2 4" xfId="18629"/>
    <cellStyle name="20% - Accent5 3 2 3 3 3" xfId="9354"/>
    <cellStyle name="20% - Accent5 3 2 3 3 3 2" xfId="20476"/>
    <cellStyle name="20% - Accent5 3 2 3 3 4" xfId="13053"/>
    <cellStyle name="20% - Accent5 3 2 3 3 4 2" xfId="24170"/>
    <cellStyle name="20% - Accent5 3 2 3 3 5" xfId="16782"/>
    <cellStyle name="20% - Accent5 3 2 3 4" xfId="5327"/>
    <cellStyle name="20% - Accent5 3 2 3 4 2" xfId="7652"/>
    <cellStyle name="20% - Accent5 3 2 3 4 2 2" xfId="11353"/>
    <cellStyle name="20% - Accent5 3 2 3 4 2 2 2" xfId="22475"/>
    <cellStyle name="20% - Accent5 3 2 3 4 2 3" xfId="15052"/>
    <cellStyle name="20% - Accent5 3 2 3 4 2 3 2" xfId="26169"/>
    <cellStyle name="20% - Accent5 3 2 3 4 2 4" xfId="18781"/>
    <cellStyle name="20% - Accent5 3 2 3 4 3" xfId="9506"/>
    <cellStyle name="20% - Accent5 3 2 3 4 3 2" xfId="20628"/>
    <cellStyle name="20% - Accent5 3 2 3 4 4" xfId="13205"/>
    <cellStyle name="20% - Accent5 3 2 3 4 4 2" xfId="24322"/>
    <cellStyle name="20% - Accent5 3 2 3 4 5" xfId="16934"/>
    <cellStyle name="20% - Accent5 3 2 3 5" xfId="6581"/>
    <cellStyle name="20% - Accent5 3 2 3 5 2" xfId="10283"/>
    <cellStyle name="20% - Accent5 3 2 3 5 2 2" xfId="21405"/>
    <cellStyle name="20% - Accent5 3 2 3 5 3" xfId="13982"/>
    <cellStyle name="20% - Accent5 3 2 3 5 3 2" xfId="25099"/>
    <cellStyle name="20% - Accent5 3 2 3 5 4" xfId="17711"/>
    <cellStyle name="20% - Accent5 3 2 3 6" xfId="8435"/>
    <cellStyle name="20% - Accent5 3 2 3 6 2" xfId="19558"/>
    <cellStyle name="20% - Accent5 3 2 3 7" xfId="12135"/>
    <cellStyle name="20% - Accent5 3 2 3 7 2" xfId="23252"/>
    <cellStyle name="20% - Accent5 3 2 3 8" xfId="15864"/>
    <cellStyle name="20% - Accent5 3 2 4" xfId="1788"/>
    <cellStyle name="20% - Accent5 3 2 4 2" xfId="4985"/>
    <cellStyle name="20% - Accent5 3 2 4 2 2" xfId="7336"/>
    <cellStyle name="20% - Accent5 3 2 4 2 2 2" xfId="11037"/>
    <cellStyle name="20% - Accent5 3 2 4 2 2 2 2" xfId="22159"/>
    <cellStyle name="20% - Accent5 3 2 4 2 2 3" xfId="14736"/>
    <cellStyle name="20% - Accent5 3 2 4 2 2 3 2" xfId="25853"/>
    <cellStyle name="20% - Accent5 3 2 4 2 2 4" xfId="18465"/>
    <cellStyle name="20% - Accent5 3 2 4 2 3" xfId="9190"/>
    <cellStyle name="20% - Accent5 3 2 4 2 3 2" xfId="20312"/>
    <cellStyle name="20% - Accent5 3 2 4 2 4" xfId="12889"/>
    <cellStyle name="20% - Accent5 3 2 4 2 4 2" xfId="24006"/>
    <cellStyle name="20% - Accent5 3 2 4 2 5" xfId="16618"/>
    <cellStyle name="20% - Accent5 3 2 4 3" xfId="6417"/>
    <cellStyle name="20% - Accent5 3 2 4 3 2" xfId="10119"/>
    <cellStyle name="20% - Accent5 3 2 4 3 2 2" xfId="21241"/>
    <cellStyle name="20% - Accent5 3 2 4 3 3" xfId="13818"/>
    <cellStyle name="20% - Accent5 3 2 4 3 3 2" xfId="24935"/>
    <cellStyle name="20% - Accent5 3 2 4 3 4" xfId="17547"/>
    <cellStyle name="20% - Accent5 3 2 4 4" xfId="8271"/>
    <cellStyle name="20% - Accent5 3 2 4 4 2" xfId="19394"/>
    <cellStyle name="20% - Accent5 3 2 4 5" xfId="11971"/>
    <cellStyle name="20% - Accent5 3 2 4 5 2" xfId="23088"/>
    <cellStyle name="20% - Accent5 3 2 4 6" xfId="15700"/>
    <cellStyle name="20% - Accent5 3 2 5" xfId="2594"/>
    <cellStyle name="20% - Accent5 3 2 5 2" xfId="6731"/>
    <cellStyle name="20% - Accent5 3 2 5 2 2" xfId="10433"/>
    <cellStyle name="20% - Accent5 3 2 5 2 2 2" xfId="21555"/>
    <cellStyle name="20% - Accent5 3 2 5 2 3" xfId="14132"/>
    <cellStyle name="20% - Accent5 3 2 5 2 3 2" xfId="25249"/>
    <cellStyle name="20% - Accent5 3 2 5 2 4" xfId="17861"/>
    <cellStyle name="20% - Accent5 3 2 5 3" xfId="8585"/>
    <cellStyle name="20% - Accent5 3 2 5 3 2" xfId="19708"/>
    <cellStyle name="20% - Accent5 3 2 5 4" xfId="12285"/>
    <cellStyle name="20% - Accent5 3 2 5 4 2" xfId="23402"/>
    <cellStyle name="20% - Accent5 3 2 5 5" xfId="16014"/>
    <cellStyle name="20% - Accent5 3 2 6" xfId="4777"/>
    <cellStyle name="20% - Accent5 3 2 6 2" xfId="7128"/>
    <cellStyle name="20% - Accent5 3 2 6 2 2" xfId="10829"/>
    <cellStyle name="20% - Accent5 3 2 6 2 2 2" xfId="21951"/>
    <cellStyle name="20% - Accent5 3 2 6 2 3" xfId="14528"/>
    <cellStyle name="20% - Accent5 3 2 6 2 3 2" xfId="25645"/>
    <cellStyle name="20% - Accent5 3 2 6 2 4" xfId="18257"/>
    <cellStyle name="20% - Accent5 3 2 6 3" xfId="8982"/>
    <cellStyle name="20% - Accent5 3 2 6 3 2" xfId="20104"/>
    <cellStyle name="20% - Accent5 3 2 6 4" xfId="12681"/>
    <cellStyle name="20% - Accent5 3 2 6 4 2" xfId="23798"/>
    <cellStyle name="20% - Accent5 3 2 6 5" xfId="16410"/>
    <cellStyle name="20% - Accent5 3 2 7" xfId="5325"/>
    <cellStyle name="20% - Accent5 3 2 7 2" xfId="7650"/>
    <cellStyle name="20% - Accent5 3 2 7 2 2" xfId="11351"/>
    <cellStyle name="20% - Accent5 3 2 7 2 2 2" xfId="22473"/>
    <cellStyle name="20% - Accent5 3 2 7 2 3" xfId="15050"/>
    <cellStyle name="20% - Accent5 3 2 7 2 3 2" xfId="26167"/>
    <cellStyle name="20% - Accent5 3 2 7 2 4" xfId="18779"/>
    <cellStyle name="20% - Accent5 3 2 7 3" xfId="9504"/>
    <cellStyle name="20% - Accent5 3 2 7 3 2" xfId="20626"/>
    <cellStyle name="20% - Accent5 3 2 7 4" xfId="13203"/>
    <cellStyle name="20% - Accent5 3 2 7 4 2" xfId="24320"/>
    <cellStyle name="20% - Accent5 3 2 7 5" xfId="16932"/>
    <cellStyle name="20% - Accent5 3 2 8" xfId="6209"/>
    <cellStyle name="20% - Accent5 3 2 8 2" xfId="9911"/>
    <cellStyle name="20% - Accent5 3 2 8 2 2" xfId="21033"/>
    <cellStyle name="20% - Accent5 3 2 8 3" xfId="13610"/>
    <cellStyle name="20% - Accent5 3 2 8 3 2" xfId="24727"/>
    <cellStyle name="20% - Accent5 3 2 8 4" xfId="17339"/>
    <cellStyle name="20% - Accent5 3 2 9" xfId="8063"/>
    <cellStyle name="20% - Accent5 3 2 9 2" xfId="19186"/>
    <cellStyle name="20% - Accent5 3 3" xfId="1628"/>
    <cellStyle name="20% - Accent5 3 3 10" xfId="15545"/>
    <cellStyle name="20% - Accent5 3 3 2" xfId="1969"/>
    <cellStyle name="20% - Accent5 3 3 2 2" xfId="5151"/>
    <cellStyle name="20% - Accent5 3 3 2 2 2" xfId="7502"/>
    <cellStyle name="20% - Accent5 3 3 2 2 2 2" xfId="11203"/>
    <cellStyle name="20% - Accent5 3 3 2 2 2 2 2" xfId="22325"/>
    <cellStyle name="20% - Accent5 3 3 2 2 2 3" xfId="14902"/>
    <cellStyle name="20% - Accent5 3 3 2 2 2 3 2" xfId="26019"/>
    <cellStyle name="20% - Accent5 3 3 2 2 2 4" xfId="18631"/>
    <cellStyle name="20% - Accent5 3 3 2 2 3" xfId="9356"/>
    <cellStyle name="20% - Accent5 3 3 2 2 3 2" xfId="20478"/>
    <cellStyle name="20% - Accent5 3 3 2 2 4" xfId="13055"/>
    <cellStyle name="20% - Accent5 3 3 2 2 4 2" xfId="24172"/>
    <cellStyle name="20% - Accent5 3 3 2 2 5" xfId="16784"/>
    <cellStyle name="20% - Accent5 3 3 2 3" xfId="6583"/>
    <cellStyle name="20% - Accent5 3 3 2 3 2" xfId="10285"/>
    <cellStyle name="20% - Accent5 3 3 2 3 2 2" xfId="21407"/>
    <cellStyle name="20% - Accent5 3 3 2 3 3" xfId="13984"/>
    <cellStyle name="20% - Accent5 3 3 2 3 3 2" xfId="25101"/>
    <cellStyle name="20% - Accent5 3 3 2 3 4" xfId="17713"/>
    <cellStyle name="20% - Accent5 3 3 2 4" xfId="8437"/>
    <cellStyle name="20% - Accent5 3 3 2 4 2" xfId="19560"/>
    <cellStyle name="20% - Accent5 3 3 2 5" xfId="12137"/>
    <cellStyle name="20% - Accent5 3 3 2 5 2" xfId="23254"/>
    <cellStyle name="20% - Accent5 3 3 2 6" xfId="15866"/>
    <cellStyle name="20% - Accent5 3 3 3" xfId="1841"/>
    <cellStyle name="20% - Accent5 3 3 3 2" xfId="5038"/>
    <cellStyle name="20% - Accent5 3 3 3 2 2" xfId="7389"/>
    <cellStyle name="20% - Accent5 3 3 3 2 2 2" xfId="11090"/>
    <cellStyle name="20% - Accent5 3 3 3 2 2 2 2" xfId="22212"/>
    <cellStyle name="20% - Accent5 3 3 3 2 2 3" xfId="14789"/>
    <cellStyle name="20% - Accent5 3 3 3 2 2 3 2" xfId="25906"/>
    <cellStyle name="20% - Accent5 3 3 3 2 2 4" xfId="18518"/>
    <cellStyle name="20% - Accent5 3 3 3 2 3" xfId="9243"/>
    <cellStyle name="20% - Accent5 3 3 3 2 3 2" xfId="20365"/>
    <cellStyle name="20% - Accent5 3 3 3 2 4" xfId="12942"/>
    <cellStyle name="20% - Accent5 3 3 3 2 4 2" xfId="24059"/>
    <cellStyle name="20% - Accent5 3 3 3 2 5" xfId="16671"/>
    <cellStyle name="20% - Accent5 3 3 3 3" xfId="6470"/>
    <cellStyle name="20% - Accent5 3 3 3 3 2" xfId="10172"/>
    <cellStyle name="20% - Accent5 3 3 3 3 2 2" xfId="21294"/>
    <cellStyle name="20% - Accent5 3 3 3 3 3" xfId="13871"/>
    <cellStyle name="20% - Accent5 3 3 3 3 3 2" xfId="24988"/>
    <cellStyle name="20% - Accent5 3 3 3 3 4" xfId="17600"/>
    <cellStyle name="20% - Accent5 3 3 3 4" xfId="8324"/>
    <cellStyle name="20% - Accent5 3 3 3 4 2" xfId="19447"/>
    <cellStyle name="20% - Accent5 3 3 3 5" xfId="12024"/>
    <cellStyle name="20% - Accent5 3 3 3 5 2" xfId="23141"/>
    <cellStyle name="20% - Accent5 3 3 3 6" xfId="15753"/>
    <cellStyle name="20% - Accent5 3 3 4" xfId="2597"/>
    <cellStyle name="20% - Accent5 3 3 4 2" xfId="6734"/>
    <cellStyle name="20% - Accent5 3 3 4 2 2" xfId="10436"/>
    <cellStyle name="20% - Accent5 3 3 4 2 2 2" xfId="21558"/>
    <cellStyle name="20% - Accent5 3 3 4 2 3" xfId="14135"/>
    <cellStyle name="20% - Accent5 3 3 4 2 3 2" xfId="25252"/>
    <cellStyle name="20% - Accent5 3 3 4 2 4" xfId="17864"/>
    <cellStyle name="20% - Accent5 3 3 4 3" xfId="8588"/>
    <cellStyle name="20% - Accent5 3 3 4 3 2" xfId="19711"/>
    <cellStyle name="20% - Accent5 3 3 4 4" xfId="12288"/>
    <cellStyle name="20% - Accent5 3 3 4 4 2" xfId="23405"/>
    <cellStyle name="20% - Accent5 3 3 4 5" xfId="16017"/>
    <cellStyle name="20% - Accent5 3 3 5" xfId="4830"/>
    <cellStyle name="20% - Accent5 3 3 5 2" xfId="7181"/>
    <cellStyle name="20% - Accent5 3 3 5 2 2" xfId="10882"/>
    <cellStyle name="20% - Accent5 3 3 5 2 2 2" xfId="22004"/>
    <cellStyle name="20% - Accent5 3 3 5 2 3" xfId="14581"/>
    <cellStyle name="20% - Accent5 3 3 5 2 3 2" xfId="25698"/>
    <cellStyle name="20% - Accent5 3 3 5 2 4" xfId="18310"/>
    <cellStyle name="20% - Accent5 3 3 5 3" xfId="9035"/>
    <cellStyle name="20% - Accent5 3 3 5 3 2" xfId="20157"/>
    <cellStyle name="20% - Accent5 3 3 5 4" xfId="12734"/>
    <cellStyle name="20% - Accent5 3 3 5 4 2" xfId="23851"/>
    <cellStyle name="20% - Accent5 3 3 5 5" xfId="16463"/>
    <cellStyle name="20% - Accent5 3 3 6" xfId="5328"/>
    <cellStyle name="20% - Accent5 3 3 6 2" xfId="7653"/>
    <cellStyle name="20% - Accent5 3 3 6 2 2" xfId="11354"/>
    <cellStyle name="20% - Accent5 3 3 6 2 2 2" xfId="22476"/>
    <cellStyle name="20% - Accent5 3 3 6 2 3" xfId="15053"/>
    <cellStyle name="20% - Accent5 3 3 6 2 3 2" xfId="26170"/>
    <cellStyle name="20% - Accent5 3 3 6 2 4" xfId="18782"/>
    <cellStyle name="20% - Accent5 3 3 6 3" xfId="9507"/>
    <cellStyle name="20% - Accent5 3 3 6 3 2" xfId="20629"/>
    <cellStyle name="20% - Accent5 3 3 6 4" xfId="13206"/>
    <cellStyle name="20% - Accent5 3 3 6 4 2" xfId="24323"/>
    <cellStyle name="20% - Accent5 3 3 6 5" xfId="16935"/>
    <cellStyle name="20% - Accent5 3 3 7" xfId="6262"/>
    <cellStyle name="20% - Accent5 3 3 7 2" xfId="9964"/>
    <cellStyle name="20% - Accent5 3 3 7 2 2" xfId="21086"/>
    <cellStyle name="20% - Accent5 3 3 7 3" xfId="13663"/>
    <cellStyle name="20% - Accent5 3 3 7 3 2" xfId="24780"/>
    <cellStyle name="20% - Accent5 3 3 7 4" xfId="17392"/>
    <cellStyle name="20% - Accent5 3 3 8" xfId="8116"/>
    <cellStyle name="20% - Accent5 3 3 8 2" xfId="19239"/>
    <cellStyle name="20% - Accent5 3 3 9" xfId="11816"/>
    <cellStyle name="20% - Accent5 3 3 9 2" xfId="22933"/>
    <cellStyle name="20% - Accent5 3 4" xfId="1966"/>
    <cellStyle name="20% - Accent5 3 4 2" xfId="2598"/>
    <cellStyle name="20% - Accent5 3 4 2 2" xfId="6735"/>
    <cellStyle name="20% - Accent5 3 4 2 2 2" xfId="10437"/>
    <cellStyle name="20% - Accent5 3 4 2 2 2 2" xfId="21559"/>
    <cellStyle name="20% - Accent5 3 4 2 2 3" xfId="14136"/>
    <cellStyle name="20% - Accent5 3 4 2 2 3 2" xfId="25253"/>
    <cellStyle name="20% - Accent5 3 4 2 2 4" xfId="17865"/>
    <cellStyle name="20% - Accent5 3 4 2 3" xfId="8589"/>
    <cellStyle name="20% - Accent5 3 4 2 3 2" xfId="19712"/>
    <cellStyle name="20% - Accent5 3 4 2 4" xfId="12289"/>
    <cellStyle name="20% - Accent5 3 4 2 4 2" xfId="23406"/>
    <cellStyle name="20% - Accent5 3 4 2 5" xfId="16018"/>
    <cellStyle name="20% - Accent5 3 4 3" xfId="5148"/>
    <cellStyle name="20% - Accent5 3 4 3 2" xfId="7499"/>
    <cellStyle name="20% - Accent5 3 4 3 2 2" xfId="11200"/>
    <cellStyle name="20% - Accent5 3 4 3 2 2 2" xfId="22322"/>
    <cellStyle name="20% - Accent5 3 4 3 2 3" xfId="14899"/>
    <cellStyle name="20% - Accent5 3 4 3 2 3 2" xfId="26016"/>
    <cellStyle name="20% - Accent5 3 4 3 2 4" xfId="18628"/>
    <cellStyle name="20% - Accent5 3 4 3 3" xfId="9353"/>
    <cellStyle name="20% - Accent5 3 4 3 3 2" xfId="20475"/>
    <cellStyle name="20% - Accent5 3 4 3 4" xfId="13052"/>
    <cellStyle name="20% - Accent5 3 4 3 4 2" xfId="24169"/>
    <cellStyle name="20% - Accent5 3 4 3 5" xfId="16781"/>
    <cellStyle name="20% - Accent5 3 4 4" xfId="5329"/>
    <cellStyle name="20% - Accent5 3 4 4 2" xfId="7654"/>
    <cellStyle name="20% - Accent5 3 4 4 2 2" xfId="11355"/>
    <cellStyle name="20% - Accent5 3 4 4 2 2 2" xfId="22477"/>
    <cellStyle name="20% - Accent5 3 4 4 2 3" xfId="15054"/>
    <cellStyle name="20% - Accent5 3 4 4 2 3 2" xfId="26171"/>
    <cellStyle name="20% - Accent5 3 4 4 2 4" xfId="18783"/>
    <cellStyle name="20% - Accent5 3 4 4 3" xfId="9508"/>
    <cellStyle name="20% - Accent5 3 4 4 3 2" xfId="20630"/>
    <cellStyle name="20% - Accent5 3 4 4 4" xfId="13207"/>
    <cellStyle name="20% - Accent5 3 4 4 4 2" xfId="24324"/>
    <cellStyle name="20% - Accent5 3 4 4 5" xfId="16936"/>
    <cellStyle name="20% - Accent5 3 4 5" xfId="6580"/>
    <cellStyle name="20% - Accent5 3 4 5 2" xfId="10282"/>
    <cellStyle name="20% - Accent5 3 4 5 2 2" xfId="21404"/>
    <cellStyle name="20% - Accent5 3 4 5 3" xfId="13981"/>
    <cellStyle name="20% - Accent5 3 4 5 3 2" xfId="25098"/>
    <cellStyle name="20% - Accent5 3 4 5 4" xfId="17710"/>
    <cellStyle name="20% - Accent5 3 4 6" xfId="8434"/>
    <cellStyle name="20% - Accent5 3 4 6 2" xfId="19557"/>
    <cellStyle name="20% - Accent5 3 4 7" xfId="12134"/>
    <cellStyle name="20% - Accent5 3 4 7 2" xfId="23251"/>
    <cellStyle name="20% - Accent5 3 4 8" xfId="15863"/>
    <cellStyle name="20% - Accent5 3 5" xfId="1737"/>
    <cellStyle name="20% - Accent5 3 5 2" xfId="2599"/>
    <cellStyle name="20% - Accent5 3 5 3" xfId="4934"/>
    <cellStyle name="20% - Accent5 3 5 3 2" xfId="7285"/>
    <cellStyle name="20% - Accent5 3 5 3 2 2" xfId="10986"/>
    <cellStyle name="20% - Accent5 3 5 3 2 2 2" xfId="22108"/>
    <cellStyle name="20% - Accent5 3 5 3 2 3" xfId="14685"/>
    <cellStyle name="20% - Accent5 3 5 3 2 3 2" xfId="25802"/>
    <cellStyle name="20% - Accent5 3 5 3 2 4" xfId="18414"/>
    <cellStyle name="20% - Accent5 3 5 3 3" xfId="9139"/>
    <cellStyle name="20% - Accent5 3 5 3 3 2" xfId="20261"/>
    <cellStyle name="20% - Accent5 3 5 3 4" xfId="12838"/>
    <cellStyle name="20% - Accent5 3 5 3 4 2" xfId="23955"/>
    <cellStyle name="20% - Accent5 3 5 3 5" xfId="16567"/>
    <cellStyle name="20% - Accent5 3 5 4" xfId="6366"/>
    <cellStyle name="20% - Accent5 3 5 4 2" xfId="10068"/>
    <cellStyle name="20% - Accent5 3 5 4 2 2" xfId="21190"/>
    <cellStyle name="20% - Accent5 3 5 4 3" xfId="13767"/>
    <cellStyle name="20% - Accent5 3 5 4 3 2" xfId="24884"/>
    <cellStyle name="20% - Accent5 3 5 4 4" xfId="17496"/>
    <cellStyle name="20% - Accent5 3 5 5" xfId="8220"/>
    <cellStyle name="20% - Accent5 3 5 5 2" xfId="19343"/>
    <cellStyle name="20% - Accent5 3 5 6" xfId="11920"/>
    <cellStyle name="20% - Accent5 3 5 6 2" xfId="23037"/>
    <cellStyle name="20% - Accent5 3 5 7" xfId="15649"/>
    <cellStyle name="20% - Accent5 3 6" xfId="2593"/>
    <cellStyle name="20% - Accent5 3 6 2" xfId="6730"/>
    <cellStyle name="20% - Accent5 3 6 2 2" xfId="10432"/>
    <cellStyle name="20% - Accent5 3 6 2 2 2" xfId="21554"/>
    <cellStyle name="20% - Accent5 3 6 2 3" xfId="14131"/>
    <cellStyle name="20% - Accent5 3 6 2 3 2" xfId="25248"/>
    <cellStyle name="20% - Accent5 3 6 2 4" xfId="17860"/>
    <cellStyle name="20% - Accent5 3 6 3" xfId="8584"/>
    <cellStyle name="20% - Accent5 3 6 3 2" xfId="19707"/>
    <cellStyle name="20% - Accent5 3 6 4" xfId="12284"/>
    <cellStyle name="20% - Accent5 3 6 4 2" xfId="23401"/>
    <cellStyle name="20% - Accent5 3 6 5" xfId="16013"/>
    <cellStyle name="20% - Accent5 3 7" xfId="4725"/>
    <cellStyle name="20% - Accent5 3 7 2" xfId="7077"/>
    <cellStyle name="20% - Accent5 3 7 2 2" xfId="10778"/>
    <cellStyle name="20% - Accent5 3 7 2 2 2" xfId="21900"/>
    <cellStyle name="20% - Accent5 3 7 2 3" xfId="14477"/>
    <cellStyle name="20% - Accent5 3 7 2 3 2" xfId="25594"/>
    <cellStyle name="20% - Accent5 3 7 2 4" xfId="18206"/>
    <cellStyle name="20% - Accent5 3 7 3" xfId="8931"/>
    <cellStyle name="20% - Accent5 3 7 3 2" xfId="20053"/>
    <cellStyle name="20% - Accent5 3 7 4" xfId="12630"/>
    <cellStyle name="20% - Accent5 3 7 4 2" xfId="23747"/>
    <cellStyle name="20% - Accent5 3 7 5" xfId="16359"/>
    <cellStyle name="20% - Accent5 3 8" xfId="5324"/>
    <cellStyle name="20% - Accent5 3 8 2" xfId="7649"/>
    <cellStyle name="20% - Accent5 3 8 2 2" xfId="11350"/>
    <cellStyle name="20% - Accent5 3 8 2 2 2" xfId="22472"/>
    <cellStyle name="20% - Accent5 3 8 2 3" xfId="15049"/>
    <cellStyle name="20% - Accent5 3 8 2 3 2" xfId="26166"/>
    <cellStyle name="20% - Accent5 3 8 2 4" xfId="18778"/>
    <cellStyle name="20% - Accent5 3 8 3" xfId="9503"/>
    <cellStyle name="20% - Accent5 3 8 3 2" xfId="20625"/>
    <cellStyle name="20% - Accent5 3 8 4" xfId="13202"/>
    <cellStyle name="20% - Accent5 3 8 4 2" xfId="24319"/>
    <cellStyle name="20% - Accent5 3 8 5" xfId="16931"/>
    <cellStyle name="20% - Accent5 3 9" xfId="6158"/>
    <cellStyle name="20% - Accent5 3 9 2" xfId="9860"/>
    <cellStyle name="20% - Accent5 3 9 2 2" xfId="20982"/>
    <cellStyle name="20% - Accent5 3 9 3" xfId="13559"/>
    <cellStyle name="20% - Accent5 3 9 3 2" xfId="24676"/>
    <cellStyle name="20% - Accent5 3 9 4" xfId="17288"/>
    <cellStyle name="20% - Accent6" xfId="13" builtinId="50" customBuiltin="1"/>
    <cellStyle name="20% - Accent6 2" xfId="184"/>
    <cellStyle name="20% - Accent6 2 2" xfId="1191"/>
    <cellStyle name="20% - Accent6 2 3" xfId="1192"/>
    <cellStyle name="20% - Accent6 3" xfId="781"/>
    <cellStyle name="20% - Accent6 3 10" xfId="6160"/>
    <cellStyle name="20% - Accent6 3 10 2" xfId="9862"/>
    <cellStyle name="20% - Accent6 3 10 2 2" xfId="20984"/>
    <cellStyle name="20% - Accent6 3 10 3" xfId="13561"/>
    <cellStyle name="20% - Accent6 3 10 3 2" xfId="24678"/>
    <cellStyle name="20% - Accent6 3 10 4" xfId="17290"/>
    <cellStyle name="20% - Accent6 3 11" xfId="8013"/>
    <cellStyle name="20% - Accent6 3 11 2" xfId="19137"/>
    <cellStyle name="20% - Accent6 3 12" xfId="11714"/>
    <cellStyle name="20% - Accent6 3 12 2" xfId="22831"/>
    <cellStyle name="20% - Accent6 3 13" xfId="15443"/>
    <cellStyle name="20% - Accent6 3 2" xfId="1567"/>
    <cellStyle name="20% - Accent6 3 2 10" xfId="11765"/>
    <cellStyle name="20% - Accent6 3 2 10 2" xfId="22882"/>
    <cellStyle name="20% - Accent6 3 2 11" xfId="15494"/>
    <cellStyle name="20% - Accent6 3 2 2" xfId="1686"/>
    <cellStyle name="20% - Accent6 3 2 2 2" xfId="1972"/>
    <cellStyle name="20% - Accent6 3 2 2 2 2" xfId="5154"/>
    <cellStyle name="20% - Accent6 3 2 2 2 2 2" xfId="7505"/>
    <cellStyle name="20% - Accent6 3 2 2 2 2 2 2" xfId="11206"/>
    <cellStyle name="20% - Accent6 3 2 2 2 2 2 2 2" xfId="22328"/>
    <cellStyle name="20% - Accent6 3 2 2 2 2 2 3" xfId="14905"/>
    <cellStyle name="20% - Accent6 3 2 2 2 2 2 3 2" xfId="26022"/>
    <cellStyle name="20% - Accent6 3 2 2 2 2 2 4" xfId="18634"/>
    <cellStyle name="20% - Accent6 3 2 2 2 2 3" xfId="9359"/>
    <cellStyle name="20% - Accent6 3 2 2 2 2 3 2" xfId="20481"/>
    <cellStyle name="20% - Accent6 3 2 2 2 2 4" xfId="13058"/>
    <cellStyle name="20% - Accent6 3 2 2 2 2 4 2" xfId="24175"/>
    <cellStyle name="20% - Accent6 3 2 2 2 2 5" xfId="16787"/>
    <cellStyle name="20% - Accent6 3 2 2 2 3" xfId="6586"/>
    <cellStyle name="20% - Accent6 3 2 2 2 3 2" xfId="10288"/>
    <cellStyle name="20% - Accent6 3 2 2 2 3 2 2" xfId="21410"/>
    <cellStyle name="20% - Accent6 3 2 2 2 3 3" xfId="13987"/>
    <cellStyle name="20% - Accent6 3 2 2 2 3 3 2" xfId="25104"/>
    <cellStyle name="20% - Accent6 3 2 2 2 3 4" xfId="17716"/>
    <cellStyle name="20% - Accent6 3 2 2 2 4" xfId="8440"/>
    <cellStyle name="20% - Accent6 3 2 2 2 4 2" xfId="19563"/>
    <cellStyle name="20% - Accent6 3 2 2 2 5" xfId="12140"/>
    <cellStyle name="20% - Accent6 3 2 2 2 5 2" xfId="23257"/>
    <cellStyle name="20% - Accent6 3 2 2 2 6" xfId="15869"/>
    <cellStyle name="20% - Accent6 3 2 2 3" xfId="1896"/>
    <cellStyle name="20% - Accent6 3 2 2 3 2" xfId="5093"/>
    <cellStyle name="20% - Accent6 3 2 2 3 2 2" xfId="7444"/>
    <cellStyle name="20% - Accent6 3 2 2 3 2 2 2" xfId="11145"/>
    <cellStyle name="20% - Accent6 3 2 2 3 2 2 2 2" xfId="22267"/>
    <cellStyle name="20% - Accent6 3 2 2 3 2 2 3" xfId="14844"/>
    <cellStyle name="20% - Accent6 3 2 2 3 2 2 3 2" xfId="25961"/>
    <cellStyle name="20% - Accent6 3 2 2 3 2 2 4" xfId="18573"/>
    <cellStyle name="20% - Accent6 3 2 2 3 2 3" xfId="9298"/>
    <cellStyle name="20% - Accent6 3 2 2 3 2 3 2" xfId="20420"/>
    <cellStyle name="20% - Accent6 3 2 2 3 2 4" xfId="12997"/>
    <cellStyle name="20% - Accent6 3 2 2 3 2 4 2" xfId="24114"/>
    <cellStyle name="20% - Accent6 3 2 2 3 2 5" xfId="16726"/>
    <cellStyle name="20% - Accent6 3 2 2 3 3" xfId="6525"/>
    <cellStyle name="20% - Accent6 3 2 2 3 3 2" xfId="10227"/>
    <cellStyle name="20% - Accent6 3 2 2 3 3 2 2" xfId="21349"/>
    <cellStyle name="20% - Accent6 3 2 2 3 3 3" xfId="13926"/>
    <cellStyle name="20% - Accent6 3 2 2 3 3 3 2" xfId="25043"/>
    <cellStyle name="20% - Accent6 3 2 2 3 3 4" xfId="17655"/>
    <cellStyle name="20% - Accent6 3 2 2 3 4" xfId="8379"/>
    <cellStyle name="20% - Accent6 3 2 2 3 4 2" xfId="19502"/>
    <cellStyle name="20% - Accent6 3 2 2 3 5" xfId="12079"/>
    <cellStyle name="20% - Accent6 3 2 2 3 5 2" xfId="23196"/>
    <cellStyle name="20% - Accent6 3 2 2 3 6" xfId="15808"/>
    <cellStyle name="20% - Accent6 3 2 2 4" xfId="4885"/>
    <cellStyle name="20% - Accent6 3 2 2 4 2" xfId="7236"/>
    <cellStyle name="20% - Accent6 3 2 2 4 2 2" xfId="10937"/>
    <cellStyle name="20% - Accent6 3 2 2 4 2 2 2" xfId="22059"/>
    <cellStyle name="20% - Accent6 3 2 2 4 2 3" xfId="14636"/>
    <cellStyle name="20% - Accent6 3 2 2 4 2 3 2" xfId="25753"/>
    <cellStyle name="20% - Accent6 3 2 2 4 2 4" xfId="18365"/>
    <cellStyle name="20% - Accent6 3 2 2 4 3" xfId="9090"/>
    <cellStyle name="20% - Accent6 3 2 2 4 3 2" xfId="20212"/>
    <cellStyle name="20% - Accent6 3 2 2 4 4" xfId="12789"/>
    <cellStyle name="20% - Accent6 3 2 2 4 4 2" xfId="23906"/>
    <cellStyle name="20% - Accent6 3 2 2 4 5" xfId="16518"/>
    <cellStyle name="20% - Accent6 3 2 2 5" xfId="6317"/>
    <cellStyle name="20% - Accent6 3 2 2 5 2" xfId="10019"/>
    <cellStyle name="20% - Accent6 3 2 2 5 2 2" xfId="21141"/>
    <cellStyle name="20% - Accent6 3 2 2 5 3" xfId="13718"/>
    <cellStyle name="20% - Accent6 3 2 2 5 3 2" xfId="24835"/>
    <cellStyle name="20% - Accent6 3 2 2 5 4" xfId="17447"/>
    <cellStyle name="20% - Accent6 3 2 2 6" xfId="8171"/>
    <cellStyle name="20% - Accent6 3 2 2 6 2" xfId="19294"/>
    <cellStyle name="20% - Accent6 3 2 2 7" xfId="11871"/>
    <cellStyle name="20% - Accent6 3 2 2 7 2" xfId="22988"/>
    <cellStyle name="20% - Accent6 3 2 2 8" xfId="15600"/>
    <cellStyle name="20% - Accent6 3 2 3" xfId="1971"/>
    <cellStyle name="20% - Accent6 3 2 3 2" xfId="5153"/>
    <cellStyle name="20% - Accent6 3 2 3 2 2" xfId="7504"/>
    <cellStyle name="20% - Accent6 3 2 3 2 2 2" xfId="11205"/>
    <cellStyle name="20% - Accent6 3 2 3 2 2 2 2" xfId="22327"/>
    <cellStyle name="20% - Accent6 3 2 3 2 2 3" xfId="14904"/>
    <cellStyle name="20% - Accent6 3 2 3 2 2 3 2" xfId="26021"/>
    <cellStyle name="20% - Accent6 3 2 3 2 2 4" xfId="18633"/>
    <cellStyle name="20% - Accent6 3 2 3 2 3" xfId="9358"/>
    <cellStyle name="20% - Accent6 3 2 3 2 3 2" xfId="20480"/>
    <cellStyle name="20% - Accent6 3 2 3 2 4" xfId="13057"/>
    <cellStyle name="20% - Accent6 3 2 3 2 4 2" xfId="24174"/>
    <cellStyle name="20% - Accent6 3 2 3 2 5" xfId="16786"/>
    <cellStyle name="20% - Accent6 3 2 3 3" xfId="6585"/>
    <cellStyle name="20% - Accent6 3 2 3 3 2" xfId="10287"/>
    <cellStyle name="20% - Accent6 3 2 3 3 2 2" xfId="21409"/>
    <cellStyle name="20% - Accent6 3 2 3 3 3" xfId="13986"/>
    <cellStyle name="20% - Accent6 3 2 3 3 3 2" xfId="25103"/>
    <cellStyle name="20% - Accent6 3 2 3 3 4" xfId="17715"/>
    <cellStyle name="20% - Accent6 3 2 3 4" xfId="8439"/>
    <cellStyle name="20% - Accent6 3 2 3 4 2" xfId="19562"/>
    <cellStyle name="20% - Accent6 3 2 3 5" xfId="12139"/>
    <cellStyle name="20% - Accent6 3 2 3 5 2" xfId="23256"/>
    <cellStyle name="20% - Accent6 3 2 3 6" xfId="15868"/>
    <cellStyle name="20% - Accent6 3 2 4" xfId="1790"/>
    <cellStyle name="20% - Accent6 3 2 4 2" xfId="4987"/>
    <cellStyle name="20% - Accent6 3 2 4 2 2" xfId="7338"/>
    <cellStyle name="20% - Accent6 3 2 4 2 2 2" xfId="11039"/>
    <cellStyle name="20% - Accent6 3 2 4 2 2 2 2" xfId="22161"/>
    <cellStyle name="20% - Accent6 3 2 4 2 2 3" xfId="14738"/>
    <cellStyle name="20% - Accent6 3 2 4 2 2 3 2" xfId="25855"/>
    <cellStyle name="20% - Accent6 3 2 4 2 2 4" xfId="18467"/>
    <cellStyle name="20% - Accent6 3 2 4 2 3" xfId="9192"/>
    <cellStyle name="20% - Accent6 3 2 4 2 3 2" xfId="20314"/>
    <cellStyle name="20% - Accent6 3 2 4 2 4" xfId="12891"/>
    <cellStyle name="20% - Accent6 3 2 4 2 4 2" xfId="24008"/>
    <cellStyle name="20% - Accent6 3 2 4 2 5" xfId="16620"/>
    <cellStyle name="20% - Accent6 3 2 4 3" xfId="6419"/>
    <cellStyle name="20% - Accent6 3 2 4 3 2" xfId="10121"/>
    <cellStyle name="20% - Accent6 3 2 4 3 2 2" xfId="21243"/>
    <cellStyle name="20% - Accent6 3 2 4 3 3" xfId="13820"/>
    <cellStyle name="20% - Accent6 3 2 4 3 3 2" xfId="24937"/>
    <cellStyle name="20% - Accent6 3 2 4 3 4" xfId="17549"/>
    <cellStyle name="20% - Accent6 3 2 4 4" xfId="8273"/>
    <cellStyle name="20% - Accent6 3 2 4 4 2" xfId="19396"/>
    <cellStyle name="20% - Accent6 3 2 4 5" xfId="11973"/>
    <cellStyle name="20% - Accent6 3 2 4 5 2" xfId="23090"/>
    <cellStyle name="20% - Accent6 3 2 4 6" xfId="15702"/>
    <cellStyle name="20% - Accent6 3 2 5" xfId="2601"/>
    <cellStyle name="20% - Accent6 3 2 5 2" xfId="6737"/>
    <cellStyle name="20% - Accent6 3 2 5 2 2" xfId="10439"/>
    <cellStyle name="20% - Accent6 3 2 5 2 2 2" xfId="21561"/>
    <cellStyle name="20% - Accent6 3 2 5 2 3" xfId="14138"/>
    <cellStyle name="20% - Accent6 3 2 5 2 3 2" xfId="25255"/>
    <cellStyle name="20% - Accent6 3 2 5 2 4" xfId="17867"/>
    <cellStyle name="20% - Accent6 3 2 5 3" xfId="8591"/>
    <cellStyle name="20% - Accent6 3 2 5 3 2" xfId="19714"/>
    <cellStyle name="20% - Accent6 3 2 5 4" xfId="12291"/>
    <cellStyle name="20% - Accent6 3 2 5 4 2" xfId="23408"/>
    <cellStyle name="20% - Accent6 3 2 5 5" xfId="16020"/>
    <cellStyle name="20% - Accent6 3 2 6" xfId="4779"/>
    <cellStyle name="20% - Accent6 3 2 6 2" xfId="7130"/>
    <cellStyle name="20% - Accent6 3 2 6 2 2" xfId="10831"/>
    <cellStyle name="20% - Accent6 3 2 6 2 2 2" xfId="21953"/>
    <cellStyle name="20% - Accent6 3 2 6 2 3" xfId="14530"/>
    <cellStyle name="20% - Accent6 3 2 6 2 3 2" xfId="25647"/>
    <cellStyle name="20% - Accent6 3 2 6 2 4" xfId="18259"/>
    <cellStyle name="20% - Accent6 3 2 6 3" xfId="8984"/>
    <cellStyle name="20% - Accent6 3 2 6 3 2" xfId="20106"/>
    <cellStyle name="20% - Accent6 3 2 6 4" xfId="12683"/>
    <cellStyle name="20% - Accent6 3 2 6 4 2" xfId="23800"/>
    <cellStyle name="20% - Accent6 3 2 6 5" xfId="16412"/>
    <cellStyle name="20% - Accent6 3 2 7" xfId="5331"/>
    <cellStyle name="20% - Accent6 3 2 7 2" xfId="7656"/>
    <cellStyle name="20% - Accent6 3 2 7 2 2" xfId="11357"/>
    <cellStyle name="20% - Accent6 3 2 7 2 2 2" xfId="22479"/>
    <cellStyle name="20% - Accent6 3 2 7 2 3" xfId="15056"/>
    <cellStyle name="20% - Accent6 3 2 7 2 3 2" xfId="26173"/>
    <cellStyle name="20% - Accent6 3 2 7 2 4" xfId="18785"/>
    <cellStyle name="20% - Accent6 3 2 7 3" xfId="9510"/>
    <cellStyle name="20% - Accent6 3 2 7 3 2" xfId="20632"/>
    <cellStyle name="20% - Accent6 3 2 7 4" xfId="13209"/>
    <cellStyle name="20% - Accent6 3 2 7 4 2" xfId="24326"/>
    <cellStyle name="20% - Accent6 3 2 7 5" xfId="16938"/>
    <cellStyle name="20% - Accent6 3 2 8" xfId="6211"/>
    <cellStyle name="20% - Accent6 3 2 8 2" xfId="9913"/>
    <cellStyle name="20% - Accent6 3 2 8 2 2" xfId="21035"/>
    <cellStyle name="20% - Accent6 3 2 8 3" xfId="13612"/>
    <cellStyle name="20% - Accent6 3 2 8 3 2" xfId="24729"/>
    <cellStyle name="20% - Accent6 3 2 8 4" xfId="17341"/>
    <cellStyle name="20% - Accent6 3 2 9" xfId="8065"/>
    <cellStyle name="20% - Accent6 3 2 9 2" xfId="19188"/>
    <cellStyle name="20% - Accent6 3 3" xfId="1630"/>
    <cellStyle name="20% - Accent6 3 3 10" xfId="15547"/>
    <cellStyle name="20% - Accent6 3 3 2" xfId="1973"/>
    <cellStyle name="20% - Accent6 3 3 2 2" xfId="5155"/>
    <cellStyle name="20% - Accent6 3 3 2 2 2" xfId="7506"/>
    <cellStyle name="20% - Accent6 3 3 2 2 2 2" xfId="11207"/>
    <cellStyle name="20% - Accent6 3 3 2 2 2 2 2" xfId="22329"/>
    <cellStyle name="20% - Accent6 3 3 2 2 2 3" xfId="14906"/>
    <cellStyle name="20% - Accent6 3 3 2 2 2 3 2" xfId="26023"/>
    <cellStyle name="20% - Accent6 3 3 2 2 2 4" xfId="18635"/>
    <cellStyle name="20% - Accent6 3 3 2 2 3" xfId="9360"/>
    <cellStyle name="20% - Accent6 3 3 2 2 3 2" xfId="20482"/>
    <cellStyle name="20% - Accent6 3 3 2 2 4" xfId="13059"/>
    <cellStyle name="20% - Accent6 3 3 2 2 4 2" xfId="24176"/>
    <cellStyle name="20% - Accent6 3 3 2 2 5" xfId="16788"/>
    <cellStyle name="20% - Accent6 3 3 2 3" xfId="6587"/>
    <cellStyle name="20% - Accent6 3 3 2 3 2" xfId="10289"/>
    <cellStyle name="20% - Accent6 3 3 2 3 2 2" xfId="21411"/>
    <cellStyle name="20% - Accent6 3 3 2 3 3" xfId="13988"/>
    <cellStyle name="20% - Accent6 3 3 2 3 3 2" xfId="25105"/>
    <cellStyle name="20% - Accent6 3 3 2 3 4" xfId="17717"/>
    <cellStyle name="20% - Accent6 3 3 2 4" xfId="8441"/>
    <cellStyle name="20% - Accent6 3 3 2 4 2" xfId="19564"/>
    <cellStyle name="20% - Accent6 3 3 2 5" xfId="12141"/>
    <cellStyle name="20% - Accent6 3 3 2 5 2" xfId="23258"/>
    <cellStyle name="20% - Accent6 3 3 2 6" xfId="15870"/>
    <cellStyle name="20% - Accent6 3 3 3" xfId="1843"/>
    <cellStyle name="20% - Accent6 3 3 3 2" xfId="5040"/>
    <cellStyle name="20% - Accent6 3 3 3 2 2" xfId="7391"/>
    <cellStyle name="20% - Accent6 3 3 3 2 2 2" xfId="11092"/>
    <cellStyle name="20% - Accent6 3 3 3 2 2 2 2" xfId="22214"/>
    <cellStyle name="20% - Accent6 3 3 3 2 2 3" xfId="14791"/>
    <cellStyle name="20% - Accent6 3 3 3 2 2 3 2" xfId="25908"/>
    <cellStyle name="20% - Accent6 3 3 3 2 2 4" xfId="18520"/>
    <cellStyle name="20% - Accent6 3 3 3 2 3" xfId="9245"/>
    <cellStyle name="20% - Accent6 3 3 3 2 3 2" xfId="20367"/>
    <cellStyle name="20% - Accent6 3 3 3 2 4" xfId="12944"/>
    <cellStyle name="20% - Accent6 3 3 3 2 4 2" xfId="24061"/>
    <cellStyle name="20% - Accent6 3 3 3 2 5" xfId="16673"/>
    <cellStyle name="20% - Accent6 3 3 3 3" xfId="6472"/>
    <cellStyle name="20% - Accent6 3 3 3 3 2" xfId="10174"/>
    <cellStyle name="20% - Accent6 3 3 3 3 2 2" xfId="21296"/>
    <cellStyle name="20% - Accent6 3 3 3 3 3" xfId="13873"/>
    <cellStyle name="20% - Accent6 3 3 3 3 3 2" xfId="24990"/>
    <cellStyle name="20% - Accent6 3 3 3 3 4" xfId="17602"/>
    <cellStyle name="20% - Accent6 3 3 3 4" xfId="8326"/>
    <cellStyle name="20% - Accent6 3 3 3 4 2" xfId="19449"/>
    <cellStyle name="20% - Accent6 3 3 3 5" xfId="12026"/>
    <cellStyle name="20% - Accent6 3 3 3 5 2" xfId="23143"/>
    <cellStyle name="20% - Accent6 3 3 3 6" xfId="15755"/>
    <cellStyle name="20% - Accent6 3 3 4" xfId="2602"/>
    <cellStyle name="20% - Accent6 3 3 4 2" xfId="6738"/>
    <cellStyle name="20% - Accent6 3 3 4 2 2" xfId="10440"/>
    <cellStyle name="20% - Accent6 3 3 4 2 2 2" xfId="21562"/>
    <cellStyle name="20% - Accent6 3 3 4 2 3" xfId="14139"/>
    <cellStyle name="20% - Accent6 3 3 4 2 3 2" xfId="25256"/>
    <cellStyle name="20% - Accent6 3 3 4 2 4" xfId="17868"/>
    <cellStyle name="20% - Accent6 3 3 4 3" xfId="8592"/>
    <cellStyle name="20% - Accent6 3 3 4 3 2" xfId="19715"/>
    <cellStyle name="20% - Accent6 3 3 4 4" xfId="12292"/>
    <cellStyle name="20% - Accent6 3 3 4 4 2" xfId="23409"/>
    <cellStyle name="20% - Accent6 3 3 4 5" xfId="16021"/>
    <cellStyle name="20% - Accent6 3 3 5" xfId="4832"/>
    <cellStyle name="20% - Accent6 3 3 5 2" xfId="7183"/>
    <cellStyle name="20% - Accent6 3 3 5 2 2" xfId="10884"/>
    <cellStyle name="20% - Accent6 3 3 5 2 2 2" xfId="22006"/>
    <cellStyle name="20% - Accent6 3 3 5 2 3" xfId="14583"/>
    <cellStyle name="20% - Accent6 3 3 5 2 3 2" xfId="25700"/>
    <cellStyle name="20% - Accent6 3 3 5 2 4" xfId="18312"/>
    <cellStyle name="20% - Accent6 3 3 5 3" xfId="9037"/>
    <cellStyle name="20% - Accent6 3 3 5 3 2" xfId="20159"/>
    <cellStyle name="20% - Accent6 3 3 5 4" xfId="12736"/>
    <cellStyle name="20% - Accent6 3 3 5 4 2" xfId="23853"/>
    <cellStyle name="20% - Accent6 3 3 5 5" xfId="16465"/>
    <cellStyle name="20% - Accent6 3 3 6" xfId="5332"/>
    <cellStyle name="20% - Accent6 3 3 6 2" xfId="7657"/>
    <cellStyle name="20% - Accent6 3 3 6 2 2" xfId="11358"/>
    <cellStyle name="20% - Accent6 3 3 6 2 2 2" xfId="22480"/>
    <cellStyle name="20% - Accent6 3 3 6 2 3" xfId="15057"/>
    <cellStyle name="20% - Accent6 3 3 6 2 3 2" xfId="26174"/>
    <cellStyle name="20% - Accent6 3 3 6 2 4" xfId="18786"/>
    <cellStyle name="20% - Accent6 3 3 6 3" xfId="9511"/>
    <cellStyle name="20% - Accent6 3 3 6 3 2" xfId="20633"/>
    <cellStyle name="20% - Accent6 3 3 6 4" xfId="13210"/>
    <cellStyle name="20% - Accent6 3 3 6 4 2" xfId="24327"/>
    <cellStyle name="20% - Accent6 3 3 6 5" xfId="16939"/>
    <cellStyle name="20% - Accent6 3 3 7" xfId="6264"/>
    <cellStyle name="20% - Accent6 3 3 7 2" xfId="9966"/>
    <cellStyle name="20% - Accent6 3 3 7 2 2" xfId="21088"/>
    <cellStyle name="20% - Accent6 3 3 7 3" xfId="13665"/>
    <cellStyle name="20% - Accent6 3 3 7 3 2" xfId="24782"/>
    <cellStyle name="20% - Accent6 3 3 7 4" xfId="17394"/>
    <cellStyle name="20% - Accent6 3 3 8" xfId="8118"/>
    <cellStyle name="20% - Accent6 3 3 8 2" xfId="19241"/>
    <cellStyle name="20% - Accent6 3 3 9" xfId="11818"/>
    <cellStyle name="20% - Accent6 3 3 9 2" xfId="22935"/>
    <cellStyle name="20% - Accent6 3 4" xfId="1970"/>
    <cellStyle name="20% - Accent6 3 4 2" xfId="2603"/>
    <cellStyle name="20% - Accent6 3 4 3" xfId="5152"/>
    <cellStyle name="20% - Accent6 3 4 3 2" xfId="7503"/>
    <cellStyle name="20% - Accent6 3 4 3 2 2" xfId="11204"/>
    <cellStyle name="20% - Accent6 3 4 3 2 2 2" xfId="22326"/>
    <cellStyle name="20% - Accent6 3 4 3 2 3" xfId="14903"/>
    <cellStyle name="20% - Accent6 3 4 3 2 3 2" xfId="26020"/>
    <cellStyle name="20% - Accent6 3 4 3 2 4" xfId="18632"/>
    <cellStyle name="20% - Accent6 3 4 3 3" xfId="9357"/>
    <cellStyle name="20% - Accent6 3 4 3 3 2" xfId="20479"/>
    <cellStyle name="20% - Accent6 3 4 3 4" xfId="13056"/>
    <cellStyle name="20% - Accent6 3 4 3 4 2" xfId="24173"/>
    <cellStyle name="20% - Accent6 3 4 3 5" xfId="16785"/>
    <cellStyle name="20% - Accent6 3 4 4" xfId="6584"/>
    <cellStyle name="20% - Accent6 3 4 4 2" xfId="10286"/>
    <cellStyle name="20% - Accent6 3 4 4 2 2" xfId="21408"/>
    <cellStyle name="20% - Accent6 3 4 4 3" xfId="13985"/>
    <cellStyle name="20% - Accent6 3 4 4 3 2" xfId="25102"/>
    <cellStyle name="20% - Accent6 3 4 4 4" xfId="17714"/>
    <cellStyle name="20% - Accent6 3 4 5" xfId="8438"/>
    <cellStyle name="20% - Accent6 3 4 5 2" xfId="19561"/>
    <cellStyle name="20% - Accent6 3 4 6" xfId="12138"/>
    <cellStyle name="20% - Accent6 3 4 6 2" xfId="23255"/>
    <cellStyle name="20% - Accent6 3 4 7" xfId="15867"/>
    <cellStyle name="20% - Accent6 3 5" xfId="1739"/>
    <cellStyle name="20% - Accent6 3 5 2" xfId="4936"/>
    <cellStyle name="20% - Accent6 3 5 2 2" xfId="7287"/>
    <cellStyle name="20% - Accent6 3 5 2 2 2" xfId="10988"/>
    <cellStyle name="20% - Accent6 3 5 2 2 2 2" xfId="22110"/>
    <cellStyle name="20% - Accent6 3 5 2 2 3" xfId="14687"/>
    <cellStyle name="20% - Accent6 3 5 2 2 3 2" xfId="25804"/>
    <cellStyle name="20% - Accent6 3 5 2 2 4" xfId="18416"/>
    <cellStyle name="20% - Accent6 3 5 2 3" xfId="9141"/>
    <cellStyle name="20% - Accent6 3 5 2 3 2" xfId="20263"/>
    <cellStyle name="20% - Accent6 3 5 2 4" xfId="12840"/>
    <cellStyle name="20% - Accent6 3 5 2 4 2" xfId="23957"/>
    <cellStyle name="20% - Accent6 3 5 2 5" xfId="16569"/>
    <cellStyle name="20% - Accent6 3 5 3" xfId="6368"/>
    <cellStyle name="20% - Accent6 3 5 3 2" xfId="10070"/>
    <cellStyle name="20% - Accent6 3 5 3 2 2" xfId="21192"/>
    <cellStyle name="20% - Accent6 3 5 3 3" xfId="13769"/>
    <cellStyle name="20% - Accent6 3 5 3 3 2" xfId="24886"/>
    <cellStyle name="20% - Accent6 3 5 3 4" xfId="17498"/>
    <cellStyle name="20% - Accent6 3 5 4" xfId="8222"/>
    <cellStyle name="20% - Accent6 3 5 4 2" xfId="19345"/>
    <cellStyle name="20% - Accent6 3 5 5" xfId="11922"/>
    <cellStyle name="20% - Accent6 3 5 5 2" xfId="23039"/>
    <cellStyle name="20% - Accent6 3 5 6" xfId="15651"/>
    <cellStyle name="20% - Accent6 3 6" xfId="2600"/>
    <cellStyle name="20% - Accent6 3 6 2" xfId="6736"/>
    <cellStyle name="20% - Accent6 3 6 2 2" xfId="10438"/>
    <cellStyle name="20% - Accent6 3 6 2 2 2" xfId="21560"/>
    <cellStyle name="20% - Accent6 3 6 2 3" xfId="14137"/>
    <cellStyle name="20% - Accent6 3 6 2 3 2" xfId="25254"/>
    <cellStyle name="20% - Accent6 3 6 2 4" xfId="17866"/>
    <cellStyle name="20% - Accent6 3 6 3" xfId="8590"/>
    <cellStyle name="20% - Accent6 3 6 3 2" xfId="19713"/>
    <cellStyle name="20% - Accent6 3 6 4" xfId="12290"/>
    <cellStyle name="20% - Accent6 3 6 4 2" xfId="23407"/>
    <cellStyle name="20% - Accent6 3 6 5" xfId="16019"/>
    <cellStyle name="20% - Accent6 3 7" xfId="4727"/>
    <cellStyle name="20% - Accent6 3 7 2" xfId="7079"/>
    <cellStyle name="20% - Accent6 3 7 2 2" xfId="10780"/>
    <cellStyle name="20% - Accent6 3 7 2 2 2" xfId="21902"/>
    <cellStyle name="20% - Accent6 3 7 2 3" xfId="14479"/>
    <cellStyle name="20% - Accent6 3 7 2 3 2" xfId="25596"/>
    <cellStyle name="20% - Accent6 3 7 2 4" xfId="18208"/>
    <cellStyle name="20% - Accent6 3 7 3" xfId="8933"/>
    <cellStyle name="20% - Accent6 3 7 3 2" xfId="20055"/>
    <cellStyle name="20% - Accent6 3 7 4" xfId="12632"/>
    <cellStyle name="20% - Accent6 3 7 4 2" xfId="23749"/>
    <cellStyle name="20% - Accent6 3 7 5" xfId="16361"/>
    <cellStyle name="20% - Accent6 3 8" xfId="5330"/>
    <cellStyle name="20% - Accent6 3 8 2" xfId="7655"/>
    <cellStyle name="20% - Accent6 3 8 2 2" xfId="11356"/>
    <cellStyle name="20% - Accent6 3 8 2 2 2" xfId="22478"/>
    <cellStyle name="20% - Accent6 3 8 2 3" xfId="15055"/>
    <cellStyle name="20% - Accent6 3 8 2 3 2" xfId="26172"/>
    <cellStyle name="20% - Accent6 3 8 2 4" xfId="18784"/>
    <cellStyle name="20% - Accent6 3 8 3" xfId="9509"/>
    <cellStyle name="20% - Accent6 3 8 3 2" xfId="20631"/>
    <cellStyle name="20% - Accent6 3 8 4" xfId="13208"/>
    <cellStyle name="20% - Accent6 3 8 4 2" xfId="24325"/>
    <cellStyle name="20% - Accent6 3 8 5" xfId="16937"/>
    <cellStyle name="20% - Accent6 3 9" xfId="5410"/>
    <cellStyle name="20% - Accent6 4" xfId="2604"/>
    <cellStyle name="20% - Accent6 4 2" xfId="5334"/>
    <cellStyle name="20% - Accent6 4 2 2" xfId="7658"/>
    <cellStyle name="20% - Accent6 4 2 2 2" xfId="11359"/>
    <cellStyle name="20% - Accent6 4 2 2 2 2" xfId="22481"/>
    <cellStyle name="20% - Accent6 4 2 2 3" xfId="15058"/>
    <cellStyle name="20% - Accent6 4 2 2 3 2" xfId="26175"/>
    <cellStyle name="20% - Accent6 4 2 2 4" xfId="18787"/>
    <cellStyle name="20% - Accent6 4 2 3" xfId="9512"/>
    <cellStyle name="20% - Accent6 4 2 3 2" xfId="20634"/>
    <cellStyle name="20% - Accent6 4 2 4" xfId="13211"/>
    <cellStyle name="20% - Accent6 4 2 4 2" xfId="24328"/>
    <cellStyle name="20% - Accent6 4 2 5" xfId="16940"/>
    <cellStyle name="20% - Accent6 4 3" xfId="6739"/>
    <cellStyle name="20% - Accent6 4 3 2" xfId="10441"/>
    <cellStyle name="20% - Accent6 4 3 2 2" xfId="21563"/>
    <cellStyle name="20% - Accent6 4 3 3" xfId="14140"/>
    <cellStyle name="20% - Accent6 4 3 3 2" xfId="25257"/>
    <cellStyle name="20% - Accent6 4 3 4" xfId="17869"/>
    <cellStyle name="20% - Accent6 4 4" xfId="8593"/>
    <cellStyle name="20% - Accent6 4 4 2" xfId="19716"/>
    <cellStyle name="20% - Accent6 4 5" xfId="12293"/>
    <cellStyle name="20% - Accent6 4 5 2" xfId="23410"/>
    <cellStyle name="20% - Accent6 4 6" xfId="16022"/>
    <cellStyle name="20% - Accent6 5" xfId="2605"/>
    <cellStyle name="20% - Accent6 5 2" xfId="5335"/>
    <cellStyle name="20% - Accent6 5 2 2" xfId="7659"/>
    <cellStyle name="20% - Accent6 5 2 2 2" xfId="11360"/>
    <cellStyle name="20% - Accent6 5 2 2 2 2" xfId="22482"/>
    <cellStyle name="20% - Accent6 5 2 2 3" xfId="15059"/>
    <cellStyle name="20% - Accent6 5 2 2 3 2" xfId="26176"/>
    <cellStyle name="20% - Accent6 5 2 2 4" xfId="18788"/>
    <cellStyle name="20% - Accent6 5 2 3" xfId="9513"/>
    <cellStyle name="20% - Accent6 5 2 3 2" xfId="20635"/>
    <cellStyle name="20% - Accent6 5 2 4" xfId="13212"/>
    <cellStyle name="20% - Accent6 5 2 4 2" xfId="24329"/>
    <cellStyle name="20% - Accent6 5 2 5" xfId="16941"/>
    <cellStyle name="20% - Accent6 5 3" xfId="6740"/>
    <cellStyle name="20% - Accent6 5 3 2" xfId="10442"/>
    <cellStyle name="20% - Accent6 5 3 2 2" xfId="21564"/>
    <cellStyle name="20% - Accent6 5 3 3" xfId="14141"/>
    <cellStyle name="20% - Accent6 5 3 3 2" xfId="25258"/>
    <cellStyle name="20% - Accent6 5 3 4" xfId="17870"/>
    <cellStyle name="20% - Accent6 5 4" xfId="8594"/>
    <cellStyle name="20% - Accent6 5 4 2" xfId="19717"/>
    <cellStyle name="20% - Accent6 5 5" xfId="12294"/>
    <cellStyle name="20% - Accent6 5 5 2" xfId="23411"/>
    <cellStyle name="20% - Accent6 5 6" xfId="16023"/>
    <cellStyle name="20% - Accent6 6" xfId="2606"/>
    <cellStyle name="20% - Accent6 6 2" xfId="5336"/>
    <cellStyle name="20% - Accent6 6 2 2" xfId="7660"/>
    <cellStyle name="20% - Accent6 6 2 2 2" xfId="11361"/>
    <cellStyle name="20% - Accent6 6 2 2 2 2" xfId="22483"/>
    <cellStyle name="20% - Accent6 6 2 2 3" xfId="15060"/>
    <cellStyle name="20% - Accent6 6 2 2 3 2" xfId="26177"/>
    <cellStyle name="20% - Accent6 6 2 2 4" xfId="18789"/>
    <cellStyle name="20% - Accent6 6 2 3" xfId="9514"/>
    <cellStyle name="20% - Accent6 6 2 3 2" xfId="20636"/>
    <cellStyle name="20% - Accent6 6 2 4" xfId="13213"/>
    <cellStyle name="20% - Accent6 6 2 4 2" xfId="24330"/>
    <cellStyle name="20% - Accent6 6 2 5" xfId="16942"/>
    <cellStyle name="20% - Accent6 6 3" xfId="6741"/>
    <cellStyle name="20% - Accent6 6 3 2" xfId="10443"/>
    <cellStyle name="20% - Accent6 6 3 2 2" xfId="21565"/>
    <cellStyle name="20% - Accent6 6 3 3" xfId="14142"/>
    <cellStyle name="20% - Accent6 6 3 3 2" xfId="25259"/>
    <cellStyle name="20% - Accent6 6 3 4" xfId="17871"/>
    <cellStyle name="20% - Accent6 6 4" xfId="8595"/>
    <cellStyle name="20% - Accent6 6 4 2" xfId="19718"/>
    <cellStyle name="20% - Accent6 6 5" xfId="12295"/>
    <cellStyle name="20% - Accent6 6 5 2" xfId="23412"/>
    <cellStyle name="20% - Accent6 6 6" xfId="16024"/>
    <cellStyle name="3232" xfId="1974"/>
    <cellStyle name="3232 2" xfId="1975"/>
    <cellStyle name="³f¹ô [0]_2311" xfId="4546"/>
    <cellStyle name="³f¹ô_2311" xfId="4547"/>
    <cellStyle name="40% - Accent1" xfId="14" builtinId="31" customBuiltin="1"/>
    <cellStyle name="40% - Accent1 2" xfId="185"/>
    <cellStyle name="40% - Accent1 2 2" xfId="1186"/>
    <cellStyle name="40% - Accent1 2 3" xfId="1187"/>
    <cellStyle name="40% - Accent1 3" xfId="762"/>
    <cellStyle name="40% - Accent1 3 10" xfId="6151"/>
    <cellStyle name="40% - Accent1 3 10 2" xfId="9853"/>
    <cellStyle name="40% - Accent1 3 10 2 2" xfId="20975"/>
    <cellStyle name="40% - Accent1 3 10 3" xfId="13552"/>
    <cellStyle name="40% - Accent1 3 10 3 2" xfId="24669"/>
    <cellStyle name="40% - Accent1 3 10 4" xfId="17281"/>
    <cellStyle name="40% - Accent1 3 11" xfId="8004"/>
    <cellStyle name="40% - Accent1 3 11 2" xfId="19128"/>
    <cellStyle name="40% - Accent1 3 12" xfId="11705"/>
    <cellStyle name="40% - Accent1 3 12 2" xfId="22822"/>
    <cellStyle name="40% - Accent1 3 13" xfId="15434"/>
    <cellStyle name="40% - Accent1 3 2" xfId="1558"/>
    <cellStyle name="40% - Accent1 3 2 10" xfId="11756"/>
    <cellStyle name="40% - Accent1 3 2 10 2" xfId="22873"/>
    <cellStyle name="40% - Accent1 3 2 11" xfId="15485"/>
    <cellStyle name="40% - Accent1 3 2 2" xfId="1615"/>
    <cellStyle name="40% - Accent1 3 2 2 10" xfId="15533"/>
    <cellStyle name="40% - Accent1 3 2 2 2" xfId="1978"/>
    <cellStyle name="40% - Accent1 3 2 2 2 2" xfId="5158"/>
    <cellStyle name="40% - Accent1 3 2 2 2 2 2" xfId="7509"/>
    <cellStyle name="40% - Accent1 3 2 2 2 2 2 2" xfId="11210"/>
    <cellStyle name="40% - Accent1 3 2 2 2 2 2 2 2" xfId="22332"/>
    <cellStyle name="40% - Accent1 3 2 2 2 2 2 3" xfId="14909"/>
    <cellStyle name="40% - Accent1 3 2 2 2 2 2 3 2" xfId="26026"/>
    <cellStyle name="40% - Accent1 3 2 2 2 2 2 4" xfId="18638"/>
    <cellStyle name="40% - Accent1 3 2 2 2 2 3" xfId="9363"/>
    <cellStyle name="40% - Accent1 3 2 2 2 2 3 2" xfId="20485"/>
    <cellStyle name="40% - Accent1 3 2 2 2 2 4" xfId="13062"/>
    <cellStyle name="40% - Accent1 3 2 2 2 2 4 2" xfId="24179"/>
    <cellStyle name="40% - Accent1 3 2 2 2 2 5" xfId="16791"/>
    <cellStyle name="40% - Accent1 3 2 2 2 3" xfId="6590"/>
    <cellStyle name="40% - Accent1 3 2 2 2 3 2" xfId="10292"/>
    <cellStyle name="40% - Accent1 3 2 2 2 3 2 2" xfId="21414"/>
    <cellStyle name="40% - Accent1 3 2 2 2 3 3" xfId="13991"/>
    <cellStyle name="40% - Accent1 3 2 2 2 3 3 2" xfId="25108"/>
    <cellStyle name="40% - Accent1 3 2 2 2 3 4" xfId="17720"/>
    <cellStyle name="40% - Accent1 3 2 2 2 4" xfId="8444"/>
    <cellStyle name="40% - Accent1 3 2 2 2 4 2" xfId="19567"/>
    <cellStyle name="40% - Accent1 3 2 2 2 5" xfId="12144"/>
    <cellStyle name="40% - Accent1 3 2 2 2 5 2" xfId="23261"/>
    <cellStyle name="40% - Accent1 3 2 2 2 6" xfId="15873"/>
    <cellStyle name="40% - Accent1 3 2 2 3" xfId="1829"/>
    <cellStyle name="40% - Accent1 3 2 2 3 2" xfId="5026"/>
    <cellStyle name="40% - Accent1 3 2 2 3 2 2" xfId="7377"/>
    <cellStyle name="40% - Accent1 3 2 2 3 2 2 2" xfId="11078"/>
    <cellStyle name="40% - Accent1 3 2 2 3 2 2 2 2" xfId="22200"/>
    <cellStyle name="40% - Accent1 3 2 2 3 2 2 3" xfId="14777"/>
    <cellStyle name="40% - Accent1 3 2 2 3 2 2 3 2" xfId="25894"/>
    <cellStyle name="40% - Accent1 3 2 2 3 2 2 4" xfId="18506"/>
    <cellStyle name="40% - Accent1 3 2 2 3 2 3" xfId="9231"/>
    <cellStyle name="40% - Accent1 3 2 2 3 2 3 2" xfId="20353"/>
    <cellStyle name="40% - Accent1 3 2 2 3 2 4" xfId="12930"/>
    <cellStyle name="40% - Accent1 3 2 2 3 2 4 2" xfId="24047"/>
    <cellStyle name="40% - Accent1 3 2 2 3 2 5" xfId="16659"/>
    <cellStyle name="40% - Accent1 3 2 2 3 3" xfId="6458"/>
    <cellStyle name="40% - Accent1 3 2 2 3 3 2" xfId="10160"/>
    <cellStyle name="40% - Accent1 3 2 2 3 3 2 2" xfId="21282"/>
    <cellStyle name="40% - Accent1 3 2 2 3 3 3" xfId="13859"/>
    <cellStyle name="40% - Accent1 3 2 2 3 3 3 2" xfId="24976"/>
    <cellStyle name="40% - Accent1 3 2 2 3 3 4" xfId="17588"/>
    <cellStyle name="40% - Accent1 3 2 2 3 4" xfId="8312"/>
    <cellStyle name="40% - Accent1 3 2 2 3 4 2" xfId="19435"/>
    <cellStyle name="40% - Accent1 3 2 2 3 5" xfId="12012"/>
    <cellStyle name="40% - Accent1 3 2 2 3 5 2" xfId="23129"/>
    <cellStyle name="40% - Accent1 3 2 2 3 6" xfId="15741"/>
    <cellStyle name="40% - Accent1 3 2 2 4" xfId="2609"/>
    <cellStyle name="40% - Accent1 3 2 2 4 2" xfId="6744"/>
    <cellStyle name="40% - Accent1 3 2 2 4 2 2" xfId="10446"/>
    <cellStyle name="40% - Accent1 3 2 2 4 2 2 2" xfId="21568"/>
    <cellStyle name="40% - Accent1 3 2 2 4 2 3" xfId="14145"/>
    <cellStyle name="40% - Accent1 3 2 2 4 2 3 2" xfId="25262"/>
    <cellStyle name="40% - Accent1 3 2 2 4 2 4" xfId="17874"/>
    <cellStyle name="40% - Accent1 3 2 2 4 3" xfId="8598"/>
    <cellStyle name="40% - Accent1 3 2 2 4 3 2" xfId="19721"/>
    <cellStyle name="40% - Accent1 3 2 2 4 4" xfId="12298"/>
    <cellStyle name="40% - Accent1 3 2 2 4 4 2" xfId="23415"/>
    <cellStyle name="40% - Accent1 3 2 2 4 5" xfId="16027"/>
    <cellStyle name="40% - Accent1 3 2 2 5" xfId="4818"/>
    <cellStyle name="40% - Accent1 3 2 2 5 2" xfId="7169"/>
    <cellStyle name="40% - Accent1 3 2 2 5 2 2" xfId="10870"/>
    <cellStyle name="40% - Accent1 3 2 2 5 2 2 2" xfId="21992"/>
    <cellStyle name="40% - Accent1 3 2 2 5 2 3" xfId="14569"/>
    <cellStyle name="40% - Accent1 3 2 2 5 2 3 2" xfId="25686"/>
    <cellStyle name="40% - Accent1 3 2 2 5 2 4" xfId="18298"/>
    <cellStyle name="40% - Accent1 3 2 2 5 3" xfId="9023"/>
    <cellStyle name="40% - Accent1 3 2 2 5 3 2" xfId="20145"/>
    <cellStyle name="40% - Accent1 3 2 2 5 4" xfId="12722"/>
    <cellStyle name="40% - Accent1 3 2 2 5 4 2" xfId="23839"/>
    <cellStyle name="40% - Accent1 3 2 2 5 5" xfId="16451"/>
    <cellStyle name="40% - Accent1 3 2 2 6" xfId="5339"/>
    <cellStyle name="40% - Accent1 3 2 2 6 2" xfId="7663"/>
    <cellStyle name="40% - Accent1 3 2 2 6 2 2" xfId="11364"/>
    <cellStyle name="40% - Accent1 3 2 2 6 2 2 2" xfId="22486"/>
    <cellStyle name="40% - Accent1 3 2 2 6 2 3" xfId="15063"/>
    <cellStyle name="40% - Accent1 3 2 2 6 2 3 2" xfId="26180"/>
    <cellStyle name="40% - Accent1 3 2 2 6 2 4" xfId="18792"/>
    <cellStyle name="40% - Accent1 3 2 2 6 3" xfId="9517"/>
    <cellStyle name="40% - Accent1 3 2 2 6 3 2" xfId="20639"/>
    <cellStyle name="40% - Accent1 3 2 2 6 4" xfId="13216"/>
    <cellStyle name="40% - Accent1 3 2 2 6 4 2" xfId="24333"/>
    <cellStyle name="40% - Accent1 3 2 2 6 5" xfId="16945"/>
    <cellStyle name="40% - Accent1 3 2 2 7" xfId="6250"/>
    <cellStyle name="40% - Accent1 3 2 2 7 2" xfId="9952"/>
    <cellStyle name="40% - Accent1 3 2 2 7 2 2" xfId="21074"/>
    <cellStyle name="40% - Accent1 3 2 2 7 3" xfId="13651"/>
    <cellStyle name="40% - Accent1 3 2 2 7 3 2" xfId="24768"/>
    <cellStyle name="40% - Accent1 3 2 2 7 4" xfId="17380"/>
    <cellStyle name="40% - Accent1 3 2 2 8" xfId="8104"/>
    <cellStyle name="40% - Accent1 3 2 2 8 2" xfId="19227"/>
    <cellStyle name="40% - Accent1 3 2 2 9" xfId="11804"/>
    <cellStyle name="40% - Accent1 3 2 2 9 2" xfId="22921"/>
    <cellStyle name="40% - Accent1 3 2 3" xfId="1977"/>
    <cellStyle name="40% - Accent1 3 2 3 2" xfId="2610"/>
    <cellStyle name="40% - Accent1 3 2 3 2 2" xfId="6745"/>
    <cellStyle name="40% - Accent1 3 2 3 2 2 2" xfId="10447"/>
    <cellStyle name="40% - Accent1 3 2 3 2 2 2 2" xfId="21569"/>
    <cellStyle name="40% - Accent1 3 2 3 2 2 3" xfId="14146"/>
    <cellStyle name="40% - Accent1 3 2 3 2 2 3 2" xfId="25263"/>
    <cellStyle name="40% - Accent1 3 2 3 2 2 4" xfId="17875"/>
    <cellStyle name="40% - Accent1 3 2 3 2 3" xfId="8599"/>
    <cellStyle name="40% - Accent1 3 2 3 2 3 2" xfId="19722"/>
    <cellStyle name="40% - Accent1 3 2 3 2 4" xfId="12299"/>
    <cellStyle name="40% - Accent1 3 2 3 2 4 2" xfId="23416"/>
    <cellStyle name="40% - Accent1 3 2 3 2 5" xfId="16028"/>
    <cellStyle name="40% - Accent1 3 2 3 3" xfId="5157"/>
    <cellStyle name="40% - Accent1 3 2 3 3 2" xfId="7508"/>
    <cellStyle name="40% - Accent1 3 2 3 3 2 2" xfId="11209"/>
    <cellStyle name="40% - Accent1 3 2 3 3 2 2 2" xfId="22331"/>
    <cellStyle name="40% - Accent1 3 2 3 3 2 3" xfId="14908"/>
    <cellStyle name="40% - Accent1 3 2 3 3 2 3 2" xfId="26025"/>
    <cellStyle name="40% - Accent1 3 2 3 3 2 4" xfId="18637"/>
    <cellStyle name="40% - Accent1 3 2 3 3 3" xfId="9362"/>
    <cellStyle name="40% - Accent1 3 2 3 3 3 2" xfId="20484"/>
    <cellStyle name="40% - Accent1 3 2 3 3 4" xfId="13061"/>
    <cellStyle name="40% - Accent1 3 2 3 3 4 2" xfId="24178"/>
    <cellStyle name="40% - Accent1 3 2 3 3 5" xfId="16790"/>
    <cellStyle name="40% - Accent1 3 2 3 4" xfId="5340"/>
    <cellStyle name="40% - Accent1 3 2 3 4 2" xfId="7664"/>
    <cellStyle name="40% - Accent1 3 2 3 4 2 2" xfId="11365"/>
    <cellStyle name="40% - Accent1 3 2 3 4 2 2 2" xfId="22487"/>
    <cellStyle name="40% - Accent1 3 2 3 4 2 3" xfId="15064"/>
    <cellStyle name="40% - Accent1 3 2 3 4 2 3 2" xfId="26181"/>
    <cellStyle name="40% - Accent1 3 2 3 4 2 4" xfId="18793"/>
    <cellStyle name="40% - Accent1 3 2 3 4 3" xfId="9518"/>
    <cellStyle name="40% - Accent1 3 2 3 4 3 2" xfId="20640"/>
    <cellStyle name="40% - Accent1 3 2 3 4 4" xfId="13217"/>
    <cellStyle name="40% - Accent1 3 2 3 4 4 2" xfId="24334"/>
    <cellStyle name="40% - Accent1 3 2 3 4 5" xfId="16946"/>
    <cellStyle name="40% - Accent1 3 2 3 5" xfId="6589"/>
    <cellStyle name="40% - Accent1 3 2 3 5 2" xfId="10291"/>
    <cellStyle name="40% - Accent1 3 2 3 5 2 2" xfId="21413"/>
    <cellStyle name="40% - Accent1 3 2 3 5 3" xfId="13990"/>
    <cellStyle name="40% - Accent1 3 2 3 5 3 2" xfId="25107"/>
    <cellStyle name="40% - Accent1 3 2 3 5 4" xfId="17719"/>
    <cellStyle name="40% - Accent1 3 2 3 6" xfId="8443"/>
    <cellStyle name="40% - Accent1 3 2 3 6 2" xfId="19566"/>
    <cellStyle name="40% - Accent1 3 2 3 7" xfId="12143"/>
    <cellStyle name="40% - Accent1 3 2 3 7 2" xfId="23260"/>
    <cellStyle name="40% - Accent1 3 2 3 8" xfId="15872"/>
    <cellStyle name="40% - Accent1 3 2 4" xfId="1781"/>
    <cellStyle name="40% - Accent1 3 2 4 2" xfId="4978"/>
    <cellStyle name="40% - Accent1 3 2 4 2 2" xfId="7329"/>
    <cellStyle name="40% - Accent1 3 2 4 2 2 2" xfId="11030"/>
    <cellStyle name="40% - Accent1 3 2 4 2 2 2 2" xfId="22152"/>
    <cellStyle name="40% - Accent1 3 2 4 2 2 3" xfId="14729"/>
    <cellStyle name="40% - Accent1 3 2 4 2 2 3 2" xfId="25846"/>
    <cellStyle name="40% - Accent1 3 2 4 2 2 4" xfId="18458"/>
    <cellStyle name="40% - Accent1 3 2 4 2 3" xfId="9183"/>
    <cellStyle name="40% - Accent1 3 2 4 2 3 2" xfId="20305"/>
    <cellStyle name="40% - Accent1 3 2 4 2 4" xfId="12882"/>
    <cellStyle name="40% - Accent1 3 2 4 2 4 2" xfId="23999"/>
    <cellStyle name="40% - Accent1 3 2 4 2 5" xfId="16611"/>
    <cellStyle name="40% - Accent1 3 2 4 3" xfId="6410"/>
    <cellStyle name="40% - Accent1 3 2 4 3 2" xfId="10112"/>
    <cellStyle name="40% - Accent1 3 2 4 3 2 2" xfId="21234"/>
    <cellStyle name="40% - Accent1 3 2 4 3 3" xfId="13811"/>
    <cellStyle name="40% - Accent1 3 2 4 3 3 2" xfId="24928"/>
    <cellStyle name="40% - Accent1 3 2 4 3 4" xfId="17540"/>
    <cellStyle name="40% - Accent1 3 2 4 4" xfId="8264"/>
    <cellStyle name="40% - Accent1 3 2 4 4 2" xfId="19387"/>
    <cellStyle name="40% - Accent1 3 2 4 5" xfId="11964"/>
    <cellStyle name="40% - Accent1 3 2 4 5 2" xfId="23081"/>
    <cellStyle name="40% - Accent1 3 2 4 6" xfId="15693"/>
    <cellStyle name="40% - Accent1 3 2 5" xfId="2608"/>
    <cellStyle name="40% - Accent1 3 2 5 2" xfId="6743"/>
    <cellStyle name="40% - Accent1 3 2 5 2 2" xfId="10445"/>
    <cellStyle name="40% - Accent1 3 2 5 2 2 2" xfId="21567"/>
    <cellStyle name="40% - Accent1 3 2 5 2 3" xfId="14144"/>
    <cellStyle name="40% - Accent1 3 2 5 2 3 2" xfId="25261"/>
    <cellStyle name="40% - Accent1 3 2 5 2 4" xfId="17873"/>
    <cellStyle name="40% - Accent1 3 2 5 3" xfId="8597"/>
    <cellStyle name="40% - Accent1 3 2 5 3 2" xfId="19720"/>
    <cellStyle name="40% - Accent1 3 2 5 4" xfId="12297"/>
    <cellStyle name="40% - Accent1 3 2 5 4 2" xfId="23414"/>
    <cellStyle name="40% - Accent1 3 2 5 5" xfId="16026"/>
    <cellStyle name="40% - Accent1 3 2 6" xfId="4770"/>
    <cellStyle name="40% - Accent1 3 2 6 2" xfId="7121"/>
    <cellStyle name="40% - Accent1 3 2 6 2 2" xfId="10822"/>
    <cellStyle name="40% - Accent1 3 2 6 2 2 2" xfId="21944"/>
    <cellStyle name="40% - Accent1 3 2 6 2 3" xfId="14521"/>
    <cellStyle name="40% - Accent1 3 2 6 2 3 2" xfId="25638"/>
    <cellStyle name="40% - Accent1 3 2 6 2 4" xfId="18250"/>
    <cellStyle name="40% - Accent1 3 2 6 3" xfId="8975"/>
    <cellStyle name="40% - Accent1 3 2 6 3 2" xfId="20097"/>
    <cellStyle name="40% - Accent1 3 2 6 4" xfId="12674"/>
    <cellStyle name="40% - Accent1 3 2 6 4 2" xfId="23791"/>
    <cellStyle name="40% - Accent1 3 2 6 5" xfId="16403"/>
    <cellStyle name="40% - Accent1 3 2 7" xfId="5338"/>
    <cellStyle name="40% - Accent1 3 2 7 2" xfId="7662"/>
    <cellStyle name="40% - Accent1 3 2 7 2 2" xfId="11363"/>
    <cellStyle name="40% - Accent1 3 2 7 2 2 2" xfId="22485"/>
    <cellStyle name="40% - Accent1 3 2 7 2 3" xfId="15062"/>
    <cellStyle name="40% - Accent1 3 2 7 2 3 2" xfId="26179"/>
    <cellStyle name="40% - Accent1 3 2 7 2 4" xfId="18791"/>
    <cellStyle name="40% - Accent1 3 2 7 3" xfId="9516"/>
    <cellStyle name="40% - Accent1 3 2 7 3 2" xfId="20638"/>
    <cellStyle name="40% - Accent1 3 2 7 4" xfId="13215"/>
    <cellStyle name="40% - Accent1 3 2 7 4 2" xfId="24332"/>
    <cellStyle name="40% - Accent1 3 2 7 5" xfId="16944"/>
    <cellStyle name="40% - Accent1 3 2 8" xfId="6202"/>
    <cellStyle name="40% - Accent1 3 2 8 2" xfId="9904"/>
    <cellStyle name="40% - Accent1 3 2 8 2 2" xfId="21026"/>
    <cellStyle name="40% - Accent1 3 2 8 3" xfId="13603"/>
    <cellStyle name="40% - Accent1 3 2 8 3 2" xfId="24720"/>
    <cellStyle name="40% - Accent1 3 2 8 4" xfId="17332"/>
    <cellStyle name="40% - Accent1 3 2 9" xfId="8056"/>
    <cellStyle name="40% - Accent1 3 2 9 2" xfId="19179"/>
    <cellStyle name="40% - Accent1 3 3" xfId="1621"/>
    <cellStyle name="40% - Accent1 3 3 10" xfId="15538"/>
    <cellStyle name="40% - Accent1 3 3 2" xfId="1979"/>
    <cellStyle name="40% - Accent1 3 3 2 2" xfId="5159"/>
    <cellStyle name="40% - Accent1 3 3 2 2 2" xfId="7510"/>
    <cellStyle name="40% - Accent1 3 3 2 2 2 2" xfId="11211"/>
    <cellStyle name="40% - Accent1 3 3 2 2 2 2 2" xfId="22333"/>
    <cellStyle name="40% - Accent1 3 3 2 2 2 3" xfId="14910"/>
    <cellStyle name="40% - Accent1 3 3 2 2 2 3 2" xfId="26027"/>
    <cellStyle name="40% - Accent1 3 3 2 2 2 4" xfId="18639"/>
    <cellStyle name="40% - Accent1 3 3 2 2 3" xfId="9364"/>
    <cellStyle name="40% - Accent1 3 3 2 2 3 2" xfId="20486"/>
    <cellStyle name="40% - Accent1 3 3 2 2 4" xfId="13063"/>
    <cellStyle name="40% - Accent1 3 3 2 2 4 2" xfId="24180"/>
    <cellStyle name="40% - Accent1 3 3 2 2 5" xfId="16792"/>
    <cellStyle name="40% - Accent1 3 3 2 3" xfId="6591"/>
    <cellStyle name="40% - Accent1 3 3 2 3 2" xfId="10293"/>
    <cellStyle name="40% - Accent1 3 3 2 3 2 2" xfId="21415"/>
    <cellStyle name="40% - Accent1 3 3 2 3 3" xfId="13992"/>
    <cellStyle name="40% - Accent1 3 3 2 3 3 2" xfId="25109"/>
    <cellStyle name="40% - Accent1 3 3 2 3 4" xfId="17721"/>
    <cellStyle name="40% - Accent1 3 3 2 4" xfId="8445"/>
    <cellStyle name="40% - Accent1 3 3 2 4 2" xfId="19568"/>
    <cellStyle name="40% - Accent1 3 3 2 5" xfId="12145"/>
    <cellStyle name="40% - Accent1 3 3 2 5 2" xfId="23262"/>
    <cellStyle name="40% - Accent1 3 3 2 6" xfId="15874"/>
    <cellStyle name="40% - Accent1 3 3 3" xfId="1834"/>
    <cellStyle name="40% - Accent1 3 3 3 2" xfId="5031"/>
    <cellStyle name="40% - Accent1 3 3 3 2 2" xfId="7382"/>
    <cellStyle name="40% - Accent1 3 3 3 2 2 2" xfId="11083"/>
    <cellStyle name="40% - Accent1 3 3 3 2 2 2 2" xfId="22205"/>
    <cellStyle name="40% - Accent1 3 3 3 2 2 3" xfId="14782"/>
    <cellStyle name="40% - Accent1 3 3 3 2 2 3 2" xfId="25899"/>
    <cellStyle name="40% - Accent1 3 3 3 2 2 4" xfId="18511"/>
    <cellStyle name="40% - Accent1 3 3 3 2 3" xfId="9236"/>
    <cellStyle name="40% - Accent1 3 3 3 2 3 2" xfId="20358"/>
    <cellStyle name="40% - Accent1 3 3 3 2 4" xfId="12935"/>
    <cellStyle name="40% - Accent1 3 3 3 2 4 2" xfId="24052"/>
    <cellStyle name="40% - Accent1 3 3 3 2 5" xfId="16664"/>
    <cellStyle name="40% - Accent1 3 3 3 3" xfId="6463"/>
    <cellStyle name="40% - Accent1 3 3 3 3 2" xfId="10165"/>
    <cellStyle name="40% - Accent1 3 3 3 3 2 2" xfId="21287"/>
    <cellStyle name="40% - Accent1 3 3 3 3 3" xfId="13864"/>
    <cellStyle name="40% - Accent1 3 3 3 3 3 2" xfId="24981"/>
    <cellStyle name="40% - Accent1 3 3 3 3 4" xfId="17593"/>
    <cellStyle name="40% - Accent1 3 3 3 4" xfId="8317"/>
    <cellStyle name="40% - Accent1 3 3 3 4 2" xfId="19440"/>
    <cellStyle name="40% - Accent1 3 3 3 5" xfId="12017"/>
    <cellStyle name="40% - Accent1 3 3 3 5 2" xfId="23134"/>
    <cellStyle name="40% - Accent1 3 3 3 6" xfId="15746"/>
    <cellStyle name="40% - Accent1 3 3 4" xfId="2611"/>
    <cellStyle name="40% - Accent1 3 3 4 2" xfId="6746"/>
    <cellStyle name="40% - Accent1 3 3 4 2 2" xfId="10448"/>
    <cellStyle name="40% - Accent1 3 3 4 2 2 2" xfId="21570"/>
    <cellStyle name="40% - Accent1 3 3 4 2 3" xfId="14147"/>
    <cellStyle name="40% - Accent1 3 3 4 2 3 2" xfId="25264"/>
    <cellStyle name="40% - Accent1 3 3 4 2 4" xfId="17876"/>
    <cellStyle name="40% - Accent1 3 3 4 3" xfId="8600"/>
    <cellStyle name="40% - Accent1 3 3 4 3 2" xfId="19723"/>
    <cellStyle name="40% - Accent1 3 3 4 4" xfId="12300"/>
    <cellStyle name="40% - Accent1 3 3 4 4 2" xfId="23417"/>
    <cellStyle name="40% - Accent1 3 3 4 5" xfId="16029"/>
    <cellStyle name="40% - Accent1 3 3 5" xfId="4823"/>
    <cellStyle name="40% - Accent1 3 3 5 2" xfId="7174"/>
    <cellStyle name="40% - Accent1 3 3 5 2 2" xfId="10875"/>
    <cellStyle name="40% - Accent1 3 3 5 2 2 2" xfId="21997"/>
    <cellStyle name="40% - Accent1 3 3 5 2 3" xfId="14574"/>
    <cellStyle name="40% - Accent1 3 3 5 2 3 2" xfId="25691"/>
    <cellStyle name="40% - Accent1 3 3 5 2 4" xfId="18303"/>
    <cellStyle name="40% - Accent1 3 3 5 3" xfId="9028"/>
    <cellStyle name="40% - Accent1 3 3 5 3 2" xfId="20150"/>
    <cellStyle name="40% - Accent1 3 3 5 4" xfId="12727"/>
    <cellStyle name="40% - Accent1 3 3 5 4 2" xfId="23844"/>
    <cellStyle name="40% - Accent1 3 3 5 5" xfId="16456"/>
    <cellStyle name="40% - Accent1 3 3 6" xfId="5341"/>
    <cellStyle name="40% - Accent1 3 3 6 2" xfId="7665"/>
    <cellStyle name="40% - Accent1 3 3 6 2 2" xfId="11366"/>
    <cellStyle name="40% - Accent1 3 3 6 2 2 2" xfId="22488"/>
    <cellStyle name="40% - Accent1 3 3 6 2 3" xfId="15065"/>
    <cellStyle name="40% - Accent1 3 3 6 2 3 2" xfId="26182"/>
    <cellStyle name="40% - Accent1 3 3 6 2 4" xfId="18794"/>
    <cellStyle name="40% - Accent1 3 3 6 3" xfId="9519"/>
    <cellStyle name="40% - Accent1 3 3 6 3 2" xfId="20641"/>
    <cellStyle name="40% - Accent1 3 3 6 4" xfId="13218"/>
    <cellStyle name="40% - Accent1 3 3 6 4 2" xfId="24335"/>
    <cellStyle name="40% - Accent1 3 3 6 5" xfId="16947"/>
    <cellStyle name="40% - Accent1 3 3 7" xfId="6255"/>
    <cellStyle name="40% - Accent1 3 3 7 2" xfId="9957"/>
    <cellStyle name="40% - Accent1 3 3 7 2 2" xfId="21079"/>
    <cellStyle name="40% - Accent1 3 3 7 3" xfId="13656"/>
    <cellStyle name="40% - Accent1 3 3 7 3 2" xfId="24773"/>
    <cellStyle name="40% - Accent1 3 3 7 4" xfId="17385"/>
    <cellStyle name="40% - Accent1 3 3 8" xfId="8109"/>
    <cellStyle name="40% - Accent1 3 3 8 2" xfId="19232"/>
    <cellStyle name="40% - Accent1 3 3 9" xfId="11809"/>
    <cellStyle name="40% - Accent1 3 3 9 2" xfId="22926"/>
    <cellStyle name="40% - Accent1 3 4" xfId="1976"/>
    <cellStyle name="40% - Accent1 3 4 2" xfId="2612"/>
    <cellStyle name="40% - Accent1 3 4 2 2" xfId="6747"/>
    <cellStyle name="40% - Accent1 3 4 2 2 2" xfId="10449"/>
    <cellStyle name="40% - Accent1 3 4 2 2 2 2" xfId="21571"/>
    <cellStyle name="40% - Accent1 3 4 2 2 3" xfId="14148"/>
    <cellStyle name="40% - Accent1 3 4 2 2 3 2" xfId="25265"/>
    <cellStyle name="40% - Accent1 3 4 2 2 4" xfId="17877"/>
    <cellStyle name="40% - Accent1 3 4 2 3" xfId="8601"/>
    <cellStyle name="40% - Accent1 3 4 2 3 2" xfId="19724"/>
    <cellStyle name="40% - Accent1 3 4 2 4" xfId="12301"/>
    <cellStyle name="40% - Accent1 3 4 2 4 2" xfId="23418"/>
    <cellStyle name="40% - Accent1 3 4 2 5" xfId="16030"/>
    <cellStyle name="40% - Accent1 3 4 3" xfId="5156"/>
    <cellStyle name="40% - Accent1 3 4 3 2" xfId="7507"/>
    <cellStyle name="40% - Accent1 3 4 3 2 2" xfId="11208"/>
    <cellStyle name="40% - Accent1 3 4 3 2 2 2" xfId="22330"/>
    <cellStyle name="40% - Accent1 3 4 3 2 3" xfId="14907"/>
    <cellStyle name="40% - Accent1 3 4 3 2 3 2" xfId="26024"/>
    <cellStyle name="40% - Accent1 3 4 3 2 4" xfId="18636"/>
    <cellStyle name="40% - Accent1 3 4 3 3" xfId="9361"/>
    <cellStyle name="40% - Accent1 3 4 3 3 2" xfId="20483"/>
    <cellStyle name="40% - Accent1 3 4 3 4" xfId="13060"/>
    <cellStyle name="40% - Accent1 3 4 3 4 2" xfId="24177"/>
    <cellStyle name="40% - Accent1 3 4 3 5" xfId="16789"/>
    <cellStyle name="40% - Accent1 3 4 4" xfId="5342"/>
    <cellStyle name="40% - Accent1 3 4 4 2" xfId="7666"/>
    <cellStyle name="40% - Accent1 3 4 4 2 2" xfId="11367"/>
    <cellStyle name="40% - Accent1 3 4 4 2 2 2" xfId="22489"/>
    <cellStyle name="40% - Accent1 3 4 4 2 3" xfId="15066"/>
    <cellStyle name="40% - Accent1 3 4 4 2 3 2" xfId="26183"/>
    <cellStyle name="40% - Accent1 3 4 4 2 4" xfId="18795"/>
    <cellStyle name="40% - Accent1 3 4 4 3" xfId="9520"/>
    <cellStyle name="40% - Accent1 3 4 4 3 2" xfId="20642"/>
    <cellStyle name="40% - Accent1 3 4 4 4" xfId="13219"/>
    <cellStyle name="40% - Accent1 3 4 4 4 2" xfId="24336"/>
    <cellStyle name="40% - Accent1 3 4 4 5" xfId="16948"/>
    <cellStyle name="40% - Accent1 3 4 5" xfId="6588"/>
    <cellStyle name="40% - Accent1 3 4 5 2" xfId="10290"/>
    <cellStyle name="40% - Accent1 3 4 5 2 2" xfId="21412"/>
    <cellStyle name="40% - Accent1 3 4 5 3" xfId="13989"/>
    <cellStyle name="40% - Accent1 3 4 5 3 2" xfId="25106"/>
    <cellStyle name="40% - Accent1 3 4 5 4" xfId="17718"/>
    <cellStyle name="40% - Accent1 3 4 6" xfId="8442"/>
    <cellStyle name="40% - Accent1 3 4 6 2" xfId="19565"/>
    <cellStyle name="40% - Accent1 3 4 7" xfId="12142"/>
    <cellStyle name="40% - Accent1 3 4 7 2" xfId="23259"/>
    <cellStyle name="40% - Accent1 3 4 8" xfId="15871"/>
    <cellStyle name="40% - Accent1 3 5" xfId="1730"/>
    <cellStyle name="40% - Accent1 3 5 2" xfId="2613"/>
    <cellStyle name="40% - Accent1 3 5 3" xfId="4927"/>
    <cellStyle name="40% - Accent1 3 5 3 2" xfId="7278"/>
    <cellStyle name="40% - Accent1 3 5 3 2 2" xfId="10979"/>
    <cellStyle name="40% - Accent1 3 5 3 2 2 2" xfId="22101"/>
    <cellStyle name="40% - Accent1 3 5 3 2 3" xfId="14678"/>
    <cellStyle name="40% - Accent1 3 5 3 2 3 2" xfId="25795"/>
    <cellStyle name="40% - Accent1 3 5 3 2 4" xfId="18407"/>
    <cellStyle name="40% - Accent1 3 5 3 3" xfId="9132"/>
    <cellStyle name="40% - Accent1 3 5 3 3 2" xfId="20254"/>
    <cellStyle name="40% - Accent1 3 5 3 4" xfId="12831"/>
    <cellStyle name="40% - Accent1 3 5 3 4 2" xfId="23948"/>
    <cellStyle name="40% - Accent1 3 5 3 5" xfId="16560"/>
    <cellStyle name="40% - Accent1 3 5 4" xfId="6359"/>
    <cellStyle name="40% - Accent1 3 5 4 2" xfId="10061"/>
    <cellStyle name="40% - Accent1 3 5 4 2 2" xfId="21183"/>
    <cellStyle name="40% - Accent1 3 5 4 3" xfId="13760"/>
    <cellStyle name="40% - Accent1 3 5 4 3 2" xfId="24877"/>
    <cellStyle name="40% - Accent1 3 5 4 4" xfId="17489"/>
    <cellStyle name="40% - Accent1 3 5 5" xfId="8213"/>
    <cellStyle name="40% - Accent1 3 5 5 2" xfId="19336"/>
    <cellStyle name="40% - Accent1 3 5 6" xfId="11913"/>
    <cellStyle name="40% - Accent1 3 5 6 2" xfId="23030"/>
    <cellStyle name="40% - Accent1 3 5 7" xfId="15642"/>
    <cellStyle name="40% - Accent1 3 6" xfId="2607"/>
    <cellStyle name="40% - Accent1 3 6 2" xfId="6742"/>
    <cellStyle name="40% - Accent1 3 6 2 2" xfId="10444"/>
    <cellStyle name="40% - Accent1 3 6 2 2 2" xfId="21566"/>
    <cellStyle name="40% - Accent1 3 6 2 3" xfId="14143"/>
    <cellStyle name="40% - Accent1 3 6 2 3 2" xfId="25260"/>
    <cellStyle name="40% - Accent1 3 6 2 4" xfId="17872"/>
    <cellStyle name="40% - Accent1 3 6 3" xfId="8596"/>
    <cellStyle name="40% - Accent1 3 6 3 2" xfId="19719"/>
    <cellStyle name="40% - Accent1 3 6 4" xfId="12296"/>
    <cellStyle name="40% - Accent1 3 6 4 2" xfId="23413"/>
    <cellStyle name="40% - Accent1 3 6 5" xfId="16025"/>
    <cellStyle name="40% - Accent1 3 7" xfId="4718"/>
    <cellStyle name="40% - Accent1 3 7 2" xfId="7070"/>
    <cellStyle name="40% - Accent1 3 7 2 2" xfId="10771"/>
    <cellStyle name="40% - Accent1 3 7 2 2 2" xfId="21893"/>
    <cellStyle name="40% - Accent1 3 7 2 3" xfId="14470"/>
    <cellStyle name="40% - Accent1 3 7 2 3 2" xfId="25587"/>
    <cellStyle name="40% - Accent1 3 7 2 4" xfId="18199"/>
    <cellStyle name="40% - Accent1 3 7 3" xfId="8924"/>
    <cellStyle name="40% - Accent1 3 7 3 2" xfId="20046"/>
    <cellStyle name="40% - Accent1 3 7 4" xfId="12623"/>
    <cellStyle name="40% - Accent1 3 7 4 2" xfId="23740"/>
    <cellStyle name="40% - Accent1 3 7 5" xfId="16352"/>
    <cellStyle name="40% - Accent1 3 8" xfId="5337"/>
    <cellStyle name="40% - Accent1 3 8 2" xfId="7661"/>
    <cellStyle name="40% - Accent1 3 8 2 2" xfId="11362"/>
    <cellStyle name="40% - Accent1 3 8 2 2 2" xfId="22484"/>
    <cellStyle name="40% - Accent1 3 8 2 3" xfId="15061"/>
    <cellStyle name="40% - Accent1 3 8 2 3 2" xfId="26178"/>
    <cellStyle name="40% - Accent1 3 8 2 4" xfId="18790"/>
    <cellStyle name="40% - Accent1 3 8 3" xfId="9515"/>
    <cellStyle name="40% - Accent1 3 8 3 2" xfId="20637"/>
    <cellStyle name="40% - Accent1 3 8 4" xfId="13214"/>
    <cellStyle name="40% - Accent1 3 8 4 2" xfId="24331"/>
    <cellStyle name="40% - Accent1 3 8 5" xfId="16943"/>
    <cellStyle name="40% - Accent1 3 9" xfId="5561"/>
    <cellStyle name="40% - Accent2" xfId="15" builtinId="35" customBuiltin="1"/>
    <cellStyle name="40% - Accent2 2" xfId="186"/>
    <cellStyle name="40% - Accent2 2 2" xfId="1391"/>
    <cellStyle name="40% - Accent2 3" xfId="766"/>
    <cellStyle name="40% - Accent2 3 10" xfId="8006"/>
    <cellStyle name="40% - Accent2 3 10 2" xfId="19130"/>
    <cellStyle name="40% - Accent2 3 11" xfId="11707"/>
    <cellStyle name="40% - Accent2 3 11 2" xfId="22824"/>
    <cellStyle name="40% - Accent2 3 12" xfId="15436"/>
    <cellStyle name="40% - Accent2 3 2" xfId="1560"/>
    <cellStyle name="40% - Accent2 3 2 10" xfId="11758"/>
    <cellStyle name="40% - Accent2 3 2 10 2" xfId="22875"/>
    <cellStyle name="40% - Accent2 3 2 11" xfId="15487"/>
    <cellStyle name="40% - Accent2 3 2 2" xfId="1666"/>
    <cellStyle name="40% - Accent2 3 2 2 10" xfId="15582"/>
    <cellStyle name="40% - Accent2 3 2 2 2" xfId="1982"/>
    <cellStyle name="40% - Accent2 3 2 2 2 2" xfId="5162"/>
    <cellStyle name="40% - Accent2 3 2 2 2 2 2" xfId="7513"/>
    <cellStyle name="40% - Accent2 3 2 2 2 2 2 2" xfId="11214"/>
    <cellStyle name="40% - Accent2 3 2 2 2 2 2 2 2" xfId="22336"/>
    <cellStyle name="40% - Accent2 3 2 2 2 2 2 3" xfId="14913"/>
    <cellStyle name="40% - Accent2 3 2 2 2 2 2 3 2" xfId="26030"/>
    <cellStyle name="40% - Accent2 3 2 2 2 2 2 4" xfId="18642"/>
    <cellStyle name="40% - Accent2 3 2 2 2 2 3" xfId="9367"/>
    <cellStyle name="40% - Accent2 3 2 2 2 2 3 2" xfId="20489"/>
    <cellStyle name="40% - Accent2 3 2 2 2 2 4" xfId="13066"/>
    <cellStyle name="40% - Accent2 3 2 2 2 2 4 2" xfId="24183"/>
    <cellStyle name="40% - Accent2 3 2 2 2 2 5" xfId="16795"/>
    <cellStyle name="40% - Accent2 3 2 2 2 3" xfId="6594"/>
    <cellStyle name="40% - Accent2 3 2 2 2 3 2" xfId="10296"/>
    <cellStyle name="40% - Accent2 3 2 2 2 3 2 2" xfId="21418"/>
    <cellStyle name="40% - Accent2 3 2 2 2 3 3" xfId="13995"/>
    <cellStyle name="40% - Accent2 3 2 2 2 3 3 2" xfId="25112"/>
    <cellStyle name="40% - Accent2 3 2 2 2 3 4" xfId="17724"/>
    <cellStyle name="40% - Accent2 3 2 2 2 4" xfId="8448"/>
    <cellStyle name="40% - Accent2 3 2 2 2 4 2" xfId="19571"/>
    <cellStyle name="40% - Accent2 3 2 2 2 5" xfId="12148"/>
    <cellStyle name="40% - Accent2 3 2 2 2 5 2" xfId="23265"/>
    <cellStyle name="40% - Accent2 3 2 2 2 6" xfId="15877"/>
    <cellStyle name="40% - Accent2 3 2 2 3" xfId="1878"/>
    <cellStyle name="40% - Accent2 3 2 2 3 2" xfId="5075"/>
    <cellStyle name="40% - Accent2 3 2 2 3 2 2" xfId="7426"/>
    <cellStyle name="40% - Accent2 3 2 2 3 2 2 2" xfId="11127"/>
    <cellStyle name="40% - Accent2 3 2 2 3 2 2 2 2" xfId="22249"/>
    <cellStyle name="40% - Accent2 3 2 2 3 2 2 3" xfId="14826"/>
    <cellStyle name="40% - Accent2 3 2 2 3 2 2 3 2" xfId="25943"/>
    <cellStyle name="40% - Accent2 3 2 2 3 2 2 4" xfId="18555"/>
    <cellStyle name="40% - Accent2 3 2 2 3 2 3" xfId="9280"/>
    <cellStyle name="40% - Accent2 3 2 2 3 2 3 2" xfId="20402"/>
    <cellStyle name="40% - Accent2 3 2 2 3 2 4" xfId="12979"/>
    <cellStyle name="40% - Accent2 3 2 2 3 2 4 2" xfId="24096"/>
    <cellStyle name="40% - Accent2 3 2 2 3 2 5" xfId="16708"/>
    <cellStyle name="40% - Accent2 3 2 2 3 3" xfId="6507"/>
    <cellStyle name="40% - Accent2 3 2 2 3 3 2" xfId="10209"/>
    <cellStyle name="40% - Accent2 3 2 2 3 3 2 2" xfId="21331"/>
    <cellStyle name="40% - Accent2 3 2 2 3 3 3" xfId="13908"/>
    <cellStyle name="40% - Accent2 3 2 2 3 3 3 2" xfId="25025"/>
    <cellStyle name="40% - Accent2 3 2 2 3 3 4" xfId="17637"/>
    <cellStyle name="40% - Accent2 3 2 2 3 4" xfId="8361"/>
    <cellStyle name="40% - Accent2 3 2 2 3 4 2" xfId="19484"/>
    <cellStyle name="40% - Accent2 3 2 2 3 5" xfId="12061"/>
    <cellStyle name="40% - Accent2 3 2 2 3 5 2" xfId="23178"/>
    <cellStyle name="40% - Accent2 3 2 2 3 6" xfId="15790"/>
    <cellStyle name="40% - Accent2 3 2 2 4" xfId="2616"/>
    <cellStyle name="40% - Accent2 3 2 2 4 2" xfId="6750"/>
    <cellStyle name="40% - Accent2 3 2 2 4 2 2" xfId="10452"/>
    <cellStyle name="40% - Accent2 3 2 2 4 2 2 2" xfId="21574"/>
    <cellStyle name="40% - Accent2 3 2 2 4 2 3" xfId="14151"/>
    <cellStyle name="40% - Accent2 3 2 2 4 2 3 2" xfId="25268"/>
    <cellStyle name="40% - Accent2 3 2 2 4 2 4" xfId="17880"/>
    <cellStyle name="40% - Accent2 3 2 2 4 3" xfId="8604"/>
    <cellStyle name="40% - Accent2 3 2 2 4 3 2" xfId="19727"/>
    <cellStyle name="40% - Accent2 3 2 2 4 4" xfId="12304"/>
    <cellStyle name="40% - Accent2 3 2 2 4 4 2" xfId="23421"/>
    <cellStyle name="40% - Accent2 3 2 2 4 5" xfId="16033"/>
    <cellStyle name="40% - Accent2 3 2 2 5" xfId="4867"/>
    <cellStyle name="40% - Accent2 3 2 2 5 2" xfId="7218"/>
    <cellStyle name="40% - Accent2 3 2 2 5 2 2" xfId="10919"/>
    <cellStyle name="40% - Accent2 3 2 2 5 2 2 2" xfId="22041"/>
    <cellStyle name="40% - Accent2 3 2 2 5 2 3" xfId="14618"/>
    <cellStyle name="40% - Accent2 3 2 2 5 2 3 2" xfId="25735"/>
    <cellStyle name="40% - Accent2 3 2 2 5 2 4" xfId="18347"/>
    <cellStyle name="40% - Accent2 3 2 2 5 3" xfId="9072"/>
    <cellStyle name="40% - Accent2 3 2 2 5 3 2" xfId="20194"/>
    <cellStyle name="40% - Accent2 3 2 2 5 4" xfId="12771"/>
    <cellStyle name="40% - Accent2 3 2 2 5 4 2" xfId="23888"/>
    <cellStyle name="40% - Accent2 3 2 2 5 5" xfId="16500"/>
    <cellStyle name="40% - Accent2 3 2 2 6" xfId="5345"/>
    <cellStyle name="40% - Accent2 3 2 2 6 2" xfId="7669"/>
    <cellStyle name="40% - Accent2 3 2 2 6 2 2" xfId="11370"/>
    <cellStyle name="40% - Accent2 3 2 2 6 2 2 2" xfId="22492"/>
    <cellStyle name="40% - Accent2 3 2 2 6 2 3" xfId="15069"/>
    <cellStyle name="40% - Accent2 3 2 2 6 2 3 2" xfId="26186"/>
    <cellStyle name="40% - Accent2 3 2 2 6 2 4" xfId="18798"/>
    <cellStyle name="40% - Accent2 3 2 2 6 3" xfId="9523"/>
    <cellStyle name="40% - Accent2 3 2 2 6 3 2" xfId="20645"/>
    <cellStyle name="40% - Accent2 3 2 2 6 4" xfId="13222"/>
    <cellStyle name="40% - Accent2 3 2 2 6 4 2" xfId="24339"/>
    <cellStyle name="40% - Accent2 3 2 2 6 5" xfId="16951"/>
    <cellStyle name="40% - Accent2 3 2 2 7" xfId="6299"/>
    <cellStyle name="40% - Accent2 3 2 2 7 2" xfId="10001"/>
    <cellStyle name="40% - Accent2 3 2 2 7 2 2" xfId="21123"/>
    <cellStyle name="40% - Accent2 3 2 2 7 3" xfId="13700"/>
    <cellStyle name="40% - Accent2 3 2 2 7 3 2" xfId="24817"/>
    <cellStyle name="40% - Accent2 3 2 2 7 4" xfId="17429"/>
    <cellStyle name="40% - Accent2 3 2 2 8" xfId="8153"/>
    <cellStyle name="40% - Accent2 3 2 2 8 2" xfId="19276"/>
    <cellStyle name="40% - Accent2 3 2 2 9" xfId="11853"/>
    <cellStyle name="40% - Accent2 3 2 2 9 2" xfId="22970"/>
    <cellStyle name="40% - Accent2 3 2 3" xfId="1981"/>
    <cellStyle name="40% - Accent2 3 2 3 2" xfId="2617"/>
    <cellStyle name="40% - Accent2 3 2 3 2 2" xfId="6751"/>
    <cellStyle name="40% - Accent2 3 2 3 2 2 2" xfId="10453"/>
    <cellStyle name="40% - Accent2 3 2 3 2 2 2 2" xfId="21575"/>
    <cellStyle name="40% - Accent2 3 2 3 2 2 3" xfId="14152"/>
    <cellStyle name="40% - Accent2 3 2 3 2 2 3 2" xfId="25269"/>
    <cellStyle name="40% - Accent2 3 2 3 2 2 4" xfId="17881"/>
    <cellStyle name="40% - Accent2 3 2 3 2 3" xfId="8605"/>
    <cellStyle name="40% - Accent2 3 2 3 2 3 2" xfId="19728"/>
    <cellStyle name="40% - Accent2 3 2 3 2 4" xfId="12305"/>
    <cellStyle name="40% - Accent2 3 2 3 2 4 2" xfId="23422"/>
    <cellStyle name="40% - Accent2 3 2 3 2 5" xfId="16034"/>
    <cellStyle name="40% - Accent2 3 2 3 3" xfId="5161"/>
    <cellStyle name="40% - Accent2 3 2 3 3 2" xfId="7512"/>
    <cellStyle name="40% - Accent2 3 2 3 3 2 2" xfId="11213"/>
    <cellStyle name="40% - Accent2 3 2 3 3 2 2 2" xfId="22335"/>
    <cellStyle name="40% - Accent2 3 2 3 3 2 3" xfId="14912"/>
    <cellStyle name="40% - Accent2 3 2 3 3 2 3 2" xfId="26029"/>
    <cellStyle name="40% - Accent2 3 2 3 3 2 4" xfId="18641"/>
    <cellStyle name="40% - Accent2 3 2 3 3 3" xfId="9366"/>
    <cellStyle name="40% - Accent2 3 2 3 3 3 2" xfId="20488"/>
    <cellStyle name="40% - Accent2 3 2 3 3 4" xfId="13065"/>
    <cellStyle name="40% - Accent2 3 2 3 3 4 2" xfId="24182"/>
    <cellStyle name="40% - Accent2 3 2 3 3 5" xfId="16794"/>
    <cellStyle name="40% - Accent2 3 2 3 4" xfId="5346"/>
    <cellStyle name="40% - Accent2 3 2 3 4 2" xfId="7670"/>
    <cellStyle name="40% - Accent2 3 2 3 4 2 2" xfId="11371"/>
    <cellStyle name="40% - Accent2 3 2 3 4 2 2 2" xfId="22493"/>
    <cellStyle name="40% - Accent2 3 2 3 4 2 3" xfId="15070"/>
    <cellStyle name="40% - Accent2 3 2 3 4 2 3 2" xfId="26187"/>
    <cellStyle name="40% - Accent2 3 2 3 4 2 4" xfId="18799"/>
    <cellStyle name="40% - Accent2 3 2 3 4 3" xfId="9524"/>
    <cellStyle name="40% - Accent2 3 2 3 4 3 2" xfId="20646"/>
    <cellStyle name="40% - Accent2 3 2 3 4 4" xfId="13223"/>
    <cellStyle name="40% - Accent2 3 2 3 4 4 2" xfId="24340"/>
    <cellStyle name="40% - Accent2 3 2 3 4 5" xfId="16952"/>
    <cellStyle name="40% - Accent2 3 2 3 5" xfId="6593"/>
    <cellStyle name="40% - Accent2 3 2 3 5 2" xfId="10295"/>
    <cellStyle name="40% - Accent2 3 2 3 5 2 2" xfId="21417"/>
    <cellStyle name="40% - Accent2 3 2 3 5 3" xfId="13994"/>
    <cellStyle name="40% - Accent2 3 2 3 5 3 2" xfId="25111"/>
    <cellStyle name="40% - Accent2 3 2 3 5 4" xfId="17723"/>
    <cellStyle name="40% - Accent2 3 2 3 6" xfId="8447"/>
    <cellStyle name="40% - Accent2 3 2 3 6 2" xfId="19570"/>
    <cellStyle name="40% - Accent2 3 2 3 7" xfId="12147"/>
    <cellStyle name="40% - Accent2 3 2 3 7 2" xfId="23264"/>
    <cellStyle name="40% - Accent2 3 2 3 8" xfId="15876"/>
    <cellStyle name="40% - Accent2 3 2 4" xfId="1783"/>
    <cellStyle name="40% - Accent2 3 2 4 2" xfId="4980"/>
    <cellStyle name="40% - Accent2 3 2 4 2 2" xfId="7331"/>
    <cellStyle name="40% - Accent2 3 2 4 2 2 2" xfId="11032"/>
    <cellStyle name="40% - Accent2 3 2 4 2 2 2 2" xfId="22154"/>
    <cellStyle name="40% - Accent2 3 2 4 2 2 3" xfId="14731"/>
    <cellStyle name="40% - Accent2 3 2 4 2 2 3 2" xfId="25848"/>
    <cellStyle name="40% - Accent2 3 2 4 2 2 4" xfId="18460"/>
    <cellStyle name="40% - Accent2 3 2 4 2 3" xfId="9185"/>
    <cellStyle name="40% - Accent2 3 2 4 2 3 2" xfId="20307"/>
    <cellStyle name="40% - Accent2 3 2 4 2 4" xfId="12884"/>
    <cellStyle name="40% - Accent2 3 2 4 2 4 2" xfId="24001"/>
    <cellStyle name="40% - Accent2 3 2 4 2 5" xfId="16613"/>
    <cellStyle name="40% - Accent2 3 2 4 3" xfId="6412"/>
    <cellStyle name="40% - Accent2 3 2 4 3 2" xfId="10114"/>
    <cellStyle name="40% - Accent2 3 2 4 3 2 2" xfId="21236"/>
    <cellStyle name="40% - Accent2 3 2 4 3 3" xfId="13813"/>
    <cellStyle name="40% - Accent2 3 2 4 3 3 2" xfId="24930"/>
    <cellStyle name="40% - Accent2 3 2 4 3 4" xfId="17542"/>
    <cellStyle name="40% - Accent2 3 2 4 4" xfId="8266"/>
    <cellStyle name="40% - Accent2 3 2 4 4 2" xfId="19389"/>
    <cellStyle name="40% - Accent2 3 2 4 5" xfId="11966"/>
    <cellStyle name="40% - Accent2 3 2 4 5 2" xfId="23083"/>
    <cellStyle name="40% - Accent2 3 2 4 6" xfId="15695"/>
    <cellStyle name="40% - Accent2 3 2 5" xfId="2615"/>
    <cellStyle name="40% - Accent2 3 2 5 2" xfId="6749"/>
    <cellStyle name="40% - Accent2 3 2 5 2 2" xfId="10451"/>
    <cellStyle name="40% - Accent2 3 2 5 2 2 2" xfId="21573"/>
    <cellStyle name="40% - Accent2 3 2 5 2 3" xfId="14150"/>
    <cellStyle name="40% - Accent2 3 2 5 2 3 2" xfId="25267"/>
    <cellStyle name="40% - Accent2 3 2 5 2 4" xfId="17879"/>
    <cellStyle name="40% - Accent2 3 2 5 3" xfId="8603"/>
    <cellStyle name="40% - Accent2 3 2 5 3 2" xfId="19726"/>
    <cellStyle name="40% - Accent2 3 2 5 4" xfId="12303"/>
    <cellStyle name="40% - Accent2 3 2 5 4 2" xfId="23420"/>
    <cellStyle name="40% - Accent2 3 2 5 5" xfId="16032"/>
    <cellStyle name="40% - Accent2 3 2 6" xfId="4772"/>
    <cellStyle name="40% - Accent2 3 2 6 2" xfId="7123"/>
    <cellStyle name="40% - Accent2 3 2 6 2 2" xfId="10824"/>
    <cellStyle name="40% - Accent2 3 2 6 2 2 2" xfId="21946"/>
    <cellStyle name="40% - Accent2 3 2 6 2 3" xfId="14523"/>
    <cellStyle name="40% - Accent2 3 2 6 2 3 2" xfId="25640"/>
    <cellStyle name="40% - Accent2 3 2 6 2 4" xfId="18252"/>
    <cellStyle name="40% - Accent2 3 2 6 3" xfId="8977"/>
    <cellStyle name="40% - Accent2 3 2 6 3 2" xfId="20099"/>
    <cellStyle name="40% - Accent2 3 2 6 4" xfId="12676"/>
    <cellStyle name="40% - Accent2 3 2 6 4 2" xfId="23793"/>
    <cellStyle name="40% - Accent2 3 2 6 5" xfId="16405"/>
    <cellStyle name="40% - Accent2 3 2 7" xfId="5344"/>
    <cellStyle name="40% - Accent2 3 2 7 2" xfId="7668"/>
    <cellStyle name="40% - Accent2 3 2 7 2 2" xfId="11369"/>
    <cellStyle name="40% - Accent2 3 2 7 2 2 2" xfId="22491"/>
    <cellStyle name="40% - Accent2 3 2 7 2 3" xfId="15068"/>
    <cellStyle name="40% - Accent2 3 2 7 2 3 2" xfId="26185"/>
    <cellStyle name="40% - Accent2 3 2 7 2 4" xfId="18797"/>
    <cellStyle name="40% - Accent2 3 2 7 3" xfId="9522"/>
    <cellStyle name="40% - Accent2 3 2 7 3 2" xfId="20644"/>
    <cellStyle name="40% - Accent2 3 2 7 4" xfId="13221"/>
    <cellStyle name="40% - Accent2 3 2 7 4 2" xfId="24338"/>
    <cellStyle name="40% - Accent2 3 2 7 5" xfId="16950"/>
    <cellStyle name="40% - Accent2 3 2 8" xfId="6204"/>
    <cellStyle name="40% - Accent2 3 2 8 2" xfId="9906"/>
    <cellStyle name="40% - Accent2 3 2 8 2 2" xfId="21028"/>
    <cellStyle name="40% - Accent2 3 2 8 3" xfId="13605"/>
    <cellStyle name="40% - Accent2 3 2 8 3 2" xfId="24722"/>
    <cellStyle name="40% - Accent2 3 2 8 4" xfId="17334"/>
    <cellStyle name="40% - Accent2 3 2 9" xfId="8058"/>
    <cellStyle name="40% - Accent2 3 2 9 2" xfId="19181"/>
    <cellStyle name="40% - Accent2 3 3" xfId="1623"/>
    <cellStyle name="40% - Accent2 3 3 10" xfId="15540"/>
    <cellStyle name="40% - Accent2 3 3 2" xfId="1983"/>
    <cellStyle name="40% - Accent2 3 3 2 2" xfId="5163"/>
    <cellStyle name="40% - Accent2 3 3 2 2 2" xfId="7514"/>
    <cellStyle name="40% - Accent2 3 3 2 2 2 2" xfId="11215"/>
    <cellStyle name="40% - Accent2 3 3 2 2 2 2 2" xfId="22337"/>
    <cellStyle name="40% - Accent2 3 3 2 2 2 3" xfId="14914"/>
    <cellStyle name="40% - Accent2 3 3 2 2 2 3 2" xfId="26031"/>
    <cellStyle name="40% - Accent2 3 3 2 2 2 4" xfId="18643"/>
    <cellStyle name="40% - Accent2 3 3 2 2 3" xfId="9368"/>
    <cellStyle name="40% - Accent2 3 3 2 2 3 2" xfId="20490"/>
    <cellStyle name="40% - Accent2 3 3 2 2 4" xfId="13067"/>
    <cellStyle name="40% - Accent2 3 3 2 2 4 2" xfId="24184"/>
    <cellStyle name="40% - Accent2 3 3 2 2 5" xfId="16796"/>
    <cellStyle name="40% - Accent2 3 3 2 3" xfId="6595"/>
    <cellStyle name="40% - Accent2 3 3 2 3 2" xfId="10297"/>
    <cellStyle name="40% - Accent2 3 3 2 3 2 2" xfId="21419"/>
    <cellStyle name="40% - Accent2 3 3 2 3 3" xfId="13996"/>
    <cellStyle name="40% - Accent2 3 3 2 3 3 2" xfId="25113"/>
    <cellStyle name="40% - Accent2 3 3 2 3 4" xfId="17725"/>
    <cellStyle name="40% - Accent2 3 3 2 4" xfId="8449"/>
    <cellStyle name="40% - Accent2 3 3 2 4 2" xfId="19572"/>
    <cellStyle name="40% - Accent2 3 3 2 5" xfId="12149"/>
    <cellStyle name="40% - Accent2 3 3 2 5 2" xfId="23266"/>
    <cellStyle name="40% - Accent2 3 3 2 6" xfId="15878"/>
    <cellStyle name="40% - Accent2 3 3 3" xfId="1836"/>
    <cellStyle name="40% - Accent2 3 3 3 2" xfId="5033"/>
    <cellStyle name="40% - Accent2 3 3 3 2 2" xfId="7384"/>
    <cellStyle name="40% - Accent2 3 3 3 2 2 2" xfId="11085"/>
    <cellStyle name="40% - Accent2 3 3 3 2 2 2 2" xfId="22207"/>
    <cellStyle name="40% - Accent2 3 3 3 2 2 3" xfId="14784"/>
    <cellStyle name="40% - Accent2 3 3 3 2 2 3 2" xfId="25901"/>
    <cellStyle name="40% - Accent2 3 3 3 2 2 4" xfId="18513"/>
    <cellStyle name="40% - Accent2 3 3 3 2 3" xfId="9238"/>
    <cellStyle name="40% - Accent2 3 3 3 2 3 2" xfId="20360"/>
    <cellStyle name="40% - Accent2 3 3 3 2 4" xfId="12937"/>
    <cellStyle name="40% - Accent2 3 3 3 2 4 2" xfId="24054"/>
    <cellStyle name="40% - Accent2 3 3 3 2 5" xfId="16666"/>
    <cellStyle name="40% - Accent2 3 3 3 3" xfId="6465"/>
    <cellStyle name="40% - Accent2 3 3 3 3 2" xfId="10167"/>
    <cellStyle name="40% - Accent2 3 3 3 3 2 2" xfId="21289"/>
    <cellStyle name="40% - Accent2 3 3 3 3 3" xfId="13866"/>
    <cellStyle name="40% - Accent2 3 3 3 3 3 2" xfId="24983"/>
    <cellStyle name="40% - Accent2 3 3 3 3 4" xfId="17595"/>
    <cellStyle name="40% - Accent2 3 3 3 4" xfId="8319"/>
    <cellStyle name="40% - Accent2 3 3 3 4 2" xfId="19442"/>
    <cellStyle name="40% - Accent2 3 3 3 5" xfId="12019"/>
    <cellStyle name="40% - Accent2 3 3 3 5 2" xfId="23136"/>
    <cellStyle name="40% - Accent2 3 3 3 6" xfId="15748"/>
    <cellStyle name="40% - Accent2 3 3 4" xfId="2618"/>
    <cellStyle name="40% - Accent2 3 3 4 2" xfId="6752"/>
    <cellStyle name="40% - Accent2 3 3 4 2 2" xfId="10454"/>
    <cellStyle name="40% - Accent2 3 3 4 2 2 2" xfId="21576"/>
    <cellStyle name="40% - Accent2 3 3 4 2 3" xfId="14153"/>
    <cellStyle name="40% - Accent2 3 3 4 2 3 2" xfId="25270"/>
    <cellStyle name="40% - Accent2 3 3 4 2 4" xfId="17882"/>
    <cellStyle name="40% - Accent2 3 3 4 3" xfId="8606"/>
    <cellStyle name="40% - Accent2 3 3 4 3 2" xfId="19729"/>
    <cellStyle name="40% - Accent2 3 3 4 4" xfId="12306"/>
    <cellStyle name="40% - Accent2 3 3 4 4 2" xfId="23423"/>
    <cellStyle name="40% - Accent2 3 3 4 5" xfId="16035"/>
    <cellStyle name="40% - Accent2 3 3 5" xfId="4825"/>
    <cellStyle name="40% - Accent2 3 3 5 2" xfId="7176"/>
    <cellStyle name="40% - Accent2 3 3 5 2 2" xfId="10877"/>
    <cellStyle name="40% - Accent2 3 3 5 2 2 2" xfId="21999"/>
    <cellStyle name="40% - Accent2 3 3 5 2 3" xfId="14576"/>
    <cellStyle name="40% - Accent2 3 3 5 2 3 2" xfId="25693"/>
    <cellStyle name="40% - Accent2 3 3 5 2 4" xfId="18305"/>
    <cellStyle name="40% - Accent2 3 3 5 3" xfId="9030"/>
    <cellStyle name="40% - Accent2 3 3 5 3 2" xfId="20152"/>
    <cellStyle name="40% - Accent2 3 3 5 4" xfId="12729"/>
    <cellStyle name="40% - Accent2 3 3 5 4 2" xfId="23846"/>
    <cellStyle name="40% - Accent2 3 3 5 5" xfId="16458"/>
    <cellStyle name="40% - Accent2 3 3 6" xfId="5347"/>
    <cellStyle name="40% - Accent2 3 3 6 2" xfId="7671"/>
    <cellStyle name="40% - Accent2 3 3 6 2 2" xfId="11372"/>
    <cellStyle name="40% - Accent2 3 3 6 2 2 2" xfId="22494"/>
    <cellStyle name="40% - Accent2 3 3 6 2 3" xfId="15071"/>
    <cellStyle name="40% - Accent2 3 3 6 2 3 2" xfId="26188"/>
    <cellStyle name="40% - Accent2 3 3 6 2 4" xfId="18800"/>
    <cellStyle name="40% - Accent2 3 3 6 3" xfId="9525"/>
    <cellStyle name="40% - Accent2 3 3 6 3 2" xfId="20647"/>
    <cellStyle name="40% - Accent2 3 3 6 4" xfId="13224"/>
    <cellStyle name="40% - Accent2 3 3 6 4 2" xfId="24341"/>
    <cellStyle name="40% - Accent2 3 3 6 5" xfId="16953"/>
    <cellStyle name="40% - Accent2 3 3 7" xfId="6257"/>
    <cellStyle name="40% - Accent2 3 3 7 2" xfId="9959"/>
    <cellStyle name="40% - Accent2 3 3 7 2 2" xfId="21081"/>
    <cellStyle name="40% - Accent2 3 3 7 3" xfId="13658"/>
    <cellStyle name="40% - Accent2 3 3 7 3 2" xfId="24775"/>
    <cellStyle name="40% - Accent2 3 3 7 4" xfId="17387"/>
    <cellStyle name="40% - Accent2 3 3 8" xfId="8111"/>
    <cellStyle name="40% - Accent2 3 3 8 2" xfId="19234"/>
    <cellStyle name="40% - Accent2 3 3 9" xfId="11811"/>
    <cellStyle name="40% - Accent2 3 3 9 2" xfId="22928"/>
    <cellStyle name="40% - Accent2 3 4" xfId="1980"/>
    <cellStyle name="40% - Accent2 3 4 2" xfId="2619"/>
    <cellStyle name="40% - Accent2 3 4 2 2" xfId="6753"/>
    <cellStyle name="40% - Accent2 3 4 2 2 2" xfId="10455"/>
    <cellStyle name="40% - Accent2 3 4 2 2 2 2" xfId="21577"/>
    <cellStyle name="40% - Accent2 3 4 2 2 3" xfId="14154"/>
    <cellStyle name="40% - Accent2 3 4 2 2 3 2" xfId="25271"/>
    <cellStyle name="40% - Accent2 3 4 2 2 4" xfId="17883"/>
    <cellStyle name="40% - Accent2 3 4 2 3" xfId="8607"/>
    <cellStyle name="40% - Accent2 3 4 2 3 2" xfId="19730"/>
    <cellStyle name="40% - Accent2 3 4 2 4" xfId="12307"/>
    <cellStyle name="40% - Accent2 3 4 2 4 2" xfId="23424"/>
    <cellStyle name="40% - Accent2 3 4 2 5" xfId="16036"/>
    <cellStyle name="40% - Accent2 3 4 3" xfId="5160"/>
    <cellStyle name="40% - Accent2 3 4 3 2" xfId="7511"/>
    <cellStyle name="40% - Accent2 3 4 3 2 2" xfId="11212"/>
    <cellStyle name="40% - Accent2 3 4 3 2 2 2" xfId="22334"/>
    <cellStyle name="40% - Accent2 3 4 3 2 3" xfId="14911"/>
    <cellStyle name="40% - Accent2 3 4 3 2 3 2" xfId="26028"/>
    <cellStyle name="40% - Accent2 3 4 3 2 4" xfId="18640"/>
    <cellStyle name="40% - Accent2 3 4 3 3" xfId="9365"/>
    <cellStyle name="40% - Accent2 3 4 3 3 2" xfId="20487"/>
    <cellStyle name="40% - Accent2 3 4 3 4" xfId="13064"/>
    <cellStyle name="40% - Accent2 3 4 3 4 2" xfId="24181"/>
    <cellStyle name="40% - Accent2 3 4 3 5" xfId="16793"/>
    <cellStyle name="40% - Accent2 3 4 4" xfId="5348"/>
    <cellStyle name="40% - Accent2 3 4 4 2" xfId="7672"/>
    <cellStyle name="40% - Accent2 3 4 4 2 2" xfId="11373"/>
    <cellStyle name="40% - Accent2 3 4 4 2 2 2" xfId="22495"/>
    <cellStyle name="40% - Accent2 3 4 4 2 3" xfId="15072"/>
    <cellStyle name="40% - Accent2 3 4 4 2 3 2" xfId="26189"/>
    <cellStyle name="40% - Accent2 3 4 4 2 4" xfId="18801"/>
    <cellStyle name="40% - Accent2 3 4 4 3" xfId="9526"/>
    <cellStyle name="40% - Accent2 3 4 4 3 2" xfId="20648"/>
    <cellStyle name="40% - Accent2 3 4 4 4" xfId="13225"/>
    <cellStyle name="40% - Accent2 3 4 4 4 2" xfId="24342"/>
    <cellStyle name="40% - Accent2 3 4 4 5" xfId="16954"/>
    <cellStyle name="40% - Accent2 3 4 5" xfId="6592"/>
    <cellStyle name="40% - Accent2 3 4 5 2" xfId="10294"/>
    <cellStyle name="40% - Accent2 3 4 5 2 2" xfId="21416"/>
    <cellStyle name="40% - Accent2 3 4 5 3" xfId="13993"/>
    <cellStyle name="40% - Accent2 3 4 5 3 2" xfId="25110"/>
    <cellStyle name="40% - Accent2 3 4 5 4" xfId="17722"/>
    <cellStyle name="40% - Accent2 3 4 6" xfId="8446"/>
    <cellStyle name="40% - Accent2 3 4 6 2" xfId="19569"/>
    <cellStyle name="40% - Accent2 3 4 7" xfId="12146"/>
    <cellStyle name="40% - Accent2 3 4 7 2" xfId="23263"/>
    <cellStyle name="40% - Accent2 3 4 8" xfId="15875"/>
    <cellStyle name="40% - Accent2 3 5" xfId="1732"/>
    <cellStyle name="40% - Accent2 3 5 2" xfId="2620"/>
    <cellStyle name="40% - Accent2 3 5 3" xfId="4929"/>
    <cellStyle name="40% - Accent2 3 5 3 2" xfId="7280"/>
    <cellStyle name="40% - Accent2 3 5 3 2 2" xfId="10981"/>
    <cellStyle name="40% - Accent2 3 5 3 2 2 2" xfId="22103"/>
    <cellStyle name="40% - Accent2 3 5 3 2 3" xfId="14680"/>
    <cellStyle name="40% - Accent2 3 5 3 2 3 2" xfId="25797"/>
    <cellStyle name="40% - Accent2 3 5 3 2 4" xfId="18409"/>
    <cellStyle name="40% - Accent2 3 5 3 3" xfId="9134"/>
    <cellStyle name="40% - Accent2 3 5 3 3 2" xfId="20256"/>
    <cellStyle name="40% - Accent2 3 5 3 4" xfId="12833"/>
    <cellStyle name="40% - Accent2 3 5 3 4 2" xfId="23950"/>
    <cellStyle name="40% - Accent2 3 5 3 5" xfId="16562"/>
    <cellStyle name="40% - Accent2 3 5 4" xfId="6361"/>
    <cellStyle name="40% - Accent2 3 5 4 2" xfId="10063"/>
    <cellStyle name="40% - Accent2 3 5 4 2 2" xfId="21185"/>
    <cellStyle name="40% - Accent2 3 5 4 3" xfId="13762"/>
    <cellStyle name="40% - Accent2 3 5 4 3 2" xfId="24879"/>
    <cellStyle name="40% - Accent2 3 5 4 4" xfId="17491"/>
    <cellStyle name="40% - Accent2 3 5 5" xfId="8215"/>
    <cellStyle name="40% - Accent2 3 5 5 2" xfId="19338"/>
    <cellStyle name="40% - Accent2 3 5 6" xfId="11915"/>
    <cellStyle name="40% - Accent2 3 5 6 2" xfId="23032"/>
    <cellStyle name="40% - Accent2 3 5 7" xfId="15644"/>
    <cellStyle name="40% - Accent2 3 6" xfId="2614"/>
    <cellStyle name="40% - Accent2 3 6 2" xfId="6748"/>
    <cellStyle name="40% - Accent2 3 6 2 2" xfId="10450"/>
    <cellStyle name="40% - Accent2 3 6 2 2 2" xfId="21572"/>
    <cellStyle name="40% - Accent2 3 6 2 3" xfId="14149"/>
    <cellStyle name="40% - Accent2 3 6 2 3 2" xfId="25266"/>
    <cellStyle name="40% - Accent2 3 6 2 4" xfId="17878"/>
    <cellStyle name="40% - Accent2 3 6 3" xfId="8602"/>
    <cellStyle name="40% - Accent2 3 6 3 2" xfId="19725"/>
    <cellStyle name="40% - Accent2 3 6 4" xfId="12302"/>
    <cellStyle name="40% - Accent2 3 6 4 2" xfId="23419"/>
    <cellStyle name="40% - Accent2 3 6 5" xfId="16031"/>
    <cellStyle name="40% - Accent2 3 7" xfId="4720"/>
    <cellStyle name="40% - Accent2 3 7 2" xfId="7072"/>
    <cellStyle name="40% - Accent2 3 7 2 2" xfId="10773"/>
    <cellStyle name="40% - Accent2 3 7 2 2 2" xfId="21895"/>
    <cellStyle name="40% - Accent2 3 7 2 3" xfId="14472"/>
    <cellStyle name="40% - Accent2 3 7 2 3 2" xfId="25589"/>
    <cellStyle name="40% - Accent2 3 7 2 4" xfId="18201"/>
    <cellStyle name="40% - Accent2 3 7 3" xfId="8926"/>
    <cellStyle name="40% - Accent2 3 7 3 2" xfId="20048"/>
    <cellStyle name="40% - Accent2 3 7 4" xfId="12625"/>
    <cellStyle name="40% - Accent2 3 7 4 2" xfId="23742"/>
    <cellStyle name="40% - Accent2 3 7 5" xfId="16354"/>
    <cellStyle name="40% - Accent2 3 8" xfId="5343"/>
    <cellStyle name="40% - Accent2 3 8 2" xfId="7667"/>
    <cellStyle name="40% - Accent2 3 8 2 2" xfId="11368"/>
    <cellStyle name="40% - Accent2 3 8 2 2 2" xfId="22490"/>
    <cellStyle name="40% - Accent2 3 8 2 3" xfId="15067"/>
    <cellStyle name="40% - Accent2 3 8 2 3 2" xfId="26184"/>
    <cellStyle name="40% - Accent2 3 8 2 4" xfId="18796"/>
    <cellStyle name="40% - Accent2 3 8 3" xfId="9521"/>
    <cellStyle name="40% - Accent2 3 8 3 2" xfId="20643"/>
    <cellStyle name="40% - Accent2 3 8 4" xfId="13220"/>
    <cellStyle name="40% - Accent2 3 8 4 2" xfId="24337"/>
    <cellStyle name="40% - Accent2 3 8 5" xfId="16949"/>
    <cellStyle name="40% - Accent2 3 9" xfId="6153"/>
    <cellStyle name="40% - Accent2 3 9 2" xfId="9855"/>
    <cellStyle name="40% - Accent2 3 9 2 2" xfId="20977"/>
    <cellStyle name="40% - Accent2 3 9 3" xfId="13554"/>
    <cellStyle name="40% - Accent2 3 9 3 2" xfId="24671"/>
    <cellStyle name="40% - Accent2 3 9 4" xfId="17283"/>
    <cellStyle name="40% - Accent3" xfId="16" builtinId="39" customBuiltin="1"/>
    <cellStyle name="40% - Accent3 2" xfId="187"/>
    <cellStyle name="40% - Accent3 2 2" xfId="1390"/>
    <cellStyle name="40% - Accent3 3" xfId="770"/>
    <cellStyle name="40% - Accent3 3 10" xfId="6155"/>
    <cellStyle name="40% - Accent3 3 10 2" xfId="9857"/>
    <cellStyle name="40% - Accent3 3 10 2 2" xfId="20979"/>
    <cellStyle name="40% - Accent3 3 10 3" xfId="13556"/>
    <cellStyle name="40% - Accent3 3 10 3 2" xfId="24673"/>
    <cellStyle name="40% - Accent3 3 10 4" xfId="17285"/>
    <cellStyle name="40% - Accent3 3 11" xfId="8008"/>
    <cellStyle name="40% - Accent3 3 11 2" xfId="19132"/>
    <cellStyle name="40% - Accent3 3 12" xfId="11709"/>
    <cellStyle name="40% - Accent3 3 12 2" xfId="22826"/>
    <cellStyle name="40% - Accent3 3 13" xfId="15438"/>
    <cellStyle name="40% - Accent3 3 2" xfId="1562"/>
    <cellStyle name="40% - Accent3 3 2 10" xfId="11760"/>
    <cellStyle name="40% - Accent3 3 2 10 2" xfId="22877"/>
    <cellStyle name="40% - Accent3 3 2 11" xfId="15489"/>
    <cellStyle name="40% - Accent3 3 2 2" xfId="1618"/>
    <cellStyle name="40% - Accent3 3 2 2 10" xfId="15535"/>
    <cellStyle name="40% - Accent3 3 2 2 2" xfId="1986"/>
    <cellStyle name="40% - Accent3 3 2 2 2 2" xfId="5166"/>
    <cellStyle name="40% - Accent3 3 2 2 2 2 2" xfId="7517"/>
    <cellStyle name="40% - Accent3 3 2 2 2 2 2 2" xfId="11218"/>
    <cellStyle name="40% - Accent3 3 2 2 2 2 2 2 2" xfId="22340"/>
    <cellStyle name="40% - Accent3 3 2 2 2 2 2 3" xfId="14917"/>
    <cellStyle name="40% - Accent3 3 2 2 2 2 2 3 2" xfId="26034"/>
    <cellStyle name="40% - Accent3 3 2 2 2 2 2 4" xfId="18646"/>
    <cellStyle name="40% - Accent3 3 2 2 2 2 3" xfId="9371"/>
    <cellStyle name="40% - Accent3 3 2 2 2 2 3 2" xfId="20493"/>
    <cellStyle name="40% - Accent3 3 2 2 2 2 4" xfId="13070"/>
    <cellStyle name="40% - Accent3 3 2 2 2 2 4 2" xfId="24187"/>
    <cellStyle name="40% - Accent3 3 2 2 2 2 5" xfId="16799"/>
    <cellStyle name="40% - Accent3 3 2 2 2 3" xfId="6598"/>
    <cellStyle name="40% - Accent3 3 2 2 2 3 2" xfId="10300"/>
    <cellStyle name="40% - Accent3 3 2 2 2 3 2 2" xfId="21422"/>
    <cellStyle name="40% - Accent3 3 2 2 2 3 3" xfId="13999"/>
    <cellStyle name="40% - Accent3 3 2 2 2 3 3 2" xfId="25116"/>
    <cellStyle name="40% - Accent3 3 2 2 2 3 4" xfId="17728"/>
    <cellStyle name="40% - Accent3 3 2 2 2 4" xfId="8452"/>
    <cellStyle name="40% - Accent3 3 2 2 2 4 2" xfId="19575"/>
    <cellStyle name="40% - Accent3 3 2 2 2 5" xfId="12152"/>
    <cellStyle name="40% - Accent3 3 2 2 2 5 2" xfId="23269"/>
    <cellStyle name="40% - Accent3 3 2 2 2 6" xfId="15881"/>
    <cellStyle name="40% - Accent3 3 2 2 3" xfId="1831"/>
    <cellStyle name="40% - Accent3 3 2 2 3 2" xfId="5028"/>
    <cellStyle name="40% - Accent3 3 2 2 3 2 2" xfId="7379"/>
    <cellStyle name="40% - Accent3 3 2 2 3 2 2 2" xfId="11080"/>
    <cellStyle name="40% - Accent3 3 2 2 3 2 2 2 2" xfId="22202"/>
    <cellStyle name="40% - Accent3 3 2 2 3 2 2 3" xfId="14779"/>
    <cellStyle name="40% - Accent3 3 2 2 3 2 2 3 2" xfId="25896"/>
    <cellStyle name="40% - Accent3 3 2 2 3 2 2 4" xfId="18508"/>
    <cellStyle name="40% - Accent3 3 2 2 3 2 3" xfId="9233"/>
    <cellStyle name="40% - Accent3 3 2 2 3 2 3 2" xfId="20355"/>
    <cellStyle name="40% - Accent3 3 2 2 3 2 4" xfId="12932"/>
    <cellStyle name="40% - Accent3 3 2 2 3 2 4 2" xfId="24049"/>
    <cellStyle name="40% - Accent3 3 2 2 3 2 5" xfId="16661"/>
    <cellStyle name="40% - Accent3 3 2 2 3 3" xfId="6460"/>
    <cellStyle name="40% - Accent3 3 2 2 3 3 2" xfId="10162"/>
    <cellStyle name="40% - Accent3 3 2 2 3 3 2 2" xfId="21284"/>
    <cellStyle name="40% - Accent3 3 2 2 3 3 3" xfId="13861"/>
    <cellStyle name="40% - Accent3 3 2 2 3 3 3 2" xfId="24978"/>
    <cellStyle name="40% - Accent3 3 2 2 3 3 4" xfId="17590"/>
    <cellStyle name="40% - Accent3 3 2 2 3 4" xfId="8314"/>
    <cellStyle name="40% - Accent3 3 2 2 3 4 2" xfId="19437"/>
    <cellStyle name="40% - Accent3 3 2 2 3 5" xfId="12014"/>
    <cellStyle name="40% - Accent3 3 2 2 3 5 2" xfId="23131"/>
    <cellStyle name="40% - Accent3 3 2 2 3 6" xfId="15743"/>
    <cellStyle name="40% - Accent3 3 2 2 4" xfId="2623"/>
    <cellStyle name="40% - Accent3 3 2 2 4 2" xfId="6756"/>
    <cellStyle name="40% - Accent3 3 2 2 4 2 2" xfId="10458"/>
    <cellStyle name="40% - Accent3 3 2 2 4 2 2 2" xfId="21580"/>
    <cellStyle name="40% - Accent3 3 2 2 4 2 3" xfId="14157"/>
    <cellStyle name="40% - Accent3 3 2 2 4 2 3 2" xfId="25274"/>
    <cellStyle name="40% - Accent3 3 2 2 4 2 4" xfId="17886"/>
    <cellStyle name="40% - Accent3 3 2 2 4 3" xfId="8610"/>
    <cellStyle name="40% - Accent3 3 2 2 4 3 2" xfId="19733"/>
    <cellStyle name="40% - Accent3 3 2 2 4 4" xfId="12310"/>
    <cellStyle name="40% - Accent3 3 2 2 4 4 2" xfId="23427"/>
    <cellStyle name="40% - Accent3 3 2 2 4 5" xfId="16039"/>
    <cellStyle name="40% - Accent3 3 2 2 5" xfId="4820"/>
    <cellStyle name="40% - Accent3 3 2 2 5 2" xfId="7171"/>
    <cellStyle name="40% - Accent3 3 2 2 5 2 2" xfId="10872"/>
    <cellStyle name="40% - Accent3 3 2 2 5 2 2 2" xfId="21994"/>
    <cellStyle name="40% - Accent3 3 2 2 5 2 3" xfId="14571"/>
    <cellStyle name="40% - Accent3 3 2 2 5 2 3 2" xfId="25688"/>
    <cellStyle name="40% - Accent3 3 2 2 5 2 4" xfId="18300"/>
    <cellStyle name="40% - Accent3 3 2 2 5 3" xfId="9025"/>
    <cellStyle name="40% - Accent3 3 2 2 5 3 2" xfId="20147"/>
    <cellStyle name="40% - Accent3 3 2 2 5 4" xfId="12724"/>
    <cellStyle name="40% - Accent3 3 2 2 5 4 2" xfId="23841"/>
    <cellStyle name="40% - Accent3 3 2 2 5 5" xfId="16453"/>
    <cellStyle name="40% - Accent3 3 2 2 6" xfId="5352"/>
    <cellStyle name="40% - Accent3 3 2 2 6 2" xfId="7675"/>
    <cellStyle name="40% - Accent3 3 2 2 6 2 2" xfId="11376"/>
    <cellStyle name="40% - Accent3 3 2 2 6 2 2 2" xfId="22498"/>
    <cellStyle name="40% - Accent3 3 2 2 6 2 3" xfId="15075"/>
    <cellStyle name="40% - Accent3 3 2 2 6 2 3 2" xfId="26192"/>
    <cellStyle name="40% - Accent3 3 2 2 6 2 4" xfId="18804"/>
    <cellStyle name="40% - Accent3 3 2 2 6 3" xfId="9529"/>
    <cellStyle name="40% - Accent3 3 2 2 6 3 2" xfId="20651"/>
    <cellStyle name="40% - Accent3 3 2 2 6 4" xfId="13228"/>
    <cellStyle name="40% - Accent3 3 2 2 6 4 2" xfId="24345"/>
    <cellStyle name="40% - Accent3 3 2 2 6 5" xfId="16957"/>
    <cellStyle name="40% - Accent3 3 2 2 7" xfId="6252"/>
    <cellStyle name="40% - Accent3 3 2 2 7 2" xfId="9954"/>
    <cellStyle name="40% - Accent3 3 2 2 7 2 2" xfId="21076"/>
    <cellStyle name="40% - Accent3 3 2 2 7 3" xfId="13653"/>
    <cellStyle name="40% - Accent3 3 2 2 7 3 2" xfId="24770"/>
    <cellStyle name="40% - Accent3 3 2 2 7 4" xfId="17382"/>
    <cellStyle name="40% - Accent3 3 2 2 8" xfId="8106"/>
    <cellStyle name="40% - Accent3 3 2 2 8 2" xfId="19229"/>
    <cellStyle name="40% - Accent3 3 2 2 9" xfId="11806"/>
    <cellStyle name="40% - Accent3 3 2 2 9 2" xfId="22923"/>
    <cellStyle name="40% - Accent3 3 2 3" xfId="1985"/>
    <cellStyle name="40% - Accent3 3 2 3 2" xfId="2624"/>
    <cellStyle name="40% - Accent3 3 2 3 2 2" xfId="6757"/>
    <cellStyle name="40% - Accent3 3 2 3 2 2 2" xfId="10459"/>
    <cellStyle name="40% - Accent3 3 2 3 2 2 2 2" xfId="21581"/>
    <cellStyle name="40% - Accent3 3 2 3 2 2 3" xfId="14158"/>
    <cellStyle name="40% - Accent3 3 2 3 2 2 3 2" xfId="25275"/>
    <cellStyle name="40% - Accent3 3 2 3 2 2 4" xfId="17887"/>
    <cellStyle name="40% - Accent3 3 2 3 2 3" xfId="8611"/>
    <cellStyle name="40% - Accent3 3 2 3 2 3 2" xfId="19734"/>
    <cellStyle name="40% - Accent3 3 2 3 2 4" xfId="12311"/>
    <cellStyle name="40% - Accent3 3 2 3 2 4 2" xfId="23428"/>
    <cellStyle name="40% - Accent3 3 2 3 2 5" xfId="16040"/>
    <cellStyle name="40% - Accent3 3 2 3 3" xfId="5165"/>
    <cellStyle name="40% - Accent3 3 2 3 3 2" xfId="7516"/>
    <cellStyle name="40% - Accent3 3 2 3 3 2 2" xfId="11217"/>
    <cellStyle name="40% - Accent3 3 2 3 3 2 2 2" xfId="22339"/>
    <cellStyle name="40% - Accent3 3 2 3 3 2 3" xfId="14916"/>
    <cellStyle name="40% - Accent3 3 2 3 3 2 3 2" xfId="26033"/>
    <cellStyle name="40% - Accent3 3 2 3 3 2 4" xfId="18645"/>
    <cellStyle name="40% - Accent3 3 2 3 3 3" xfId="9370"/>
    <cellStyle name="40% - Accent3 3 2 3 3 3 2" xfId="20492"/>
    <cellStyle name="40% - Accent3 3 2 3 3 4" xfId="13069"/>
    <cellStyle name="40% - Accent3 3 2 3 3 4 2" xfId="24186"/>
    <cellStyle name="40% - Accent3 3 2 3 3 5" xfId="16798"/>
    <cellStyle name="40% - Accent3 3 2 3 4" xfId="5353"/>
    <cellStyle name="40% - Accent3 3 2 3 4 2" xfId="7676"/>
    <cellStyle name="40% - Accent3 3 2 3 4 2 2" xfId="11377"/>
    <cellStyle name="40% - Accent3 3 2 3 4 2 2 2" xfId="22499"/>
    <cellStyle name="40% - Accent3 3 2 3 4 2 3" xfId="15076"/>
    <cellStyle name="40% - Accent3 3 2 3 4 2 3 2" xfId="26193"/>
    <cellStyle name="40% - Accent3 3 2 3 4 2 4" xfId="18805"/>
    <cellStyle name="40% - Accent3 3 2 3 4 3" xfId="9530"/>
    <cellStyle name="40% - Accent3 3 2 3 4 3 2" xfId="20652"/>
    <cellStyle name="40% - Accent3 3 2 3 4 4" xfId="13229"/>
    <cellStyle name="40% - Accent3 3 2 3 4 4 2" xfId="24346"/>
    <cellStyle name="40% - Accent3 3 2 3 4 5" xfId="16958"/>
    <cellStyle name="40% - Accent3 3 2 3 5" xfId="6597"/>
    <cellStyle name="40% - Accent3 3 2 3 5 2" xfId="10299"/>
    <cellStyle name="40% - Accent3 3 2 3 5 2 2" xfId="21421"/>
    <cellStyle name="40% - Accent3 3 2 3 5 3" xfId="13998"/>
    <cellStyle name="40% - Accent3 3 2 3 5 3 2" xfId="25115"/>
    <cellStyle name="40% - Accent3 3 2 3 5 4" xfId="17727"/>
    <cellStyle name="40% - Accent3 3 2 3 6" xfId="8451"/>
    <cellStyle name="40% - Accent3 3 2 3 6 2" xfId="19574"/>
    <cellStyle name="40% - Accent3 3 2 3 7" xfId="12151"/>
    <cellStyle name="40% - Accent3 3 2 3 7 2" xfId="23268"/>
    <cellStyle name="40% - Accent3 3 2 3 8" xfId="15880"/>
    <cellStyle name="40% - Accent3 3 2 4" xfId="1785"/>
    <cellStyle name="40% - Accent3 3 2 4 2" xfId="4982"/>
    <cellStyle name="40% - Accent3 3 2 4 2 2" xfId="7333"/>
    <cellStyle name="40% - Accent3 3 2 4 2 2 2" xfId="11034"/>
    <cellStyle name="40% - Accent3 3 2 4 2 2 2 2" xfId="22156"/>
    <cellStyle name="40% - Accent3 3 2 4 2 2 3" xfId="14733"/>
    <cellStyle name="40% - Accent3 3 2 4 2 2 3 2" xfId="25850"/>
    <cellStyle name="40% - Accent3 3 2 4 2 2 4" xfId="18462"/>
    <cellStyle name="40% - Accent3 3 2 4 2 3" xfId="9187"/>
    <cellStyle name="40% - Accent3 3 2 4 2 3 2" xfId="20309"/>
    <cellStyle name="40% - Accent3 3 2 4 2 4" xfId="12886"/>
    <cellStyle name="40% - Accent3 3 2 4 2 4 2" xfId="24003"/>
    <cellStyle name="40% - Accent3 3 2 4 2 5" xfId="16615"/>
    <cellStyle name="40% - Accent3 3 2 4 3" xfId="6414"/>
    <cellStyle name="40% - Accent3 3 2 4 3 2" xfId="10116"/>
    <cellStyle name="40% - Accent3 3 2 4 3 2 2" xfId="21238"/>
    <cellStyle name="40% - Accent3 3 2 4 3 3" xfId="13815"/>
    <cellStyle name="40% - Accent3 3 2 4 3 3 2" xfId="24932"/>
    <cellStyle name="40% - Accent3 3 2 4 3 4" xfId="17544"/>
    <cellStyle name="40% - Accent3 3 2 4 4" xfId="8268"/>
    <cellStyle name="40% - Accent3 3 2 4 4 2" xfId="19391"/>
    <cellStyle name="40% - Accent3 3 2 4 5" xfId="11968"/>
    <cellStyle name="40% - Accent3 3 2 4 5 2" xfId="23085"/>
    <cellStyle name="40% - Accent3 3 2 4 6" xfId="15697"/>
    <cellStyle name="40% - Accent3 3 2 5" xfId="2622"/>
    <cellStyle name="40% - Accent3 3 2 5 2" xfId="6755"/>
    <cellStyle name="40% - Accent3 3 2 5 2 2" xfId="10457"/>
    <cellStyle name="40% - Accent3 3 2 5 2 2 2" xfId="21579"/>
    <cellStyle name="40% - Accent3 3 2 5 2 3" xfId="14156"/>
    <cellStyle name="40% - Accent3 3 2 5 2 3 2" xfId="25273"/>
    <cellStyle name="40% - Accent3 3 2 5 2 4" xfId="17885"/>
    <cellStyle name="40% - Accent3 3 2 5 3" xfId="8609"/>
    <cellStyle name="40% - Accent3 3 2 5 3 2" xfId="19732"/>
    <cellStyle name="40% - Accent3 3 2 5 4" xfId="12309"/>
    <cellStyle name="40% - Accent3 3 2 5 4 2" xfId="23426"/>
    <cellStyle name="40% - Accent3 3 2 5 5" xfId="16038"/>
    <cellStyle name="40% - Accent3 3 2 6" xfId="4774"/>
    <cellStyle name="40% - Accent3 3 2 6 2" xfId="7125"/>
    <cellStyle name="40% - Accent3 3 2 6 2 2" xfId="10826"/>
    <cellStyle name="40% - Accent3 3 2 6 2 2 2" xfId="21948"/>
    <cellStyle name="40% - Accent3 3 2 6 2 3" xfId="14525"/>
    <cellStyle name="40% - Accent3 3 2 6 2 3 2" xfId="25642"/>
    <cellStyle name="40% - Accent3 3 2 6 2 4" xfId="18254"/>
    <cellStyle name="40% - Accent3 3 2 6 3" xfId="8979"/>
    <cellStyle name="40% - Accent3 3 2 6 3 2" xfId="20101"/>
    <cellStyle name="40% - Accent3 3 2 6 4" xfId="12678"/>
    <cellStyle name="40% - Accent3 3 2 6 4 2" xfId="23795"/>
    <cellStyle name="40% - Accent3 3 2 6 5" xfId="16407"/>
    <cellStyle name="40% - Accent3 3 2 7" xfId="5351"/>
    <cellStyle name="40% - Accent3 3 2 7 2" xfId="7674"/>
    <cellStyle name="40% - Accent3 3 2 7 2 2" xfId="11375"/>
    <cellStyle name="40% - Accent3 3 2 7 2 2 2" xfId="22497"/>
    <cellStyle name="40% - Accent3 3 2 7 2 3" xfId="15074"/>
    <cellStyle name="40% - Accent3 3 2 7 2 3 2" xfId="26191"/>
    <cellStyle name="40% - Accent3 3 2 7 2 4" xfId="18803"/>
    <cellStyle name="40% - Accent3 3 2 7 3" xfId="9528"/>
    <cellStyle name="40% - Accent3 3 2 7 3 2" xfId="20650"/>
    <cellStyle name="40% - Accent3 3 2 7 4" xfId="13227"/>
    <cellStyle name="40% - Accent3 3 2 7 4 2" xfId="24344"/>
    <cellStyle name="40% - Accent3 3 2 7 5" xfId="16956"/>
    <cellStyle name="40% - Accent3 3 2 8" xfId="6206"/>
    <cellStyle name="40% - Accent3 3 2 8 2" xfId="9908"/>
    <cellStyle name="40% - Accent3 3 2 8 2 2" xfId="21030"/>
    <cellStyle name="40% - Accent3 3 2 8 3" xfId="13607"/>
    <cellStyle name="40% - Accent3 3 2 8 3 2" xfId="24724"/>
    <cellStyle name="40% - Accent3 3 2 8 4" xfId="17336"/>
    <cellStyle name="40% - Accent3 3 2 9" xfId="8060"/>
    <cellStyle name="40% - Accent3 3 2 9 2" xfId="19183"/>
    <cellStyle name="40% - Accent3 3 3" xfId="1625"/>
    <cellStyle name="40% - Accent3 3 3 10" xfId="15542"/>
    <cellStyle name="40% - Accent3 3 3 2" xfId="1987"/>
    <cellStyle name="40% - Accent3 3 3 2 2" xfId="5167"/>
    <cellStyle name="40% - Accent3 3 3 2 2 2" xfId="7518"/>
    <cellStyle name="40% - Accent3 3 3 2 2 2 2" xfId="11219"/>
    <cellStyle name="40% - Accent3 3 3 2 2 2 2 2" xfId="22341"/>
    <cellStyle name="40% - Accent3 3 3 2 2 2 3" xfId="14918"/>
    <cellStyle name="40% - Accent3 3 3 2 2 2 3 2" xfId="26035"/>
    <cellStyle name="40% - Accent3 3 3 2 2 2 4" xfId="18647"/>
    <cellStyle name="40% - Accent3 3 3 2 2 3" xfId="9372"/>
    <cellStyle name="40% - Accent3 3 3 2 2 3 2" xfId="20494"/>
    <cellStyle name="40% - Accent3 3 3 2 2 4" xfId="13071"/>
    <cellStyle name="40% - Accent3 3 3 2 2 4 2" xfId="24188"/>
    <cellStyle name="40% - Accent3 3 3 2 2 5" xfId="16800"/>
    <cellStyle name="40% - Accent3 3 3 2 3" xfId="6599"/>
    <cellStyle name="40% - Accent3 3 3 2 3 2" xfId="10301"/>
    <cellStyle name="40% - Accent3 3 3 2 3 2 2" xfId="21423"/>
    <cellStyle name="40% - Accent3 3 3 2 3 3" xfId="14000"/>
    <cellStyle name="40% - Accent3 3 3 2 3 3 2" xfId="25117"/>
    <cellStyle name="40% - Accent3 3 3 2 3 4" xfId="17729"/>
    <cellStyle name="40% - Accent3 3 3 2 4" xfId="8453"/>
    <cellStyle name="40% - Accent3 3 3 2 4 2" xfId="19576"/>
    <cellStyle name="40% - Accent3 3 3 2 5" xfId="12153"/>
    <cellStyle name="40% - Accent3 3 3 2 5 2" xfId="23270"/>
    <cellStyle name="40% - Accent3 3 3 2 6" xfId="15882"/>
    <cellStyle name="40% - Accent3 3 3 3" xfId="1838"/>
    <cellStyle name="40% - Accent3 3 3 3 2" xfId="5035"/>
    <cellStyle name="40% - Accent3 3 3 3 2 2" xfId="7386"/>
    <cellStyle name="40% - Accent3 3 3 3 2 2 2" xfId="11087"/>
    <cellStyle name="40% - Accent3 3 3 3 2 2 2 2" xfId="22209"/>
    <cellStyle name="40% - Accent3 3 3 3 2 2 3" xfId="14786"/>
    <cellStyle name="40% - Accent3 3 3 3 2 2 3 2" xfId="25903"/>
    <cellStyle name="40% - Accent3 3 3 3 2 2 4" xfId="18515"/>
    <cellStyle name="40% - Accent3 3 3 3 2 3" xfId="9240"/>
    <cellStyle name="40% - Accent3 3 3 3 2 3 2" xfId="20362"/>
    <cellStyle name="40% - Accent3 3 3 3 2 4" xfId="12939"/>
    <cellStyle name="40% - Accent3 3 3 3 2 4 2" xfId="24056"/>
    <cellStyle name="40% - Accent3 3 3 3 2 5" xfId="16668"/>
    <cellStyle name="40% - Accent3 3 3 3 3" xfId="6467"/>
    <cellStyle name="40% - Accent3 3 3 3 3 2" xfId="10169"/>
    <cellStyle name="40% - Accent3 3 3 3 3 2 2" xfId="21291"/>
    <cellStyle name="40% - Accent3 3 3 3 3 3" xfId="13868"/>
    <cellStyle name="40% - Accent3 3 3 3 3 3 2" xfId="24985"/>
    <cellStyle name="40% - Accent3 3 3 3 3 4" xfId="17597"/>
    <cellStyle name="40% - Accent3 3 3 3 4" xfId="8321"/>
    <cellStyle name="40% - Accent3 3 3 3 4 2" xfId="19444"/>
    <cellStyle name="40% - Accent3 3 3 3 5" xfId="12021"/>
    <cellStyle name="40% - Accent3 3 3 3 5 2" xfId="23138"/>
    <cellStyle name="40% - Accent3 3 3 3 6" xfId="15750"/>
    <cellStyle name="40% - Accent3 3 3 4" xfId="2625"/>
    <cellStyle name="40% - Accent3 3 3 4 2" xfId="6758"/>
    <cellStyle name="40% - Accent3 3 3 4 2 2" xfId="10460"/>
    <cellStyle name="40% - Accent3 3 3 4 2 2 2" xfId="21582"/>
    <cellStyle name="40% - Accent3 3 3 4 2 3" xfId="14159"/>
    <cellStyle name="40% - Accent3 3 3 4 2 3 2" xfId="25276"/>
    <cellStyle name="40% - Accent3 3 3 4 2 4" xfId="17888"/>
    <cellStyle name="40% - Accent3 3 3 4 3" xfId="8612"/>
    <cellStyle name="40% - Accent3 3 3 4 3 2" xfId="19735"/>
    <cellStyle name="40% - Accent3 3 3 4 4" xfId="12312"/>
    <cellStyle name="40% - Accent3 3 3 4 4 2" xfId="23429"/>
    <cellStyle name="40% - Accent3 3 3 4 5" xfId="16041"/>
    <cellStyle name="40% - Accent3 3 3 5" xfId="4827"/>
    <cellStyle name="40% - Accent3 3 3 5 2" xfId="7178"/>
    <cellStyle name="40% - Accent3 3 3 5 2 2" xfId="10879"/>
    <cellStyle name="40% - Accent3 3 3 5 2 2 2" xfId="22001"/>
    <cellStyle name="40% - Accent3 3 3 5 2 3" xfId="14578"/>
    <cellStyle name="40% - Accent3 3 3 5 2 3 2" xfId="25695"/>
    <cellStyle name="40% - Accent3 3 3 5 2 4" xfId="18307"/>
    <cellStyle name="40% - Accent3 3 3 5 3" xfId="9032"/>
    <cellStyle name="40% - Accent3 3 3 5 3 2" xfId="20154"/>
    <cellStyle name="40% - Accent3 3 3 5 4" xfId="12731"/>
    <cellStyle name="40% - Accent3 3 3 5 4 2" xfId="23848"/>
    <cellStyle name="40% - Accent3 3 3 5 5" xfId="16460"/>
    <cellStyle name="40% - Accent3 3 3 6" xfId="5354"/>
    <cellStyle name="40% - Accent3 3 3 6 2" xfId="7677"/>
    <cellStyle name="40% - Accent3 3 3 6 2 2" xfId="11378"/>
    <cellStyle name="40% - Accent3 3 3 6 2 2 2" xfId="22500"/>
    <cellStyle name="40% - Accent3 3 3 6 2 3" xfId="15077"/>
    <cellStyle name="40% - Accent3 3 3 6 2 3 2" xfId="26194"/>
    <cellStyle name="40% - Accent3 3 3 6 2 4" xfId="18806"/>
    <cellStyle name="40% - Accent3 3 3 6 3" xfId="9531"/>
    <cellStyle name="40% - Accent3 3 3 6 3 2" xfId="20653"/>
    <cellStyle name="40% - Accent3 3 3 6 4" xfId="13230"/>
    <cellStyle name="40% - Accent3 3 3 6 4 2" xfId="24347"/>
    <cellStyle name="40% - Accent3 3 3 6 5" xfId="16959"/>
    <cellStyle name="40% - Accent3 3 3 7" xfId="6259"/>
    <cellStyle name="40% - Accent3 3 3 7 2" xfId="9961"/>
    <cellStyle name="40% - Accent3 3 3 7 2 2" xfId="21083"/>
    <cellStyle name="40% - Accent3 3 3 7 3" xfId="13660"/>
    <cellStyle name="40% - Accent3 3 3 7 3 2" xfId="24777"/>
    <cellStyle name="40% - Accent3 3 3 7 4" xfId="17389"/>
    <cellStyle name="40% - Accent3 3 3 8" xfId="8113"/>
    <cellStyle name="40% - Accent3 3 3 8 2" xfId="19236"/>
    <cellStyle name="40% - Accent3 3 3 9" xfId="11813"/>
    <cellStyle name="40% - Accent3 3 3 9 2" xfId="22930"/>
    <cellStyle name="40% - Accent3 3 4" xfId="1984"/>
    <cellStyle name="40% - Accent3 3 4 2" xfId="2626"/>
    <cellStyle name="40% - Accent3 3 4 2 2" xfId="6759"/>
    <cellStyle name="40% - Accent3 3 4 2 2 2" xfId="10461"/>
    <cellStyle name="40% - Accent3 3 4 2 2 2 2" xfId="21583"/>
    <cellStyle name="40% - Accent3 3 4 2 2 3" xfId="14160"/>
    <cellStyle name="40% - Accent3 3 4 2 2 3 2" xfId="25277"/>
    <cellStyle name="40% - Accent3 3 4 2 2 4" xfId="17889"/>
    <cellStyle name="40% - Accent3 3 4 2 3" xfId="8613"/>
    <cellStyle name="40% - Accent3 3 4 2 3 2" xfId="19736"/>
    <cellStyle name="40% - Accent3 3 4 2 4" xfId="12313"/>
    <cellStyle name="40% - Accent3 3 4 2 4 2" xfId="23430"/>
    <cellStyle name="40% - Accent3 3 4 2 5" xfId="16042"/>
    <cellStyle name="40% - Accent3 3 4 3" xfId="5164"/>
    <cellStyle name="40% - Accent3 3 4 3 2" xfId="7515"/>
    <cellStyle name="40% - Accent3 3 4 3 2 2" xfId="11216"/>
    <cellStyle name="40% - Accent3 3 4 3 2 2 2" xfId="22338"/>
    <cellStyle name="40% - Accent3 3 4 3 2 3" xfId="14915"/>
    <cellStyle name="40% - Accent3 3 4 3 2 3 2" xfId="26032"/>
    <cellStyle name="40% - Accent3 3 4 3 2 4" xfId="18644"/>
    <cellStyle name="40% - Accent3 3 4 3 3" xfId="9369"/>
    <cellStyle name="40% - Accent3 3 4 3 3 2" xfId="20491"/>
    <cellStyle name="40% - Accent3 3 4 3 4" xfId="13068"/>
    <cellStyle name="40% - Accent3 3 4 3 4 2" xfId="24185"/>
    <cellStyle name="40% - Accent3 3 4 3 5" xfId="16797"/>
    <cellStyle name="40% - Accent3 3 4 4" xfId="5355"/>
    <cellStyle name="40% - Accent3 3 4 4 2" xfId="7678"/>
    <cellStyle name="40% - Accent3 3 4 4 2 2" xfId="11379"/>
    <cellStyle name="40% - Accent3 3 4 4 2 2 2" xfId="22501"/>
    <cellStyle name="40% - Accent3 3 4 4 2 3" xfId="15078"/>
    <cellStyle name="40% - Accent3 3 4 4 2 3 2" xfId="26195"/>
    <cellStyle name="40% - Accent3 3 4 4 2 4" xfId="18807"/>
    <cellStyle name="40% - Accent3 3 4 4 3" xfId="9532"/>
    <cellStyle name="40% - Accent3 3 4 4 3 2" xfId="20654"/>
    <cellStyle name="40% - Accent3 3 4 4 4" xfId="13231"/>
    <cellStyle name="40% - Accent3 3 4 4 4 2" xfId="24348"/>
    <cellStyle name="40% - Accent3 3 4 4 5" xfId="16960"/>
    <cellStyle name="40% - Accent3 3 4 5" xfId="6596"/>
    <cellStyle name="40% - Accent3 3 4 5 2" xfId="10298"/>
    <cellStyle name="40% - Accent3 3 4 5 2 2" xfId="21420"/>
    <cellStyle name="40% - Accent3 3 4 5 3" xfId="13997"/>
    <cellStyle name="40% - Accent3 3 4 5 3 2" xfId="25114"/>
    <cellStyle name="40% - Accent3 3 4 5 4" xfId="17726"/>
    <cellStyle name="40% - Accent3 3 4 6" xfId="8450"/>
    <cellStyle name="40% - Accent3 3 4 6 2" xfId="19573"/>
    <cellStyle name="40% - Accent3 3 4 7" xfId="12150"/>
    <cellStyle name="40% - Accent3 3 4 7 2" xfId="23267"/>
    <cellStyle name="40% - Accent3 3 4 8" xfId="15879"/>
    <cellStyle name="40% - Accent3 3 5" xfId="1734"/>
    <cellStyle name="40% - Accent3 3 5 2" xfId="2627"/>
    <cellStyle name="40% - Accent3 3 5 3" xfId="4931"/>
    <cellStyle name="40% - Accent3 3 5 3 2" xfId="7282"/>
    <cellStyle name="40% - Accent3 3 5 3 2 2" xfId="10983"/>
    <cellStyle name="40% - Accent3 3 5 3 2 2 2" xfId="22105"/>
    <cellStyle name="40% - Accent3 3 5 3 2 3" xfId="14682"/>
    <cellStyle name="40% - Accent3 3 5 3 2 3 2" xfId="25799"/>
    <cellStyle name="40% - Accent3 3 5 3 2 4" xfId="18411"/>
    <cellStyle name="40% - Accent3 3 5 3 3" xfId="9136"/>
    <cellStyle name="40% - Accent3 3 5 3 3 2" xfId="20258"/>
    <cellStyle name="40% - Accent3 3 5 3 4" xfId="12835"/>
    <cellStyle name="40% - Accent3 3 5 3 4 2" xfId="23952"/>
    <cellStyle name="40% - Accent3 3 5 3 5" xfId="16564"/>
    <cellStyle name="40% - Accent3 3 5 4" xfId="6363"/>
    <cellStyle name="40% - Accent3 3 5 4 2" xfId="10065"/>
    <cellStyle name="40% - Accent3 3 5 4 2 2" xfId="21187"/>
    <cellStyle name="40% - Accent3 3 5 4 3" xfId="13764"/>
    <cellStyle name="40% - Accent3 3 5 4 3 2" xfId="24881"/>
    <cellStyle name="40% - Accent3 3 5 4 4" xfId="17493"/>
    <cellStyle name="40% - Accent3 3 5 5" xfId="8217"/>
    <cellStyle name="40% - Accent3 3 5 5 2" xfId="19340"/>
    <cellStyle name="40% - Accent3 3 5 6" xfId="11917"/>
    <cellStyle name="40% - Accent3 3 5 6 2" xfId="23034"/>
    <cellStyle name="40% - Accent3 3 5 7" xfId="15646"/>
    <cellStyle name="40% - Accent3 3 6" xfId="2621"/>
    <cellStyle name="40% - Accent3 3 6 2" xfId="6754"/>
    <cellStyle name="40% - Accent3 3 6 2 2" xfId="10456"/>
    <cellStyle name="40% - Accent3 3 6 2 2 2" xfId="21578"/>
    <cellStyle name="40% - Accent3 3 6 2 3" xfId="14155"/>
    <cellStyle name="40% - Accent3 3 6 2 3 2" xfId="25272"/>
    <cellStyle name="40% - Accent3 3 6 2 4" xfId="17884"/>
    <cellStyle name="40% - Accent3 3 6 3" xfId="8608"/>
    <cellStyle name="40% - Accent3 3 6 3 2" xfId="19731"/>
    <cellStyle name="40% - Accent3 3 6 4" xfId="12308"/>
    <cellStyle name="40% - Accent3 3 6 4 2" xfId="23425"/>
    <cellStyle name="40% - Accent3 3 6 5" xfId="16037"/>
    <cellStyle name="40% - Accent3 3 7" xfId="4722"/>
    <cellStyle name="40% - Accent3 3 7 2" xfId="7074"/>
    <cellStyle name="40% - Accent3 3 7 2 2" xfId="10775"/>
    <cellStyle name="40% - Accent3 3 7 2 2 2" xfId="21897"/>
    <cellStyle name="40% - Accent3 3 7 2 3" xfId="14474"/>
    <cellStyle name="40% - Accent3 3 7 2 3 2" xfId="25591"/>
    <cellStyle name="40% - Accent3 3 7 2 4" xfId="18203"/>
    <cellStyle name="40% - Accent3 3 7 3" xfId="8928"/>
    <cellStyle name="40% - Accent3 3 7 3 2" xfId="20050"/>
    <cellStyle name="40% - Accent3 3 7 4" xfId="12627"/>
    <cellStyle name="40% - Accent3 3 7 4 2" xfId="23744"/>
    <cellStyle name="40% - Accent3 3 7 5" xfId="16356"/>
    <cellStyle name="40% - Accent3 3 8" xfId="5350"/>
    <cellStyle name="40% - Accent3 3 8 2" xfId="7673"/>
    <cellStyle name="40% - Accent3 3 8 2 2" xfId="11374"/>
    <cellStyle name="40% - Accent3 3 8 2 2 2" xfId="22496"/>
    <cellStyle name="40% - Accent3 3 8 2 3" xfId="15073"/>
    <cellStyle name="40% - Accent3 3 8 2 3 2" xfId="26190"/>
    <cellStyle name="40% - Accent3 3 8 2 4" xfId="18802"/>
    <cellStyle name="40% - Accent3 3 8 3" xfId="9527"/>
    <cellStyle name="40% - Accent3 3 8 3 2" xfId="20649"/>
    <cellStyle name="40% - Accent3 3 8 4" xfId="13226"/>
    <cellStyle name="40% - Accent3 3 8 4 2" xfId="24343"/>
    <cellStyle name="40% - Accent3 3 8 5" xfId="16955"/>
    <cellStyle name="40% - Accent3 3 9" xfId="5861"/>
    <cellStyle name="40% - Accent4" xfId="17" builtinId="43" customBuiltin="1"/>
    <cellStyle name="40% - Accent4 2" xfId="188"/>
    <cellStyle name="40% - Accent4 2 2" xfId="1174"/>
    <cellStyle name="40% - Accent4 2 3" xfId="1175"/>
    <cellStyle name="40% - Accent4 3" xfId="774"/>
    <cellStyle name="40% - Accent4 3 10" xfId="6157"/>
    <cellStyle name="40% - Accent4 3 10 2" xfId="9859"/>
    <cellStyle name="40% - Accent4 3 10 2 2" xfId="20981"/>
    <cellStyle name="40% - Accent4 3 10 3" xfId="13558"/>
    <cellStyle name="40% - Accent4 3 10 3 2" xfId="24675"/>
    <cellStyle name="40% - Accent4 3 10 4" xfId="17287"/>
    <cellStyle name="40% - Accent4 3 11" xfId="8010"/>
    <cellStyle name="40% - Accent4 3 11 2" xfId="19134"/>
    <cellStyle name="40% - Accent4 3 12" xfId="11711"/>
    <cellStyle name="40% - Accent4 3 12 2" xfId="22828"/>
    <cellStyle name="40% - Accent4 3 13" xfId="15440"/>
    <cellStyle name="40% - Accent4 3 2" xfId="1564"/>
    <cellStyle name="40% - Accent4 3 2 10" xfId="11762"/>
    <cellStyle name="40% - Accent4 3 2 10 2" xfId="22879"/>
    <cellStyle name="40% - Accent4 3 2 11" xfId="15491"/>
    <cellStyle name="40% - Accent4 3 2 2" xfId="1683"/>
    <cellStyle name="40% - Accent4 3 2 2 10" xfId="15597"/>
    <cellStyle name="40% - Accent4 3 2 2 2" xfId="1990"/>
    <cellStyle name="40% - Accent4 3 2 2 2 2" xfId="5170"/>
    <cellStyle name="40% - Accent4 3 2 2 2 2 2" xfId="7521"/>
    <cellStyle name="40% - Accent4 3 2 2 2 2 2 2" xfId="11222"/>
    <cellStyle name="40% - Accent4 3 2 2 2 2 2 2 2" xfId="22344"/>
    <cellStyle name="40% - Accent4 3 2 2 2 2 2 3" xfId="14921"/>
    <cellStyle name="40% - Accent4 3 2 2 2 2 2 3 2" xfId="26038"/>
    <cellStyle name="40% - Accent4 3 2 2 2 2 2 4" xfId="18650"/>
    <cellStyle name="40% - Accent4 3 2 2 2 2 3" xfId="9375"/>
    <cellStyle name="40% - Accent4 3 2 2 2 2 3 2" xfId="20497"/>
    <cellStyle name="40% - Accent4 3 2 2 2 2 4" xfId="13074"/>
    <cellStyle name="40% - Accent4 3 2 2 2 2 4 2" xfId="24191"/>
    <cellStyle name="40% - Accent4 3 2 2 2 2 5" xfId="16803"/>
    <cellStyle name="40% - Accent4 3 2 2 2 3" xfId="6602"/>
    <cellStyle name="40% - Accent4 3 2 2 2 3 2" xfId="10304"/>
    <cellStyle name="40% - Accent4 3 2 2 2 3 2 2" xfId="21426"/>
    <cellStyle name="40% - Accent4 3 2 2 2 3 3" xfId="14003"/>
    <cellStyle name="40% - Accent4 3 2 2 2 3 3 2" xfId="25120"/>
    <cellStyle name="40% - Accent4 3 2 2 2 3 4" xfId="17732"/>
    <cellStyle name="40% - Accent4 3 2 2 2 4" xfId="8456"/>
    <cellStyle name="40% - Accent4 3 2 2 2 4 2" xfId="19579"/>
    <cellStyle name="40% - Accent4 3 2 2 2 5" xfId="12156"/>
    <cellStyle name="40% - Accent4 3 2 2 2 5 2" xfId="23273"/>
    <cellStyle name="40% - Accent4 3 2 2 2 6" xfId="15885"/>
    <cellStyle name="40% - Accent4 3 2 2 3" xfId="1893"/>
    <cellStyle name="40% - Accent4 3 2 2 3 2" xfId="5090"/>
    <cellStyle name="40% - Accent4 3 2 2 3 2 2" xfId="7441"/>
    <cellStyle name="40% - Accent4 3 2 2 3 2 2 2" xfId="11142"/>
    <cellStyle name="40% - Accent4 3 2 2 3 2 2 2 2" xfId="22264"/>
    <cellStyle name="40% - Accent4 3 2 2 3 2 2 3" xfId="14841"/>
    <cellStyle name="40% - Accent4 3 2 2 3 2 2 3 2" xfId="25958"/>
    <cellStyle name="40% - Accent4 3 2 2 3 2 2 4" xfId="18570"/>
    <cellStyle name="40% - Accent4 3 2 2 3 2 3" xfId="9295"/>
    <cellStyle name="40% - Accent4 3 2 2 3 2 3 2" xfId="20417"/>
    <cellStyle name="40% - Accent4 3 2 2 3 2 4" xfId="12994"/>
    <cellStyle name="40% - Accent4 3 2 2 3 2 4 2" xfId="24111"/>
    <cellStyle name="40% - Accent4 3 2 2 3 2 5" xfId="16723"/>
    <cellStyle name="40% - Accent4 3 2 2 3 3" xfId="6522"/>
    <cellStyle name="40% - Accent4 3 2 2 3 3 2" xfId="10224"/>
    <cellStyle name="40% - Accent4 3 2 2 3 3 2 2" xfId="21346"/>
    <cellStyle name="40% - Accent4 3 2 2 3 3 3" xfId="13923"/>
    <cellStyle name="40% - Accent4 3 2 2 3 3 3 2" xfId="25040"/>
    <cellStyle name="40% - Accent4 3 2 2 3 3 4" xfId="17652"/>
    <cellStyle name="40% - Accent4 3 2 2 3 4" xfId="8376"/>
    <cellStyle name="40% - Accent4 3 2 2 3 4 2" xfId="19499"/>
    <cellStyle name="40% - Accent4 3 2 2 3 5" xfId="12076"/>
    <cellStyle name="40% - Accent4 3 2 2 3 5 2" xfId="23193"/>
    <cellStyle name="40% - Accent4 3 2 2 3 6" xfId="15805"/>
    <cellStyle name="40% - Accent4 3 2 2 4" xfId="2630"/>
    <cellStyle name="40% - Accent4 3 2 2 4 2" xfId="6762"/>
    <cellStyle name="40% - Accent4 3 2 2 4 2 2" xfId="10464"/>
    <cellStyle name="40% - Accent4 3 2 2 4 2 2 2" xfId="21586"/>
    <cellStyle name="40% - Accent4 3 2 2 4 2 3" xfId="14163"/>
    <cellStyle name="40% - Accent4 3 2 2 4 2 3 2" xfId="25280"/>
    <cellStyle name="40% - Accent4 3 2 2 4 2 4" xfId="17892"/>
    <cellStyle name="40% - Accent4 3 2 2 4 3" xfId="8616"/>
    <cellStyle name="40% - Accent4 3 2 2 4 3 2" xfId="19739"/>
    <cellStyle name="40% - Accent4 3 2 2 4 4" xfId="12316"/>
    <cellStyle name="40% - Accent4 3 2 2 4 4 2" xfId="23433"/>
    <cellStyle name="40% - Accent4 3 2 2 4 5" xfId="16045"/>
    <cellStyle name="40% - Accent4 3 2 2 5" xfId="4882"/>
    <cellStyle name="40% - Accent4 3 2 2 5 2" xfId="7233"/>
    <cellStyle name="40% - Accent4 3 2 2 5 2 2" xfId="10934"/>
    <cellStyle name="40% - Accent4 3 2 2 5 2 2 2" xfId="22056"/>
    <cellStyle name="40% - Accent4 3 2 2 5 2 3" xfId="14633"/>
    <cellStyle name="40% - Accent4 3 2 2 5 2 3 2" xfId="25750"/>
    <cellStyle name="40% - Accent4 3 2 2 5 2 4" xfId="18362"/>
    <cellStyle name="40% - Accent4 3 2 2 5 3" xfId="9087"/>
    <cellStyle name="40% - Accent4 3 2 2 5 3 2" xfId="20209"/>
    <cellStyle name="40% - Accent4 3 2 2 5 4" xfId="12786"/>
    <cellStyle name="40% - Accent4 3 2 2 5 4 2" xfId="23903"/>
    <cellStyle name="40% - Accent4 3 2 2 5 5" xfId="16515"/>
    <cellStyle name="40% - Accent4 3 2 2 6" xfId="5358"/>
    <cellStyle name="40% - Accent4 3 2 2 6 2" xfId="7681"/>
    <cellStyle name="40% - Accent4 3 2 2 6 2 2" xfId="11382"/>
    <cellStyle name="40% - Accent4 3 2 2 6 2 2 2" xfId="22504"/>
    <cellStyle name="40% - Accent4 3 2 2 6 2 3" xfId="15081"/>
    <cellStyle name="40% - Accent4 3 2 2 6 2 3 2" xfId="26198"/>
    <cellStyle name="40% - Accent4 3 2 2 6 2 4" xfId="18810"/>
    <cellStyle name="40% - Accent4 3 2 2 6 3" xfId="9535"/>
    <cellStyle name="40% - Accent4 3 2 2 6 3 2" xfId="20657"/>
    <cellStyle name="40% - Accent4 3 2 2 6 4" xfId="13234"/>
    <cellStyle name="40% - Accent4 3 2 2 6 4 2" xfId="24351"/>
    <cellStyle name="40% - Accent4 3 2 2 6 5" xfId="16963"/>
    <cellStyle name="40% - Accent4 3 2 2 7" xfId="6314"/>
    <cellStyle name="40% - Accent4 3 2 2 7 2" xfId="10016"/>
    <cellStyle name="40% - Accent4 3 2 2 7 2 2" xfId="21138"/>
    <cellStyle name="40% - Accent4 3 2 2 7 3" xfId="13715"/>
    <cellStyle name="40% - Accent4 3 2 2 7 3 2" xfId="24832"/>
    <cellStyle name="40% - Accent4 3 2 2 7 4" xfId="17444"/>
    <cellStyle name="40% - Accent4 3 2 2 8" xfId="8168"/>
    <cellStyle name="40% - Accent4 3 2 2 8 2" xfId="19291"/>
    <cellStyle name="40% - Accent4 3 2 2 9" xfId="11868"/>
    <cellStyle name="40% - Accent4 3 2 2 9 2" xfId="22985"/>
    <cellStyle name="40% - Accent4 3 2 3" xfId="1989"/>
    <cellStyle name="40% - Accent4 3 2 3 2" xfId="2631"/>
    <cellStyle name="40% - Accent4 3 2 3 2 2" xfId="6763"/>
    <cellStyle name="40% - Accent4 3 2 3 2 2 2" xfId="10465"/>
    <cellStyle name="40% - Accent4 3 2 3 2 2 2 2" xfId="21587"/>
    <cellStyle name="40% - Accent4 3 2 3 2 2 3" xfId="14164"/>
    <cellStyle name="40% - Accent4 3 2 3 2 2 3 2" xfId="25281"/>
    <cellStyle name="40% - Accent4 3 2 3 2 2 4" xfId="17893"/>
    <cellStyle name="40% - Accent4 3 2 3 2 3" xfId="8617"/>
    <cellStyle name="40% - Accent4 3 2 3 2 3 2" xfId="19740"/>
    <cellStyle name="40% - Accent4 3 2 3 2 4" xfId="12317"/>
    <cellStyle name="40% - Accent4 3 2 3 2 4 2" xfId="23434"/>
    <cellStyle name="40% - Accent4 3 2 3 2 5" xfId="16046"/>
    <cellStyle name="40% - Accent4 3 2 3 3" xfId="5169"/>
    <cellStyle name="40% - Accent4 3 2 3 3 2" xfId="7520"/>
    <cellStyle name="40% - Accent4 3 2 3 3 2 2" xfId="11221"/>
    <cellStyle name="40% - Accent4 3 2 3 3 2 2 2" xfId="22343"/>
    <cellStyle name="40% - Accent4 3 2 3 3 2 3" xfId="14920"/>
    <cellStyle name="40% - Accent4 3 2 3 3 2 3 2" xfId="26037"/>
    <cellStyle name="40% - Accent4 3 2 3 3 2 4" xfId="18649"/>
    <cellStyle name="40% - Accent4 3 2 3 3 3" xfId="9374"/>
    <cellStyle name="40% - Accent4 3 2 3 3 3 2" xfId="20496"/>
    <cellStyle name="40% - Accent4 3 2 3 3 4" xfId="13073"/>
    <cellStyle name="40% - Accent4 3 2 3 3 4 2" xfId="24190"/>
    <cellStyle name="40% - Accent4 3 2 3 3 5" xfId="16802"/>
    <cellStyle name="40% - Accent4 3 2 3 4" xfId="5359"/>
    <cellStyle name="40% - Accent4 3 2 3 4 2" xfId="7682"/>
    <cellStyle name="40% - Accent4 3 2 3 4 2 2" xfId="11383"/>
    <cellStyle name="40% - Accent4 3 2 3 4 2 2 2" xfId="22505"/>
    <cellStyle name="40% - Accent4 3 2 3 4 2 3" xfId="15082"/>
    <cellStyle name="40% - Accent4 3 2 3 4 2 3 2" xfId="26199"/>
    <cellStyle name="40% - Accent4 3 2 3 4 2 4" xfId="18811"/>
    <cellStyle name="40% - Accent4 3 2 3 4 3" xfId="9536"/>
    <cellStyle name="40% - Accent4 3 2 3 4 3 2" xfId="20658"/>
    <cellStyle name="40% - Accent4 3 2 3 4 4" xfId="13235"/>
    <cellStyle name="40% - Accent4 3 2 3 4 4 2" xfId="24352"/>
    <cellStyle name="40% - Accent4 3 2 3 4 5" xfId="16964"/>
    <cellStyle name="40% - Accent4 3 2 3 5" xfId="6601"/>
    <cellStyle name="40% - Accent4 3 2 3 5 2" xfId="10303"/>
    <cellStyle name="40% - Accent4 3 2 3 5 2 2" xfId="21425"/>
    <cellStyle name="40% - Accent4 3 2 3 5 3" xfId="14002"/>
    <cellStyle name="40% - Accent4 3 2 3 5 3 2" xfId="25119"/>
    <cellStyle name="40% - Accent4 3 2 3 5 4" xfId="17731"/>
    <cellStyle name="40% - Accent4 3 2 3 6" xfId="8455"/>
    <cellStyle name="40% - Accent4 3 2 3 6 2" xfId="19578"/>
    <cellStyle name="40% - Accent4 3 2 3 7" xfId="12155"/>
    <cellStyle name="40% - Accent4 3 2 3 7 2" xfId="23272"/>
    <cellStyle name="40% - Accent4 3 2 3 8" xfId="15884"/>
    <cellStyle name="40% - Accent4 3 2 4" xfId="1787"/>
    <cellStyle name="40% - Accent4 3 2 4 2" xfId="4984"/>
    <cellStyle name="40% - Accent4 3 2 4 2 2" xfId="7335"/>
    <cellStyle name="40% - Accent4 3 2 4 2 2 2" xfId="11036"/>
    <cellStyle name="40% - Accent4 3 2 4 2 2 2 2" xfId="22158"/>
    <cellStyle name="40% - Accent4 3 2 4 2 2 3" xfId="14735"/>
    <cellStyle name="40% - Accent4 3 2 4 2 2 3 2" xfId="25852"/>
    <cellStyle name="40% - Accent4 3 2 4 2 2 4" xfId="18464"/>
    <cellStyle name="40% - Accent4 3 2 4 2 3" xfId="9189"/>
    <cellStyle name="40% - Accent4 3 2 4 2 3 2" xfId="20311"/>
    <cellStyle name="40% - Accent4 3 2 4 2 4" xfId="12888"/>
    <cellStyle name="40% - Accent4 3 2 4 2 4 2" xfId="24005"/>
    <cellStyle name="40% - Accent4 3 2 4 2 5" xfId="16617"/>
    <cellStyle name="40% - Accent4 3 2 4 3" xfId="6416"/>
    <cellStyle name="40% - Accent4 3 2 4 3 2" xfId="10118"/>
    <cellStyle name="40% - Accent4 3 2 4 3 2 2" xfId="21240"/>
    <cellStyle name="40% - Accent4 3 2 4 3 3" xfId="13817"/>
    <cellStyle name="40% - Accent4 3 2 4 3 3 2" xfId="24934"/>
    <cellStyle name="40% - Accent4 3 2 4 3 4" xfId="17546"/>
    <cellStyle name="40% - Accent4 3 2 4 4" xfId="8270"/>
    <cellStyle name="40% - Accent4 3 2 4 4 2" xfId="19393"/>
    <cellStyle name="40% - Accent4 3 2 4 5" xfId="11970"/>
    <cellStyle name="40% - Accent4 3 2 4 5 2" xfId="23087"/>
    <cellStyle name="40% - Accent4 3 2 4 6" xfId="15699"/>
    <cellStyle name="40% - Accent4 3 2 5" xfId="2629"/>
    <cellStyle name="40% - Accent4 3 2 5 2" xfId="6761"/>
    <cellStyle name="40% - Accent4 3 2 5 2 2" xfId="10463"/>
    <cellStyle name="40% - Accent4 3 2 5 2 2 2" xfId="21585"/>
    <cellStyle name="40% - Accent4 3 2 5 2 3" xfId="14162"/>
    <cellStyle name="40% - Accent4 3 2 5 2 3 2" xfId="25279"/>
    <cellStyle name="40% - Accent4 3 2 5 2 4" xfId="17891"/>
    <cellStyle name="40% - Accent4 3 2 5 3" xfId="8615"/>
    <cellStyle name="40% - Accent4 3 2 5 3 2" xfId="19738"/>
    <cellStyle name="40% - Accent4 3 2 5 4" xfId="12315"/>
    <cellStyle name="40% - Accent4 3 2 5 4 2" xfId="23432"/>
    <cellStyle name="40% - Accent4 3 2 5 5" xfId="16044"/>
    <cellStyle name="40% - Accent4 3 2 6" xfId="4776"/>
    <cellStyle name="40% - Accent4 3 2 6 2" xfId="7127"/>
    <cellStyle name="40% - Accent4 3 2 6 2 2" xfId="10828"/>
    <cellStyle name="40% - Accent4 3 2 6 2 2 2" xfId="21950"/>
    <cellStyle name="40% - Accent4 3 2 6 2 3" xfId="14527"/>
    <cellStyle name="40% - Accent4 3 2 6 2 3 2" xfId="25644"/>
    <cellStyle name="40% - Accent4 3 2 6 2 4" xfId="18256"/>
    <cellStyle name="40% - Accent4 3 2 6 3" xfId="8981"/>
    <cellStyle name="40% - Accent4 3 2 6 3 2" xfId="20103"/>
    <cellStyle name="40% - Accent4 3 2 6 4" xfId="12680"/>
    <cellStyle name="40% - Accent4 3 2 6 4 2" xfId="23797"/>
    <cellStyle name="40% - Accent4 3 2 6 5" xfId="16409"/>
    <cellStyle name="40% - Accent4 3 2 7" xfId="5357"/>
    <cellStyle name="40% - Accent4 3 2 7 2" xfId="7680"/>
    <cellStyle name="40% - Accent4 3 2 7 2 2" xfId="11381"/>
    <cellStyle name="40% - Accent4 3 2 7 2 2 2" xfId="22503"/>
    <cellStyle name="40% - Accent4 3 2 7 2 3" xfId="15080"/>
    <cellStyle name="40% - Accent4 3 2 7 2 3 2" xfId="26197"/>
    <cellStyle name="40% - Accent4 3 2 7 2 4" xfId="18809"/>
    <cellStyle name="40% - Accent4 3 2 7 3" xfId="9534"/>
    <cellStyle name="40% - Accent4 3 2 7 3 2" xfId="20656"/>
    <cellStyle name="40% - Accent4 3 2 7 4" xfId="13233"/>
    <cellStyle name="40% - Accent4 3 2 7 4 2" xfId="24350"/>
    <cellStyle name="40% - Accent4 3 2 7 5" xfId="16962"/>
    <cellStyle name="40% - Accent4 3 2 8" xfId="6208"/>
    <cellStyle name="40% - Accent4 3 2 8 2" xfId="9910"/>
    <cellStyle name="40% - Accent4 3 2 8 2 2" xfId="21032"/>
    <cellStyle name="40% - Accent4 3 2 8 3" xfId="13609"/>
    <cellStyle name="40% - Accent4 3 2 8 3 2" xfId="24726"/>
    <cellStyle name="40% - Accent4 3 2 8 4" xfId="17338"/>
    <cellStyle name="40% - Accent4 3 2 9" xfId="8062"/>
    <cellStyle name="40% - Accent4 3 2 9 2" xfId="19185"/>
    <cellStyle name="40% - Accent4 3 3" xfId="1627"/>
    <cellStyle name="40% - Accent4 3 3 10" xfId="15544"/>
    <cellStyle name="40% - Accent4 3 3 2" xfId="1991"/>
    <cellStyle name="40% - Accent4 3 3 2 2" xfId="5171"/>
    <cellStyle name="40% - Accent4 3 3 2 2 2" xfId="7522"/>
    <cellStyle name="40% - Accent4 3 3 2 2 2 2" xfId="11223"/>
    <cellStyle name="40% - Accent4 3 3 2 2 2 2 2" xfId="22345"/>
    <cellStyle name="40% - Accent4 3 3 2 2 2 3" xfId="14922"/>
    <cellStyle name="40% - Accent4 3 3 2 2 2 3 2" xfId="26039"/>
    <cellStyle name="40% - Accent4 3 3 2 2 2 4" xfId="18651"/>
    <cellStyle name="40% - Accent4 3 3 2 2 3" xfId="9376"/>
    <cellStyle name="40% - Accent4 3 3 2 2 3 2" xfId="20498"/>
    <cellStyle name="40% - Accent4 3 3 2 2 4" xfId="13075"/>
    <cellStyle name="40% - Accent4 3 3 2 2 4 2" xfId="24192"/>
    <cellStyle name="40% - Accent4 3 3 2 2 5" xfId="16804"/>
    <cellStyle name="40% - Accent4 3 3 2 3" xfId="6603"/>
    <cellStyle name="40% - Accent4 3 3 2 3 2" xfId="10305"/>
    <cellStyle name="40% - Accent4 3 3 2 3 2 2" xfId="21427"/>
    <cellStyle name="40% - Accent4 3 3 2 3 3" xfId="14004"/>
    <cellStyle name="40% - Accent4 3 3 2 3 3 2" xfId="25121"/>
    <cellStyle name="40% - Accent4 3 3 2 3 4" xfId="17733"/>
    <cellStyle name="40% - Accent4 3 3 2 4" xfId="8457"/>
    <cellStyle name="40% - Accent4 3 3 2 4 2" xfId="19580"/>
    <cellStyle name="40% - Accent4 3 3 2 5" xfId="12157"/>
    <cellStyle name="40% - Accent4 3 3 2 5 2" xfId="23274"/>
    <cellStyle name="40% - Accent4 3 3 2 6" xfId="15886"/>
    <cellStyle name="40% - Accent4 3 3 3" xfId="1840"/>
    <cellStyle name="40% - Accent4 3 3 3 2" xfId="5037"/>
    <cellStyle name="40% - Accent4 3 3 3 2 2" xfId="7388"/>
    <cellStyle name="40% - Accent4 3 3 3 2 2 2" xfId="11089"/>
    <cellStyle name="40% - Accent4 3 3 3 2 2 2 2" xfId="22211"/>
    <cellStyle name="40% - Accent4 3 3 3 2 2 3" xfId="14788"/>
    <cellStyle name="40% - Accent4 3 3 3 2 2 3 2" xfId="25905"/>
    <cellStyle name="40% - Accent4 3 3 3 2 2 4" xfId="18517"/>
    <cellStyle name="40% - Accent4 3 3 3 2 3" xfId="9242"/>
    <cellStyle name="40% - Accent4 3 3 3 2 3 2" xfId="20364"/>
    <cellStyle name="40% - Accent4 3 3 3 2 4" xfId="12941"/>
    <cellStyle name="40% - Accent4 3 3 3 2 4 2" xfId="24058"/>
    <cellStyle name="40% - Accent4 3 3 3 2 5" xfId="16670"/>
    <cellStyle name="40% - Accent4 3 3 3 3" xfId="6469"/>
    <cellStyle name="40% - Accent4 3 3 3 3 2" xfId="10171"/>
    <cellStyle name="40% - Accent4 3 3 3 3 2 2" xfId="21293"/>
    <cellStyle name="40% - Accent4 3 3 3 3 3" xfId="13870"/>
    <cellStyle name="40% - Accent4 3 3 3 3 3 2" xfId="24987"/>
    <cellStyle name="40% - Accent4 3 3 3 3 4" xfId="17599"/>
    <cellStyle name="40% - Accent4 3 3 3 4" xfId="8323"/>
    <cellStyle name="40% - Accent4 3 3 3 4 2" xfId="19446"/>
    <cellStyle name="40% - Accent4 3 3 3 5" xfId="12023"/>
    <cellStyle name="40% - Accent4 3 3 3 5 2" xfId="23140"/>
    <cellStyle name="40% - Accent4 3 3 3 6" xfId="15752"/>
    <cellStyle name="40% - Accent4 3 3 4" xfId="2632"/>
    <cellStyle name="40% - Accent4 3 3 4 2" xfId="6764"/>
    <cellStyle name="40% - Accent4 3 3 4 2 2" xfId="10466"/>
    <cellStyle name="40% - Accent4 3 3 4 2 2 2" xfId="21588"/>
    <cellStyle name="40% - Accent4 3 3 4 2 3" xfId="14165"/>
    <cellStyle name="40% - Accent4 3 3 4 2 3 2" xfId="25282"/>
    <cellStyle name="40% - Accent4 3 3 4 2 4" xfId="17894"/>
    <cellStyle name="40% - Accent4 3 3 4 3" xfId="8618"/>
    <cellStyle name="40% - Accent4 3 3 4 3 2" xfId="19741"/>
    <cellStyle name="40% - Accent4 3 3 4 4" xfId="12318"/>
    <cellStyle name="40% - Accent4 3 3 4 4 2" xfId="23435"/>
    <cellStyle name="40% - Accent4 3 3 4 5" xfId="16047"/>
    <cellStyle name="40% - Accent4 3 3 5" xfId="4829"/>
    <cellStyle name="40% - Accent4 3 3 5 2" xfId="7180"/>
    <cellStyle name="40% - Accent4 3 3 5 2 2" xfId="10881"/>
    <cellStyle name="40% - Accent4 3 3 5 2 2 2" xfId="22003"/>
    <cellStyle name="40% - Accent4 3 3 5 2 3" xfId="14580"/>
    <cellStyle name="40% - Accent4 3 3 5 2 3 2" xfId="25697"/>
    <cellStyle name="40% - Accent4 3 3 5 2 4" xfId="18309"/>
    <cellStyle name="40% - Accent4 3 3 5 3" xfId="9034"/>
    <cellStyle name="40% - Accent4 3 3 5 3 2" xfId="20156"/>
    <cellStyle name="40% - Accent4 3 3 5 4" xfId="12733"/>
    <cellStyle name="40% - Accent4 3 3 5 4 2" xfId="23850"/>
    <cellStyle name="40% - Accent4 3 3 5 5" xfId="16462"/>
    <cellStyle name="40% - Accent4 3 3 6" xfId="5360"/>
    <cellStyle name="40% - Accent4 3 3 6 2" xfId="7683"/>
    <cellStyle name="40% - Accent4 3 3 6 2 2" xfId="11384"/>
    <cellStyle name="40% - Accent4 3 3 6 2 2 2" xfId="22506"/>
    <cellStyle name="40% - Accent4 3 3 6 2 3" xfId="15083"/>
    <cellStyle name="40% - Accent4 3 3 6 2 3 2" xfId="26200"/>
    <cellStyle name="40% - Accent4 3 3 6 2 4" xfId="18812"/>
    <cellStyle name="40% - Accent4 3 3 6 3" xfId="9537"/>
    <cellStyle name="40% - Accent4 3 3 6 3 2" xfId="20659"/>
    <cellStyle name="40% - Accent4 3 3 6 4" xfId="13236"/>
    <cellStyle name="40% - Accent4 3 3 6 4 2" xfId="24353"/>
    <cellStyle name="40% - Accent4 3 3 6 5" xfId="16965"/>
    <cellStyle name="40% - Accent4 3 3 7" xfId="6261"/>
    <cellStyle name="40% - Accent4 3 3 7 2" xfId="9963"/>
    <cellStyle name="40% - Accent4 3 3 7 2 2" xfId="21085"/>
    <cellStyle name="40% - Accent4 3 3 7 3" xfId="13662"/>
    <cellStyle name="40% - Accent4 3 3 7 3 2" xfId="24779"/>
    <cellStyle name="40% - Accent4 3 3 7 4" xfId="17391"/>
    <cellStyle name="40% - Accent4 3 3 8" xfId="8115"/>
    <cellStyle name="40% - Accent4 3 3 8 2" xfId="19238"/>
    <cellStyle name="40% - Accent4 3 3 9" xfId="11815"/>
    <cellStyle name="40% - Accent4 3 3 9 2" xfId="22932"/>
    <cellStyle name="40% - Accent4 3 4" xfId="1988"/>
    <cellStyle name="40% - Accent4 3 4 2" xfId="2633"/>
    <cellStyle name="40% - Accent4 3 4 2 2" xfId="6765"/>
    <cellStyle name="40% - Accent4 3 4 2 2 2" xfId="10467"/>
    <cellStyle name="40% - Accent4 3 4 2 2 2 2" xfId="21589"/>
    <cellStyle name="40% - Accent4 3 4 2 2 3" xfId="14166"/>
    <cellStyle name="40% - Accent4 3 4 2 2 3 2" xfId="25283"/>
    <cellStyle name="40% - Accent4 3 4 2 2 4" xfId="17895"/>
    <cellStyle name="40% - Accent4 3 4 2 3" xfId="8619"/>
    <cellStyle name="40% - Accent4 3 4 2 3 2" xfId="19742"/>
    <cellStyle name="40% - Accent4 3 4 2 4" xfId="12319"/>
    <cellStyle name="40% - Accent4 3 4 2 4 2" xfId="23436"/>
    <cellStyle name="40% - Accent4 3 4 2 5" xfId="16048"/>
    <cellStyle name="40% - Accent4 3 4 3" xfId="5168"/>
    <cellStyle name="40% - Accent4 3 4 3 2" xfId="7519"/>
    <cellStyle name="40% - Accent4 3 4 3 2 2" xfId="11220"/>
    <cellStyle name="40% - Accent4 3 4 3 2 2 2" xfId="22342"/>
    <cellStyle name="40% - Accent4 3 4 3 2 3" xfId="14919"/>
    <cellStyle name="40% - Accent4 3 4 3 2 3 2" xfId="26036"/>
    <cellStyle name="40% - Accent4 3 4 3 2 4" xfId="18648"/>
    <cellStyle name="40% - Accent4 3 4 3 3" xfId="9373"/>
    <cellStyle name="40% - Accent4 3 4 3 3 2" xfId="20495"/>
    <cellStyle name="40% - Accent4 3 4 3 4" xfId="13072"/>
    <cellStyle name="40% - Accent4 3 4 3 4 2" xfId="24189"/>
    <cellStyle name="40% - Accent4 3 4 3 5" xfId="16801"/>
    <cellStyle name="40% - Accent4 3 4 4" xfId="5361"/>
    <cellStyle name="40% - Accent4 3 4 4 2" xfId="7684"/>
    <cellStyle name="40% - Accent4 3 4 4 2 2" xfId="11385"/>
    <cellStyle name="40% - Accent4 3 4 4 2 2 2" xfId="22507"/>
    <cellStyle name="40% - Accent4 3 4 4 2 3" xfId="15084"/>
    <cellStyle name="40% - Accent4 3 4 4 2 3 2" xfId="26201"/>
    <cellStyle name="40% - Accent4 3 4 4 2 4" xfId="18813"/>
    <cellStyle name="40% - Accent4 3 4 4 3" xfId="9538"/>
    <cellStyle name="40% - Accent4 3 4 4 3 2" xfId="20660"/>
    <cellStyle name="40% - Accent4 3 4 4 4" xfId="13237"/>
    <cellStyle name="40% - Accent4 3 4 4 4 2" xfId="24354"/>
    <cellStyle name="40% - Accent4 3 4 4 5" xfId="16966"/>
    <cellStyle name="40% - Accent4 3 4 5" xfId="6600"/>
    <cellStyle name="40% - Accent4 3 4 5 2" xfId="10302"/>
    <cellStyle name="40% - Accent4 3 4 5 2 2" xfId="21424"/>
    <cellStyle name="40% - Accent4 3 4 5 3" xfId="14001"/>
    <cellStyle name="40% - Accent4 3 4 5 3 2" xfId="25118"/>
    <cellStyle name="40% - Accent4 3 4 5 4" xfId="17730"/>
    <cellStyle name="40% - Accent4 3 4 6" xfId="8454"/>
    <cellStyle name="40% - Accent4 3 4 6 2" xfId="19577"/>
    <cellStyle name="40% - Accent4 3 4 7" xfId="12154"/>
    <cellStyle name="40% - Accent4 3 4 7 2" xfId="23271"/>
    <cellStyle name="40% - Accent4 3 4 8" xfId="15883"/>
    <cellStyle name="40% - Accent4 3 5" xfId="1736"/>
    <cellStyle name="40% - Accent4 3 5 2" xfId="2634"/>
    <cellStyle name="40% - Accent4 3 5 3" xfId="4933"/>
    <cellStyle name="40% - Accent4 3 5 3 2" xfId="7284"/>
    <cellStyle name="40% - Accent4 3 5 3 2 2" xfId="10985"/>
    <cellStyle name="40% - Accent4 3 5 3 2 2 2" xfId="22107"/>
    <cellStyle name="40% - Accent4 3 5 3 2 3" xfId="14684"/>
    <cellStyle name="40% - Accent4 3 5 3 2 3 2" xfId="25801"/>
    <cellStyle name="40% - Accent4 3 5 3 2 4" xfId="18413"/>
    <cellStyle name="40% - Accent4 3 5 3 3" xfId="9138"/>
    <cellStyle name="40% - Accent4 3 5 3 3 2" xfId="20260"/>
    <cellStyle name="40% - Accent4 3 5 3 4" xfId="12837"/>
    <cellStyle name="40% - Accent4 3 5 3 4 2" xfId="23954"/>
    <cellStyle name="40% - Accent4 3 5 3 5" xfId="16566"/>
    <cellStyle name="40% - Accent4 3 5 4" xfId="6365"/>
    <cellStyle name="40% - Accent4 3 5 4 2" xfId="10067"/>
    <cellStyle name="40% - Accent4 3 5 4 2 2" xfId="21189"/>
    <cellStyle name="40% - Accent4 3 5 4 3" xfId="13766"/>
    <cellStyle name="40% - Accent4 3 5 4 3 2" xfId="24883"/>
    <cellStyle name="40% - Accent4 3 5 4 4" xfId="17495"/>
    <cellStyle name="40% - Accent4 3 5 5" xfId="8219"/>
    <cellStyle name="40% - Accent4 3 5 5 2" xfId="19342"/>
    <cellStyle name="40% - Accent4 3 5 6" xfId="11919"/>
    <cellStyle name="40% - Accent4 3 5 6 2" xfId="23036"/>
    <cellStyle name="40% - Accent4 3 5 7" xfId="15648"/>
    <cellStyle name="40% - Accent4 3 6" xfId="2628"/>
    <cellStyle name="40% - Accent4 3 6 2" xfId="6760"/>
    <cellStyle name="40% - Accent4 3 6 2 2" xfId="10462"/>
    <cellStyle name="40% - Accent4 3 6 2 2 2" xfId="21584"/>
    <cellStyle name="40% - Accent4 3 6 2 3" xfId="14161"/>
    <cellStyle name="40% - Accent4 3 6 2 3 2" xfId="25278"/>
    <cellStyle name="40% - Accent4 3 6 2 4" xfId="17890"/>
    <cellStyle name="40% - Accent4 3 6 3" xfId="8614"/>
    <cellStyle name="40% - Accent4 3 6 3 2" xfId="19737"/>
    <cellStyle name="40% - Accent4 3 6 4" xfId="12314"/>
    <cellStyle name="40% - Accent4 3 6 4 2" xfId="23431"/>
    <cellStyle name="40% - Accent4 3 6 5" xfId="16043"/>
    <cellStyle name="40% - Accent4 3 7" xfId="4724"/>
    <cellStyle name="40% - Accent4 3 7 2" xfId="7076"/>
    <cellStyle name="40% - Accent4 3 7 2 2" xfId="10777"/>
    <cellStyle name="40% - Accent4 3 7 2 2 2" xfId="21899"/>
    <cellStyle name="40% - Accent4 3 7 2 3" xfId="14476"/>
    <cellStyle name="40% - Accent4 3 7 2 3 2" xfId="25593"/>
    <cellStyle name="40% - Accent4 3 7 2 4" xfId="18205"/>
    <cellStyle name="40% - Accent4 3 7 3" xfId="8930"/>
    <cellStyle name="40% - Accent4 3 7 3 2" xfId="20052"/>
    <cellStyle name="40% - Accent4 3 7 4" xfId="12629"/>
    <cellStyle name="40% - Accent4 3 7 4 2" xfId="23746"/>
    <cellStyle name="40% - Accent4 3 7 5" xfId="16358"/>
    <cellStyle name="40% - Accent4 3 8" xfId="5356"/>
    <cellStyle name="40% - Accent4 3 8 2" xfId="7679"/>
    <cellStyle name="40% - Accent4 3 8 2 2" xfId="11380"/>
    <cellStyle name="40% - Accent4 3 8 2 2 2" xfId="22502"/>
    <cellStyle name="40% - Accent4 3 8 2 3" xfId="15079"/>
    <cellStyle name="40% - Accent4 3 8 2 3 2" xfId="26196"/>
    <cellStyle name="40% - Accent4 3 8 2 4" xfId="18808"/>
    <cellStyle name="40% - Accent4 3 8 3" xfId="9533"/>
    <cellStyle name="40% - Accent4 3 8 3 2" xfId="20655"/>
    <cellStyle name="40% - Accent4 3 8 4" xfId="13232"/>
    <cellStyle name="40% - Accent4 3 8 4 2" xfId="24349"/>
    <cellStyle name="40% - Accent4 3 8 5" xfId="16961"/>
    <cellStyle name="40% - Accent4 3 9" xfId="5859"/>
    <cellStyle name="40% - Accent5" xfId="18" builtinId="47" customBuiltin="1"/>
    <cellStyle name="40% - Accent5 2" xfId="189"/>
    <cellStyle name="40% - Accent5 2 2" xfId="1170"/>
    <cellStyle name="40% - Accent5 2 3" xfId="1172"/>
    <cellStyle name="40% - Accent5 3" xfId="778"/>
    <cellStyle name="40% - Accent5 3 10" xfId="8012"/>
    <cellStyle name="40% - Accent5 3 10 2" xfId="19136"/>
    <cellStyle name="40% - Accent5 3 11" xfId="11713"/>
    <cellStyle name="40% - Accent5 3 11 2" xfId="22830"/>
    <cellStyle name="40% - Accent5 3 12" xfId="15442"/>
    <cellStyle name="40% - Accent5 3 2" xfId="1566"/>
    <cellStyle name="40% - Accent5 3 2 10" xfId="11764"/>
    <cellStyle name="40% - Accent5 3 2 10 2" xfId="22881"/>
    <cellStyle name="40% - Accent5 3 2 11" xfId="15493"/>
    <cellStyle name="40% - Accent5 3 2 2" xfId="1685"/>
    <cellStyle name="40% - Accent5 3 2 2 10" xfId="15599"/>
    <cellStyle name="40% - Accent5 3 2 2 2" xfId="1994"/>
    <cellStyle name="40% - Accent5 3 2 2 2 2" xfId="5174"/>
    <cellStyle name="40% - Accent5 3 2 2 2 2 2" xfId="7525"/>
    <cellStyle name="40% - Accent5 3 2 2 2 2 2 2" xfId="11226"/>
    <cellStyle name="40% - Accent5 3 2 2 2 2 2 2 2" xfId="22348"/>
    <cellStyle name="40% - Accent5 3 2 2 2 2 2 3" xfId="14925"/>
    <cellStyle name="40% - Accent5 3 2 2 2 2 2 3 2" xfId="26042"/>
    <cellStyle name="40% - Accent5 3 2 2 2 2 2 4" xfId="18654"/>
    <cellStyle name="40% - Accent5 3 2 2 2 2 3" xfId="9379"/>
    <cellStyle name="40% - Accent5 3 2 2 2 2 3 2" xfId="20501"/>
    <cellStyle name="40% - Accent5 3 2 2 2 2 4" xfId="13078"/>
    <cellStyle name="40% - Accent5 3 2 2 2 2 4 2" xfId="24195"/>
    <cellStyle name="40% - Accent5 3 2 2 2 2 5" xfId="16807"/>
    <cellStyle name="40% - Accent5 3 2 2 2 3" xfId="6606"/>
    <cellStyle name="40% - Accent5 3 2 2 2 3 2" xfId="10308"/>
    <cellStyle name="40% - Accent5 3 2 2 2 3 2 2" xfId="21430"/>
    <cellStyle name="40% - Accent5 3 2 2 2 3 3" xfId="14007"/>
    <cellStyle name="40% - Accent5 3 2 2 2 3 3 2" xfId="25124"/>
    <cellStyle name="40% - Accent5 3 2 2 2 3 4" xfId="17736"/>
    <cellStyle name="40% - Accent5 3 2 2 2 4" xfId="8460"/>
    <cellStyle name="40% - Accent5 3 2 2 2 4 2" xfId="19583"/>
    <cellStyle name="40% - Accent5 3 2 2 2 5" xfId="12160"/>
    <cellStyle name="40% - Accent5 3 2 2 2 5 2" xfId="23277"/>
    <cellStyle name="40% - Accent5 3 2 2 2 6" xfId="15889"/>
    <cellStyle name="40% - Accent5 3 2 2 3" xfId="1895"/>
    <cellStyle name="40% - Accent5 3 2 2 3 2" xfId="5092"/>
    <cellStyle name="40% - Accent5 3 2 2 3 2 2" xfId="7443"/>
    <cellStyle name="40% - Accent5 3 2 2 3 2 2 2" xfId="11144"/>
    <cellStyle name="40% - Accent5 3 2 2 3 2 2 2 2" xfId="22266"/>
    <cellStyle name="40% - Accent5 3 2 2 3 2 2 3" xfId="14843"/>
    <cellStyle name="40% - Accent5 3 2 2 3 2 2 3 2" xfId="25960"/>
    <cellStyle name="40% - Accent5 3 2 2 3 2 2 4" xfId="18572"/>
    <cellStyle name="40% - Accent5 3 2 2 3 2 3" xfId="9297"/>
    <cellStyle name="40% - Accent5 3 2 2 3 2 3 2" xfId="20419"/>
    <cellStyle name="40% - Accent5 3 2 2 3 2 4" xfId="12996"/>
    <cellStyle name="40% - Accent5 3 2 2 3 2 4 2" xfId="24113"/>
    <cellStyle name="40% - Accent5 3 2 2 3 2 5" xfId="16725"/>
    <cellStyle name="40% - Accent5 3 2 2 3 3" xfId="6524"/>
    <cellStyle name="40% - Accent5 3 2 2 3 3 2" xfId="10226"/>
    <cellStyle name="40% - Accent5 3 2 2 3 3 2 2" xfId="21348"/>
    <cellStyle name="40% - Accent5 3 2 2 3 3 3" xfId="13925"/>
    <cellStyle name="40% - Accent5 3 2 2 3 3 3 2" xfId="25042"/>
    <cellStyle name="40% - Accent5 3 2 2 3 3 4" xfId="17654"/>
    <cellStyle name="40% - Accent5 3 2 2 3 4" xfId="8378"/>
    <cellStyle name="40% - Accent5 3 2 2 3 4 2" xfId="19501"/>
    <cellStyle name="40% - Accent5 3 2 2 3 5" xfId="12078"/>
    <cellStyle name="40% - Accent5 3 2 2 3 5 2" xfId="23195"/>
    <cellStyle name="40% - Accent5 3 2 2 3 6" xfId="15807"/>
    <cellStyle name="40% - Accent5 3 2 2 4" xfId="2637"/>
    <cellStyle name="40% - Accent5 3 2 2 4 2" xfId="6768"/>
    <cellStyle name="40% - Accent5 3 2 2 4 2 2" xfId="10470"/>
    <cellStyle name="40% - Accent5 3 2 2 4 2 2 2" xfId="21592"/>
    <cellStyle name="40% - Accent5 3 2 2 4 2 3" xfId="14169"/>
    <cellStyle name="40% - Accent5 3 2 2 4 2 3 2" xfId="25286"/>
    <cellStyle name="40% - Accent5 3 2 2 4 2 4" xfId="17898"/>
    <cellStyle name="40% - Accent5 3 2 2 4 3" xfId="8622"/>
    <cellStyle name="40% - Accent5 3 2 2 4 3 2" xfId="19745"/>
    <cellStyle name="40% - Accent5 3 2 2 4 4" xfId="12322"/>
    <cellStyle name="40% - Accent5 3 2 2 4 4 2" xfId="23439"/>
    <cellStyle name="40% - Accent5 3 2 2 4 5" xfId="16051"/>
    <cellStyle name="40% - Accent5 3 2 2 5" xfId="4884"/>
    <cellStyle name="40% - Accent5 3 2 2 5 2" xfId="7235"/>
    <cellStyle name="40% - Accent5 3 2 2 5 2 2" xfId="10936"/>
    <cellStyle name="40% - Accent5 3 2 2 5 2 2 2" xfId="22058"/>
    <cellStyle name="40% - Accent5 3 2 2 5 2 3" xfId="14635"/>
    <cellStyle name="40% - Accent5 3 2 2 5 2 3 2" xfId="25752"/>
    <cellStyle name="40% - Accent5 3 2 2 5 2 4" xfId="18364"/>
    <cellStyle name="40% - Accent5 3 2 2 5 3" xfId="9089"/>
    <cellStyle name="40% - Accent5 3 2 2 5 3 2" xfId="20211"/>
    <cellStyle name="40% - Accent5 3 2 2 5 4" xfId="12788"/>
    <cellStyle name="40% - Accent5 3 2 2 5 4 2" xfId="23905"/>
    <cellStyle name="40% - Accent5 3 2 2 5 5" xfId="16517"/>
    <cellStyle name="40% - Accent5 3 2 2 6" xfId="5364"/>
    <cellStyle name="40% - Accent5 3 2 2 6 2" xfId="7687"/>
    <cellStyle name="40% - Accent5 3 2 2 6 2 2" xfId="11388"/>
    <cellStyle name="40% - Accent5 3 2 2 6 2 2 2" xfId="22510"/>
    <cellStyle name="40% - Accent5 3 2 2 6 2 3" xfId="15087"/>
    <cellStyle name="40% - Accent5 3 2 2 6 2 3 2" xfId="26204"/>
    <cellStyle name="40% - Accent5 3 2 2 6 2 4" xfId="18816"/>
    <cellStyle name="40% - Accent5 3 2 2 6 3" xfId="9541"/>
    <cellStyle name="40% - Accent5 3 2 2 6 3 2" xfId="20663"/>
    <cellStyle name="40% - Accent5 3 2 2 6 4" xfId="13240"/>
    <cellStyle name="40% - Accent5 3 2 2 6 4 2" xfId="24357"/>
    <cellStyle name="40% - Accent5 3 2 2 6 5" xfId="16969"/>
    <cellStyle name="40% - Accent5 3 2 2 7" xfId="6316"/>
    <cellStyle name="40% - Accent5 3 2 2 7 2" xfId="10018"/>
    <cellStyle name="40% - Accent5 3 2 2 7 2 2" xfId="21140"/>
    <cellStyle name="40% - Accent5 3 2 2 7 3" xfId="13717"/>
    <cellStyle name="40% - Accent5 3 2 2 7 3 2" xfId="24834"/>
    <cellStyle name="40% - Accent5 3 2 2 7 4" xfId="17446"/>
    <cellStyle name="40% - Accent5 3 2 2 8" xfId="8170"/>
    <cellStyle name="40% - Accent5 3 2 2 8 2" xfId="19293"/>
    <cellStyle name="40% - Accent5 3 2 2 9" xfId="11870"/>
    <cellStyle name="40% - Accent5 3 2 2 9 2" xfId="22987"/>
    <cellStyle name="40% - Accent5 3 2 3" xfId="1993"/>
    <cellStyle name="40% - Accent5 3 2 3 2" xfId="2638"/>
    <cellStyle name="40% - Accent5 3 2 3 2 2" xfId="6769"/>
    <cellStyle name="40% - Accent5 3 2 3 2 2 2" xfId="10471"/>
    <cellStyle name="40% - Accent5 3 2 3 2 2 2 2" xfId="21593"/>
    <cellStyle name="40% - Accent5 3 2 3 2 2 3" xfId="14170"/>
    <cellStyle name="40% - Accent5 3 2 3 2 2 3 2" xfId="25287"/>
    <cellStyle name="40% - Accent5 3 2 3 2 2 4" xfId="17899"/>
    <cellStyle name="40% - Accent5 3 2 3 2 3" xfId="8623"/>
    <cellStyle name="40% - Accent5 3 2 3 2 3 2" xfId="19746"/>
    <cellStyle name="40% - Accent5 3 2 3 2 4" xfId="12323"/>
    <cellStyle name="40% - Accent5 3 2 3 2 4 2" xfId="23440"/>
    <cellStyle name="40% - Accent5 3 2 3 2 5" xfId="16052"/>
    <cellStyle name="40% - Accent5 3 2 3 3" xfId="5173"/>
    <cellStyle name="40% - Accent5 3 2 3 3 2" xfId="7524"/>
    <cellStyle name="40% - Accent5 3 2 3 3 2 2" xfId="11225"/>
    <cellStyle name="40% - Accent5 3 2 3 3 2 2 2" xfId="22347"/>
    <cellStyle name="40% - Accent5 3 2 3 3 2 3" xfId="14924"/>
    <cellStyle name="40% - Accent5 3 2 3 3 2 3 2" xfId="26041"/>
    <cellStyle name="40% - Accent5 3 2 3 3 2 4" xfId="18653"/>
    <cellStyle name="40% - Accent5 3 2 3 3 3" xfId="9378"/>
    <cellStyle name="40% - Accent5 3 2 3 3 3 2" xfId="20500"/>
    <cellStyle name="40% - Accent5 3 2 3 3 4" xfId="13077"/>
    <cellStyle name="40% - Accent5 3 2 3 3 4 2" xfId="24194"/>
    <cellStyle name="40% - Accent5 3 2 3 3 5" xfId="16806"/>
    <cellStyle name="40% - Accent5 3 2 3 4" xfId="5365"/>
    <cellStyle name="40% - Accent5 3 2 3 4 2" xfId="7688"/>
    <cellStyle name="40% - Accent5 3 2 3 4 2 2" xfId="11389"/>
    <cellStyle name="40% - Accent5 3 2 3 4 2 2 2" xfId="22511"/>
    <cellStyle name="40% - Accent5 3 2 3 4 2 3" xfId="15088"/>
    <cellStyle name="40% - Accent5 3 2 3 4 2 3 2" xfId="26205"/>
    <cellStyle name="40% - Accent5 3 2 3 4 2 4" xfId="18817"/>
    <cellStyle name="40% - Accent5 3 2 3 4 3" xfId="9542"/>
    <cellStyle name="40% - Accent5 3 2 3 4 3 2" xfId="20664"/>
    <cellStyle name="40% - Accent5 3 2 3 4 4" xfId="13241"/>
    <cellStyle name="40% - Accent5 3 2 3 4 4 2" xfId="24358"/>
    <cellStyle name="40% - Accent5 3 2 3 4 5" xfId="16970"/>
    <cellStyle name="40% - Accent5 3 2 3 5" xfId="6605"/>
    <cellStyle name="40% - Accent5 3 2 3 5 2" xfId="10307"/>
    <cellStyle name="40% - Accent5 3 2 3 5 2 2" xfId="21429"/>
    <cellStyle name="40% - Accent5 3 2 3 5 3" xfId="14006"/>
    <cellStyle name="40% - Accent5 3 2 3 5 3 2" xfId="25123"/>
    <cellStyle name="40% - Accent5 3 2 3 5 4" xfId="17735"/>
    <cellStyle name="40% - Accent5 3 2 3 6" xfId="8459"/>
    <cellStyle name="40% - Accent5 3 2 3 6 2" xfId="19582"/>
    <cellStyle name="40% - Accent5 3 2 3 7" xfId="12159"/>
    <cellStyle name="40% - Accent5 3 2 3 7 2" xfId="23276"/>
    <cellStyle name="40% - Accent5 3 2 3 8" xfId="15888"/>
    <cellStyle name="40% - Accent5 3 2 4" xfId="1789"/>
    <cellStyle name="40% - Accent5 3 2 4 2" xfId="4986"/>
    <cellStyle name="40% - Accent5 3 2 4 2 2" xfId="7337"/>
    <cellStyle name="40% - Accent5 3 2 4 2 2 2" xfId="11038"/>
    <cellStyle name="40% - Accent5 3 2 4 2 2 2 2" xfId="22160"/>
    <cellStyle name="40% - Accent5 3 2 4 2 2 3" xfId="14737"/>
    <cellStyle name="40% - Accent5 3 2 4 2 2 3 2" xfId="25854"/>
    <cellStyle name="40% - Accent5 3 2 4 2 2 4" xfId="18466"/>
    <cellStyle name="40% - Accent5 3 2 4 2 3" xfId="9191"/>
    <cellStyle name="40% - Accent5 3 2 4 2 3 2" xfId="20313"/>
    <cellStyle name="40% - Accent5 3 2 4 2 4" xfId="12890"/>
    <cellStyle name="40% - Accent5 3 2 4 2 4 2" xfId="24007"/>
    <cellStyle name="40% - Accent5 3 2 4 2 5" xfId="16619"/>
    <cellStyle name="40% - Accent5 3 2 4 3" xfId="6418"/>
    <cellStyle name="40% - Accent5 3 2 4 3 2" xfId="10120"/>
    <cellStyle name="40% - Accent5 3 2 4 3 2 2" xfId="21242"/>
    <cellStyle name="40% - Accent5 3 2 4 3 3" xfId="13819"/>
    <cellStyle name="40% - Accent5 3 2 4 3 3 2" xfId="24936"/>
    <cellStyle name="40% - Accent5 3 2 4 3 4" xfId="17548"/>
    <cellStyle name="40% - Accent5 3 2 4 4" xfId="8272"/>
    <cellStyle name="40% - Accent5 3 2 4 4 2" xfId="19395"/>
    <cellStyle name="40% - Accent5 3 2 4 5" xfId="11972"/>
    <cellStyle name="40% - Accent5 3 2 4 5 2" xfId="23089"/>
    <cellStyle name="40% - Accent5 3 2 4 6" xfId="15701"/>
    <cellStyle name="40% - Accent5 3 2 5" xfId="2636"/>
    <cellStyle name="40% - Accent5 3 2 5 2" xfId="6767"/>
    <cellStyle name="40% - Accent5 3 2 5 2 2" xfId="10469"/>
    <cellStyle name="40% - Accent5 3 2 5 2 2 2" xfId="21591"/>
    <cellStyle name="40% - Accent5 3 2 5 2 3" xfId="14168"/>
    <cellStyle name="40% - Accent5 3 2 5 2 3 2" xfId="25285"/>
    <cellStyle name="40% - Accent5 3 2 5 2 4" xfId="17897"/>
    <cellStyle name="40% - Accent5 3 2 5 3" xfId="8621"/>
    <cellStyle name="40% - Accent5 3 2 5 3 2" xfId="19744"/>
    <cellStyle name="40% - Accent5 3 2 5 4" xfId="12321"/>
    <cellStyle name="40% - Accent5 3 2 5 4 2" xfId="23438"/>
    <cellStyle name="40% - Accent5 3 2 5 5" xfId="16050"/>
    <cellStyle name="40% - Accent5 3 2 6" xfId="4778"/>
    <cellStyle name="40% - Accent5 3 2 6 2" xfId="7129"/>
    <cellStyle name="40% - Accent5 3 2 6 2 2" xfId="10830"/>
    <cellStyle name="40% - Accent5 3 2 6 2 2 2" xfId="21952"/>
    <cellStyle name="40% - Accent5 3 2 6 2 3" xfId="14529"/>
    <cellStyle name="40% - Accent5 3 2 6 2 3 2" xfId="25646"/>
    <cellStyle name="40% - Accent5 3 2 6 2 4" xfId="18258"/>
    <cellStyle name="40% - Accent5 3 2 6 3" xfId="8983"/>
    <cellStyle name="40% - Accent5 3 2 6 3 2" xfId="20105"/>
    <cellStyle name="40% - Accent5 3 2 6 4" xfId="12682"/>
    <cellStyle name="40% - Accent5 3 2 6 4 2" xfId="23799"/>
    <cellStyle name="40% - Accent5 3 2 6 5" xfId="16411"/>
    <cellStyle name="40% - Accent5 3 2 7" xfId="5363"/>
    <cellStyle name="40% - Accent5 3 2 7 2" xfId="7686"/>
    <cellStyle name="40% - Accent5 3 2 7 2 2" xfId="11387"/>
    <cellStyle name="40% - Accent5 3 2 7 2 2 2" xfId="22509"/>
    <cellStyle name="40% - Accent5 3 2 7 2 3" xfId="15086"/>
    <cellStyle name="40% - Accent5 3 2 7 2 3 2" xfId="26203"/>
    <cellStyle name="40% - Accent5 3 2 7 2 4" xfId="18815"/>
    <cellStyle name="40% - Accent5 3 2 7 3" xfId="9540"/>
    <cellStyle name="40% - Accent5 3 2 7 3 2" xfId="20662"/>
    <cellStyle name="40% - Accent5 3 2 7 4" xfId="13239"/>
    <cellStyle name="40% - Accent5 3 2 7 4 2" xfId="24356"/>
    <cellStyle name="40% - Accent5 3 2 7 5" xfId="16968"/>
    <cellStyle name="40% - Accent5 3 2 8" xfId="6210"/>
    <cellStyle name="40% - Accent5 3 2 8 2" xfId="9912"/>
    <cellStyle name="40% - Accent5 3 2 8 2 2" xfId="21034"/>
    <cellStyle name="40% - Accent5 3 2 8 3" xfId="13611"/>
    <cellStyle name="40% - Accent5 3 2 8 3 2" xfId="24728"/>
    <cellStyle name="40% - Accent5 3 2 8 4" xfId="17340"/>
    <cellStyle name="40% - Accent5 3 2 9" xfId="8064"/>
    <cellStyle name="40% - Accent5 3 2 9 2" xfId="19187"/>
    <cellStyle name="40% - Accent5 3 3" xfId="1629"/>
    <cellStyle name="40% - Accent5 3 3 10" xfId="15546"/>
    <cellStyle name="40% - Accent5 3 3 2" xfId="1995"/>
    <cellStyle name="40% - Accent5 3 3 2 2" xfId="5175"/>
    <cellStyle name="40% - Accent5 3 3 2 2 2" xfId="7526"/>
    <cellStyle name="40% - Accent5 3 3 2 2 2 2" xfId="11227"/>
    <cellStyle name="40% - Accent5 3 3 2 2 2 2 2" xfId="22349"/>
    <cellStyle name="40% - Accent5 3 3 2 2 2 3" xfId="14926"/>
    <cellStyle name="40% - Accent5 3 3 2 2 2 3 2" xfId="26043"/>
    <cellStyle name="40% - Accent5 3 3 2 2 2 4" xfId="18655"/>
    <cellStyle name="40% - Accent5 3 3 2 2 3" xfId="9380"/>
    <cellStyle name="40% - Accent5 3 3 2 2 3 2" xfId="20502"/>
    <cellStyle name="40% - Accent5 3 3 2 2 4" xfId="13079"/>
    <cellStyle name="40% - Accent5 3 3 2 2 4 2" xfId="24196"/>
    <cellStyle name="40% - Accent5 3 3 2 2 5" xfId="16808"/>
    <cellStyle name="40% - Accent5 3 3 2 3" xfId="6607"/>
    <cellStyle name="40% - Accent5 3 3 2 3 2" xfId="10309"/>
    <cellStyle name="40% - Accent5 3 3 2 3 2 2" xfId="21431"/>
    <cellStyle name="40% - Accent5 3 3 2 3 3" xfId="14008"/>
    <cellStyle name="40% - Accent5 3 3 2 3 3 2" xfId="25125"/>
    <cellStyle name="40% - Accent5 3 3 2 3 4" xfId="17737"/>
    <cellStyle name="40% - Accent5 3 3 2 4" xfId="8461"/>
    <cellStyle name="40% - Accent5 3 3 2 4 2" xfId="19584"/>
    <cellStyle name="40% - Accent5 3 3 2 5" xfId="12161"/>
    <cellStyle name="40% - Accent5 3 3 2 5 2" xfId="23278"/>
    <cellStyle name="40% - Accent5 3 3 2 6" xfId="15890"/>
    <cellStyle name="40% - Accent5 3 3 3" xfId="1842"/>
    <cellStyle name="40% - Accent5 3 3 3 2" xfId="5039"/>
    <cellStyle name="40% - Accent5 3 3 3 2 2" xfId="7390"/>
    <cellStyle name="40% - Accent5 3 3 3 2 2 2" xfId="11091"/>
    <cellStyle name="40% - Accent5 3 3 3 2 2 2 2" xfId="22213"/>
    <cellStyle name="40% - Accent5 3 3 3 2 2 3" xfId="14790"/>
    <cellStyle name="40% - Accent5 3 3 3 2 2 3 2" xfId="25907"/>
    <cellStyle name="40% - Accent5 3 3 3 2 2 4" xfId="18519"/>
    <cellStyle name="40% - Accent5 3 3 3 2 3" xfId="9244"/>
    <cellStyle name="40% - Accent5 3 3 3 2 3 2" xfId="20366"/>
    <cellStyle name="40% - Accent5 3 3 3 2 4" xfId="12943"/>
    <cellStyle name="40% - Accent5 3 3 3 2 4 2" xfId="24060"/>
    <cellStyle name="40% - Accent5 3 3 3 2 5" xfId="16672"/>
    <cellStyle name="40% - Accent5 3 3 3 3" xfId="6471"/>
    <cellStyle name="40% - Accent5 3 3 3 3 2" xfId="10173"/>
    <cellStyle name="40% - Accent5 3 3 3 3 2 2" xfId="21295"/>
    <cellStyle name="40% - Accent5 3 3 3 3 3" xfId="13872"/>
    <cellStyle name="40% - Accent5 3 3 3 3 3 2" xfId="24989"/>
    <cellStyle name="40% - Accent5 3 3 3 3 4" xfId="17601"/>
    <cellStyle name="40% - Accent5 3 3 3 4" xfId="8325"/>
    <cellStyle name="40% - Accent5 3 3 3 4 2" xfId="19448"/>
    <cellStyle name="40% - Accent5 3 3 3 5" xfId="12025"/>
    <cellStyle name="40% - Accent5 3 3 3 5 2" xfId="23142"/>
    <cellStyle name="40% - Accent5 3 3 3 6" xfId="15754"/>
    <cellStyle name="40% - Accent5 3 3 4" xfId="2639"/>
    <cellStyle name="40% - Accent5 3 3 4 2" xfId="6770"/>
    <cellStyle name="40% - Accent5 3 3 4 2 2" xfId="10472"/>
    <cellStyle name="40% - Accent5 3 3 4 2 2 2" xfId="21594"/>
    <cellStyle name="40% - Accent5 3 3 4 2 3" xfId="14171"/>
    <cellStyle name="40% - Accent5 3 3 4 2 3 2" xfId="25288"/>
    <cellStyle name="40% - Accent5 3 3 4 2 4" xfId="17900"/>
    <cellStyle name="40% - Accent5 3 3 4 3" xfId="8624"/>
    <cellStyle name="40% - Accent5 3 3 4 3 2" xfId="19747"/>
    <cellStyle name="40% - Accent5 3 3 4 4" xfId="12324"/>
    <cellStyle name="40% - Accent5 3 3 4 4 2" xfId="23441"/>
    <cellStyle name="40% - Accent5 3 3 4 5" xfId="16053"/>
    <cellStyle name="40% - Accent5 3 3 5" xfId="4831"/>
    <cellStyle name="40% - Accent5 3 3 5 2" xfId="7182"/>
    <cellStyle name="40% - Accent5 3 3 5 2 2" xfId="10883"/>
    <cellStyle name="40% - Accent5 3 3 5 2 2 2" xfId="22005"/>
    <cellStyle name="40% - Accent5 3 3 5 2 3" xfId="14582"/>
    <cellStyle name="40% - Accent5 3 3 5 2 3 2" xfId="25699"/>
    <cellStyle name="40% - Accent5 3 3 5 2 4" xfId="18311"/>
    <cellStyle name="40% - Accent5 3 3 5 3" xfId="9036"/>
    <cellStyle name="40% - Accent5 3 3 5 3 2" xfId="20158"/>
    <cellStyle name="40% - Accent5 3 3 5 4" xfId="12735"/>
    <cellStyle name="40% - Accent5 3 3 5 4 2" xfId="23852"/>
    <cellStyle name="40% - Accent5 3 3 5 5" xfId="16464"/>
    <cellStyle name="40% - Accent5 3 3 6" xfId="5366"/>
    <cellStyle name="40% - Accent5 3 3 6 2" xfId="7689"/>
    <cellStyle name="40% - Accent5 3 3 6 2 2" xfId="11390"/>
    <cellStyle name="40% - Accent5 3 3 6 2 2 2" xfId="22512"/>
    <cellStyle name="40% - Accent5 3 3 6 2 3" xfId="15089"/>
    <cellStyle name="40% - Accent5 3 3 6 2 3 2" xfId="26206"/>
    <cellStyle name="40% - Accent5 3 3 6 2 4" xfId="18818"/>
    <cellStyle name="40% - Accent5 3 3 6 3" xfId="9543"/>
    <cellStyle name="40% - Accent5 3 3 6 3 2" xfId="20665"/>
    <cellStyle name="40% - Accent5 3 3 6 4" xfId="13242"/>
    <cellStyle name="40% - Accent5 3 3 6 4 2" xfId="24359"/>
    <cellStyle name="40% - Accent5 3 3 6 5" xfId="16971"/>
    <cellStyle name="40% - Accent5 3 3 7" xfId="6263"/>
    <cellStyle name="40% - Accent5 3 3 7 2" xfId="9965"/>
    <cellStyle name="40% - Accent5 3 3 7 2 2" xfId="21087"/>
    <cellStyle name="40% - Accent5 3 3 7 3" xfId="13664"/>
    <cellStyle name="40% - Accent5 3 3 7 3 2" xfId="24781"/>
    <cellStyle name="40% - Accent5 3 3 7 4" xfId="17393"/>
    <cellStyle name="40% - Accent5 3 3 8" xfId="8117"/>
    <cellStyle name="40% - Accent5 3 3 8 2" xfId="19240"/>
    <cellStyle name="40% - Accent5 3 3 9" xfId="11817"/>
    <cellStyle name="40% - Accent5 3 3 9 2" xfId="22934"/>
    <cellStyle name="40% - Accent5 3 4" xfId="1992"/>
    <cellStyle name="40% - Accent5 3 4 2" xfId="2640"/>
    <cellStyle name="40% - Accent5 3 4 2 2" xfId="6771"/>
    <cellStyle name="40% - Accent5 3 4 2 2 2" xfId="10473"/>
    <cellStyle name="40% - Accent5 3 4 2 2 2 2" xfId="21595"/>
    <cellStyle name="40% - Accent5 3 4 2 2 3" xfId="14172"/>
    <cellStyle name="40% - Accent5 3 4 2 2 3 2" xfId="25289"/>
    <cellStyle name="40% - Accent5 3 4 2 2 4" xfId="17901"/>
    <cellStyle name="40% - Accent5 3 4 2 3" xfId="8625"/>
    <cellStyle name="40% - Accent5 3 4 2 3 2" xfId="19748"/>
    <cellStyle name="40% - Accent5 3 4 2 4" xfId="12325"/>
    <cellStyle name="40% - Accent5 3 4 2 4 2" xfId="23442"/>
    <cellStyle name="40% - Accent5 3 4 2 5" xfId="16054"/>
    <cellStyle name="40% - Accent5 3 4 3" xfId="5172"/>
    <cellStyle name="40% - Accent5 3 4 3 2" xfId="7523"/>
    <cellStyle name="40% - Accent5 3 4 3 2 2" xfId="11224"/>
    <cellStyle name="40% - Accent5 3 4 3 2 2 2" xfId="22346"/>
    <cellStyle name="40% - Accent5 3 4 3 2 3" xfId="14923"/>
    <cellStyle name="40% - Accent5 3 4 3 2 3 2" xfId="26040"/>
    <cellStyle name="40% - Accent5 3 4 3 2 4" xfId="18652"/>
    <cellStyle name="40% - Accent5 3 4 3 3" xfId="9377"/>
    <cellStyle name="40% - Accent5 3 4 3 3 2" xfId="20499"/>
    <cellStyle name="40% - Accent5 3 4 3 4" xfId="13076"/>
    <cellStyle name="40% - Accent5 3 4 3 4 2" xfId="24193"/>
    <cellStyle name="40% - Accent5 3 4 3 5" xfId="16805"/>
    <cellStyle name="40% - Accent5 3 4 4" xfId="5367"/>
    <cellStyle name="40% - Accent5 3 4 4 2" xfId="7690"/>
    <cellStyle name="40% - Accent5 3 4 4 2 2" xfId="11391"/>
    <cellStyle name="40% - Accent5 3 4 4 2 2 2" xfId="22513"/>
    <cellStyle name="40% - Accent5 3 4 4 2 3" xfId="15090"/>
    <cellStyle name="40% - Accent5 3 4 4 2 3 2" xfId="26207"/>
    <cellStyle name="40% - Accent5 3 4 4 2 4" xfId="18819"/>
    <cellStyle name="40% - Accent5 3 4 4 3" xfId="9544"/>
    <cellStyle name="40% - Accent5 3 4 4 3 2" xfId="20666"/>
    <cellStyle name="40% - Accent5 3 4 4 4" xfId="13243"/>
    <cellStyle name="40% - Accent5 3 4 4 4 2" xfId="24360"/>
    <cellStyle name="40% - Accent5 3 4 4 5" xfId="16972"/>
    <cellStyle name="40% - Accent5 3 4 5" xfId="6604"/>
    <cellStyle name="40% - Accent5 3 4 5 2" xfId="10306"/>
    <cellStyle name="40% - Accent5 3 4 5 2 2" xfId="21428"/>
    <cellStyle name="40% - Accent5 3 4 5 3" xfId="14005"/>
    <cellStyle name="40% - Accent5 3 4 5 3 2" xfId="25122"/>
    <cellStyle name="40% - Accent5 3 4 5 4" xfId="17734"/>
    <cellStyle name="40% - Accent5 3 4 6" xfId="8458"/>
    <cellStyle name="40% - Accent5 3 4 6 2" xfId="19581"/>
    <cellStyle name="40% - Accent5 3 4 7" xfId="12158"/>
    <cellStyle name="40% - Accent5 3 4 7 2" xfId="23275"/>
    <cellStyle name="40% - Accent5 3 4 8" xfId="15887"/>
    <cellStyle name="40% - Accent5 3 5" xfId="1738"/>
    <cellStyle name="40% - Accent5 3 5 2" xfId="2641"/>
    <cellStyle name="40% - Accent5 3 5 3" xfId="4935"/>
    <cellStyle name="40% - Accent5 3 5 3 2" xfId="7286"/>
    <cellStyle name="40% - Accent5 3 5 3 2 2" xfId="10987"/>
    <cellStyle name="40% - Accent5 3 5 3 2 2 2" xfId="22109"/>
    <cellStyle name="40% - Accent5 3 5 3 2 3" xfId="14686"/>
    <cellStyle name="40% - Accent5 3 5 3 2 3 2" xfId="25803"/>
    <cellStyle name="40% - Accent5 3 5 3 2 4" xfId="18415"/>
    <cellStyle name="40% - Accent5 3 5 3 3" xfId="9140"/>
    <cellStyle name="40% - Accent5 3 5 3 3 2" xfId="20262"/>
    <cellStyle name="40% - Accent5 3 5 3 4" xfId="12839"/>
    <cellStyle name="40% - Accent5 3 5 3 4 2" xfId="23956"/>
    <cellStyle name="40% - Accent5 3 5 3 5" xfId="16568"/>
    <cellStyle name="40% - Accent5 3 5 4" xfId="6367"/>
    <cellStyle name="40% - Accent5 3 5 4 2" xfId="10069"/>
    <cellStyle name="40% - Accent5 3 5 4 2 2" xfId="21191"/>
    <cellStyle name="40% - Accent5 3 5 4 3" xfId="13768"/>
    <cellStyle name="40% - Accent5 3 5 4 3 2" xfId="24885"/>
    <cellStyle name="40% - Accent5 3 5 4 4" xfId="17497"/>
    <cellStyle name="40% - Accent5 3 5 5" xfId="8221"/>
    <cellStyle name="40% - Accent5 3 5 5 2" xfId="19344"/>
    <cellStyle name="40% - Accent5 3 5 6" xfId="11921"/>
    <cellStyle name="40% - Accent5 3 5 6 2" xfId="23038"/>
    <cellStyle name="40% - Accent5 3 5 7" xfId="15650"/>
    <cellStyle name="40% - Accent5 3 6" xfId="2635"/>
    <cellStyle name="40% - Accent5 3 6 2" xfId="6766"/>
    <cellStyle name="40% - Accent5 3 6 2 2" xfId="10468"/>
    <cellStyle name="40% - Accent5 3 6 2 2 2" xfId="21590"/>
    <cellStyle name="40% - Accent5 3 6 2 3" xfId="14167"/>
    <cellStyle name="40% - Accent5 3 6 2 3 2" xfId="25284"/>
    <cellStyle name="40% - Accent5 3 6 2 4" xfId="17896"/>
    <cellStyle name="40% - Accent5 3 6 3" xfId="8620"/>
    <cellStyle name="40% - Accent5 3 6 3 2" xfId="19743"/>
    <cellStyle name="40% - Accent5 3 6 4" xfId="12320"/>
    <cellStyle name="40% - Accent5 3 6 4 2" xfId="23437"/>
    <cellStyle name="40% - Accent5 3 6 5" xfId="16049"/>
    <cellStyle name="40% - Accent5 3 7" xfId="4726"/>
    <cellStyle name="40% - Accent5 3 7 2" xfId="7078"/>
    <cellStyle name="40% - Accent5 3 7 2 2" xfId="10779"/>
    <cellStyle name="40% - Accent5 3 7 2 2 2" xfId="21901"/>
    <cellStyle name="40% - Accent5 3 7 2 3" xfId="14478"/>
    <cellStyle name="40% - Accent5 3 7 2 3 2" xfId="25595"/>
    <cellStyle name="40% - Accent5 3 7 2 4" xfId="18207"/>
    <cellStyle name="40% - Accent5 3 7 3" xfId="8932"/>
    <cellStyle name="40% - Accent5 3 7 3 2" xfId="20054"/>
    <cellStyle name="40% - Accent5 3 7 4" xfId="12631"/>
    <cellStyle name="40% - Accent5 3 7 4 2" xfId="23748"/>
    <cellStyle name="40% - Accent5 3 7 5" xfId="16360"/>
    <cellStyle name="40% - Accent5 3 8" xfId="5362"/>
    <cellStyle name="40% - Accent5 3 8 2" xfId="7685"/>
    <cellStyle name="40% - Accent5 3 8 2 2" xfId="11386"/>
    <cellStyle name="40% - Accent5 3 8 2 2 2" xfId="22508"/>
    <cellStyle name="40% - Accent5 3 8 2 3" xfId="15085"/>
    <cellStyle name="40% - Accent5 3 8 2 3 2" xfId="26202"/>
    <cellStyle name="40% - Accent5 3 8 2 4" xfId="18814"/>
    <cellStyle name="40% - Accent5 3 8 3" xfId="9539"/>
    <cellStyle name="40% - Accent5 3 8 3 2" xfId="20661"/>
    <cellStyle name="40% - Accent5 3 8 4" xfId="13238"/>
    <cellStyle name="40% - Accent5 3 8 4 2" xfId="24355"/>
    <cellStyle name="40% - Accent5 3 8 5" xfId="16967"/>
    <cellStyle name="40% - Accent5 3 9" xfId="6159"/>
    <cellStyle name="40% - Accent5 3 9 2" xfId="9861"/>
    <cellStyle name="40% - Accent5 3 9 2 2" xfId="20983"/>
    <cellStyle name="40% - Accent5 3 9 3" xfId="13560"/>
    <cellStyle name="40% - Accent5 3 9 3 2" xfId="24677"/>
    <cellStyle name="40% - Accent5 3 9 4" xfId="17289"/>
    <cellStyle name="40% - Accent6" xfId="19" builtinId="51" customBuiltin="1"/>
    <cellStyle name="40% - Accent6 2" xfId="190"/>
    <cellStyle name="40% - Accent6 2 2" xfId="1167"/>
    <cellStyle name="40% - Accent6 2 3" xfId="1168"/>
    <cellStyle name="40% - Accent6 3" xfId="782"/>
    <cellStyle name="40% - Accent6 3 10" xfId="6161"/>
    <cellStyle name="40% - Accent6 3 10 2" xfId="9863"/>
    <cellStyle name="40% - Accent6 3 10 2 2" xfId="20985"/>
    <cellStyle name="40% - Accent6 3 10 3" xfId="13562"/>
    <cellStyle name="40% - Accent6 3 10 3 2" xfId="24679"/>
    <cellStyle name="40% - Accent6 3 10 4" xfId="17291"/>
    <cellStyle name="40% - Accent6 3 11" xfId="8014"/>
    <cellStyle name="40% - Accent6 3 11 2" xfId="19138"/>
    <cellStyle name="40% - Accent6 3 12" xfId="11715"/>
    <cellStyle name="40% - Accent6 3 12 2" xfId="22832"/>
    <cellStyle name="40% - Accent6 3 13" xfId="15444"/>
    <cellStyle name="40% - Accent6 3 2" xfId="1568"/>
    <cellStyle name="40% - Accent6 3 2 10" xfId="11766"/>
    <cellStyle name="40% - Accent6 3 2 10 2" xfId="22883"/>
    <cellStyle name="40% - Accent6 3 2 11" xfId="15495"/>
    <cellStyle name="40% - Accent6 3 2 2" xfId="1687"/>
    <cellStyle name="40% - Accent6 3 2 2 10" xfId="15601"/>
    <cellStyle name="40% - Accent6 3 2 2 2" xfId="1998"/>
    <cellStyle name="40% - Accent6 3 2 2 2 2" xfId="5178"/>
    <cellStyle name="40% - Accent6 3 2 2 2 2 2" xfId="7529"/>
    <cellStyle name="40% - Accent6 3 2 2 2 2 2 2" xfId="11230"/>
    <cellStyle name="40% - Accent6 3 2 2 2 2 2 2 2" xfId="22352"/>
    <cellStyle name="40% - Accent6 3 2 2 2 2 2 3" xfId="14929"/>
    <cellStyle name="40% - Accent6 3 2 2 2 2 2 3 2" xfId="26046"/>
    <cellStyle name="40% - Accent6 3 2 2 2 2 2 4" xfId="18658"/>
    <cellStyle name="40% - Accent6 3 2 2 2 2 3" xfId="9383"/>
    <cellStyle name="40% - Accent6 3 2 2 2 2 3 2" xfId="20505"/>
    <cellStyle name="40% - Accent6 3 2 2 2 2 4" xfId="13082"/>
    <cellStyle name="40% - Accent6 3 2 2 2 2 4 2" xfId="24199"/>
    <cellStyle name="40% - Accent6 3 2 2 2 2 5" xfId="16811"/>
    <cellStyle name="40% - Accent6 3 2 2 2 3" xfId="6610"/>
    <cellStyle name="40% - Accent6 3 2 2 2 3 2" xfId="10312"/>
    <cellStyle name="40% - Accent6 3 2 2 2 3 2 2" xfId="21434"/>
    <cellStyle name="40% - Accent6 3 2 2 2 3 3" xfId="14011"/>
    <cellStyle name="40% - Accent6 3 2 2 2 3 3 2" xfId="25128"/>
    <cellStyle name="40% - Accent6 3 2 2 2 3 4" xfId="17740"/>
    <cellStyle name="40% - Accent6 3 2 2 2 4" xfId="8464"/>
    <cellStyle name="40% - Accent6 3 2 2 2 4 2" xfId="19587"/>
    <cellStyle name="40% - Accent6 3 2 2 2 5" xfId="12164"/>
    <cellStyle name="40% - Accent6 3 2 2 2 5 2" xfId="23281"/>
    <cellStyle name="40% - Accent6 3 2 2 2 6" xfId="15893"/>
    <cellStyle name="40% - Accent6 3 2 2 3" xfId="1897"/>
    <cellStyle name="40% - Accent6 3 2 2 3 2" xfId="5094"/>
    <cellStyle name="40% - Accent6 3 2 2 3 2 2" xfId="7445"/>
    <cellStyle name="40% - Accent6 3 2 2 3 2 2 2" xfId="11146"/>
    <cellStyle name="40% - Accent6 3 2 2 3 2 2 2 2" xfId="22268"/>
    <cellStyle name="40% - Accent6 3 2 2 3 2 2 3" xfId="14845"/>
    <cellStyle name="40% - Accent6 3 2 2 3 2 2 3 2" xfId="25962"/>
    <cellStyle name="40% - Accent6 3 2 2 3 2 2 4" xfId="18574"/>
    <cellStyle name="40% - Accent6 3 2 2 3 2 3" xfId="9299"/>
    <cellStyle name="40% - Accent6 3 2 2 3 2 3 2" xfId="20421"/>
    <cellStyle name="40% - Accent6 3 2 2 3 2 4" xfId="12998"/>
    <cellStyle name="40% - Accent6 3 2 2 3 2 4 2" xfId="24115"/>
    <cellStyle name="40% - Accent6 3 2 2 3 2 5" xfId="16727"/>
    <cellStyle name="40% - Accent6 3 2 2 3 3" xfId="6526"/>
    <cellStyle name="40% - Accent6 3 2 2 3 3 2" xfId="10228"/>
    <cellStyle name="40% - Accent6 3 2 2 3 3 2 2" xfId="21350"/>
    <cellStyle name="40% - Accent6 3 2 2 3 3 3" xfId="13927"/>
    <cellStyle name="40% - Accent6 3 2 2 3 3 3 2" xfId="25044"/>
    <cellStyle name="40% - Accent6 3 2 2 3 3 4" xfId="17656"/>
    <cellStyle name="40% - Accent6 3 2 2 3 4" xfId="8380"/>
    <cellStyle name="40% - Accent6 3 2 2 3 4 2" xfId="19503"/>
    <cellStyle name="40% - Accent6 3 2 2 3 5" xfId="12080"/>
    <cellStyle name="40% - Accent6 3 2 2 3 5 2" xfId="23197"/>
    <cellStyle name="40% - Accent6 3 2 2 3 6" xfId="15809"/>
    <cellStyle name="40% - Accent6 3 2 2 4" xfId="2644"/>
    <cellStyle name="40% - Accent6 3 2 2 4 2" xfId="6774"/>
    <cellStyle name="40% - Accent6 3 2 2 4 2 2" xfId="10476"/>
    <cellStyle name="40% - Accent6 3 2 2 4 2 2 2" xfId="21598"/>
    <cellStyle name="40% - Accent6 3 2 2 4 2 3" xfId="14175"/>
    <cellStyle name="40% - Accent6 3 2 2 4 2 3 2" xfId="25292"/>
    <cellStyle name="40% - Accent6 3 2 2 4 2 4" xfId="17904"/>
    <cellStyle name="40% - Accent6 3 2 2 4 3" xfId="8628"/>
    <cellStyle name="40% - Accent6 3 2 2 4 3 2" xfId="19751"/>
    <cellStyle name="40% - Accent6 3 2 2 4 4" xfId="12328"/>
    <cellStyle name="40% - Accent6 3 2 2 4 4 2" xfId="23445"/>
    <cellStyle name="40% - Accent6 3 2 2 4 5" xfId="16057"/>
    <cellStyle name="40% - Accent6 3 2 2 5" xfId="4886"/>
    <cellStyle name="40% - Accent6 3 2 2 5 2" xfId="7237"/>
    <cellStyle name="40% - Accent6 3 2 2 5 2 2" xfId="10938"/>
    <cellStyle name="40% - Accent6 3 2 2 5 2 2 2" xfId="22060"/>
    <cellStyle name="40% - Accent6 3 2 2 5 2 3" xfId="14637"/>
    <cellStyle name="40% - Accent6 3 2 2 5 2 3 2" xfId="25754"/>
    <cellStyle name="40% - Accent6 3 2 2 5 2 4" xfId="18366"/>
    <cellStyle name="40% - Accent6 3 2 2 5 3" xfId="9091"/>
    <cellStyle name="40% - Accent6 3 2 2 5 3 2" xfId="20213"/>
    <cellStyle name="40% - Accent6 3 2 2 5 4" xfId="12790"/>
    <cellStyle name="40% - Accent6 3 2 2 5 4 2" xfId="23907"/>
    <cellStyle name="40% - Accent6 3 2 2 5 5" xfId="16519"/>
    <cellStyle name="40% - Accent6 3 2 2 6" xfId="5370"/>
    <cellStyle name="40% - Accent6 3 2 2 6 2" xfId="7693"/>
    <cellStyle name="40% - Accent6 3 2 2 6 2 2" xfId="11394"/>
    <cellStyle name="40% - Accent6 3 2 2 6 2 2 2" xfId="22516"/>
    <cellStyle name="40% - Accent6 3 2 2 6 2 3" xfId="15093"/>
    <cellStyle name="40% - Accent6 3 2 2 6 2 3 2" xfId="26210"/>
    <cellStyle name="40% - Accent6 3 2 2 6 2 4" xfId="18822"/>
    <cellStyle name="40% - Accent6 3 2 2 6 3" xfId="9547"/>
    <cellStyle name="40% - Accent6 3 2 2 6 3 2" xfId="20669"/>
    <cellStyle name="40% - Accent6 3 2 2 6 4" xfId="13246"/>
    <cellStyle name="40% - Accent6 3 2 2 6 4 2" xfId="24363"/>
    <cellStyle name="40% - Accent6 3 2 2 6 5" xfId="16975"/>
    <cellStyle name="40% - Accent6 3 2 2 7" xfId="6318"/>
    <cellStyle name="40% - Accent6 3 2 2 7 2" xfId="10020"/>
    <cellStyle name="40% - Accent6 3 2 2 7 2 2" xfId="21142"/>
    <cellStyle name="40% - Accent6 3 2 2 7 3" xfId="13719"/>
    <cellStyle name="40% - Accent6 3 2 2 7 3 2" xfId="24836"/>
    <cellStyle name="40% - Accent6 3 2 2 7 4" xfId="17448"/>
    <cellStyle name="40% - Accent6 3 2 2 8" xfId="8172"/>
    <cellStyle name="40% - Accent6 3 2 2 8 2" xfId="19295"/>
    <cellStyle name="40% - Accent6 3 2 2 9" xfId="11872"/>
    <cellStyle name="40% - Accent6 3 2 2 9 2" xfId="22989"/>
    <cellStyle name="40% - Accent6 3 2 3" xfId="1997"/>
    <cellStyle name="40% - Accent6 3 2 3 2" xfId="2645"/>
    <cellStyle name="40% - Accent6 3 2 3 2 2" xfId="6775"/>
    <cellStyle name="40% - Accent6 3 2 3 2 2 2" xfId="10477"/>
    <cellStyle name="40% - Accent6 3 2 3 2 2 2 2" xfId="21599"/>
    <cellStyle name="40% - Accent6 3 2 3 2 2 3" xfId="14176"/>
    <cellStyle name="40% - Accent6 3 2 3 2 2 3 2" xfId="25293"/>
    <cellStyle name="40% - Accent6 3 2 3 2 2 4" xfId="17905"/>
    <cellStyle name="40% - Accent6 3 2 3 2 3" xfId="8629"/>
    <cellStyle name="40% - Accent6 3 2 3 2 3 2" xfId="19752"/>
    <cellStyle name="40% - Accent6 3 2 3 2 4" xfId="12329"/>
    <cellStyle name="40% - Accent6 3 2 3 2 4 2" xfId="23446"/>
    <cellStyle name="40% - Accent6 3 2 3 2 5" xfId="16058"/>
    <cellStyle name="40% - Accent6 3 2 3 3" xfId="5177"/>
    <cellStyle name="40% - Accent6 3 2 3 3 2" xfId="7528"/>
    <cellStyle name="40% - Accent6 3 2 3 3 2 2" xfId="11229"/>
    <cellStyle name="40% - Accent6 3 2 3 3 2 2 2" xfId="22351"/>
    <cellStyle name="40% - Accent6 3 2 3 3 2 3" xfId="14928"/>
    <cellStyle name="40% - Accent6 3 2 3 3 2 3 2" xfId="26045"/>
    <cellStyle name="40% - Accent6 3 2 3 3 2 4" xfId="18657"/>
    <cellStyle name="40% - Accent6 3 2 3 3 3" xfId="9382"/>
    <cellStyle name="40% - Accent6 3 2 3 3 3 2" xfId="20504"/>
    <cellStyle name="40% - Accent6 3 2 3 3 4" xfId="13081"/>
    <cellStyle name="40% - Accent6 3 2 3 3 4 2" xfId="24198"/>
    <cellStyle name="40% - Accent6 3 2 3 3 5" xfId="16810"/>
    <cellStyle name="40% - Accent6 3 2 3 4" xfId="5371"/>
    <cellStyle name="40% - Accent6 3 2 3 4 2" xfId="7694"/>
    <cellStyle name="40% - Accent6 3 2 3 4 2 2" xfId="11395"/>
    <cellStyle name="40% - Accent6 3 2 3 4 2 2 2" xfId="22517"/>
    <cellStyle name="40% - Accent6 3 2 3 4 2 3" xfId="15094"/>
    <cellStyle name="40% - Accent6 3 2 3 4 2 3 2" xfId="26211"/>
    <cellStyle name="40% - Accent6 3 2 3 4 2 4" xfId="18823"/>
    <cellStyle name="40% - Accent6 3 2 3 4 3" xfId="9548"/>
    <cellStyle name="40% - Accent6 3 2 3 4 3 2" xfId="20670"/>
    <cellStyle name="40% - Accent6 3 2 3 4 4" xfId="13247"/>
    <cellStyle name="40% - Accent6 3 2 3 4 4 2" xfId="24364"/>
    <cellStyle name="40% - Accent6 3 2 3 4 5" xfId="16976"/>
    <cellStyle name="40% - Accent6 3 2 3 5" xfId="6609"/>
    <cellStyle name="40% - Accent6 3 2 3 5 2" xfId="10311"/>
    <cellStyle name="40% - Accent6 3 2 3 5 2 2" xfId="21433"/>
    <cellStyle name="40% - Accent6 3 2 3 5 3" xfId="14010"/>
    <cellStyle name="40% - Accent6 3 2 3 5 3 2" xfId="25127"/>
    <cellStyle name="40% - Accent6 3 2 3 5 4" xfId="17739"/>
    <cellStyle name="40% - Accent6 3 2 3 6" xfId="8463"/>
    <cellStyle name="40% - Accent6 3 2 3 6 2" xfId="19586"/>
    <cellStyle name="40% - Accent6 3 2 3 7" xfId="12163"/>
    <cellStyle name="40% - Accent6 3 2 3 7 2" xfId="23280"/>
    <cellStyle name="40% - Accent6 3 2 3 8" xfId="15892"/>
    <cellStyle name="40% - Accent6 3 2 4" xfId="1791"/>
    <cellStyle name="40% - Accent6 3 2 4 2" xfId="4988"/>
    <cellStyle name="40% - Accent6 3 2 4 2 2" xfId="7339"/>
    <cellStyle name="40% - Accent6 3 2 4 2 2 2" xfId="11040"/>
    <cellStyle name="40% - Accent6 3 2 4 2 2 2 2" xfId="22162"/>
    <cellStyle name="40% - Accent6 3 2 4 2 2 3" xfId="14739"/>
    <cellStyle name="40% - Accent6 3 2 4 2 2 3 2" xfId="25856"/>
    <cellStyle name="40% - Accent6 3 2 4 2 2 4" xfId="18468"/>
    <cellStyle name="40% - Accent6 3 2 4 2 3" xfId="9193"/>
    <cellStyle name="40% - Accent6 3 2 4 2 3 2" xfId="20315"/>
    <cellStyle name="40% - Accent6 3 2 4 2 4" xfId="12892"/>
    <cellStyle name="40% - Accent6 3 2 4 2 4 2" xfId="24009"/>
    <cellStyle name="40% - Accent6 3 2 4 2 5" xfId="16621"/>
    <cellStyle name="40% - Accent6 3 2 4 3" xfId="6420"/>
    <cellStyle name="40% - Accent6 3 2 4 3 2" xfId="10122"/>
    <cellStyle name="40% - Accent6 3 2 4 3 2 2" xfId="21244"/>
    <cellStyle name="40% - Accent6 3 2 4 3 3" xfId="13821"/>
    <cellStyle name="40% - Accent6 3 2 4 3 3 2" xfId="24938"/>
    <cellStyle name="40% - Accent6 3 2 4 3 4" xfId="17550"/>
    <cellStyle name="40% - Accent6 3 2 4 4" xfId="8274"/>
    <cellStyle name="40% - Accent6 3 2 4 4 2" xfId="19397"/>
    <cellStyle name="40% - Accent6 3 2 4 5" xfId="11974"/>
    <cellStyle name="40% - Accent6 3 2 4 5 2" xfId="23091"/>
    <cellStyle name="40% - Accent6 3 2 4 6" xfId="15703"/>
    <cellStyle name="40% - Accent6 3 2 5" xfId="2643"/>
    <cellStyle name="40% - Accent6 3 2 5 2" xfId="6773"/>
    <cellStyle name="40% - Accent6 3 2 5 2 2" xfId="10475"/>
    <cellStyle name="40% - Accent6 3 2 5 2 2 2" xfId="21597"/>
    <cellStyle name="40% - Accent6 3 2 5 2 3" xfId="14174"/>
    <cellStyle name="40% - Accent6 3 2 5 2 3 2" xfId="25291"/>
    <cellStyle name="40% - Accent6 3 2 5 2 4" xfId="17903"/>
    <cellStyle name="40% - Accent6 3 2 5 3" xfId="8627"/>
    <cellStyle name="40% - Accent6 3 2 5 3 2" xfId="19750"/>
    <cellStyle name="40% - Accent6 3 2 5 4" xfId="12327"/>
    <cellStyle name="40% - Accent6 3 2 5 4 2" xfId="23444"/>
    <cellStyle name="40% - Accent6 3 2 5 5" xfId="16056"/>
    <cellStyle name="40% - Accent6 3 2 6" xfId="4780"/>
    <cellStyle name="40% - Accent6 3 2 6 2" xfId="7131"/>
    <cellStyle name="40% - Accent6 3 2 6 2 2" xfId="10832"/>
    <cellStyle name="40% - Accent6 3 2 6 2 2 2" xfId="21954"/>
    <cellStyle name="40% - Accent6 3 2 6 2 3" xfId="14531"/>
    <cellStyle name="40% - Accent6 3 2 6 2 3 2" xfId="25648"/>
    <cellStyle name="40% - Accent6 3 2 6 2 4" xfId="18260"/>
    <cellStyle name="40% - Accent6 3 2 6 3" xfId="8985"/>
    <cellStyle name="40% - Accent6 3 2 6 3 2" xfId="20107"/>
    <cellStyle name="40% - Accent6 3 2 6 4" xfId="12684"/>
    <cellStyle name="40% - Accent6 3 2 6 4 2" xfId="23801"/>
    <cellStyle name="40% - Accent6 3 2 6 5" xfId="16413"/>
    <cellStyle name="40% - Accent6 3 2 7" xfId="5369"/>
    <cellStyle name="40% - Accent6 3 2 7 2" xfId="7692"/>
    <cellStyle name="40% - Accent6 3 2 7 2 2" xfId="11393"/>
    <cellStyle name="40% - Accent6 3 2 7 2 2 2" xfId="22515"/>
    <cellStyle name="40% - Accent6 3 2 7 2 3" xfId="15092"/>
    <cellStyle name="40% - Accent6 3 2 7 2 3 2" xfId="26209"/>
    <cellStyle name="40% - Accent6 3 2 7 2 4" xfId="18821"/>
    <cellStyle name="40% - Accent6 3 2 7 3" xfId="9546"/>
    <cellStyle name="40% - Accent6 3 2 7 3 2" xfId="20668"/>
    <cellStyle name="40% - Accent6 3 2 7 4" xfId="13245"/>
    <cellStyle name="40% - Accent6 3 2 7 4 2" xfId="24362"/>
    <cellStyle name="40% - Accent6 3 2 7 5" xfId="16974"/>
    <cellStyle name="40% - Accent6 3 2 8" xfId="6212"/>
    <cellStyle name="40% - Accent6 3 2 8 2" xfId="9914"/>
    <cellStyle name="40% - Accent6 3 2 8 2 2" xfId="21036"/>
    <cellStyle name="40% - Accent6 3 2 8 3" xfId="13613"/>
    <cellStyle name="40% - Accent6 3 2 8 3 2" xfId="24730"/>
    <cellStyle name="40% - Accent6 3 2 8 4" xfId="17342"/>
    <cellStyle name="40% - Accent6 3 2 9" xfId="8066"/>
    <cellStyle name="40% - Accent6 3 2 9 2" xfId="19189"/>
    <cellStyle name="40% - Accent6 3 3" xfId="1631"/>
    <cellStyle name="40% - Accent6 3 3 10" xfId="15548"/>
    <cellStyle name="40% - Accent6 3 3 2" xfId="1999"/>
    <cellStyle name="40% - Accent6 3 3 2 2" xfId="5179"/>
    <cellStyle name="40% - Accent6 3 3 2 2 2" xfId="7530"/>
    <cellStyle name="40% - Accent6 3 3 2 2 2 2" xfId="11231"/>
    <cellStyle name="40% - Accent6 3 3 2 2 2 2 2" xfId="22353"/>
    <cellStyle name="40% - Accent6 3 3 2 2 2 3" xfId="14930"/>
    <cellStyle name="40% - Accent6 3 3 2 2 2 3 2" xfId="26047"/>
    <cellStyle name="40% - Accent6 3 3 2 2 2 4" xfId="18659"/>
    <cellStyle name="40% - Accent6 3 3 2 2 3" xfId="9384"/>
    <cellStyle name="40% - Accent6 3 3 2 2 3 2" xfId="20506"/>
    <cellStyle name="40% - Accent6 3 3 2 2 4" xfId="13083"/>
    <cellStyle name="40% - Accent6 3 3 2 2 4 2" xfId="24200"/>
    <cellStyle name="40% - Accent6 3 3 2 2 5" xfId="16812"/>
    <cellStyle name="40% - Accent6 3 3 2 3" xfId="6611"/>
    <cellStyle name="40% - Accent6 3 3 2 3 2" xfId="10313"/>
    <cellStyle name="40% - Accent6 3 3 2 3 2 2" xfId="21435"/>
    <cellStyle name="40% - Accent6 3 3 2 3 3" xfId="14012"/>
    <cellStyle name="40% - Accent6 3 3 2 3 3 2" xfId="25129"/>
    <cellStyle name="40% - Accent6 3 3 2 3 4" xfId="17741"/>
    <cellStyle name="40% - Accent6 3 3 2 4" xfId="8465"/>
    <cellStyle name="40% - Accent6 3 3 2 4 2" xfId="19588"/>
    <cellStyle name="40% - Accent6 3 3 2 5" xfId="12165"/>
    <cellStyle name="40% - Accent6 3 3 2 5 2" xfId="23282"/>
    <cellStyle name="40% - Accent6 3 3 2 6" xfId="15894"/>
    <cellStyle name="40% - Accent6 3 3 3" xfId="1844"/>
    <cellStyle name="40% - Accent6 3 3 3 2" xfId="5041"/>
    <cellStyle name="40% - Accent6 3 3 3 2 2" xfId="7392"/>
    <cellStyle name="40% - Accent6 3 3 3 2 2 2" xfId="11093"/>
    <cellStyle name="40% - Accent6 3 3 3 2 2 2 2" xfId="22215"/>
    <cellStyle name="40% - Accent6 3 3 3 2 2 3" xfId="14792"/>
    <cellStyle name="40% - Accent6 3 3 3 2 2 3 2" xfId="25909"/>
    <cellStyle name="40% - Accent6 3 3 3 2 2 4" xfId="18521"/>
    <cellStyle name="40% - Accent6 3 3 3 2 3" xfId="9246"/>
    <cellStyle name="40% - Accent6 3 3 3 2 3 2" xfId="20368"/>
    <cellStyle name="40% - Accent6 3 3 3 2 4" xfId="12945"/>
    <cellStyle name="40% - Accent6 3 3 3 2 4 2" xfId="24062"/>
    <cellStyle name="40% - Accent6 3 3 3 2 5" xfId="16674"/>
    <cellStyle name="40% - Accent6 3 3 3 3" xfId="6473"/>
    <cellStyle name="40% - Accent6 3 3 3 3 2" xfId="10175"/>
    <cellStyle name="40% - Accent6 3 3 3 3 2 2" xfId="21297"/>
    <cellStyle name="40% - Accent6 3 3 3 3 3" xfId="13874"/>
    <cellStyle name="40% - Accent6 3 3 3 3 3 2" xfId="24991"/>
    <cellStyle name="40% - Accent6 3 3 3 3 4" xfId="17603"/>
    <cellStyle name="40% - Accent6 3 3 3 4" xfId="8327"/>
    <cellStyle name="40% - Accent6 3 3 3 4 2" xfId="19450"/>
    <cellStyle name="40% - Accent6 3 3 3 5" xfId="12027"/>
    <cellStyle name="40% - Accent6 3 3 3 5 2" xfId="23144"/>
    <cellStyle name="40% - Accent6 3 3 3 6" xfId="15756"/>
    <cellStyle name="40% - Accent6 3 3 4" xfId="2646"/>
    <cellStyle name="40% - Accent6 3 3 4 2" xfId="6776"/>
    <cellStyle name="40% - Accent6 3 3 4 2 2" xfId="10478"/>
    <cellStyle name="40% - Accent6 3 3 4 2 2 2" xfId="21600"/>
    <cellStyle name="40% - Accent6 3 3 4 2 3" xfId="14177"/>
    <cellStyle name="40% - Accent6 3 3 4 2 3 2" xfId="25294"/>
    <cellStyle name="40% - Accent6 3 3 4 2 4" xfId="17906"/>
    <cellStyle name="40% - Accent6 3 3 4 3" xfId="8630"/>
    <cellStyle name="40% - Accent6 3 3 4 3 2" xfId="19753"/>
    <cellStyle name="40% - Accent6 3 3 4 4" xfId="12330"/>
    <cellStyle name="40% - Accent6 3 3 4 4 2" xfId="23447"/>
    <cellStyle name="40% - Accent6 3 3 4 5" xfId="16059"/>
    <cellStyle name="40% - Accent6 3 3 5" xfId="4833"/>
    <cellStyle name="40% - Accent6 3 3 5 2" xfId="7184"/>
    <cellStyle name="40% - Accent6 3 3 5 2 2" xfId="10885"/>
    <cellStyle name="40% - Accent6 3 3 5 2 2 2" xfId="22007"/>
    <cellStyle name="40% - Accent6 3 3 5 2 3" xfId="14584"/>
    <cellStyle name="40% - Accent6 3 3 5 2 3 2" xfId="25701"/>
    <cellStyle name="40% - Accent6 3 3 5 2 4" xfId="18313"/>
    <cellStyle name="40% - Accent6 3 3 5 3" xfId="9038"/>
    <cellStyle name="40% - Accent6 3 3 5 3 2" xfId="20160"/>
    <cellStyle name="40% - Accent6 3 3 5 4" xfId="12737"/>
    <cellStyle name="40% - Accent6 3 3 5 4 2" xfId="23854"/>
    <cellStyle name="40% - Accent6 3 3 5 5" xfId="16466"/>
    <cellStyle name="40% - Accent6 3 3 6" xfId="5372"/>
    <cellStyle name="40% - Accent6 3 3 6 2" xfId="7695"/>
    <cellStyle name="40% - Accent6 3 3 6 2 2" xfId="11396"/>
    <cellStyle name="40% - Accent6 3 3 6 2 2 2" xfId="22518"/>
    <cellStyle name="40% - Accent6 3 3 6 2 3" xfId="15095"/>
    <cellStyle name="40% - Accent6 3 3 6 2 3 2" xfId="26212"/>
    <cellStyle name="40% - Accent6 3 3 6 2 4" xfId="18824"/>
    <cellStyle name="40% - Accent6 3 3 6 3" xfId="9549"/>
    <cellStyle name="40% - Accent6 3 3 6 3 2" xfId="20671"/>
    <cellStyle name="40% - Accent6 3 3 6 4" xfId="13248"/>
    <cellStyle name="40% - Accent6 3 3 6 4 2" xfId="24365"/>
    <cellStyle name="40% - Accent6 3 3 6 5" xfId="16977"/>
    <cellStyle name="40% - Accent6 3 3 7" xfId="6265"/>
    <cellStyle name="40% - Accent6 3 3 7 2" xfId="9967"/>
    <cellStyle name="40% - Accent6 3 3 7 2 2" xfId="21089"/>
    <cellStyle name="40% - Accent6 3 3 7 3" xfId="13666"/>
    <cellStyle name="40% - Accent6 3 3 7 3 2" xfId="24783"/>
    <cellStyle name="40% - Accent6 3 3 7 4" xfId="17395"/>
    <cellStyle name="40% - Accent6 3 3 8" xfId="8119"/>
    <cellStyle name="40% - Accent6 3 3 8 2" xfId="19242"/>
    <cellStyle name="40% - Accent6 3 3 9" xfId="11819"/>
    <cellStyle name="40% - Accent6 3 3 9 2" xfId="22936"/>
    <cellStyle name="40% - Accent6 3 4" xfId="1996"/>
    <cellStyle name="40% - Accent6 3 4 2" xfId="2647"/>
    <cellStyle name="40% - Accent6 3 4 2 2" xfId="6777"/>
    <cellStyle name="40% - Accent6 3 4 2 2 2" xfId="10479"/>
    <cellStyle name="40% - Accent6 3 4 2 2 2 2" xfId="21601"/>
    <cellStyle name="40% - Accent6 3 4 2 2 3" xfId="14178"/>
    <cellStyle name="40% - Accent6 3 4 2 2 3 2" xfId="25295"/>
    <cellStyle name="40% - Accent6 3 4 2 2 4" xfId="17907"/>
    <cellStyle name="40% - Accent6 3 4 2 3" xfId="8631"/>
    <cellStyle name="40% - Accent6 3 4 2 3 2" xfId="19754"/>
    <cellStyle name="40% - Accent6 3 4 2 4" xfId="12331"/>
    <cellStyle name="40% - Accent6 3 4 2 4 2" xfId="23448"/>
    <cellStyle name="40% - Accent6 3 4 2 5" xfId="16060"/>
    <cellStyle name="40% - Accent6 3 4 3" xfId="5176"/>
    <cellStyle name="40% - Accent6 3 4 3 2" xfId="7527"/>
    <cellStyle name="40% - Accent6 3 4 3 2 2" xfId="11228"/>
    <cellStyle name="40% - Accent6 3 4 3 2 2 2" xfId="22350"/>
    <cellStyle name="40% - Accent6 3 4 3 2 3" xfId="14927"/>
    <cellStyle name="40% - Accent6 3 4 3 2 3 2" xfId="26044"/>
    <cellStyle name="40% - Accent6 3 4 3 2 4" xfId="18656"/>
    <cellStyle name="40% - Accent6 3 4 3 3" xfId="9381"/>
    <cellStyle name="40% - Accent6 3 4 3 3 2" xfId="20503"/>
    <cellStyle name="40% - Accent6 3 4 3 4" xfId="13080"/>
    <cellStyle name="40% - Accent6 3 4 3 4 2" xfId="24197"/>
    <cellStyle name="40% - Accent6 3 4 3 5" xfId="16809"/>
    <cellStyle name="40% - Accent6 3 4 4" xfId="5373"/>
    <cellStyle name="40% - Accent6 3 4 4 2" xfId="7696"/>
    <cellStyle name="40% - Accent6 3 4 4 2 2" xfId="11397"/>
    <cellStyle name="40% - Accent6 3 4 4 2 2 2" xfId="22519"/>
    <cellStyle name="40% - Accent6 3 4 4 2 3" xfId="15096"/>
    <cellStyle name="40% - Accent6 3 4 4 2 3 2" xfId="26213"/>
    <cellStyle name="40% - Accent6 3 4 4 2 4" xfId="18825"/>
    <cellStyle name="40% - Accent6 3 4 4 3" xfId="9550"/>
    <cellStyle name="40% - Accent6 3 4 4 3 2" xfId="20672"/>
    <cellStyle name="40% - Accent6 3 4 4 4" xfId="13249"/>
    <cellStyle name="40% - Accent6 3 4 4 4 2" xfId="24366"/>
    <cellStyle name="40% - Accent6 3 4 4 5" xfId="16978"/>
    <cellStyle name="40% - Accent6 3 4 5" xfId="6608"/>
    <cellStyle name="40% - Accent6 3 4 5 2" xfId="10310"/>
    <cellStyle name="40% - Accent6 3 4 5 2 2" xfId="21432"/>
    <cellStyle name="40% - Accent6 3 4 5 3" xfId="14009"/>
    <cellStyle name="40% - Accent6 3 4 5 3 2" xfId="25126"/>
    <cellStyle name="40% - Accent6 3 4 5 4" xfId="17738"/>
    <cellStyle name="40% - Accent6 3 4 6" xfId="8462"/>
    <cellStyle name="40% - Accent6 3 4 6 2" xfId="19585"/>
    <cellStyle name="40% - Accent6 3 4 7" xfId="12162"/>
    <cellStyle name="40% - Accent6 3 4 7 2" xfId="23279"/>
    <cellStyle name="40% - Accent6 3 4 8" xfId="15891"/>
    <cellStyle name="40% - Accent6 3 5" xfId="1740"/>
    <cellStyle name="40% - Accent6 3 5 2" xfId="2648"/>
    <cellStyle name="40% - Accent6 3 5 3" xfId="4937"/>
    <cellStyle name="40% - Accent6 3 5 3 2" xfId="7288"/>
    <cellStyle name="40% - Accent6 3 5 3 2 2" xfId="10989"/>
    <cellStyle name="40% - Accent6 3 5 3 2 2 2" xfId="22111"/>
    <cellStyle name="40% - Accent6 3 5 3 2 3" xfId="14688"/>
    <cellStyle name="40% - Accent6 3 5 3 2 3 2" xfId="25805"/>
    <cellStyle name="40% - Accent6 3 5 3 2 4" xfId="18417"/>
    <cellStyle name="40% - Accent6 3 5 3 3" xfId="9142"/>
    <cellStyle name="40% - Accent6 3 5 3 3 2" xfId="20264"/>
    <cellStyle name="40% - Accent6 3 5 3 4" xfId="12841"/>
    <cellStyle name="40% - Accent6 3 5 3 4 2" xfId="23958"/>
    <cellStyle name="40% - Accent6 3 5 3 5" xfId="16570"/>
    <cellStyle name="40% - Accent6 3 5 4" xfId="6369"/>
    <cellStyle name="40% - Accent6 3 5 4 2" xfId="10071"/>
    <cellStyle name="40% - Accent6 3 5 4 2 2" xfId="21193"/>
    <cellStyle name="40% - Accent6 3 5 4 3" xfId="13770"/>
    <cellStyle name="40% - Accent6 3 5 4 3 2" xfId="24887"/>
    <cellStyle name="40% - Accent6 3 5 4 4" xfId="17499"/>
    <cellStyle name="40% - Accent6 3 5 5" xfId="8223"/>
    <cellStyle name="40% - Accent6 3 5 5 2" xfId="19346"/>
    <cellStyle name="40% - Accent6 3 5 6" xfId="11923"/>
    <cellStyle name="40% - Accent6 3 5 6 2" xfId="23040"/>
    <cellStyle name="40% - Accent6 3 5 7" xfId="15652"/>
    <cellStyle name="40% - Accent6 3 6" xfId="2642"/>
    <cellStyle name="40% - Accent6 3 6 2" xfId="6772"/>
    <cellStyle name="40% - Accent6 3 6 2 2" xfId="10474"/>
    <cellStyle name="40% - Accent6 3 6 2 2 2" xfId="21596"/>
    <cellStyle name="40% - Accent6 3 6 2 3" xfId="14173"/>
    <cellStyle name="40% - Accent6 3 6 2 3 2" xfId="25290"/>
    <cellStyle name="40% - Accent6 3 6 2 4" xfId="17902"/>
    <cellStyle name="40% - Accent6 3 6 3" xfId="8626"/>
    <cellStyle name="40% - Accent6 3 6 3 2" xfId="19749"/>
    <cellStyle name="40% - Accent6 3 6 4" xfId="12326"/>
    <cellStyle name="40% - Accent6 3 6 4 2" xfId="23443"/>
    <cellStyle name="40% - Accent6 3 6 5" xfId="16055"/>
    <cellStyle name="40% - Accent6 3 7" xfId="4728"/>
    <cellStyle name="40% - Accent6 3 7 2" xfId="7080"/>
    <cellStyle name="40% - Accent6 3 7 2 2" xfId="10781"/>
    <cellStyle name="40% - Accent6 3 7 2 2 2" xfId="21903"/>
    <cellStyle name="40% - Accent6 3 7 2 3" xfId="14480"/>
    <cellStyle name="40% - Accent6 3 7 2 3 2" xfId="25597"/>
    <cellStyle name="40% - Accent6 3 7 2 4" xfId="18209"/>
    <cellStyle name="40% - Accent6 3 7 3" xfId="8934"/>
    <cellStyle name="40% - Accent6 3 7 3 2" xfId="20056"/>
    <cellStyle name="40% - Accent6 3 7 4" xfId="12633"/>
    <cellStyle name="40% - Accent6 3 7 4 2" xfId="23750"/>
    <cellStyle name="40% - Accent6 3 7 5" xfId="16362"/>
    <cellStyle name="40% - Accent6 3 8" xfId="5368"/>
    <cellStyle name="40% - Accent6 3 8 2" xfId="7691"/>
    <cellStyle name="40% - Accent6 3 8 2 2" xfId="11392"/>
    <cellStyle name="40% - Accent6 3 8 2 2 2" xfId="22514"/>
    <cellStyle name="40% - Accent6 3 8 2 3" xfId="15091"/>
    <cellStyle name="40% - Accent6 3 8 2 3 2" xfId="26208"/>
    <cellStyle name="40% - Accent6 3 8 2 4" xfId="18820"/>
    <cellStyle name="40% - Accent6 3 8 3" xfId="9545"/>
    <cellStyle name="40% - Accent6 3 8 3 2" xfId="20667"/>
    <cellStyle name="40% - Accent6 3 8 4" xfId="13244"/>
    <cellStyle name="40% - Accent6 3 8 4 2" xfId="24361"/>
    <cellStyle name="40% - Accent6 3 8 5" xfId="16973"/>
    <cellStyle name="40% - Accent6 3 9" xfId="5299"/>
    <cellStyle name="60% - Accent1" xfId="20" builtinId="32" customBuiltin="1"/>
    <cellStyle name="60% - Accent1 2" xfId="191"/>
    <cellStyle name="60% - Accent1 2 2" xfId="1164"/>
    <cellStyle name="60% - Accent1 2 3" xfId="1165"/>
    <cellStyle name="60% - Accent1 3" xfId="763"/>
    <cellStyle name="60% - Accent1 3 2" xfId="2000"/>
    <cellStyle name="60% - Accent1 3 2 2" xfId="2650"/>
    <cellStyle name="60% - Accent1 3 3" xfId="2649"/>
    <cellStyle name="60% - Accent1 3 4" xfId="5560"/>
    <cellStyle name="60% - Accent2" xfId="21" builtinId="36" customBuiltin="1"/>
    <cellStyle name="60% - Accent2 2" xfId="192"/>
    <cellStyle name="60% - Accent2 2 2" xfId="1161"/>
    <cellStyle name="60% - Accent2 2 3" xfId="1162"/>
    <cellStyle name="60% - Accent2 3" xfId="767"/>
    <cellStyle name="60% - Accent2 3 2" xfId="2001"/>
    <cellStyle name="60% - Accent2 3 2 2" xfId="2652"/>
    <cellStyle name="60% - Accent2 3 3" xfId="2651"/>
    <cellStyle name="60% - Accent3" xfId="22" builtinId="40" customBuiltin="1"/>
    <cellStyle name="60% - Accent3 2" xfId="193"/>
    <cellStyle name="60% - Accent3 2 2" xfId="1158"/>
    <cellStyle name="60% - Accent3 2 3" xfId="1159"/>
    <cellStyle name="60% - Accent3 3" xfId="771"/>
    <cellStyle name="60% - Accent3 3 2" xfId="2002"/>
    <cellStyle name="60% - Accent3 3 2 2" xfId="2654"/>
    <cellStyle name="60% - Accent3 3 3" xfId="2653"/>
    <cellStyle name="60% - Accent3 3 4" xfId="5504"/>
    <cellStyle name="60% - Accent4" xfId="23" builtinId="44" customBuiltin="1"/>
    <cellStyle name="60% - Accent4 2" xfId="194"/>
    <cellStyle name="60% - Accent4 2 2" xfId="1154"/>
    <cellStyle name="60% - Accent4 2 3" xfId="1157"/>
    <cellStyle name="60% - Accent4 3" xfId="775"/>
    <cellStyle name="60% - Accent4 3 2" xfId="2003"/>
    <cellStyle name="60% - Accent4 3 2 2" xfId="2656"/>
    <cellStyle name="60% - Accent4 3 3" xfId="2655"/>
    <cellStyle name="60% - Accent4 3 4" xfId="5923"/>
    <cellStyle name="60% - Accent5" xfId="24" builtinId="48" customBuiltin="1"/>
    <cellStyle name="60% - Accent5 2" xfId="195"/>
    <cellStyle name="60% - Accent5 2 2" xfId="1151"/>
    <cellStyle name="60% - Accent5 2 3" xfId="1152"/>
    <cellStyle name="60% - Accent5 3" xfId="779"/>
    <cellStyle name="60% - Accent5 3 2" xfId="2004"/>
    <cellStyle name="60% - Accent5 3 2 2" xfId="2658"/>
    <cellStyle name="60% - Accent5 3 3" xfId="2657"/>
    <cellStyle name="60% - Accent6" xfId="25" builtinId="52" customBuiltin="1"/>
    <cellStyle name="60% - Accent6 2" xfId="196"/>
    <cellStyle name="60% - Accent6 2 2" xfId="1149"/>
    <cellStyle name="60% - Accent6 2 3" xfId="1150"/>
    <cellStyle name="60% - Accent6 3" xfId="783"/>
    <cellStyle name="60% - Accent6 3 2" xfId="2005"/>
    <cellStyle name="60% - Accent6 3 2 2" xfId="2660"/>
    <cellStyle name="60% - Accent6 3 3" xfId="2659"/>
    <cellStyle name="60% - Accent6 3 4" xfId="5845"/>
    <cellStyle name="752131" xfId="197"/>
    <cellStyle name="752131 2" xfId="2661"/>
    <cellStyle name="A¨­￠￢￠O [0]_¨oCAuCoEⓒ÷ " xfId="2662"/>
    <cellStyle name="A¨­￠￢￠O_¨oCAuCoEⓒ÷ " xfId="2663"/>
    <cellStyle name="Accent1" xfId="26" builtinId="29" customBuiltin="1"/>
    <cellStyle name="Accent1 2" xfId="198"/>
    <cellStyle name="Accent1 2 2" xfId="1141"/>
    <cellStyle name="Accent1 2 3" xfId="1146"/>
    <cellStyle name="Accent1 3" xfId="760"/>
    <cellStyle name="Accent1 3 2" xfId="2006"/>
    <cellStyle name="Accent1 3 2 2" xfId="2665"/>
    <cellStyle name="Accent1 3 3" xfId="2664"/>
    <cellStyle name="Accent1 3 4" xfId="5865"/>
    <cellStyle name="Accent2" xfId="27" builtinId="33" customBuiltin="1"/>
    <cellStyle name="Accent2 2" xfId="199"/>
    <cellStyle name="Accent2 2 2" xfId="1139"/>
    <cellStyle name="Accent2 2 3" xfId="1140"/>
    <cellStyle name="Accent2 3" xfId="764"/>
    <cellStyle name="Accent2 3 2" xfId="2007"/>
    <cellStyle name="Accent2 3 2 2" xfId="2667"/>
    <cellStyle name="Accent2 3 3" xfId="2666"/>
    <cellStyle name="Accent2 3 4" xfId="5866"/>
    <cellStyle name="Accent3" xfId="28" builtinId="37" customBuiltin="1"/>
    <cellStyle name="Accent3 2" xfId="200"/>
    <cellStyle name="Accent3 2 2" xfId="1137"/>
    <cellStyle name="Accent3 2 3" xfId="1138"/>
    <cellStyle name="Accent3 3" xfId="768"/>
    <cellStyle name="Accent3 3 2" xfId="2008"/>
    <cellStyle name="Accent3 3 2 2" xfId="2669"/>
    <cellStyle name="Accent3 3 3" xfId="2668"/>
    <cellStyle name="Accent3 3 4" xfId="5446"/>
    <cellStyle name="Accent4" xfId="29" builtinId="41" customBuiltin="1"/>
    <cellStyle name="Accent4 2" xfId="201"/>
    <cellStyle name="Accent4 3" xfId="772"/>
    <cellStyle name="Accent4 3 2" xfId="2009"/>
    <cellStyle name="Accent4 3 2 2" xfId="2671"/>
    <cellStyle name="Accent4 3 3" xfId="2670"/>
    <cellStyle name="Accent4 3 4" xfId="5291"/>
    <cellStyle name="Accent5" xfId="30" builtinId="45" customBuiltin="1"/>
    <cellStyle name="Accent5 2" xfId="202"/>
    <cellStyle name="Accent5 3" xfId="776"/>
    <cellStyle name="Accent5 3 2" xfId="2010"/>
    <cellStyle name="Accent5 3 2 2" xfId="2673"/>
    <cellStyle name="Accent5 3 3" xfId="2672"/>
    <cellStyle name="Accent6" xfId="31" builtinId="49" customBuiltin="1"/>
    <cellStyle name="Accent6 2" xfId="203"/>
    <cellStyle name="Accent6 2 2" xfId="1133"/>
    <cellStyle name="Accent6 2 3" xfId="1134"/>
    <cellStyle name="Accent6 3" xfId="780"/>
    <cellStyle name="Accent6 3 2" xfId="2011"/>
    <cellStyle name="Accent6 3 2 2" xfId="2674"/>
    <cellStyle name="Accent6 3 3" xfId="5401"/>
    <cellStyle name="Acctg" xfId="204"/>
    <cellStyle name="ActgNumber" xfId="2675"/>
    <cellStyle name="ActgNumber 2" xfId="2676"/>
    <cellStyle name="AeE­ [0]_¼oAa½CAu " xfId="2677"/>
    <cellStyle name="ÅëÈ­ [0]_cover " xfId="2678"/>
    <cellStyle name="AeE­ [0]_INQUIRY ¿μ¾÷AßAø " xfId="2679"/>
    <cellStyle name="AeE­_¼oAa½CAu " xfId="2680"/>
    <cellStyle name="ÅëÈ­_cover " xfId="2681"/>
    <cellStyle name="AeE­_INQUIRY ¿μ¾÷AßAø " xfId="2682"/>
    <cellStyle name="AeE¡ⓒ [0]_¨oCAuCoEⓒ÷ " xfId="2683"/>
    <cellStyle name="AeE¡ⓒ_¨oCAuCoEⓒ÷ " xfId="2684"/>
    <cellStyle name="AFE" xfId="2685"/>
    <cellStyle name="ales" xfId="205"/>
    <cellStyle name="Analyst Name" xfId="4548"/>
    <cellStyle name="AÞ¸¶ [0]_¼oAa½CAu " xfId="2686"/>
    <cellStyle name="ÄÞ¸¶ [0]_cover " xfId="2687"/>
    <cellStyle name="AÞ¸¶ [0]_INQUIRY ¿μ¾÷AßAø " xfId="2688"/>
    <cellStyle name="AÞ¸¶_¼oAa½CAu " xfId="2689"/>
    <cellStyle name="ÄÞ¸¶_cover " xfId="2690"/>
    <cellStyle name="AÞ¸¶_INQUIRY ¿μ¾÷AßAø " xfId="2691"/>
    <cellStyle name="AttributeFloatStyle" xfId="5929"/>
    <cellStyle name="Availability" xfId="4549"/>
    <cellStyle name="_x0001_b" xfId="2692"/>
    <cellStyle name="Background" xfId="4550"/>
    <cellStyle name="Bad" xfId="32" builtinId="27" customBuiltin="1"/>
    <cellStyle name="Bad 2" xfId="206"/>
    <cellStyle name="Bad 2 2" xfId="1131"/>
    <cellStyle name="Bad 2 3" xfId="1132"/>
    <cellStyle name="Bad 3" xfId="749"/>
    <cellStyle name="Bad 3 2" xfId="2012"/>
    <cellStyle name="Bad 3 2 2" xfId="2694"/>
    <cellStyle name="Bad 3 3" xfId="2695"/>
    <cellStyle name="Bad 3 4" xfId="2693"/>
    <cellStyle name="Balance Sheet" xfId="2696"/>
    <cellStyle name="BalanceSheet" xfId="2697"/>
    <cellStyle name="Band 2" xfId="207"/>
    <cellStyle name="Band 2 2" xfId="2698"/>
    <cellStyle name="Band 2 3" xfId="4369"/>
    <cellStyle name="big-font" xfId="2699"/>
    <cellStyle name="Blue" xfId="208"/>
    <cellStyle name="Blue 2" xfId="2700"/>
    <cellStyle name="BLuedashZero" xfId="4551"/>
    <cellStyle name="Body" xfId="2701"/>
    <cellStyle name="Bold/Border" xfId="209"/>
    <cellStyle name="Border, Bottom" xfId="2702"/>
    <cellStyle name="Border, Left" xfId="2703"/>
    <cellStyle name="Border, Left 2" xfId="2704"/>
    <cellStyle name="Border, Left 3" xfId="4702"/>
    <cellStyle name="Border, Right" xfId="2705"/>
    <cellStyle name="Border, Top" xfId="2706"/>
    <cellStyle name="bottom-title" xfId="2707"/>
    <cellStyle name="Bullet" xfId="210"/>
    <cellStyle name="Bullet 2" xfId="2708"/>
    <cellStyle name="C?AØ_laroux_1ON" xfId="4552"/>
    <cellStyle name="c_HardInc" xfId="2709"/>
    <cellStyle name="c_HardInc " xfId="33"/>
    <cellStyle name="c_HardInc  2" xfId="1388"/>
    <cellStyle name="c_HardInc  2 2" xfId="1386"/>
    <cellStyle name="c_HardInc _Catalog" xfId="2710"/>
    <cellStyle name="c_HardInc _JapaneseCatalog" xfId="2711"/>
    <cellStyle name="c_HardInc _RRST1" xfId="211"/>
    <cellStyle name="c_HardInc _RRST1 2" xfId="212"/>
    <cellStyle name="c_HardInc _RRST12" xfId="934"/>
    <cellStyle name="c_HardInc _RRST19" xfId="933"/>
    <cellStyle name="c_HardInc _RRST19 2" xfId="932"/>
    <cellStyle name="c_HardInc _RRST20" xfId="213"/>
    <cellStyle name="c_HardInc _RRST20 2" xfId="214"/>
    <cellStyle name="c_HardInc _RRST25" xfId="2712"/>
    <cellStyle name="c_HardInc _RRST25 2" xfId="2713"/>
    <cellStyle name="c_HardInc _RRST3" xfId="930"/>
    <cellStyle name="c_HardInc _RRST6" xfId="215"/>
    <cellStyle name="c_HardInc _RRST6 2" xfId="216"/>
    <cellStyle name="c_HardInc _RRST9" xfId="217"/>
    <cellStyle name="c_HardInc _RRST9 2" xfId="218"/>
    <cellStyle name="C¡IA¨ª_¡ic¨u¡A¨￢I¨￢¡Æ AN¡Æe " xfId="2714"/>
    <cellStyle name="C￥AØ_  FAB AIA¤  " xfId="2715"/>
    <cellStyle name="Ç¥ÁØ_»ç¾÷ºÎº° ÃÑ°è " xfId="2716"/>
    <cellStyle name="C￥AØ_≫c¾÷ºIº° AN°e " xfId="2717"/>
    <cellStyle name="Ç¥ÁØ_0N-HANDLING " xfId="2718"/>
    <cellStyle name="C￥AØ_¼±AoAc°i_1_³≫ºI°eE¹´e AßA¤A÷AI " xfId="2719"/>
    <cellStyle name="Ç¥ÁØ_5-1±¤°í " xfId="2720"/>
    <cellStyle name="C￥AØ_5-1±¤°i _6RCB1 " xfId="2721"/>
    <cellStyle name="Ç¥ÁØ_Áý°èÇ¥(2¿ù) " xfId="2722"/>
    <cellStyle name="C￥AØ_CoAo¹yAI °A¾×¿ⓒ½A " xfId="2723"/>
    <cellStyle name="Ç¥ÁØ_cover " xfId="2724"/>
    <cellStyle name="C05_Style E Text" xfId="219"/>
    <cellStyle name="Calc Currency (0)" xfId="2725"/>
    <cellStyle name="Calculation" xfId="34" builtinId="22" customBuiltin="1"/>
    <cellStyle name="Calculation 2" xfId="220"/>
    <cellStyle name="Calculation 2 2" xfId="1123"/>
    <cellStyle name="Calculation 2 3" xfId="1124"/>
    <cellStyle name="Calculation 3" xfId="753"/>
    <cellStyle name="Calculation 3 2" xfId="2013"/>
    <cellStyle name="Calculation 3 2 2" xfId="2726"/>
    <cellStyle name="Calculation 3 3" xfId="5289"/>
    <cellStyle name="CashFlow" xfId="2727"/>
    <cellStyle name="Cents" xfId="221"/>
    <cellStyle name="Cents 2" xfId="2728"/>
    <cellStyle name="Cents 3" xfId="4553"/>
    <cellStyle name="Change" xfId="2729"/>
    <cellStyle name="Changeable" xfId="222"/>
    <cellStyle name="ChartingText" xfId="806"/>
    <cellStyle name="Check Cell" xfId="35" builtinId="23" customBuiltin="1"/>
    <cellStyle name="Check Cell 2" xfId="223"/>
    <cellStyle name="Check Cell 3" xfId="755"/>
    <cellStyle name="Check Cell 3 2" xfId="2730"/>
    <cellStyle name="CHPAboveAverage" xfId="807"/>
    <cellStyle name="CHPBelowAverage" xfId="808"/>
    <cellStyle name="CHPBottom" xfId="809"/>
    <cellStyle name="CHPTop" xfId="810"/>
    <cellStyle name="Colhead_left" xfId="224"/>
    <cellStyle name="ColHeading" xfId="4554"/>
    <cellStyle name="ColumnHeaderNormal" xfId="811"/>
    <cellStyle name="ColumnHeadings" xfId="225"/>
    <cellStyle name="ColumnHeadings2" xfId="226"/>
    <cellStyle name="Comma" xfId="36" builtinId="3"/>
    <cellStyle name="Comma  - Style1" xfId="227"/>
    <cellStyle name="Comma  - Style1 2" xfId="4555"/>
    <cellStyle name="Comma  - Style2" xfId="228"/>
    <cellStyle name="Comma  - Style2 2" xfId="2731"/>
    <cellStyle name="Comma  - Style2 3" xfId="4556"/>
    <cellStyle name="Comma  - Style3" xfId="229"/>
    <cellStyle name="Comma  - Style3 2" xfId="2732"/>
    <cellStyle name="Comma  - Style3 3" xfId="4557"/>
    <cellStyle name="Comma  - Style4" xfId="230"/>
    <cellStyle name="Comma  - Style4 2" xfId="2733"/>
    <cellStyle name="Comma  - Style4 3" xfId="4558"/>
    <cellStyle name="Comma  - Style5" xfId="231"/>
    <cellStyle name="Comma  - Style5 2" xfId="2734"/>
    <cellStyle name="Comma  - Style5 3" xfId="4559"/>
    <cellStyle name="Comma  - Style6" xfId="232"/>
    <cellStyle name="Comma  - Style6 2" xfId="2735"/>
    <cellStyle name="Comma  - Style6 3" xfId="4560"/>
    <cellStyle name="Comma  - Style7" xfId="233"/>
    <cellStyle name="Comma  - Style7 2" xfId="2736"/>
    <cellStyle name="Comma  - Style7 3" xfId="4561"/>
    <cellStyle name="Comma  - Style8" xfId="234"/>
    <cellStyle name="Comma  - Style8 2" xfId="2737"/>
    <cellStyle name="Comma  - Style8 3" xfId="4562"/>
    <cellStyle name="Comma (1)" xfId="2738"/>
    <cellStyle name="Comma [0] 2" xfId="5505"/>
    <cellStyle name="Comma [0] 3" xfId="5930"/>
    <cellStyle name="Comma [1]" xfId="2739"/>
    <cellStyle name="Comma [2]" xfId="2740"/>
    <cellStyle name="Comma 10" xfId="235"/>
    <cellStyle name="Comma 10 2" xfId="236"/>
    <cellStyle name="Comma 10 2 2" xfId="920"/>
    <cellStyle name="Comma 10 2 2 2" xfId="2741"/>
    <cellStyle name="Comma 10 2 3" xfId="921"/>
    <cellStyle name="Comma 10 2 3 2" xfId="2742"/>
    <cellStyle name="Comma 10 3" xfId="237"/>
    <cellStyle name="Comma 10 3 2" xfId="1381"/>
    <cellStyle name="Comma 10 3 2 2" xfId="2743"/>
    <cellStyle name="Comma 10 3 3" xfId="2744"/>
    <cellStyle name="Comma 10 4" xfId="922"/>
    <cellStyle name="Comma 10 4 2" xfId="1380"/>
    <cellStyle name="Comma 10 4 3" xfId="2745"/>
    <cellStyle name="Comma 10 5" xfId="2746"/>
    <cellStyle name="Comma 10 5 2" xfId="2747"/>
    <cellStyle name="Comma 10 5 3" xfId="2748"/>
    <cellStyle name="Comma 10 5 4" xfId="2749"/>
    <cellStyle name="Comma 10 5 5" xfId="4668"/>
    <cellStyle name="Comma 10 5 5 2" xfId="5894"/>
    <cellStyle name="Comma 10 5 5 2 2" xfId="7975"/>
    <cellStyle name="Comma 10 5 5 2 2 2" xfId="11676"/>
    <cellStyle name="Comma 10 5 5 2 2 2 2" xfId="22798"/>
    <cellStyle name="Comma 10 5 5 2 2 3" xfId="15375"/>
    <cellStyle name="Comma 10 5 5 2 2 3 2" xfId="26492"/>
    <cellStyle name="Comma 10 5 5 2 2 4" xfId="19104"/>
    <cellStyle name="Comma 10 5 5 2 3" xfId="9829"/>
    <cellStyle name="Comma 10 5 5 2 3 2" xfId="20951"/>
    <cellStyle name="Comma 10 5 5 2 4" xfId="13528"/>
    <cellStyle name="Comma 10 5 5 2 4 2" xfId="24645"/>
    <cellStyle name="Comma 10 5 5 2 5" xfId="17257"/>
    <cellStyle name="Comma 10 5 5 3" xfId="7056"/>
    <cellStyle name="Comma 10 5 5 3 2" xfId="10757"/>
    <cellStyle name="Comma 10 5 5 3 2 2" xfId="21879"/>
    <cellStyle name="Comma 10 5 5 3 3" xfId="14456"/>
    <cellStyle name="Comma 10 5 5 3 3 2" xfId="25573"/>
    <cellStyle name="Comma 10 5 5 3 4" xfId="18185"/>
    <cellStyle name="Comma 10 5 5 4" xfId="8910"/>
    <cellStyle name="Comma 10 5 5 4 2" xfId="20032"/>
    <cellStyle name="Comma 10 5 5 5" xfId="12609"/>
    <cellStyle name="Comma 10 5 5 5 2" xfId="23726"/>
    <cellStyle name="Comma 10 5 5 6" xfId="16338"/>
    <cellStyle name="Comma 100" xfId="2750"/>
    <cellStyle name="Comma 101" xfId="2751"/>
    <cellStyle name="Comma 102" xfId="2752"/>
    <cellStyle name="Comma 103" xfId="2753"/>
    <cellStyle name="Comma 104" xfId="2754"/>
    <cellStyle name="Comma 105" xfId="2755"/>
    <cellStyle name="Comma 106" xfId="2756"/>
    <cellStyle name="Comma 107" xfId="2757"/>
    <cellStyle name="Comma 108" xfId="2758"/>
    <cellStyle name="Comma 109" xfId="2759"/>
    <cellStyle name="Comma 11" xfId="238"/>
    <cellStyle name="Comma 11 2" xfId="239"/>
    <cellStyle name="Comma 11 2 2" xfId="1379"/>
    <cellStyle name="Comma 11 2 2 2" xfId="2760"/>
    <cellStyle name="Comma 11 2 3" xfId="2761"/>
    <cellStyle name="Comma 11 3" xfId="240"/>
    <cellStyle name="Comma 11 3 2" xfId="1376"/>
    <cellStyle name="Comma 11 3 2 2" xfId="2762"/>
    <cellStyle name="Comma 11 3 3" xfId="2763"/>
    <cellStyle name="Comma 11 4" xfId="1375"/>
    <cellStyle name="Comma 11 4 2" xfId="2764"/>
    <cellStyle name="Comma 11 5" xfId="2765"/>
    <cellStyle name="Comma 110" xfId="2766"/>
    <cellStyle name="Comma 111" xfId="2767"/>
    <cellStyle name="Comma 112" xfId="2768"/>
    <cellStyle name="Comma 113" xfId="2769"/>
    <cellStyle name="Comma 114" xfId="2770"/>
    <cellStyle name="Comma 115" xfId="2771"/>
    <cellStyle name="Comma 116" xfId="2772"/>
    <cellStyle name="Comma 117" xfId="2773"/>
    <cellStyle name="Comma 118" xfId="2774"/>
    <cellStyle name="Comma 119" xfId="2775"/>
    <cellStyle name="Comma 12" xfId="241"/>
    <cellStyle name="Comma 12 2" xfId="242"/>
    <cellStyle name="Comma 12 2 2" xfId="2776"/>
    <cellStyle name="Comma 12 3" xfId="243"/>
    <cellStyle name="Comma 12 3 2" xfId="6056"/>
    <cellStyle name="Comma 12 4" xfId="5978"/>
    <cellStyle name="Comma 120" xfId="2777"/>
    <cellStyle name="Comma 121" xfId="2778"/>
    <cellStyle name="Comma 122" xfId="2779"/>
    <cellStyle name="Comma 123" xfId="4358"/>
    <cellStyle name="Comma 124" xfId="4711"/>
    <cellStyle name="Comma 125" xfId="15401"/>
    <cellStyle name="Comma 126" xfId="15406"/>
    <cellStyle name="Comma 127" xfId="15412"/>
    <cellStyle name="Comma 128" xfId="15418"/>
    <cellStyle name="Comma 129" xfId="15422"/>
    <cellStyle name="Comma 13" xfId="244"/>
    <cellStyle name="Comma 13 2" xfId="245"/>
    <cellStyle name="Comma 13 2 2" xfId="2780"/>
    <cellStyle name="Comma 13 3" xfId="246"/>
    <cellStyle name="Comma 13 3 2" xfId="6057"/>
    <cellStyle name="Comma 13 4" xfId="5979"/>
    <cellStyle name="Comma 130" xfId="15426"/>
    <cellStyle name="Comma 131" xfId="15429"/>
    <cellStyle name="Comma 14" xfId="247"/>
    <cellStyle name="Comma 14 2" xfId="248"/>
    <cellStyle name="Comma 14 2 2" xfId="2781"/>
    <cellStyle name="Comma 14 3" xfId="249"/>
    <cellStyle name="Comma 14 3 2" xfId="6058"/>
    <cellStyle name="Comma 14 4" xfId="5980"/>
    <cellStyle name="Comma 15" xfId="37"/>
    <cellStyle name="Comma 15 2" xfId="250"/>
    <cellStyle name="Comma 15 2 2" xfId="2782"/>
    <cellStyle name="Comma 15 3" xfId="1102"/>
    <cellStyle name="Comma 16" xfId="251"/>
    <cellStyle name="Comma 16 2" xfId="252"/>
    <cellStyle name="Comma 16 2 2" xfId="2783"/>
    <cellStyle name="Comma 16 3" xfId="1101"/>
    <cellStyle name="Comma 17" xfId="253"/>
    <cellStyle name="Comma 17 2" xfId="254"/>
    <cellStyle name="Comma 17 2 2" xfId="913"/>
    <cellStyle name="Comma 17 2 2 2" xfId="2784"/>
    <cellStyle name="Comma 17 2 3" xfId="2785"/>
    <cellStyle name="Comma 17 3" xfId="912"/>
    <cellStyle name="Comma 17 3 2" xfId="2786"/>
    <cellStyle name="Comma 17 4" xfId="1098"/>
    <cellStyle name="Comma 18" xfId="255"/>
    <cellStyle name="Comma 18 2" xfId="256"/>
    <cellStyle name="Comma 18 2 2" xfId="911"/>
    <cellStyle name="Comma 18 2 2 2" xfId="2787"/>
    <cellStyle name="Comma 18 2 3" xfId="2788"/>
    <cellStyle name="Comma 18 3" xfId="910"/>
    <cellStyle name="Comma 18 3 2" xfId="2789"/>
    <cellStyle name="Comma 18 4" xfId="1096"/>
    <cellStyle name="Comma 19" xfId="257"/>
    <cellStyle name="Comma 19 2" xfId="258"/>
    <cellStyle name="Comma 19 2 2" xfId="908"/>
    <cellStyle name="Comma 19 2 2 2" xfId="2790"/>
    <cellStyle name="Comma 19 2 3" xfId="2791"/>
    <cellStyle name="Comma 19 3" xfId="907"/>
    <cellStyle name="Comma 19 3 2" xfId="2792"/>
    <cellStyle name="Comma 19 4" xfId="2793"/>
    <cellStyle name="Comma 19 4 2" xfId="2794"/>
    <cellStyle name="Comma 19 4 2 2" xfId="2795"/>
    <cellStyle name="Comma 19 4 2 2 2" xfId="2796"/>
    <cellStyle name="Comma 19 4 2 2 3" xfId="2797"/>
    <cellStyle name="Comma 19 4 2 3" xfId="2798"/>
    <cellStyle name="Comma 19 4 2 4" xfId="2799"/>
    <cellStyle name="Comma 19 4 3" xfId="2800"/>
    <cellStyle name="Comma 19 4 3 2" xfId="2801"/>
    <cellStyle name="Comma 19 4 3 3" xfId="2802"/>
    <cellStyle name="Comma 19 4 4" xfId="2803"/>
    <cellStyle name="Comma 19 4 5" xfId="2804"/>
    <cellStyle name="Comma 19 4 6" xfId="2805"/>
    <cellStyle name="Comma 19 5" xfId="2806"/>
    <cellStyle name="Comma 19 5 2" xfId="2807"/>
    <cellStyle name="Comma 19 5 2 2" xfId="2808"/>
    <cellStyle name="Comma 19 5 2 3" xfId="2809"/>
    <cellStyle name="Comma 19 5 3" xfId="2810"/>
    <cellStyle name="Comma 19 5 4" xfId="2811"/>
    <cellStyle name="Comma 19 6" xfId="2812"/>
    <cellStyle name="Comma 19 6 2" xfId="2813"/>
    <cellStyle name="Comma 19 6 3" xfId="2814"/>
    <cellStyle name="Comma 19 7" xfId="2815"/>
    <cellStyle name="Comma 19 7 2" xfId="2816"/>
    <cellStyle name="Comma 2" xfId="38"/>
    <cellStyle name="Comma 2 2" xfId="39"/>
    <cellStyle name="Comma 2 2 2" xfId="93"/>
    <cellStyle name="Comma 2 2 2 2" xfId="6049"/>
    <cellStyle name="Comma 2 2 3" xfId="2817"/>
    <cellStyle name="Comma 2 2 3 2" xfId="4669"/>
    <cellStyle name="Comma 2 2 4" xfId="4361"/>
    <cellStyle name="Comma 2 2 4 2" xfId="5849"/>
    <cellStyle name="Comma 2 2 4 2 2" xfId="7955"/>
    <cellStyle name="Comma 2 2 4 2 2 2" xfId="11656"/>
    <cellStyle name="Comma 2 2 4 2 2 2 2" xfId="22778"/>
    <cellStyle name="Comma 2 2 4 2 2 3" xfId="15355"/>
    <cellStyle name="Comma 2 2 4 2 2 3 2" xfId="26472"/>
    <cellStyle name="Comma 2 2 4 2 2 4" xfId="19084"/>
    <cellStyle name="Comma 2 2 4 2 3" xfId="9809"/>
    <cellStyle name="Comma 2 2 4 2 3 2" xfId="20931"/>
    <cellStyle name="Comma 2 2 4 2 4" xfId="13508"/>
    <cellStyle name="Comma 2 2 4 2 4 2" xfId="24625"/>
    <cellStyle name="Comma 2 2 4 2 5" xfId="17237"/>
    <cellStyle name="Comma 2 2 4 3" xfId="7035"/>
    <cellStyle name="Comma 2 2 4 3 2" xfId="10737"/>
    <cellStyle name="Comma 2 2 4 3 2 2" xfId="21859"/>
    <cellStyle name="Comma 2 2 4 3 3" xfId="14436"/>
    <cellStyle name="Comma 2 2 4 3 3 2" xfId="25553"/>
    <cellStyle name="Comma 2 2 4 3 4" xfId="18165"/>
    <cellStyle name="Comma 2 2 4 4" xfId="8889"/>
    <cellStyle name="Comma 2 2 4 4 2" xfId="20012"/>
    <cellStyle name="Comma 2 2 4 5" xfId="12589"/>
    <cellStyle name="Comma 2 2 4 5 2" xfId="23706"/>
    <cellStyle name="Comma 2 2 4 6" xfId="16318"/>
    <cellStyle name="Comma 2 3" xfId="259"/>
    <cellStyle name="Comma 2 3 2" xfId="1373"/>
    <cellStyle name="Comma 2 3 2 2" xfId="2819"/>
    <cellStyle name="Comma 2 3 2 3" xfId="2818"/>
    <cellStyle name="Comma 2 3 3" xfId="2820"/>
    <cellStyle name="Comma 2 3 4" xfId="4646"/>
    <cellStyle name="Comma 2 3 4 2" xfId="5878"/>
    <cellStyle name="Comma 2 3 4 2 2" xfId="7965"/>
    <cellStyle name="Comma 2 3 4 2 2 2" xfId="11666"/>
    <cellStyle name="Comma 2 3 4 2 2 2 2" xfId="22788"/>
    <cellStyle name="Comma 2 3 4 2 2 3" xfId="15365"/>
    <cellStyle name="Comma 2 3 4 2 2 3 2" xfId="26482"/>
    <cellStyle name="Comma 2 3 4 2 2 4" xfId="19094"/>
    <cellStyle name="Comma 2 3 4 2 3" xfId="9819"/>
    <cellStyle name="Comma 2 3 4 2 3 2" xfId="20941"/>
    <cellStyle name="Comma 2 3 4 2 4" xfId="13518"/>
    <cellStyle name="Comma 2 3 4 2 4 2" xfId="24635"/>
    <cellStyle name="Comma 2 3 4 2 5" xfId="17247"/>
    <cellStyle name="Comma 2 3 4 3" xfId="7046"/>
    <cellStyle name="Comma 2 3 4 3 2" xfId="10747"/>
    <cellStyle name="Comma 2 3 4 3 2 2" xfId="21869"/>
    <cellStyle name="Comma 2 3 4 3 3" xfId="14446"/>
    <cellStyle name="Comma 2 3 4 3 3 2" xfId="25563"/>
    <cellStyle name="Comma 2 3 4 3 4" xfId="18175"/>
    <cellStyle name="Comma 2 3 4 4" xfId="8900"/>
    <cellStyle name="Comma 2 3 4 4 2" xfId="20022"/>
    <cellStyle name="Comma 2 3 4 5" xfId="12599"/>
    <cellStyle name="Comma 2 3 4 5 2" xfId="23716"/>
    <cellStyle name="Comma 2 3 4 6" xfId="16328"/>
    <cellStyle name="Comma 2 4" xfId="791"/>
    <cellStyle name="Comma 2 4 2" xfId="2822"/>
    <cellStyle name="Comma 2 4 3" xfId="2821"/>
    <cellStyle name="Comma 2 5" xfId="2015"/>
    <cellStyle name="Comma 2 6" xfId="2014"/>
    <cellStyle name="Comma 2_Exhibits" xfId="711"/>
    <cellStyle name="Comma 20" xfId="260"/>
    <cellStyle name="Comma 20 2" xfId="261"/>
    <cellStyle name="Comma 20 2 2" xfId="903"/>
    <cellStyle name="Comma 20 2 2 2" xfId="5426"/>
    <cellStyle name="Comma 20 2 3" xfId="5425"/>
    <cellStyle name="Comma 20 3" xfId="902"/>
    <cellStyle name="Comma 20 3 2" xfId="5427"/>
    <cellStyle name="Comma 20 4" xfId="5424"/>
    <cellStyle name="Comma 21" xfId="262"/>
    <cellStyle name="Comma 21 2" xfId="263"/>
    <cellStyle name="Comma 21 2 2" xfId="899"/>
    <cellStyle name="Comma 21 2 2 2" xfId="5430"/>
    <cellStyle name="Comma 21 2 3" xfId="5429"/>
    <cellStyle name="Comma 21 3" xfId="898"/>
    <cellStyle name="Comma 21 3 2" xfId="5431"/>
    <cellStyle name="Comma 21 4" xfId="5428"/>
    <cellStyle name="Comma 22" xfId="264"/>
    <cellStyle name="Comma 22 2" xfId="265"/>
    <cellStyle name="Comma 22 2 2" xfId="2823"/>
    <cellStyle name="Comma 22 3" xfId="2824"/>
    <cellStyle name="Comma 23" xfId="266"/>
    <cellStyle name="Comma 23 2" xfId="267"/>
    <cellStyle name="Comma 23 2 2" xfId="2825"/>
    <cellStyle name="Comma 23 3" xfId="2826"/>
    <cellStyle name="Comma 24" xfId="268"/>
    <cellStyle name="Comma 24 2" xfId="269"/>
    <cellStyle name="Comma 24 2 2" xfId="2827"/>
    <cellStyle name="Comma 24 3" xfId="2828"/>
    <cellStyle name="Comma 24 4" xfId="4644"/>
    <cellStyle name="Comma 25" xfId="270"/>
    <cellStyle name="Comma 25 2" xfId="890"/>
    <cellStyle name="Comma 25 2 2" xfId="2829"/>
    <cellStyle name="Comma 25 3" xfId="2830"/>
    <cellStyle name="Comma 25 4" xfId="4652"/>
    <cellStyle name="Comma 26" xfId="271"/>
    <cellStyle name="Comma 26 2" xfId="887"/>
    <cellStyle name="Comma 26 2 2" xfId="2831"/>
    <cellStyle name="Comma 26 3" xfId="2832"/>
    <cellStyle name="Comma 26 4" xfId="4643"/>
    <cellStyle name="Comma 27" xfId="272"/>
    <cellStyle name="Comma 27 2" xfId="885"/>
    <cellStyle name="Comma 27 2 2" xfId="2833"/>
    <cellStyle name="Comma 27 3" xfId="2834"/>
    <cellStyle name="Comma 27 4" xfId="4653"/>
    <cellStyle name="Comma 27 4 2" xfId="5882"/>
    <cellStyle name="Comma 27 4 2 2" xfId="7969"/>
    <cellStyle name="Comma 27 4 2 2 2" xfId="11670"/>
    <cellStyle name="Comma 27 4 2 2 2 2" xfId="22792"/>
    <cellStyle name="Comma 27 4 2 2 3" xfId="15369"/>
    <cellStyle name="Comma 27 4 2 2 3 2" xfId="26486"/>
    <cellStyle name="Comma 27 4 2 2 4" xfId="19098"/>
    <cellStyle name="Comma 27 4 2 3" xfId="9823"/>
    <cellStyle name="Comma 27 4 2 3 2" xfId="20945"/>
    <cellStyle name="Comma 27 4 2 4" xfId="13522"/>
    <cellStyle name="Comma 27 4 2 4 2" xfId="24639"/>
    <cellStyle name="Comma 27 4 2 5" xfId="17251"/>
    <cellStyle name="Comma 27 4 3" xfId="7050"/>
    <cellStyle name="Comma 27 4 3 2" xfId="10751"/>
    <cellStyle name="Comma 27 4 3 2 2" xfId="21873"/>
    <cellStyle name="Comma 27 4 3 3" xfId="14450"/>
    <cellStyle name="Comma 27 4 3 3 2" xfId="25567"/>
    <cellStyle name="Comma 27 4 3 4" xfId="18179"/>
    <cellStyle name="Comma 27 4 4" xfId="8904"/>
    <cellStyle name="Comma 27 4 4 2" xfId="20026"/>
    <cellStyle name="Comma 27 4 5" xfId="12603"/>
    <cellStyle name="Comma 27 4 5 2" xfId="23720"/>
    <cellStyle name="Comma 27 4 6" xfId="16332"/>
    <cellStyle name="Comma 28" xfId="273"/>
    <cellStyle name="Comma 28 2" xfId="884"/>
    <cellStyle name="Comma 28 2 2" xfId="2835"/>
    <cellStyle name="Comma 28 3" xfId="2836"/>
    <cellStyle name="Comma 28 4" xfId="4650"/>
    <cellStyle name="Comma 28 4 2" xfId="5880"/>
    <cellStyle name="Comma 28 4 2 2" xfId="7967"/>
    <cellStyle name="Comma 28 4 2 2 2" xfId="11668"/>
    <cellStyle name="Comma 28 4 2 2 2 2" xfId="22790"/>
    <cellStyle name="Comma 28 4 2 2 3" xfId="15367"/>
    <cellStyle name="Comma 28 4 2 2 3 2" xfId="26484"/>
    <cellStyle name="Comma 28 4 2 2 4" xfId="19096"/>
    <cellStyle name="Comma 28 4 2 3" xfId="9821"/>
    <cellStyle name="Comma 28 4 2 3 2" xfId="20943"/>
    <cellStyle name="Comma 28 4 2 4" xfId="13520"/>
    <cellStyle name="Comma 28 4 2 4 2" xfId="24637"/>
    <cellStyle name="Comma 28 4 2 5" xfId="17249"/>
    <cellStyle name="Comma 28 4 3" xfId="7048"/>
    <cellStyle name="Comma 28 4 3 2" xfId="10749"/>
    <cellStyle name="Comma 28 4 3 2 2" xfId="21871"/>
    <cellStyle name="Comma 28 4 3 3" xfId="14448"/>
    <cellStyle name="Comma 28 4 3 3 2" xfId="25565"/>
    <cellStyle name="Comma 28 4 3 4" xfId="18177"/>
    <cellStyle name="Comma 28 4 4" xfId="8902"/>
    <cellStyle name="Comma 28 4 4 2" xfId="20024"/>
    <cellStyle name="Comma 28 4 5" xfId="12601"/>
    <cellStyle name="Comma 28 4 5 2" xfId="23718"/>
    <cellStyle name="Comma 28 4 6" xfId="16330"/>
    <cellStyle name="Comma 29" xfId="274"/>
    <cellStyle name="Comma 29 2" xfId="883"/>
    <cellStyle name="Comma 29 2 2" xfId="2837"/>
    <cellStyle name="Comma 29 3" xfId="2838"/>
    <cellStyle name="Comma 29 4" xfId="4648"/>
    <cellStyle name="Comma 29 4 2" xfId="5879"/>
    <cellStyle name="Comma 29 4 2 2" xfId="7966"/>
    <cellStyle name="Comma 29 4 2 2 2" xfId="11667"/>
    <cellStyle name="Comma 29 4 2 2 2 2" xfId="22789"/>
    <cellStyle name="Comma 29 4 2 2 3" xfId="15366"/>
    <cellStyle name="Comma 29 4 2 2 3 2" xfId="26483"/>
    <cellStyle name="Comma 29 4 2 2 4" xfId="19095"/>
    <cellStyle name="Comma 29 4 2 3" xfId="9820"/>
    <cellStyle name="Comma 29 4 2 3 2" xfId="20942"/>
    <cellStyle name="Comma 29 4 2 4" xfId="13519"/>
    <cellStyle name="Comma 29 4 2 4 2" xfId="24636"/>
    <cellStyle name="Comma 29 4 2 5" xfId="17248"/>
    <cellStyle name="Comma 29 4 3" xfId="7047"/>
    <cellStyle name="Comma 29 4 3 2" xfId="10748"/>
    <cellStyle name="Comma 29 4 3 2 2" xfId="21870"/>
    <cellStyle name="Comma 29 4 3 3" xfId="14447"/>
    <cellStyle name="Comma 29 4 3 3 2" xfId="25564"/>
    <cellStyle name="Comma 29 4 3 4" xfId="18176"/>
    <cellStyle name="Comma 29 4 4" xfId="8901"/>
    <cellStyle name="Comma 29 4 4 2" xfId="20023"/>
    <cellStyle name="Comma 29 4 5" xfId="12600"/>
    <cellStyle name="Comma 29 4 5 2" xfId="23717"/>
    <cellStyle name="Comma 29 4 6" xfId="16329"/>
    <cellStyle name="Comma 3" xfId="40"/>
    <cellStyle name="Comma 3 2" xfId="275"/>
    <cellStyle name="Comma 3 2 2" xfId="276"/>
    <cellStyle name="Comma 3 2 2 2" xfId="277"/>
    <cellStyle name="Comma 3 2 2 2 2" xfId="6059"/>
    <cellStyle name="Comma 3 2 2 3" xfId="5969"/>
    <cellStyle name="Comma 3 2 3" xfId="278"/>
    <cellStyle name="Comma 3 2 3 2" xfId="6060"/>
    <cellStyle name="Comma 3 2 4" xfId="2839"/>
    <cellStyle name="Comma 3 2 4 2" xfId="4670"/>
    <cellStyle name="Comma 3 3" xfId="279"/>
    <cellStyle name="Comma 3 3 2" xfId="280"/>
    <cellStyle name="Comma 3 3 2 2" xfId="6061"/>
    <cellStyle name="Comma 3 3 3" xfId="5968"/>
    <cellStyle name="Comma 3 4" xfId="281"/>
    <cellStyle name="Comma 3 4 2" xfId="2840"/>
    <cellStyle name="Comma 3 4 2 2" xfId="6062"/>
    <cellStyle name="Comma 3 4 3" xfId="2841"/>
    <cellStyle name="Comma 3 5" xfId="812"/>
    <cellStyle name="Comma 3 5 10" xfId="11728"/>
    <cellStyle name="Comma 3 5 10 2" xfId="22845"/>
    <cellStyle name="Comma 3 5 11" xfId="15457"/>
    <cellStyle name="Comma 3 5 2" xfId="1581"/>
    <cellStyle name="Comma 3 5 2 10" xfId="15508"/>
    <cellStyle name="Comma 3 5 2 2" xfId="1700"/>
    <cellStyle name="Comma 3 5 2 2 2" xfId="2018"/>
    <cellStyle name="Comma 3 5 2 2 3" xfId="1910"/>
    <cellStyle name="Comma 3 5 2 2 3 2" xfId="5107"/>
    <cellStyle name="Comma 3 5 2 2 3 2 2" xfId="7458"/>
    <cellStyle name="Comma 3 5 2 2 3 2 2 2" xfId="11159"/>
    <cellStyle name="Comma 3 5 2 2 3 2 2 2 2" xfId="22281"/>
    <cellStyle name="Comma 3 5 2 2 3 2 2 3" xfId="14858"/>
    <cellStyle name="Comma 3 5 2 2 3 2 2 3 2" xfId="25975"/>
    <cellStyle name="Comma 3 5 2 2 3 2 2 4" xfId="18587"/>
    <cellStyle name="Comma 3 5 2 2 3 2 3" xfId="9312"/>
    <cellStyle name="Comma 3 5 2 2 3 2 3 2" xfId="20434"/>
    <cellStyle name="Comma 3 5 2 2 3 2 4" xfId="13011"/>
    <cellStyle name="Comma 3 5 2 2 3 2 4 2" xfId="24128"/>
    <cellStyle name="Comma 3 5 2 2 3 2 5" xfId="16740"/>
    <cellStyle name="Comma 3 5 2 2 3 3" xfId="6539"/>
    <cellStyle name="Comma 3 5 2 2 3 3 2" xfId="10241"/>
    <cellStyle name="Comma 3 5 2 2 3 3 2 2" xfId="21363"/>
    <cellStyle name="Comma 3 5 2 2 3 3 3" xfId="13940"/>
    <cellStyle name="Comma 3 5 2 2 3 3 3 2" xfId="25057"/>
    <cellStyle name="Comma 3 5 2 2 3 3 4" xfId="17669"/>
    <cellStyle name="Comma 3 5 2 2 3 4" xfId="8393"/>
    <cellStyle name="Comma 3 5 2 2 3 4 2" xfId="19516"/>
    <cellStyle name="Comma 3 5 2 2 3 5" xfId="12093"/>
    <cellStyle name="Comma 3 5 2 2 3 5 2" xfId="23210"/>
    <cellStyle name="Comma 3 5 2 2 3 6" xfId="15822"/>
    <cellStyle name="Comma 3 5 2 2 4" xfId="4899"/>
    <cellStyle name="Comma 3 5 2 2 4 2" xfId="7250"/>
    <cellStyle name="Comma 3 5 2 2 4 2 2" xfId="10951"/>
    <cellStyle name="Comma 3 5 2 2 4 2 2 2" xfId="22073"/>
    <cellStyle name="Comma 3 5 2 2 4 2 3" xfId="14650"/>
    <cellStyle name="Comma 3 5 2 2 4 2 3 2" xfId="25767"/>
    <cellStyle name="Comma 3 5 2 2 4 2 4" xfId="18379"/>
    <cellStyle name="Comma 3 5 2 2 4 3" xfId="9104"/>
    <cellStyle name="Comma 3 5 2 2 4 3 2" xfId="20226"/>
    <cellStyle name="Comma 3 5 2 2 4 4" xfId="12803"/>
    <cellStyle name="Comma 3 5 2 2 4 4 2" xfId="23920"/>
    <cellStyle name="Comma 3 5 2 2 4 5" xfId="16532"/>
    <cellStyle name="Comma 3 5 2 2 5" xfId="6331"/>
    <cellStyle name="Comma 3 5 2 2 5 2" xfId="10033"/>
    <cellStyle name="Comma 3 5 2 2 5 2 2" xfId="21155"/>
    <cellStyle name="Comma 3 5 2 2 5 3" xfId="13732"/>
    <cellStyle name="Comma 3 5 2 2 5 3 2" xfId="24849"/>
    <cellStyle name="Comma 3 5 2 2 5 4" xfId="17461"/>
    <cellStyle name="Comma 3 5 2 2 6" xfId="8185"/>
    <cellStyle name="Comma 3 5 2 2 6 2" xfId="19308"/>
    <cellStyle name="Comma 3 5 2 2 7" xfId="11885"/>
    <cellStyle name="Comma 3 5 2 2 7 2" xfId="23002"/>
    <cellStyle name="Comma 3 5 2 2 8" xfId="15614"/>
    <cellStyle name="Comma 3 5 2 3" xfId="2017"/>
    <cellStyle name="Comma 3 5 2 4" xfId="1804"/>
    <cellStyle name="Comma 3 5 2 4 2" xfId="5001"/>
    <cellStyle name="Comma 3 5 2 4 2 2" xfId="7352"/>
    <cellStyle name="Comma 3 5 2 4 2 2 2" xfId="11053"/>
    <cellStyle name="Comma 3 5 2 4 2 2 2 2" xfId="22175"/>
    <cellStyle name="Comma 3 5 2 4 2 2 3" xfId="14752"/>
    <cellStyle name="Comma 3 5 2 4 2 2 3 2" xfId="25869"/>
    <cellStyle name="Comma 3 5 2 4 2 2 4" xfId="18481"/>
    <cellStyle name="Comma 3 5 2 4 2 3" xfId="9206"/>
    <cellStyle name="Comma 3 5 2 4 2 3 2" xfId="20328"/>
    <cellStyle name="Comma 3 5 2 4 2 4" xfId="12905"/>
    <cellStyle name="Comma 3 5 2 4 2 4 2" xfId="24022"/>
    <cellStyle name="Comma 3 5 2 4 2 5" xfId="16634"/>
    <cellStyle name="Comma 3 5 2 4 3" xfId="6433"/>
    <cellStyle name="Comma 3 5 2 4 3 2" xfId="10135"/>
    <cellStyle name="Comma 3 5 2 4 3 2 2" xfId="21257"/>
    <cellStyle name="Comma 3 5 2 4 3 3" xfId="13834"/>
    <cellStyle name="Comma 3 5 2 4 3 3 2" xfId="24951"/>
    <cellStyle name="Comma 3 5 2 4 3 4" xfId="17563"/>
    <cellStyle name="Comma 3 5 2 4 4" xfId="8287"/>
    <cellStyle name="Comma 3 5 2 4 4 2" xfId="19410"/>
    <cellStyle name="Comma 3 5 2 4 5" xfId="11987"/>
    <cellStyle name="Comma 3 5 2 4 5 2" xfId="23104"/>
    <cellStyle name="Comma 3 5 2 4 6" xfId="15716"/>
    <cellStyle name="Comma 3 5 2 5" xfId="2843"/>
    <cellStyle name="Comma 3 5 2 6" xfId="4793"/>
    <cellStyle name="Comma 3 5 2 6 2" xfId="7144"/>
    <cellStyle name="Comma 3 5 2 6 2 2" xfId="10845"/>
    <cellStyle name="Comma 3 5 2 6 2 2 2" xfId="21967"/>
    <cellStyle name="Comma 3 5 2 6 2 3" xfId="14544"/>
    <cellStyle name="Comma 3 5 2 6 2 3 2" xfId="25661"/>
    <cellStyle name="Comma 3 5 2 6 2 4" xfId="18273"/>
    <cellStyle name="Comma 3 5 2 6 3" xfId="8998"/>
    <cellStyle name="Comma 3 5 2 6 3 2" xfId="20120"/>
    <cellStyle name="Comma 3 5 2 6 4" xfId="12697"/>
    <cellStyle name="Comma 3 5 2 6 4 2" xfId="23814"/>
    <cellStyle name="Comma 3 5 2 6 5" xfId="16426"/>
    <cellStyle name="Comma 3 5 2 7" xfId="6225"/>
    <cellStyle name="Comma 3 5 2 7 2" xfId="9927"/>
    <cellStyle name="Comma 3 5 2 7 2 2" xfId="21049"/>
    <cellStyle name="Comma 3 5 2 7 3" xfId="13626"/>
    <cellStyle name="Comma 3 5 2 7 3 2" xfId="24743"/>
    <cellStyle name="Comma 3 5 2 7 4" xfId="17355"/>
    <cellStyle name="Comma 3 5 2 8" xfId="8079"/>
    <cellStyle name="Comma 3 5 2 8 2" xfId="19202"/>
    <cellStyle name="Comma 3 5 2 9" xfId="11779"/>
    <cellStyle name="Comma 3 5 2 9 2" xfId="22896"/>
    <cellStyle name="Comma 3 5 3" xfId="1645"/>
    <cellStyle name="Comma 3 5 3 2" xfId="2019"/>
    <cellStyle name="Comma 3 5 3 3" xfId="1857"/>
    <cellStyle name="Comma 3 5 3 3 2" xfId="5054"/>
    <cellStyle name="Comma 3 5 3 3 2 2" xfId="7405"/>
    <cellStyle name="Comma 3 5 3 3 2 2 2" xfId="11106"/>
    <cellStyle name="Comma 3 5 3 3 2 2 2 2" xfId="22228"/>
    <cellStyle name="Comma 3 5 3 3 2 2 3" xfId="14805"/>
    <cellStyle name="Comma 3 5 3 3 2 2 3 2" xfId="25922"/>
    <cellStyle name="Comma 3 5 3 3 2 2 4" xfId="18534"/>
    <cellStyle name="Comma 3 5 3 3 2 3" xfId="9259"/>
    <cellStyle name="Comma 3 5 3 3 2 3 2" xfId="20381"/>
    <cellStyle name="Comma 3 5 3 3 2 4" xfId="12958"/>
    <cellStyle name="Comma 3 5 3 3 2 4 2" xfId="24075"/>
    <cellStyle name="Comma 3 5 3 3 2 5" xfId="16687"/>
    <cellStyle name="Comma 3 5 3 3 3" xfId="6486"/>
    <cellStyle name="Comma 3 5 3 3 3 2" xfId="10188"/>
    <cellStyle name="Comma 3 5 3 3 3 2 2" xfId="21310"/>
    <cellStyle name="Comma 3 5 3 3 3 3" xfId="13887"/>
    <cellStyle name="Comma 3 5 3 3 3 3 2" xfId="25004"/>
    <cellStyle name="Comma 3 5 3 3 3 4" xfId="17616"/>
    <cellStyle name="Comma 3 5 3 3 4" xfId="8340"/>
    <cellStyle name="Comma 3 5 3 3 4 2" xfId="19463"/>
    <cellStyle name="Comma 3 5 3 3 5" xfId="12040"/>
    <cellStyle name="Comma 3 5 3 3 5 2" xfId="23157"/>
    <cellStyle name="Comma 3 5 3 3 6" xfId="15769"/>
    <cellStyle name="Comma 3 5 3 4" xfId="2844"/>
    <cellStyle name="Comma 3 5 3 5" xfId="4846"/>
    <cellStyle name="Comma 3 5 3 5 2" xfId="7197"/>
    <cellStyle name="Comma 3 5 3 5 2 2" xfId="10898"/>
    <cellStyle name="Comma 3 5 3 5 2 2 2" xfId="22020"/>
    <cellStyle name="Comma 3 5 3 5 2 3" xfId="14597"/>
    <cellStyle name="Comma 3 5 3 5 2 3 2" xfId="25714"/>
    <cellStyle name="Comma 3 5 3 5 2 4" xfId="18326"/>
    <cellStyle name="Comma 3 5 3 5 3" xfId="9051"/>
    <cellStyle name="Comma 3 5 3 5 3 2" xfId="20173"/>
    <cellStyle name="Comma 3 5 3 5 4" xfId="12750"/>
    <cellStyle name="Comma 3 5 3 5 4 2" xfId="23867"/>
    <cellStyle name="Comma 3 5 3 5 5" xfId="16479"/>
    <cellStyle name="Comma 3 5 3 6" xfId="6278"/>
    <cellStyle name="Comma 3 5 3 6 2" xfId="9980"/>
    <cellStyle name="Comma 3 5 3 6 2 2" xfId="21102"/>
    <cellStyle name="Comma 3 5 3 6 3" xfId="13679"/>
    <cellStyle name="Comma 3 5 3 6 3 2" xfId="24796"/>
    <cellStyle name="Comma 3 5 3 6 4" xfId="17408"/>
    <cellStyle name="Comma 3 5 3 7" xfId="8132"/>
    <cellStyle name="Comma 3 5 3 7 2" xfId="19255"/>
    <cellStyle name="Comma 3 5 3 8" xfId="11832"/>
    <cellStyle name="Comma 3 5 3 8 2" xfId="22949"/>
    <cellStyle name="Comma 3 5 3 9" xfId="15561"/>
    <cellStyle name="Comma 3 5 4" xfId="2016"/>
    <cellStyle name="Comma 3 5 5" xfId="1753"/>
    <cellStyle name="Comma 3 5 5 2" xfId="4950"/>
    <cellStyle name="Comma 3 5 5 2 2" xfId="7301"/>
    <cellStyle name="Comma 3 5 5 2 2 2" xfId="11002"/>
    <cellStyle name="Comma 3 5 5 2 2 2 2" xfId="22124"/>
    <cellStyle name="Comma 3 5 5 2 2 3" xfId="14701"/>
    <cellStyle name="Comma 3 5 5 2 2 3 2" xfId="25818"/>
    <cellStyle name="Comma 3 5 5 2 2 4" xfId="18430"/>
    <cellStyle name="Comma 3 5 5 2 3" xfId="9155"/>
    <cellStyle name="Comma 3 5 5 2 3 2" xfId="20277"/>
    <cellStyle name="Comma 3 5 5 2 4" xfId="12854"/>
    <cellStyle name="Comma 3 5 5 2 4 2" xfId="23971"/>
    <cellStyle name="Comma 3 5 5 2 5" xfId="16583"/>
    <cellStyle name="Comma 3 5 5 3" xfId="6382"/>
    <cellStyle name="Comma 3 5 5 3 2" xfId="10084"/>
    <cellStyle name="Comma 3 5 5 3 2 2" xfId="21206"/>
    <cellStyle name="Comma 3 5 5 3 3" xfId="13783"/>
    <cellStyle name="Comma 3 5 5 3 3 2" xfId="24900"/>
    <cellStyle name="Comma 3 5 5 3 4" xfId="17512"/>
    <cellStyle name="Comma 3 5 5 4" xfId="8236"/>
    <cellStyle name="Comma 3 5 5 4 2" xfId="19359"/>
    <cellStyle name="Comma 3 5 5 5" xfId="11936"/>
    <cellStyle name="Comma 3 5 5 5 2" xfId="23053"/>
    <cellStyle name="Comma 3 5 5 6" xfId="15665"/>
    <cellStyle name="Comma 3 5 6" xfId="2842"/>
    <cellStyle name="Comma 3 5 7" xfId="4741"/>
    <cellStyle name="Comma 3 5 7 2" xfId="7093"/>
    <cellStyle name="Comma 3 5 7 2 2" xfId="10794"/>
    <cellStyle name="Comma 3 5 7 2 2 2" xfId="21916"/>
    <cellStyle name="Comma 3 5 7 2 3" xfId="14493"/>
    <cellStyle name="Comma 3 5 7 2 3 2" xfId="25610"/>
    <cellStyle name="Comma 3 5 7 2 4" xfId="18222"/>
    <cellStyle name="Comma 3 5 7 3" xfId="8947"/>
    <cellStyle name="Comma 3 5 7 3 2" xfId="20069"/>
    <cellStyle name="Comma 3 5 7 4" xfId="12646"/>
    <cellStyle name="Comma 3 5 7 4 2" xfId="23763"/>
    <cellStyle name="Comma 3 5 7 5" xfId="16375"/>
    <cellStyle name="Comma 3 5 8" xfId="6174"/>
    <cellStyle name="Comma 3 5 8 2" xfId="9876"/>
    <cellStyle name="Comma 3 5 8 2 2" xfId="20998"/>
    <cellStyle name="Comma 3 5 8 3" xfId="13575"/>
    <cellStyle name="Comma 3 5 8 3 2" xfId="24692"/>
    <cellStyle name="Comma 3 5 8 4" xfId="17304"/>
    <cellStyle name="Comma 3 5 9" xfId="8027"/>
    <cellStyle name="Comma 3 5 9 2" xfId="19151"/>
    <cellStyle name="Comma 3 6" xfId="2020"/>
    <cellStyle name="Comma 3 6 2" xfId="4362"/>
    <cellStyle name="Comma 30" xfId="282"/>
    <cellStyle name="Comma 30 2" xfId="1015"/>
    <cellStyle name="Comma 30 2 2" xfId="5913"/>
    <cellStyle name="Comma 30 3" xfId="5432"/>
    <cellStyle name="Comma 31" xfId="283"/>
    <cellStyle name="Comma 31 2" xfId="1016"/>
    <cellStyle name="Comma 31 2 2" xfId="5869"/>
    <cellStyle name="Comma 31 3" xfId="5433"/>
    <cellStyle name="Comma 32" xfId="284"/>
    <cellStyle name="Comma 32 2" xfId="1018"/>
    <cellStyle name="Comma 32 2 2" xfId="5435"/>
    <cellStyle name="Comma 32 3" xfId="5434"/>
    <cellStyle name="Comma 33" xfId="654"/>
    <cellStyle name="Comma 33 2" xfId="1019"/>
    <cellStyle name="Comma 33 2 2" xfId="5437"/>
    <cellStyle name="Comma 33 3" xfId="5436"/>
    <cellStyle name="Comma 34" xfId="658"/>
    <cellStyle name="Comma 34 2" xfId="1020"/>
    <cellStyle name="Comma 34 2 2" xfId="5439"/>
    <cellStyle name="Comma 34 3" xfId="5438"/>
    <cellStyle name="Comma 35" xfId="652"/>
    <cellStyle name="Comma 35 2" xfId="1021"/>
    <cellStyle name="Comma 35 2 2" xfId="5441"/>
    <cellStyle name="Comma 35 3" xfId="5440"/>
    <cellStyle name="Comma 36" xfId="657"/>
    <cellStyle name="Comma 36 2" xfId="1023"/>
    <cellStyle name="Comma 36 2 2" xfId="5911"/>
    <cellStyle name="Comma 36 3" xfId="5912"/>
    <cellStyle name="Comma 37" xfId="653"/>
    <cellStyle name="Comma 37 2" xfId="1025"/>
    <cellStyle name="Comma 37 2 2" xfId="5443"/>
    <cellStyle name="Comma 37 3" xfId="5442"/>
    <cellStyle name="Comma 38" xfId="656"/>
    <cellStyle name="Comma 38 2" xfId="1027"/>
    <cellStyle name="Comma 38 2 2" xfId="2845"/>
    <cellStyle name="Comma 38 3" xfId="2846"/>
    <cellStyle name="Comma 39" xfId="785"/>
    <cellStyle name="Comma 39 10" xfId="8016"/>
    <cellStyle name="Comma 39 10 2" xfId="19140"/>
    <cellStyle name="Comma 39 11" xfId="11717"/>
    <cellStyle name="Comma 39 11 2" xfId="22834"/>
    <cellStyle name="Comma 39 12" xfId="15446"/>
    <cellStyle name="Comma 39 2" xfId="1029"/>
    <cellStyle name="Comma 39 2 2" xfId="2847"/>
    <cellStyle name="Comma 39 3" xfId="1028"/>
    <cellStyle name="Comma 39 4" xfId="1570"/>
    <cellStyle name="Comma 39 4 2" xfId="1689"/>
    <cellStyle name="Comma 39 4 2 2" xfId="2023"/>
    <cellStyle name="Comma 39 4 2 3" xfId="1899"/>
    <cellStyle name="Comma 39 4 2 3 2" xfId="5096"/>
    <cellStyle name="Comma 39 4 2 3 2 2" xfId="7447"/>
    <cellStyle name="Comma 39 4 2 3 2 2 2" xfId="11148"/>
    <cellStyle name="Comma 39 4 2 3 2 2 2 2" xfId="22270"/>
    <cellStyle name="Comma 39 4 2 3 2 2 3" xfId="14847"/>
    <cellStyle name="Comma 39 4 2 3 2 2 3 2" xfId="25964"/>
    <cellStyle name="Comma 39 4 2 3 2 2 4" xfId="18576"/>
    <cellStyle name="Comma 39 4 2 3 2 3" xfId="9301"/>
    <cellStyle name="Comma 39 4 2 3 2 3 2" xfId="20423"/>
    <cellStyle name="Comma 39 4 2 3 2 4" xfId="13000"/>
    <cellStyle name="Comma 39 4 2 3 2 4 2" xfId="24117"/>
    <cellStyle name="Comma 39 4 2 3 2 5" xfId="16729"/>
    <cellStyle name="Comma 39 4 2 3 3" xfId="6528"/>
    <cellStyle name="Comma 39 4 2 3 3 2" xfId="10230"/>
    <cellStyle name="Comma 39 4 2 3 3 2 2" xfId="21352"/>
    <cellStyle name="Comma 39 4 2 3 3 3" xfId="13929"/>
    <cellStyle name="Comma 39 4 2 3 3 3 2" xfId="25046"/>
    <cellStyle name="Comma 39 4 2 3 3 4" xfId="17658"/>
    <cellStyle name="Comma 39 4 2 3 4" xfId="8382"/>
    <cellStyle name="Comma 39 4 2 3 4 2" xfId="19505"/>
    <cellStyle name="Comma 39 4 2 3 5" xfId="12082"/>
    <cellStyle name="Comma 39 4 2 3 5 2" xfId="23199"/>
    <cellStyle name="Comma 39 4 2 3 6" xfId="15811"/>
    <cellStyle name="Comma 39 4 2 4" xfId="4888"/>
    <cellStyle name="Comma 39 4 2 4 2" xfId="7239"/>
    <cellStyle name="Comma 39 4 2 4 2 2" xfId="10940"/>
    <cellStyle name="Comma 39 4 2 4 2 2 2" xfId="22062"/>
    <cellStyle name="Comma 39 4 2 4 2 3" xfId="14639"/>
    <cellStyle name="Comma 39 4 2 4 2 3 2" xfId="25756"/>
    <cellStyle name="Comma 39 4 2 4 2 4" xfId="18368"/>
    <cellStyle name="Comma 39 4 2 4 3" xfId="9093"/>
    <cellStyle name="Comma 39 4 2 4 3 2" xfId="20215"/>
    <cellStyle name="Comma 39 4 2 4 4" xfId="12792"/>
    <cellStyle name="Comma 39 4 2 4 4 2" xfId="23909"/>
    <cellStyle name="Comma 39 4 2 4 5" xfId="16521"/>
    <cellStyle name="Comma 39 4 2 5" xfId="6320"/>
    <cellStyle name="Comma 39 4 2 5 2" xfId="10022"/>
    <cellStyle name="Comma 39 4 2 5 2 2" xfId="21144"/>
    <cellStyle name="Comma 39 4 2 5 3" xfId="13721"/>
    <cellStyle name="Comma 39 4 2 5 3 2" xfId="24838"/>
    <cellStyle name="Comma 39 4 2 5 4" xfId="17450"/>
    <cellStyle name="Comma 39 4 2 6" xfId="8174"/>
    <cellStyle name="Comma 39 4 2 6 2" xfId="19297"/>
    <cellStyle name="Comma 39 4 2 7" xfId="11874"/>
    <cellStyle name="Comma 39 4 2 7 2" xfId="22991"/>
    <cellStyle name="Comma 39 4 2 8" xfId="15603"/>
    <cellStyle name="Comma 39 4 3" xfId="2022"/>
    <cellStyle name="Comma 39 4 4" xfId="1793"/>
    <cellStyle name="Comma 39 4 4 2" xfId="4990"/>
    <cellStyle name="Comma 39 4 4 2 2" xfId="7341"/>
    <cellStyle name="Comma 39 4 4 2 2 2" xfId="11042"/>
    <cellStyle name="Comma 39 4 4 2 2 2 2" xfId="22164"/>
    <cellStyle name="Comma 39 4 4 2 2 3" xfId="14741"/>
    <cellStyle name="Comma 39 4 4 2 2 3 2" xfId="25858"/>
    <cellStyle name="Comma 39 4 4 2 2 4" xfId="18470"/>
    <cellStyle name="Comma 39 4 4 2 3" xfId="9195"/>
    <cellStyle name="Comma 39 4 4 2 3 2" xfId="20317"/>
    <cellStyle name="Comma 39 4 4 2 4" xfId="12894"/>
    <cellStyle name="Comma 39 4 4 2 4 2" xfId="24011"/>
    <cellStyle name="Comma 39 4 4 2 5" xfId="16623"/>
    <cellStyle name="Comma 39 4 4 3" xfId="6422"/>
    <cellStyle name="Comma 39 4 4 3 2" xfId="10124"/>
    <cellStyle name="Comma 39 4 4 3 2 2" xfId="21246"/>
    <cellStyle name="Comma 39 4 4 3 3" xfId="13823"/>
    <cellStyle name="Comma 39 4 4 3 3 2" xfId="24940"/>
    <cellStyle name="Comma 39 4 4 3 4" xfId="17552"/>
    <cellStyle name="Comma 39 4 4 4" xfId="8276"/>
    <cellStyle name="Comma 39 4 4 4 2" xfId="19399"/>
    <cellStyle name="Comma 39 4 4 5" xfId="11976"/>
    <cellStyle name="Comma 39 4 4 5 2" xfId="23093"/>
    <cellStyle name="Comma 39 4 4 6" xfId="15705"/>
    <cellStyle name="Comma 39 4 5" xfId="4782"/>
    <cellStyle name="Comma 39 4 5 2" xfId="7133"/>
    <cellStyle name="Comma 39 4 5 2 2" xfId="10834"/>
    <cellStyle name="Comma 39 4 5 2 2 2" xfId="21956"/>
    <cellStyle name="Comma 39 4 5 2 3" xfId="14533"/>
    <cellStyle name="Comma 39 4 5 2 3 2" xfId="25650"/>
    <cellStyle name="Comma 39 4 5 2 4" xfId="18262"/>
    <cellStyle name="Comma 39 4 5 3" xfId="8987"/>
    <cellStyle name="Comma 39 4 5 3 2" xfId="20109"/>
    <cellStyle name="Comma 39 4 5 4" xfId="12686"/>
    <cellStyle name="Comma 39 4 5 4 2" xfId="23803"/>
    <cellStyle name="Comma 39 4 5 5" xfId="16415"/>
    <cellStyle name="Comma 39 4 6" xfId="6214"/>
    <cellStyle name="Comma 39 4 6 2" xfId="9916"/>
    <cellStyle name="Comma 39 4 6 2 2" xfId="21038"/>
    <cellStyle name="Comma 39 4 6 3" xfId="13615"/>
    <cellStyle name="Comma 39 4 6 3 2" xfId="24732"/>
    <cellStyle name="Comma 39 4 6 4" xfId="17344"/>
    <cellStyle name="Comma 39 4 7" xfId="8068"/>
    <cellStyle name="Comma 39 4 7 2" xfId="19191"/>
    <cellStyle name="Comma 39 4 8" xfId="11768"/>
    <cellStyle name="Comma 39 4 8 2" xfId="22885"/>
    <cellStyle name="Comma 39 4 9" xfId="15497"/>
    <cellStyle name="Comma 39 5" xfId="1633"/>
    <cellStyle name="Comma 39 5 2" xfId="2024"/>
    <cellStyle name="Comma 39 5 3" xfId="1846"/>
    <cellStyle name="Comma 39 5 3 2" xfId="5043"/>
    <cellStyle name="Comma 39 5 3 2 2" xfId="7394"/>
    <cellStyle name="Comma 39 5 3 2 2 2" xfId="11095"/>
    <cellStyle name="Comma 39 5 3 2 2 2 2" xfId="22217"/>
    <cellStyle name="Comma 39 5 3 2 2 3" xfId="14794"/>
    <cellStyle name="Comma 39 5 3 2 2 3 2" xfId="25911"/>
    <cellStyle name="Comma 39 5 3 2 2 4" xfId="18523"/>
    <cellStyle name="Comma 39 5 3 2 3" xfId="9248"/>
    <cellStyle name="Comma 39 5 3 2 3 2" xfId="20370"/>
    <cellStyle name="Comma 39 5 3 2 4" xfId="12947"/>
    <cellStyle name="Comma 39 5 3 2 4 2" xfId="24064"/>
    <cellStyle name="Comma 39 5 3 2 5" xfId="16676"/>
    <cellStyle name="Comma 39 5 3 3" xfId="6475"/>
    <cellStyle name="Comma 39 5 3 3 2" xfId="10177"/>
    <cellStyle name="Comma 39 5 3 3 2 2" xfId="21299"/>
    <cellStyle name="Comma 39 5 3 3 3" xfId="13876"/>
    <cellStyle name="Comma 39 5 3 3 3 2" xfId="24993"/>
    <cellStyle name="Comma 39 5 3 3 4" xfId="17605"/>
    <cellStyle name="Comma 39 5 3 4" xfId="8329"/>
    <cellStyle name="Comma 39 5 3 4 2" xfId="19452"/>
    <cellStyle name="Comma 39 5 3 5" xfId="12029"/>
    <cellStyle name="Comma 39 5 3 5 2" xfId="23146"/>
    <cellStyle name="Comma 39 5 3 6" xfId="15758"/>
    <cellStyle name="Comma 39 5 4" xfId="4835"/>
    <cellStyle name="Comma 39 5 4 2" xfId="7186"/>
    <cellStyle name="Comma 39 5 4 2 2" xfId="10887"/>
    <cellStyle name="Comma 39 5 4 2 2 2" xfId="22009"/>
    <cellStyle name="Comma 39 5 4 2 3" xfId="14586"/>
    <cellStyle name="Comma 39 5 4 2 3 2" xfId="25703"/>
    <cellStyle name="Comma 39 5 4 2 4" xfId="18315"/>
    <cellStyle name="Comma 39 5 4 3" xfId="9040"/>
    <cellStyle name="Comma 39 5 4 3 2" xfId="20162"/>
    <cellStyle name="Comma 39 5 4 4" xfId="12739"/>
    <cellStyle name="Comma 39 5 4 4 2" xfId="23856"/>
    <cellStyle name="Comma 39 5 4 5" xfId="16468"/>
    <cellStyle name="Comma 39 5 5" xfId="6267"/>
    <cellStyle name="Comma 39 5 5 2" xfId="9969"/>
    <cellStyle name="Comma 39 5 5 2 2" xfId="21091"/>
    <cellStyle name="Comma 39 5 5 3" xfId="13668"/>
    <cellStyle name="Comma 39 5 5 3 2" xfId="24785"/>
    <cellStyle name="Comma 39 5 5 4" xfId="17397"/>
    <cellStyle name="Comma 39 5 6" xfId="8121"/>
    <cellStyle name="Comma 39 5 6 2" xfId="19244"/>
    <cellStyle name="Comma 39 5 7" xfId="11821"/>
    <cellStyle name="Comma 39 5 7 2" xfId="22938"/>
    <cellStyle name="Comma 39 5 8" xfId="15550"/>
    <cellStyle name="Comma 39 6" xfId="2021"/>
    <cellStyle name="Comma 39 7" xfId="1742"/>
    <cellStyle name="Comma 39 7 2" xfId="4939"/>
    <cellStyle name="Comma 39 7 2 2" xfId="7290"/>
    <cellStyle name="Comma 39 7 2 2 2" xfId="10991"/>
    <cellStyle name="Comma 39 7 2 2 2 2" xfId="22113"/>
    <cellStyle name="Comma 39 7 2 2 3" xfId="14690"/>
    <cellStyle name="Comma 39 7 2 2 3 2" xfId="25807"/>
    <cellStyle name="Comma 39 7 2 2 4" xfId="18419"/>
    <cellStyle name="Comma 39 7 2 3" xfId="9144"/>
    <cellStyle name="Comma 39 7 2 3 2" xfId="20266"/>
    <cellStyle name="Comma 39 7 2 4" xfId="12843"/>
    <cellStyle name="Comma 39 7 2 4 2" xfId="23960"/>
    <cellStyle name="Comma 39 7 2 5" xfId="16572"/>
    <cellStyle name="Comma 39 7 3" xfId="6371"/>
    <cellStyle name="Comma 39 7 3 2" xfId="10073"/>
    <cellStyle name="Comma 39 7 3 2 2" xfId="21195"/>
    <cellStyle name="Comma 39 7 3 3" xfId="13772"/>
    <cellStyle name="Comma 39 7 3 3 2" xfId="24889"/>
    <cellStyle name="Comma 39 7 3 4" xfId="17501"/>
    <cellStyle name="Comma 39 7 4" xfId="8225"/>
    <cellStyle name="Comma 39 7 4 2" xfId="19348"/>
    <cellStyle name="Comma 39 7 5" xfId="11925"/>
    <cellStyle name="Comma 39 7 5 2" xfId="23042"/>
    <cellStyle name="Comma 39 7 6" xfId="15654"/>
    <cellStyle name="Comma 39 8" xfId="4730"/>
    <cellStyle name="Comma 39 8 2" xfId="7082"/>
    <cellStyle name="Comma 39 8 2 2" xfId="10783"/>
    <cellStyle name="Comma 39 8 2 2 2" xfId="21905"/>
    <cellStyle name="Comma 39 8 2 3" xfId="14482"/>
    <cellStyle name="Comma 39 8 2 3 2" xfId="25599"/>
    <cellStyle name="Comma 39 8 2 4" xfId="18211"/>
    <cellStyle name="Comma 39 8 3" xfId="8936"/>
    <cellStyle name="Comma 39 8 3 2" xfId="20058"/>
    <cellStyle name="Comma 39 8 4" xfId="12635"/>
    <cellStyle name="Comma 39 8 4 2" xfId="23752"/>
    <cellStyle name="Comma 39 8 5" xfId="16364"/>
    <cellStyle name="Comma 39 9" xfId="6163"/>
    <cellStyle name="Comma 39 9 2" xfId="9865"/>
    <cellStyle name="Comma 39 9 2 2" xfId="20987"/>
    <cellStyle name="Comma 39 9 3" xfId="13564"/>
    <cellStyle name="Comma 39 9 3 2" xfId="24681"/>
    <cellStyle name="Comma 39 9 4" xfId="17293"/>
    <cellStyle name="Comma 4" xfId="285"/>
    <cellStyle name="Comma 4 2" xfId="286"/>
    <cellStyle name="Comma 4 2 2" xfId="287"/>
    <cellStyle name="Comma 4 2 2 2" xfId="2848"/>
    <cellStyle name="Comma 4 2 3" xfId="2849"/>
    <cellStyle name="Comma 4 2 4" xfId="2850"/>
    <cellStyle name="Comma 4 3" xfId="288"/>
    <cellStyle name="Comma 4 3 2" xfId="2851"/>
    <cellStyle name="Comma 4 4" xfId="2852"/>
    <cellStyle name="Comma 4 4 2" xfId="2853"/>
    <cellStyle name="Comma 4 5" xfId="4363"/>
    <cellStyle name="Comma 4 5 2" xfId="5984"/>
    <cellStyle name="Comma 40" xfId="789"/>
    <cellStyle name="Comma 40 10" xfId="8017"/>
    <cellStyle name="Comma 40 10 2" xfId="19141"/>
    <cellStyle name="Comma 40 11" xfId="11718"/>
    <cellStyle name="Comma 40 11 2" xfId="22835"/>
    <cellStyle name="Comma 40 12" xfId="15447"/>
    <cellStyle name="Comma 40 2" xfId="1032"/>
    <cellStyle name="Comma 40 2 2" xfId="2854"/>
    <cellStyle name="Comma 40 3" xfId="1031"/>
    <cellStyle name="Comma 40 4" xfId="1571"/>
    <cellStyle name="Comma 40 4 2" xfId="1690"/>
    <cellStyle name="Comma 40 4 2 2" xfId="2027"/>
    <cellStyle name="Comma 40 4 2 3" xfId="1900"/>
    <cellStyle name="Comma 40 4 2 3 2" xfId="5097"/>
    <cellStyle name="Comma 40 4 2 3 2 2" xfId="7448"/>
    <cellStyle name="Comma 40 4 2 3 2 2 2" xfId="11149"/>
    <cellStyle name="Comma 40 4 2 3 2 2 2 2" xfId="22271"/>
    <cellStyle name="Comma 40 4 2 3 2 2 3" xfId="14848"/>
    <cellStyle name="Comma 40 4 2 3 2 2 3 2" xfId="25965"/>
    <cellStyle name="Comma 40 4 2 3 2 2 4" xfId="18577"/>
    <cellStyle name="Comma 40 4 2 3 2 3" xfId="9302"/>
    <cellStyle name="Comma 40 4 2 3 2 3 2" xfId="20424"/>
    <cellStyle name="Comma 40 4 2 3 2 4" xfId="13001"/>
    <cellStyle name="Comma 40 4 2 3 2 4 2" xfId="24118"/>
    <cellStyle name="Comma 40 4 2 3 2 5" xfId="16730"/>
    <cellStyle name="Comma 40 4 2 3 3" xfId="6529"/>
    <cellStyle name="Comma 40 4 2 3 3 2" xfId="10231"/>
    <cellStyle name="Comma 40 4 2 3 3 2 2" xfId="21353"/>
    <cellStyle name="Comma 40 4 2 3 3 3" xfId="13930"/>
    <cellStyle name="Comma 40 4 2 3 3 3 2" xfId="25047"/>
    <cellStyle name="Comma 40 4 2 3 3 4" xfId="17659"/>
    <cellStyle name="Comma 40 4 2 3 4" xfId="8383"/>
    <cellStyle name="Comma 40 4 2 3 4 2" xfId="19506"/>
    <cellStyle name="Comma 40 4 2 3 5" xfId="12083"/>
    <cellStyle name="Comma 40 4 2 3 5 2" xfId="23200"/>
    <cellStyle name="Comma 40 4 2 3 6" xfId="15812"/>
    <cellStyle name="Comma 40 4 2 4" xfId="4889"/>
    <cellStyle name="Comma 40 4 2 4 2" xfId="7240"/>
    <cellStyle name="Comma 40 4 2 4 2 2" xfId="10941"/>
    <cellStyle name="Comma 40 4 2 4 2 2 2" xfId="22063"/>
    <cellStyle name="Comma 40 4 2 4 2 3" xfId="14640"/>
    <cellStyle name="Comma 40 4 2 4 2 3 2" xfId="25757"/>
    <cellStyle name="Comma 40 4 2 4 2 4" xfId="18369"/>
    <cellStyle name="Comma 40 4 2 4 3" xfId="9094"/>
    <cellStyle name="Comma 40 4 2 4 3 2" xfId="20216"/>
    <cellStyle name="Comma 40 4 2 4 4" xfId="12793"/>
    <cellStyle name="Comma 40 4 2 4 4 2" xfId="23910"/>
    <cellStyle name="Comma 40 4 2 4 5" xfId="16522"/>
    <cellStyle name="Comma 40 4 2 5" xfId="6321"/>
    <cellStyle name="Comma 40 4 2 5 2" xfId="10023"/>
    <cellStyle name="Comma 40 4 2 5 2 2" xfId="21145"/>
    <cellStyle name="Comma 40 4 2 5 3" xfId="13722"/>
    <cellStyle name="Comma 40 4 2 5 3 2" xfId="24839"/>
    <cellStyle name="Comma 40 4 2 5 4" xfId="17451"/>
    <cellStyle name="Comma 40 4 2 6" xfId="8175"/>
    <cellStyle name="Comma 40 4 2 6 2" xfId="19298"/>
    <cellStyle name="Comma 40 4 2 7" xfId="11875"/>
    <cellStyle name="Comma 40 4 2 7 2" xfId="22992"/>
    <cellStyle name="Comma 40 4 2 8" xfId="15604"/>
    <cellStyle name="Comma 40 4 3" xfId="2026"/>
    <cellStyle name="Comma 40 4 4" xfId="1794"/>
    <cellStyle name="Comma 40 4 4 2" xfId="4991"/>
    <cellStyle name="Comma 40 4 4 2 2" xfId="7342"/>
    <cellStyle name="Comma 40 4 4 2 2 2" xfId="11043"/>
    <cellStyle name="Comma 40 4 4 2 2 2 2" xfId="22165"/>
    <cellStyle name="Comma 40 4 4 2 2 3" xfId="14742"/>
    <cellStyle name="Comma 40 4 4 2 2 3 2" xfId="25859"/>
    <cellStyle name="Comma 40 4 4 2 2 4" xfId="18471"/>
    <cellStyle name="Comma 40 4 4 2 3" xfId="9196"/>
    <cellStyle name="Comma 40 4 4 2 3 2" xfId="20318"/>
    <cellStyle name="Comma 40 4 4 2 4" xfId="12895"/>
    <cellStyle name="Comma 40 4 4 2 4 2" xfId="24012"/>
    <cellStyle name="Comma 40 4 4 2 5" xfId="16624"/>
    <cellStyle name="Comma 40 4 4 3" xfId="6423"/>
    <cellStyle name="Comma 40 4 4 3 2" xfId="10125"/>
    <cellStyle name="Comma 40 4 4 3 2 2" xfId="21247"/>
    <cellStyle name="Comma 40 4 4 3 3" xfId="13824"/>
    <cellStyle name="Comma 40 4 4 3 3 2" xfId="24941"/>
    <cellStyle name="Comma 40 4 4 3 4" xfId="17553"/>
    <cellStyle name="Comma 40 4 4 4" xfId="8277"/>
    <cellStyle name="Comma 40 4 4 4 2" xfId="19400"/>
    <cellStyle name="Comma 40 4 4 5" xfId="11977"/>
    <cellStyle name="Comma 40 4 4 5 2" xfId="23094"/>
    <cellStyle name="Comma 40 4 4 6" xfId="15706"/>
    <cellStyle name="Comma 40 4 5" xfId="4783"/>
    <cellStyle name="Comma 40 4 5 2" xfId="7134"/>
    <cellStyle name="Comma 40 4 5 2 2" xfId="10835"/>
    <cellStyle name="Comma 40 4 5 2 2 2" xfId="21957"/>
    <cellStyle name="Comma 40 4 5 2 3" xfId="14534"/>
    <cellStyle name="Comma 40 4 5 2 3 2" xfId="25651"/>
    <cellStyle name="Comma 40 4 5 2 4" xfId="18263"/>
    <cellStyle name="Comma 40 4 5 3" xfId="8988"/>
    <cellStyle name="Comma 40 4 5 3 2" xfId="20110"/>
    <cellStyle name="Comma 40 4 5 4" xfId="12687"/>
    <cellStyle name="Comma 40 4 5 4 2" xfId="23804"/>
    <cellStyle name="Comma 40 4 5 5" xfId="16416"/>
    <cellStyle name="Comma 40 4 6" xfId="6215"/>
    <cellStyle name="Comma 40 4 6 2" xfId="9917"/>
    <cellStyle name="Comma 40 4 6 2 2" xfId="21039"/>
    <cellStyle name="Comma 40 4 6 3" xfId="13616"/>
    <cellStyle name="Comma 40 4 6 3 2" xfId="24733"/>
    <cellStyle name="Comma 40 4 6 4" xfId="17345"/>
    <cellStyle name="Comma 40 4 7" xfId="8069"/>
    <cellStyle name="Comma 40 4 7 2" xfId="19192"/>
    <cellStyle name="Comma 40 4 8" xfId="11769"/>
    <cellStyle name="Comma 40 4 8 2" xfId="22886"/>
    <cellStyle name="Comma 40 4 9" xfId="15498"/>
    <cellStyle name="Comma 40 5" xfId="1634"/>
    <cellStyle name="Comma 40 5 2" xfId="2028"/>
    <cellStyle name="Comma 40 5 3" xfId="1847"/>
    <cellStyle name="Comma 40 5 3 2" xfId="5044"/>
    <cellStyle name="Comma 40 5 3 2 2" xfId="7395"/>
    <cellStyle name="Comma 40 5 3 2 2 2" xfId="11096"/>
    <cellStyle name="Comma 40 5 3 2 2 2 2" xfId="22218"/>
    <cellStyle name="Comma 40 5 3 2 2 3" xfId="14795"/>
    <cellStyle name="Comma 40 5 3 2 2 3 2" xfId="25912"/>
    <cellStyle name="Comma 40 5 3 2 2 4" xfId="18524"/>
    <cellStyle name="Comma 40 5 3 2 3" xfId="9249"/>
    <cellStyle name="Comma 40 5 3 2 3 2" xfId="20371"/>
    <cellStyle name="Comma 40 5 3 2 4" xfId="12948"/>
    <cellStyle name="Comma 40 5 3 2 4 2" xfId="24065"/>
    <cellStyle name="Comma 40 5 3 2 5" xfId="16677"/>
    <cellStyle name="Comma 40 5 3 3" xfId="6476"/>
    <cellStyle name="Comma 40 5 3 3 2" xfId="10178"/>
    <cellStyle name="Comma 40 5 3 3 2 2" xfId="21300"/>
    <cellStyle name="Comma 40 5 3 3 3" xfId="13877"/>
    <cellStyle name="Comma 40 5 3 3 3 2" xfId="24994"/>
    <cellStyle name="Comma 40 5 3 3 4" xfId="17606"/>
    <cellStyle name="Comma 40 5 3 4" xfId="8330"/>
    <cellStyle name="Comma 40 5 3 4 2" xfId="19453"/>
    <cellStyle name="Comma 40 5 3 5" xfId="12030"/>
    <cellStyle name="Comma 40 5 3 5 2" xfId="23147"/>
    <cellStyle name="Comma 40 5 3 6" xfId="15759"/>
    <cellStyle name="Comma 40 5 4" xfId="4836"/>
    <cellStyle name="Comma 40 5 4 2" xfId="7187"/>
    <cellStyle name="Comma 40 5 4 2 2" xfId="10888"/>
    <cellStyle name="Comma 40 5 4 2 2 2" xfId="22010"/>
    <cellStyle name="Comma 40 5 4 2 3" xfId="14587"/>
    <cellStyle name="Comma 40 5 4 2 3 2" xfId="25704"/>
    <cellStyle name="Comma 40 5 4 2 4" xfId="18316"/>
    <cellStyle name="Comma 40 5 4 3" xfId="9041"/>
    <cellStyle name="Comma 40 5 4 3 2" xfId="20163"/>
    <cellStyle name="Comma 40 5 4 4" xfId="12740"/>
    <cellStyle name="Comma 40 5 4 4 2" xfId="23857"/>
    <cellStyle name="Comma 40 5 4 5" xfId="16469"/>
    <cellStyle name="Comma 40 5 5" xfId="6268"/>
    <cellStyle name="Comma 40 5 5 2" xfId="9970"/>
    <cellStyle name="Comma 40 5 5 2 2" xfId="21092"/>
    <cellStyle name="Comma 40 5 5 3" xfId="13669"/>
    <cellStyle name="Comma 40 5 5 3 2" xfId="24786"/>
    <cellStyle name="Comma 40 5 5 4" xfId="17398"/>
    <cellStyle name="Comma 40 5 6" xfId="8122"/>
    <cellStyle name="Comma 40 5 6 2" xfId="19245"/>
    <cellStyle name="Comma 40 5 7" xfId="11822"/>
    <cellStyle name="Comma 40 5 7 2" xfId="22939"/>
    <cellStyle name="Comma 40 5 8" xfId="15551"/>
    <cellStyle name="Comma 40 6" xfId="2025"/>
    <cellStyle name="Comma 40 7" xfId="1743"/>
    <cellStyle name="Comma 40 7 2" xfId="4940"/>
    <cellStyle name="Comma 40 7 2 2" xfId="7291"/>
    <cellStyle name="Comma 40 7 2 2 2" xfId="10992"/>
    <cellStyle name="Comma 40 7 2 2 2 2" xfId="22114"/>
    <cellStyle name="Comma 40 7 2 2 3" xfId="14691"/>
    <cellStyle name="Comma 40 7 2 2 3 2" xfId="25808"/>
    <cellStyle name="Comma 40 7 2 2 4" xfId="18420"/>
    <cellStyle name="Comma 40 7 2 3" xfId="9145"/>
    <cellStyle name="Comma 40 7 2 3 2" xfId="20267"/>
    <cellStyle name="Comma 40 7 2 4" xfId="12844"/>
    <cellStyle name="Comma 40 7 2 4 2" xfId="23961"/>
    <cellStyle name="Comma 40 7 2 5" xfId="16573"/>
    <cellStyle name="Comma 40 7 3" xfId="6372"/>
    <cellStyle name="Comma 40 7 3 2" xfId="10074"/>
    <cellStyle name="Comma 40 7 3 2 2" xfId="21196"/>
    <cellStyle name="Comma 40 7 3 3" xfId="13773"/>
    <cellStyle name="Comma 40 7 3 3 2" xfId="24890"/>
    <cellStyle name="Comma 40 7 3 4" xfId="17502"/>
    <cellStyle name="Comma 40 7 4" xfId="8226"/>
    <cellStyle name="Comma 40 7 4 2" xfId="19349"/>
    <cellStyle name="Comma 40 7 5" xfId="11926"/>
    <cellStyle name="Comma 40 7 5 2" xfId="23043"/>
    <cellStyle name="Comma 40 7 6" xfId="15655"/>
    <cellStyle name="Comma 40 8" xfId="4731"/>
    <cellStyle name="Comma 40 8 2" xfId="7083"/>
    <cellStyle name="Comma 40 8 2 2" xfId="10784"/>
    <cellStyle name="Comma 40 8 2 2 2" xfId="21906"/>
    <cellStyle name="Comma 40 8 2 3" xfId="14483"/>
    <cellStyle name="Comma 40 8 2 3 2" xfId="25600"/>
    <cellStyle name="Comma 40 8 2 4" xfId="18212"/>
    <cellStyle name="Comma 40 8 3" xfId="8937"/>
    <cellStyle name="Comma 40 8 3 2" xfId="20059"/>
    <cellStyle name="Comma 40 8 4" xfId="12636"/>
    <cellStyle name="Comma 40 8 4 2" xfId="23753"/>
    <cellStyle name="Comma 40 8 5" xfId="16365"/>
    <cellStyle name="Comma 40 9" xfId="6164"/>
    <cellStyle name="Comma 40 9 2" xfId="9866"/>
    <cellStyle name="Comma 40 9 2 2" xfId="20988"/>
    <cellStyle name="Comma 40 9 3" xfId="13565"/>
    <cellStyle name="Comma 40 9 3 2" xfId="24682"/>
    <cellStyle name="Comma 40 9 4" xfId="17294"/>
    <cellStyle name="Comma 41" xfId="794"/>
    <cellStyle name="Comma 41 10" xfId="8020"/>
    <cellStyle name="Comma 41 10 2" xfId="19144"/>
    <cellStyle name="Comma 41 11" xfId="11721"/>
    <cellStyle name="Comma 41 11 2" xfId="22838"/>
    <cellStyle name="Comma 41 12" xfId="15450"/>
    <cellStyle name="Comma 41 2" xfId="1034"/>
    <cellStyle name="Comma 41 2 2" xfId="5444"/>
    <cellStyle name="Comma 41 3" xfId="1033"/>
    <cellStyle name="Comma 41 4" xfId="1574"/>
    <cellStyle name="Comma 41 4 2" xfId="1693"/>
    <cellStyle name="Comma 41 4 2 2" xfId="2031"/>
    <cellStyle name="Comma 41 4 2 3" xfId="1903"/>
    <cellStyle name="Comma 41 4 2 3 2" xfId="5100"/>
    <cellStyle name="Comma 41 4 2 3 2 2" xfId="7451"/>
    <cellStyle name="Comma 41 4 2 3 2 2 2" xfId="11152"/>
    <cellStyle name="Comma 41 4 2 3 2 2 2 2" xfId="22274"/>
    <cellStyle name="Comma 41 4 2 3 2 2 3" xfId="14851"/>
    <cellStyle name="Comma 41 4 2 3 2 2 3 2" xfId="25968"/>
    <cellStyle name="Comma 41 4 2 3 2 2 4" xfId="18580"/>
    <cellStyle name="Comma 41 4 2 3 2 3" xfId="9305"/>
    <cellStyle name="Comma 41 4 2 3 2 3 2" xfId="20427"/>
    <cellStyle name="Comma 41 4 2 3 2 4" xfId="13004"/>
    <cellStyle name="Comma 41 4 2 3 2 4 2" xfId="24121"/>
    <cellStyle name="Comma 41 4 2 3 2 5" xfId="16733"/>
    <cellStyle name="Comma 41 4 2 3 3" xfId="6532"/>
    <cellStyle name="Comma 41 4 2 3 3 2" xfId="10234"/>
    <cellStyle name="Comma 41 4 2 3 3 2 2" xfId="21356"/>
    <cellStyle name="Comma 41 4 2 3 3 3" xfId="13933"/>
    <cellStyle name="Comma 41 4 2 3 3 3 2" xfId="25050"/>
    <cellStyle name="Comma 41 4 2 3 3 4" xfId="17662"/>
    <cellStyle name="Comma 41 4 2 3 4" xfId="8386"/>
    <cellStyle name="Comma 41 4 2 3 4 2" xfId="19509"/>
    <cellStyle name="Comma 41 4 2 3 5" xfId="12086"/>
    <cellStyle name="Comma 41 4 2 3 5 2" xfId="23203"/>
    <cellStyle name="Comma 41 4 2 3 6" xfId="15815"/>
    <cellStyle name="Comma 41 4 2 4" xfId="4892"/>
    <cellStyle name="Comma 41 4 2 4 2" xfId="7243"/>
    <cellStyle name="Comma 41 4 2 4 2 2" xfId="10944"/>
    <cellStyle name="Comma 41 4 2 4 2 2 2" xfId="22066"/>
    <cellStyle name="Comma 41 4 2 4 2 3" xfId="14643"/>
    <cellStyle name="Comma 41 4 2 4 2 3 2" xfId="25760"/>
    <cellStyle name="Comma 41 4 2 4 2 4" xfId="18372"/>
    <cellStyle name="Comma 41 4 2 4 3" xfId="9097"/>
    <cellStyle name="Comma 41 4 2 4 3 2" xfId="20219"/>
    <cellStyle name="Comma 41 4 2 4 4" xfId="12796"/>
    <cellStyle name="Comma 41 4 2 4 4 2" xfId="23913"/>
    <cellStyle name="Comma 41 4 2 4 5" xfId="16525"/>
    <cellStyle name="Comma 41 4 2 5" xfId="6324"/>
    <cellStyle name="Comma 41 4 2 5 2" xfId="10026"/>
    <cellStyle name="Comma 41 4 2 5 2 2" xfId="21148"/>
    <cellStyle name="Comma 41 4 2 5 3" xfId="13725"/>
    <cellStyle name="Comma 41 4 2 5 3 2" xfId="24842"/>
    <cellStyle name="Comma 41 4 2 5 4" xfId="17454"/>
    <cellStyle name="Comma 41 4 2 6" xfId="8178"/>
    <cellStyle name="Comma 41 4 2 6 2" xfId="19301"/>
    <cellStyle name="Comma 41 4 2 7" xfId="11878"/>
    <cellStyle name="Comma 41 4 2 7 2" xfId="22995"/>
    <cellStyle name="Comma 41 4 2 8" xfId="15607"/>
    <cellStyle name="Comma 41 4 3" xfId="2030"/>
    <cellStyle name="Comma 41 4 4" xfId="1797"/>
    <cellStyle name="Comma 41 4 4 2" xfId="4994"/>
    <cellStyle name="Comma 41 4 4 2 2" xfId="7345"/>
    <cellStyle name="Comma 41 4 4 2 2 2" xfId="11046"/>
    <cellStyle name="Comma 41 4 4 2 2 2 2" xfId="22168"/>
    <cellStyle name="Comma 41 4 4 2 2 3" xfId="14745"/>
    <cellStyle name="Comma 41 4 4 2 2 3 2" xfId="25862"/>
    <cellStyle name="Comma 41 4 4 2 2 4" xfId="18474"/>
    <cellStyle name="Comma 41 4 4 2 3" xfId="9199"/>
    <cellStyle name="Comma 41 4 4 2 3 2" xfId="20321"/>
    <cellStyle name="Comma 41 4 4 2 4" xfId="12898"/>
    <cellStyle name="Comma 41 4 4 2 4 2" xfId="24015"/>
    <cellStyle name="Comma 41 4 4 2 5" xfId="16627"/>
    <cellStyle name="Comma 41 4 4 3" xfId="6426"/>
    <cellStyle name="Comma 41 4 4 3 2" xfId="10128"/>
    <cellStyle name="Comma 41 4 4 3 2 2" xfId="21250"/>
    <cellStyle name="Comma 41 4 4 3 3" xfId="13827"/>
    <cellStyle name="Comma 41 4 4 3 3 2" xfId="24944"/>
    <cellStyle name="Comma 41 4 4 3 4" xfId="17556"/>
    <cellStyle name="Comma 41 4 4 4" xfId="8280"/>
    <cellStyle name="Comma 41 4 4 4 2" xfId="19403"/>
    <cellStyle name="Comma 41 4 4 5" xfId="11980"/>
    <cellStyle name="Comma 41 4 4 5 2" xfId="23097"/>
    <cellStyle name="Comma 41 4 4 6" xfId="15709"/>
    <cellStyle name="Comma 41 4 5" xfId="4786"/>
    <cellStyle name="Comma 41 4 5 2" xfId="7137"/>
    <cellStyle name="Comma 41 4 5 2 2" xfId="10838"/>
    <cellStyle name="Comma 41 4 5 2 2 2" xfId="21960"/>
    <cellStyle name="Comma 41 4 5 2 3" xfId="14537"/>
    <cellStyle name="Comma 41 4 5 2 3 2" xfId="25654"/>
    <cellStyle name="Comma 41 4 5 2 4" xfId="18266"/>
    <cellStyle name="Comma 41 4 5 3" xfId="8991"/>
    <cellStyle name="Comma 41 4 5 3 2" xfId="20113"/>
    <cellStyle name="Comma 41 4 5 4" xfId="12690"/>
    <cellStyle name="Comma 41 4 5 4 2" xfId="23807"/>
    <cellStyle name="Comma 41 4 5 5" xfId="16419"/>
    <cellStyle name="Comma 41 4 6" xfId="6218"/>
    <cellStyle name="Comma 41 4 6 2" xfId="9920"/>
    <cellStyle name="Comma 41 4 6 2 2" xfId="21042"/>
    <cellStyle name="Comma 41 4 6 3" xfId="13619"/>
    <cellStyle name="Comma 41 4 6 3 2" xfId="24736"/>
    <cellStyle name="Comma 41 4 6 4" xfId="17348"/>
    <cellStyle name="Comma 41 4 7" xfId="8072"/>
    <cellStyle name="Comma 41 4 7 2" xfId="19195"/>
    <cellStyle name="Comma 41 4 8" xfId="11772"/>
    <cellStyle name="Comma 41 4 8 2" xfId="22889"/>
    <cellStyle name="Comma 41 4 9" xfId="15501"/>
    <cellStyle name="Comma 41 5" xfId="1637"/>
    <cellStyle name="Comma 41 5 2" xfId="2032"/>
    <cellStyle name="Comma 41 5 3" xfId="1850"/>
    <cellStyle name="Comma 41 5 3 2" xfId="5047"/>
    <cellStyle name="Comma 41 5 3 2 2" xfId="7398"/>
    <cellStyle name="Comma 41 5 3 2 2 2" xfId="11099"/>
    <cellStyle name="Comma 41 5 3 2 2 2 2" xfId="22221"/>
    <cellStyle name="Comma 41 5 3 2 2 3" xfId="14798"/>
    <cellStyle name="Comma 41 5 3 2 2 3 2" xfId="25915"/>
    <cellStyle name="Comma 41 5 3 2 2 4" xfId="18527"/>
    <cellStyle name="Comma 41 5 3 2 3" xfId="9252"/>
    <cellStyle name="Comma 41 5 3 2 3 2" xfId="20374"/>
    <cellStyle name="Comma 41 5 3 2 4" xfId="12951"/>
    <cellStyle name="Comma 41 5 3 2 4 2" xfId="24068"/>
    <cellStyle name="Comma 41 5 3 2 5" xfId="16680"/>
    <cellStyle name="Comma 41 5 3 3" xfId="6479"/>
    <cellStyle name="Comma 41 5 3 3 2" xfId="10181"/>
    <cellStyle name="Comma 41 5 3 3 2 2" xfId="21303"/>
    <cellStyle name="Comma 41 5 3 3 3" xfId="13880"/>
    <cellStyle name="Comma 41 5 3 3 3 2" xfId="24997"/>
    <cellStyle name="Comma 41 5 3 3 4" xfId="17609"/>
    <cellStyle name="Comma 41 5 3 4" xfId="8333"/>
    <cellStyle name="Comma 41 5 3 4 2" xfId="19456"/>
    <cellStyle name="Comma 41 5 3 5" xfId="12033"/>
    <cellStyle name="Comma 41 5 3 5 2" xfId="23150"/>
    <cellStyle name="Comma 41 5 3 6" xfId="15762"/>
    <cellStyle name="Comma 41 5 4" xfId="4839"/>
    <cellStyle name="Comma 41 5 4 2" xfId="7190"/>
    <cellStyle name="Comma 41 5 4 2 2" xfId="10891"/>
    <cellStyle name="Comma 41 5 4 2 2 2" xfId="22013"/>
    <cellStyle name="Comma 41 5 4 2 3" xfId="14590"/>
    <cellStyle name="Comma 41 5 4 2 3 2" xfId="25707"/>
    <cellStyle name="Comma 41 5 4 2 4" xfId="18319"/>
    <cellStyle name="Comma 41 5 4 3" xfId="9044"/>
    <cellStyle name="Comma 41 5 4 3 2" xfId="20166"/>
    <cellStyle name="Comma 41 5 4 4" xfId="12743"/>
    <cellStyle name="Comma 41 5 4 4 2" xfId="23860"/>
    <cellStyle name="Comma 41 5 4 5" xfId="16472"/>
    <cellStyle name="Comma 41 5 5" xfId="6271"/>
    <cellStyle name="Comma 41 5 5 2" xfId="9973"/>
    <cellStyle name="Comma 41 5 5 2 2" xfId="21095"/>
    <cellStyle name="Comma 41 5 5 3" xfId="13672"/>
    <cellStyle name="Comma 41 5 5 3 2" xfId="24789"/>
    <cellStyle name="Comma 41 5 5 4" xfId="17401"/>
    <cellStyle name="Comma 41 5 6" xfId="8125"/>
    <cellStyle name="Comma 41 5 6 2" xfId="19248"/>
    <cellStyle name="Comma 41 5 7" xfId="11825"/>
    <cellStyle name="Comma 41 5 7 2" xfId="22942"/>
    <cellStyle name="Comma 41 5 8" xfId="15554"/>
    <cellStyle name="Comma 41 6" xfId="2029"/>
    <cellStyle name="Comma 41 7" xfId="1746"/>
    <cellStyle name="Comma 41 7 2" xfId="4943"/>
    <cellStyle name="Comma 41 7 2 2" xfId="7294"/>
    <cellStyle name="Comma 41 7 2 2 2" xfId="10995"/>
    <cellStyle name="Comma 41 7 2 2 2 2" xfId="22117"/>
    <cellStyle name="Comma 41 7 2 2 3" xfId="14694"/>
    <cellStyle name="Comma 41 7 2 2 3 2" xfId="25811"/>
    <cellStyle name="Comma 41 7 2 2 4" xfId="18423"/>
    <cellStyle name="Comma 41 7 2 3" xfId="9148"/>
    <cellStyle name="Comma 41 7 2 3 2" xfId="20270"/>
    <cellStyle name="Comma 41 7 2 4" xfId="12847"/>
    <cellStyle name="Comma 41 7 2 4 2" xfId="23964"/>
    <cellStyle name="Comma 41 7 2 5" xfId="16576"/>
    <cellStyle name="Comma 41 7 3" xfId="6375"/>
    <cellStyle name="Comma 41 7 3 2" xfId="10077"/>
    <cellStyle name="Comma 41 7 3 2 2" xfId="21199"/>
    <cellStyle name="Comma 41 7 3 3" xfId="13776"/>
    <cellStyle name="Comma 41 7 3 3 2" xfId="24893"/>
    <cellStyle name="Comma 41 7 3 4" xfId="17505"/>
    <cellStyle name="Comma 41 7 4" xfId="8229"/>
    <cellStyle name="Comma 41 7 4 2" xfId="19352"/>
    <cellStyle name="Comma 41 7 5" xfId="11929"/>
    <cellStyle name="Comma 41 7 5 2" xfId="23046"/>
    <cellStyle name="Comma 41 7 6" xfId="15658"/>
    <cellStyle name="Comma 41 8" xfId="4734"/>
    <cellStyle name="Comma 41 8 2" xfId="7086"/>
    <cellStyle name="Comma 41 8 2 2" xfId="10787"/>
    <cellStyle name="Comma 41 8 2 2 2" xfId="21909"/>
    <cellStyle name="Comma 41 8 2 3" xfId="14486"/>
    <cellStyle name="Comma 41 8 2 3 2" xfId="25603"/>
    <cellStyle name="Comma 41 8 2 4" xfId="18215"/>
    <cellStyle name="Comma 41 8 3" xfId="8940"/>
    <cellStyle name="Comma 41 8 3 2" xfId="20062"/>
    <cellStyle name="Comma 41 8 4" xfId="12639"/>
    <cellStyle name="Comma 41 8 4 2" xfId="23756"/>
    <cellStyle name="Comma 41 8 5" xfId="16368"/>
    <cellStyle name="Comma 41 9" xfId="6167"/>
    <cellStyle name="Comma 41 9 2" xfId="9869"/>
    <cellStyle name="Comma 41 9 2 2" xfId="20991"/>
    <cellStyle name="Comma 41 9 3" xfId="13568"/>
    <cellStyle name="Comma 41 9 3 2" xfId="24685"/>
    <cellStyle name="Comma 41 9 4" xfId="17297"/>
    <cellStyle name="Comma 42" xfId="850"/>
    <cellStyle name="Comma 42 10" xfId="8033"/>
    <cellStyle name="Comma 42 10 2" xfId="19157"/>
    <cellStyle name="Comma 42 11" xfId="11734"/>
    <cellStyle name="Comma 42 11 2" xfId="22851"/>
    <cellStyle name="Comma 42 12" xfId="15463"/>
    <cellStyle name="Comma 42 2" xfId="1036"/>
    <cellStyle name="Comma 42 2 2" xfId="5870"/>
    <cellStyle name="Comma 42 3" xfId="1035"/>
    <cellStyle name="Comma 42 4" xfId="1587"/>
    <cellStyle name="Comma 42 4 2" xfId="1706"/>
    <cellStyle name="Comma 42 4 2 2" xfId="2035"/>
    <cellStyle name="Comma 42 4 2 3" xfId="1916"/>
    <cellStyle name="Comma 42 4 2 3 2" xfId="5113"/>
    <cellStyle name="Comma 42 4 2 3 2 2" xfId="7464"/>
    <cellStyle name="Comma 42 4 2 3 2 2 2" xfId="11165"/>
    <cellStyle name="Comma 42 4 2 3 2 2 2 2" xfId="22287"/>
    <cellStyle name="Comma 42 4 2 3 2 2 3" xfId="14864"/>
    <cellStyle name="Comma 42 4 2 3 2 2 3 2" xfId="25981"/>
    <cellStyle name="Comma 42 4 2 3 2 2 4" xfId="18593"/>
    <cellStyle name="Comma 42 4 2 3 2 3" xfId="9318"/>
    <cellStyle name="Comma 42 4 2 3 2 3 2" xfId="20440"/>
    <cellStyle name="Comma 42 4 2 3 2 4" xfId="13017"/>
    <cellStyle name="Comma 42 4 2 3 2 4 2" xfId="24134"/>
    <cellStyle name="Comma 42 4 2 3 2 5" xfId="16746"/>
    <cellStyle name="Comma 42 4 2 3 3" xfId="6545"/>
    <cellStyle name="Comma 42 4 2 3 3 2" xfId="10247"/>
    <cellStyle name="Comma 42 4 2 3 3 2 2" xfId="21369"/>
    <cellStyle name="Comma 42 4 2 3 3 3" xfId="13946"/>
    <cellStyle name="Comma 42 4 2 3 3 3 2" xfId="25063"/>
    <cellStyle name="Comma 42 4 2 3 3 4" xfId="17675"/>
    <cellStyle name="Comma 42 4 2 3 4" xfId="8399"/>
    <cellStyle name="Comma 42 4 2 3 4 2" xfId="19522"/>
    <cellStyle name="Comma 42 4 2 3 5" xfId="12099"/>
    <cellStyle name="Comma 42 4 2 3 5 2" xfId="23216"/>
    <cellStyle name="Comma 42 4 2 3 6" xfId="15828"/>
    <cellStyle name="Comma 42 4 2 4" xfId="4905"/>
    <cellStyle name="Comma 42 4 2 4 2" xfId="7256"/>
    <cellStyle name="Comma 42 4 2 4 2 2" xfId="10957"/>
    <cellStyle name="Comma 42 4 2 4 2 2 2" xfId="22079"/>
    <cellStyle name="Comma 42 4 2 4 2 3" xfId="14656"/>
    <cellStyle name="Comma 42 4 2 4 2 3 2" xfId="25773"/>
    <cellStyle name="Comma 42 4 2 4 2 4" xfId="18385"/>
    <cellStyle name="Comma 42 4 2 4 3" xfId="9110"/>
    <cellStyle name="Comma 42 4 2 4 3 2" xfId="20232"/>
    <cellStyle name="Comma 42 4 2 4 4" xfId="12809"/>
    <cellStyle name="Comma 42 4 2 4 4 2" xfId="23926"/>
    <cellStyle name="Comma 42 4 2 4 5" xfId="16538"/>
    <cellStyle name="Comma 42 4 2 5" xfId="6337"/>
    <cellStyle name="Comma 42 4 2 5 2" xfId="10039"/>
    <cellStyle name="Comma 42 4 2 5 2 2" xfId="21161"/>
    <cellStyle name="Comma 42 4 2 5 3" xfId="13738"/>
    <cellStyle name="Comma 42 4 2 5 3 2" xfId="24855"/>
    <cellStyle name="Comma 42 4 2 5 4" xfId="17467"/>
    <cellStyle name="Comma 42 4 2 6" xfId="8191"/>
    <cellStyle name="Comma 42 4 2 6 2" xfId="19314"/>
    <cellStyle name="Comma 42 4 2 7" xfId="11891"/>
    <cellStyle name="Comma 42 4 2 7 2" xfId="23008"/>
    <cellStyle name="Comma 42 4 2 8" xfId="15620"/>
    <cellStyle name="Comma 42 4 3" xfId="2034"/>
    <cellStyle name="Comma 42 4 4" xfId="1810"/>
    <cellStyle name="Comma 42 4 4 2" xfId="5007"/>
    <cellStyle name="Comma 42 4 4 2 2" xfId="7358"/>
    <cellStyle name="Comma 42 4 4 2 2 2" xfId="11059"/>
    <cellStyle name="Comma 42 4 4 2 2 2 2" xfId="22181"/>
    <cellStyle name="Comma 42 4 4 2 2 3" xfId="14758"/>
    <cellStyle name="Comma 42 4 4 2 2 3 2" xfId="25875"/>
    <cellStyle name="Comma 42 4 4 2 2 4" xfId="18487"/>
    <cellStyle name="Comma 42 4 4 2 3" xfId="9212"/>
    <cellStyle name="Comma 42 4 4 2 3 2" xfId="20334"/>
    <cellStyle name="Comma 42 4 4 2 4" xfId="12911"/>
    <cellStyle name="Comma 42 4 4 2 4 2" xfId="24028"/>
    <cellStyle name="Comma 42 4 4 2 5" xfId="16640"/>
    <cellStyle name="Comma 42 4 4 3" xfId="6439"/>
    <cellStyle name="Comma 42 4 4 3 2" xfId="10141"/>
    <cellStyle name="Comma 42 4 4 3 2 2" xfId="21263"/>
    <cellStyle name="Comma 42 4 4 3 3" xfId="13840"/>
    <cellStyle name="Comma 42 4 4 3 3 2" xfId="24957"/>
    <cellStyle name="Comma 42 4 4 3 4" xfId="17569"/>
    <cellStyle name="Comma 42 4 4 4" xfId="8293"/>
    <cellStyle name="Comma 42 4 4 4 2" xfId="19416"/>
    <cellStyle name="Comma 42 4 4 5" xfId="11993"/>
    <cellStyle name="Comma 42 4 4 5 2" xfId="23110"/>
    <cellStyle name="Comma 42 4 4 6" xfId="15722"/>
    <cellStyle name="Comma 42 4 5" xfId="4799"/>
    <cellStyle name="Comma 42 4 5 2" xfId="7150"/>
    <cellStyle name="Comma 42 4 5 2 2" xfId="10851"/>
    <cellStyle name="Comma 42 4 5 2 2 2" xfId="21973"/>
    <cellStyle name="Comma 42 4 5 2 3" xfId="14550"/>
    <cellStyle name="Comma 42 4 5 2 3 2" xfId="25667"/>
    <cellStyle name="Comma 42 4 5 2 4" xfId="18279"/>
    <cellStyle name="Comma 42 4 5 3" xfId="9004"/>
    <cellStyle name="Comma 42 4 5 3 2" xfId="20126"/>
    <cellStyle name="Comma 42 4 5 4" xfId="12703"/>
    <cellStyle name="Comma 42 4 5 4 2" xfId="23820"/>
    <cellStyle name="Comma 42 4 5 5" xfId="16432"/>
    <cellStyle name="Comma 42 4 6" xfId="6231"/>
    <cellStyle name="Comma 42 4 6 2" xfId="9933"/>
    <cellStyle name="Comma 42 4 6 2 2" xfId="21055"/>
    <cellStyle name="Comma 42 4 6 3" xfId="13632"/>
    <cellStyle name="Comma 42 4 6 3 2" xfId="24749"/>
    <cellStyle name="Comma 42 4 6 4" xfId="17361"/>
    <cellStyle name="Comma 42 4 7" xfId="8085"/>
    <cellStyle name="Comma 42 4 7 2" xfId="19208"/>
    <cellStyle name="Comma 42 4 8" xfId="11785"/>
    <cellStyle name="Comma 42 4 8 2" xfId="22902"/>
    <cellStyle name="Comma 42 4 9" xfId="15514"/>
    <cellStyle name="Comma 42 5" xfId="1651"/>
    <cellStyle name="Comma 42 5 2" xfId="2036"/>
    <cellStyle name="Comma 42 5 3" xfId="1863"/>
    <cellStyle name="Comma 42 5 3 2" xfId="5060"/>
    <cellStyle name="Comma 42 5 3 2 2" xfId="7411"/>
    <cellStyle name="Comma 42 5 3 2 2 2" xfId="11112"/>
    <cellStyle name="Comma 42 5 3 2 2 2 2" xfId="22234"/>
    <cellStyle name="Comma 42 5 3 2 2 3" xfId="14811"/>
    <cellStyle name="Comma 42 5 3 2 2 3 2" xfId="25928"/>
    <cellStyle name="Comma 42 5 3 2 2 4" xfId="18540"/>
    <cellStyle name="Comma 42 5 3 2 3" xfId="9265"/>
    <cellStyle name="Comma 42 5 3 2 3 2" xfId="20387"/>
    <cellStyle name="Comma 42 5 3 2 4" xfId="12964"/>
    <cellStyle name="Comma 42 5 3 2 4 2" xfId="24081"/>
    <cellStyle name="Comma 42 5 3 2 5" xfId="16693"/>
    <cellStyle name="Comma 42 5 3 3" xfId="6492"/>
    <cellStyle name="Comma 42 5 3 3 2" xfId="10194"/>
    <cellStyle name="Comma 42 5 3 3 2 2" xfId="21316"/>
    <cellStyle name="Comma 42 5 3 3 3" xfId="13893"/>
    <cellStyle name="Comma 42 5 3 3 3 2" xfId="25010"/>
    <cellStyle name="Comma 42 5 3 3 4" xfId="17622"/>
    <cellStyle name="Comma 42 5 3 4" xfId="8346"/>
    <cellStyle name="Comma 42 5 3 4 2" xfId="19469"/>
    <cellStyle name="Comma 42 5 3 5" xfId="12046"/>
    <cellStyle name="Comma 42 5 3 5 2" xfId="23163"/>
    <cellStyle name="Comma 42 5 3 6" xfId="15775"/>
    <cellStyle name="Comma 42 5 4" xfId="4852"/>
    <cellStyle name="Comma 42 5 4 2" xfId="7203"/>
    <cellStyle name="Comma 42 5 4 2 2" xfId="10904"/>
    <cellStyle name="Comma 42 5 4 2 2 2" xfId="22026"/>
    <cellStyle name="Comma 42 5 4 2 3" xfId="14603"/>
    <cellStyle name="Comma 42 5 4 2 3 2" xfId="25720"/>
    <cellStyle name="Comma 42 5 4 2 4" xfId="18332"/>
    <cellStyle name="Comma 42 5 4 3" xfId="9057"/>
    <cellStyle name="Comma 42 5 4 3 2" xfId="20179"/>
    <cellStyle name="Comma 42 5 4 4" xfId="12756"/>
    <cellStyle name="Comma 42 5 4 4 2" xfId="23873"/>
    <cellStyle name="Comma 42 5 4 5" xfId="16485"/>
    <cellStyle name="Comma 42 5 5" xfId="6284"/>
    <cellStyle name="Comma 42 5 5 2" xfId="9986"/>
    <cellStyle name="Comma 42 5 5 2 2" xfId="21108"/>
    <cellStyle name="Comma 42 5 5 3" xfId="13685"/>
    <cellStyle name="Comma 42 5 5 3 2" xfId="24802"/>
    <cellStyle name="Comma 42 5 5 4" xfId="17414"/>
    <cellStyle name="Comma 42 5 6" xfId="8138"/>
    <cellStyle name="Comma 42 5 6 2" xfId="19261"/>
    <cellStyle name="Comma 42 5 7" xfId="11838"/>
    <cellStyle name="Comma 42 5 7 2" xfId="22955"/>
    <cellStyle name="Comma 42 5 8" xfId="15567"/>
    <cellStyle name="Comma 42 6" xfId="2033"/>
    <cellStyle name="Comma 42 7" xfId="1759"/>
    <cellStyle name="Comma 42 7 2" xfId="2855"/>
    <cellStyle name="Comma 42 7 3" xfId="4956"/>
    <cellStyle name="Comma 42 7 3 2" xfId="7307"/>
    <cellStyle name="Comma 42 7 3 2 2" xfId="11008"/>
    <cellStyle name="Comma 42 7 3 2 2 2" xfId="22130"/>
    <cellStyle name="Comma 42 7 3 2 3" xfId="14707"/>
    <cellStyle name="Comma 42 7 3 2 3 2" xfId="25824"/>
    <cellStyle name="Comma 42 7 3 2 4" xfId="18436"/>
    <cellStyle name="Comma 42 7 3 3" xfId="9161"/>
    <cellStyle name="Comma 42 7 3 3 2" xfId="20283"/>
    <cellStyle name="Comma 42 7 3 4" xfId="12860"/>
    <cellStyle name="Comma 42 7 3 4 2" xfId="23977"/>
    <cellStyle name="Comma 42 7 3 5" xfId="16589"/>
    <cellStyle name="Comma 42 7 4" xfId="6388"/>
    <cellStyle name="Comma 42 7 4 2" xfId="10090"/>
    <cellStyle name="Comma 42 7 4 2 2" xfId="21212"/>
    <cellStyle name="Comma 42 7 4 3" xfId="13789"/>
    <cellStyle name="Comma 42 7 4 3 2" xfId="24906"/>
    <cellStyle name="Comma 42 7 4 4" xfId="17518"/>
    <cellStyle name="Comma 42 7 5" xfId="8242"/>
    <cellStyle name="Comma 42 7 5 2" xfId="19365"/>
    <cellStyle name="Comma 42 7 6" xfId="11942"/>
    <cellStyle name="Comma 42 7 6 2" xfId="23059"/>
    <cellStyle name="Comma 42 7 7" xfId="15671"/>
    <cellStyle name="Comma 42 8" xfId="4747"/>
    <cellStyle name="Comma 42 8 2" xfId="7099"/>
    <cellStyle name="Comma 42 8 2 2" xfId="10800"/>
    <cellStyle name="Comma 42 8 2 2 2" xfId="21922"/>
    <cellStyle name="Comma 42 8 2 3" xfId="14499"/>
    <cellStyle name="Comma 42 8 2 3 2" xfId="25616"/>
    <cellStyle name="Comma 42 8 2 4" xfId="18228"/>
    <cellStyle name="Comma 42 8 3" xfId="8953"/>
    <cellStyle name="Comma 42 8 3 2" xfId="20075"/>
    <cellStyle name="Comma 42 8 4" xfId="12652"/>
    <cellStyle name="Comma 42 8 4 2" xfId="23769"/>
    <cellStyle name="Comma 42 8 5" xfId="16381"/>
    <cellStyle name="Comma 42 9" xfId="6180"/>
    <cellStyle name="Comma 42 9 2" xfId="9882"/>
    <cellStyle name="Comma 42 9 2 2" xfId="21004"/>
    <cellStyle name="Comma 42 9 3" xfId="13581"/>
    <cellStyle name="Comma 42 9 3 2" xfId="24698"/>
    <cellStyle name="Comma 42 9 4" xfId="17310"/>
    <cellStyle name="Comma 43" xfId="842"/>
    <cellStyle name="Comma 43 10" xfId="8028"/>
    <cellStyle name="Comma 43 10 2" xfId="19152"/>
    <cellStyle name="Comma 43 11" xfId="11729"/>
    <cellStyle name="Comma 43 11 2" xfId="22846"/>
    <cellStyle name="Comma 43 12" xfId="15458"/>
    <cellStyle name="Comma 43 2" xfId="1038"/>
    <cellStyle name="Comma 43 2 2" xfId="5445"/>
    <cellStyle name="Comma 43 3" xfId="1037"/>
    <cellStyle name="Comma 43 4" xfId="1582"/>
    <cellStyle name="Comma 43 4 2" xfId="1701"/>
    <cellStyle name="Comma 43 4 2 2" xfId="2039"/>
    <cellStyle name="Comma 43 4 2 3" xfId="1911"/>
    <cellStyle name="Comma 43 4 2 3 2" xfId="5108"/>
    <cellStyle name="Comma 43 4 2 3 2 2" xfId="7459"/>
    <cellStyle name="Comma 43 4 2 3 2 2 2" xfId="11160"/>
    <cellStyle name="Comma 43 4 2 3 2 2 2 2" xfId="22282"/>
    <cellStyle name="Comma 43 4 2 3 2 2 3" xfId="14859"/>
    <cellStyle name="Comma 43 4 2 3 2 2 3 2" xfId="25976"/>
    <cellStyle name="Comma 43 4 2 3 2 2 4" xfId="18588"/>
    <cellStyle name="Comma 43 4 2 3 2 3" xfId="9313"/>
    <cellStyle name="Comma 43 4 2 3 2 3 2" xfId="20435"/>
    <cellStyle name="Comma 43 4 2 3 2 4" xfId="13012"/>
    <cellStyle name="Comma 43 4 2 3 2 4 2" xfId="24129"/>
    <cellStyle name="Comma 43 4 2 3 2 5" xfId="16741"/>
    <cellStyle name="Comma 43 4 2 3 3" xfId="6540"/>
    <cellStyle name="Comma 43 4 2 3 3 2" xfId="10242"/>
    <cellStyle name="Comma 43 4 2 3 3 2 2" xfId="21364"/>
    <cellStyle name="Comma 43 4 2 3 3 3" xfId="13941"/>
    <cellStyle name="Comma 43 4 2 3 3 3 2" xfId="25058"/>
    <cellStyle name="Comma 43 4 2 3 3 4" xfId="17670"/>
    <cellStyle name="Comma 43 4 2 3 4" xfId="8394"/>
    <cellStyle name="Comma 43 4 2 3 4 2" xfId="19517"/>
    <cellStyle name="Comma 43 4 2 3 5" xfId="12094"/>
    <cellStyle name="Comma 43 4 2 3 5 2" xfId="23211"/>
    <cellStyle name="Comma 43 4 2 3 6" xfId="15823"/>
    <cellStyle name="Comma 43 4 2 4" xfId="4900"/>
    <cellStyle name="Comma 43 4 2 4 2" xfId="7251"/>
    <cellStyle name="Comma 43 4 2 4 2 2" xfId="10952"/>
    <cellStyle name="Comma 43 4 2 4 2 2 2" xfId="22074"/>
    <cellStyle name="Comma 43 4 2 4 2 3" xfId="14651"/>
    <cellStyle name="Comma 43 4 2 4 2 3 2" xfId="25768"/>
    <cellStyle name="Comma 43 4 2 4 2 4" xfId="18380"/>
    <cellStyle name="Comma 43 4 2 4 3" xfId="9105"/>
    <cellStyle name="Comma 43 4 2 4 3 2" xfId="20227"/>
    <cellStyle name="Comma 43 4 2 4 4" xfId="12804"/>
    <cellStyle name="Comma 43 4 2 4 4 2" xfId="23921"/>
    <cellStyle name="Comma 43 4 2 4 5" xfId="16533"/>
    <cellStyle name="Comma 43 4 2 5" xfId="6332"/>
    <cellStyle name="Comma 43 4 2 5 2" xfId="10034"/>
    <cellStyle name="Comma 43 4 2 5 2 2" xfId="21156"/>
    <cellStyle name="Comma 43 4 2 5 3" xfId="13733"/>
    <cellStyle name="Comma 43 4 2 5 3 2" xfId="24850"/>
    <cellStyle name="Comma 43 4 2 5 4" xfId="17462"/>
    <cellStyle name="Comma 43 4 2 6" xfId="8186"/>
    <cellStyle name="Comma 43 4 2 6 2" xfId="19309"/>
    <cellStyle name="Comma 43 4 2 7" xfId="11886"/>
    <cellStyle name="Comma 43 4 2 7 2" xfId="23003"/>
    <cellStyle name="Comma 43 4 2 8" xfId="15615"/>
    <cellStyle name="Comma 43 4 3" xfId="2038"/>
    <cellStyle name="Comma 43 4 4" xfId="1805"/>
    <cellStyle name="Comma 43 4 4 2" xfId="5002"/>
    <cellStyle name="Comma 43 4 4 2 2" xfId="7353"/>
    <cellStyle name="Comma 43 4 4 2 2 2" xfId="11054"/>
    <cellStyle name="Comma 43 4 4 2 2 2 2" xfId="22176"/>
    <cellStyle name="Comma 43 4 4 2 2 3" xfId="14753"/>
    <cellStyle name="Comma 43 4 4 2 2 3 2" xfId="25870"/>
    <cellStyle name="Comma 43 4 4 2 2 4" xfId="18482"/>
    <cellStyle name="Comma 43 4 4 2 3" xfId="9207"/>
    <cellStyle name="Comma 43 4 4 2 3 2" xfId="20329"/>
    <cellStyle name="Comma 43 4 4 2 4" xfId="12906"/>
    <cellStyle name="Comma 43 4 4 2 4 2" xfId="24023"/>
    <cellStyle name="Comma 43 4 4 2 5" xfId="16635"/>
    <cellStyle name="Comma 43 4 4 3" xfId="6434"/>
    <cellStyle name="Comma 43 4 4 3 2" xfId="10136"/>
    <cellStyle name="Comma 43 4 4 3 2 2" xfId="21258"/>
    <cellStyle name="Comma 43 4 4 3 3" xfId="13835"/>
    <cellStyle name="Comma 43 4 4 3 3 2" xfId="24952"/>
    <cellStyle name="Comma 43 4 4 3 4" xfId="17564"/>
    <cellStyle name="Comma 43 4 4 4" xfId="8288"/>
    <cellStyle name="Comma 43 4 4 4 2" xfId="19411"/>
    <cellStyle name="Comma 43 4 4 5" xfId="11988"/>
    <cellStyle name="Comma 43 4 4 5 2" xfId="23105"/>
    <cellStyle name="Comma 43 4 4 6" xfId="15717"/>
    <cellStyle name="Comma 43 4 5" xfId="4794"/>
    <cellStyle name="Comma 43 4 5 2" xfId="7145"/>
    <cellStyle name="Comma 43 4 5 2 2" xfId="10846"/>
    <cellStyle name="Comma 43 4 5 2 2 2" xfId="21968"/>
    <cellStyle name="Comma 43 4 5 2 3" xfId="14545"/>
    <cellStyle name="Comma 43 4 5 2 3 2" xfId="25662"/>
    <cellStyle name="Comma 43 4 5 2 4" xfId="18274"/>
    <cellStyle name="Comma 43 4 5 3" xfId="8999"/>
    <cellStyle name="Comma 43 4 5 3 2" xfId="20121"/>
    <cellStyle name="Comma 43 4 5 4" xfId="12698"/>
    <cellStyle name="Comma 43 4 5 4 2" xfId="23815"/>
    <cellStyle name="Comma 43 4 5 5" xfId="16427"/>
    <cellStyle name="Comma 43 4 6" xfId="6226"/>
    <cellStyle name="Comma 43 4 6 2" xfId="9928"/>
    <cellStyle name="Comma 43 4 6 2 2" xfId="21050"/>
    <cellStyle name="Comma 43 4 6 3" xfId="13627"/>
    <cellStyle name="Comma 43 4 6 3 2" xfId="24744"/>
    <cellStyle name="Comma 43 4 6 4" xfId="17356"/>
    <cellStyle name="Comma 43 4 7" xfId="8080"/>
    <cellStyle name="Comma 43 4 7 2" xfId="19203"/>
    <cellStyle name="Comma 43 4 8" xfId="11780"/>
    <cellStyle name="Comma 43 4 8 2" xfId="22897"/>
    <cellStyle name="Comma 43 4 9" xfId="15509"/>
    <cellStyle name="Comma 43 5" xfId="1646"/>
    <cellStyle name="Comma 43 5 2" xfId="2040"/>
    <cellStyle name="Comma 43 5 3" xfId="1858"/>
    <cellStyle name="Comma 43 5 3 2" xfId="5055"/>
    <cellStyle name="Comma 43 5 3 2 2" xfId="7406"/>
    <cellStyle name="Comma 43 5 3 2 2 2" xfId="11107"/>
    <cellStyle name="Comma 43 5 3 2 2 2 2" xfId="22229"/>
    <cellStyle name="Comma 43 5 3 2 2 3" xfId="14806"/>
    <cellStyle name="Comma 43 5 3 2 2 3 2" xfId="25923"/>
    <cellStyle name="Comma 43 5 3 2 2 4" xfId="18535"/>
    <cellStyle name="Comma 43 5 3 2 3" xfId="9260"/>
    <cellStyle name="Comma 43 5 3 2 3 2" xfId="20382"/>
    <cellStyle name="Comma 43 5 3 2 4" xfId="12959"/>
    <cellStyle name="Comma 43 5 3 2 4 2" xfId="24076"/>
    <cellStyle name="Comma 43 5 3 2 5" xfId="16688"/>
    <cellStyle name="Comma 43 5 3 3" xfId="6487"/>
    <cellStyle name="Comma 43 5 3 3 2" xfId="10189"/>
    <cellStyle name="Comma 43 5 3 3 2 2" xfId="21311"/>
    <cellStyle name="Comma 43 5 3 3 3" xfId="13888"/>
    <cellStyle name="Comma 43 5 3 3 3 2" xfId="25005"/>
    <cellStyle name="Comma 43 5 3 3 4" xfId="17617"/>
    <cellStyle name="Comma 43 5 3 4" xfId="8341"/>
    <cellStyle name="Comma 43 5 3 4 2" xfId="19464"/>
    <cellStyle name="Comma 43 5 3 5" xfId="12041"/>
    <cellStyle name="Comma 43 5 3 5 2" xfId="23158"/>
    <cellStyle name="Comma 43 5 3 6" xfId="15770"/>
    <cellStyle name="Comma 43 5 4" xfId="4847"/>
    <cellStyle name="Comma 43 5 4 2" xfId="7198"/>
    <cellStyle name="Comma 43 5 4 2 2" xfId="10899"/>
    <cellStyle name="Comma 43 5 4 2 2 2" xfId="22021"/>
    <cellStyle name="Comma 43 5 4 2 3" xfId="14598"/>
    <cellStyle name="Comma 43 5 4 2 3 2" xfId="25715"/>
    <cellStyle name="Comma 43 5 4 2 4" xfId="18327"/>
    <cellStyle name="Comma 43 5 4 3" xfId="9052"/>
    <cellStyle name="Comma 43 5 4 3 2" xfId="20174"/>
    <cellStyle name="Comma 43 5 4 4" xfId="12751"/>
    <cellStyle name="Comma 43 5 4 4 2" xfId="23868"/>
    <cellStyle name="Comma 43 5 4 5" xfId="16480"/>
    <cellStyle name="Comma 43 5 5" xfId="6279"/>
    <cellStyle name="Comma 43 5 5 2" xfId="9981"/>
    <cellStyle name="Comma 43 5 5 2 2" xfId="21103"/>
    <cellStyle name="Comma 43 5 5 3" xfId="13680"/>
    <cellStyle name="Comma 43 5 5 3 2" xfId="24797"/>
    <cellStyle name="Comma 43 5 5 4" xfId="17409"/>
    <cellStyle name="Comma 43 5 6" xfId="8133"/>
    <cellStyle name="Comma 43 5 6 2" xfId="19256"/>
    <cellStyle name="Comma 43 5 7" xfId="11833"/>
    <cellStyle name="Comma 43 5 7 2" xfId="22950"/>
    <cellStyle name="Comma 43 5 8" xfId="15562"/>
    <cellStyle name="Comma 43 6" xfId="2037"/>
    <cellStyle name="Comma 43 7" xfId="1754"/>
    <cellStyle name="Comma 43 7 2" xfId="2856"/>
    <cellStyle name="Comma 43 7 3" xfId="4951"/>
    <cellStyle name="Comma 43 7 3 2" xfId="7302"/>
    <cellStyle name="Comma 43 7 3 2 2" xfId="11003"/>
    <cellStyle name="Comma 43 7 3 2 2 2" xfId="22125"/>
    <cellStyle name="Comma 43 7 3 2 3" xfId="14702"/>
    <cellStyle name="Comma 43 7 3 2 3 2" xfId="25819"/>
    <cellStyle name="Comma 43 7 3 2 4" xfId="18431"/>
    <cellStyle name="Comma 43 7 3 3" xfId="9156"/>
    <cellStyle name="Comma 43 7 3 3 2" xfId="20278"/>
    <cellStyle name="Comma 43 7 3 4" xfId="12855"/>
    <cellStyle name="Comma 43 7 3 4 2" xfId="23972"/>
    <cellStyle name="Comma 43 7 3 5" xfId="16584"/>
    <cellStyle name="Comma 43 7 4" xfId="6383"/>
    <cellStyle name="Comma 43 7 4 2" xfId="10085"/>
    <cellStyle name="Comma 43 7 4 2 2" xfId="21207"/>
    <cellStyle name="Comma 43 7 4 3" xfId="13784"/>
    <cellStyle name="Comma 43 7 4 3 2" xfId="24901"/>
    <cellStyle name="Comma 43 7 4 4" xfId="17513"/>
    <cellStyle name="Comma 43 7 5" xfId="8237"/>
    <cellStyle name="Comma 43 7 5 2" xfId="19360"/>
    <cellStyle name="Comma 43 7 6" xfId="11937"/>
    <cellStyle name="Comma 43 7 6 2" xfId="23054"/>
    <cellStyle name="Comma 43 7 7" xfId="15666"/>
    <cellStyle name="Comma 43 8" xfId="4742"/>
    <cellStyle name="Comma 43 8 2" xfId="7094"/>
    <cellStyle name="Comma 43 8 2 2" xfId="10795"/>
    <cellStyle name="Comma 43 8 2 2 2" xfId="21917"/>
    <cellStyle name="Comma 43 8 2 3" xfId="14494"/>
    <cellStyle name="Comma 43 8 2 3 2" xfId="25611"/>
    <cellStyle name="Comma 43 8 2 4" xfId="18223"/>
    <cellStyle name="Comma 43 8 3" xfId="8948"/>
    <cellStyle name="Comma 43 8 3 2" xfId="20070"/>
    <cellStyle name="Comma 43 8 4" xfId="12647"/>
    <cellStyle name="Comma 43 8 4 2" xfId="23764"/>
    <cellStyle name="Comma 43 8 5" xfId="16376"/>
    <cellStyle name="Comma 43 9" xfId="6175"/>
    <cellStyle name="Comma 43 9 2" xfId="9877"/>
    <cellStyle name="Comma 43 9 2 2" xfId="20999"/>
    <cellStyle name="Comma 43 9 3" xfId="13576"/>
    <cellStyle name="Comma 43 9 3 2" xfId="24693"/>
    <cellStyle name="Comma 43 9 4" xfId="17305"/>
    <cellStyle name="Comma 44" xfId="857"/>
    <cellStyle name="Comma 44 2" xfId="1039"/>
    <cellStyle name="Comma 45" xfId="859"/>
    <cellStyle name="Comma 45 2" xfId="1040"/>
    <cellStyle name="Comma 46" xfId="856"/>
    <cellStyle name="Comma 46 2" xfId="1041"/>
    <cellStyle name="Comma 47" xfId="860"/>
    <cellStyle name="Comma 47 2" xfId="1042"/>
    <cellStyle name="Comma 48" xfId="928"/>
    <cellStyle name="Comma 48 2" xfId="1043"/>
    <cellStyle name="Comma 49" xfId="1044"/>
    <cellStyle name="Comma 49 2" xfId="2857"/>
    <cellStyle name="Comma 5" xfId="289"/>
    <cellStyle name="Comma 5 2" xfId="290"/>
    <cellStyle name="Comma 5 2 2" xfId="291"/>
    <cellStyle name="Comma 5 2 2 2" xfId="2858"/>
    <cellStyle name="Comma 5 2 3" xfId="2859"/>
    <cellStyle name="Comma 5 3" xfId="292"/>
    <cellStyle name="Comma 5 3 2" xfId="2860"/>
    <cellStyle name="Comma 5 4" xfId="2861"/>
    <cellStyle name="Comma 5 4 2" xfId="2862"/>
    <cellStyle name="Comma 50" xfId="1047"/>
    <cellStyle name="Comma 50 2" xfId="2863"/>
    <cellStyle name="Comma 50 3" xfId="5985"/>
    <cellStyle name="Comma 51" xfId="1048"/>
    <cellStyle name="Comma 51 2" xfId="2864"/>
    <cellStyle name="Comma 51 3" xfId="5986"/>
    <cellStyle name="Comma 52" xfId="1049"/>
    <cellStyle name="Comma 52 2" xfId="1050"/>
    <cellStyle name="Comma 52 2 2" xfId="5915"/>
    <cellStyle name="Comma 52 2 2 2" xfId="5448"/>
    <cellStyle name="Comma 52 2 3" xfId="5871"/>
    <cellStyle name="Comma 52 3" xfId="2865"/>
    <cellStyle name="Comma 52 3 2" xfId="2866"/>
    <cellStyle name="Comma 52 4" xfId="5447"/>
    <cellStyle name="Comma 53" xfId="1051"/>
    <cellStyle name="Comma 53 2" xfId="1052"/>
    <cellStyle name="Comma 53 2 2" xfId="5279"/>
    <cellStyle name="Comma 53 2 2 2" xfId="5450"/>
    <cellStyle name="Comma 53 2 3" xfId="5449"/>
    <cellStyle name="Comma 53 3" xfId="2867"/>
    <cellStyle name="Comma 53 3 2" xfId="2868"/>
    <cellStyle name="Comma 53 4" xfId="5872"/>
    <cellStyle name="Comma 54" xfId="1053"/>
    <cellStyle name="Comma 54 2" xfId="1054"/>
    <cellStyle name="Comma 54 2 2" xfId="5914"/>
    <cellStyle name="Comma 54 2 2 2" xfId="5873"/>
    <cellStyle name="Comma 54 2 3" xfId="5452"/>
    <cellStyle name="Comma 54 3" xfId="2869"/>
    <cellStyle name="Comma 54 3 2" xfId="2870"/>
    <cellStyle name="Comma 54 4" xfId="5451"/>
    <cellStyle name="Comma 55" xfId="1055"/>
    <cellStyle name="Comma 55 2" xfId="1056"/>
    <cellStyle name="Comma 55 2 2" xfId="5281"/>
    <cellStyle name="Comma 55 2 2 2" xfId="5455"/>
    <cellStyle name="Comma 55 2 3" xfId="5454"/>
    <cellStyle name="Comma 55 3" xfId="2871"/>
    <cellStyle name="Comma 55 3 2" xfId="2872"/>
    <cellStyle name="Comma 55 4" xfId="5453"/>
    <cellStyle name="Comma 56" xfId="1057"/>
    <cellStyle name="Comma 56 2" xfId="1058"/>
    <cellStyle name="Comma 56 2 2" xfId="5282"/>
    <cellStyle name="Comma 56 2 2 2" xfId="5458"/>
    <cellStyle name="Comma 56 2 3" xfId="5457"/>
    <cellStyle name="Comma 56 3" xfId="2873"/>
    <cellStyle name="Comma 56 3 2" xfId="2874"/>
    <cellStyle name="Comma 56 4" xfId="5456"/>
    <cellStyle name="Comma 57" xfId="1059"/>
    <cellStyle name="Comma 57 2" xfId="1060"/>
    <cellStyle name="Comma 57 2 2" xfId="5863"/>
    <cellStyle name="Comma 57 2 2 2" xfId="5461"/>
    <cellStyle name="Comma 57 2 3" xfId="5460"/>
    <cellStyle name="Comma 57 3" xfId="2875"/>
    <cellStyle name="Comma 57 3 2" xfId="2876"/>
    <cellStyle name="Comma 57 4" xfId="5459"/>
    <cellStyle name="Comma 58" xfId="1061"/>
    <cellStyle name="Comma 58 2" xfId="1062"/>
    <cellStyle name="Comma 58 2 2" xfId="5283"/>
    <cellStyle name="Comma 58 2 2 2" xfId="5464"/>
    <cellStyle name="Comma 58 2 3" xfId="5463"/>
    <cellStyle name="Comma 58 3" xfId="2877"/>
    <cellStyle name="Comma 58 3 2" xfId="2878"/>
    <cellStyle name="Comma 58 4" xfId="5462"/>
    <cellStyle name="Comma 59" xfId="1063"/>
    <cellStyle name="Comma 59 2" xfId="2879"/>
    <cellStyle name="Comma 59 2 2" xfId="5924"/>
    <cellStyle name="Comma 59 3" xfId="5465"/>
    <cellStyle name="Comma 6" xfId="41"/>
    <cellStyle name="Comma 6 2" xfId="293"/>
    <cellStyle name="Comma 6 2 2" xfId="294"/>
    <cellStyle name="Comma 6 2 2 2" xfId="2880"/>
    <cellStyle name="Comma 6 2 3" xfId="2881"/>
    <cellStyle name="Comma 6 3" xfId="295"/>
    <cellStyle name="Comma 6 3 2" xfId="2882"/>
    <cellStyle name="Comma 6 4" xfId="1215"/>
    <cellStyle name="Comma 6 4 2" xfId="2884"/>
    <cellStyle name="Comma 6 4 3" xfId="2885"/>
    <cellStyle name="Comma 6 4 4" xfId="2883"/>
    <cellStyle name="Comma 6 5" xfId="2886"/>
    <cellStyle name="Comma 60" xfId="1066"/>
    <cellStyle name="Comma 60 2" xfId="2887"/>
    <cellStyle name="Comma 60 2 2" xfId="5467"/>
    <cellStyle name="Comma 60 3" xfId="5466"/>
    <cellStyle name="Comma 61" xfId="1067"/>
    <cellStyle name="Comma 61 2" xfId="1213"/>
    <cellStyle name="Comma 61 2 2" xfId="2888"/>
    <cellStyle name="Comma 61 3" xfId="1214"/>
    <cellStyle name="Comma 61 3 2" xfId="5909"/>
    <cellStyle name="Comma 62" xfId="1068"/>
    <cellStyle name="Comma 62 2" xfId="2889"/>
    <cellStyle name="Comma 62 2 2" xfId="5469"/>
    <cellStyle name="Comma 62 3" xfId="5468"/>
    <cellStyle name="Comma 63" xfId="1069"/>
    <cellStyle name="Comma 63 2" xfId="2890"/>
    <cellStyle name="Comma 63 2 2" xfId="5471"/>
    <cellStyle name="Comma 63 3" xfId="5470"/>
    <cellStyle name="Comma 64" xfId="927"/>
    <cellStyle name="Comma 64 2" xfId="905"/>
    <cellStyle name="Comma 65" xfId="1121"/>
    <cellStyle name="Comma 65 2" xfId="904"/>
    <cellStyle name="Comma 65 2 2" xfId="2891"/>
    <cellStyle name="Comma 65 2 3" xfId="2892"/>
    <cellStyle name="Comma 65 2 4" xfId="2893"/>
    <cellStyle name="Comma 65 3" xfId="2894"/>
    <cellStyle name="Comma 65 4" xfId="2895"/>
    <cellStyle name="Comma 65 5" xfId="2896"/>
    <cellStyle name="Comma 66" xfId="900"/>
    <cellStyle name="Comma 66 2" xfId="2897"/>
    <cellStyle name="Comma 66 3" xfId="2898"/>
    <cellStyle name="Comma 67" xfId="1307"/>
    <cellStyle name="Comma 67 2" xfId="1203"/>
    <cellStyle name="Comma 67 2 2" xfId="2899"/>
    <cellStyle name="Comma 67 3" xfId="1208"/>
    <cellStyle name="Comma 68" xfId="1201"/>
    <cellStyle name="Comma 68 2" xfId="1198"/>
    <cellStyle name="Comma 68 2 2" xfId="2900"/>
    <cellStyle name="Comma 68 3" xfId="2901"/>
    <cellStyle name="Comma 69" xfId="1196"/>
    <cellStyle name="Comma 69 2" xfId="2902"/>
    <cellStyle name="Comma 7" xfId="296"/>
    <cellStyle name="Comma 7 2" xfId="297"/>
    <cellStyle name="Comma 7 2 2" xfId="2903"/>
    <cellStyle name="Comma 7 3" xfId="2904"/>
    <cellStyle name="Comma 7 3 2" xfId="2905"/>
    <cellStyle name="Comma 70" xfId="1193"/>
    <cellStyle name="Comma 70 2" xfId="2906"/>
    <cellStyle name="Comma 71" xfId="1188"/>
    <cellStyle name="Comma 71 2" xfId="2907"/>
    <cellStyle name="Comma 71 2 2" xfId="2908"/>
    <cellStyle name="Comma 71 2 3" xfId="2909"/>
    <cellStyle name="Comma 71 3" xfId="2910"/>
    <cellStyle name="Comma 72" xfId="1183"/>
    <cellStyle name="Comma 72 2" xfId="2911"/>
    <cellStyle name="Comma 72 2 2" xfId="2912"/>
    <cellStyle name="Comma 72 2 3" xfId="2913"/>
    <cellStyle name="Comma 72 3" xfId="2914"/>
    <cellStyle name="Comma 73" xfId="1182"/>
    <cellStyle name="Comma 73 2" xfId="2915"/>
    <cellStyle name="Comma 73 2 2" xfId="2916"/>
    <cellStyle name="Comma 73 2 3" xfId="2917"/>
    <cellStyle name="Comma 73 3" xfId="2918"/>
    <cellStyle name="Comma 74" xfId="1179"/>
    <cellStyle name="Comma 74 2" xfId="2919"/>
    <cellStyle name="Comma 74 2 2" xfId="2920"/>
    <cellStyle name="Comma 74 2 3" xfId="2921"/>
    <cellStyle name="Comma 74 3" xfId="2922"/>
    <cellStyle name="Comma 75" xfId="1178"/>
    <cellStyle name="Comma 75 2" xfId="2924"/>
    <cellStyle name="Comma 75 2 2" xfId="2925"/>
    <cellStyle name="Comma 75 2 3" xfId="2926"/>
    <cellStyle name="Comma 75 2 4" xfId="2927"/>
    <cellStyle name="Comma 75 3" xfId="2928"/>
    <cellStyle name="Comma 75 4" xfId="2929"/>
    <cellStyle name="Comma 75 5" xfId="2923"/>
    <cellStyle name="Comma 76" xfId="1173"/>
    <cellStyle name="Comma 76 2" xfId="2931"/>
    <cellStyle name="Comma 76 2 2" xfId="2932"/>
    <cellStyle name="Comma 76 2 3" xfId="2933"/>
    <cellStyle name="Comma 76 2 4" xfId="2934"/>
    <cellStyle name="Comma 76 3" xfId="2935"/>
    <cellStyle name="Comma 76 4" xfId="2936"/>
    <cellStyle name="Comma 76 5" xfId="2930"/>
    <cellStyle name="Comma 77" xfId="1166"/>
    <cellStyle name="Comma 77 2" xfId="2937"/>
    <cellStyle name="Comma 77 2 2" xfId="2938"/>
    <cellStyle name="Comma 77 2 3" xfId="2939"/>
    <cellStyle name="Comma 77 3" xfId="2940"/>
    <cellStyle name="Comma 78" xfId="1163"/>
    <cellStyle name="Comma 78 2" xfId="2941"/>
    <cellStyle name="Comma 78 2 2" xfId="2942"/>
    <cellStyle name="Comma 78 2 3" xfId="2943"/>
    <cellStyle name="Comma 78 3" xfId="2944"/>
    <cellStyle name="Comma 79" xfId="1160"/>
    <cellStyle name="Comma 79 2" xfId="2945"/>
    <cellStyle name="Comma 79 2 2" xfId="2946"/>
    <cellStyle name="Comma 79 2 3" xfId="2947"/>
    <cellStyle name="Comma 79 3" xfId="2948"/>
    <cellStyle name="Comma 8" xfId="298"/>
    <cellStyle name="Comma 8 2" xfId="299"/>
    <cellStyle name="Comma 8 2 2" xfId="2949"/>
    <cellStyle name="Comma 8 3" xfId="2950"/>
    <cellStyle name="Comma 8 3 2" xfId="2951"/>
    <cellStyle name="Comma 8 3 3" xfId="2952"/>
    <cellStyle name="Comma 8 3 4" xfId="4672"/>
    <cellStyle name="Comma 8 3 4 2" xfId="5896"/>
    <cellStyle name="Comma 8 3 4 2 2" xfId="7976"/>
    <cellStyle name="Comma 8 3 4 2 2 2" xfId="11677"/>
    <cellStyle name="Comma 8 3 4 2 2 2 2" xfId="22799"/>
    <cellStyle name="Comma 8 3 4 2 2 3" xfId="15376"/>
    <cellStyle name="Comma 8 3 4 2 2 3 2" xfId="26493"/>
    <cellStyle name="Comma 8 3 4 2 2 4" xfId="19105"/>
    <cellStyle name="Comma 8 3 4 2 3" xfId="9830"/>
    <cellStyle name="Comma 8 3 4 2 3 2" xfId="20952"/>
    <cellStyle name="Comma 8 3 4 2 4" xfId="13529"/>
    <cellStyle name="Comma 8 3 4 2 4 2" xfId="24646"/>
    <cellStyle name="Comma 8 3 4 2 5" xfId="17258"/>
    <cellStyle name="Comma 8 3 4 3" xfId="7057"/>
    <cellStyle name="Comma 8 3 4 3 2" xfId="10758"/>
    <cellStyle name="Comma 8 3 4 3 2 2" xfId="21880"/>
    <cellStyle name="Comma 8 3 4 3 3" xfId="14457"/>
    <cellStyle name="Comma 8 3 4 3 3 2" xfId="25574"/>
    <cellStyle name="Comma 8 3 4 3 4" xfId="18186"/>
    <cellStyle name="Comma 8 3 4 4" xfId="8911"/>
    <cellStyle name="Comma 8 3 4 4 2" xfId="20033"/>
    <cellStyle name="Comma 8 3 4 5" xfId="12610"/>
    <cellStyle name="Comma 8 3 4 5 2" xfId="23727"/>
    <cellStyle name="Comma 8 3 4 6" xfId="16339"/>
    <cellStyle name="Comma 8 4" xfId="2953"/>
    <cellStyle name="Comma 8 4 2" xfId="4671"/>
    <cellStyle name="Comma 80" xfId="1148"/>
    <cellStyle name="Comma 80 2" xfId="2954"/>
    <cellStyle name="Comma 80 2 2" xfId="2955"/>
    <cellStyle name="Comma 80 2 3" xfId="2956"/>
    <cellStyle name="Comma 80 3" xfId="2957"/>
    <cellStyle name="Comma 80 4" xfId="2958"/>
    <cellStyle name="Comma 81" xfId="1147"/>
    <cellStyle name="Comma 81 2" xfId="2959"/>
    <cellStyle name="Comma 81 2 2" xfId="2960"/>
    <cellStyle name="Comma 81 2 3" xfId="2961"/>
    <cellStyle name="Comma 81 3" xfId="2962"/>
    <cellStyle name="Comma 81 4" xfId="2963"/>
    <cellStyle name="Comma 82" xfId="1382"/>
    <cellStyle name="Comma 82 2" xfId="1611"/>
    <cellStyle name="Comma 82 3" xfId="2964"/>
    <cellStyle name="Comma 82 4" xfId="2965"/>
    <cellStyle name="Comma 83" xfId="1677"/>
    <cellStyle name="Comma 83 10" xfId="15592"/>
    <cellStyle name="Comma 83 2" xfId="2041"/>
    <cellStyle name="Comma 83 2 2" xfId="2967"/>
    <cellStyle name="Comma 83 3" xfId="1888"/>
    <cellStyle name="Comma 83 3 2" xfId="2968"/>
    <cellStyle name="Comma 83 3 3" xfId="5085"/>
    <cellStyle name="Comma 83 3 3 2" xfId="7436"/>
    <cellStyle name="Comma 83 3 3 2 2" xfId="11137"/>
    <cellStyle name="Comma 83 3 3 2 2 2" xfId="22259"/>
    <cellStyle name="Comma 83 3 3 2 3" xfId="14836"/>
    <cellStyle name="Comma 83 3 3 2 3 2" xfId="25953"/>
    <cellStyle name="Comma 83 3 3 2 4" xfId="18565"/>
    <cellStyle name="Comma 83 3 3 3" xfId="9290"/>
    <cellStyle name="Comma 83 3 3 3 2" xfId="20412"/>
    <cellStyle name="Comma 83 3 3 4" xfId="12989"/>
    <cellStyle name="Comma 83 3 3 4 2" xfId="24106"/>
    <cellStyle name="Comma 83 3 3 5" xfId="16718"/>
    <cellStyle name="Comma 83 3 4" xfId="6517"/>
    <cellStyle name="Comma 83 3 4 2" xfId="10219"/>
    <cellStyle name="Comma 83 3 4 2 2" xfId="21341"/>
    <cellStyle name="Comma 83 3 4 3" xfId="13918"/>
    <cellStyle name="Comma 83 3 4 3 2" xfId="25035"/>
    <cellStyle name="Comma 83 3 4 4" xfId="17647"/>
    <cellStyle name="Comma 83 3 5" xfId="8371"/>
    <cellStyle name="Comma 83 3 5 2" xfId="19494"/>
    <cellStyle name="Comma 83 3 6" xfId="12071"/>
    <cellStyle name="Comma 83 3 6 2" xfId="23188"/>
    <cellStyle name="Comma 83 3 7" xfId="15800"/>
    <cellStyle name="Comma 83 4" xfId="2969"/>
    <cellStyle name="Comma 83 5" xfId="2966"/>
    <cellStyle name="Comma 83 6" xfId="4877"/>
    <cellStyle name="Comma 83 6 2" xfId="7228"/>
    <cellStyle name="Comma 83 6 2 2" xfId="10929"/>
    <cellStyle name="Comma 83 6 2 2 2" xfId="22051"/>
    <cellStyle name="Comma 83 6 2 3" xfId="14628"/>
    <cellStyle name="Comma 83 6 2 3 2" xfId="25745"/>
    <cellStyle name="Comma 83 6 2 4" xfId="18357"/>
    <cellStyle name="Comma 83 6 3" xfId="9082"/>
    <cellStyle name="Comma 83 6 3 2" xfId="20204"/>
    <cellStyle name="Comma 83 6 4" xfId="12781"/>
    <cellStyle name="Comma 83 6 4 2" xfId="23898"/>
    <cellStyle name="Comma 83 6 5" xfId="16510"/>
    <cellStyle name="Comma 83 7" xfId="6309"/>
    <cellStyle name="Comma 83 7 2" xfId="10011"/>
    <cellStyle name="Comma 83 7 2 2" xfId="21133"/>
    <cellStyle name="Comma 83 7 3" xfId="13710"/>
    <cellStyle name="Comma 83 7 3 2" xfId="24827"/>
    <cellStyle name="Comma 83 7 4" xfId="17439"/>
    <cellStyle name="Comma 83 8" xfId="8163"/>
    <cellStyle name="Comma 83 8 2" xfId="19286"/>
    <cellStyle name="Comma 83 9" xfId="11863"/>
    <cellStyle name="Comma 83 9 2" xfId="22980"/>
    <cellStyle name="Comma 84" xfId="2042"/>
    <cellStyle name="Comma 84 2" xfId="2970"/>
    <cellStyle name="Comma 84 3" xfId="2971"/>
    <cellStyle name="Comma 85" xfId="2043"/>
    <cellStyle name="Comma 85 2" xfId="2972"/>
    <cellStyle name="Comma 85 3" xfId="2973"/>
    <cellStyle name="Comma 86" xfId="2974"/>
    <cellStyle name="Comma 86 2" xfId="2975"/>
    <cellStyle name="Comma 86 3" xfId="2976"/>
    <cellStyle name="Comma 87" xfId="2977"/>
    <cellStyle name="Comma 87 2" xfId="2978"/>
    <cellStyle name="Comma 87 3" xfId="2979"/>
    <cellStyle name="Comma 88" xfId="2980"/>
    <cellStyle name="Comma 88 2" xfId="2981"/>
    <cellStyle name="Comma 88 3" xfId="2982"/>
    <cellStyle name="Comma 89" xfId="2983"/>
    <cellStyle name="Comma 89 2" xfId="2984"/>
    <cellStyle name="Comma 89 3" xfId="2985"/>
    <cellStyle name="Comma 9" xfId="300"/>
    <cellStyle name="Comma 9 2" xfId="301"/>
    <cellStyle name="Comma 9 2 2" xfId="1073"/>
    <cellStyle name="Comma 9 2 2 2" xfId="893"/>
    <cellStyle name="Comma 9 2 3" xfId="2986"/>
    <cellStyle name="Comma 9 2 3 2" xfId="2987"/>
    <cellStyle name="Comma 9 3" xfId="1074"/>
    <cellStyle name="Comma 9 3 2" xfId="1136"/>
    <cellStyle name="Comma 9 3 2 2" xfId="2988"/>
    <cellStyle name="Comma 9 3 3" xfId="2989"/>
    <cellStyle name="Comma 9 4" xfId="1072"/>
    <cellStyle name="Comma 9 4 2" xfId="1135"/>
    <cellStyle name="Comma 9 4 2 2" xfId="2990"/>
    <cellStyle name="Comma 9 4 3" xfId="2991"/>
    <cellStyle name="Comma 9 5" xfId="2992"/>
    <cellStyle name="Comma 9 5 2" xfId="2993"/>
    <cellStyle name="Comma 9 5 3" xfId="2994"/>
    <cellStyle name="Comma 9 5 4" xfId="4673"/>
    <cellStyle name="Comma 9 5 4 2" xfId="5897"/>
    <cellStyle name="Comma 9 5 4 2 2" xfId="7977"/>
    <cellStyle name="Comma 9 5 4 2 2 2" xfId="11678"/>
    <cellStyle name="Comma 9 5 4 2 2 2 2" xfId="22800"/>
    <cellStyle name="Comma 9 5 4 2 2 3" xfId="15377"/>
    <cellStyle name="Comma 9 5 4 2 2 3 2" xfId="26494"/>
    <cellStyle name="Comma 9 5 4 2 2 4" xfId="19106"/>
    <cellStyle name="Comma 9 5 4 2 3" xfId="9831"/>
    <cellStyle name="Comma 9 5 4 2 3 2" xfId="20953"/>
    <cellStyle name="Comma 9 5 4 2 4" xfId="13530"/>
    <cellStyle name="Comma 9 5 4 2 4 2" xfId="24647"/>
    <cellStyle name="Comma 9 5 4 2 5" xfId="17259"/>
    <cellStyle name="Comma 9 5 4 3" xfId="7058"/>
    <cellStyle name="Comma 9 5 4 3 2" xfId="10759"/>
    <cellStyle name="Comma 9 5 4 3 2 2" xfId="21881"/>
    <cellStyle name="Comma 9 5 4 3 3" xfId="14458"/>
    <cellStyle name="Comma 9 5 4 3 3 2" xfId="25575"/>
    <cellStyle name="Comma 9 5 4 3 4" xfId="18187"/>
    <cellStyle name="Comma 9 5 4 4" xfId="8912"/>
    <cellStyle name="Comma 9 5 4 4 2" xfId="20034"/>
    <cellStyle name="Comma 9 5 4 5" xfId="12611"/>
    <cellStyle name="Comma 9 5 4 5 2" xfId="23728"/>
    <cellStyle name="Comma 9 5 4 6" xfId="16340"/>
    <cellStyle name="Comma 90" xfId="2995"/>
    <cellStyle name="Comma 90 2" xfId="2996"/>
    <cellStyle name="Comma 90 3" xfId="2997"/>
    <cellStyle name="Comma 91" xfId="2998"/>
    <cellStyle name="Comma 91 2" xfId="2999"/>
    <cellStyle name="Comma 91 3" xfId="3000"/>
    <cellStyle name="Comma 92" xfId="3001"/>
    <cellStyle name="Comma 92 2" xfId="3002"/>
    <cellStyle name="Comma 92 3" xfId="3003"/>
    <cellStyle name="Comma 93" xfId="3004"/>
    <cellStyle name="Comma 94" xfId="3005"/>
    <cellStyle name="Comma 95" xfId="3006"/>
    <cellStyle name="Comma 96" xfId="3007"/>
    <cellStyle name="Comma 97" xfId="3008"/>
    <cellStyle name="Comma 98" xfId="3009"/>
    <cellStyle name="Comma 99" xfId="3010"/>
    <cellStyle name="Comma0" xfId="4563"/>
    <cellStyle name="CommaU [0]" xfId="3011"/>
    <cellStyle name="CommaU [1]" xfId="3012"/>
    <cellStyle name="CommaU [2]" xfId="3013"/>
    <cellStyle name="Comment" xfId="302"/>
    <cellStyle name="Comment 2" xfId="4564"/>
    <cellStyle name="Company" xfId="4565"/>
    <cellStyle name="CompanyName" xfId="303"/>
    <cellStyle name="CompanyName 2" xfId="3014"/>
    <cellStyle name="Copied" xfId="3015"/>
    <cellStyle name="CurRatio" xfId="4566"/>
    <cellStyle name="Curren - Style7" xfId="4567"/>
    <cellStyle name="Curren - Style8" xfId="4568"/>
    <cellStyle name="Currency" xfId="42" builtinId="4"/>
    <cellStyle name="Currency (1)" xfId="3016"/>
    <cellStyle name="Currency [1]" xfId="3017"/>
    <cellStyle name="Currency [2]" xfId="3018"/>
    <cellStyle name="Currency 10" xfId="655"/>
    <cellStyle name="Currency 10 2" xfId="1076"/>
    <cellStyle name="Currency 10 2 2" xfId="5473"/>
    <cellStyle name="Currency 10 3" xfId="5472"/>
    <cellStyle name="Currency 11" xfId="858"/>
    <cellStyle name="Currency 11 2" xfId="1078"/>
    <cellStyle name="Currency 11 2 2" xfId="5284"/>
    <cellStyle name="Currency 11 2 2 2" xfId="5476"/>
    <cellStyle name="Currency 11 2 3" xfId="5475"/>
    <cellStyle name="Currency 11 3" xfId="1077"/>
    <cellStyle name="Currency 11 3 2" xfId="3019"/>
    <cellStyle name="Currency 11 4" xfId="5474"/>
    <cellStyle name="Currency 12" xfId="936"/>
    <cellStyle name="Currency 12 2" xfId="1079"/>
    <cellStyle name="Currency 12 2 2" xfId="5477"/>
    <cellStyle name="Currency 12 3" xfId="3020"/>
    <cellStyle name="Currency 13" xfId="1017"/>
    <cellStyle name="Currency 13 2" xfId="3021"/>
    <cellStyle name="Currency 13 3" xfId="3022"/>
    <cellStyle name="Currency 14" xfId="3023"/>
    <cellStyle name="Currency 14 2" xfId="3024"/>
    <cellStyle name="Currency 15" xfId="3025"/>
    <cellStyle name="Currency 15 2" xfId="3026"/>
    <cellStyle name="Currency 16" xfId="3027"/>
    <cellStyle name="Currency 16 2" xfId="3028"/>
    <cellStyle name="Currency 17" xfId="3029"/>
    <cellStyle name="Currency 17 2" xfId="3030"/>
    <cellStyle name="Currency 18" xfId="3031"/>
    <cellStyle name="Currency 19" xfId="3032"/>
    <cellStyle name="Currency 2" xfId="304"/>
    <cellStyle name="Currency 2 2" xfId="43"/>
    <cellStyle name="Currency 2 2 2" xfId="634"/>
    <cellStyle name="Currency 2 2 2 2" xfId="3033"/>
    <cellStyle name="Currency 2 2 3" xfId="3034"/>
    <cellStyle name="Currency 2 2 4" xfId="4569"/>
    <cellStyle name="Currency 2 3" xfId="305"/>
    <cellStyle name="Currency 2 3 2" xfId="3035"/>
    <cellStyle name="Currency 2 4" xfId="3036"/>
    <cellStyle name="Currency 20" xfId="3037"/>
    <cellStyle name="Currency 21" xfId="3038"/>
    <cellStyle name="Currency 22" xfId="3039"/>
    <cellStyle name="Currency 23" xfId="3040"/>
    <cellStyle name="Currency 24" xfId="3041"/>
    <cellStyle name="Currency 25" xfId="3042"/>
    <cellStyle name="Currency 26" xfId="3043"/>
    <cellStyle name="Currency 27" xfId="3044"/>
    <cellStyle name="Currency 28" xfId="3045"/>
    <cellStyle name="Currency 29" xfId="3046"/>
    <cellStyle name="Currency 3" xfId="306"/>
    <cellStyle name="Currency 3 2" xfId="307"/>
    <cellStyle name="Currency 3 2 2" xfId="308"/>
    <cellStyle name="Currency 3 2 2 2" xfId="309"/>
    <cellStyle name="Currency 3 2 2 2 2" xfId="6063"/>
    <cellStyle name="Currency 3 2 2 3" xfId="5988"/>
    <cellStyle name="Currency 3 2 3" xfId="310"/>
    <cellStyle name="Currency 3 2 3 2" xfId="6064"/>
    <cellStyle name="Currency 3 2 4" xfId="5987"/>
    <cellStyle name="Currency 3 3" xfId="311"/>
    <cellStyle name="Currency 3 3 2" xfId="312"/>
    <cellStyle name="Currency 3 3 2 2" xfId="6065"/>
    <cellStyle name="Currency 3 3 3" xfId="5989"/>
    <cellStyle name="Currency 3 4" xfId="313"/>
    <cellStyle name="Currency 3 4 2" xfId="6066"/>
    <cellStyle name="Currency 3 5" xfId="2044"/>
    <cellStyle name="Currency 3 5 2" xfId="3047"/>
    <cellStyle name="Currency 30" xfId="3048"/>
    <cellStyle name="Currency 31" xfId="3049"/>
    <cellStyle name="Currency 32" xfId="3050"/>
    <cellStyle name="Currency 33" xfId="3051"/>
    <cellStyle name="Currency 34" xfId="3052"/>
    <cellStyle name="Currency 35" xfId="3053"/>
    <cellStyle name="Currency 36" xfId="3054"/>
    <cellStyle name="Currency 37" xfId="3055"/>
    <cellStyle name="Currency 38" xfId="3056"/>
    <cellStyle name="Currency 39" xfId="3057"/>
    <cellStyle name="Currency 4" xfId="314"/>
    <cellStyle name="Currency 4 2" xfId="315"/>
    <cellStyle name="Currency 4 2 2" xfId="316"/>
    <cellStyle name="Currency 4 2 2 2" xfId="3058"/>
    <cellStyle name="Currency 4 2 3" xfId="3059"/>
    <cellStyle name="Currency 4 3" xfId="317"/>
    <cellStyle name="Currency 4 3 2" xfId="1127"/>
    <cellStyle name="Currency 4 3 2 2" xfId="3060"/>
    <cellStyle name="Currency 4 3 3" xfId="3061"/>
    <cellStyle name="Currency 4 4" xfId="1126"/>
    <cellStyle name="Currency 4 4 2" xfId="3063"/>
    <cellStyle name="Currency 4 4 3" xfId="3064"/>
    <cellStyle name="Currency 4 4 4" xfId="3062"/>
    <cellStyle name="Currency 4 5" xfId="1125"/>
    <cellStyle name="Currency 4 5 2" xfId="3065"/>
    <cellStyle name="Currency 4 6" xfId="2045"/>
    <cellStyle name="Currency 40" xfId="3066"/>
    <cellStyle name="Currency 41" xfId="3067"/>
    <cellStyle name="Currency 42" xfId="3068"/>
    <cellStyle name="Currency 43" xfId="3069"/>
    <cellStyle name="Currency 44" xfId="3070"/>
    <cellStyle name="Currency 45" xfId="3071"/>
    <cellStyle name="Currency 46" xfId="4359"/>
    <cellStyle name="Currency 47" xfId="4710"/>
    <cellStyle name="Currency 48" xfId="15397"/>
    <cellStyle name="Currency 49" xfId="15398"/>
    <cellStyle name="Currency 5" xfId="318"/>
    <cellStyle name="Currency 5 2" xfId="319"/>
    <cellStyle name="Currency 5 2 2" xfId="320"/>
    <cellStyle name="Currency 5 2 2 2" xfId="3072"/>
    <cellStyle name="Currency 5 2 3" xfId="3073"/>
    <cellStyle name="Currency 5 3" xfId="321"/>
    <cellStyle name="Currency 5 3 2" xfId="3074"/>
    <cellStyle name="Currency 5 4" xfId="322"/>
    <cellStyle name="Currency 5 4 2" xfId="3075"/>
    <cellStyle name="Currency 5 5" xfId="5990"/>
    <cellStyle name="Currency 50" xfId="15408"/>
    <cellStyle name="Currency 51" xfId="15409"/>
    <cellStyle name="Currency 52" xfId="15420"/>
    <cellStyle name="Currency 53" xfId="15424"/>
    <cellStyle name="Currency 54" xfId="15427"/>
    <cellStyle name="Currency 6" xfId="323"/>
    <cellStyle name="Currency 6 2" xfId="324"/>
    <cellStyle name="Currency 6 2 2" xfId="3076"/>
    <cellStyle name="Currency 6 3" xfId="3077"/>
    <cellStyle name="Currency 6 3 2" xfId="6036"/>
    <cellStyle name="Currency 6 4" xfId="5991"/>
    <cellStyle name="Currency 7" xfId="325"/>
    <cellStyle name="Currency 7 2" xfId="326"/>
    <cellStyle name="Currency 7 2 2" xfId="1082"/>
    <cellStyle name="Currency 7 2 2 2" xfId="5479"/>
    <cellStyle name="Currency 7 2 3" xfId="5478"/>
    <cellStyle name="Currency 7 3" xfId="1083"/>
    <cellStyle name="Currency 7 3 2" xfId="3078"/>
    <cellStyle name="Currency 7 4" xfId="3079"/>
    <cellStyle name="Currency 8" xfId="327"/>
    <cellStyle name="Currency 8 2" xfId="328"/>
    <cellStyle name="Currency 8 2 2" xfId="923"/>
    <cellStyle name="Currency 8 3" xfId="1084"/>
    <cellStyle name="Currency 8 3 2" xfId="5480"/>
    <cellStyle name="Currency 8 4" xfId="925"/>
    <cellStyle name="Currency 9" xfId="329"/>
    <cellStyle name="Currency 9 2" xfId="1085"/>
    <cellStyle name="Currency 9 2 2" xfId="5481"/>
    <cellStyle name="Currency 9 3" xfId="926"/>
    <cellStyle name="Currency(1)" xfId="3080"/>
    <cellStyle name="Currency(1) 2" xfId="4570"/>
    <cellStyle name="Currency0" xfId="4571"/>
    <cellStyle name="CUS.Work.Area" xfId="4572"/>
    <cellStyle name="C㯵rrency_㳔PC Data" xfId="4573"/>
    <cellStyle name="d_yield_AA - BenefitsBonus " xfId="3081"/>
    <cellStyle name="d_yield_AA - BenefitsBonus  2" xfId="4645"/>
    <cellStyle name="Dash" xfId="330"/>
    <cellStyle name="Dash 2" xfId="3082"/>
    <cellStyle name="Data_0dp" xfId="4574"/>
    <cellStyle name="DataEntry" xfId="4575"/>
    <cellStyle name="DataEntry%" xfId="4576"/>
    <cellStyle name="DataEntry_Model2401" xfId="4577"/>
    <cellStyle name="DataPercentStyle" xfId="5938"/>
    <cellStyle name="DataStyle" xfId="5846"/>
    <cellStyle name="DataStyleForecast" xfId="5931"/>
    <cellStyle name="Date" xfId="331"/>
    <cellStyle name="Date m-yy" xfId="712"/>
    <cellStyle name="Date m-yy 2" xfId="3083"/>
    <cellStyle name="Date2" xfId="332"/>
    <cellStyle name="Dates" xfId="3084"/>
    <cellStyle name="DateYear" xfId="3085"/>
    <cellStyle name="Decimal" xfId="333"/>
    <cellStyle name="decimal 1" xfId="334"/>
    <cellStyle name="Decimal 2" xfId="4578"/>
    <cellStyle name="Decimal_ConsensusPanel_v20080325 (2)" xfId="3086"/>
    <cellStyle name="Derive" xfId="4579"/>
    <cellStyle name="Detail ligne" xfId="5936"/>
    <cellStyle name="Dezimal_ACEA" xfId="5943"/>
    <cellStyle name="Dollar" xfId="335"/>
    <cellStyle name="Dollar 2" xfId="3087"/>
    <cellStyle name="Dollars" xfId="336"/>
    <cellStyle name="Dollars 2" xfId="1115"/>
    <cellStyle name="DollarWhole" xfId="3088"/>
    <cellStyle name="Entered" xfId="3089"/>
    <cellStyle name="Euro" xfId="3090"/>
    <cellStyle name="Explanatory Text" xfId="44" builtinId="53" customBuiltin="1"/>
    <cellStyle name="Explanatory Text 2" xfId="337"/>
    <cellStyle name="Explanatory Text 3" xfId="758"/>
    <cellStyle name="Explanatory Text 3 2" xfId="3091"/>
    <cellStyle name="f‰H_x0010_‹Ëf‰h,ÿt$_x0018_è¸Wÿÿé&gt;Ëÿÿ÷Ç_x0001_" xfId="3092"/>
    <cellStyle name="Fail" xfId="338"/>
    <cellStyle name="Fail 2" xfId="1114"/>
    <cellStyle name="Fail 2 2" xfId="3094"/>
    <cellStyle name="Fail 2 3" xfId="3095"/>
    <cellStyle name="Fail 2 4" xfId="3093"/>
    <cellStyle name="FieldName" xfId="339"/>
    <cellStyle name="FiscalPeriod" xfId="340"/>
    <cellStyle name="FiscalPeriod 2" xfId="1108"/>
    <cellStyle name="FiscalPeriod 2 2" xfId="3097"/>
    <cellStyle name="FiscalPeriod 2 3" xfId="3098"/>
    <cellStyle name="FiscalPeriod 2 4" xfId="3096"/>
    <cellStyle name="Fixed" xfId="341"/>
    <cellStyle name="Fixed (1)" xfId="4580"/>
    <cellStyle name="Fixed [2]" xfId="4581"/>
    <cellStyle name="Fixed 2" xfId="3099"/>
    <cellStyle name="Fixed 3" xfId="4582"/>
    <cellStyle name="Fixed_1" xfId="4583"/>
    <cellStyle name="FooterStyle" xfId="5288"/>
    <cellStyle name="Footnote" xfId="342"/>
    <cellStyle name="g_rate_AA - BenefitsBonus " xfId="3100"/>
    <cellStyle name="g_rate_AA - BenefitsBonus  2" xfId="4647"/>
    <cellStyle name="G02 Table Text" xfId="343"/>
    <cellStyle name="G02 Table Text 2" xfId="1104"/>
    <cellStyle name="G04_Main head" xfId="344"/>
    <cellStyle name="G05 Tab Head Bold" xfId="345"/>
    <cellStyle name="G05 Tab Head Bold 2" xfId="346"/>
    <cellStyle name="G05 Tab Head Bold 2 2" xfId="347"/>
    <cellStyle name="G05 Tab Head Bold 2 2 2" xfId="1100"/>
    <cellStyle name="G05 Tab Head Bold 2 2 2 2" xfId="3101"/>
    <cellStyle name="G05 Tab Head Bold 2 2 3" xfId="3102"/>
    <cellStyle name="G05 Tab Head Bold 2 3" xfId="1097"/>
    <cellStyle name="G05 Tab Head Bold 2 3 2" xfId="3103"/>
    <cellStyle name="G05 Tab Head Bold 2 4" xfId="3104"/>
    <cellStyle name="G05 Tab Head Bold 3" xfId="348"/>
    <cellStyle name="G05 Tab Head Bold 3 2" xfId="1099"/>
    <cellStyle name="G05 Tab Head Bold 3 2 2" xfId="3105"/>
    <cellStyle name="G05 Tab Head Bold 3 3" xfId="3106"/>
    <cellStyle name="G05 Tab Head Bold 4" xfId="943"/>
    <cellStyle name="G05 Tab Head Bold 4 2" xfId="1095"/>
    <cellStyle name="G05 Tab Head Bold 4 2 2" xfId="5483"/>
    <cellStyle name="G05 Tab Head Bold 4 3" xfId="5482"/>
    <cellStyle name="G05 Tab Head Bold 5" xfId="1094"/>
    <cellStyle name="G05 Tab Head Bold 5 2" xfId="3107"/>
    <cellStyle name="G05 Tab Head Bold 5 2 2" xfId="5485"/>
    <cellStyle name="G05 Tab Head Bold 5 3" xfId="5484"/>
    <cellStyle name="G05 Tab Head Bold 6" xfId="3108"/>
    <cellStyle name="G05 Tab Head Bold 6 2" xfId="5486"/>
    <cellStyle name="G05 Tab Head Bold 7" xfId="3109"/>
    <cellStyle name="G05 Tab Head Bold 7 2" xfId="3110"/>
    <cellStyle name="G05 Tab Head Bold 8" xfId="3111"/>
    <cellStyle name="G05 Tab Head Bold 8 2" xfId="3112"/>
    <cellStyle name="G05 Tab Head Light" xfId="349"/>
    <cellStyle name="G05 Tab Head Light 2" xfId="350"/>
    <cellStyle name="G05 Tab Head Light 2 2" xfId="351"/>
    <cellStyle name="G05 Tab Head Light 2 2 2" xfId="1093"/>
    <cellStyle name="G05 Tab Head Light 2 2 2 2" xfId="3113"/>
    <cellStyle name="G05 Tab Head Light 2 2 3" xfId="3114"/>
    <cellStyle name="G05 Tab Head Light 2 3" xfId="1092"/>
    <cellStyle name="G05 Tab Head Light 2 3 2" xfId="3115"/>
    <cellStyle name="G05 Tab Head Light 2 4" xfId="3116"/>
    <cellStyle name="G05 Tab Head Light 3" xfId="352"/>
    <cellStyle name="G05 Tab Head Light 3 2" xfId="1103"/>
    <cellStyle name="G05 Tab Head Light 3 2 2" xfId="3117"/>
    <cellStyle name="G05 Tab Head Light 3 3" xfId="3118"/>
    <cellStyle name="G05 Tab Head Light 4" xfId="945"/>
    <cellStyle name="G05 Tab Head Light 4 2" xfId="1091"/>
    <cellStyle name="G05 Tab Head Light 4 2 2" xfId="5488"/>
    <cellStyle name="G05 Tab Head Light 4 3" xfId="5487"/>
    <cellStyle name="G05 Tab Head Light 5" xfId="1090"/>
    <cellStyle name="G05 Tab Head Light 5 2" xfId="3119"/>
    <cellStyle name="G05 Tab Head Light 5 2 2" xfId="5490"/>
    <cellStyle name="G05 Tab Head Light 5 3" xfId="5489"/>
    <cellStyle name="G05 Tab Head Light 6" xfId="3120"/>
    <cellStyle name="G05 Tab Head Light 6 2" xfId="5491"/>
    <cellStyle name="G05 Tab Head Light 7" xfId="3121"/>
    <cellStyle name="G05 Tab Head Light 7 2" xfId="3122"/>
    <cellStyle name="G05 Tab Head Light 8" xfId="3123"/>
    <cellStyle name="G05 Tab Head Light 8 2" xfId="3124"/>
    <cellStyle name="Good" xfId="45" builtinId="26" customBuiltin="1"/>
    <cellStyle name="Good 2" xfId="353"/>
    <cellStyle name="Good 2 2" xfId="938"/>
    <cellStyle name="Good 2 3" xfId="937"/>
    <cellStyle name="Good 3" xfId="748"/>
    <cellStyle name="Good 3 2" xfId="2046"/>
    <cellStyle name="Good 3 2 2" xfId="3126"/>
    <cellStyle name="Good 3 3" xfId="3127"/>
    <cellStyle name="Good 3 4" xfId="3125"/>
    <cellStyle name="Green" xfId="354"/>
    <cellStyle name="Green 2" xfId="1089"/>
    <cellStyle name="Green 2 2" xfId="1088"/>
    <cellStyle name="Green 2 3" xfId="5932"/>
    <cellStyle name="Green 3" xfId="1087"/>
    <cellStyle name="Green 3 2" xfId="3128"/>
    <cellStyle name="Green 3 3" xfId="4649"/>
    <cellStyle name="Green 4" xfId="3129"/>
    <cellStyle name="Green 4 2" xfId="3130"/>
    <cellStyle name="Green 4 2 2" xfId="3131"/>
    <cellStyle name="Green 4 2 2 2" xfId="6141"/>
    <cellStyle name="Green 4 2 3" xfId="3132"/>
    <cellStyle name="Green 4 3" xfId="3133"/>
    <cellStyle name="Grey" xfId="355"/>
    <cellStyle name="Grey 2" xfId="356"/>
    <cellStyle name="Grey 3" xfId="1086"/>
    <cellStyle name="Growth%" xfId="3134"/>
    <cellStyle name="GrowthRate" xfId="3135"/>
    <cellStyle name="hard no" xfId="357"/>
    <cellStyle name="hard no 2" xfId="358"/>
    <cellStyle name="hard no 2 2" xfId="3136"/>
    <cellStyle name="hard no 3" xfId="3137"/>
    <cellStyle name="hardno" xfId="359"/>
    <cellStyle name="HEADER" xfId="3138"/>
    <cellStyle name="Header1" xfId="360"/>
    <cellStyle name="Header1 2" xfId="3139"/>
    <cellStyle name="Header2" xfId="361"/>
    <cellStyle name="Header2 2" xfId="3140"/>
    <cellStyle name="HeaderStyle" xfId="5860"/>
    <cellStyle name="Heading 1" xfId="46" builtinId="16" customBuiltin="1"/>
    <cellStyle name="Heading 1 2" xfId="362"/>
    <cellStyle name="Heading 1 2 2" xfId="941"/>
    <cellStyle name="Heading 1 2 3" xfId="940"/>
    <cellStyle name="Heading 1 3" xfId="744"/>
    <cellStyle name="Heading 1 3 2" xfId="2047"/>
    <cellStyle name="Heading 1 3 2 2" xfId="3142"/>
    <cellStyle name="Heading 1 3 3" xfId="3143"/>
    <cellStyle name="Heading 1 3 4" xfId="3141"/>
    <cellStyle name="Heading 1 3 5" xfId="5287"/>
    <cellStyle name="Heading 2" xfId="47" builtinId="17" customBuiltin="1"/>
    <cellStyle name="Heading 2 2" xfId="363"/>
    <cellStyle name="Heading 2 2 2" xfId="944"/>
    <cellStyle name="Heading 2 2 3" xfId="942"/>
    <cellStyle name="Heading 2 3" xfId="745"/>
    <cellStyle name="Heading 2 3 2" xfId="2048"/>
    <cellStyle name="Heading 2 3 2 2" xfId="3145"/>
    <cellStyle name="Heading 2 3 3" xfId="3146"/>
    <cellStyle name="Heading 2 3 4" xfId="3144"/>
    <cellStyle name="Heading 2 3 5" xfId="5942"/>
    <cellStyle name="Heading 3" xfId="48" builtinId="18" customBuiltin="1"/>
    <cellStyle name="Heading 3 2" xfId="364"/>
    <cellStyle name="Heading 3 2 2" xfId="947"/>
    <cellStyle name="Heading 3 2 3" xfId="946"/>
    <cellStyle name="Heading 3 3" xfId="746"/>
    <cellStyle name="Heading 3 3 2" xfId="2049"/>
    <cellStyle name="Heading 3 3 2 2" xfId="3148"/>
    <cellStyle name="Heading 3 3 3" xfId="3149"/>
    <cellStyle name="Heading 3 3 4" xfId="3147"/>
    <cellStyle name="Heading 3 3 5" xfId="5877"/>
    <cellStyle name="Heading 4" xfId="49" builtinId="19" customBuiltin="1"/>
    <cellStyle name="Heading 4 2" xfId="365"/>
    <cellStyle name="Heading 4 3" xfId="747"/>
    <cellStyle name="Heading 4 3 2" xfId="3151"/>
    <cellStyle name="Heading 4 3 3" xfId="3152"/>
    <cellStyle name="Heading 4 3 4" xfId="3150"/>
    <cellStyle name="Heading 4 3 5" xfId="5941"/>
    <cellStyle name="Heading1" xfId="3153"/>
    <cellStyle name="Heading2" xfId="3154"/>
    <cellStyle name="Hidden" xfId="366"/>
    <cellStyle name="Hidden 2" xfId="1081"/>
    <cellStyle name="Hidden 2 2" xfId="3156"/>
    <cellStyle name="Hidden 2 3" xfId="3157"/>
    <cellStyle name="Hidden 2 4" xfId="3155"/>
    <cellStyle name="HIGHLIGHT" xfId="3158"/>
    <cellStyle name="Hyperlink 2" xfId="713"/>
    <cellStyle name="Hyperlink 2 2" xfId="2051"/>
    <cellStyle name="Hyperlink 2 2 2" xfId="3160"/>
    <cellStyle name="Hyperlink 2 2 3" xfId="3161"/>
    <cellStyle name="Hyperlink 2 2 4" xfId="3162"/>
    <cellStyle name="Hyperlink 2 2 5" xfId="3159"/>
    <cellStyle name="Hyperlink 2 2 6" xfId="5292"/>
    <cellStyle name="Hyperlink 2 3" xfId="2050"/>
    <cellStyle name="Hyperlink 2 3 2" xfId="3164"/>
    <cellStyle name="Hyperlink 2 3 3" xfId="4675"/>
    <cellStyle name="Hyperlink 2 3 4" xfId="3163"/>
    <cellStyle name="Hyperlink 3" xfId="813"/>
    <cellStyle name="Hyperlink 3 2" xfId="3165"/>
    <cellStyle name="Hyperlink 3 3" xfId="3166"/>
    <cellStyle name="Hyperlink 3 4" xfId="3167"/>
    <cellStyle name="Hyperlink 4" xfId="714"/>
    <cellStyle name="Hyperlink 4 2" xfId="1122"/>
    <cellStyle name="Hyperlink 4 2 2" xfId="2052"/>
    <cellStyle name="Hyperlink 4 2 3" xfId="3168"/>
    <cellStyle name="Hyperlink 4 3" xfId="1080"/>
    <cellStyle name="Hyperlink 4 3 2" xfId="3170"/>
    <cellStyle name="Hyperlink 4 3 3" xfId="3171"/>
    <cellStyle name="Hyperlink 4 3 4" xfId="4676"/>
    <cellStyle name="Hyperlink 4 3 5" xfId="3169"/>
    <cellStyle name="Hyperlink 5" xfId="786"/>
    <cellStyle name="Income Statement" xfId="3172"/>
    <cellStyle name="IncomeStatement" xfId="3173"/>
    <cellStyle name="Info_Main" xfId="4584"/>
    <cellStyle name="Input" xfId="50" builtinId="20" customBuiltin="1"/>
    <cellStyle name="Input [yellow]" xfId="367"/>
    <cellStyle name="Input [yellow] 2" xfId="368"/>
    <cellStyle name="Input [yellow] 3" xfId="1075"/>
    <cellStyle name="Input 10" xfId="1105"/>
    <cellStyle name="Input 11" xfId="1106"/>
    <cellStyle name="Input 12" xfId="1107"/>
    <cellStyle name="Input 13" xfId="1071"/>
    <cellStyle name="Input 13 2" xfId="5939"/>
    <cellStyle name="Input 14" xfId="1070"/>
    <cellStyle name="Input 14 2" xfId="5286"/>
    <cellStyle name="Input 15" xfId="1065"/>
    <cellStyle name="Input 15 2" xfId="5935"/>
    <cellStyle name="Input 16" xfId="1064"/>
    <cellStyle name="Input 16 2" xfId="5285"/>
    <cellStyle name="Input 17" xfId="1046"/>
    <cellStyle name="Input 17 2" xfId="5333"/>
    <cellStyle name="Input 18" xfId="1045"/>
    <cellStyle name="Input 18 2" xfId="5933"/>
    <cellStyle name="Input 19" xfId="1030"/>
    <cellStyle name="Input 2" xfId="369"/>
    <cellStyle name="Input 20" xfId="1026"/>
    <cellStyle name="Input 21" xfId="1024"/>
    <cellStyle name="Input 22" xfId="1022"/>
    <cellStyle name="Input 23" xfId="3174"/>
    <cellStyle name="Input 23 2" xfId="3175"/>
    <cellStyle name="Input 24" xfId="3176"/>
    <cellStyle name="Input 24 2" xfId="3177"/>
    <cellStyle name="Input 25" xfId="3178"/>
    <cellStyle name="Input 26" xfId="3179"/>
    <cellStyle name="Input 27" xfId="3180"/>
    <cellStyle name="Input 28" xfId="3181"/>
    <cellStyle name="Input 29" xfId="3182"/>
    <cellStyle name="Input 3" xfId="751"/>
    <cellStyle name="Input 3 2" xfId="861"/>
    <cellStyle name="Input 3 3" xfId="2053"/>
    <cellStyle name="Input 30" xfId="3183"/>
    <cellStyle name="Input 31" xfId="3184"/>
    <cellStyle name="Input 32" xfId="3185"/>
    <cellStyle name="Input 33" xfId="3186"/>
    <cellStyle name="Input 34" xfId="3187"/>
    <cellStyle name="Input 35" xfId="3188"/>
    <cellStyle name="Input 36" xfId="3189"/>
    <cellStyle name="Input 37" xfId="3190"/>
    <cellStyle name="Input 38" xfId="3191"/>
    <cellStyle name="Input 39" xfId="3192"/>
    <cellStyle name="Input 4" xfId="795"/>
    <cellStyle name="Input 4 2" xfId="862"/>
    <cellStyle name="Input 4 3" xfId="2054"/>
    <cellStyle name="Input 40" xfId="3193"/>
    <cellStyle name="Input 41" xfId="3194"/>
    <cellStyle name="Input 42" xfId="3195"/>
    <cellStyle name="Input 43" xfId="3196"/>
    <cellStyle name="Input 44" xfId="3197"/>
    <cellStyle name="Input 45" xfId="3198"/>
    <cellStyle name="Input 46" xfId="3199"/>
    <cellStyle name="Input 47" xfId="3200"/>
    <cellStyle name="Input 48" xfId="3201"/>
    <cellStyle name="Input 49" xfId="3202"/>
    <cellStyle name="Input 5" xfId="787"/>
    <cellStyle name="Input 5 2" xfId="1109"/>
    <cellStyle name="Input 5 3" xfId="2055"/>
    <cellStyle name="Input 50" xfId="3203"/>
    <cellStyle name="Input 51" xfId="3204"/>
    <cellStyle name="Input 52" xfId="3205"/>
    <cellStyle name="Input 53" xfId="3206"/>
    <cellStyle name="Input 54" xfId="3207"/>
    <cellStyle name="Input 55" xfId="3208"/>
    <cellStyle name="Input 56" xfId="3209"/>
    <cellStyle name="Input 57" xfId="3210"/>
    <cellStyle name="Input 58" xfId="3211"/>
    <cellStyle name="Input 59" xfId="3212"/>
    <cellStyle name="Input 6" xfId="851"/>
    <cellStyle name="Input 6 2" xfId="1110"/>
    <cellStyle name="Input 6 3" xfId="2056"/>
    <cellStyle name="Input 60" xfId="3213"/>
    <cellStyle name="Input 61" xfId="3214"/>
    <cellStyle name="Input 62" xfId="3215"/>
    <cellStyle name="Input 63" xfId="3216"/>
    <cellStyle name="Input 64" xfId="3217"/>
    <cellStyle name="Input 7" xfId="852"/>
    <cellStyle name="Input 7 2" xfId="1111"/>
    <cellStyle name="Input 7 3" xfId="2057"/>
    <cellStyle name="Input 8" xfId="1112"/>
    <cellStyle name="Input 9" xfId="1113"/>
    <cellStyle name="Input Titles" xfId="4585"/>
    <cellStyle name="Input%" xfId="4586"/>
    <cellStyle name="InputBlueFont" xfId="370"/>
    <cellStyle name="InputDate" xfId="4587"/>
    <cellStyle name="InputDecimal" xfId="4588"/>
    <cellStyle name="InputDescriptions" xfId="4589"/>
    <cellStyle name="InputHeading1" xfId="4590"/>
    <cellStyle name="InputValue" xfId="4591"/>
    <cellStyle name="Integer" xfId="371"/>
    <cellStyle name="Integer 2" xfId="3218"/>
    <cellStyle name="Invisible" xfId="814"/>
    <cellStyle name="Italic" xfId="3219"/>
    <cellStyle name="Item" xfId="4592"/>
    <cellStyle name="ItemTypeClass" xfId="4593"/>
    <cellStyle name="KP_Normal" xfId="372"/>
    <cellStyle name="KPMG Heading 1" xfId="3220"/>
    <cellStyle name="KPMG Heading 2" xfId="3221"/>
    <cellStyle name="KPMG Heading 3" xfId="3222"/>
    <cellStyle name="KPMG Heading 4" xfId="3223"/>
    <cellStyle name="KPMG Normal" xfId="3224"/>
    <cellStyle name="KPMG Normal Text" xfId="3225"/>
    <cellStyle name="l]_x000d__x000a_Path=M:\RIOCEN01_x000d__x000a_Name=Carlos Emilio Brousse_x000d__x000a_DDEApps=nsf,nsg,nsh,ntf,ns2,ors,org_x000d__x000a_SmartIcons=Todos_x000d__x000a_" xfId="3226"/>
    <cellStyle name="Ligne détail" xfId="5548"/>
    <cellStyle name="Linked Cell" xfId="51" builtinId="24" customBuiltin="1"/>
    <cellStyle name="Linked Cell 2" xfId="373"/>
    <cellStyle name="Linked Cell 2 2" xfId="965"/>
    <cellStyle name="Linked Cell 2 3" xfId="964"/>
    <cellStyle name="Linked Cell 3" xfId="754"/>
    <cellStyle name="Linked Cell 3 2" xfId="2058"/>
    <cellStyle name="Linked Cell 3 2 2" xfId="3228"/>
    <cellStyle name="Linked Cell 3 3" xfId="3229"/>
    <cellStyle name="Linked Cell 3 4" xfId="3227"/>
    <cellStyle name="m_AA - BenefitsBonus " xfId="3230"/>
    <cellStyle name="Margins" xfId="3231"/>
    <cellStyle name="MetricLabel" xfId="374"/>
    <cellStyle name="MetricLabel 2" xfId="894"/>
    <cellStyle name="MetricLabel 2 2" xfId="3233"/>
    <cellStyle name="MetricLabel 2 3" xfId="3234"/>
    <cellStyle name="MetricLabel 2 4" xfId="3232"/>
    <cellStyle name="MetricLabelBlue" xfId="375"/>
    <cellStyle name="MetricLabelBlue 2" xfId="895"/>
    <cellStyle name="MetricLabelBlue 2 2" xfId="3236"/>
    <cellStyle name="MetricLabelBlue 2 3" xfId="3237"/>
    <cellStyle name="MetricLabelBlue 2 4" xfId="3235"/>
    <cellStyle name="MetricValue" xfId="376"/>
    <cellStyle name="MetricValue 2" xfId="896"/>
    <cellStyle name="MetricValue 2 2" xfId="3239"/>
    <cellStyle name="MetricValue 2 3" xfId="3240"/>
    <cellStyle name="MetricValue 2 4" xfId="3238"/>
    <cellStyle name="MEV2" xfId="5294"/>
    <cellStyle name="middle" xfId="3241"/>
    <cellStyle name="middle-title" xfId="3242"/>
    <cellStyle name="mm/dd/yy" xfId="3243"/>
    <cellStyle name="MonthYears" xfId="377"/>
    <cellStyle name="MonthYears 2" xfId="378"/>
    <cellStyle name="MonthYears 3" xfId="906"/>
    <cellStyle name="Multiple" xfId="3244"/>
    <cellStyle name="Multiple 2" xfId="4594"/>
    <cellStyle name="MW" xfId="3245"/>
    <cellStyle name="Neutral" xfId="52" builtinId="28" customBuiltin="1"/>
    <cellStyle name="Neutral 2" xfId="379"/>
    <cellStyle name="Neutral 2 2" xfId="970"/>
    <cellStyle name="Neutral 2 3" xfId="969"/>
    <cellStyle name="Neutral 3" xfId="750"/>
    <cellStyle name="Neutral 3 2" xfId="2059"/>
    <cellStyle name="Neutral 3 2 2" xfId="3246"/>
    <cellStyle name="NewColumnHeaderNormal" xfId="815"/>
    <cellStyle name="NewSectionHeaderNormal" xfId="816"/>
    <cellStyle name="NewTitleNormal" xfId="817"/>
    <cellStyle name="No Commas" xfId="3247"/>
    <cellStyle name="no dec" xfId="380"/>
    <cellStyle name="Normal" xfId="0" builtinId="0" customBuiltin="1"/>
    <cellStyle name="Normal - Style1" xfId="381"/>
    <cellStyle name="Normal - Style1 2" xfId="3248"/>
    <cellStyle name="Normal - Style1 3" xfId="4595"/>
    <cellStyle name="Normal 1" xfId="3249"/>
    <cellStyle name="Normal 1 2" xfId="3250"/>
    <cellStyle name="Normal 10" xfId="53"/>
    <cellStyle name="Normal 10 2" xfId="382"/>
    <cellStyle name="Normal 10 2 2" xfId="915"/>
    <cellStyle name="Normal 10 2 2 2" xfId="3252"/>
    <cellStyle name="Normal 10 2 2 3" xfId="3253"/>
    <cellStyle name="Normal 10 2 2 4" xfId="4678"/>
    <cellStyle name="Normal 10 2 2 4 2" xfId="5898"/>
    <cellStyle name="Normal 10 2 2 4 2 2" xfId="7978"/>
    <cellStyle name="Normal 10 2 2 4 2 2 2" xfId="11679"/>
    <cellStyle name="Normal 10 2 2 4 2 2 2 2" xfId="22801"/>
    <cellStyle name="Normal 10 2 2 4 2 2 3" xfId="15378"/>
    <cellStyle name="Normal 10 2 2 4 2 2 3 2" xfId="26495"/>
    <cellStyle name="Normal 10 2 2 4 2 2 4" xfId="19107"/>
    <cellStyle name="Normal 10 2 2 4 2 3" xfId="9832"/>
    <cellStyle name="Normal 10 2 2 4 2 3 2" xfId="20954"/>
    <cellStyle name="Normal 10 2 2 4 2 4" xfId="13531"/>
    <cellStyle name="Normal 10 2 2 4 2 4 2" xfId="24648"/>
    <cellStyle name="Normal 10 2 2 4 2 5" xfId="17260"/>
    <cellStyle name="Normal 10 2 2 4 3" xfId="7059"/>
    <cellStyle name="Normal 10 2 2 4 3 2" xfId="10760"/>
    <cellStyle name="Normal 10 2 2 4 3 2 2" xfId="21882"/>
    <cellStyle name="Normal 10 2 2 4 3 3" xfId="14459"/>
    <cellStyle name="Normal 10 2 2 4 3 3 2" xfId="25576"/>
    <cellStyle name="Normal 10 2 2 4 3 4" xfId="18188"/>
    <cellStyle name="Normal 10 2 2 4 4" xfId="8913"/>
    <cellStyle name="Normal 10 2 2 4 4 2" xfId="20035"/>
    <cellStyle name="Normal 10 2 2 4 5" xfId="12612"/>
    <cellStyle name="Normal 10 2 2 4 5 2" xfId="23729"/>
    <cellStyle name="Normal 10 2 2 4 6" xfId="16341"/>
    <cellStyle name="Normal 10 2 2 5" xfId="3251"/>
    <cellStyle name="Normal 10 2 2 5 2" xfId="6778"/>
    <cellStyle name="Normal 10 2 2 5 2 2" xfId="10480"/>
    <cellStyle name="Normal 10 2 2 5 2 2 2" xfId="21602"/>
    <cellStyle name="Normal 10 2 2 5 2 3" xfId="14179"/>
    <cellStyle name="Normal 10 2 2 5 2 3 2" xfId="25296"/>
    <cellStyle name="Normal 10 2 2 5 2 4" xfId="17908"/>
    <cellStyle name="Normal 10 2 2 5 3" xfId="8632"/>
    <cellStyle name="Normal 10 2 2 5 3 2" xfId="19755"/>
    <cellStyle name="Normal 10 2 2 5 4" xfId="12332"/>
    <cellStyle name="Normal 10 2 2 5 4 2" xfId="23449"/>
    <cellStyle name="Normal 10 2 2 5 5" xfId="16061"/>
    <cellStyle name="Normal 10 2 2 6" xfId="5588"/>
    <cellStyle name="Normal 10 2 2 6 2" xfId="7698"/>
    <cellStyle name="Normal 10 2 2 6 2 2" xfId="11399"/>
    <cellStyle name="Normal 10 2 2 6 2 2 2" xfId="22521"/>
    <cellStyle name="Normal 10 2 2 6 2 3" xfId="15098"/>
    <cellStyle name="Normal 10 2 2 6 2 3 2" xfId="26215"/>
    <cellStyle name="Normal 10 2 2 6 2 4" xfId="18827"/>
    <cellStyle name="Normal 10 2 2 6 3" xfId="9552"/>
    <cellStyle name="Normal 10 2 2 6 3 2" xfId="20674"/>
    <cellStyle name="Normal 10 2 2 6 4" xfId="13251"/>
    <cellStyle name="Normal 10 2 2 6 4 2" xfId="24368"/>
    <cellStyle name="Normal 10 2 2 6 5" xfId="16980"/>
    <cellStyle name="Normal 10 2 3" xfId="914"/>
    <cellStyle name="Normal 10 2 3 10" xfId="6194"/>
    <cellStyle name="Normal 10 2 3 10 2" xfId="9896"/>
    <cellStyle name="Normal 10 2 3 10 2 2" xfId="21018"/>
    <cellStyle name="Normal 10 2 3 10 3" xfId="13595"/>
    <cellStyle name="Normal 10 2 3 10 3 2" xfId="24712"/>
    <cellStyle name="Normal 10 2 3 10 4" xfId="17324"/>
    <cellStyle name="Normal 10 2 3 11" xfId="8047"/>
    <cellStyle name="Normal 10 2 3 11 2" xfId="19171"/>
    <cellStyle name="Normal 10 2 3 12" xfId="11748"/>
    <cellStyle name="Normal 10 2 3 12 2" xfId="22865"/>
    <cellStyle name="Normal 10 2 3 13" xfId="15477"/>
    <cellStyle name="Normal 10 2 3 2" xfId="1602"/>
    <cellStyle name="Normal 10 2 3 2 10" xfId="11799"/>
    <cellStyle name="Normal 10 2 3 2 10 2" xfId="22916"/>
    <cellStyle name="Normal 10 2 3 2 11" xfId="15528"/>
    <cellStyle name="Normal 10 2 3 2 2" xfId="1720"/>
    <cellStyle name="Normal 10 2 3 2 2 10" xfId="15634"/>
    <cellStyle name="Normal 10 2 3 2 2 2" xfId="2062"/>
    <cellStyle name="Normal 10 2 3 2 2 2 2" xfId="3258"/>
    <cellStyle name="Normal 10 2 3 2 2 2 2 2" xfId="5593"/>
    <cellStyle name="Normal 10 2 3 2 2 2 2 2 2" xfId="7703"/>
    <cellStyle name="Normal 10 2 3 2 2 2 2 2 2 2" xfId="11404"/>
    <cellStyle name="Normal 10 2 3 2 2 2 2 2 2 2 2" xfId="22526"/>
    <cellStyle name="Normal 10 2 3 2 2 2 2 2 2 3" xfId="15103"/>
    <cellStyle name="Normal 10 2 3 2 2 2 2 2 2 3 2" xfId="26220"/>
    <cellStyle name="Normal 10 2 3 2 2 2 2 2 2 4" xfId="18832"/>
    <cellStyle name="Normal 10 2 3 2 2 2 2 2 3" xfId="9557"/>
    <cellStyle name="Normal 10 2 3 2 2 2 2 2 3 2" xfId="20679"/>
    <cellStyle name="Normal 10 2 3 2 2 2 2 2 4" xfId="13256"/>
    <cellStyle name="Normal 10 2 3 2 2 2 2 2 4 2" xfId="24373"/>
    <cellStyle name="Normal 10 2 3 2 2 2 2 2 5" xfId="16985"/>
    <cellStyle name="Normal 10 2 3 2 2 2 2 3" xfId="6783"/>
    <cellStyle name="Normal 10 2 3 2 2 2 2 3 2" xfId="10485"/>
    <cellStyle name="Normal 10 2 3 2 2 2 2 3 2 2" xfId="21607"/>
    <cellStyle name="Normal 10 2 3 2 2 2 2 3 3" xfId="14184"/>
    <cellStyle name="Normal 10 2 3 2 2 2 2 3 3 2" xfId="25301"/>
    <cellStyle name="Normal 10 2 3 2 2 2 2 3 4" xfId="17913"/>
    <cellStyle name="Normal 10 2 3 2 2 2 2 4" xfId="8637"/>
    <cellStyle name="Normal 10 2 3 2 2 2 2 4 2" xfId="19760"/>
    <cellStyle name="Normal 10 2 3 2 2 2 2 5" xfId="12337"/>
    <cellStyle name="Normal 10 2 3 2 2 2 2 5 2" xfId="23454"/>
    <cellStyle name="Normal 10 2 3 2 2 2 2 6" xfId="16066"/>
    <cellStyle name="Normal 10 2 3 2 2 2 3" xfId="3257"/>
    <cellStyle name="Normal 10 2 3 2 2 2 3 2" xfId="6782"/>
    <cellStyle name="Normal 10 2 3 2 2 2 3 2 2" xfId="10484"/>
    <cellStyle name="Normal 10 2 3 2 2 2 3 2 2 2" xfId="21606"/>
    <cellStyle name="Normal 10 2 3 2 2 2 3 2 3" xfId="14183"/>
    <cellStyle name="Normal 10 2 3 2 2 2 3 2 3 2" xfId="25300"/>
    <cellStyle name="Normal 10 2 3 2 2 2 3 2 4" xfId="17912"/>
    <cellStyle name="Normal 10 2 3 2 2 2 3 3" xfId="8636"/>
    <cellStyle name="Normal 10 2 3 2 2 2 3 3 2" xfId="19759"/>
    <cellStyle name="Normal 10 2 3 2 2 2 3 4" xfId="12336"/>
    <cellStyle name="Normal 10 2 3 2 2 2 3 4 2" xfId="23453"/>
    <cellStyle name="Normal 10 2 3 2 2 2 3 5" xfId="16065"/>
    <cellStyle name="Normal 10 2 3 2 2 2 4" xfId="5182"/>
    <cellStyle name="Normal 10 2 3 2 2 2 4 2" xfId="7533"/>
    <cellStyle name="Normal 10 2 3 2 2 2 4 2 2" xfId="11234"/>
    <cellStyle name="Normal 10 2 3 2 2 2 4 2 2 2" xfId="22356"/>
    <cellStyle name="Normal 10 2 3 2 2 2 4 2 3" xfId="14933"/>
    <cellStyle name="Normal 10 2 3 2 2 2 4 2 3 2" xfId="26050"/>
    <cellStyle name="Normal 10 2 3 2 2 2 4 2 4" xfId="18662"/>
    <cellStyle name="Normal 10 2 3 2 2 2 4 3" xfId="9387"/>
    <cellStyle name="Normal 10 2 3 2 2 2 4 3 2" xfId="20509"/>
    <cellStyle name="Normal 10 2 3 2 2 2 4 4" xfId="13086"/>
    <cellStyle name="Normal 10 2 3 2 2 2 4 4 2" xfId="24203"/>
    <cellStyle name="Normal 10 2 3 2 2 2 4 5" xfId="16815"/>
    <cellStyle name="Normal 10 2 3 2 2 2 5" xfId="5592"/>
    <cellStyle name="Normal 10 2 3 2 2 2 5 2" xfId="7702"/>
    <cellStyle name="Normal 10 2 3 2 2 2 5 2 2" xfId="11403"/>
    <cellStyle name="Normal 10 2 3 2 2 2 5 2 2 2" xfId="22525"/>
    <cellStyle name="Normal 10 2 3 2 2 2 5 2 3" xfId="15102"/>
    <cellStyle name="Normal 10 2 3 2 2 2 5 2 3 2" xfId="26219"/>
    <cellStyle name="Normal 10 2 3 2 2 2 5 2 4" xfId="18831"/>
    <cellStyle name="Normal 10 2 3 2 2 2 5 3" xfId="9556"/>
    <cellStyle name="Normal 10 2 3 2 2 2 5 3 2" xfId="20678"/>
    <cellStyle name="Normal 10 2 3 2 2 2 5 4" xfId="13255"/>
    <cellStyle name="Normal 10 2 3 2 2 2 5 4 2" xfId="24372"/>
    <cellStyle name="Normal 10 2 3 2 2 2 5 5" xfId="16984"/>
    <cellStyle name="Normal 10 2 3 2 2 2 6" xfId="6614"/>
    <cellStyle name="Normal 10 2 3 2 2 2 6 2" xfId="10316"/>
    <cellStyle name="Normal 10 2 3 2 2 2 6 2 2" xfId="21438"/>
    <cellStyle name="Normal 10 2 3 2 2 2 6 3" xfId="14015"/>
    <cellStyle name="Normal 10 2 3 2 2 2 6 3 2" xfId="25132"/>
    <cellStyle name="Normal 10 2 3 2 2 2 6 4" xfId="17744"/>
    <cellStyle name="Normal 10 2 3 2 2 2 7" xfId="8468"/>
    <cellStyle name="Normal 10 2 3 2 2 2 7 2" xfId="19591"/>
    <cellStyle name="Normal 10 2 3 2 2 2 8" xfId="12168"/>
    <cellStyle name="Normal 10 2 3 2 2 2 8 2" xfId="23285"/>
    <cellStyle name="Normal 10 2 3 2 2 2 9" xfId="15897"/>
    <cellStyle name="Normal 10 2 3 2 2 3" xfId="1930"/>
    <cellStyle name="Normal 10 2 3 2 2 3 2" xfId="3259"/>
    <cellStyle name="Normal 10 2 3 2 2 3 2 2" xfId="6784"/>
    <cellStyle name="Normal 10 2 3 2 2 3 2 2 2" xfId="10486"/>
    <cellStyle name="Normal 10 2 3 2 2 3 2 2 2 2" xfId="21608"/>
    <cellStyle name="Normal 10 2 3 2 2 3 2 2 3" xfId="14185"/>
    <cellStyle name="Normal 10 2 3 2 2 3 2 2 3 2" xfId="25302"/>
    <cellStyle name="Normal 10 2 3 2 2 3 2 2 4" xfId="17914"/>
    <cellStyle name="Normal 10 2 3 2 2 3 2 3" xfId="8638"/>
    <cellStyle name="Normal 10 2 3 2 2 3 2 3 2" xfId="19761"/>
    <cellStyle name="Normal 10 2 3 2 2 3 2 4" xfId="12338"/>
    <cellStyle name="Normal 10 2 3 2 2 3 2 4 2" xfId="23455"/>
    <cellStyle name="Normal 10 2 3 2 2 3 2 5" xfId="16067"/>
    <cellStyle name="Normal 10 2 3 2 2 3 3" xfId="5127"/>
    <cellStyle name="Normal 10 2 3 2 2 3 3 2" xfId="7478"/>
    <cellStyle name="Normal 10 2 3 2 2 3 3 2 2" xfId="11179"/>
    <cellStyle name="Normal 10 2 3 2 2 3 3 2 2 2" xfId="22301"/>
    <cellStyle name="Normal 10 2 3 2 2 3 3 2 3" xfId="14878"/>
    <cellStyle name="Normal 10 2 3 2 2 3 3 2 3 2" xfId="25995"/>
    <cellStyle name="Normal 10 2 3 2 2 3 3 2 4" xfId="18607"/>
    <cellStyle name="Normal 10 2 3 2 2 3 3 3" xfId="9332"/>
    <cellStyle name="Normal 10 2 3 2 2 3 3 3 2" xfId="20454"/>
    <cellStyle name="Normal 10 2 3 2 2 3 3 4" xfId="13031"/>
    <cellStyle name="Normal 10 2 3 2 2 3 3 4 2" xfId="24148"/>
    <cellStyle name="Normal 10 2 3 2 2 3 3 5" xfId="16760"/>
    <cellStyle name="Normal 10 2 3 2 2 3 4" xfId="5594"/>
    <cellStyle name="Normal 10 2 3 2 2 3 4 2" xfId="7704"/>
    <cellStyle name="Normal 10 2 3 2 2 3 4 2 2" xfId="11405"/>
    <cellStyle name="Normal 10 2 3 2 2 3 4 2 2 2" xfId="22527"/>
    <cellStyle name="Normal 10 2 3 2 2 3 4 2 3" xfId="15104"/>
    <cellStyle name="Normal 10 2 3 2 2 3 4 2 3 2" xfId="26221"/>
    <cellStyle name="Normal 10 2 3 2 2 3 4 2 4" xfId="18833"/>
    <cellStyle name="Normal 10 2 3 2 2 3 4 3" xfId="9558"/>
    <cellStyle name="Normal 10 2 3 2 2 3 4 3 2" xfId="20680"/>
    <cellStyle name="Normal 10 2 3 2 2 3 4 4" xfId="13257"/>
    <cellStyle name="Normal 10 2 3 2 2 3 4 4 2" xfId="24374"/>
    <cellStyle name="Normal 10 2 3 2 2 3 4 5" xfId="16986"/>
    <cellStyle name="Normal 10 2 3 2 2 3 5" xfId="6559"/>
    <cellStyle name="Normal 10 2 3 2 2 3 5 2" xfId="10261"/>
    <cellStyle name="Normal 10 2 3 2 2 3 5 2 2" xfId="21383"/>
    <cellStyle name="Normal 10 2 3 2 2 3 5 3" xfId="13960"/>
    <cellStyle name="Normal 10 2 3 2 2 3 5 3 2" xfId="25077"/>
    <cellStyle name="Normal 10 2 3 2 2 3 5 4" xfId="17689"/>
    <cellStyle name="Normal 10 2 3 2 2 3 6" xfId="8413"/>
    <cellStyle name="Normal 10 2 3 2 2 3 6 2" xfId="19536"/>
    <cellStyle name="Normal 10 2 3 2 2 3 7" xfId="12113"/>
    <cellStyle name="Normal 10 2 3 2 2 3 7 2" xfId="23230"/>
    <cellStyle name="Normal 10 2 3 2 2 3 8" xfId="15842"/>
    <cellStyle name="Normal 10 2 3 2 2 4" xfId="3256"/>
    <cellStyle name="Normal 10 2 3 2 2 4 2" xfId="6781"/>
    <cellStyle name="Normal 10 2 3 2 2 4 2 2" xfId="10483"/>
    <cellStyle name="Normal 10 2 3 2 2 4 2 2 2" xfId="21605"/>
    <cellStyle name="Normal 10 2 3 2 2 4 2 3" xfId="14182"/>
    <cellStyle name="Normal 10 2 3 2 2 4 2 3 2" xfId="25299"/>
    <cellStyle name="Normal 10 2 3 2 2 4 2 4" xfId="17911"/>
    <cellStyle name="Normal 10 2 3 2 2 4 3" xfId="8635"/>
    <cellStyle name="Normal 10 2 3 2 2 4 3 2" xfId="19758"/>
    <cellStyle name="Normal 10 2 3 2 2 4 4" xfId="12335"/>
    <cellStyle name="Normal 10 2 3 2 2 4 4 2" xfId="23452"/>
    <cellStyle name="Normal 10 2 3 2 2 4 5" xfId="16064"/>
    <cellStyle name="Normal 10 2 3 2 2 5" xfId="4919"/>
    <cellStyle name="Normal 10 2 3 2 2 5 2" xfId="7270"/>
    <cellStyle name="Normal 10 2 3 2 2 5 2 2" xfId="10971"/>
    <cellStyle name="Normal 10 2 3 2 2 5 2 2 2" xfId="22093"/>
    <cellStyle name="Normal 10 2 3 2 2 5 2 3" xfId="14670"/>
    <cellStyle name="Normal 10 2 3 2 2 5 2 3 2" xfId="25787"/>
    <cellStyle name="Normal 10 2 3 2 2 5 2 4" xfId="18399"/>
    <cellStyle name="Normal 10 2 3 2 2 5 3" xfId="9124"/>
    <cellStyle name="Normal 10 2 3 2 2 5 3 2" xfId="20246"/>
    <cellStyle name="Normal 10 2 3 2 2 5 4" xfId="12823"/>
    <cellStyle name="Normal 10 2 3 2 2 5 4 2" xfId="23940"/>
    <cellStyle name="Normal 10 2 3 2 2 5 5" xfId="16552"/>
    <cellStyle name="Normal 10 2 3 2 2 6" xfId="5591"/>
    <cellStyle name="Normal 10 2 3 2 2 6 2" xfId="7701"/>
    <cellStyle name="Normal 10 2 3 2 2 6 2 2" xfId="11402"/>
    <cellStyle name="Normal 10 2 3 2 2 6 2 2 2" xfId="22524"/>
    <cellStyle name="Normal 10 2 3 2 2 6 2 3" xfId="15101"/>
    <cellStyle name="Normal 10 2 3 2 2 6 2 3 2" xfId="26218"/>
    <cellStyle name="Normal 10 2 3 2 2 6 2 4" xfId="18830"/>
    <cellStyle name="Normal 10 2 3 2 2 6 3" xfId="9555"/>
    <cellStyle name="Normal 10 2 3 2 2 6 3 2" xfId="20677"/>
    <cellStyle name="Normal 10 2 3 2 2 6 4" xfId="13254"/>
    <cellStyle name="Normal 10 2 3 2 2 6 4 2" xfId="24371"/>
    <cellStyle name="Normal 10 2 3 2 2 6 5" xfId="16983"/>
    <cellStyle name="Normal 10 2 3 2 2 7" xfId="6351"/>
    <cellStyle name="Normal 10 2 3 2 2 7 2" xfId="10053"/>
    <cellStyle name="Normal 10 2 3 2 2 7 2 2" xfId="21175"/>
    <cellStyle name="Normal 10 2 3 2 2 7 3" xfId="13752"/>
    <cellStyle name="Normal 10 2 3 2 2 7 3 2" xfId="24869"/>
    <cellStyle name="Normal 10 2 3 2 2 7 4" xfId="17481"/>
    <cellStyle name="Normal 10 2 3 2 2 8" xfId="8205"/>
    <cellStyle name="Normal 10 2 3 2 2 8 2" xfId="19328"/>
    <cellStyle name="Normal 10 2 3 2 2 9" xfId="11905"/>
    <cellStyle name="Normal 10 2 3 2 2 9 2" xfId="23022"/>
    <cellStyle name="Normal 10 2 3 2 3" xfId="2061"/>
    <cellStyle name="Normal 10 2 3 2 3 2" xfId="3261"/>
    <cellStyle name="Normal 10 2 3 2 3 2 2" xfId="5596"/>
    <cellStyle name="Normal 10 2 3 2 3 2 2 2" xfId="7706"/>
    <cellStyle name="Normal 10 2 3 2 3 2 2 2 2" xfId="11407"/>
    <cellStyle name="Normal 10 2 3 2 3 2 2 2 2 2" xfId="22529"/>
    <cellStyle name="Normal 10 2 3 2 3 2 2 2 3" xfId="15106"/>
    <cellStyle name="Normal 10 2 3 2 3 2 2 2 3 2" xfId="26223"/>
    <cellStyle name="Normal 10 2 3 2 3 2 2 2 4" xfId="18835"/>
    <cellStyle name="Normal 10 2 3 2 3 2 2 3" xfId="9560"/>
    <cellStyle name="Normal 10 2 3 2 3 2 2 3 2" xfId="20682"/>
    <cellStyle name="Normal 10 2 3 2 3 2 2 4" xfId="13259"/>
    <cellStyle name="Normal 10 2 3 2 3 2 2 4 2" xfId="24376"/>
    <cellStyle name="Normal 10 2 3 2 3 2 2 5" xfId="16988"/>
    <cellStyle name="Normal 10 2 3 2 3 2 3" xfId="6786"/>
    <cellStyle name="Normal 10 2 3 2 3 2 3 2" xfId="10488"/>
    <cellStyle name="Normal 10 2 3 2 3 2 3 2 2" xfId="21610"/>
    <cellStyle name="Normal 10 2 3 2 3 2 3 3" xfId="14187"/>
    <cellStyle name="Normal 10 2 3 2 3 2 3 3 2" xfId="25304"/>
    <cellStyle name="Normal 10 2 3 2 3 2 3 4" xfId="17916"/>
    <cellStyle name="Normal 10 2 3 2 3 2 4" xfId="8640"/>
    <cellStyle name="Normal 10 2 3 2 3 2 4 2" xfId="19763"/>
    <cellStyle name="Normal 10 2 3 2 3 2 5" xfId="12340"/>
    <cellStyle name="Normal 10 2 3 2 3 2 5 2" xfId="23457"/>
    <cellStyle name="Normal 10 2 3 2 3 2 6" xfId="16069"/>
    <cellStyle name="Normal 10 2 3 2 3 3" xfId="3260"/>
    <cellStyle name="Normal 10 2 3 2 3 3 2" xfId="6785"/>
    <cellStyle name="Normal 10 2 3 2 3 3 2 2" xfId="10487"/>
    <cellStyle name="Normal 10 2 3 2 3 3 2 2 2" xfId="21609"/>
    <cellStyle name="Normal 10 2 3 2 3 3 2 3" xfId="14186"/>
    <cellStyle name="Normal 10 2 3 2 3 3 2 3 2" xfId="25303"/>
    <cellStyle name="Normal 10 2 3 2 3 3 2 4" xfId="17915"/>
    <cellStyle name="Normal 10 2 3 2 3 3 3" xfId="8639"/>
    <cellStyle name="Normal 10 2 3 2 3 3 3 2" xfId="19762"/>
    <cellStyle name="Normal 10 2 3 2 3 3 4" xfId="12339"/>
    <cellStyle name="Normal 10 2 3 2 3 3 4 2" xfId="23456"/>
    <cellStyle name="Normal 10 2 3 2 3 3 5" xfId="16068"/>
    <cellStyle name="Normal 10 2 3 2 3 4" xfId="5181"/>
    <cellStyle name="Normal 10 2 3 2 3 4 2" xfId="7532"/>
    <cellStyle name="Normal 10 2 3 2 3 4 2 2" xfId="11233"/>
    <cellStyle name="Normal 10 2 3 2 3 4 2 2 2" xfId="22355"/>
    <cellStyle name="Normal 10 2 3 2 3 4 2 3" xfId="14932"/>
    <cellStyle name="Normal 10 2 3 2 3 4 2 3 2" xfId="26049"/>
    <cellStyle name="Normal 10 2 3 2 3 4 2 4" xfId="18661"/>
    <cellStyle name="Normal 10 2 3 2 3 4 3" xfId="9386"/>
    <cellStyle name="Normal 10 2 3 2 3 4 3 2" xfId="20508"/>
    <cellStyle name="Normal 10 2 3 2 3 4 4" xfId="13085"/>
    <cellStyle name="Normal 10 2 3 2 3 4 4 2" xfId="24202"/>
    <cellStyle name="Normal 10 2 3 2 3 4 5" xfId="16814"/>
    <cellStyle name="Normal 10 2 3 2 3 5" xfId="5595"/>
    <cellStyle name="Normal 10 2 3 2 3 5 2" xfId="7705"/>
    <cellStyle name="Normal 10 2 3 2 3 5 2 2" xfId="11406"/>
    <cellStyle name="Normal 10 2 3 2 3 5 2 2 2" xfId="22528"/>
    <cellStyle name="Normal 10 2 3 2 3 5 2 3" xfId="15105"/>
    <cellStyle name="Normal 10 2 3 2 3 5 2 3 2" xfId="26222"/>
    <cellStyle name="Normal 10 2 3 2 3 5 2 4" xfId="18834"/>
    <cellStyle name="Normal 10 2 3 2 3 5 3" xfId="9559"/>
    <cellStyle name="Normal 10 2 3 2 3 5 3 2" xfId="20681"/>
    <cellStyle name="Normal 10 2 3 2 3 5 4" xfId="13258"/>
    <cellStyle name="Normal 10 2 3 2 3 5 4 2" xfId="24375"/>
    <cellStyle name="Normal 10 2 3 2 3 5 5" xfId="16987"/>
    <cellStyle name="Normal 10 2 3 2 3 6" xfId="6613"/>
    <cellStyle name="Normal 10 2 3 2 3 6 2" xfId="10315"/>
    <cellStyle name="Normal 10 2 3 2 3 6 2 2" xfId="21437"/>
    <cellStyle name="Normal 10 2 3 2 3 6 3" xfId="14014"/>
    <cellStyle name="Normal 10 2 3 2 3 6 3 2" xfId="25131"/>
    <cellStyle name="Normal 10 2 3 2 3 6 4" xfId="17743"/>
    <cellStyle name="Normal 10 2 3 2 3 7" xfId="8467"/>
    <cellStyle name="Normal 10 2 3 2 3 7 2" xfId="19590"/>
    <cellStyle name="Normal 10 2 3 2 3 8" xfId="12167"/>
    <cellStyle name="Normal 10 2 3 2 3 8 2" xfId="23284"/>
    <cellStyle name="Normal 10 2 3 2 3 9" xfId="15896"/>
    <cellStyle name="Normal 10 2 3 2 4" xfId="1824"/>
    <cellStyle name="Normal 10 2 3 2 4 2" xfId="3262"/>
    <cellStyle name="Normal 10 2 3 2 4 2 2" xfId="6787"/>
    <cellStyle name="Normal 10 2 3 2 4 2 2 2" xfId="10489"/>
    <cellStyle name="Normal 10 2 3 2 4 2 2 2 2" xfId="21611"/>
    <cellStyle name="Normal 10 2 3 2 4 2 2 3" xfId="14188"/>
    <cellStyle name="Normal 10 2 3 2 4 2 2 3 2" xfId="25305"/>
    <cellStyle name="Normal 10 2 3 2 4 2 2 4" xfId="17917"/>
    <cellStyle name="Normal 10 2 3 2 4 2 3" xfId="8641"/>
    <cellStyle name="Normal 10 2 3 2 4 2 3 2" xfId="19764"/>
    <cellStyle name="Normal 10 2 3 2 4 2 4" xfId="12341"/>
    <cellStyle name="Normal 10 2 3 2 4 2 4 2" xfId="23458"/>
    <cellStyle name="Normal 10 2 3 2 4 2 5" xfId="16070"/>
    <cellStyle name="Normal 10 2 3 2 4 3" xfId="5021"/>
    <cellStyle name="Normal 10 2 3 2 4 3 2" xfId="7372"/>
    <cellStyle name="Normal 10 2 3 2 4 3 2 2" xfId="11073"/>
    <cellStyle name="Normal 10 2 3 2 4 3 2 2 2" xfId="22195"/>
    <cellStyle name="Normal 10 2 3 2 4 3 2 3" xfId="14772"/>
    <cellStyle name="Normal 10 2 3 2 4 3 2 3 2" xfId="25889"/>
    <cellStyle name="Normal 10 2 3 2 4 3 2 4" xfId="18501"/>
    <cellStyle name="Normal 10 2 3 2 4 3 3" xfId="9226"/>
    <cellStyle name="Normal 10 2 3 2 4 3 3 2" xfId="20348"/>
    <cellStyle name="Normal 10 2 3 2 4 3 4" xfId="12925"/>
    <cellStyle name="Normal 10 2 3 2 4 3 4 2" xfId="24042"/>
    <cellStyle name="Normal 10 2 3 2 4 3 5" xfId="16654"/>
    <cellStyle name="Normal 10 2 3 2 4 4" xfId="5597"/>
    <cellStyle name="Normal 10 2 3 2 4 4 2" xfId="7707"/>
    <cellStyle name="Normal 10 2 3 2 4 4 2 2" xfId="11408"/>
    <cellStyle name="Normal 10 2 3 2 4 4 2 2 2" xfId="22530"/>
    <cellStyle name="Normal 10 2 3 2 4 4 2 3" xfId="15107"/>
    <cellStyle name="Normal 10 2 3 2 4 4 2 3 2" xfId="26224"/>
    <cellStyle name="Normal 10 2 3 2 4 4 2 4" xfId="18836"/>
    <cellStyle name="Normal 10 2 3 2 4 4 3" xfId="9561"/>
    <cellStyle name="Normal 10 2 3 2 4 4 3 2" xfId="20683"/>
    <cellStyle name="Normal 10 2 3 2 4 4 4" xfId="13260"/>
    <cellStyle name="Normal 10 2 3 2 4 4 4 2" xfId="24377"/>
    <cellStyle name="Normal 10 2 3 2 4 4 5" xfId="16989"/>
    <cellStyle name="Normal 10 2 3 2 4 5" xfId="6453"/>
    <cellStyle name="Normal 10 2 3 2 4 5 2" xfId="10155"/>
    <cellStyle name="Normal 10 2 3 2 4 5 2 2" xfId="21277"/>
    <cellStyle name="Normal 10 2 3 2 4 5 3" xfId="13854"/>
    <cellStyle name="Normal 10 2 3 2 4 5 3 2" xfId="24971"/>
    <cellStyle name="Normal 10 2 3 2 4 5 4" xfId="17583"/>
    <cellStyle name="Normal 10 2 3 2 4 6" xfId="8307"/>
    <cellStyle name="Normal 10 2 3 2 4 6 2" xfId="19430"/>
    <cellStyle name="Normal 10 2 3 2 4 7" xfId="12007"/>
    <cellStyle name="Normal 10 2 3 2 4 7 2" xfId="23124"/>
    <cellStyle name="Normal 10 2 3 2 4 8" xfId="15736"/>
    <cellStyle name="Normal 10 2 3 2 5" xfId="3255"/>
    <cellStyle name="Normal 10 2 3 2 5 2" xfId="6780"/>
    <cellStyle name="Normal 10 2 3 2 5 2 2" xfId="10482"/>
    <cellStyle name="Normal 10 2 3 2 5 2 2 2" xfId="21604"/>
    <cellStyle name="Normal 10 2 3 2 5 2 3" xfId="14181"/>
    <cellStyle name="Normal 10 2 3 2 5 2 3 2" xfId="25298"/>
    <cellStyle name="Normal 10 2 3 2 5 2 4" xfId="17910"/>
    <cellStyle name="Normal 10 2 3 2 5 3" xfId="8634"/>
    <cellStyle name="Normal 10 2 3 2 5 3 2" xfId="19757"/>
    <cellStyle name="Normal 10 2 3 2 5 4" xfId="12334"/>
    <cellStyle name="Normal 10 2 3 2 5 4 2" xfId="23451"/>
    <cellStyle name="Normal 10 2 3 2 5 5" xfId="16063"/>
    <cellStyle name="Normal 10 2 3 2 6" xfId="4813"/>
    <cellStyle name="Normal 10 2 3 2 6 2" xfId="7164"/>
    <cellStyle name="Normal 10 2 3 2 6 2 2" xfId="10865"/>
    <cellStyle name="Normal 10 2 3 2 6 2 2 2" xfId="21987"/>
    <cellStyle name="Normal 10 2 3 2 6 2 3" xfId="14564"/>
    <cellStyle name="Normal 10 2 3 2 6 2 3 2" xfId="25681"/>
    <cellStyle name="Normal 10 2 3 2 6 2 4" xfId="18293"/>
    <cellStyle name="Normal 10 2 3 2 6 3" xfId="9018"/>
    <cellStyle name="Normal 10 2 3 2 6 3 2" xfId="20140"/>
    <cellStyle name="Normal 10 2 3 2 6 4" xfId="12717"/>
    <cellStyle name="Normal 10 2 3 2 6 4 2" xfId="23834"/>
    <cellStyle name="Normal 10 2 3 2 6 5" xfId="16446"/>
    <cellStyle name="Normal 10 2 3 2 7" xfId="5590"/>
    <cellStyle name="Normal 10 2 3 2 7 2" xfId="7700"/>
    <cellStyle name="Normal 10 2 3 2 7 2 2" xfId="11401"/>
    <cellStyle name="Normal 10 2 3 2 7 2 2 2" xfId="22523"/>
    <cellStyle name="Normal 10 2 3 2 7 2 3" xfId="15100"/>
    <cellStyle name="Normal 10 2 3 2 7 2 3 2" xfId="26217"/>
    <cellStyle name="Normal 10 2 3 2 7 2 4" xfId="18829"/>
    <cellStyle name="Normal 10 2 3 2 7 3" xfId="9554"/>
    <cellStyle name="Normal 10 2 3 2 7 3 2" xfId="20676"/>
    <cellStyle name="Normal 10 2 3 2 7 4" xfId="13253"/>
    <cellStyle name="Normal 10 2 3 2 7 4 2" xfId="24370"/>
    <cellStyle name="Normal 10 2 3 2 7 5" xfId="16982"/>
    <cellStyle name="Normal 10 2 3 2 8" xfId="6245"/>
    <cellStyle name="Normal 10 2 3 2 8 2" xfId="9947"/>
    <cellStyle name="Normal 10 2 3 2 8 2 2" xfId="21069"/>
    <cellStyle name="Normal 10 2 3 2 8 3" xfId="13646"/>
    <cellStyle name="Normal 10 2 3 2 8 3 2" xfId="24763"/>
    <cellStyle name="Normal 10 2 3 2 8 4" xfId="17375"/>
    <cellStyle name="Normal 10 2 3 2 9" xfId="8099"/>
    <cellStyle name="Normal 10 2 3 2 9 2" xfId="19222"/>
    <cellStyle name="Normal 10 2 3 3" xfId="1665"/>
    <cellStyle name="Normal 10 2 3 3 10" xfId="15581"/>
    <cellStyle name="Normal 10 2 3 3 2" xfId="2063"/>
    <cellStyle name="Normal 10 2 3 3 2 2" xfId="3265"/>
    <cellStyle name="Normal 10 2 3 3 2 2 2" xfId="5600"/>
    <cellStyle name="Normal 10 2 3 3 2 2 2 2" xfId="7710"/>
    <cellStyle name="Normal 10 2 3 3 2 2 2 2 2" xfId="11411"/>
    <cellStyle name="Normal 10 2 3 3 2 2 2 2 2 2" xfId="22533"/>
    <cellStyle name="Normal 10 2 3 3 2 2 2 2 3" xfId="15110"/>
    <cellStyle name="Normal 10 2 3 3 2 2 2 2 3 2" xfId="26227"/>
    <cellStyle name="Normal 10 2 3 3 2 2 2 2 4" xfId="18839"/>
    <cellStyle name="Normal 10 2 3 3 2 2 2 3" xfId="9564"/>
    <cellStyle name="Normal 10 2 3 3 2 2 2 3 2" xfId="20686"/>
    <cellStyle name="Normal 10 2 3 3 2 2 2 4" xfId="13263"/>
    <cellStyle name="Normal 10 2 3 3 2 2 2 4 2" xfId="24380"/>
    <cellStyle name="Normal 10 2 3 3 2 2 2 5" xfId="16992"/>
    <cellStyle name="Normal 10 2 3 3 2 2 3" xfId="6790"/>
    <cellStyle name="Normal 10 2 3 3 2 2 3 2" xfId="10492"/>
    <cellStyle name="Normal 10 2 3 3 2 2 3 2 2" xfId="21614"/>
    <cellStyle name="Normal 10 2 3 3 2 2 3 3" xfId="14191"/>
    <cellStyle name="Normal 10 2 3 3 2 2 3 3 2" xfId="25308"/>
    <cellStyle name="Normal 10 2 3 3 2 2 3 4" xfId="17920"/>
    <cellStyle name="Normal 10 2 3 3 2 2 4" xfId="8644"/>
    <cellStyle name="Normal 10 2 3 3 2 2 4 2" xfId="19767"/>
    <cellStyle name="Normal 10 2 3 3 2 2 5" xfId="12344"/>
    <cellStyle name="Normal 10 2 3 3 2 2 5 2" xfId="23461"/>
    <cellStyle name="Normal 10 2 3 3 2 2 6" xfId="16073"/>
    <cellStyle name="Normal 10 2 3 3 2 3" xfId="3264"/>
    <cellStyle name="Normal 10 2 3 3 2 3 2" xfId="6789"/>
    <cellStyle name="Normal 10 2 3 3 2 3 2 2" xfId="10491"/>
    <cellStyle name="Normal 10 2 3 3 2 3 2 2 2" xfId="21613"/>
    <cellStyle name="Normal 10 2 3 3 2 3 2 3" xfId="14190"/>
    <cellStyle name="Normal 10 2 3 3 2 3 2 3 2" xfId="25307"/>
    <cellStyle name="Normal 10 2 3 3 2 3 2 4" xfId="17919"/>
    <cellStyle name="Normal 10 2 3 3 2 3 3" xfId="8643"/>
    <cellStyle name="Normal 10 2 3 3 2 3 3 2" xfId="19766"/>
    <cellStyle name="Normal 10 2 3 3 2 3 4" xfId="12343"/>
    <cellStyle name="Normal 10 2 3 3 2 3 4 2" xfId="23460"/>
    <cellStyle name="Normal 10 2 3 3 2 3 5" xfId="16072"/>
    <cellStyle name="Normal 10 2 3 3 2 4" xfId="5183"/>
    <cellStyle name="Normal 10 2 3 3 2 4 2" xfId="7534"/>
    <cellStyle name="Normal 10 2 3 3 2 4 2 2" xfId="11235"/>
    <cellStyle name="Normal 10 2 3 3 2 4 2 2 2" xfId="22357"/>
    <cellStyle name="Normal 10 2 3 3 2 4 2 3" xfId="14934"/>
    <cellStyle name="Normal 10 2 3 3 2 4 2 3 2" xfId="26051"/>
    <cellStyle name="Normal 10 2 3 3 2 4 2 4" xfId="18663"/>
    <cellStyle name="Normal 10 2 3 3 2 4 3" xfId="9388"/>
    <cellStyle name="Normal 10 2 3 3 2 4 3 2" xfId="20510"/>
    <cellStyle name="Normal 10 2 3 3 2 4 4" xfId="13087"/>
    <cellStyle name="Normal 10 2 3 3 2 4 4 2" xfId="24204"/>
    <cellStyle name="Normal 10 2 3 3 2 4 5" xfId="16816"/>
    <cellStyle name="Normal 10 2 3 3 2 5" xfId="5599"/>
    <cellStyle name="Normal 10 2 3 3 2 5 2" xfId="7709"/>
    <cellStyle name="Normal 10 2 3 3 2 5 2 2" xfId="11410"/>
    <cellStyle name="Normal 10 2 3 3 2 5 2 2 2" xfId="22532"/>
    <cellStyle name="Normal 10 2 3 3 2 5 2 3" xfId="15109"/>
    <cellStyle name="Normal 10 2 3 3 2 5 2 3 2" xfId="26226"/>
    <cellStyle name="Normal 10 2 3 3 2 5 2 4" xfId="18838"/>
    <cellStyle name="Normal 10 2 3 3 2 5 3" xfId="9563"/>
    <cellStyle name="Normal 10 2 3 3 2 5 3 2" xfId="20685"/>
    <cellStyle name="Normal 10 2 3 3 2 5 4" xfId="13262"/>
    <cellStyle name="Normal 10 2 3 3 2 5 4 2" xfId="24379"/>
    <cellStyle name="Normal 10 2 3 3 2 5 5" xfId="16991"/>
    <cellStyle name="Normal 10 2 3 3 2 6" xfId="6615"/>
    <cellStyle name="Normal 10 2 3 3 2 6 2" xfId="10317"/>
    <cellStyle name="Normal 10 2 3 3 2 6 2 2" xfId="21439"/>
    <cellStyle name="Normal 10 2 3 3 2 6 3" xfId="14016"/>
    <cellStyle name="Normal 10 2 3 3 2 6 3 2" xfId="25133"/>
    <cellStyle name="Normal 10 2 3 3 2 6 4" xfId="17745"/>
    <cellStyle name="Normal 10 2 3 3 2 7" xfId="8469"/>
    <cellStyle name="Normal 10 2 3 3 2 7 2" xfId="19592"/>
    <cellStyle name="Normal 10 2 3 3 2 8" xfId="12169"/>
    <cellStyle name="Normal 10 2 3 3 2 8 2" xfId="23286"/>
    <cellStyle name="Normal 10 2 3 3 2 9" xfId="15898"/>
    <cellStyle name="Normal 10 2 3 3 3" xfId="1877"/>
    <cellStyle name="Normal 10 2 3 3 3 2" xfId="3266"/>
    <cellStyle name="Normal 10 2 3 3 3 2 2" xfId="6791"/>
    <cellStyle name="Normal 10 2 3 3 3 2 2 2" xfId="10493"/>
    <cellStyle name="Normal 10 2 3 3 3 2 2 2 2" xfId="21615"/>
    <cellStyle name="Normal 10 2 3 3 3 2 2 3" xfId="14192"/>
    <cellStyle name="Normal 10 2 3 3 3 2 2 3 2" xfId="25309"/>
    <cellStyle name="Normal 10 2 3 3 3 2 2 4" xfId="17921"/>
    <cellStyle name="Normal 10 2 3 3 3 2 3" xfId="8645"/>
    <cellStyle name="Normal 10 2 3 3 3 2 3 2" xfId="19768"/>
    <cellStyle name="Normal 10 2 3 3 3 2 4" xfId="12345"/>
    <cellStyle name="Normal 10 2 3 3 3 2 4 2" xfId="23462"/>
    <cellStyle name="Normal 10 2 3 3 3 2 5" xfId="16074"/>
    <cellStyle name="Normal 10 2 3 3 3 3" xfId="5074"/>
    <cellStyle name="Normal 10 2 3 3 3 3 2" xfId="7425"/>
    <cellStyle name="Normal 10 2 3 3 3 3 2 2" xfId="11126"/>
    <cellStyle name="Normal 10 2 3 3 3 3 2 2 2" xfId="22248"/>
    <cellStyle name="Normal 10 2 3 3 3 3 2 3" xfId="14825"/>
    <cellStyle name="Normal 10 2 3 3 3 3 2 3 2" xfId="25942"/>
    <cellStyle name="Normal 10 2 3 3 3 3 2 4" xfId="18554"/>
    <cellStyle name="Normal 10 2 3 3 3 3 3" xfId="9279"/>
    <cellStyle name="Normal 10 2 3 3 3 3 3 2" xfId="20401"/>
    <cellStyle name="Normal 10 2 3 3 3 3 4" xfId="12978"/>
    <cellStyle name="Normal 10 2 3 3 3 3 4 2" xfId="24095"/>
    <cellStyle name="Normal 10 2 3 3 3 3 5" xfId="16707"/>
    <cellStyle name="Normal 10 2 3 3 3 4" xfId="5601"/>
    <cellStyle name="Normal 10 2 3 3 3 4 2" xfId="7711"/>
    <cellStyle name="Normal 10 2 3 3 3 4 2 2" xfId="11412"/>
    <cellStyle name="Normal 10 2 3 3 3 4 2 2 2" xfId="22534"/>
    <cellStyle name="Normal 10 2 3 3 3 4 2 3" xfId="15111"/>
    <cellStyle name="Normal 10 2 3 3 3 4 2 3 2" xfId="26228"/>
    <cellStyle name="Normal 10 2 3 3 3 4 2 4" xfId="18840"/>
    <cellStyle name="Normal 10 2 3 3 3 4 3" xfId="9565"/>
    <cellStyle name="Normal 10 2 3 3 3 4 3 2" xfId="20687"/>
    <cellStyle name="Normal 10 2 3 3 3 4 4" xfId="13264"/>
    <cellStyle name="Normal 10 2 3 3 3 4 4 2" xfId="24381"/>
    <cellStyle name="Normal 10 2 3 3 3 4 5" xfId="16993"/>
    <cellStyle name="Normal 10 2 3 3 3 5" xfId="6506"/>
    <cellStyle name="Normal 10 2 3 3 3 5 2" xfId="10208"/>
    <cellStyle name="Normal 10 2 3 3 3 5 2 2" xfId="21330"/>
    <cellStyle name="Normal 10 2 3 3 3 5 3" xfId="13907"/>
    <cellStyle name="Normal 10 2 3 3 3 5 3 2" xfId="25024"/>
    <cellStyle name="Normal 10 2 3 3 3 5 4" xfId="17636"/>
    <cellStyle name="Normal 10 2 3 3 3 6" xfId="8360"/>
    <cellStyle name="Normal 10 2 3 3 3 6 2" xfId="19483"/>
    <cellStyle name="Normal 10 2 3 3 3 7" xfId="12060"/>
    <cellStyle name="Normal 10 2 3 3 3 7 2" xfId="23177"/>
    <cellStyle name="Normal 10 2 3 3 3 8" xfId="15789"/>
    <cellStyle name="Normal 10 2 3 3 4" xfId="3263"/>
    <cellStyle name="Normal 10 2 3 3 4 2" xfId="6788"/>
    <cellStyle name="Normal 10 2 3 3 4 2 2" xfId="10490"/>
    <cellStyle name="Normal 10 2 3 3 4 2 2 2" xfId="21612"/>
    <cellStyle name="Normal 10 2 3 3 4 2 3" xfId="14189"/>
    <cellStyle name="Normal 10 2 3 3 4 2 3 2" xfId="25306"/>
    <cellStyle name="Normal 10 2 3 3 4 2 4" xfId="17918"/>
    <cellStyle name="Normal 10 2 3 3 4 3" xfId="8642"/>
    <cellStyle name="Normal 10 2 3 3 4 3 2" xfId="19765"/>
    <cellStyle name="Normal 10 2 3 3 4 4" xfId="12342"/>
    <cellStyle name="Normal 10 2 3 3 4 4 2" xfId="23459"/>
    <cellStyle name="Normal 10 2 3 3 4 5" xfId="16071"/>
    <cellStyle name="Normal 10 2 3 3 5" xfId="4866"/>
    <cellStyle name="Normal 10 2 3 3 5 2" xfId="7217"/>
    <cellStyle name="Normal 10 2 3 3 5 2 2" xfId="10918"/>
    <cellStyle name="Normal 10 2 3 3 5 2 2 2" xfId="22040"/>
    <cellStyle name="Normal 10 2 3 3 5 2 3" xfId="14617"/>
    <cellStyle name="Normal 10 2 3 3 5 2 3 2" xfId="25734"/>
    <cellStyle name="Normal 10 2 3 3 5 2 4" xfId="18346"/>
    <cellStyle name="Normal 10 2 3 3 5 3" xfId="9071"/>
    <cellStyle name="Normal 10 2 3 3 5 3 2" xfId="20193"/>
    <cellStyle name="Normal 10 2 3 3 5 4" xfId="12770"/>
    <cellStyle name="Normal 10 2 3 3 5 4 2" xfId="23887"/>
    <cellStyle name="Normal 10 2 3 3 5 5" xfId="16499"/>
    <cellStyle name="Normal 10 2 3 3 6" xfId="5598"/>
    <cellStyle name="Normal 10 2 3 3 6 2" xfId="7708"/>
    <cellStyle name="Normal 10 2 3 3 6 2 2" xfId="11409"/>
    <cellStyle name="Normal 10 2 3 3 6 2 2 2" xfId="22531"/>
    <cellStyle name="Normal 10 2 3 3 6 2 3" xfId="15108"/>
    <cellStyle name="Normal 10 2 3 3 6 2 3 2" xfId="26225"/>
    <cellStyle name="Normal 10 2 3 3 6 2 4" xfId="18837"/>
    <cellStyle name="Normal 10 2 3 3 6 3" xfId="9562"/>
    <cellStyle name="Normal 10 2 3 3 6 3 2" xfId="20684"/>
    <cellStyle name="Normal 10 2 3 3 6 4" xfId="13261"/>
    <cellStyle name="Normal 10 2 3 3 6 4 2" xfId="24378"/>
    <cellStyle name="Normal 10 2 3 3 6 5" xfId="16990"/>
    <cellStyle name="Normal 10 2 3 3 7" xfId="6298"/>
    <cellStyle name="Normal 10 2 3 3 7 2" xfId="10000"/>
    <cellStyle name="Normal 10 2 3 3 7 2 2" xfId="21122"/>
    <cellStyle name="Normal 10 2 3 3 7 3" xfId="13699"/>
    <cellStyle name="Normal 10 2 3 3 7 3 2" xfId="24816"/>
    <cellStyle name="Normal 10 2 3 3 7 4" xfId="17428"/>
    <cellStyle name="Normal 10 2 3 3 8" xfId="8152"/>
    <cellStyle name="Normal 10 2 3 3 8 2" xfId="19275"/>
    <cellStyle name="Normal 10 2 3 3 9" xfId="11852"/>
    <cellStyle name="Normal 10 2 3 3 9 2" xfId="22969"/>
    <cellStyle name="Normal 10 2 3 4" xfId="2060"/>
    <cellStyle name="Normal 10 2 3 4 2" xfId="3268"/>
    <cellStyle name="Normal 10 2 3 4 2 2" xfId="5603"/>
    <cellStyle name="Normal 10 2 3 4 2 2 2" xfId="7713"/>
    <cellStyle name="Normal 10 2 3 4 2 2 2 2" xfId="11414"/>
    <cellStyle name="Normal 10 2 3 4 2 2 2 2 2" xfId="22536"/>
    <cellStyle name="Normal 10 2 3 4 2 2 2 3" xfId="15113"/>
    <cellStyle name="Normal 10 2 3 4 2 2 2 3 2" xfId="26230"/>
    <cellStyle name="Normal 10 2 3 4 2 2 2 4" xfId="18842"/>
    <cellStyle name="Normal 10 2 3 4 2 2 3" xfId="9567"/>
    <cellStyle name="Normal 10 2 3 4 2 2 3 2" xfId="20689"/>
    <cellStyle name="Normal 10 2 3 4 2 2 4" xfId="13266"/>
    <cellStyle name="Normal 10 2 3 4 2 2 4 2" xfId="24383"/>
    <cellStyle name="Normal 10 2 3 4 2 2 5" xfId="16995"/>
    <cellStyle name="Normal 10 2 3 4 2 3" xfId="6793"/>
    <cellStyle name="Normal 10 2 3 4 2 3 2" xfId="10495"/>
    <cellStyle name="Normal 10 2 3 4 2 3 2 2" xfId="21617"/>
    <cellStyle name="Normal 10 2 3 4 2 3 3" xfId="14194"/>
    <cellStyle name="Normal 10 2 3 4 2 3 3 2" xfId="25311"/>
    <cellStyle name="Normal 10 2 3 4 2 3 4" xfId="17923"/>
    <cellStyle name="Normal 10 2 3 4 2 4" xfId="8647"/>
    <cellStyle name="Normal 10 2 3 4 2 4 2" xfId="19770"/>
    <cellStyle name="Normal 10 2 3 4 2 5" xfId="12347"/>
    <cellStyle name="Normal 10 2 3 4 2 5 2" xfId="23464"/>
    <cellStyle name="Normal 10 2 3 4 2 6" xfId="16076"/>
    <cellStyle name="Normal 10 2 3 4 3" xfId="3267"/>
    <cellStyle name="Normal 10 2 3 4 3 2" xfId="6792"/>
    <cellStyle name="Normal 10 2 3 4 3 2 2" xfId="10494"/>
    <cellStyle name="Normal 10 2 3 4 3 2 2 2" xfId="21616"/>
    <cellStyle name="Normal 10 2 3 4 3 2 3" xfId="14193"/>
    <cellStyle name="Normal 10 2 3 4 3 2 3 2" xfId="25310"/>
    <cellStyle name="Normal 10 2 3 4 3 2 4" xfId="17922"/>
    <cellStyle name="Normal 10 2 3 4 3 3" xfId="8646"/>
    <cellStyle name="Normal 10 2 3 4 3 3 2" xfId="19769"/>
    <cellStyle name="Normal 10 2 3 4 3 4" xfId="12346"/>
    <cellStyle name="Normal 10 2 3 4 3 4 2" xfId="23463"/>
    <cellStyle name="Normal 10 2 3 4 3 5" xfId="16075"/>
    <cellStyle name="Normal 10 2 3 4 4" xfId="5180"/>
    <cellStyle name="Normal 10 2 3 4 4 2" xfId="7531"/>
    <cellStyle name="Normal 10 2 3 4 4 2 2" xfId="11232"/>
    <cellStyle name="Normal 10 2 3 4 4 2 2 2" xfId="22354"/>
    <cellStyle name="Normal 10 2 3 4 4 2 3" xfId="14931"/>
    <cellStyle name="Normal 10 2 3 4 4 2 3 2" xfId="26048"/>
    <cellStyle name="Normal 10 2 3 4 4 2 4" xfId="18660"/>
    <cellStyle name="Normal 10 2 3 4 4 3" xfId="9385"/>
    <cellStyle name="Normal 10 2 3 4 4 3 2" xfId="20507"/>
    <cellStyle name="Normal 10 2 3 4 4 4" xfId="13084"/>
    <cellStyle name="Normal 10 2 3 4 4 4 2" xfId="24201"/>
    <cellStyle name="Normal 10 2 3 4 4 5" xfId="16813"/>
    <cellStyle name="Normal 10 2 3 4 5" xfId="5602"/>
    <cellStyle name="Normal 10 2 3 4 5 2" xfId="7712"/>
    <cellStyle name="Normal 10 2 3 4 5 2 2" xfId="11413"/>
    <cellStyle name="Normal 10 2 3 4 5 2 2 2" xfId="22535"/>
    <cellStyle name="Normal 10 2 3 4 5 2 3" xfId="15112"/>
    <cellStyle name="Normal 10 2 3 4 5 2 3 2" xfId="26229"/>
    <cellStyle name="Normal 10 2 3 4 5 2 4" xfId="18841"/>
    <cellStyle name="Normal 10 2 3 4 5 3" xfId="9566"/>
    <cellStyle name="Normal 10 2 3 4 5 3 2" xfId="20688"/>
    <cellStyle name="Normal 10 2 3 4 5 4" xfId="13265"/>
    <cellStyle name="Normal 10 2 3 4 5 4 2" xfId="24382"/>
    <cellStyle name="Normal 10 2 3 4 5 5" xfId="16994"/>
    <cellStyle name="Normal 10 2 3 4 6" xfId="6612"/>
    <cellStyle name="Normal 10 2 3 4 6 2" xfId="10314"/>
    <cellStyle name="Normal 10 2 3 4 6 2 2" xfId="21436"/>
    <cellStyle name="Normal 10 2 3 4 6 3" xfId="14013"/>
    <cellStyle name="Normal 10 2 3 4 6 3 2" xfId="25130"/>
    <cellStyle name="Normal 10 2 3 4 6 4" xfId="17742"/>
    <cellStyle name="Normal 10 2 3 4 7" xfId="8466"/>
    <cellStyle name="Normal 10 2 3 4 7 2" xfId="19589"/>
    <cellStyle name="Normal 10 2 3 4 8" xfId="12166"/>
    <cellStyle name="Normal 10 2 3 4 8 2" xfId="23283"/>
    <cellStyle name="Normal 10 2 3 4 9" xfId="15895"/>
    <cellStyle name="Normal 10 2 3 5" xfId="1773"/>
    <cellStyle name="Normal 10 2 3 5 2" xfId="3269"/>
    <cellStyle name="Normal 10 2 3 5 2 2" xfId="6794"/>
    <cellStyle name="Normal 10 2 3 5 2 2 2" xfId="10496"/>
    <cellStyle name="Normal 10 2 3 5 2 2 2 2" xfId="21618"/>
    <cellStyle name="Normal 10 2 3 5 2 2 3" xfId="14195"/>
    <cellStyle name="Normal 10 2 3 5 2 2 3 2" xfId="25312"/>
    <cellStyle name="Normal 10 2 3 5 2 2 4" xfId="17924"/>
    <cellStyle name="Normal 10 2 3 5 2 3" xfId="8648"/>
    <cellStyle name="Normal 10 2 3 5 2 3 2" xfId="19771"/>
    <cellStyle name="Normal 10 2 3 5 2 4" xfId="12348"/>
    <cellStyle name="Normal 10 2 3 5 2 4 2" xfId="23465"/>
    <cellStyle name="Normal 10 2 3 5 2 5" xfId="16077"/>
    <cellStyle name="Normal 10 2 3 5 3" xfId="4970"/>
    <cellStyle name="Normal 10 2 3 5 3 2" xfId="7321"/>
    <cellStyle name="Normal 10 2 3 5 3 2 2" xfId="11022"/>
    <cellStyle name="Normal 10 2 3 5 3 2 2 2" xfId="22144"/>
    <cellStyle name="Normal 10 2 3 5 3 2 3" xfId="14721"/>
    <cellStyle name="Normal 10 2 3 5 3 2 3 2" xfId="25838"/>
    <cellStyle name="Normal 10 2 3 5 3 2 4" xfId="18450"/>
    <cellStyle name="Normal 10 2 3 5 3 3" xfId="9175"/>
    <cellStyle name="Normal 10 2 3 5 3 3 2" xfId="20297"/>
    <cellStyle name="Normal 10 2 3 5 3 4" xfId="12874"/>
    <cellStyle name="Normal 10 2 3 5 3 4 2" xfId="23991"/>
    <cellStyle name="Normal 10 2 3 5 3 5" xfId="16603"/>
    <cellStyle name="Normal 10 2 3 5 4" xfId="5604"/>
    <cellStyle name="Normal 10 2 3 5 4 2" xfId="7714"/>
    <cellStyle name="Normal 10 2 3 5 4 2 2" xfId="11415"/>
    <cellStyle name="Normal 10 2 3 5 4 2 2 2" xfId="22537"/>
    <cellStyle name="Normal 10 2 3 5 4 2 3" xfId="15114"/>
    <cellStyle name="Normal 10 2 3 5 4 2 3 2" xfId="26231"/>
    <cellStyle name="Normal 10 2 3 5 4 2 4" xfId="18843"/>
    <cellStyle name="Normal 10 2 3 5 4 3" xfId="9568"/>
    <cellStyle name="Normal 10 2 3 5 4 3 2" xfId="20690"/>
    <cellStyle name="Normal 10 2 3 5 4 4" xfId="13267"/>
    <cellStyle name="Normal 10 2 3 5 4 4 2" xfId="24384"/>
    <cellStyle name="Normal 10 2 3 5 4 5" xfId="16996"/>
    <cellStyle name="Normal 10 2 3 5 5" xfId="6402"/>
    <cellStyle name="Normal 10 2 3 5 5 2" xfId="10104"/>
    <cellStyle name="Normal 10 2 3 5 5 2 2" xfId="21226"/>
    <cellStyle name="Normal 10 2 3 5 5 3" xfId="13803"/>
    <cellStyle name="Normal 10 2 3 5 5 3 2" xfId="24920"/>
    <cellStyle name="Normal 10 2 3 5 5 4" xfId="17532"/>
    <cellStyle name="Normal 10 2 3 5 6" xfId="8256"/>
    <cellStyle name="Normal 10 2 3 5 6 2" xfId="19379"/>
    <cellStyle name="Normal 10 2 3 5 7" xfId="11956"/>
    <cellStyle name="Normal 10 2 3 5 7 2" xfId="23073"/>
    <cellStyle name="Normal 10 2 3 5 8" xfId="15685"/>
    <cellStyle name="Normal 10 2 3 6" xfId="4677"/>
    <cellStyle name="Normal 10 2 3 7" xfId="3254"/>
    <cellStyle name="Normal 10 2 3 7 2" xfId="6779"/>
    <cellStyle name="Normal 10 2 3 7 2 2" xfId="10481"/>
    <cellStyle name="Normal 10 2 3 7 2 2 2" xfId="21603"/>
    <cellStyle name="Normal 10 2 3 7 2 3" xfId="14180"/>
    <cellStyle name="Normal 10 2 3 7 2 3 2" xfId="25297"/>
    <cellStyle name="Normal 10 2 3 7 2 4" xfId="17909"/>
    <cellStyle name="Normal 10 2 3 7 3" xfId="8633"/>
    <cellStyle name="Normal 10 2 3 7 3 2" xfId="19756"/>
    <cellStyle name="Normal 10 2 3 7 4" xfId="12333"/>
    <cellStyle name="Normal 10 2 3 7 4 2" xfId="23450"/>
    <cellStyle name="Normal 10 2 3 7 5" xfId="16062"/>
    <cellStyle name="Normal 10 2 3 8" xfId="4761"/>
    <cellStyle name="Normal 10 2 3 8 2" xfId="7113"/>
    <cellStyle name="Normal 10 2 3 8 2 2" xfId="10814"/>
    <cellStyle name="Normal 10 2 3 8 2 2 2" xfId="21936"/>
    <cellStyle name="Normal 10 2 3 8 2 3" xfId="14513"/>
    <cellStyle name="Normal 10 2 3 8 2 3 2" xfId="25630"/>
    <cellStyle name="Normal 10 2 3 8 2 4" xfId="18242"/>
    <cellStyle name="Normal 10 2 3 8 3" xfId="8967"/>
    <cellStyle name="Normal 10 2 3 8 3 2" xfId="20089"/>
    <cellStyle name="Normal 10 2 3 8 4" xfId="12666"/>
    <cellStyle name="Normal 10 2 3 8 4 2" xfId="23783"/>
    <cellStyle name="Normal 10 2 3 8 5" xfId="16395"/>
    <cellStyle name="Normal 10 2 3 9" xfId="5589"/>
    <cellStyle name="Normal 10 2 3 9 2" xfId="7699"/>
    <cellStyle name="Normal 10 2 3 9 2 2" xfId="11400"/>
    <cellStyle name="Normal 10 2 3 9 2 2 2" xfId="22522"/>
    <cellStyle name="Normal 10 2 3 9 2 3" xfId="15099"/>
    <cellStyle name="Normal 10 2 3 9 2 3 2" xfId="26216"/>
    <cellStyle name="Normal 10 2 3 9 2 4" xfId="18828"/>
    <cellStyle name="Normal 10 2 3 9 3" xfId="9553"/>
    <cellStyle name="Normal 10 2 3 9 3 2" xfId="20675"/>
    <cellStyle name="Normal 10 2 3 9 4" xfId="13252"/>
    <cellStyle name="Normal 10 2 3 9 4 2" xfId="24369"/>
    <cellStyle name="Normal 10 2 3 9 5" xfId="16981"/>
    <cellStyle name="Normal 10 2 4" xfId="3270"/>
    <cellStyle name="Normal 10 2 4 2" xfId="3271"/>
    <cellStyle name="Normal 10 2 4 2 2" xfId="3272"/>
    <cellStyle name="Normal 10 2 4 2 2 2" xfId="3273"/>
    <cellStyle name="Normal 10 2 4 2 2 2 2" xfId="5608"/>
    <cellStyle name="Normal 10 2 4 2 2 2 2 2" xfId="7718"/>
    <cellStyle name="Normal 10 2 4 2 2 2 2 2 2" xfId="11419"/>
    <cellStyle name="Normal 10 2 4 2 2 2 2 2 2 2" xfId="22541"/>
    <cellStyle name="Normal 10 2 4 2 2 2 2 2 3" xfId="15118"/>
    <cellStyle name="Normal 10 2 4 2 2 2 2 2 3 2" xfId="26235"/>
    <cellStyle name="Normal 10 2 4 2 2 2 2 2 4" xfId="18847"/>
    <cellStyle name="Normal 10 2 4 2 2 2 2 3" xfId="9572"/>
    <cellStyle name="Normal 10 2 4 2 2 2 2 3 2" xfId="20694"/>
    <cellStyle name="Normal 10 2 4 2 2 2 2 4" xfId="13271"/>
    <cellStyle name="Normal 10 2 4 2 2 2 2 4 2" xfId="24388"/>
    <cellStyle name="Normal 10 2 4 2 2 2 2 5" xfId="17000"/>
    <cellStyle name="Normal 10 2 4 2 2 2 3" xfId="6798"/>
    <cellStyle name="Normal 10 2 4 2 2 2 3 2" xfId="10500"/>
    <cellStyle name="Normal 10 2 4 2 2 2 3 2 2" xfId="21622"/>
    <cellStyle name="Normal 10 2 4 2 2 2 3 3" xfId="14199"/>
    <cellStyle name="Normal 10 2 4 2 2 2 3 3 2" xfId="25316"/>
    <cellStyle name="Normal 10 2 4 2 2 2 3 4" xfId="17928"/>
    <cellStyle name="Normal 10 2 4 2 2 2 4" xfId="8652"/>
    <cellStyle name="Normal 10 2 4 2 2 2 4 2" xfId="19775"/>
    <cellStyle name="Normal 10 2 4 2 2 2 5" xfId="12352"/>
    <cellStyle name="Normal 10 2 4 2 2 2 5 2" xfId="23469"/>
    <cellStyle name="Normal 10 2 4 2 2 2 6" xfId="16081"/>
    <cellStyle name="Normal 10 2 4 2 2 3" xfId="5607"/>
    <cellStyle name="Normal 10 2 4 2 2 3 2" xfId="7717"/>
    <cellStyle name="Normal 10 2 4 2 2 3 2 2" xfId="11418"/>
    <cellStyle name="Normal 10 2 4 2 2 3 2 2 2" xfId="22540"/>
    <cellStyle name="Normal 10 2 4 2 2 3 2 3" xfId="15117"/>
    <cellStyle name="Normal 10 2 4 2 2 3 2 3 2" xfId="26234"/>
    <cellStyle name="Normal 10 2 4 2 2 3 2 4" xfId="18846"/>
    <cellStyle name="Normal 10 2 4 2 2 3 3" xfId="9571"/>
    <cellStyle name="Normal 10 2 4 2 2 3 3 2" xfId="20693"/>
    <cellStyle name="Normal 10 2 4 2 2 3 4" xfId="13270"/>
    <cellStyle name="Normal 10 2 4 2 2 3 4 2" xfId="24387"/>
    <cellStyle name="Normal 10 2 4 2 2 3 5" xfId="16999"/>
    <cellStyle name="Normal 10 2 4 2 2 4" xfId="6797"/>
    <cellStyle name="Normal 10 2 4 2 2 4 2" xfId="10499"/>
    <cellStyle name="Normal 10 2 4 2 2 4 2 2" xfId="21621"/>
    <cellStyle name="Normal 10 2 4 2 2 4 3" xfId="14198"/>
    <cellStyle name="Normal 10 2 4 2 2 4 3 2" xfId="25315"/>
    <cellStyle name="Normal 10 2 4 2 2 4 4" xfId="17927"/>
    <cellStyle name="Normal 10 2 4 2 2 5" xfId="8651"/>
    <cellStyle name="Normal 10 2 4 2 2 5 2" xfId="19774"/>
    <cellStyle name="Normal 10 2 4 2 2 6" xfId="12351"/>
    <cellStyle name="Normal 10 2 4 2 2 6 2" xfId="23468"/>
    <cellStyle name="Normal 10 2 4 2 2 7" xfId="16080"/>
    <cellStyle name="Normal 10 2 4 2 3" xfId="3274"/>
    <cellStyle name="Normal 10 2 4 2 3 2" xfId="5609"/>
    <cellStyle name="Normal 10 2 4 2 3 2 2" xfId="7719"/>
    <cellStyle name="Normal 10 2 4 2 3 2 2 2" xfId="11420"/>
    <cellStyle name="Normal 10 2 4 2 3 2 2 2 2" xfId="22542"/>
    <cellStyle name="Normal 10 2 4 2 3 2 2 3" xfId="15119"/>
    <cellStyle name="Normal 10 2 4 2 3 2 2 3 2" xfId="26236"/>
    <cellStyle name="Normal 10 2 4 2 3 2 2 4" xfId="18848"/>
    <cellStyle name="Normal 10 2 4 2 3 2 3" xfId="9573"/>
    <cellStyle name="Normal 10 2 4 2 3 2 3 2" xfId="20695"/>
    <cellStyle name="Normal 10 2 4 2 3 2 4" xfId="13272"/>
    <cellStyle name="Normal 10 2 4 2 3 2 4 2" xfId="24389"/>
    <cellStyle name="Normal 10 2 4 2 3 2 5" xfId="17001"/>
    <cellStyle name="Normal 10 2 4 2 3 3" xfId="6799"/>
    <cellStyle name="Normal 10 2 4 2 3 3 2" xfId="10501"/>
    <cellStyle name="Normal 10 2 4 2 3 3 2 2" xfId="21623"/>
    <cellStyle name="Normal 10 2 4 2 3 3 3" xfId="14200"/>
    <cellStyle name="Normal 10 2 4 2 3 3 3 2" xfId="25317"/>
    <cellStyle name="Normal 10 2 4 2 3 3 4" xfId="17929"/>
    <cellStyle name="Normal 10 2 4 2 3 4" xfId="8653"/>
    <cellStyle name="Normal 10 2 4 2 3 4 2" xfId="19776"/>
    <cellStyle name="Normal 10 2 4 2 3 5" xfId="12353"/>
    <cellStyle name="Normal 10 2 4 2 3 5 2" xfId="23470"/>
    <cellStyle name="Normal 10 2 4 2 3 6" xfId="16082"/>
    <cellStyle name="Normal 10 2 4 2 4" xfId="5606"/>
    <cellStyle name="Normal 10 2 4 2 4 2" xfId="7716"/>
    <cellStyle name="Normal 10 2 4 2 4 2 2" xfId="11417"/>
    <cellStyle name="Normal 10 2 4 2 4 2 2 2" xfId="22539"/>
    <cellStyle name="Normal 10 2 4 2 4 2 3" xfId="15116"/>
    <cellStyle name="Normal 10 2 4 2 4 2 3 2" xfId="26233"/>
    <cellStyle name="Normal 10 2 4 2 4 2 4" xfId="18845"/>
    <cellStyle name="Normal 10 2 4 2 4 3" xfId="9570"/>
    <cellStyle name="Normal 10 2 4 2 4 3 2" xfId="20692"/>
    <cellStyle name="Normal 10 2 4 2 4 4" xfId="13269"/>
    <cellStyle name="Normal 10 2 4 2 4 4 2" xfId="24386"/>
    <cellStyle name="Normal 10 2 4 2 4 5" xfId="16998"/>
    <cellStyle name="Normal 10 2 4 2 5" xfId="6796"/>
    <cellStyle name="Normal 10 2 4 2 5 2" xfId="10498"/>
    <cellStyle name="Normal 10 2 4 2 5 2 2" xfId="21620"/>
    <cellStyle name="Normal 10 2 4 2 5 3" xfId="14197"/>
    <cellStyle name="Normal 10 2 4 2 5 3 2" xfId="25314"/>
    <cellStyle name="Normal 10 2 4 2 5 4" xfId="17926"/>
    <cellStyle name="Normal 10 2 4 2 6" xfId="8650"/>
    <cellStyle name="Normal 10 2 4 2 6 2" xfId="19773"/>
    <cellStyle name="Normal 10 2 4 2 7" xfId="12350"/>
    <cellStyle name="Normal 10 2 4 2 7 2" xfId="23467"/>
    <cellStyle name="Normal 10 2 4 2 8" xfId="16079"/>
    <cellStyle name="Normal 10 2 4 3" xfId="3275"/>
    <cellStyle name="Normal 10 2 4 3 2" xfId="3276"/>
    <cellStyle name="Normal 10 2 4 3 2 2" xfId="5611"/>
    <cellStyle name="Normal 10 2 4 3 2 2 2" xfId="7721"/>
    <cellStyle name="Normal 10 2 4 3 2 2 2 2" xfId="11422"/>
    <cellStyle name="Normal 10 2 4 3 2 2 2 2 2" xfId="22544"/>
    <cellStyle name="Normal 10 2 4 3 2 2 2 3" xfId="15121"/>
    <cellStyle name="Normal 10 2 4 3 2 2 2 3 2" xfId="26238"/>
    <cellStyle name="Normal 10 2 4 3 2 2 2 4" xfId="18850"/>
    <cellStyle name="Normal 10 2 4 3 2 2 3" xfId="9575"/>
    <cellStyle name="Normal 10 2 4 3 2 2 3 2" xfId="20697"/>
    <cellStyle name="Normal 10 2 4 3 2 2 4" xfId="13274"/>
    <cellStyle name="Normal 10 2 4 3 2 2 4 2" xfId="24391"/>
    <cellStyle name="Normal 10 2 4 3 2 2 5" xfId="17003"/>
    <cellStyle name="Normal 10 2 4 3 2 3" xfId="6801"/>
    <cellStyle name="Normal 10 2 4 3 2 3 2" xfId="10503"/>
    <cellStyle name="Normal 10 2 4 3 2 3 2 2" xfId="21625"/>
    <cellStyle name="Normal 10 2 4 3 2 3 3" xfId="14202"/>
    <cellStyle name="Normal 10 2 4 3 2 3 3 2" xfId="25319"/>
    <cellStyle name="Normal 10 2 4 3 2 3 4" xfId="17931"/>
    <cellStyle name="Normal 10 2 4 3 2 4" xfId="8655"/>
    <cellStyle name="Normal 10 2 4 3 2 4 2" xfId="19778"/>
    <cellStyle name="Normal 10 2 4 3 2 5" xfId="12355"/>
    <cellStyle name="Normal 10 2 4 3 2 5 2" xfId="23472"/>
    <cellStyle name="Normal 10 2 4 3 2 6" xfId="16084"/>
    <cellStyle name="Normal 10 2 4 3 3" xfId="5610"/>
    <cellStyle name="Normal 10 2 4 3 3 2" xfId="7720"/>
    <cellStyle name="Normal 10 2 4 3 3 2 2" xfId="11421"/>
    <cellStyle name="Normal 10 2 4 3 3 2 2 2" xfId="22543"/>
    <cellStyle name="Normal 10 2 4 3 3 2 3" xfId="15120"/>
    <cellStyle name="Normal 10 2 4 3 3 2 3 2" xfId="26237"/>
    <cellStyle name="Normal 10 2 4 3 3 2 4" xfId="18849"/>
    <cellStyle name="Normal 10 2 4 3 3 3" xfId="9574"/>
    <cellStyle name="Normal 10 2 4 3 3 3 2" xfId="20696"/>
    <cellStyle name="Normal 10 2 4 3 3 4" xfId="13273"/>
    <cellStyle name="Normal 10 2 4 3 3 4 2" xfId="24390"/>
    <cellStyle name="Normal 10 2 4 3 3 5" xfId="17002"/>
    <cellStyle name="Normal 10 2 4 3 4" xfId="6800"/>
    <cellStyle name="Normal 10 2 4 3 4 2" xfId="10502"/>
    <cellStyle name="Normal 10 2 4 3 4 2 2" xfId="21624"/>
    <cellStyle name="Normal 10 2 4 3 4 3" xfId="14201"/>
    <cellStyle name="Normal 10 2 4 3 4 3 2" xfId="25318"/>
    <cellStyle name="Normal 10 2 4 3 4 4" xfId="17930"/>
    <cellStyle name="Normal 10 2 4 3 5" xfId="8654"/>
    <cellStyle name="Normal 10 2 4 3 5 2" xfId="19777"/>
    <cellStyle name="Normal 10 2 4 3 6" xfId="12354"/>
    <cellStyle name="Normal 10 2 4 3 6 2" xfId="23471"/>
    <cellStyle name="Normal 10 2 4 3 7" xfId="16083"/>
    <cellStyle name="Normal 10 2 4 4" xfId="3277"/>
    <cellStyle name="Normal 10 2 4 4 2" xfId="5612"/>
    <cellStyle name="Normal 10 2 4 4 2 2" xfId="7722"/>
    <cellStyle name="Normal 10 2 4 4 2 2 2" xfId="11423"/>
    <cellStyle name="Normal 10 2 4 4 2 2 2 2" xfId="22545"/>
    <cellStyle name="Normal 10 2 4 4 2 2 3" xfId="15122"/>
    <cellStyle name="Normal 10 2 4 4 2 2 3 2" xfId="26239"/>
    <cellStyle name="Normal 10 2 4 4 2 2 4" xfId="18851"/>
    <cellStyle name="Normal 10 2 4 4 2 3" xfId="9576"/>
    <cellStyle name="Normal 10 2 4 4 2 3 2" xfId="20698"/>
    <cellStyle name="Normal 10 2 4 4 2 4" xfId="13275"/>
    <cellStyle name="Normal 10 2 4 4 2 4 2" xfId="24392"/>
    <cellStyle name="Normal 10 2 4 4 2 5" xfId="17004"/>
    <cellStyle name="Normal 10 2 4 4 3" xfId="6802"/>
    <cellStyle name="Normal 10 2 4 4 3 2" xfId="10504"/>
    <cellStyle name="Normal 10 2 4 4 3 2 2" xfId="21626"/>
    <cellStyle name="Normal 10 2 4 4 3 3" xfId="14203"/>
    <cellStyle name="Normal 10 2 4 4 3 3 2" xfId="25320"/>
    <cellStyle name="Normal 10 2 4 4 3 4" xfId="17932"/>
    <cellStyle name="Normal 10 2 4 4 4" xfId="8656"/>
    <cellStyle name="Normal 10 2 4 4 4 2" xfId="19779"/>
    <cellStyle name="Normal 10 2 4 4 5" xfId="12356"/>
    <cellStyle name="Normal 10 2 4 4 5 2" xfId="23473"/>
    <cellStyle name="Normal 10 2 4 4 6" xfId="16085"/>
    <cellStyle name="Normal 10 2 4 5" xfId="5605"/>
    <cellStyle name="Normal 10 2 4 5 2" xfId="7715"/>
    <cellStyle name="Normal 10 2 4 5 2 2" xfId="11416"/>
    <cellStyle name="Normal 10 2 4 5 2 2 2" xfId="22538"/>
    <cellStyle name="Normal 10 2 4 5 2 3" xfId="15115"/>
    <cellStyle name="Normal 10 2 4 5 2 3 2" xfId="26232"/>
    <cellStyle name="Normal 10 2 4 5 2 4" xfId="18844"/>
    <cellStyle name="Normal 10 2 4 5 3" xfId="9569"/>
    <cellStyle name="Normal 10 2 4 5 3 2" xfId="20691"/>
    <cellStyle name="Normal 10 2 4 5 4" xfId="13268"/>
    <cellStyle name="Normal 10 2 4 5 4 2" xfId="24385"/>
    <cellStyle name="Normal 10 2 4 5 5" xfId="16997"/>
    <cellStyle name="Normal 10 2 4 6" xfId="6795"/>
    <cellStyle name="Normal 10 2 4 6 2" xfId="10497"/>
    <cellStyle name="Normal 10 2 4 6 2 2" xfId="21619"/>
    <cellStyle name="Normal 10 2 4 6 3" xfId="14196"/>
    <cellStyle name="Normal 10 2 4 6 3 2" xfId="25313"/>
    <cellStyle name="Normal 10 2 4 6 4" xfId="17925"/>
    <cellStyle name="Normal 10 2 4 7" xfId="8649"/>
    <cellStyle name="Normal 10 2 4 7 2" xfId="19772"/>
    <cellStyle name="Normal 10 2 4 8" xfId="12349"/>
    <cellStyle name="Normal 10 2 4 8 2" xfId="23466"/>
    <cellStyle name="Normal 10 2 4 9" xfId="16078"/>
    <cellStyle name="Normal 10 2 5" xfId="3278"/>
    <cellStyle name="Normal 10 2 5 2" xfId="3279"/>
    <cellStyle name="Normal 10 2 5 2 2" xfId="5614"/>
    <cellStyle name="Normal 10 2 5 2 2 2" xfId="7724"/>
    <cellStyle name="Normal 10 2 5 2 2 2 2" xfId="11425"/>
    <cellStyle name="Normal 10 2 5 2 2 2 2 2" xfId="22547"/>
    <cellStyle name="Normal 10 2 5 2 2 2 3" xfId="15124"/>
    <cellStyle name="Normal 10 2 5 2 2 2 3 2" xfId="26241"/>
    <cellStyle name="Normal 10 2 5 2 2 2 4" xfId="18853"/>
    <cellStyle name="Normal 10 2 5 2 2 3" xfId="9578"/>
    <cellStyle name="Normal 10 2 5 2 2 3 2" xfId="20700"/>
    <cellStyle name="Normal 10 2 5 2 2 4" xfId="13277"/>
    <cellStyle name="Normal 10 2 5 2 2 4 2" xfId="24394"/>
    <cellStyle name="Normal 10 2 5 2 2 5" xfId="17006"/>
    <cellStyle name="Normal 10 2 5 2 3" xfId="6804"/>
    <cellStyle name="Normal 10 2 5 2 3 2" xfId="10506"/>
    <cellStyle name="Normal 10 2 5 2 3 2 2" xfId="21628"/>
    <cellStyle name="Normal 10 2 5 2 3 3" xfId="14205"/>
    <cellStyle name="Normal 10 2 5 2 3 3 2" xfId="25322"/>
    <cellStyle name="Normal 10 2 5 2 3 4" xfId="17934"/>
    <cellStyle name="Normal 10 2 5 2 4" xfId="8658"/>
    <cellStyle name="Normal 10 2 5 2 4 2" xfId="19781"/>
    <cellStyle name="Normal 10 2 5 2 5" xfId="12358"/>
    <cellStyle name="Normal 10 2 5 2 5 2" xfId="23475"/>
    <cellStyle name="Normal 10 2 5 2 6" xfId="16087"/>
    <cellStyle name="Normal 10 2 5 3" xfId="5613"/>
    <cellStyle name="Normal 10 2 5 3 2" xfId="7723"/>
    <cellStyle name="Normal 10 2 5 3 2 2" xfId="11424"/>
    <cellStyle name="Normal 10 2 5 3 2 2 2" xfId="22546"/>
    <cellStyle name="Normal 10 2 5 3 2 3" xfId="15123"/>
    <cellStyle name="Normal 10 2 5 3 2 3 2" xfId="26240"/>
    <cellStyle name="Normal 10 2 5 3 2 4" xfId="18852"/>
    <cellStyle name="Normal 10 2 5 3 3" xfId="9577"/>
    <cellStyle name="Normal 10 2 5 3 3 2" xfId="20699"/>
    <cellStyle name="Normal 10 2 5 3 4" xfId="13276"/>
    <cellStyle name="Normal 10 2 5 3 4 2" xfId="24393"/>
    <cellStyle name="Normal 10 2 5 3 5" xfId="17005"/>
    <cellStyle name="Normal 10 2 5 4" xfId="6803"/>
    <cellStyle name="Normal 10 2 5 4 2" xfId="10505"/>
    <cellStyle name="Normal 10 2 5 4 2 2" xfId="21627"/>
    <cellStyle name="Normal 10 2 5 4 3" xfId="14204"/>
    <cellStyle name="Normal 10 2 5 4 3 2" xfId="25321"/>
    <cellStyle name="Normal 10 2 5 4 4" xfId="17933"/>
    <cellStyle name="Normal 10 2 5 5" xfId="8657"/>
    <cellStyle name="Normal 10 2 5 5 2" xfId="19780"/>
    <cellStyle name="Normal 10 2 5 6" xfId="12357"/>
    <cellStyle name="Normal 10 2 5 6 2" xfId="23474"/>
    <cellStyle name="Normal 10 2 5 7" xfId="16086"/>
    <cellStyle name="Normal 10 2 6" xfId="4656"/>
    <cellStyle name="Normal 10 3" xfId="792"/>
    <cellStyle name="Normal 10 3 10" xfId="5971"/>
    <cellStyle name="Normal 10 3 10 2" xfId="7986"/>
    <cellStyle name="Normal 10 3 10 2 2" xfId="11687"/>
    <cellStyle name="Normal 10 3 10 2 2 2" xfId="22809"/>
    <cellStyle name="Normal 10 3 10 2 3" xfId="15386"/>
    <cellStyle name="Normal 10 3 10 2 3 2" xfId="26503"/>
    <cellStyle name="Normal 10 3 10 2 4" xfId="19115"/>
    <cellStyle name="Normal 10 3 10 3" xfId="9840"/>
    <cellStyle name="Normal 10 3 10 3 2" xfId="20962"/>
    <cellStyle name="Normal 10 3 10 4" xfId="13539"/>
    <cellStyle name="Normal 10 3 10 4 2" xfId="24656"/>
    <cellStyle name="Normal 10 3 10 5" xfId="17268"/>
    <cellStyle name="Normal 10 3 11" xfId="6166"/>
    <cellStyle name="Normal 10 3 11 2" xfId="9868"/>
    <cellStyle name="Normal 10 3 11 2 2" xfId="20990"/>
    <cellStyle name="Normal 10 3 11 3" xfId="13567"/>
    <cellStyle name="Normal 10 3 11 3 2" xfId="24684"/>
    <cellStyle name="Normal 10 3 11 4" xfId="17296"/>
    <cellStyle name="Normal 10 3 12" xfId="8019"/>
    <cellStyle name="Normal 10 3 12 2" xfId="19143"/>
    <cellStyle name="Normal 10 3 13" xfId="11720"/>
    <cellStyle name="Normal 10 3 13 2" xfId="22837"/>
    <cellStyle name="Normal 10 3 14" xfId="15449"/>
    <cellStyle name="Normal 10 3 2" xfId="977"/>
    <cellStyle name="Normal 10 3 2 10" xfId="11749"/>
    <cellStyle name="Normal 10 3 2 10 2" xfId="22866"/>
    <cellStyle name="Normal 10 3 2 11" xfId="15478"/>
    <cellStyle name="Normal 10 3 2 2" xfId="1604"/>
    <cellStyle name="Normal 10 3 2 2 10" xfId="11800"/>
    <cellStyle name="Normal 10 3 2 2 10 2" xfId="22917"/>
    <cellStyle name="Normal 10 3 2 2 11" xfId="15529"/>
    <cellStyle name="Normal 10 3 2 2 2" xfId="1721"/>
    <cellStyle name="Normal 10 3 2 2 2 10" xfId="15635"/>
    <cellStyle name="Normal 10 3 2 2 2 2" xfId="2067"/>
    <cellStyle name="Normal 10 3 2 2 2 2 2" xfId="5187"/>
    <cellStyle name="Normal 10 3 2 2 2 2 2 2" xfId="7538"/>
    <cellStyle name="Normal 10 3 2 2 2 2 2 2 2" xfId="11239"/>
    <cellStyle name="Normal 10 3 2 2 2 2 2 2 2 2" xfId="22361"/>
    <cellStyle name="Normal 10 3 2 2 2 2 2 2 3" xfId="14938"/>
    <cellStyle name="Normal 10 3 2 2 2 2 2 2 3 2" xfId="26055"/>
    <cellStyle name="Normal 10 3 2 2 2 2 2 2 4" xfId="18667"/>
    <cellStyle name="Normal 10 3 2 2 2 2 2 3" xfId="9392"/>
    <cellStyle name="Normal 10 3 2 2 2 2 2 3 2" xfId="20514"/>
    <cellStyle name="Normal 10 3 2 2 2 2 2 4" xfId="13091"/>
    <cellStyle name="Normal 10 3 2 2 2 2 2 4 2" xfId="24208"/>
    <cellStyle name="Normal 10 3 2 2 2 2 2 5" xfId="16820"/>
    <cellStyle name="Normal 10 3 2 2 2 2 3" xfId="6619"/>
    <cellStyle name="Normal 10 3 2 2 2 2 3 2" xfId="10321"/>
    <cellStyle name="Normal 10 3 2 2 2 2 3 2 2" xfId="21443"/>
    <cellStyle name="Normal 10 3 2 2 2 2 3 3" xfId="14020"/>
    <cellStyle name="Normal 10 3 2 2 2 2 3 3 2" xfId="25137"/>
    <cellStyle name="Normal 10 3 2 2 2 2 3 4" xfId="17749"/>
    <cellStyle name="Normal 10 3 2 2 2 2 4" xfId="8473"/>
    <cellStyle name="Normal 10 3 2 2 2 2 4 2" xfId="19596"/>
    <cellStyle name="Normal 10 3 2 2 2 2 5" xfId="12173"/>
    <cellStyle name="Normal 10 3 2 2 2 2 5 2" xfId="23290"/>
    <cellStyle name="Normal 10 3 2 2 2 2 6" xfId="15902"/>
    <cellStyle name="Normal 10 3 2 2 2 3" xfId="1931"/>
    <cellStyle name="Normal 10 3 2 2 2 3 2" xfId="5128"/>
    <cellStyle name="Normal 10 3 2 2 2 3 2 2" xfId="7479"/>
    <cellStyle name="Normal 10 3 2 2 2 3 2 2 2" xfId="11180"/>
    <cellStyle name="Normal 10 3 2 2 2 3 2 2 2 2" xfId="22302"/>
    <cellStyle name="Normal 10 3 2 2 2 3 2 2 3" xfId="14879"/>
    <cellStyle name="Normal 10 3 2 2 2 3 2 2 3 2" xfId="25996"/>
    <cellStyle name="Normal 10 3 2 2 2 3 2 2 4" xfId="18608"/>
    <cellStyle name="Normal 10 3 2 2 2 3 2 3" xfId="9333"/>
    <cellStyle name="Normal 10 3 2 2 2 3 2 3 2" xfId="20455"/>
    <cellStyle name="Normal 10 3 2 2 2 3 2 4" xfId="13032"/>
    <cellStyle name="Normal 10 3 2 2 2 3 2 4 2" xfId="24149"/>
    <cellStyle name="Normal 10 3 2 2 2 3 2 5" xfId="16761"/>
    <cellStyle name="Normal 10 3 2 2 2 3 3" xfId="6560"/>
    <cellStyle name="Normal 10 3 2 2 2 3 3 2" xfId="10262"/>
    <cellStyle name="Normal 10 3 2 2 2 3 3 2 2" xfId="21384"/>
    <cellStyle name="Normal 10 3 2 2 2 3 3 3" xfId="13961"/>
    <cellStyle name="Normal 10 3 2 2 2 3 3 3 2" xfId="25078"/>
    <cellStyle name="Normal 10 3 2 2 2 3 3 4" xfId="17690"/>
    <cellStyle name="Normal 10 3 2 2 2 3 4" xfId="8414"/>
    <cellStyle name="Normal 10 3 2 2 2 3 4 2" xfId="19537"/>
    <cellStyle name="Normal 10 3 2 2 2 3 5" xfId="12114"/>
    <cellStyle name="Normal 10 3 2 2 2 3 5 2" xfId="23231"/>
    <cellStyle name="Normal 10 3 2 2 2 3 6" xfId="15843"/>
    <cellStyle name="Normal 10 3 2 2 2 4" xfId="3283"/>
    <cellStyle name="Normal 10 3 2 2 2 4 2" xfId="6807"/>
    <cellStyle name="Normal 10 3 2 2 2 4 2 2" xfId="10509"/>
    <cellStyle name="Normal 10 3 2 2 2 4 2 2 2" xfId="21631"/>
    <cellStyle name="Normal 10 3 2 2 2 4 2 3" xfId="14208"/>
    <cellStyle name="Normal 10 3 2 2 2 4 2 3 2" xfId="25325"/>
    <cellStyle name="Normal 10 3 2 2 2 4 2 4" xfId="17937"/>
    <cellStyle name="Normal 10 3 2 2 2 4 3" xfId="8661"/>
    <cellStyle name="Normal 10 3 2 2 2 4 3 2" xfId="19784"/>
    <cellStyle name="Normal 10 3 2 2 2 4 4" xfId="12361"/>
    <cellStyle name="Normal 10 3 2 2 2 4 4 2" xfId="23478"/>
    <cellStyle name="Normal 10 3 2 2 2 4 5" xfId="16090"/>
    <cellStyle name="Normal 10 3 2 2 2 5" xfId="4920"/>
    <cellStyle name="Normal 10 3 2 2 2 5 2" xfId="7271"/>
    <cellStyle name="Normal 10 3 2 2 2 5 2 2" xfId="10972"/>
    <cellStyle name="Normal 10 3 2 2 2 5 2 2 2" xfId="22094"/>
    <cellStyle name="Normal 10 3 2 2 2 5 2 3" xfId="14671"/>
    <cellStyle name="Normal 10 3 2 2 2 5 2 3 2" xfId="25788"/>
    <cellStyle name="Normal 10 3 2 2 2 5 2 4" xfId="18400"/>
    <cellStyle name="Normal 10 3 2 2 2 5 3" xfId="9125"/>
    <cellStyle name="Normal 10 3 2 2 2 5 3 2" xfId="20247"/>
    <cellStyle name="Normal 10 3 2 2 2 5 4" xfId="12824"/>
    <cellStyle name="Normal 10 3 2 2 2 5 4 2" xfId="23941"/>
    <cellStyle name="Normal 10 3 2 2 2 5 5" xfId="16553"/>
    <cellStyle name="Normal 10 3 2 2 2 6" xfId="5617"/>
    <cellStyle name="Normal 10 3 2 2 2 6 2" xfId="7727"/>
    <cellStyle name="Normal 10 3 2 2 2 6 2 2" xfId="11428"/>
    <cellStyle name="Normal 10 3 2 2 2 6 2 2 2" xfId="22550"/>
    <cellStyle name="Normal 10 3 2 2 2 6 2 3" xfId="15127"/>
    <cellStyle name="Normal 10 3 2 2 2 6 2 3 2" xfId="26244"/>
    <cellStyle name="Normal 10 3 2 2 2 6 2 4" xfId="18856"/>
    <cellStyle name="Normal 10 3 2 2 2 6 3" xfId="9581"/>
    <cellStyle name="Normal 10 3 2 2 2 6 3 2" xfId="20703"/>
    <cellStyle name="Normal 10 3 2 2 2 6 4" xfId="13280"/>
    <cellStyle name="Normal 10 3 2 2 2 6 4 2" xfId="24397"/>
    <cellStyle name="Normal 10 3 2 2 2 6 5" xfId="17009"/>
    <cellStyle name="Normal 10 3 2 2 2 7" xfId="6352"/>
    <cellStyle name="Normal 10 3 2 2 2 7 2" xfId="10054"/>
    <cellStyle name="Normal 10 3 2 2 2 7 2 2" xfId="21176"/>
    <cellStyle name="Normal 10 3 2 2 2 7 3" xfId="13753"/>
    <cellStyle name="Normal 10 3 2 2 2 7 3 2" xfId="24870"/>
    <cellStyle name="Normal 10 3 2 2 2 7 4" xfId="17482"/>
    <cellStyle name="Normal 10 3 2 2 2 8" xfId="8206"/>
    <cellStyle name="Normal 10 3 2 2 2 8 2" xfId="19329"/>
    <cellStyle name="Normal 10 3 2 2 2 9" xfId="11906"/>
    <cellStyle name="Normal 10 3 2 2 2 9 2" xfId="23023"/>
    <cellStyle name="Normal 10 3 2 2 3" xfId="2066"/>
    <cellStyle name="Normal 10 3 2 2 3 2" xfId="5186"/>
    <cellStyle name="Normal 10 3 2 2 3 2 2" xfId="7537"/>
    <cellStyle name="Normal 10 3 2 2 3 2 2 2" xfId="11238"/>
    <cellStyle name="Normal 10 3 2 2 3 2 2 2 2" xfId="22360"/>
    <cellStyle name="Normal 10 3 2 2 3 2 2 3" xfId="14937"/>
    <cellStyle name="Normal 10 3 2 2 3 2 2 3 2" xfId="26054"/>
    <cellStyle name="Normal 10 3 2 2 3 2 2 4" xfId="18666"/>
    <cellStyle name="Normal 10 3 2 2 3 2 3" xfId="9391"/>
    <cellStyle name="Normal 10 3 2 2 3 2 3 2" xfId="20513"/>
    <cellStyle name="Normal 10 3 2 2 3 2 4" xfId="13090"/>
    <cellStyle name="Normal 10 3 2 2 3 2 4 2" xfId="24207"/>
    <cellStyle name="Normal 10 3 2 2 3 2 5" xfId="16819"/>
    <cellStyle name="Normal 10 3 2 2 3 3" xfId="6618"/>
    <cellStyle name="Normal 10 3 2 2 3 3 2" xfId="10320"/>
    <cellStyle name="Normal 10 3 2 2 3 3 2 2" xfId="21442"/>
    <cellStyle name="Normal 10 3 2 2 3 3 3" xfId="14019"/>
    <cellStyle name="Normal 10 3 2 2 3 3 3 2" xfId="25136"/>
    <cellStyle name="Normal 10 3 2 2 3 3 4" xfId="17748"/>
    <cellStyle name="Normal 10 3 2 2 3 4" xfId="8472"/>
    <cellStyle name="Normal 10 3 2 2 3 4 2" xfId="19595"/>
    <cellStyle name="Normal 10 3 2 2 3 5" xfId="12172"/>
    <cellStyle name="Normal 10 3 2 2 3 5 2" xfId="23289"/>
    <cellStyle name="Normal 10 3 2 2 3 6" xfId="15901"/>
    <cellStyle name="Normal 10 3 2 2 4" xfId="1825"/>
    <cellStyle name="Normal 10 3 2 2 4 2" xfId="5022"/>
    <cellStyle name="Normal 10 3 2 2 4 2 2" xfId="7373"/>
    <cellStyle name="Normal 10 3 2 2 4 2 2 2" xfId="11074"/>
    <cellStyle name="Normal 10 3 2 2 4 2 2 2 2" xfId="22196"/>
    <cellStyle name="Normal 10 3 2 2 4 2 2 3" xfId="14773"/>
    <cellStyle name="Normal 10 3 2 2 4 2 2 3 2" xfId="25890"/>
    <cellStyle name="Normal 10 3 2 2 4 2 2 4" xfId="18502"/>
    <cellStyle name="Normal 10 3 2 2 4 2 3" xfId="9227"/>
    <cellStyle name="Normal 10 3 2 2 4 2 3 2" xfId="20349"/>
    <cellStyle name="Normal 10 3 2 2 4 2 4" xfId="12926"/>
    <cellStyle name="Normal 10 3 2 2 4 2 4 2" xfId="24043"/>
    <cellStyle name="Normal 10 3 2 2 4 2 5" xfId="16655"/>
    <cellStyle name="Normal 10 3 2 2 4 3" xfId="6454"/>
    <cellStyle name="Normal 10 3 2 2 4 3 2" xfId="10156"/>
    <cellStyle name="Normal 10 3 2 2 4 3 2 2" xfId="21278"/>
    <cellStyle name="Normal 10 3 2 2 4 3 3" xfId="13855"/>
    <cellStyle name="Normal 10 3 2 2 4 3 3 2" xfId="24972"/>
    <cellStyle name="Normal 10 3 2 2 4 3 4" xfId="17584"/>
    <cellStyle name="Normal 10 3 2 2 4 4" xfId="8308"/>
    <cellStyle name="Normal 10 3 2 2 4 4 2" xfId="19431"/>
    <cellStyle name="Normal 10 3 2 2 4 5" xfId="12008"/>
    <cellStyle name="Normal 10 3 2 2 4 5 2" xfId="23125"/>
    <cellStyle name="Normal 10 3 2 2 4 6" xfId="15737"/>
    <cellStyle name="Normal 10 3 2 2 5" xfId="3282"/>
    <cellStyle name="Normal 10 3 2 2 5 2" xfId="6806"/>
    <cellStyle name="Normal 10 3 2 2 5 2 2" xfId="10508"/>
    <cellStyle name="Normal 10 3 2 2 5 2 2 2" xfId="21630"/>
    <cellStyle name="Normal 10 3 2 2 5 2 3" xfId="14207"/>
    <cellStyle name="Normal 10 3 2 2 5 2 3 2" xfId="25324"/>
    <cellStyle name="Normal 10 3 2 2 5 2 4" xfId="17936"/>
    <cellStyle name="Normal 10 3 2 2 5 3" xfId="8660"/>
    <cellStyle name="Normal 10 3 2 2 5 3 2" xfId="19783"/>
    <cellStyle name="Normal 10 3 2 2 5 4" xfId="12360"/>
    <cellStyle name="Normal 10 3 2 2 5 4 2" xfId="23477"/>
    <cellStyle name="Normal 10 3 2 2 5 5" xfId="16089"/>
    <cellStyle name="Normal 10 3 2 2 6" xfId="4814"/>
    <cellStyle name="Normal 10 3 2 2 6 2" xfId="7165"/>
    <cellStyle name="Normal 10 3 2 2 6 2 2" xfId="10866"/>
    <cellStyle name="Normal 10 3 2 2 6 2 2 2" xfId="21988"/>
    <cellStyle name="Normal 10 3 2 2 6 2 3" xfId="14565"/>
    <cellStyle name="Normal 10 3 2 2 6 2 3 2" xfId="25682"/>
    <cellStyle name="Normal 10 3 2 2 6 2 4" xfId="18294"/>
    <cellStyle name="Normal 10 3 2 2 6 3" xfId="9019"/>
    <cellStyle name="Normal 10 3 2 2 6 3 2" xfId="20141"/>
    <cellStyle name="Normal 10 3 2 2 6 4" xfId="12718"/>
    <cellStyle name="Normal 10 3 2 2 6 4 2" xfId="23835"/>
    <cellStyle name="Normal 10 3 2 2 6 5" xfId="16447"/>
    <cellStyle name="Normal 10 3 2 2 7" xfId="5616"/>
    <cellStyle name="Normal 10 3 2 2 7 2" xfId="7726"/>
    <cellStyle name="Normal 10 3 2 2 7 2 2" xfId="11427"/>
    <cellStyle name="Normal 10 3 2 2 7 2 2 2" xfId="22549"/>
    <cellStyle name="Normal 10 3 2 2 7 2 3" xfId="15126"/>
    <cellStyle name="Normal 10 3 2 2 7 2 3 2" xfId="26243"/>
    <cellStyle name="Normal 10 3 2 2 7 2 4" xfId="18855"/>
    <cellStyle name="Normal 10 3 2 2 7 3" xfId="9580"/>
    <cellStyle name="Normal 10 3 2 2 7 3 2" xfId="20702"/>
    <cellStyle name="Normal 10 3 2 2 7 4" xfId="13279"/>
    <cellStyle name="Normal 10 3 2 2 7 4 2" xfId="24396"/>
    <cellStyle name="Normal 10 3 2 2 7 5" xfId="17008"/>
    <cellStyle name="Normal 10 3 2 2 8" xfId="6246"/>
    <cellStyle name="Normal 10 3 2 2 8 2" xfId="9948"/>
    <cellStyle name="Normal 10 3 2 2 8 2 2" xfId="21070"/>
    <cellStyle name="Normal 10 3 2 2 8 3" xfId="13647"/>
    <cellStyle name="Normal 10 3 2 2 8 3 2" xfId="24764"/>
    <cellStyle name="Normal 10 3 2 2 8 4" xfId="17376"/>
    <cellStyle name="Normal 10 3 2 2 9" xfId="8100"/>
    <cellStyle name="Normal 10 3 2 2 9 2" xfId="19223"/>
    <cellStyle name="Normal 10 3 2 3" xfId="1669"/>
    <cellStyle name="Normal 10 3 2 3 10" xfId="15584"/>
    <cellStyle name="Normal 10 3 2 3 2" xfId="2068"/>
    <cellStyle name="Normal 10 3 2 3 2 2" xfId="5188"/>
    <cellStyle name="Normal 10 3 2 3 2 2 2" xfId="7539"/>
    <cellStyle name="Normal 10 3 2 3 2 2 2 2" xfId="11240"/>
    <cellStyle name="Normal 10 3 2 3 2 2 2 2 2" xfId="22362"/>
    <cellStyle name="Normal 10 3 2 3 2 2 2 3" xfId="14939"/>
    <cellStyle name="Normal 10 3 2 3 2 2 2 3 2" xfId="26056"/>
    <cellStyle name="Normal 10 3 2 3 2 2 2 4" xfId="18668"/>
    <cellStyle name="Normal 10 3 2 3 2 2 3" xfId="9393"/>
    <cellStyle name="Normal 10 3 2 3 2 2 3 2" xfId="20515"/>
    <cellStyle name="Normal 10 3 2 3 2 2 4" xfId="13092"/>
    <cellStyle name="Normal 10 3 2 3 2 2 4 2" xfId="24209"/>
    <cellStyle name="Normal 10 3 2 3 2 2 5" xfId="16821"/>
    <cellStyle name="Normal 10 3 2 3 2 3" xfId="6620"/>
    <cellStyle name="Normal 10 3 2 3 2 3 2" xfId="10322"/>
    <cellStyle name="Normal 10 3 2 3 2 3 2 2" xfId="21444"/>
    <cellStyle name="Normal 10 3 2 3 2 3 3" xfId="14021"/>
    <cellStyle name="Normal 10 3 2 3 2 3 3 2" xfId="25138"/>
    <cellStyle name="Normal 10 3 2 3 2 3 4" xfId="17750"/>
    <cellStyle name="Normal 10 3 2 3 2 4" xfId="8474"/>
    <cellStyle name="Normal 10 3 2 3 2 4 2" xfId="19597"/>
    <cellStyle name="Normal 10 3 2 3 2 5" xfId="12174"/>
    <cellStyle name="Normal 10 3 2 3 2 5 2" xfId="23291"/>
    <cellStyle name="Normal 10 3 2 3 2 6" xfId="15903"/>
    <cellStyle name="Normal 10 3 2 3 3" xfId="1880"/>
    <cellStyle name="Normal 10 3 2 3 3 2" xfId="5077"/>
    <cellStyle name="Normal 10 3 2 3 3 2 2" xfId="7428"/>
    <cellStyle name="Normal 10 3 2 3 3 2 2 2" xfId="11129"/>
    <cellStyle name="Normal 10 3 2 3 3 2 2 2 2" xfId="22251"/>
    <cellStyle name="Normal 10 3 2 3 3 2 2 3" xfId="14828"/>
    <cellStyle name="Normal 10 3 2 3 3 2 2 3 2" xfId="25945"/>
    <cellStyle name="Normal 10 3 2 3 3 2 2 4" xfId="18557"/>
    <cellStyle name="Normal 10 3 2 3 3 2 3" xfId="9282"/>
    <cellStyle name="Normal 10 3 2 3 3 2 3 2" xfId="20404"/>
    <cellStyle name="Normal 10 3 2 3 3 2 4" xfId="12981"/>
    <cellStyle name="Normal 10 3 2 3 3 2 4 2" xfId="24098"/>
    <cellStyle name="Normal 10 3 2 3 3 2 5" xfId="16710"/>
    <cellStyle name="Normal 10 3 2 3 3 3" xfId="6509"/>
    <cellStyle name="Normal 10 3 2 3 3 3 2" xfId="10211"/>
    <cellStyle name="Normal 10 3 2 3 3 3 2 2" xfId="21333"/>
    <cellStyle name="Normal 10 3 2 3 3 3 3" xfId="13910"/>
    <cellStyle name="Normal 10 3 2 3 3 3 3 2" xfId="25027"/>
    <cellStyle name="Normal 10 3 2 3 3 3 4" xfId="17639"/>
    <cellStyle name="Normal 10 3 2 3 3 4" xfId="8363"/>
    <cellStyle name="Normal 10 3 2 3 3 4 2" xfId="19486"/>
    <cellStyle name="Normal 10 3 2 3 3 5" xfId="12063"/>
    <cellStyle name="Normal 10 3 2 3 3 5 2" xfId="23180"/>
    <cellStyle name="Normal 10 3 2 3 3 6" xfId="15792"/>
    <cellStyle name="Normal 10 3 2 3 4" xfId="3284"/>
    <cellStyle name="Normal 10 3 2 3 4 2" xfId="6808"/>
    <cellStyle name="Normal 10 3 2 3 4 2 2" xfId="10510"/>
    <cellStyle name="Normal 10 3 2 3 4 2 2 2" xfId="21632"/>
    <cellStyle name="Normal 10 3 2 3 4 2 3" xfId="14209"/>
    <cellStyle name="Normal 10 3 2 3 4 2 3 2" xfId="25326"/>
    <cellStyle name="Normal 10 3 2 3 4 2 4" xfId="17938"/>
    <cellStyle name="Normal 10 3 2 3 4 3" xfId="8662"/>
    <cellStyle name="Normal 10 3 2 3 4 3 2" xfId="19785"/>
    <cellStyle name="Normal 10 3 2 3 4 4" xfId="12362"/>
    <cellStyle name="Normal 10 3 2 3 4 4 2" xfId="23479"/>
    <cellStyle name="Normal 10 3 2 3 4 5" xfId="16091"/>
    <cellStyle name="Normal 10 3 2 3 5" xfId="4869"/>
    <cellStyle name="Normal 10 3 2 3 5 2" xfId="7220"/>
    <cellStyle name="Normal 10 3 2 3 5 2 2" xfId="10921"/>
    <cellStyle name="Normal 10 3 2 3 5 2 2 2" xfId="22043"/>
    <cellStyle name="Normal 10 3 2 3 5 2 3" xfId="14620"/>
    <cellStyle name="Normal 10 3 2 3 5 2 3 2" xfId="25737"/>
    <cellStyle name="Normal 10 3 2 3 5 2 4" xfId="18349"/>
    <cellStyle name="Normal 10 3 2 3 5 3" xfId="9074"/>
    <cellStyle name="Normal 10 3 2 3 5 3 2" xfId="20196"/>
    <cellStyle name="Normal 10 3 2 3 5 4" xfId="12773"/>
    <cellStyle name="Normal 10 3 2 3 5 4 2" xfId="23890"/>
    <cellStyle name="Normal 10 3 2 3 5 5" xfId="16502"/>
    <cellStyle name="Normal 10 3 2 3 6" xfId="5618"/>
    <cellStyle name="Normal 10 3 2 3 6 2" xfId="7728"/>
    <cellStyle name="Normal 10 3 2 3 6 2 2" xfId="11429"/>
    <cellStyle name="Normal 10 3 2 3 6 2 2 2" xfId="22551"/>
    <cellStyle name="Normal 10 3 2 3 6 2 3" xfId="15128"/>
    <cellStyle name="Normal 10 3 2 3 6 2 3 2" xfId="26245"/>
    <cellStyle name="Normal 10 3 2 3 6 2 4" xfId="18857"/>
    <cellStyle name="Normal 10 3 2 3 6 3" xfId="9582"/>
    <cellStyle name="Normal 10 3 2 3 6 3 2" xfId="20704"/>
    <cellStyle name="Normal 10 3 2 3 6 4" xfId="13281"/>
    <cellStyle name="Normal 10 3 2 3 6 4 2" xfId="24398"/>
    <cellStyle name="Normal 10 3 2 3 6 5" xfId="17010"/>
    <cellStyle name="Normal 10 3 2 3 7" xfId="6301"/>
    <cellStyle name="Normal 10 3 2 3 7 2" xfId="10003"/>
    <cellStyle name="Normal 10 3 2 3 7 2 2" xfId="21125"/>
    <cellStyle name="Normal 10 3 2 3 7 3" xfId="13702"/>
    <cellStyle name="Normal 10 3 2 3 7 3 2" xfId="24819"/>
    <cellStyle name="Normal 10 3 2 3 7 4" xfId="17431"/>
    <cellStyle name="Normal 10 3 2 3 8" xfId="8155"/>
    <cellStyle name="Normal 10 3 2 3 8 2" xfId="19278"/>
    <cellStyle name="Normal 10 3 2 3 9" xfId="11855"/>
    <cellStyle name="Normal 10 3 2 3 9 2" xfId="22972"/>
    <cellStyle name="Normal 10 3 2 4" xfId="2065"/>
    <cellStyle name="Normal 10 3 2 4 2" xfId="3285"/>
    <cellStyle name="Normal 10 3 2 4 2 2" xfId="6809"/>
    <cellStyle name="Normal 10 3 2 4 2 2 2" xfId="10511"/>
    <cellStyle name="Normal 10 3 2 4 2 2 2 2" xfId="21633"/>
    <cellStyle name="Normal 10 3 2 4 2 2 3" xfId="14210"/>
    <cellStyle name="Normal 10 3 2 4 2 2 3 2" xfId="25327"/>
    <cellStyle name="Normal 10 3 2 4 2 2 4" xfId="17939"/>
    <cellStyle name="Normal 10 3 2 4 2 3" xfId="8663"/>
    <cellStyle name="Normal 10 3 2 4 2 3 2" xfId="19786"/>
    <cellStyle name="Normal 10 3 2 4 2 4" xfId="12363"/>
    <cellStyle name="Normal 10 3 2 4 2 4 2" xfId="23480"/>
    <cellStyle name="Normal 10 3 2 4 2 5" xfId="16092"/>
    <cellStyle name="Normal 10 3 2 4 3" xfId="5185"/>
    <cellStyle name="Normal 10 3 2 4 3 2" xfId="7536"/>
    <cellStyle name="Normal 10 3 2 4 3 2 2" xfId="11237"/>
    <cellStyle name="Normal 10 3 2 4 3 2 2 2" xfId="22359"/>
    <cellStyle name="Normal 10 3 2 4 3 2 3" xfId="14936"/>
    <cellStyle name="Normal 10 3 2 4 3 2 3 2" xfId="26053"/>
    <cellStyle name="Normal 10 3 2 4 3 2 4" xfId="18665"/>
    <cellStyle name="Normal 10 3 2 4 3 3" xfId="9390"/>
    <cellStyle name="Normal 10 3 2 4 3 3 2" xfId="20512"/>
    <cellStyle name="Normal 10 3 2 4 3 4" xfId="13089"/>
    <cellStyle name="Normal 10 3 2 4 3 4 2" xfId="24206"/>
    <cellStyle name="Normal 10 3 2 4 3 5" xfId="16818"/>
    <cellStyle name="Normal 10 3 2 4 4" xfId="5619"/>
    <cellStyle name="Normal 10 3 2 4 4 2" xfId="7729"/>
    <cellStyle name="Normal 10 3 2 4 4 2 2" xfId="11430"/>
    <cellStyle name="Normal 10 3 2 4 4 2 2 2" xfId="22552"/>
    <cellStyle name="Normal 10 3 2 4 4 2 3" xfId="15129"/>
    <cellStyle name="Normal 10 3 2 4 4 2 3 2" xfId="26246"/>
    <cellStyle name="Normal 10 3 2 4 4 2 4" xfId="18858"/>
    <cellStyle name="Normal 10 3 2 4 4 3" xfId="9583"/>
    <cellStyle name="Normal 10 3 2 4 4 3 2" xfId="20705"/>
    <cellStyle name="Normal 10 3 2 4 4 4" xfId="13282"/>
    <cellStyle name="Normal 10 3 2 4 4 4 2" xfId="24399"/>
    <cellStyle name="Normal 10 3 2 4 4 5" xfId="17011"/>
    <cellStyle name="Normal 10 3 2 4 5" xfId="6617"/>
    <cellStyle name="Normal 10 3 2 4 5 2" xfId="10319"/>
    <cellStyle name="Normal 10 3 2 4 5 2 2" xfId="21441"/>
    <cellStyle name="Normal 10 3 2 4 5 3" xfId="14018"/>
    <cellStyle name="Normal 10 3 2 4 5 3 2" xfId="25135"/>
    <cellStyle name="Normal 10 3 2 4 5 4" xfId="17747"/>
    <cellStyle name="Normal 10 3 2 4 6" xfId="8471"/>
    <cellStyle name="Normal 10 3 2 4 6 2" xfId="19594"/>
    <cellStyle name="Normal 10 3 2 4 7" xfId="12171"/>
    <cellStyle name="Normal 10 3 2 4 7 2" xfId="23288"/>
    <cellStyle name="Normal 10 3 2 4 8" xfId="15900"/>
    <cellStyle name="Normal 10 3 2 5" xfId="1774"/>
    <cellStyle name="Normal 10 3 2 5 2" xfId="4971"/>
    <cellStyle name="Normal 10 3 2 5 2 2" xfId="7322"/>
    <cellStyle name="Normal 10 3 2 5 2 2 2" xfId="11023"/>
    <cellStyle name="Normal 10 3 2 5 2 2 2 2" xfId="22145"/>
    <cellStyle name="Normal 10 3 2 5 2 2 3" xfId="14722"/>
    <cellStyle name="Normal 10 3 2 5 2 2 3 2" xfId="25839"/>
    <cellStyle name="Normal 10 3 2 5 2 2 4" xfId="18451"/>
    <cellStyle name="Normal 10 3 2 5 2 3" xfId="9176"/>
    <cellStyle name="Normal 10 3 2 5 2 3 2" xfId="20298"/>
    <cellStyle name="Normal 10 3 2 5 2 4" xfId="12875"/>
    <cellStyle name="Normal 10 3 2 5 2 4 2" xfId="23992"/>
    <cellStyle name="Normal 10 3 2 5 2 5" xfId="16604"/>
    <cellStyle name="Normal 10 3 2 5 3" xfId="6403"/>
    <cellStyle name="Normal 10 3 2 5 3 2" xfId="10105"/>
    <cellStyle name="Normal 10 3 2 5 3 2 2" xfId="21227"/>
    <cellStyle name="Normal 10 3 2 5 3 3" xfId="13804"/>
    <cellStyle name="Normal 10 3 2 5 3 3 2" xfId="24921"/>
    <cellStyle name="Normal 10 3 2 5 3 4" xfId="17533"/>
    <cellStyle name="Normal 10 3 2 5 4" xfId="8257"/>
    <cellStyle name="Normal 10 3 2 5 4 2" xfId="19380"/>
    <cellStyle name="Normal 10 3 2 5 5" xfId="11957"/>
    <cellStyle name="Normal 10 3 2 5 5 2" xfId="23074"/>
    <cellStyle name="Normal 10 3 2 5 6" xfId="15686"/>
    <cellStyle name="Normal 10 3 2 6" xfId="3281"/>
    <cellStyle name="Normal 10 3 2 7" xfId="4762"/>
    <cellStyle name="Normal 10 3 2 7 2" xfId="7114"/>
    <cellStyle name="Normal 10 3 2 7 2 2" xfId="10815"/>
    <cellStyle name="Normal 10 3 2 7 2 2 2" xfId="21937"/>
    <cellStyle name="Normal 10 3 2 7 2 3" xfId="14514"/>
    <cellStyle name="Normal 10 3 2 7 2 3 2" xfId="25631"/>
    <cellStyle name="Normal 10 3 2 7 2 4" xfId="18243"/>
    <cellStyle name="Normal 10 3 2 7 3" xfId="8968"/>
    <cellStyle name="Normal 10 3 2 7 3 2" xfId="20090"/>
    <cellStyle name="Normal 10 3 2 7 4" xfId="12667"/>
    <cellStyle name="Normal 10 3 2 7 4 2" xfId="23784"/>
    <cellStyle name="Normal 10 3 2 7 5" xfId="16396"/>
    <cellStyle name="Normal 10 3 2 8" xfId="6195"/>
    <cellStyle name="Normal 10 3 2 8 2" xfId="9897"/>
    <cellStyle name="Normal 10 3 2 8 2 2" xfId="21019"/>
    <cellStyle name="Normal 10 3 2 8 3" xfId="13596"/>
    <cellStyle name="Normal 10 3 2 8 3 2" xfId="24713"/>
    <cellStyle name="Normal 10 3 2 8 4" xfId="17325"/>
    <cellStyle name="Normal 10 3 2 9" xfId="8048"/>
    <cellStyle name="Normal 10 3 2 9 2" xfId="19172"/>
    <cellStyle name="Normal 10 3 3" xfId="1573"/>
    <cellStyle name="Normal 10 3 3 10" xfId="11771"/>
    <cellStyle name="Normal 10 3 3 10 2" xfId="22888"/>
    <cellStyle name="Normal 10 3 3 11" xfId="15500"/>
    <cellStyle name="Normal 10 3 3 2" xfId="1692"/>
    <cellStyle name="Normal 10 3 3 2 10" xfId="15606"/>
    <cellStyle name="Normal 10 3 3 2 2" xfId="2070"/>
    <cellStyle name="Normal 10 3 3 2 2 2" xfId="5190"/>
    <cellStyle name="Normal 10 3 3 2 2 2 2" xfId="7541"/>
    <cellStyle name="Normal 10 3 3 2 2 2 2 2" xfId="11242"/>
    <cellStyle name="Normal 10 3 3 2 2 2 2 2 2" xfId="22364"/>
    <cellStyle name="Normal 10 3 3 2 2 2 2 3" xfId="14941"/>
    <cellStyle name="Normal 10 3 3 2 2 2 2 3 2" xfId="26058"/>
    <cellStyle name="Normal 10 3 3 2 2 2 2 4" xfId="18670"/>
    <cellStyle name="Normal 10 3 3 2 2 2 3" xfId="9395"/>
    <cellStyle name="Normal 10 3 3 2 2 2 3 2" xfId="20517"/>
    <cellStyle name="Normal 10 3 3 2 2 2 4" xfId="13094"/>
    <cellStyle name="Normal 10 3 3 2 2 2 4 2" xfId="24211"/>
    <cellStyle name="Normal 10 3 3 2 2 2 5" xfId="16823"/>
    <cellStyle name="Normal 10 3 3 2 2 3" xfId="6622"/>
    <cellStyle name="Normal 10 3 3 2 2 3 2" xfId="10324"/>
    <cellStyle name="Normal 10 3 3 2 2 3 2 2" xfId="21446"/>
    <cellStyle name="Normal 10 3 3 2 2 3 3" xfId="14023"/>
    <cellStyle name="Normal 10 3 3 2 2 3 3 2" xfId="25140"/>
    <cellStyle name="Normal 10 3 3 2 2 3 4" xfId="17752"/>
    <cellStyle name="Normal 10 3 3 2 2 4" xfId="8476"/>
    <cellStyle name="Normal 10 3 3 2 2 4 2" xfId="19599"/>
    <cellStyle name="Normal 10 3 3 2 2 5" xfId="12176"/>
    <cellStyle name="Normal 10 3 3 2 2 5 2" xfId="23293"/>
    <cellStyle name="Normal 10 3 3 2 2 6" xfId="15905"/>
    <cellStyle name="Normal 10 3 3 2 3" xfId="1902"/>
    <cellStyle name="Normal 10 3 3 2 3 2" xfId="5099"/>
    <cellStyle name="Normal 10 3 3 2 3 2 2" xfId="7450"/>
    <cellStyle name="Normal 10 3 3 2 3 2 2 2" xfId="11151"/>
    <cellStyle name="Normal 10 3 3 2 3 2 2 2 2" xfId="22273"/>
    <cellStyle name="Normal 10 3 3 2 3 2 2 3" xfId="14850"/>
    <cellStyle name="Normal 10 3 3 2 3 2 2 3 2" xfId="25967"/>
    <cellStyle name="Normal 10 3 3 2 3 2 2 4" xfId="18579"/>
    <cellStyle name="Normal 10 3 3 2 3 2 3" xfId="9304"/>
    <cellStyle name="Normal 10 3 3 2 3 2 3 2" xfId="20426"/>
    <cellStyle name="Normal 10 3 3 2 3 2 4" xfId="13003"/>
    <cellStyle name="Normal 10 3 3 2 3 2 4 2" xfId="24120"/>
    <cellStyle name="Normal 10 3 3 2 3 2 5" xfId="16732"/>
    <cellStyle name="Normal 10 3 3 2 3 3" xfId="6531"/>
    <cellStyle name="Normal 10 3 3 2 3 3 2" xfId="10233"/>
    <cellStyle name="Normal 10 3 3 2 3 3 2 2" xfId="21355"/>
    <cellStyle name="Normal 10 3 3 2 3 3 3" xfId="13932"/>
    <cellStyle name="Normal 10 3 3 2 3 3 3 2" xfId="25049"/>
    <cellStyle name="Normal 10 3 3 2 3 3 4" xfId="17661"/>
    <cellStyle name="Normal 10 3 3 2 3 4" xfId="8385"/>
    <cellStyle name="Normal 10 3 3 2 3 4 2" xfId="19508"/>
    <cellStyle name="Normal 10 3 3 2 3 5" xfId="12085"/>
    <cellStyle name="Normal 10 3 3 2 3 5 2" xfId="23202"/>
    <cellStyle name="Normal 10 3 3 2 3 6" xfId="15814"/>
    <cellStyle name="Normal 10 3 3 2 4" xfId="3287"/>
    <cellStyle name="Normal 10 3 3 2 4 2" xfId="6811"/>
    <cellStyle name="Normal 10 3 3 2 4 2 2" xfId="10513"/>
    <cellStyle name="Normal 10 3 3 2 4 2 2 2" xfId="21635"/>
    <cellStyle name="Normal 10 3 3 2 4 2 3" xfId="14212"/>
    <cellStyle name="Normal 10 3 3 2 4 2 3 2" xfId="25329"/>
    <cellStyle name="Normal 10 3 3 2 4 2 4" xfId="17941"/>
    <cellStyle name="Normal 10 3 3 2 4 3" xfId="8665"/>
    <cellStyle name="Normal 10 3 3 2 4 3 2" xfId="19788"/>
    <cellStyle name="Normal 10 3 3 2 4 4" xfId="12365"/>
    <cellStyle name="Normal 10 3 3 2 4 4 2" xfId="23482"/>
    <cellStyle name="Normal 10 3 3 2 4 5" xfId="16094"/>
    <cellStyle name="Normal 10 3 3 2 5" xfId="4891"/>
    <cellStyle name="Normal 10 3 3 2 5 2" xfId="7242"/>
    <cellStyle name="Normal 10 3 3 2 5 2 2" xfId="10943"/>
    <cellStyle name="Normal 10 3 3 2 5 2 2 2" xfId="22065"/>
    <cellStyle name="Normal 10 3 3 2 5 2 3" xfId="14642"/>
    <cellStyle name="Normal 10 3 3 2 5 2 3 2" xfId="25759"/>
    <cellStyle name="Normal 10 3 3 2 5 2 4" xfId="18371"/>
    <cellStyle name="Normal 10 3 3 2 5 3" xfId="9096"/>
    <cellStyle name="Normal 10 3 3 2 5 3 2" xfId="20218"/>
    <cellStyle name="Normal 10 3 3 2 5 4" xfId="12795"/>
    <cellStyle name="Normal 10 3 3 2 5 4 2" xfId="23912"/>
    <cellStyle name="Normal 10 3 3 2 5 5" xfId="16524"/>
    <cellStyle name="Normal 10 3 3 2 6" xfId="5621"/>
    <cellStyle name="Normal 10 3 3 2 6 2" xfId="7731"/>
    <cellStyle name="Normal 10 3 3 2 6 2 2" xfId="11432"/>
    <cellStyle name="Normal 10 3 3 2 6 2 2 2" xfId="22554"/>
    <cellStyle name="Normal 10 3 3 2 6 2 3" xfId="15131"/>
    <cellStyle name="Normal 10 3 3 2 6 2 3 2" xfId="26248"/>
    <cellStyle name="Normal 10 3 3 2 6 2 4" xfId="18860"/>
    <cellStyle name="Normal 10 3 3 2 6 3" xfId="9585"/>
    <cellStyle name="Normal 10 3 3 2 6 3 2" xfId="20707"/>
    <cellStyle name="Normal 10 3 3 2 6 4" xfId="13284"/>
    <cellStyle name="Normal 10 3 3 2 6 4 2" xfId="24401"/>
    <cellStyle name="Normal 10 3 3 2 6 5" xfId="17013"/>
    <cellStyle name="Normal 10 3 3 2 7" xfId="6323"/>
    <cellStyle name="Normal 10 3 3 2 7 2" xfId="10025"/>
    <cellStyle name="Normal 10 3 3 2 7 2 2" xfId="21147"/>
    <cellStyle name="Normal 10 3 3 2 7 3" xfId="13724"/>
    <cellStyle name="Normal 10 3 3 2 7 3 2" xfId="24841"/>
    <cellStyle name="Normal 10 3 3 2 7 4" xfId="17453"/>
    <cellStyle name="Normal 10 3 3 2 8" xfId="8177"/>
    <cellStyle name="Normal 10 3 3 2 8 2" xfId="19300"/>
    <cellStyle name="Normal 10 3 3 2 9" xfId="11877"/>
    <cellStyle name="Normal 10 3 3 2 9 2" xfId="22994"/>
    <cellStyle name="Normal 10 3 3 3" xfId="2069"/>
    <cellStyle name="Normal 10 3 3 3 2" xfId="5189"/>
    <cellStyle name="Normal 10 3 3 3 2 2" xfId="7540"/>
    <cellStyle name="Normal 10 3 3 3 2 2 2" xfId="11241"/>
    <cellStyle name="Normal 10 3 3 3 2 2 2 2" xfId="22363"/>
    <cellStyle name="Normal 10 3 3 3 2 2 3" xfId="14940"/>
    <cellStyle name="Normal 10 3 3 3 2 2 3 2" xfId="26057"/>
    <cellStyle name="Normal 10 3 3 3 2 2 4" xfId="18669"/>
    <cellStyle name="Normal 10 3 3 3 2 3" xfId="9394"/>
    <cellStyle name="Normal 10 3 3 3 2 3 2" xfId="20516"/>
    <cellStyle name="Normal 10 3 3 3 2 4" xfId="13093"/>
    <cellStyle name="Normal 10 3 3 3 2 4 2" xfId="24210"/>
    <cellStyle name="Normal 10 3 3 3 2 5" xfId="16822"/>
    <cellStyle name="Normal 10 3 3 3 3" xfId="6621"/>
    <cellStyle name="Normal 10 3 3 3 3 2" xfId="10323"/>
    <cellStyle name="Normal 10 3 3 3 3 2 2" xfId="21445"/>
    <cellStyle name="Normal 10 3 3 3 3 3" xfId="14022"/>
    <cellStyle name="Normal 10 3 3 3 3 3 2" xfId="25139"/>
    <cellStyle name="Normal 10 3 3 3 3 4" xfId="17751"/>
    <cellStyle name="Normal 10 3 3 3 4" xfId="8475"/>
    <cellStyle name="Normal 10 3 3 3 4 2" xfId="19598"/>
    <cellStyle name="Normal 10 3 3 3 5" xfId="12175"/>
    <cellStyle name="Normal 10 3 3 3 5 2" xfId="23292"/>
    <cellStyle name="Normal 10 3 3 3 6" xfId="15904"/>
    <cellStyle name="Normal 10 3 3 4" xfId="1796"/>
    <cellStyle name="Normal 10 3 3 4 2" xfId="4993"/>
    <cellStyle name="Normal 10 3 3 4 2 2" xfId="7344"/>
    <cellStyle name="Normal 10 3 3 4 2 2 2" xfId="11045"/>
    <cellStyle name="Normal 10 3 3 4 2 2 2 2" xfId="22167"/>
    <cellStyle name="Normal 10 3 3 4 2 2 3" xfId="14744"/>
    <cellStyle name="Normal 10 3 3 4 2 2 3 2" xfId="25861"/>
    <cellStyle name="Normal 10 3 3 4 2 2 4" xfId="18473"/>
    <cellStyle name="Normal 10 3 3 4 2 3" xfId="9198"/>
    <cellStyle name="Normal 10 3 3 4 2 3 2" xfId="20320"/>
    <cellStyle name="Normal 10 3 3 4 2 4" xfId="12897"/>
    <cellStyle name="Normal 10 3 3 4 2 4 2" xfId="24014"/>
    <cellStyle name="Normal 10 3 3 4 2 5" xfId="16626"/>
    <cellStyle name="Normal 10 3 3 4 3" xfId="6425"/>
    <cellStyle name="Normal 10 3 3 4 3 2" xfId="10127"/>
    <cellStyle name="Normal 10 3 3 4 3 2 2" xfId="21249"/>
    <cellStyle name="Normal 10 3 3 4 3 3" xfId="13826"/>
    <cellStyle name="Normal 10 3 3 4 3 3 2" xfId="24943"/>
    <cellStyle name="Normal 10 3 3 4 3 4" xfId="17555"/>
    <cellStyle name="Normal 10 3 3 4 4" xfId="8279"/>
    <cellStyle name="Normal 10 3 3 4 4 2" xfId="19402"/>
    <cellStyle name="Normal 10 3 3 4 5" xfId="11979"/>
    <cellStyle name="Normal 10 3 3 4 5 2" xfId="23096"/>
    <cellStyle name="Normal 10 3 3 4 6" xfId="15708"/>
    <cellStyle name="Normal 10 3 3 5" xfId="3286"/>
    <cellStyle name="Normal 10 3 3 5 2" xfId="6810"/>
    <cellStyle name="Normal 10 3 3 5 2 2" xfId="10512"/>
    <cellStyle name="Normal 10 3 3 5 2 2 2" xfId="21634"/>
    <cellStyle name="Normal 10 3 3 5 2 3" xfId="14211"/>
    <cellStyle name="Normal 10 3 3 5 2 3 2" xfId="25328"/>
    <cellStyle name="Normal 10 3 3 5 2 4" xfId="17940"/>
    <cellStyle name="Normal 10 3 3 5 3" xfId="8664"/>
    <cellStyle name="Normal 10 3 3 5 3 2" xfId="19787"/>
    <cellStyle name="Normal 10 3 3 5 4" xfId="12364"/>
    <cellStyle name="Normal 10 3 3 5 4 2" xfId="23481"/>
    <cellStyle name="Normal 10 3 3 5 5" xfId="16093"/>
    <cellStyle name="Normal 10 3 3 6" xfId="4785"/>
    <cellStyle name="Normal 10 3 3 6 2" xfId="7136"/>
    <cellStyle name="Normal 10 3 3 6 2 2" xfId="10837"/>
    <cellStyle name="Normal 10 3 3 6 2 2 2" xfId="21959"/>
    <cellStyle name="Normal 10 3 3 6 2 3" xfId="14536"/>
    <cellStyle name="Normal 10 3 3 6 2 3 2" xfId="25653"/>
    <cellStyle name="Normal 10 3 3 6 2 4" xfId="18265"/>
    <cellStyle name="Normal 10 3 3 6 3" xfId="8990"/>
    <cellStyle name="Normal 10 3 3 6 3 2" xfId="20112"/>
    <cellStyle name="Normal 10 3 3 6 4" xfId="12689"/>
    <cellStyle name="Normal 10 3 3 6 4 2" xfId="23806"/>
    <cellStyle name="Normal 10 3 3 6 5" xfId="16418"/>
    <cellStyle name="Normal 10 3 3 7" xfId="5620"/>
    <cellStyle name="Normal 10 3 3 7 2" xfId="7730"/>
    <cellStyle name="Normal 10 3 3 7 2 2" xfId="11431"/>
    <cellStyle name="Normal 10 3 3 7 2 2 2" xfId="22553"/>
    <cellStyle name="Normal 10 3 3 7 2 3" xfId="15130"/>
    <cellStyle name="Normal 10 3 3 7 2 3 2" xfId="26247"/>
    <cellStyle name="Normal 10 3 3 7 2 4" xfId="18859"/>
    <cellStyle name="Normal 10 3 3 7 3" xfId="9584"/>
    <cellStyle name="Normal 10 3 3 7 3 2" xfId="20706"/>
    <cellStyle name="Normal 10 3 3 7 4" xfId="13283"/>
    <cellStyle name="Normal 10 3 3 7 4 2" xfId="24400"/>
    <cellStyle name="Normal 10 3 3 7 5" xfId="17012"/>
    <cellStyle name="Normal 10 3 3 8" xfId="6217"/>
    <cellStyle name="Normal 10 3 3 8 2" xfId="9919"/>
    <cellStyle name="Normal 10 3 3 8 2 2" xfId="21041"/>
    <cellStyle name="Normal 10 3 3 8 3" xfId="13618"/>
    <cellStyle name="Normal 10 3 3 8 3 2" xfId="24735"/>
    <cellStyle name="Normal 10 3 3 8 4" xfId="17347"/>
    <cellStyle name="Normal 10 3 3 9" xfId="8071"/>
    <cellStyle name="Normal 10 3 3 9 2" xfId="19194"/>
    <cellStyle name="Normal 10 3 4" xfId="1636"/>
    <cellStyle name="Normal 10 3 4 10" xfId="15553"/>
    <cellStyle name="Normal 10 3 4 2" xfId="2071"/>
    <cellStyle name="Normal 10 3 4 2 2" xfId="5191"/>
    <cellStyle name="Normal 10 3 4 2 2 2" xfId="7542"/>
    <cellStyle name="Normal 10 3 4 2 2 2 2" xfId="11243"/>
    <cellStyle name="Normal 10 3 4 2 2 2 2 2" xfId="22365"/>
    <cellStyle name="Normal 10 3 4 2 2 2 3" xfId="14942"/>
    <cellStyle name="Normal 10 3 4 2 2 2 3 2" xfId="26059"/>
    <cellStyle name="Normal 10 3 4 2 2 2 4" xfId="18671"/>
    <cellStyle name="Normal 10 3 4 2 2 3" xfId="9396"/>
    <cellStyle name="Normal 10 3 4 2 2 3 2" xfId="20518"/>
    <cellStyle name="Normal 10 3 4 2 2 4" xfId="13095"/>
    <cellStyle name="Normal 10 3 4 2 2 4 2" xfId="24212"/>
    <cellStyle name="Normal 10 3 4 2 2 5" xfId="16824"/>
    <cellStyle name="Normal 10 3 4 2 3" xfId="6623"/>
    <cellStyle name="Normal 10 3 4 2 3 2" xfId="10325"/>
    <cellStyle name="Normal 10 3 4 2 3 2 2" xfId="21447"/>
    <cellStyle name="Normal 10 3 4 2 3 3" xfId="14024"/>
    <cellStyle name="Normal 10 3 4 2 3 3 2" xfId="25141"/>
    <cellStyle name="Normal 10 3 4 2 3 4" xfId="17753"/>
    <cellStyle name="Normal 10 3 4 2 4" xfId="8477"/>
    <cellStyle name="Normal 10 3 4 2 4 2" xfId="19600"/>
    <cellStyle name="Normal 10 3 4 2 5" xfId="12177"/>
    <cellStyle name="Normal 10 3 4 2 5 2" xfId="23294"/>
    <cellStyle name="Normal 10 3 4 2 6" xfId="15906"/>
    <cellStyle name="Normal 10 3 4 3" xfId="1849"/>
    <cellStyle name="Normal 10 3 4 3 2" xfId="5046"/>
    <cellStyle name="Normal 10 3 4 3 2 2" xfId="7397"/>
    <cellStyle name="Normal 10 3 4 3 2 2 2" xfId="11098"/>
    <cellStyle name="Normal 10 3 4 3 2 2 2 2" xfId="22220"/>
    <cellStyle name="Normal 10 3 4 3 2 2 3" xfId="14797"/>
    <cellStyle name="Normal 10 3 4 3 2 2 3 2" xfId="25914"/>
    <cellStyle name="Normal 10 3 4 3 2 2 4" xfId="18526"/>
    <cellStyle name="Normal 10 3 4 3 2 3" xfId="9251"/>
    <cellStyle name="Normal 10 3 4 3 2 3 2" xfId="20373"/>
    <cellStyle name="Normal 10 3 4 3 2 4" xfId="12950"/>
    <cellStyle name="Normal 10 3 4 3 2 4 2" xfId="24067"/>
    <cellStyle name="Normal 10 3 4 3 2 5" xfId="16679"/>
    <cellStyle name="Normal 10 3 4 3 3" xfId="6478"/>
    <cellStyle name="Normal 10 3 4 3 3 2" xfId="10180"/>
    <cellStyle name="Normal 10 3 4 3 3 2 2" xfId="21302"/>
    <cellStyle name="Normal 10 3 4 3 3 3" xfId="13879"/>
    <cellStyle name="Normal 10 3 4 3 3 3 2" xfId="24996"/>
    <cellStyle name="Normal 10 3 4 3 3 4" xfId="17608"/>
    <cellStyle name="Normal 10 3 4 3 4" xfId="8332"/>
    <cellStyle name="Normal 10 3 4 3 4 2" xfId="19455"/>
    <cellStyle name="Normal 10 3 4 3 5" xfId="12032"/>
    <cellStyle name="Normal 10 3 4 3 5 2" xfId="23149"/>
    <cellStyle name="Normal 10 3 4 3 6" xfId="15761"/>
    <cellStyle name="Normal 10 3 4 4" xfId="3288"/>
    <cellStyle name="Normal 10 3 4 4 2" xfId="6812"/>
    <cellStyle name="Normal 10 3 4 4 2 2" xfId="10514"/>
    <cellStyle name="Normal 10 3 4 4 2 2 2" xfId="21636"/>
    <cellStyle name="Normal 10 3 4 4 2 3" xfId="14213"/>
    <cellStyle name="Normal 10 3 4 4 2 3 2" xfId="25330"/>
    <cellStyle name="Normal 10 3 4 4 2 4" xfId="17942"/>
    <cellStyle name="Normal 10 3 4 4 3" xfId="8666"/>
    <cellStyle name="Normal 10 3 4 4 3 2" xfId="19789"/>
    <cellStyle name="Normal 10 3 4 4 4" xfId="12366"/>
    <cellStyle name="Normal 10 3 4 4 4 2" xfId="23483"/>
    <cellStyle name="Normal 10 3 4 4 5" xfId="16095"/>
    <cellStyle name="Normal 10 3 4 5" xfId="4838"/>
    <cellStyle name="Normal 10 3 4 5 2" xfId="7189"/>
    <cellStyle name="Normal 10 3 4 5 2 2" xfId="10890"/>
    <cellStyle name="Normal 10 3 4 5 2 2 2" xfId="22012"/>
    <cellStyle name="Normal 10 3 4 5 2 3" xfId="14589"/>
    <cellStyle name="Normal 10 3 4 5 2 3 2" xfId="25706"/>
    <cellStyle name="Normal 10 3 4 5 2 4" xfId="18318"/>
    <cellStyle name="Normal 10 3 4 5 3" xfId="9043"/>
    <cellStyle name="Normal 10 3 4 5 3 2" xfId="20165"/>
    <cellStyle name="Normal 10 3 4 5 4" xfId="12742"/>
    <cellStyle name="Normal 10 3 4 5 4 2" xfId="23859"/>
    <cellStyle name="Normal 10 3 4 5 5" xfId="16471"/>
    <cellStyle name="Normal 10 3 4 6" xfId="5622"/>
    <cellStyle name="Normal 10 3 4 6 2" xfId="7732"/>
    <cellStyle name="Normal 10 3 4 6 2 2" xfId="11433"/>
    <cellStyle name="Normal 10 3 4 6 2 2 2" xfId="22555"/>
    <cellStyle name="Normal 10 3 4 6 2 3" xfId="15132"/>
    <cellStyle name="Normal 10 3 4 6 2 3 2" xfId="26249"/>
    <cellStyle name="Normal 10 3 4 6 2 4" xfId="18861"/>
    <cellStyle name="Normal 10 3 4 6 3" xfId="9586"/>
    <cellStyle name="Normal 10 3 4 6 3 2" xfId="20708"/>
    <cellStyle name="Normal 10 3 4 6 4" xfId="13285"/>
    <cellStyle name="Normal 10 3 4 6 4 2" xfId="24402"/>
    <cellStyle name="Normal 10 3 4 6 5" xfId="17014"/>
    <cellStyle name="Normal 10 3 4 7" xfId="6270"/>
    <cellStyle name="Normal 10 3 4 7 2" xfId="9972"/>
    <cellStyle name="Normal 10 3 4 7 2 2" xfId="21094"/>
    <cellStyle name="Normal 10 3 4 7 3" xfId="13671"/>
    <cellStyle name="Normal 10 3 4 7 3 2" xfId="24788"/>
    <cellStyle name="Normal 10 3 4 7 4" xfId="17400"/>
    <cellStyle name="Normal 10 3 4 8" xfId="8124"/>
    <cellStyle name="Normal 10 3 4 8 2" xfId="19247"/>
    <cellStyle name="Normal 10 3 4 9" xfId="11824"/>
    <cellStyle name="Normal 10 3 4 9 2" xfId="22941"/>
    <cellStyle name="Normal 10 3 5" xfId="2064"/>
    <cellStyle name="Normal 10 3 5 2" xfId="4679"/>
    <cellStyle name="Normal 10 3 5 2 2" xfId="7060"/>
    <cellStyle name="Normal 10 3 5 2 2 2" xfId="10761"/>
    <cellStyle name="Normal 10 3 5 2 2 2 2" xfId="21883"/>
    <cellStyle name="Normal 10 3 5 2 2 3" xfId="14460"/>
    <cellStyle name="Normal 10 3 5 2 2 3 2" xfId="25577"/>
    <cellStyle name="Normal 10 3 5 2 2 4" xfId="18189"/>
    <cellStyle name="Normal 10 3 5 2 3" xfId="8914"/>
    <cellStyle name="Normal 10 3 5 2 3 2" xfId="20036"/>
    <cellStyle name="Normal 10 3 5 2 4" xfId="12613"/>
    <cellStyle name="Normal 10 3 5 2 4 2" xfId="23730"/>
    <cellStyle name="Normal 10 3 5 2 5" xfId="16342"/>
    <cellStyle name="Normal 10 3 5 3" xfId="5184"/>
    <cellStyle name="Normal 10 3 5 3 2" xfId="7535"/>
    <cellStyle name="Normal 10 3 5 3 2 2" xfId="11236"/>
    <cellStyle name="Normal 10 3 5 3 2 2 2" xfId="22358"/>
    <cellStyle name="Normal 10 3 5 3 2 3" xfId="14935"/>
    <cellStyle name="Normal 10 3 5 3 2 3 2" xfId="26052"/>
    <cellStyle name="Normal 10 3 5 3 2 4" xfId="18664"/>
    <cellStyle name="Normal 10 3 5 3 3" xfId="9389"/>
    <cellStyle name="Normal 10 3 5 3 3 2" xfId="20511"/>
    <cellStyle name="Normal 10 3 5 3 4" xfId="13088"/>
    <cellStyle name="Normal 10 3 5 3 4 2" xfId="24205"/>
    <cellStyle name="Normal 10 3 5 3 5" xfId="16817"/>
    <cellStyle name="Normal 10 3 5 4" xfId="5899"/>
    <cellStyle name="Normal 10 3 5 4 2" xfId="7979"/>
    <cellStyle name="Normal 10 3 5 4 2 2" xfId="11680"/>
    <cellStyle name="Normal 10 3 5 4 2 2 2" xfId="22802"/>
    <cellStyle name="Normal 10 3 5 4 2 3" xfId="15379"/>
    <cellStyle name="Normal 10 3 5 4 2 3 2" xfId="26496"/>
    <cellStyle name="Normal 10 3 5 4 2 4" xfId="19108"/>
    <cellStyle name="Normal 10 3 5 4 3" xfId="9833"/>
    <cellStyle name="Normal 10 3 5 4 3 2" xfId="20955"/>
    <cellStyle name="Normal 10 3 5 4 4" xfId="13532"/>
    <cellStyle name="Normal 10 3 5 4 4 2" xfId="24649"/>
    <cellStyle name="Normal 10 3 5 4 5" xfId="17261"/>
    <cellStyle name="Normal 10 3 5 5" xfId="6616"/>
    <cellStyle name="Normal 10 3 5 5 2" xfId="10318"/>
    <cellStyle name="Normal 10 3 5 5 2 2" xfId="21440"/>
    <cellStyle name="Normal 10 3 5 5 3" xfId="14017"/>
    <cellStyle name="Normal 10 3 5 5 3 2" xfId="25134"/>
    <cellStyle name="Normal 10 3 5 5 4" xfId="17746"/>
    <cellStyle name="Normal 10 3 5 6" xfId="8470"/>
    <cellStyle name="Normal 10 3 5 6 2" xfId="19593"/>
    <cellStyle name="Normal 10 3 5 7" xfId="12170"/>
    <cellStyle name="Normal 10 3 5 7 2" xfId="23287"/>
    <cellStyle name="Normal 10 3 5 8" xfId="15899"/>
    <cellStyle name="Normal 10 3 6" xfId="1745"/>
    <cellStyle name="Normal 10 3 6 2" xfId="4942"/>
    <cellStyle name="Normal 10 3 6 2 2" xfId="7293"/>
    <cellStyle name="Normal 10 3 6 2 2 2" xfId="10994"/>
    <cellStyle name="Normal 10 3 6 2 2 2 2" xfId="22116"/>
    <cellStyle name="Normal 10 3 6 2 2 3" xfId="14693"/>
    <cellStyle name="Normal 10 3 6 2 2 3 2" xfId="25810"/>
    <cellStyle name="Normal 10 3 6 2 2 4" xfId="18422"/>
    <cellStyle name="Normal 10 3 6 2 3" xfId="9147"/>
    <cellStyle name="Normal 10 3 6 2 3 2" xfId="20269"/>
    <cellStyle name="Normal 10 3 6 2 4" xfId="12846"/>
    <cellStyle name="Normal 10 3 6 2 4 2" xfId="23963"/>
    <cellStyle name="Normal 10 3 6 2 5" xfId="16575"/>
    <cellStyle name="Normal 10 3 6 3" xfId="6374"/>
    <cellStyle name="Normal 10 3 6 3 2" xfId="10076"/>
    <cellStyle name="Normal 10 3 6 3 2 2" xfId="21198"/>
    <cellStyle name="Normal 10 3 6 3 3" xfId="13775"/>
    <cellStyle name="Normal 10 3 6 3 3 2" xfId="24892"/>
    <cellStyle name="Normal 10 3 6 3 4" xfId="17504"/>
    <cellStyle name="Normal 10 3 6 4" xfId="8228"/>
    <cellStyle name="Normal 10 3 6 4 2" xfId="19351"/>
    <cellStyle name="Normal 10 3 6 5" xfId="11928"/>
    <cellStyle name="Normal 10 3 6 5 2" xfId="23045"/>
    <cellStyle name="Normal 10 3 6 6" xfId="15657"/>
    <cellStyle name="Normal 10 3 7" xfId="3280"/>
    <cellStyle name="Normal 10 3 7 2" xfId="6805"/>
    <cellStyle name="Normal 10 3 7 2 2" xfId="10507"/>
    <cellStyle name="Normal 10 3 7 2 2 2" xfId="21629"/>
    <cellStyle name="Normal 10 3 7 2 3" xfId="14206"/>
    <cellStyle name="Normal 10 3 7 2 3 2" xfId="25323"/>
    <cellStyle name="Normal 10 3 7 2 4" xfId="17935"/>
    <cellStyle name="Normal 10 3 7 3" xfId="8659"/>
    <cellStyle name="Normal 10 3 7 3 2" xfId="19782"/>
    <cellStyle name="Normal 10 3 7 4" xfId="12359"/>
    <cellStyle name="Normal 10 3 7 4 2" xfId="23476"/>
    <cellStyle name="Normal 10 3 7 5" xfId="16088"/>
    <cellStyle name="Normal 10 3 8" xfId="4733"/>
    <cellStyle name="Normal 10 3 8 2" xfId="7085"/>
    <cellStyle name="Normal 10 3 8 2 2" xfId="10786"/>
    <cellStyle name="Normal 10 3 8 2 2 2" xfId="21908"/>
    <cellStyle name="Normal 10 3 8 2 3" xfId="14485"/>
    <cellStyle name="Normal 10 3 8 2 3 2" xfId="25602"/>
    <cellStyle name="Normal 10 3 8 2 4" xfId="18214"/>
    <cellStyle name="Normal 10 3 8 3" xfId="8939"/>
    <cellStyle name="Normal 10 3 8 3 2" xfId="20061"/>
    <cellStyle name="Normal 10 3 8 4" xfId="12638"/>
    <cellStyle name="Normal 10 3 8 4 2" xfId="23755"/>
    <cellStyle name="Normal 10 3 8 5" xfId="16367"/>
    <cellStyle name="Normal 10 3 9" xfId="5615"/>
    <cellStyle name="Normal 10 3 9 2" xfId="7725"/>
    <cellStyle name="Normal 10 3 9 2 2" xfId="11426"/>
    <cellStyle name="Normal 10 3 9 2 2 2" xfId="22548"/>
    <cellStyle name="Normal 10 3 9 2 3" xfId="15125"/>
    <cellStyle name="Normal 10 3 9 2 3 2" xfId="26242"/>
    <cellStyle name="Normal 10 3 9 2 4" xfId="18854"/>
    <cellStyle name="Normal 10 3 9 3" xfId="9579"/>
    <cellStyle name="Normal 10 3 9 3 2" xfId="20701"/>
    <cellStyle name="Normal 10 3 9 4" xfId="13278"/>
    <cellStyle name="Normal 10 3 9 4 2" xfId="24395"/>
    <cellStyle name="Normal 10 3 9 5" xfId="17007"/>
    <cellStyle name="Normal 10 4" xfId="877"/>
    <cellStyle name="Normal 10 4 10" xfId="6188"/>
    <cellStyle name="Normal 10 4 10 2" xfId="9890"/>
    <cellStyle name="Normal 10 4 10 2 2" xfId="21012"/>
    <cellStyle name="Normal 10 4 10 3" xfId="13589"/>
    <cellStyle name="Normal 10 4 10 3 2" xfId="24706"/>
    <cellStyle name="Normal 10 4 10 4" xfId="17318"/>
    <cellStyle name="Normal 10 4 11" xfId="8041"/>
    <cellStyle name="Normal 10 4 11 2" xfId="19165"/>
    <cellStyle name="Normal 10 4 12" xfId="11742"/>
    <cellStyle name="Normal 10 4 12 2" xfId="22859"/>
    <cellStyle name="Normal 10 4 13" xfId="15471"/>
    <cellStyle name="Normal 10 4 2" xfId="1595"/>
    <cellStyle name="Normal 10 4 2 10" xfId="15522"/>
    <cellStyle name="Normal 10 4 2 2" xfId="1714"/>
    <cellStyle name="Normal 10 4 2 2 2" xfId="2074"/>
    <cellStyle name="Normal 10 4 2 2 2 2" xfId="5194"/>
    <cellStyle name="Normal 10 4 2 2 2 2 2" xfId="7545"/>
    <cellStyle name="Normal 10 4 2 2 2 2 2 2" xfId="11246"/>
    <cellStyle name="Normal 10 4 2 2 2 2 2 2 2" xfId="22368"/>
    <cellStyle name="Normal 10 4 2 2 2 2 2 3" xfId="14945"/>
    <cellStyle name="Normal 10 4 2 2 2 2 2 3 2" xfId="26062"/>
    <cellStyle name="Normal 10 4 2 2 2 2 2 4" xfId="18674"/>
    <cellStyle name="Normal 10 4 2 2 2 2 3" xfId="9399"/>
    <cellStyle name="Normal 10 4 2 2 2 2 3 2" xfId="20521"/>
    <cellStyle name="Normal 10 4 2 2 2 2 4" xfId="13098"/>
    <cellStyle name="Normal 10 4 2 2 2 2 4 2" xfId="24215"/>
    <cellStyle name="Normal 10 4 2 2 2 2 5" xfId="16827"/>
    <cellStyle name="Normal 10 4 2 2 2 3" xfId="6626"/>
    <cellStyle name="Normal 10 4 2 2 2 3 2" xfId="10328"/>
    <cellStyle name="Normal 10 4 2 2 2 3 2 2" xfId="21450"/>
    <cellStyle name="Normal 10 4 2 2 2 3 3" xfId="14027"/>
    <cellStyle name="Normal 10 4 2 2 2 3 3 2" xfId="25144"/>
    <cellStyle name="Normal 10 4 2 2 2 3 4" xfId="17756"/>
    <cellStyle name="Normal 10 4 2 2 2 4" xfId="8480"/>
    <cellStyle name="Normal 10 4 2 2 2 4 2" xfId="19603"/>
    <cellStyle name="Normal 10 4 2 2 2 5" xfId="12180"/>
    <cellStyle name="Normal 10 4 2 2 2 5 2" xfId="23297"/>
    <cellStyle name="Normal 10 4 2 2 2 6" xfId="15909"/>
    <cellStyle name="Normal 10 4 2 2 3" xfId="1924"/>
    <cellStyle name="Normal 10 4 2 2 3 2" xfId="5121"/>
    <cellStyle name="Normal 10 4 2 2 3 2 2" xfId="7472"/>
    <cellStyle name="Normal 10 4 2 2 3 2 2 2" xfId="11173"/>
    <cellStyle name="Normal 10 4 2 2 3 2 2 2 2" xfId="22295"/>
    <cellStyle name="Normal 10 4 2 2 3 2 2 3" xfId="14872"/>
    <cellStyle name="Normal 10 4 2 2 3 2 2 3 2" xfId="25989"/>
    <cellStyle name="Normal 10 4 2 2 3 2 2 4" xfId="18601"/>
    <cellStyle name="Normal 10 4 2 2 3 2 3" xfId="9326"/>
    <cellStyle name="Normal 10 4 2 2 3 2 3 2" xfId="20448"/>
    <cellStyle name="Normal 10 4 2 2 3 2 4" xfId="13025"/>
    <cellStyle name="Normal 10 4 2 2 3 2 4 2" xfId="24142"/>
    <cellStyle name="Normal 10 4 2 2 3 2 5" xfId="16754"/>
    <cellStyle name="Normal 10 4 2 2 3 3" xfId="6553"/>
    <cellStyle name="Normal 10 4 2 2 3 3 2" xfId="10255"/>
    <cellStyle name="Normal 10 4 2 2 3 3 2 2" xfId="21377"/>
    <cellStyle name="Normal 10 4 2 2 3 3 3" xfId="13954"/>
    <cellStyle name="Normal 10 4 2 2 3 3 3 2" xfId="25071"/>
    <cellStyle name="Normal 10 4 2 2 3 3 4" xfId="17683"/>
    <cellStyle name="Normal 10 4 2 2 3 4" xfId="8407"/>
    <cellStyle name="Normal 10 4 2 2 3 4 2" xfId="19530"/>
    <cellStyle name="Normal 10 4 2 2 3 5" xfId="12107"/>
    <cellStyle name="Normal 10 4 2 2 3 5 2" xfId="23224"/>
    <cellStyle name="Normal 10 4 2 2 3 6" xfId="15836"/>
    <cellStyle name="Normal 10 4 2 2 4" xfId="4913"/>
    <cellStyle name="Normal 10 4 2 2 4 2" xfId="7264"/>
    <cellStyle name="Normal 10 4 2 2 4 2 2" xfId="10965"/>
    <cellStyle name="Normal 10 4 2 2 4 2 2 2" xfId="22087"/>
    <cellStyle name="Normal 10 4 2 2 4 2 3" xfId="14664"/>
    <cellStyle name="Normal 10 4 2 2 4 2 3 2" xfId="25781"/>
    <cellStyle name="Normal 10 4 2 2 4 2 4" xfId="18393"/>
    <cellStyle name="Normal 10 4 2 2 4 3" xfId="9118"/>
    <cellStyle name="Normal 10 4 2 2 4 3 2" xfId="20240"/>
    <cellStyle name="Normal 10 4 2 2 4 4" xfId="12817"/>
    <cellStyle name="Normal 10 4 2 2 4 4 2" xfId="23934"/>
    <cellStyle name="Normal 10 4 2 2 4 5" xfId="16546"/>
    <cellStyle name="Normal 10 4 2 2 5" xfId="6345"/>
    <cellStyle name="Normal 10 4 2 2 5 2" xfId="10047"/>
    <cellStyle name="Normal 10 4 2 2 5 2 2" xfId="21169"/>
    <cellStyle name="Normal 10 4 2 2 5 3" xfId="13746"/>
    <cellStyle name="Normal 10 4 2 2 5 3 2" xfId="24863"/>
    <cellStyle name="Normal 10 4 2 2 5 4" xfId="17475"/>
    <cellStyle name="Normal 10 4 2 2 6" xfId="8199"/>
    <cellStyle name="Normal 10 4 2 2 6 2" xfId="19322"/>
    <cellStyle name="Normal 10 4 2 2 7" xfId="11899"/>
    <cellStyle name="Normal 10 4 2 2 7 2" xfId="23016"/>
    <cellStyle name="Normal 10 4 2 2 8" xfId="15628"/>
    <cellStyle name="Normal 10 4 2 3" xfId="2073"/>
    <cellStyle name="Normal 10 4 2 3 2" xfId="5193"/>
    <cellStyle name="Normal 10 4 2 3 2 2" xfId="7544"/>
    <cellStyle name="Normal 10 4 2 3 2 2 2" xfId="11245"/>
    <cellStyle name="Normal 10 4 2 3 2 2 2 2" xfId="22367"/>
    <cellStyle name="Normal 10 4 2 3 2 2 3" xfId="14944"/>
    <cellStyle name="Normal 10 4 2 3 2 2 3 2" xfId="26061"/>
    <cellStyle name="Normal 10 4 2 3 2 2 4" xfId="18673"/>
    <cellStyle name="Normal 10 4 2 3 2 3" xfId="9398"/>
    <cellStyle name="Normal 10 4 2 3 2 3 2" xfId="20520"/>
    <cellStyle name="Normal 10 4 2 3 2 4" xfId="13097"/>
    <cellStyle name="Normal 10 4 2 3 2 4 2" xfId="24214"/>
    <cellStyle name="Normal 10 4 2 3 2 5" xfId="16826"/>
    <cellStyle name="Normal 10 4 2 3 3" xfId="6625"/>
    <cellStyle name="Normal 10 4 2 3 3 2" xfId="10327"/>
    <cellStyle name="Normal 10 4 2 3 3 2 2" xfId="21449"/>
    <cellStyle name="Normal 10 4 2 3 3 3" xfId="14026"/>
    <cellStyle name="Normal 10 4 2 3 3 3 2" xfId="25143"/>
    <cellStyle name="Normal 10 4 2 3 3 4" xfId="17755"/>
    <cellStyle name="Normal 10 4 2 3 4" xfId="8479"/>
    <cellStyle name="Normal 10 4 2 3 4 2" xfId="19602"/>
    <cellStyle name="Normal 10 4 2 3 5" xfId="12179"/>
    <cellStyle name="Normal 10 4 2 3 5 2" xfId="23296"/>
    <cellStyle name="Normal 10 4 2 3 6" xfId="15908"/>
    <cellStyle name="Normal 10 4 2 4" xfId="1818"/>
    <cellStyle name="Normal 10 4 2 4 2" xfId="5015"/>
    <cellStyle name="Normal 10 4 2 4 2 2" xfId="7366"/>
    <cellStyle name="Normal 10 4 2 4 2 2 2" xfId="11067"/>
    <cellStyle name="Normal 10 4 2 4 2 2 2 2" xfId="22189"/>
    <cellStyle name="Normal 10 4 2 4 2 2 3" xfId="14766"/>
    <cellStyle name="Normal 10 4 2 4 2 2 3 2" xfId="25883"/>
    <cellStyle name="Normal 10 4 2 4 2 2 4" xfId="18495"/>
    <cellStyle name="Normal 10 4 2 4 2 3" xfId="9220"/>
    <cellStyle name="Normal 10 4 2 4 2 3 2" xfId="20342"/>
    <cellStyle name="Normal 10 4 2 4 2 4" xfId="12919"/>
    <cellStyle name="Normal 10 4 2 4 2 4 2" xfId="24036"/>
    <cellStyle name="Normal 10 4 2 4 2 5" xfId="16648"/>
    <cellStyle name="Normal 10 4 2 4 3" xfId="6447"/>
    <cellStyle name="Normal 10 4 2 4 3 2" xfId="10149"/>
    <cellStyle name="Normal 10 4 2 4 3 2 2" xfId="21271"/>
    <cellStyle name="Normal 10 4 2 4 3 3" xfId="13848"/>
    <cellStyle name="Normal 10 4 2 4 3 3 2" xfId="24965"/>
    <cellStyle name="Normal 10 4 2 4 3 4" xfId="17577"/>
    <cellStyle name="Normal 10 4 2 4 4" xfId="8301"/>
    <cellStyle name="Normal 10 4 2 4 4 2" xfId="19424"/>
    <cellStyle name="Normal 10 4 2 4 5" xfId="12001"/>
    <cellStyle name="Normal 10 4 2 4 5 2" xfId="23118"/>
    <cellStyle name="Normal 10 4 2 4 6" xfId="15730"/>
    <cellStyle name="Normal 10 4 2 5" xfId="3290"/>
    <cellStyle name="Normal 10 4 2 6" xfId="4807"/>
    <cellStyle name="Normal 10 4 2 6 2" xfId="7158"/>
    <cellStyle name="Normal 10 4 2 6 2 2" xfId="10859"/>
    <cellStyle name="Normal 10 4 2 6 2 2 2" xfId="21981"/>
    <cellStyle name="Normal 10 4 2 6 2 3" xfId="14558"/>
    <cellStyle name="Normal 10 4 2 6 2 3 2" xfId="25675"/>
    <cellStyle name="Normal 10 4 2 6 2 4" xfId="18287"/>
    <cellStyle name="Normal 10 4 2 6 3" xfId="9012"/>
    <cellStyle name="Normal 10 4 2 6 3 2" xfId="20134"/>
    <cellStyle name="Normal 10 4 2 6 4" xfId="12711"/>
    <cellStyle name="Normal 10 4 2 6 4 2" xfId="23828"/>
    <cellStyle name="Normal 10 4 2 6 5" xfId="16440"/>
    <cellStyle name="Normal 10 4 2 7" xfId="6239"/>
    <cellStyle name="Normal 10 4 2 7 2" xfId="9941"/>
    <cellStyle name="Normal 10 4 2 7 2 2" xfId="21063"/>
    <cellStyle name="Normal 10 4 2 7 3" xfId="13640"/>
    <cellStyle name="Normal 10 4 2 7 3 2" xfId="24757"/>
    <cellStyle name="Normal 10 4 2 7 4" xfId="17369"/>
    <cellStyle name="Normal 10 4 2 8" xfId="8093"/>
    <cellStyle name="Normal 10 4 2 8 2" xfId="19216"/>
    <cellStyle name="Normal 10 4 2 9" xfId="11793"/>
    <cellStyle name="Normal 10 4 2 9 2" xfId="22910"/>
    <cellStyle name="Normal 10 4 3" xfId="1659"/>
    <cellStyle name="Normal 10 4 3 2" xfId="2075"/>
    <cellStyle name="Normal 10 4 3 2 2" xfId="5195"/>
    <cellStyle name="Normal 10 4 3 2 2 2" xfId="7546"/>
    <cellStyle name="Normal 10 4 3 2 2 2 2" xfId="11247"/>
    <cellStyle name="Normal 10 4 3 2 2 2 2 2" xfId="22369"/>
    <cellStyle name="Normal 10 4 3 2 2 2 3" xfId="14946"/>
    <cellStyle name="Normal 10 4 3 2 2 2 3 2" xfId="26063"/>
    <cellStyle name="Normal 10 4 3 2 2 2 4" xfId="18675"/>
    <cellStyle name="Normal 10 4 3 2 2 3" xfId="9400"/>
    <cellStyle name="Normal 10 4 3 2 2 3 2" xfId="20522"/>
    <cellStyle name="Normal 10 4 3 2 2 4" xfId="13099"/>
    <cellStyle name="Normal 10 4 3 2 2 4 2" xfId="24216"/>
    <cellStyle name="Normal 10 4 3 2 2 5" xfId="16828"/>
    <cellStyle name="Normal 10 4 3 2 3" xfId="6627"/>
    <cellStyle name="Normal 10 4 3 2 3 2" xfId="10329"/>
    <cellStyle name="Normal 10 4 3 2 3 2 2" xfId="21451"/>
    <cellStyle name="Normal 10 4 3 2 3 3" xfId="14028"/>
    <cellStyle name="Normal 10 4 3 2 3 3 2" xfId="25145"/>
    <cellStyle name="Normal 10 4 3 2 3 4" xfId="17757"/>
    <cellStyle name="Normal 10 4 3 2 4" xfId="8481"/>
    <cellStyle name="Normal 10 4 3 2 4 2" xfId="19604"/>
    <cellStyle name="Normal 10 4 3 2 5" xfId="12181"/>
    <cellStyle name="Normal 10 4 3 2 5 2" xfId="23298"/>
    <cellStyle name="Normal 10 4 3 2 6" xfId="15910"/>
    <cellStyle name="Normal 10 4 3 3" xfId="1871"/>
    <cellStyle name="Normal 10 4 3 3 2" xfId="5068"/>
    <cellStyle name="Normal 10 4 3 3 2 2" xfId="7419"/>
    <cellStyle name="Normal 10 4 3 3 2 2 2" xfId="11120"/>
    <cellStyle name="Normal 10 4 3 3 2 2 2 2" xfId="22242"/>
    <cellStyle name="Normal 10 4 3 3 2 2 3" xfId="14819"/>
    <cellStyle name="Normal 10 4 3 3 2 2 3 2" xfId="25936"/>
    <cellStyle name="Normal 10 4 3 3 2 2 4" xfId="18548"/>
    <cellStyle name="Normal 10 4 3 3 2 3" xfId="9273"/>
    <cellStyle name="Normal 10 4 3 3 2 3 2" xfId="20395"/>
    <cellStyle name="Normal 10 4 3 3 2 4" xfId="12972"/>
    <cellStyle name="Normal 10 4 3 3 2 4 2" xfId="24089"/>
    <cellStyle name="Normal 10 4 3 3 2 5" xfId="16701"/>
    <cellStyle name="Normal 10 4 3 3 3" xfId="6500"/>
    <cellStyle name="Normal 10 4 3 3 3 2" xfId="10202"/>
    <cellStyle name="Normal 10 4 3 3 3 2 2" xfId="21324"/>
    <cellStyle name="Normal 10 4 3 3 3 3" xfId="13901"/>
    <cellStyle name="Normal 10 4 3 3 3 3 2" xfId="25018"/>
    <cellStyle name="Normal 10 4 3 3 3 4" xfId="17630"/>
    <cellStyle name="Normal 10 4 3 3 4" xfId="8354"/>
    <cellStyle name="Normal 10 4 3 3 4 2" xfId="19477"/>
    <cellStyle name="Normal 10 4 3 3 5" xfId="12054"/>
    <cellStyle name="Normal 10 4 3 3 5 2" xfId="23171"/>
    <cellStyle name="Normal 10 4 3 3 6" xfId="15783"/>
    <cellStyle name="Normal 10 4 3 4" xfId="4860"/>
    <cellStyle name="Normal 10 4 3 4 2" xfId="7211"/>
    <cellStyle name="Normal 10 4 3 4 2 2" xfId="10912"/>
    <cellStyle name="Normal 10 4 3 4 2 2 2" xfId="22034"/>
    <cellStyle name="Normal 10 4 3 4 2 3" xfId="14611"/>
    <cellStyle name="Normal 10 4 3 4 2 3 2" xfId="25728"/>
    <cellStyle name="Normal 10 4 3 4 2 4" xfId="18340"/>
    <cellStyle name="Normal 10 4 3 4 3" xfId="9065"/>
    <cellStyle name="Normal 10 4 3 4 3 2" xfId="20187"/>
    <cellStyle name="Normal 10 4 3 4 4" xfId="12764"/>
    <cellStyle name="Normal 10 4 3 4 4 2" xfId="23881"/>
    <cellStyle name="Normal 10 4 3 4 5" xfId="16493"/>
    <cellStyle name="Normal 10 4 3 5" xfId="6292"/>
    <cellStyle name="Normal 10 4 3 5 2" xfId="9994"/>
    <cellStyle name="Normal 10 4 3 5 2 2" xfId="21116"/>
    <cellStyle name="Normal 10 4 3 5 3" xfId="13693"/>
    <cellStyle name="Normal 10 4 3 5 3 2" xfId="24810"/>
    <cellStyle name="Normal 10 4 3 5 4" xfId="17422"/>
    <cellStyle name="Normal 10 4 3 6" xfId="8146"/>
    <cellStyle name="Normal 10 4 3 6 2" xfId="19269"/>
    <cellStyle name="Normal 10 4 3 7" xfId="11846"/>
    <cellStyle name="Normal 10 4 3 7 2" xfId="22963"/>
    <cellStyle name="Normal 10 4 3 8" xfId="15575"/>
    <cellStyle name="Normal 10 4 4" xfId="2072"/>
    <cellStyle name="Normal 10 4 4 2" xfId="5192"/>
    <cellStyle name="Normal 10 4 4 2 2" xfId="7543"/>
    <cellStyle name="Normal 10 4 4 2 2 2" xfId="11244"/>
    <cellStyle name="Normal 10 4 4 2 2 2 2" xfId="22366"/>
    <cellStyle name="Normal 10 4 4 2 2 3" xfId="14943"/>
    <cellStyle name="Normal 10 4 4 2 2 3 2" xfId="26060"/>
    <cellStyle name="Normal 10 4 4 2 2 4" xfId="18672"/>
    <cellStyle name="Normal 10 4 4 2 3" xfId="9397"/>
    <cellStyle name="Normal 10 4 4 2 3 2" xfId="20519"/>
    <cellStyle name="Normal 10 4 4 2 4" xfId="13096"/>
    <cellStyle name="Normal 10 4 4 2 4 2" xfId="24213"/>
    <cellStyle name="Normal 10 4 4 2 5" xfId="16825"/>
    <cellStyle name="Normal 10 4 4 3" xfId="6624"/>
    <cellStyle name="Normal 10 4 4 3 2" xfId="10326"/>
    <cellStyle name="Normal 10 4 4 3 2 2" xfId="21448"/>
    <cellStyle name="Normal 10 4 4 3 3" xfId="14025"/>
    <cellStyle name="Normal 10 4 4 3 3 2" xfId="25142"/>
    <cellStyle name="Normal 10 4 4 3 4" xfId="17754"/>
    <cellStyle name="Normal 10 4 4 4" xfId="8478"/>
    <cellStyle name="Normal 10 4 4 4 2" xfId="19601"/>
    <cellStyle name="Normal 10 4 4 5" xfId="12178"/>
    <cellStyle name="Normal 10 4 4 5 2" xfId="23295"/>
    <cellStyle name="Normal 10 4 4 6" xfId="15907"/>
    <cellStyle name="Normal 10 4 5" xfId="1767"/>
    <cellStyle name="Normal 10 4 5 2" xfId="4964"/>
    <cellStyle name="Normal 10 4 5 2 2" xfId="7315"/>
    <cellStyle name="Normal 10 4 5 2 2 2" xfId="11016"/>
    <cellStyle name="Normal 10 4 5 2 2 2 2" xfId="22138"/>
    <cellStyle name="Normal 10 4 5 2 2 3" xfId="14715"/>
    <cellStyle name="Normal 10 4 5 2 2 3 2" xfId="25832"/>
    <cellStyle name="Normal 10 4 5 2 2 4" xfId="18444"/>
    <cellStyle name="Normal 10 4 5 2 3" xfId="9169"/>
    <cellStyle name="Normal 10 4 5 2 3 2" xfId="20291"/>
    <cellStyle name="Normal 10 4 5 2 4" xfId="12868"/>
    <cellStyle name="Normal 10 4 5 2 4 2" xfId="23985"/>
    <cellStyle name="Normal 10 4 5 2 5" xfId="16597"/>
    <cellStyle name="Normal 10 4 5 3" xfId="6396"/>
    <cellStyle name="Normal 10 4 5 3 2" xfId="10098"/>
    <cellStyle name="Normal 10 4 5 3 2 2" xfId="21220"/>
    <cellStyle name="Normal 10 4 5 3 3" xfId="13797"/>
    <cellStyle name="Normal 10 4 5 3 3 2" xfId="24914"/>
    <cellStyle name="Normal 10 4 5 3 4" xfId="17526"/>
    <cellStyle name="Normal 10 4 5 4" xfId="8250"/>
    <cellStyle name="Normal 10 4 5 4 2" xfId="19373"/>
    <cellStyle name="Normal 10 4 5 5" xfId="11950"/>
    <cellStyle name="Normal 10 4 5 5 2" xfId="23067"/>
    <cellStyle name="Normal 10 4 5 6" xfId="15679"/>
    <cellStyle name="Normal 10 4 6" xfId="3289"/>
    <cellStyle name="Normal 10 4 7" xfId="4755"/>
    <cellStyle name="Normal 10 4 7 2" xfId="7107"/>
    <cellStyle name="Normal 10 4 7 2 2" xfId="10808"/>
    <cellStyle name="Normal 10 4 7 2 2 2" xfId="21930"/>
    <cellStyle name="Normal 10 4 7 2 3" xfId="14507"/>
    <cellStyle name="Normal 10 4 7 2 3 2" xfId="25624"/>
    <cellStyle name="Normal 10 4 7 2 4" xfId="18236"/>
    <cellStyle name="Normal 10 4 7 3" xfId="8961"/>
    <cellStyle name="Normal 10 4 7 3 2" xfId="20083"/>
    <cellStyle name="Normal 10 4 7 4" xfId="12660"/>
    <cellStyle name="Normal 10 4 7 4 2" xfId="23777"/>
    <cellStyle name="Normal 10 4 7 5" xfId="16389"/>
    <cellStyle name="Normal 10 4 8" xfId="5587"/>
    <cellStyle name="Normal 10 4 8 2" xfId="7697"/>
    <cellStyle name="Normal 10 4 8 2 2" xfId="11398"/>
    <cellStyle name="Normal 10 4 8 2 2 2" xfId="22520"/>
    <cellStyle name="Normal 10 4 8 2 3" xfId="15097"/>
    <cellStyle name="Normal 10 4 8 2 3 2" xfId="26214"/>
    <cellStyle name="Normal 10 4 8 2 4" xfId="18826"/>
    <cellStyle name="Normal 10 4 8 3" xfId="9551"/>
    <cellStyle name="Normal 10 4 8 3 2" xfId="20673"/>
    <cellStyle name="Normal 10 4 8 4" xfId="13250"/>
    <cellStyle name="Normal 10 4 8 4 2" xfId="24367"/>
    <cellStyle name="Normal 10 4 8 5" xfId="16979"/>
    <cellStyle name="Normal 10 4 9" xfId="5982"/>
    <cellStyle name="Normal 10 4 9 2" xfId="7989"/>
    <cellStyle name="Normal 10 4 9 2 2" xfId="11690"/>
    <cellStyle name="Normal 10 4 9 2 2 2" xfId="22812"/>
    <cellStyle name="Normal 10 4 9 2 3" xfId="15389"/>
    <cellStyle name="Normal 10 4 9 2 3 2" xfId="26506"/>
    <cellStyle name="Normal 10 4 9 2 4" xfId="19118"/>
    <cellStyle name="Normal 10 4 9 3" xfId="9843"/>
    <cellStyle name="Normal 10 4 9 3 2" xfId="20965"/>
    <cellStyle name="Normal 10 4 9 4" xfId="13542"/>
    <cellStyle name="Normal 10 4 9 4 2" xfId="24659"/>
    <cellStyle name="Normal 10 4 9 5" xfId="17271"/>
    <cellStyle name="Normal 10 5" xfId="956"/>
    <cellStyle name="Normal 10 5 2" xfId="3292"/>
    <cellStyle name="Normal 10 5 3" xfId="3291"/>
    <cellStyle name="Normal 10 6" xfId="1116"/>
    <cellStyle name="Normal 10 6 10" xfId="15480"/>
    <cellStyle name="Normal 10 6 2" xfId="1607"/>
    <cellStyle name="Normal 10 6 2 2" xfId="1723"/>
    <cellStyle name="Normal 10 6 2 2 2" xfId="2078"/>
    <cellStyle name="Normal 10 6 2 2 2 2" xfId="5198"/>
    <cellStyle name="Normal 10 6 2 2 2 2 2" xfId="7549"/>
    <cellStyle name="Normal 10 6 2 2 2 2 2 2" xfId="11250"/>
    <cellStyle name="Normal 10 6 2 2 2 2 2 2 2" xfId="22372"/>
    <cellStyle name="Normal 10 6 2 2 2 2 2 3" xfId="14949"/>
    <cellStyle name="Normal 10 6 2 2 2 2 2 3 2" xfId="26066"/>
    <cellStyle name="Normal 10 6 2 2 2 2 2 4" xfId="18678"/>
    <cellStyle name="Normal 10 6 2 2 2 2 3" xfId="9403"/>
    <cellStyle name="Normal 10 6 2 2 2 2 3 2" xfId="20525"/>
    <cellStyle name="Normal 10 6 2 2 2 2 4" xfId="13102"/>
    <cellStyle name="Normal 10 6 2 2 2 2 4 2" xfId="24219"/>
    <cellStyle name="Normal 10 6 2 2 2 2 5" xfId="16831"/>
    <cellStyle name="Normal 10 6 2 2 2 3" xfId="6630"/>
    <cellStyle name="Normal 10 6 2 2 2 3 2" xfId="10332"/>
    <cellStyle name="Normal 10 6 2 2 2 3 2 2" xfId="21454"/>
    <cellStyle name="Normal 10 6 2 2 2 3 3" xfId="14031"/>
    <cellStyle name="Normal 10 6 2 2 2 3 3 2" xfId="25148"/>
    <cellStyle name="Normal 10 6 2 2 2 3 4" xfId="17760"/>
    <cellStyle name="Normal 10 6 2 2 2 4" xfId="8484"/>
    <cellStyle name="Normal 10 6 2 2 2 4 2" xfId="19607"/>
    <cellStyle name="Normal 10 6 2 2 2 5" xfId="12184"/>
    <cellStyle name="Normal 10 6 2 2 2 5 2" xfId="23301"/>
    <cellStyle name="Normal 10 6 2 2 2 6" xfId="15913"/>
    <cellStyle name="Normal 10 6 2 2 3" xfId="1933"/>
    <cellStyle name="Normal 10 6 2 2 3 2" xfId="5130"/>
    <cellStyle name="Normal 10 6 2 2 3 2 2" xfId="7481"/>
    <cellStyle name="Normal 10 6 2 2 3 2 2 2" xfId="11182"/>
    <cellStyle name="Normal 10 6 2 2 3 2 2 2 2" xfId="22304"/>
    <cellStyle name="Normal 10 6 2 2 3 2 2 3" xfId="14881"/>
    <cellStyle name="Normal 10 6 2 2 3 2 2 3 2" xfId="25998"/>
    <cellStyle name="Normal 10 6 2 2 3 2 2 4" xfId="18610"/>
    <cellStyle name="Normal 10 6 2 2 3 2 3" xfId="9335"/>
    <cellStyle name="Normal 10 6 2 2 3 2 3 2" xfId="20457"/>
    <cellStyle name="Normal 10 6 2 2 3 2 4" xfId="13034"/>
    <cellStyle name="Normal 10 6 2 2 3 2 4 2" xfId="24151"/>
    <cellStyle name="Normal 10 6 2 2 3 2 5" xfId="16763"/>
    <cellStyle name="Normal 10 6 2 2 3 3" xfId="6562"/>
    <cellStyle name="Normal 10 6 2 2 3 3 2" xfId="10264"/>
    <cellStyle name="Normal 10 6 2 2 3 3 2 2" xfId="21386"/>
    <cellStyle name="Normal 10 6 2 2 3 3 3" xfId="13963"/>
    <cellStyle name="Normal 10 6 2 2 3 3 3 2" xfId="25080"/>
    <cellStyle name="Normal 10 6 2 2 3 3 4" xfId="17692"/>
    <cellStyle name="Normal 10 6 2 2 3 4" xfId="8416"/>
    <cellStyle name="Normal 10 6 2 2 3 4 2" xfId="19539"/>
    <cellStyle name="Normal 10 6 2 2 3 5" xfId="12116"/>
    <cellStyle name="Normal 10 6 2 2 3 5 2" xfId="23233"/>
    <cellStyle name="Normal 10 6 2 2 3 6" xfId="15845"/>
    <cellStyle name="Normal 10 6 2 2 4" xfId="4922"/>
    <cellStyle name="Normal 10 6 2 2 4 2" xfId="7273"/>
    <cellStyle name="Normal 10 6 2 2 4 2 2" xfId="10974"/>
    <cellStyle name="Normal 10 6 2 2 4 2 2 2" xfId="22096"/>
    <cellStyle name="Normal 10 6 2 2 4 2 3" xfId="14673"/>
    <cellStyle name="Normal 10 6 2 2 4 2 3 2" xfId="25790"/>
    <cellStyle name="Normal 10 6 2 2 4 2 4" xfId="18402"/>
    <cellStyle name="Normal 10 6 2 2 4 3" xfId="9127"/>
    <cellStyle name="Normal 10 6 2 2 4 3 2" xfId="20249"/>
    <cellStyle name="Normal 10 6 2 2 4 4" xfId="12826"/>
    <cellStyle name="Normal 10 6 2 2 4 4 2" xfId="23943"/>
    <cellStyle name="Normal 10 6 2 2 4 5" xfId="16555"/>
    <cellStyle name="Normal 10 6 2 2 5" xfId="6354"/>
    <cellStyle name="Normal 10 6 2 2 5 2" xfId="10056"/>
    <cellStyle name="Normal 10 6 2 2 5 2 2" xfId="21178"/>
    <cellStyle name="Normal 10 6 2 2 5 3" xfId="13755"/>
    <cellStyle name="Normal 10 6 2 2 5 3 2" xfId="24872"/>
    <cellStyle name="Normal 10 6 2 2 5 4" xfId="17484"/>
    <cellStyle name="Normal 10 6 2 2 6" xfId="8208"/>
    <cellStyle name="Normal 10 6 2 2 6 2" xfId="19331"/>
    <cellStyle name="Normal 10 6 2 2 7" xfId="11908"/>
    <cellStyle name="Normal 10 6 2 2 7 2" xfId="23025"/>
    <cellStyle name="Normal 10 6 2 2 8" xfId="15637"/>
    <cellStyle name="Normal 10 6 2 3" xfId="2077"/>
    <cellStyle name="Normal 10 6 2 3 2" xfId="5197"/>
    <cellStyle name="Normal 10 6 2 3 2 2" xfId="7548"/>
    <cellStyle name="Normal 10 6 2 3 2 2 2" xfId="11249"/>
    <cellStyle name="Normal 10 6 2 3 2 2 2 2" xfId="22371"/>
    <cellStyle name="Normal 10 6 2 3 2 2 3" xfId="14948"/>
    <cellStyle name="Normal 10 6 2 3 2 2 3 2" xfId="26065"/>
    <cellStyle name="Normal 10 6 2 3 2 2 4" xfId="18677"/>
    <cellStyle name="Normal 10 6 2 3 2 3" xfId="9402"/>
    <cellStyle name="Normal 10 6 2 3 2 3 2" xfId="20524"/>
    <cellStyle name="Normal 10 6 2 3 2 4" xfId="13101"/>
    <cellStyle name="Normal 10 6 2 3 2 4 2" xfId="24218"/>
    <cellStyle name="Normal 10 6 2 3 2 5" xfId="16830"/>
    <cellStyle name="Normal 10 6 2 3 3" xfId="6629"/>
    <cellStyle name="Normal 10 6 2 3 3 2" xfId="10331"/>
    <cellStyle name="Normal 10 6 2 3 3 2 2" xfId="21453"/>
    <cellStyle name="Normal 10 6 2 3 3 3" xfId="14030"/>
    <cellStyle name="Normal 10 6 2 3 3 3 2" xfId="25147"/>
    <cellStyle name="Normal 10 6 2 3 3 4" xfId="17759"/>
    <cellStyle name="Normal 10 6 2 3 4" xfId="8483"/>
    <cellStyle name="Normal 10 6 2 3 4 2" xfId="19606"/>
    <cellStyle name="Normal 10 6 2 3 5" xfId="12183"/>
    <cellStyle name="Normal 10 6 2 3 5 2" xfId="23300"/>
    <cellStyle name="Normal 10 6 2 3 6" xfId="15912"/>
    <cellStyle name="Normal 10 6 2 4" xfId="1827"/>
    <cellStyle name="Normal 10 6 2 4 2" xfId="5024"/>
    <cellStyle name="Normal 10 6 2 4 2 2" xfId="7375"/>
    <cellStyle name="Normal 10 6 2 4 2 2 2" xfId="11076"/>
    <cellStyle name="Normal 10 6 2 4 2 2 2 2" xfId="22198"/>
    <cellStyle name="Normal 10 6 2 4 2 2 3" xfId="14775"/>
    <cellStyle name="Normal 10 6 2 4 2 2 3 2" xfId="25892"/>
    <cellStyle name="Normal 10 6 2 4 2 2 4" xfId="18504"/>
    <cellStyle name="Normal 10 6 2 4 2 3" xfId="9229"/>
    <cellStyle name="Normal 10 6 2 4 2 3 2" xfId="20351"/>
    <cellStyle name="Normal 10 6 2 4 2 4" xfId="12928"/>
    <cellStyle name="Normal 10 6 2 4 2 4 2" xfId="24045"/>
    <cellStyle name="Normal 10 6 2 4 2 5" xfId="16657"/>
    <cellStyle name="Normal 10 6 2 4 3" xfId="6456"/>
    <cellStyle name="Normal 10 6 2 4 3 2" xfId="10158"/>
    <cellStyle name="Normal 10 6 2 4 3 2 2" xfId="21280"/>
    <cellStyle name="Normal 10 6 2 4 3 3" xfId="13857"/>
    <cellStyle name="Normal 10 6 2 4 3 3 2" xfId="24974"/>
    <cellStyle name="Normal 10 6 2 4 3 4" xfId="17586"/>
    <cellStyle name="Normal 10 6 2 4 4" xfId="8310"/>
    <cellStyle name="Normal 10 6 2 4 4 2" xfId="19433"/>
    <cellStyle name="Normal 10 6 2 4 5" xfId="12010"/>
    <cellStyle name="Normal 10 6 2 4 5 2" xfId="23127"/>
    <cellStyle name="Normal 10 6 2 4 6" xfId="15739"/>
    <cellStyle name="Normal 10 6 2 5" xfId="4816"/>
    <cellStyle name="Normal 10 6 2 5 2" xfId="7167"/>
    <cellStyle name="Normal 10 6 2 5 2 2" xfId="10868"/>
    <cellStyle name="Normal 10 6 2 5 2 2 2" xfId="21990"/>
    <cellStyle name="Normal 10 6 2 5 2 3" xfId="14567"/>
    <cellStyle name="Normal 10 6 2 5 2 3 2" xfId="25684"/>
    <cellStyle name="Normal 10 6 2 5 2 4" xfId="18296"/>
    <cellStyle name="Normal 10 6 2 5 3" xfId="9021"/>
    <cellStyle name="Normal 10 6 2 5 3 2" xfId="20143"/>
    <cellStyle name="Normal 10 6 2 5 4" xfId="12720"/>
    <cellStyle name="Normal 10 6 2 5 4 2" xfId="23837"/>
    <cellStyle name="Normal 10 6 2 5 5" xfId="16449"/>
    <cellStyle name="Normal 10 6 2 6" xfId="6248"/>
    <cellStyle name="Normal 10 6 2 6 2" xfId="9950"/>
    <cellStyle name="Normal 10 6 2 6 2 2" xfId="21072"/>
    <cellStyle name="Normal 10 6 2 6 3" xfId="13649"/>
    <cellStyle name="Normal 10 6 2 6 3 2" xfId="24766"/>
    <cellStyle name="Normal 10 6 2 6 4" xfId="17378"/>
    <cellStyle name="Normal 10 6 2 7" xfId="8102"/>
    <cellStyle name="Normal 10 6 2 7 2" xfId="19225"/>
    <cellStyle name="Normal 10 6 2 8" xfId="11802"/>
    <cellStyle name="Normal 10 6 2 8 2" xfId="22919"/>
    <cellStyle name="Normal 10 6 2 9" xfId="15531"/>
    <cellStyle name="Normal 10 6 3" xfId="1673"/>
    <cellStyle name="Normal 10 6 3 2" xfId="2079"/>
    <cellStyle name="Normal 10 6 3 2 2" xfId="5199"/>
    <cellStyle name="Normal 10 6 3 2 2 2" xfId="7550"/>
    <cellStyle name="Normal 10 6 3 2 2 2 2" xfId="11251"/>
    <cellStyle name="Normal 10 6 3 2 2 2 2 2" xfId="22373"/>
    <cellStyle name="Normal 10 6 3 2 2 2 3" xfId="14950"/>
    <cellStyle name="Normal 10 6 3 2 2 2 3 2" xfId="26067"/>
    <cellStyle name="Normal 10 6 3 2 2 2 4" xfId="18679"/>
    <cellStyle name="Normal 10 6 3 2 2 3" xfId="9404"/>
    <cellStyle name="Normal 10 6 3 2 2 3 2" xfId="20526"/>
    <cellStyle name="Normal 10 6 3 2 2 4" xfId="13103"/>
    <cellStyle name="Normal 10 6 3 2 2 4 2" xfId="24220"/>
    <cellStyle name="Normal 10 6 3 2 2 5" xfId="16832"/>
    <cellStyle name="Normal 10 6 3 2 3" xfId="6631"/>
    <cellStyle name="Normal 10 6 3 2 3 2" xfId="10333"/>
    <cellStyle name="Normal 10 6 3 2 3 2 2" xfId="21455"/>
    <cellStyle name="Normal 10 6 3 2 3 3" xfId="14032"/>
    <cellStyle name="Normal 10 6 3 2 3 3 2" xfId="25149"/>
    <cellStyle name="Normal 10 6 3 2 3 4" xfId="17761"/>
    <cellStyle name="Normal 10 6 3 2 4" xfId="8485"/>
    <cellStyle name="Normal 10 6 3 2 4 2" xfId="19608"/>
    <cellStyle name="Normal 10 6 3 2 5" xfId="12185"/>
    <cellStyle name="Normal 10 6 3 2 5 2" xfId="23302"/>
    <cellStyle name="Normal 10 6 3 2 6" xfId="15914"/>
    <cellStyle name="Normal 10 6 3 3" xfId="1884"/>
    <cellStyle name="Normal 10 6 3 3 2" xfId="5081"/>
    <cellStyle name="Normal 10 6 3 3 2 2" xfId="7432"/>
    <cellStyle name="Normal 10 6 3 3 2 2 2" xfId="11133"/>
    <cellStyle name="Normal 10 6 3 3 2 2 2 2" xfId="22255"/>
    <cellStyle name="Normal 10 6 3 3 2 2 3" xfId="14832"/>
    <cellStyle name="Normal 10 6 3 3 2 2 3 2" xfId="25949"/>
    <cellStyle name="Normal 10 6 3 3 2 2 4" xfId="18561"/>
    <cellStyle name="Normal 10 6 3 3 2 3" xfId="9286"/>
    <cellStyle name="Normal 10 6 3 3 2 3 2" xfId="20408"/>
    <cellStyle name="Normal 10 6 3 3 2 4" xfId="12985"/>
    <cellStyle name="Normal 10 6 3 3 2 4 2" xfId="24102"/>
    <cellStyle name="Normal 10 6 3 3 2 5" xfId="16714"/>
    <cellStyle name="Normal 10 6 3 3 3" xfId="6513"/>
    <cellStyle name="Normal 10 6 3 3 3 2" xfId="10215"/>
    <cellStyle name="Normal 10 6 3 3 3 2 2" xfId="21337"/>
    <cellStyle name="Normal 10 6 3 3 3 3" xfId="13914"/>
    <cellStyle name="Normal 10 6 3 3 3 3 2" xfId="25031"/>
    <cellStyle name="Normal 10 6 3 3 3 4" xfId="17643"/>
    <cellStyle name="Normal 10 6 3 3 4" xfId="8367"/>
    <cellStyle name="Normal 10 6 3 3 4 2" xfId="19490"/>
    <cellStyle name="Normal 10 6 3 3 5" xfId="12067"/>
    <cellStyle name="Normal 10 6 3 3 5 2" xfId="23184"/>
    <cellStyle name="Normal 10 6 3 3 6" xfId="15796"/>
    <cellStyle name="Normal 10 6 3 4" xfId="4873"/>
    <cellStyle name="Normal 10 6 3 4 2" xfId="7224"/>
    <cellStyle name="Normal 10 6 3 4 2 2" xfId="10925"/>
    <cellStyle name="Normal 10 6 3 4 2 2 2" xfId="22047"/>
    <cellStyle name="Normal 10 6 3 4 2 3" xfId="14624"/>
    <cellStyle name="Normal 10 6 3 4 2 3 2" xfId="25741"/>
    <cellStyle name="Normal 10 6 3 4 2 4" xfId="18353"/>
    <cellStyle name="Normal 10 6 3 4 3" xfId="9078"/>
    <cellStyle name="Normal 10 6 3 4 3 2" xfId="20200"/>
    <cellStyle name="Normal 10 6 3 4 4" xfId="12777"/>
    <cellStyle name="Normal 10 6 3 4 4 2" xfId="23894"/>
    <cellStyle name="Normal 10 6 3 4 5" xfId="16506"/>
    <cellStyle name="Normal 10 6 3 5" xfId="6305"/>
    <cellStyle name="Normal 10 6 3 5 2" xfId="10007"/>
    <cellStyle name="Normal 10 6 3 5 2 2" xfId="21129"/>
    <cellStyle name="Normal 10 6 3 5 3" xfId="13706"/>
    <cellStyle name="Normal 10 6 3 5 3 2" xfId="24823"/>
    <cellStyle name="Normal 10 6 3 5 4" xfId="17435"/>
    <cellStyle name="Normal 10 6 3 6" xfId="8159"/>
    <cellStyle name="Normal 10 6 3 6 2" xfId="19282"/>
    <cellStyle name="Normal 10 6 3 7" xfId="11859"/>
    <cellStyle name="Normal 10 6 3 7 2" xfId="22976"/>
    <cellStyle name="Normal 10 6 3 8" xfId="15588"/>
    <cellStyle name="Normal 10 6 4" xfId="2076"/>
    <cellStyle name="Normal 10 6 4 2" xfId="5196"/>
    <cellStyle name="Normal 10 6 4 2 2" xfId="7547"/>
    <cellStyle name="Normal 10 6 4 2 2 2" xfId="11248"/>
    <cellStyle name="Normal 10 6 4 2 2 2 2" xfId="22370"/>
    <cellStyle name="Normal 10 6 4 2 2 3" xfId="14947"/>
    <cellStyle name="Normal 10 6 4 2 2 3 2" xfId="26064"/>
    <cellStyle name="Normal 10 6 4 2 2 4" xfId="18676"/>
    <cellStyle name="Normal 10 6 4 2 3" xfId="9401"/>
    <cellStyle name="Normal 10 6 4 2 3 2" xfId="20523"/>
    <cellStyle name="Normal 10 6 4 2 4" xfId="13100"/>
    <cellStyle name="Normal 10 6 4 2 4 2" xfId="24217"/>
    <cellStyle name="Normal 10 6 4 2 5" xfId="16829"/>
    <cellStyle name="Normal 10 6 4 3" xfId="6628"/>
    <cellStyle name="Normal 10 6 4 3 2" xfId="10330"/>
    <cellStyle name="Normal 10 6 4 3 2 2" xfId="21452"/>
    <cellStyle name="Normal 10 6 4 3 3" xfId="14029"/>
    <cellStyle name="Normal 10 6 4 3 3 2" xfId="25146"/>
    <cellStyle name="Normal 10 6 4 3 4" xfId="17758"/>
    <cellStyle name="Normal 10 6 4 4" xfId="8482"/>
    <cellStyle name="Normal 10 6 4 4 2" xfId="19605"/>
    <cellStyle name="Normal 10 6 4 5" xfId="12182"/>
    <cellStyle name="Normal 10 6 4 5 2" xfId="23299"/>
    <cellStyle name="Normal 10 6 4 6" xfId="15911"/>
    <cellStyle name="Normal 10 6 5" xfId="1776"/>
    <cellStyle name="Normal 10 6 5 2" xfId="4973"/>
    <cellStyle name="Normal 10 6 5 2 2" xfId="7324"/>
    <cellStyle name="Normal 10 6 5 2 2 2" xfId="11025"/>
    <cellStyle name="Normal 10 6 5 2 2 2 2" xfId="22147"/>
    <cellStyle name="Normal 10 6 5 2 2 3" xfId="14724"/>
    <cellStyle name="Normal 10 6 5 2 2 3 2" xfId="25841"/>
    <cellStyle name="Normal 10 6 5 2 2 4" xfId="18453"/>
    <cellStyle name="Normal 10 6 5 2 3" xfId="9178"/>
    <cellStyle name="Normal 10 6 5 2 3 2" xfId="20300"/>
    <cellStyle name="Normal 10 6 5 2 4" xfId="12877"/>
    <cellStyle name="Normal 10 6 5 2 4 2" xfId="23994"/>
    <cellStyle name="Normal 10 6 5 2 5" xfId="16606"/>
    <cellStyle name="Normal 10 6 5 3" xfId="6405"/>
    <cellStyle name="Normal 10 6 5 3 2" xfId="10107"/>
    <cellStyle name="Normal 10 6 5 3 2 2" xfId="21229"/>
    <cellStyle name="Normal 10 6 5 3 3" xfId="13806"/>
    <cellStyle name="Normal 10 6 5 3 3 2" xfId="24923"/>
    <cellStyle name="Normal 10 6 5 3 4" xfId="17535"/>
    <cellStyle name="Normal 10 6 5 4" xfId="8259"/>
    <cellStyle name="Normal 10 6 5 4 2" xfId="19382"/>
    <cellStyle name="Normal 10 6 5 5" xfId="11959"/>
    <cellStyle name="Normal 10 6 5 5 2" xfId="23076"/>
    <cellStyle name="Normal 10 6 5 6" xfId="15688"/>
    <cellStyle name="Normal 10 6 6" xfId="4764"/>
    <cellStyle name="Normal 10 6 6 2" xfId="7116"/>
    <cellStyle name="Normal 10 6 6 2 2" xfId="10817"/>
    <cellStyle name="Normal 10 6 6 2 2 2" xfId="21939"/>
    <cellStyle name="Normal 10 6 6 2 3" xfId="14516"/>
    <cellStyle name="Normal 10 6 6 2 3 2" xfId="25633"/>
    <cellStyle name="Normal 10 6 6 2 4" xfId="18245"/>
    <cellStyle name="Normal 10 6 6 3" xfId="8970"/>
    <cellStyle name="Normal 10 6 6 3 2" xfId="20092"/>
    <cellStyle name="Normal 10 6 6 4" xfId="12669"/>
    <cellStyle name="Normal 10 6 6 4 2" xfId="23786"/>
    <cellStyle name="Normal 10 6 6 5" xfId="16398"/>
    <cellStyle name="Normal 10 6 7" xfId="6197"/>
    <cellStyle name="Normal 10 6 7 2" xfId="9899"/>
    <cellStyle name="Normal 10 6 7 2 2" xfId="21021"/>
    <cellStyle name="Normal 10 6 7 3" xfId="13598"/>
    <cellStyle name="Normal 10 6 7 3 2" xfId="24715"/>
    <cellStyle name="Normal 10 6 7 4" xfId="17327"/>
    <cellStyle name="Normal 10 6 8" xfId="8051"/>
    <cellStyle name="Normal 10 6 8 2" xfId="19174"/>
    <cellStyle name="Normal 10 6 9" xfId="11751"/>
    <cellStyle name="Normal 10 6 9 2" xfId="22868"/>
    <cellStyle name="Normal 10 7" xfId="1678"/>
    <cellStyle name="Normal 10 7 2" xfId="2080"/>
    <cellStyle name="Normal 10 7 2 2" xfId="5200"/>
    <cellStyle name="Normal 10 7 2 2 2" xfId="7551"/>
    <cellStyle name="Normal 10 7 2 2 2 2" xfId="11252"/>
    <cellStyle name="Normal 10 7 2 2 2 2 2" xfId="22374"/>
    <cellStyle name="Normal 10 7 2 2 2 3" xfId="14951"/>
    <cellStyle name="Normal 10 7 2 2 2 3 2" xfId="26068"/>
    <cellStyle name="Normal 10 7 2 2 2 4" xfId="18680"/>
    <cellStyle name="Normal 10 7 2 2 3" xfId="9405"/>
    <cellStyle name="Normal 10 7 2 2 3 2" xfId="20527"/>
    <cellStyle name="Normal 10 7 2 2 4" xfId="13104"/>
    <cellStyle name="Normal 10 7 2 2 4 2" xfId="24221"/>
    <cellStyle name="Normal 10 7 2 2 5" xfId="16833"/>
    <cellStyle name="Normal 10 7 2 3" xfId="6632"/>
    <cellStyle name="Normal 10 7 2 3 2" xfId="10334"/>
    <cellStyle name="Normal 10 7 2 3 2 2" xfId="21456"/>
    <cellStyle name="Normal 10 7 2 3 3" xfId="14033"/>
    <cellStyle name="Normal 10 7 2 3 3 2" xfId="25150"/>
    <cellStyle name="Normal 10 7 2 3 4" xfId="17762"/>
    <cellStyle name="Normal 10 7 2 4" xfId="8486"/>
    <cellStyle name="Normal 10 7 2 4 2" xfId="19609"/>
    <cellStyle name="Normal 10 7 2 5" xfId="12186"/>
    <cellStyle name="Normal 10 7 2 5 2" xfId="23303"/>
    <cellStyle name="Normal 10 7 2 6" xfId="15915"/>
    <cellStyle name="Normal 10 7 3" xfId="1889"/>
    <cellStyle name="Normal 10 7 3 2" xfId="5086"/>
    <cellStyle name="Normal 10 7 3 2 2" xfId="7437"/>
    <cellStyle name="Normal 10 7 3 2 2 2" xfId="11138"/>
    <cellStyle name="Normal 10 7 3 2 2 2 2" xfId="22260"/>
    <cellStyle name="Normal 10 7 3 2 2 3" xfId="14837"/>
    <cellStyle name="Normal 10 7 3 2 2 3 2" xfId="25954"/>
    <cellStyle name="Normal 10 7 3 2 2 4" xfId="18566"/>
    <cellStyle name="Normal 10 7 3 2 3" xfId="9291"/>
    <cellStyle name="Normal 10 7 3 2 3 2" xfId="20413"/>
    <cellStyle name="Normal 10 7 3 2 4" xfId="12990"/>
    <cellStyle name="Normal 10 7 3 2 4 2" xfId="24107"/>
    <cellStyle name="Normal 10 7 3 2 5" xfId="16719"/>
    <cellStyle name="Normal 10 7 3 3" xfId="6518"/>
    <cellStyle name="Normal 10 7 3 3 2" xfId="10220"/>
    <cellStyle name="Normal 10 7 3 3 2 2" xfId="21342"/>
    <cellStyle name="Normal 10 7 3 3 3" xfId="13919"/>
    <cellStyle name="Normal 10 7 3 3 3 2" xfId="25036"/>
    <cellStyle name="Normal 10 7 3 3 4" xfId="17648"/>
    <cellStyle name="Normal 10 7 3 4" xfId="8372"/>
    <cellStyle name="Normal 10 7 3 4 2" xfId="19495"/>
    <cellStyle name="Normal 10 7 3 5" xfId="12072"/>
    <cellStyle name="Normal 10 7 3 5 2" xfId="23189"/>
    <cellStyle name="Normal 10 7 3 6" xfId="15801"/>
    <cellStyle name="Normal 10 7 4" xfId="4878"/>
    <cellStyle name="Normal 10 7 4 2" xfId="7229"/>
    <cellStyle name="Normal 10 7 4 2 2" xfId="10930"/>
    <cellStyle name="Normal 10 7 4 2 2 2" xfId="22052"/>
    <cellStyle name="Normal 10 7 4 2 3" xfId="14629"/>
    <cellStyle name="Normal 10 7 4 2 3 2" xfId="25746"/>
    <cellStyle name="Normal 10 7 4 2 4" xfId="18358"/>
    <cellStyle name="Normal 10 7 4 3" xfId="9083"/>
    <cellStyle name="Normal 10 7 4 3 2" xfId="20205"/>
    <cellStyle name="Normal 10 7 4 4" xfId="12782"/>
    <cellStyle name="Normal 10 7 4 4 2" xfId="23899"/>
    <cellStyle name="Normal 10 7 4 5" xfId="16511"/>
    <cellStyle name="Normal 10 7 5" xfId="6310"/>
    <cellStyle name="Normal 10 7 5 2" xfId="10012"/>
    <cellStyle name="Normal 10 7 5 2 2" xfId="21134"/>
    <cellStyle name="Normal 10 7 5 3" xfId="13711"/>
    <cellStyle name="Normal 10 7 5 3 2" xfId="24828"/>
    <cellStyle name="Normal 10 7 5 4" xfId="17440"/>
    <cellStyle name="Normal 10 7 6" xfId="8164"/>
    <cellStyle name="Normal 10 7 6 2" xfId="19287"/>
    <cellStyle name="Normal 10 7 7" xfId="11864"/>
    <cellStyle name="Normal 10 7 7 2" xfId="22981"/>
    <cellStyle name="Normal 10 7 8" xfId="15593"/>
    <cellStyle name="Normal 10_Exhibits" xfId="715"/>
    <cellStyle name="Normal 100" xfId="881"/>
    <cellStyle name="Normal 100 10" xfId="11746"/>
    <cellStyle name="Normal 100 10 2" xfId="22863"/>
    <cellStyle name="Normal 100 11" xfId="15475"/>
    <cellStyle name="Normal 100 2" xfId="1599"/>
    <cellStyle name="Normal 100 2 10" xfId="15526"/>
    <cellStyle name="Normal 100 2 2" xfId="1718"/>
    <cellStyle name="Normal 100 2 2 2" xfId="2083"/>
    <cellStyle name="Normal 100 2 2 2 2" xfId="5203"/>
    <cellStyle name="Normal 100 2 2 2 2 2" xfId="7554"/>
    <cellStyle name="Normal 100 2 2 2 2 2 2" xfId="11255"/>
    <cellStyle name="Normal 100 2 2 2 2 2 2 2" xfId="22377"/>
    <cellStyle name="Normal 100 2 2 2 2 2 3" xfId="14954"/>
    <cellStyle name="Normal 100 2 2 2 2 2 3 2" xfId="26071"/>
    <cellStyle name="Normal 100 2 2 2 2 2 4" xfId="18683"/>
    <cellStyle name="Normal 100 2 2 2 2 3" xfId="9408"/>
    <cellStyle name="Normal 100 2 2 2 2 3 2" xfId="20530"/>
    <cellStyle name="Normal 100 2 2 2 2 4" xfId="13107"/>
    <cellStyle name="Normal 100 2 2 2 2 4 2" xfId="24224"/>
    <cellStyle name="Normal 100 2 2 2 2 5" xfId="16836"/>
    <cellStyle name="Normal 100 2 2 2 3" xfId="6635"/>
    <cellStyle name="Normal 100 2 2 2 3 2" xfId="10337"/>
    <cellStyle name="Normal 100 2 2 2 3 2 2" xfId="21459"/>
    <cellStyle name="Normal 100 2 2 2 3 3" xfId="14036"/>
    <cellStyle name="Normal 100 2 2 2 3 3 2" xfId="25153"/>
    <cellStyle name="Normal 100 2 2 2 3 4" xfId="17765"/>
    <cellStyle name="Normal 100 2 2 2 4" xfId="8489"/>
    <cellStyle name="Normal 100 2 2 2 4 2" xfId="19612"/>
    <cellStyle name="Normal 100 2 2 2 5" xfId="12189"/>
    <cellStyle name="Normal 100 2 2 2 5 2" xfId="23306"/>
    <cellStyle name="Normal 100 2 2 2 6" xfId="15918"/>
    <cellStyle name="Normal 100 2 2 3" xfId="1928"/>
    <cellStyle name="Normal 100 2 2 3 2" xfId="5125"/>
    <cellStyle name="Normal 100 2 2 3 2 2" xfId="7476"/>
    <cellStyle name="Normal 100 2 2 3 2 2 2" xfId="11177"/>
    <cellStyle name="Normal 100 2 2 3 2 2 2 2" xfId="22299"/>
    <cellStyle name="Normal 100 2 2 3 2 2 3" xfId="14876"/>
    <cellStyle name="Normal 100 2 2 3 2 2 3 2" xfId="25993"/>
    <cellStyle name="Normal 100 2 2 3 2 2 4" xfId="18605"/>
    <cellStyle name="Normal 100 2 2 3 2 3" xfId="9330"/>
    <cellStyle name="Normal 100 2 2 3 2 3 2" xfId="20452"/>
    <cellStyle name="Normal 100 2 2 3 2 4" xfId="13029"/>
    <cellStyle name="Normal 100 2 2 3 2 4 2" xfId="24146"/>
    <cellStyle name="Normal 100 2 2 3 2 5" xfId="16758"/>
    <cellStyle name="Normal 100 2 2 3 3" xfId="6557"/>
    <cellStyle name="Normal 100 2 2 3 3 2" xfId="10259"/>
    <cellStyle name="Normal 100 2 2 3 3 2 2" xfId="21381"/>
    <cellStyle name="Normal 100 2 2 3 3 3" xfId="13958"/>
    <cellStyle name="Normal 100 2 2 3 3 3 2" xfId="25075"/>
    <cellStyle name="Normal 100 2 2 3 3 4" xfId="17687"/>
    <cellStyle name="Normal 100 2 2 3 4" xfId="8411"/>
    <cellStyle name="Normal 100 2 2 3 4 2" xfId="19534"/>
    <cellStyle name="Normal 100 2 2 3 5" xfId="12111"/>
    <cellStyle name="Normal 100 2 2 3 5 2" xfId="23228"/>
    <cellStyle name="Normal 100 2 2 3 6" xfId="15840"/>
    <cellStyle name="Normal 100 2 2 4" xfId="4917"/>
    <cellStyle name="Normal 100 2 2 4 2" xfId="7268"/>
    <cellStyle name="Normal 100 2 2 4 2 2" xfId="10969"/>
    <cellStyle name="Normal 100 2 2 4 2 2 2" xfId="22091"/>
    <cellStyle name="Normal 100 2 2 4 2 3" xfId="14668"/>
    <cellStyle name="Normal 100 2 2 4 2 3 2" xfId="25785"/>
    <cellStyle name="Normal 100 2 2 4 2 4" xfId="18397"/>
    <cellStyle name="Normal 100 2 2 4 3" xfId="9122"/>
    <cellStyle name="Normal 100 2 2 4 3 2" xfId="20244"/>
    <cellStyle name="Normal 100 2 2 4 4" xfId="12821"/>
    <cellStyle name="Normal 100 2 2 4 4 2" xfId="23938"/>
    <cellStyle name="Normal 100 2 2 4 5" xfId="16550"/>
    <cellStyle name="Normal 100 2 2 5" xfId="6349"/>
    <cellStyle name="Normal 100 2 2 5 2" xfId="10051"/>
    <cellStyle name="Normal 100 2 2 5 2 2" xfId="21173"/>
    <cellStyle name="Normal 100 2 2 5 3" xfId="13750"/>
    <cellStyle name="Normal 100 2 2 5 3 2" xfId="24867"/>
    <cellStyle name="Normal 100 2 2 5 4" xfId="17479"/>
    <cellStyle name="Normal 100 2 2 6" xfId="8203"/>
    <cellStyle name="Normal 100 2 2 6 2" xfId="19326"/>
    <cellStyle name="Normal 100 2 2 7" xfId="11903"/>
    <cellStyle name="Normal 100 2 2 7 2" xfId="23020"/>
    <cellStyle name="Normal 100 2 2 8" xfId="15632"/>
    <cellStyle name="Normal 100 2 3" xfId="2082"/>
    <cellStyle name="Normal 100 2 3 2" xfId="5202"/>
    <cellStyle name="Normal 100 2 3 2 2" xfId="7553"/>
    <cellStyle name="Normal 100 2 3 2 2 2" xfId="11254"/>
    <cellStyle name="Normal 100 2 3 2 2 2 2" xfId="22376"/>
    <cellStyle name="Normal 100 2 3 2 2 3" xfId="14953"/>
    <cellStyle name="Normal 100 2 3 2 2 3 2" xfId="26070"/>
    <cellStyle name="Normal 100 2 3 2 2 4" xfId="18682"/>
    <cellStyle name="Normal 100 2 3 2 3" xfId="9407"/>
    <cellStyle name="Normal 100 2 3 2 3 2" xfId="20529"/>
    <cellStyle name="Normal 100 2 3 2 4" xfId="13106"/>
    <cellStyle name="Normal 100 2 3 2 4 2" xfId="24223"/>
    <cellStyle name="Normal 100 2 3 2 5" xfId="16835"/>
    <cellStyle name="Normal 100 2 3 3" xfId="6634"/>
    <cellStyle name="Normal 100 2 3 3 2" xfId="10336"/>
    <cellStyle name="Normal 100 2 3 3 2 2" xfId="21458"/>
    <cellStyle name="Normal 100 2 3 3 3" xfId="14035"/>
    <cellStyle name="Normal 100 2 3 3 3 2" xfId="25152"/>
    <cellStyle name="Normal 100 2 3 3 4" xfId="17764"/>
    <cellStyle name="Normal 100 2 3 4" xfId="8488"/>
    <cellStyle name="Normal 100 2 3 4 2" xfId="19611"/>
    <cellStyle name="Normal 100 2 3 5" xfId="12188"/>
    <cellStyle name="Normal 100 2 3 5 2" xfId="23305"/>
    <cellStyle name="Normal 100 2 3 6" xfId="15917"/>
    <cellStyle name="Normal 100 2 4" xfId="1822"/>
    <cellStyle name="Normal 100 2 4 2" xfId="5019"/>
    <cellStyle name="Normal 100 2 4 2 2" xfId="7370"/>
    <cellStyle name="Normal 100 2 4 2 2 2" xfId="11071"/>
    <cellStyle name="Normal 100 2 4 2 2 2 2" xfId="22193"/>
    <cellStyle name="Normal 100 2 4 2 2 3" xfId="14770"/>
    <cellStyle name="Normal 100 2 4 2 2 3 2" xfId="25887"/>
    <cellStyle name="Normal 100 2 4 2 2 4" xfId="18499"/>
    <cellStyle name="Normal 100 2 4 2 3" xfId="9224"/>
    <cellStyle name="Normal 100 2 4 2 3 2" xfId="20346"/>
    <cellStyle name="Normal 100 2 4 2 4" xfId="12923"/>
    <cellStyle name="Normal 100 2 4 2 4 2" xfId="24040"/>
    <cellStyle name="Normal 100 2 4 2 5" xfId="16652"/>
    <cellStyle name="Normal 100 2 4 3" xfId="6451"/>
    <cellStyle name="Normal 100 2 4 3 2" xfId="10153"/>
    <cellStyle name="Normal 100 2 4 3 2 2" xfId="21275"/>
    <cellStyle name="Normal 100 2 4 3 3" xfId="13852"/>
    <cellStyle name="Normal 100 2 4 3 3 2" xfId="24969"/>
    <cellStyle name="Normal 100 2 4 3 4" xfId="17581"/>
    <cellStyle name="Normal 100 2 4 4" xfId="8305"/>
    <cellStyle name="Normal 100 2 4 4 2" xfId="19428"/>
    <cellStyle name="Normal 100 2 4 5" xfId="12005"/>
    <cellStyle name="Normal 100 2 4 5 2" xfId="23122"/>
    <cellStyle name="Normal 100 2 4 6" xfId="15734"/>
    <cellStyle name="Normal 100 2 5" xfId="3294"/>
    <cellStyle name="Normal 100 2 6" xfId="4811"/>
    <cellStyle name="Normal 100 2 6 2" xfId="7162"/>
    <cellStyle name="Normal 100 2 6 2 2" xfId="10863"/>
    <cellStyle name="Normal 100 2 6 2 2 2" xfId="21985"/>
    <cellStyle name="Normal 100 2 6 2 3" xfId="14562"/>
    <cellStyle name="Normal 100 2 6 2 3 2" xfId="25679"/>
    <cellStyle name="Normal 100 2 6 2 4" xfId="18291"/>
    <cellStyle name="Normal 100 2 6 3" xfId="9016"/>
    <cellStyle name="Normal 100 2 6 3 2" xfId="20138"/>
    <cellStyle name="Normal 100 2 6 4" xfId="12715"/>
    <cellStyle name="Normal 100 2 6 4 2" xfId="23832"/>
    <cellStyle name="Normal 100 2 6 5" xfId="16444"/>
    <cellStyle name="Normal 100 2 7" xfId="6243"/>
    <cellStyle name="Normal 100 2 7 2" xfId="9945"/>
    <cellStyle name="Normal 100 2 7 2 2" xfId="21067"/>
    <cellStyle name="Normal 100 2 7 3" xfId="13644"/>
    <cellStyle name="Normal 100 2 7 3 2" xfId="24761"/>
    <cellStyle name="Normal 100 2 7 4" xfId="17373"/>
    <cellStyle name="Normal 100 2 8" xfId="8097"/>
    <cellStyle name="Normal 100 2 8 2" xfId="19220"/>
    <cellStyle name="Normal 100 2 9" xfId="11797"/>
    <cellStyle name="Normal 100 2 9 2" xfId="22914"/>
    <cellStyle name="Normal 100 3" xfId="1663"/>
    <cellStyle name="Normal 100 3 2" xfId="2084"/>
    <cellStyle name="Normal 100 3 2 2" xfId="5204"/>
    <cellStyle name="Normal 100 3 2 2 2" xfId="7555"/>
    <cellStyle name="Normal 100 3 2 2 2 2" xfId="11256"/>
    <cellStyle name="Normal 100 3 2 2 2 2 2" xfId="22378"/>
    <cellStyle name="Normal 100 3 2 2 2 3" xfId="14955"/>
    <cellStyle name="Normal 100 3 2 2 2 3 2" xfId="26072"/>
    <cellStyle name="Normal 100 3 2 2 2 4" xfId="18684"/>
    <cellStyle name="Normal 100 3 2 2 3" xfId="9409"/>
    <cellStyle name="Normal 100 3 2 2 3 2" xfId="20531"/>
    <cellStyle name="Normal 100 3 2 2 4" xfId="13108"/>
    <cellStyle name="Normal 100 3 2 2 4 2" xfId="24225"/>
    <cellStyle name="Normal 100 3 2 2 5" xfId="16837"/>
    <cellStyle name="Normal 100 3 2 3" xfId="6636"/>
    <cellStyle name="Normal 100 3 2 3 2" xfId="10338"/>
    <cellStyle name="Normal 100 3 2 3 2 2" xfId="21460"/>
    <cellStyle name="Normal 100 3 2 3 3" xfId="14037"/>
    <cellStyle name="Normal 100 3 2 3 3 2" xfId="25154"/>
    <cellStyle name="Normal 100 3 2 3 4" xfId="17766"/>
    <cellStyle name="Normal 100 3 2 4" xfId="8490"/>
    <cellStyle name="Normal 100 3 2 4 2" xfId="19613"/>
    <cellStyle name="Normal 100 3 2 5" xfId="12190"/>
    <cellStyle name="Normal 100 3 2 5 2" xfId="23307"/>
    <cellStyle name="Normal 100 3 2 6" xfId="15919"/>
    <cellStyle name="Normal 100 3 3" xfId="1875"/>
    <cellStyle name="Normal 100 3 3 2" xfId="5072"/>
    <cellStyle name="Normal 100 3 3 2 2" xfId="7423"/>
    <cellStyle name="Normal 100 3 3 2 2 2" xfId="11124"/>
    <cellStyle name="Normal 100 3 3 2 2 2 2" xfId="22246"/>
    <cellStyle name="Normal 100 3 3 2 2 3" xfId="14823"/>
    <cellStyle name="Normal 100 3 3 2 2 3 2" xfId="25940"/>
    <cellStyle name="Normal 100 3 3 2 2 4" xfId="18552"/>
    <cellStyle name="Normal 100 3 3 2 3" xfId="9277"/>
    <cellStyle name="Normal 100 3 3 2 3 2" xfId="20399"/>
    <cellStyle name="Normal 100 3 3 2 4" xfId="12976"/>
    <cellStyle name="Normal 100 3 3 2 4 2" xfId="24093"/>
    <cellStyle name="Normal 100 3 3 2 5" xfId="16705"/>
    <cellStyle name="Normal 100 3 3 3" xfId="6504"/>
    <cellStyle name="Normal 100 3 3 3 2" xfId="10206"/>
    <cellStyle name="Normal 100 3 3 3 2 2" xfId="21328"/>
    <cellStyle name="Normal 100 3 3 3 3" xfId="13905"/>
    <cellStyle name="Normal 100 3 3 3 3 2" xfId="25022"/>
    <cellStyle name="Normal 100 3 3 3 4" xfId="17634"/>
    <cellStyle name="Normal 100 3 3 4" xfId="8358"/>
    <cellStyle name="Normal 100 3 3 4 2" xfId="19481"/>
    <cellStyle name="Normal 100 3 3 5" xfId="12058"/>
    <cellStyle name="Normal 100 3 3 5 2" xfId="23175"/>
    <cellStyle name="Normal 100 3 3 6" xfId="15787"/>
    <cellStyle name="Normal 100 3 4" xfId="4864"/>
    <cellStyle name="Normal 100 3 4 2" xfId="7215"/>
    <cellStyle name="Normal 100 3 4 2 2" xfId="10916"/>
    <cellStyle name="Normal 100 3 4 2 2 2" xfId="22038"/>
    <cellStyle name="Normal 100 3 4 2 3" xfId="14615"/>
    <cellStyle name="Normal 100 3 4 2 3 2" xfId="25732"/>
    <cellStyle name="Normal 100 3 4 2 4" xfId="18344"/>
    <cellStyle name="Normal 100 3 4 3" xfId="9069"/>
    <cellStyle name="Normal 100 3 4 3 2" xfId="20191"/>
    <cellStyle name="Normal 100 3 4 4" xfId="12768"/>
    <cellStyle name="Normal 100 3 4 4 2" xfId="23885"/>
    <cellStyle name="Normal 100 3 4 5" xfId="16497"/>
    <cellStyle name="Normal 100 3 5" xfId="6296"/>
    <cellStyle name="Normal 100 3 5 2" xfId="9998"/>
    <cellStyle name="Normal 100 3 5 2 2" xfId="21120"/>
    <cellStyle name="Normal 100 3 5 3" xfId="13697"/>
    <cellStyle name="Normal 100 3 5 3 2" xfId="24814"/>
    <cellStyle name="Normal 100 3 5 4" xfId="17426"/>
    <cellStyle name="Normal 100 3 6" xfId="8150"/>
    <cellStyle name="Normal 100 3 6 2" xfId="19273"/>
    <cellStyle name="Normal 100 3 7" xfId="11850"/>
    <cellStyle name="Normal 100 3 7 2" xfId="22967"/>
    <cellStyle name="Normal 100 3 8" xfId="15579"/>
    <cellStyle name="Normal 100 4" xfId="2081"/>
    <cellStyle name="Normal 100 4 2" xfId="5201"/>
    <cellStyle name="Normal 100 4 2 2" xfId="7552"/>
    <cellStyle name="Normal 100 4 2 2 2" xfId="11253"/>
    <cellStyle name="Normal 100 4 2 2 2 2" xfId="22375"/>
    <cellStyle name="Normal 100 4 2 2 3" xfId="14952"/>
    <cellStyle name="Normal 100 4 2 2 3 2" xfId="26069"/>
    <cellStyle name="Normal 100 4 2 2 4" xfId="18681"/>
    <cellStyle name="Normal 100 4 2 3" xfId="9406"/>
    <cellStyle name="Normal 100 4 2 3 2" xfId="20528"/>
    <cellStyle name="Normal 100 4 2 4" xfId="13105"/>
    <cellStyle name="Normal 100 4 2 4 2" xfId="24222"/>
    <cellStyle name="Normal 100 4 2 5" xfId="16834"/>
    <cellStyle name="Normal 100 4 3" xfId="6633"/>
    <cellStyle name="Normal 100 4 3 2" xfId="10335"/>
    <cellStyle name="Normal 100 4 3 2 2" xfId="21457"/>
    <cellStyle name="Normal 100 4 3 3" xfId="14034"/>
    <cellStyle name="Normal 100 4 3 3 2" xfId="25151"/>
    <cellStyle name="Normal 100 4 3 4" xfId="17763"/>
    <cellStyle name="Normal 100 4 4" xfId="8487"/>
    <cellStyle name="Normal 100 4 4 2" xfId="19610"/>
    <cellStyle name="Normal 100 4 5" xfId="12187"/>
    <cellStyle name="Normal 100 4 5 2" xfId="23304"/>
    <cellStyle name="Normal 100 4 6" xfId="15916"/>
    <cellStyle name="Normal 100 5" xfId="1771"/>
    <cellStyle name="Normal 100 5 2" xfId="4968"/>
    <cellStyle name="Normal 100 5 2 2" xfId="7319"/>
    <cellStyle name="Normal 100 5 2 2 2" xfId="11020"/>
    <cellStyle name="Normal 100 5 2 2 2 2" xfId="22142"/>
    <cellStyle name="Normal 100 5 2 2 3" xfId="14719"/>
    <cellStyle name="Normal 100 5 2 2 3 2" xfId="25836"/>
    <cellStyle name="Normal 100 5 2 2 4" xfId="18448"/>
    <cellStyle name="Normal 100 5 2 3" xfId="9173"/>
    <cellStyle name="Normal 100 5 2 3 2" xfId="20295"/>
    <cellStyle name="Normal 100 5 2 4" xfId="12872"/>
    <cellStyle name="Normal 100 5 2 4 2" xfId="23989"/>
    <cellStyle name="Normal 100 5 2 5" xfId="16601"/>
    <cellStyle name="Normal 100 5 3" xfId="6400"/>
    <cellStyle name="Normal 100 5 3 2" xfId="10102"/>
    <cellStyle name="Normal 100 5 3 2 2" xfId="21224"/>
    <cellStyle name="Normal 100 5 3 3" xfId="13801"/>
    <cellStyle name="Normal 100 5 3 3 2" xfId="24918"/>
    <cellStyle name="Normal 100 5 3 4" xfId="17530"/>
    <cellStyle name="Normal 100 5 4" xfId="8254"/>
    <cellStyle name="Normal 100 5 4 2" xfId="19377"/>
    <cellStyle name="Normal 100 5 5" xfId="11954"/>
    <cellStyle name="Normal 100 5 5 2" xfId="23071"/>
    <cellStyle name="Normal 100 5 6" xfId="15683"/>
    <cellStyle name="Normal 100 6" xfId="3293"/>
    <cellStyle name="Normal 100 7" xfId="4759"/>
    <cellStyle name="Normal 100 7 2" xfId="7111"/>
    <cellStyle name="Normal 100 7 2 2" xfId="10812"/>
    <cellStyle name="Normal 100 7 2 2 2" xfId="21934"/>
    <cellStyle name="Normal 100 7 2 3" xfId="14511"/>
    <cellStyle name="Normal 100 7 2 3 2" xfId="25628"/>
    <cellStyle name="Normal 100 7 2 4" xfId="18240"/>
    <cellStyle name="Normal 100 7 3" xfId="8965"/>
    <cellStyle name="Normal 100 7 3 2" xfId="20087"/>
    <cellStyle name="Normal 100 7 4" xfId="12664"/>
    <cellStyle name="Normal 100 7 4 2" xfId="23781"/>
    <cellStyle name="Normal 100 7 5" xfId="16393"/>
    <cellStyle name="Normal 100 8" xfId="6192"/>
    <cellStyle name="Normal 100 8 2" xfId="9894"/>
    <cellStyle name="Normal 100 8 2 2" xfId="21016"/>
    <cellStyle name="Normal 100 8 3" xfId="13593"/>
    <cellStyle name="Normal 100 8 3 2" xfId="24710"/>
    <cellStyle name="Normal 100 8 4" xfId="17322"/>
    <cellStyle name="Normal 100 9" xfId="8045"/>
    <cellStyle name="Normal 100 9 2" xfId="19169"/>
    <cellStyle name="Normal 101" xfId="882"/>
    <cellStyle name="Normal 101 10" xfId="11747"/>
    <cellStyle name="Normal 101 10 2" xfId="22864"/>
    <cellStyle name="Normal 101 11" xfId="15476"/>
    <cellStyle name="Normal 101 2" xfId="1600"/>
    <cellStyle name="Normal 101 2 10" xfId="15527"/>
    <cellStyle name="Normal 101 2 2" xfId="1719"/>
    <cellStyle name="Normal 101 2 2 2" xfId="2087"/>
    <cellStyle name="Normal 101 2 2 2 2" xfId="5207"/>
    <cellStyle name="Normal 101 2 2 2 2 2" xfId="7558"/>
    <cellStyle name="Normal 101 2 2 2 2 2 2" xfId="11259"/>
    <cellStyle name="Normal 101 2 2 2 2 2 2 2" xfId="22381"/>
    <cellStyle name="Normal 101 2 2 2 2 2 3" xfId="14958"/>
    <cellStyle name="Normal 101 2 2 2 2 2 3 2" xfId="26075"/>
    <cellStyle name="Normal 101 2 2 2 2 2 4" xfId="18687"/>
    <cellStyle name="Normal 101 2 2 2 2 3" xfId="9412"/>
    <cellStyle name="Normal 101 2 2 2 2 3 2" xfId="20534"/>
    <cellStyle name="Normal 101 2 2 2 2 4" xfId="13111"/>
    <cellStyle name="Normal 101 2 2 2 2 4 2" xfId="24228"/>
    <cellStyle name="Normal 101 2 2 2 2 5" xfId="16840"/>
    <cellStyle name="Normal 101 2 2 2 3" xfId="6639"/>
    <cellStyle name="Normal 101 2 2 2 3 2" xfId="10341"/>
    <cellStyle name="Normal 101 2 2 2 3 2 2" xfId="21463"/>
    <cellStyle name="Normal 101 2 2 2 3 3" xfId="14040"/>
    <cellStyle name="Normal 101 2 2 2 3 3 2" xfId="25157"/>
    <cellStyle name="Normal 101 2 2 2 3 4" xfId="17769"/>
    <cellStyle name="Normal 101 2 2 2 4" xfId="8493"/>
    <cellStyle name="Normal 101 2 2 2 4 2" xfId="19616"/>
    <cellStyle name="Normal 101 2 2 2 5" xfId="12193"/>
    <cellStyle name="Normal 101 2 2 2 5 2" xfId="23310"/>
    <cellStyle name="Normal 101 2 2 2 6" xfId="15922"/>
    <cellStyle name="Normal 101 2 2 3" xfId="1929"/>
    <cellStyle name="Normal 101 2 2 3 2" xfId="5126"/>
    <cellStyle name="Normal 101 2 2 3 2 2" xfId="7477"/>
    <cellStyle name="Normal 101 2 2 3 2 2 2" xfId="11178"/>
    <cellStyle name="Normal 101 2 2 3 2 2 2 2" xfId="22300"/>
    <cellStyle name="Normal 101 2 2 3 2 2 3" xfId="14877"/>
    <cellStyle name="Normal 101 2 2 3 2 2 3 2" xfId="25994"/>
    <cellStyle name="Normal 101 2 2 3 2 2 4" xfId="18606"/>
    <cellStyle name="Normal 101 2 2 3 2 3" xfId="9331"/>
    <cellStyle name="Normal 101 2 2 3 2 3 2" xfId="20453"/>
    <cellStyle name="Normal 101 2 2 3 2 4" xfId="13030"/>
    <cellStyle name="Normal 101 2 2 3 2 4 2" xfId="24147"/>
    <cellStyle name="Normal 101 2 2 3 2 5" xfId="16759"/>
    <cellStyle name="Normal 101 2 2 3 3" xfId="6558"/>
    <cellStyle name="Normal 101 2 2 3 3 2" xfId="10260"/>
    <cellStyle name="Normal 101 2 2 3 3 2 2" xfId="21382"/>
    <cellStyle name="Normal 101 2 2 3 3 3" xfId="13959"/>
    <cellStyle name="Normal 101 2 2 3 3 3 2" xfId="25076"/>
    <cellStyle name="Normal 101 2 2 3 3 4" xfId="17688"/>
    <cellStyle name="Normal 101 2 2 3 4" xfId="8412"/>
    <cellStyle name="Normal 101 2 2 3 4 2" xfId="19535"/>
    <cellStyle name="Normal 101 2 2 3 5" xfId="12112"/>
    <cellStyle name="Normal 101 2 2 3 5 2" xfId="23229"/>
    <cellStyle name="Normal 101 2 2 3 6" xfId="15841"/>
    <cellStyle name="Normal 101 2 2 4" xfId="4918"/>
    <cellStyle name="Normal 101 2 2 4 2" xfId="7269"/>
    <cellStyle name="Normal 101 2 2 4 2 2" xfId="10970"/>
    <cellStyle name="Normal 101 2 2 4 2 2 2" xfId="22092"/>
    <cellStyle name="Normal 101 2 2 4 2 3" xfId="14669"/>
    <cellStyle name="Normal 101 2 2 4 2 3 2" xfId="25786"/>
    <cellStyle name="Normal 101 2 2 4 2 4" xfId="18398"/>
    <cellStyle name="Normal 101 2 2 4 3" xfId="9123"/>
    <cellStyle name="Normal 101 2 2 4 3 2" xfId="20245"/>
    <cellStyle name="Normal 101 2 2 4 4" xfId="12822"/>
    <cellStyle name="Normal 101 2 2 4 4 2" xfId="23939"/>
    <cellStyle name="Normal 101 2 2 4 5" xfId="16551"/>
    <cellStyle name="Normal 101 2 2 5" xfId="6350"/>
    <cellStyle name="Normal 101 2 2 5 2" xfId="10052"/>
    <cellStyle name="Normal 101 2 2 5 2 2" xfId="21174"/>
    <cellStyle name="Normal 101 2 2 5 3" xfId="13751"/>
    <cellStyle name="Normal 101 2 2 5 3 2" xfId="24868"/>
    <cellStyle name="Normal 101 2 2 5 4" xfId="17480"/>
    <cellStyle name="Normal 101 2 2 6" xfId="8204"/>
    <cellStyle name="Normal 101 2 2 6 2" xfId="19327"/>
    <cellStyle name="Normal 101 2 2 7" xfId="11904"/>
    <cellStyle name="Normal 101 2 2 7 2" xfId="23021"/>
    <cellStyle name="Normal 101 2 2 8" xfId="15633"/>
    <cellStyle name="Normal 101 2 3" xfId="2086"/>
    <cellStyle name="Normal 101 2 3 2" xfId="5206"/>
    <cellStyle name="Normal 101 2 3 2 2" xfId="7557"/>
    <cellStyle name="Normal 101 2 3 2 2 2" xfId="11258"/>
    <cellStyle name="Normal 101 2 3 2 2 2 2" xfId="22380"/>
    <cellStyle name="Normal 101 2 3 2 2 3" xfId="14957"/>
    <cellStyle name="Normal 101 2 3 2 2 3 2" xfId="26074"/>
    <cellStyle name="Normal 101 2 3 2 2 4" xfId="18686"/>
    <cellStyle name="Normal 101 2 3 2 3" xfId="9411"/>
    <cellStyle name="Normal 101 2 3 2 3 2" xfId="20533"/>
    <cellStyle name="Normal 101 2 3 2 4" xfId="13110"/>
    <cellStyle name="Normal 101 2 3 2 4 2" xfId="24227"/>
    <cellStyle name="Normal 101 2 3 2 5" xfId="16839"/>
    <cellStyle name="Normal 101 2 3 3" xfId="6638"/>
    <cellStyle name="Normal 101 2 3 3 2" xfId="10340"/>
    <cellStyle name="Normal 101 2 3 3 2 2" xfId="21462"/>
    <cellStyle name="Normal 101 2 3 3 3" xfId="14039"/>
    <cellStyle name="Normal 101 2 3 3 3 2" xfId="25156"/>
    <cellStyle name="Normal 101 2 3 3 4" xfId="17768"/>
    <cellStyle name="Normal 101 2 3 4" xfId="8492"/>
    <cellStyle name="Normal 101 2 3 4 2" xfId="19615"/>
    <cellStyle name="Normal 101 2 3 5" xfId="12192"/>
    <cellStyle name="Normal 101 2 3 5 2" xfId="23309"/>
    <cellStyle name="Normal 101 2 3 6" xfId="15921"/>
    <cellStyle name="Normal 101 2 4" xfId="1823"/>
    <cellStyle name="Normal 101 2 4 2" xfId="5020"/>
    <cellStyle name="Normal 101 2 4 2 2" xfId="7371"/>
    <cellStyle name="Normal 101 2 4 2 2 2" xfId="11072"/>
    <cellStyle name="Normal 101 2 4 2 2 2 2" xfId="22194"/>
    <cellStyle name="Normal 101 2 4 2 2 3" xfId="14771"/>
    <cellStyle name="Normal 101 2 4 2 2 3 2" xfId="25888"/>
    <cellStyle name="Normal 101 2 4 2 2 4" xfId="18500"/>
    <cellStyle name="Normal 101 2 4 2 3" xfId="9225"/>
    <cellStyle name="Normal 101 2 4 2 3 2" xfId="20347"/>
    <cellStyle name="Normal 101 2 4 2 4" xfId="12924"/>
    <cellStyle name="Normal 101 2 4 2 4 2" xfId="24041"/>
    <cellStyle name="Normal 101 2 4 2 5" xfId="16653"/>
    <cellStyle name="Normal 101 2 4 3" xfId="6452"/>
    <cellStyle name="Normal 101 2 4 3 2" xfId="10154"/>
    <cellStyle name="Normal 101 2 4 3 2 2" xfId="21276"/>
    <cellStyle name="Normal 101 2 4 3 3" xfId="13853"/>
    <cellStyle name="Normal 101 2 4 3 3 2" xfId="24970"/>
    <cellStyle name="Normal 101 2 4 3 4" xfId="17582"/>
    <cellStyle name="Normal 101 2 4 4" xfId="8306"/>
    <cellStyle name="Normal 101 2 4 4 2" xfId="19429"/>
    <cellStyle name="Normal 101 2 4 5" xfId="12006"/>
    <cellStyle name="Normal 101 2 4 5 2" xfId="23123"/>
    <cellStyle name="Normal 101 2 4 6" xfId="15735"/>
    <cellStyle name="Normal 101 2 5" xfId="3296"/>
    <cellStyle name="Normal 101 2 6" xfId="4812"/>
    <cellStyle name="Normal 101 2 6 2" xfId="7163"/>
    <cellStyle name="Normal 101 2 6 2 2" xfId="10864"/>
    <cellStyle name="Normal 101 2 6 2 2 2" xfId="21986"/>
    <cellStyle name="Normal 101 2 6 2 3" xfId="14563"/>
    <cellStyle name="Normal 101 2 6 2 3 2" xfId="25680"/>
    <cellStyle name="Normal 101 2 6 2 4" xfId="18292"/>
    <cellStyle name="Normal 101 2 6 3" xfId="9017"/>
    <cellStyle name="Normal 101 2 6 3 2" xfId="20139"/>
    <cellStyle name="Normal 101 2 6 4" xfId="12716"/>
    <cellStyle name="Normal 101 2 6 4 2" xfId="23833"/>
    <cellStyle name="Normal 101 2 6 5" xfId="16445"/>
    <cellStyle name="Normal 101 2 7" xfId="6244"/>
    <cellStyle name="Normal 101 2 7 2" xfId="9946"/>
    <cellStyle name="Normal 101 2 7 2 2" xfId="21068"/>
    <cellStyle name="Normal 101 2 7 3" xfId="13645"/>
    <cellStyle name="Normal 101 2 7 3 2" xfId="24762"/>
    <cellStyle name="Normal 101 2 7 4" xfId="17374"/>
    <cellStyle name="Normal 101 2 8" xfId="8098"/>
    <cellStyle name="Normal 101 2 8 2" xfId="19221"/>
    <cellStyle name="Normal 101 2 9" xfId="11798"/>
    <cellStyle name="Normal 101 2 9 2" xfId="22915"/>
    <cellStyle name="Normal 101 3" xfId="1664"/>
    <cellStyle name="Normal 101 3 2" xfId="2088"/>
    <cellStyle name="Normal 101 3 2 2" xfId="5208"/>
    <cellStyle name="Normal 101 3 2 2 2" xfId="7559"/>
    <cellStyle name="Normal 101 3 2 2 2 2" xfId="11260"/>
    <cellStyle name="Normal 101 3 2 2 2 2 2" xfId="22382"/>
    <cellStyle name="Normal 101 3 2 2 2 3" xfId="14959"/>
    <cellStyle name="Normal 101 3 2 2 2 3 2" xfId="26076"/>
    <cellStyle name="Normal 101 3 2 2 2 4" xfId="18688"/>
    <cellStyle name="Normal 101 3 2 2 3" xfId="9413"/>
    <cellStyle name="Normal 101 3 2 2 3 2" xfId="20535"/>
    <cellStyle name="Normal 101 3 2 2 4" xfId="13112"/>
    <cellStyle name="Normal 101 3 2 2 4 2" xfId="24229"/>
    <cellStyle name="Normal 101 3 2 2 5" xfId="16841"/>
    <cellStyle name="Normal 101 3 2 3" xfId="6640"/>
    <cellStyle name="Normal 101 3 2 3 2" xfId="10342"/>
    <cellStyle name="Normal 101 3 2 3 2 2" xfId="21464"/>
    <cellStyle name="Normal 101 3 2 3 3" xfId="14041"/>
    <cellStyle name="Normal 101 3 2 3 3 2" xfId="25158"/>
    <cellStyle name="Normal 101 3 2 3 4" xfId="17770"/>
    <cellStyle name="Normal 101 3 2 4" xfId="8494"/>
    <cellStyle name="Normal 101 3 2 4 2" xfId="19617"/>
    <cellStyle name="Normal 101 3 2 5" xfId="12194"/>
    <cellStyle name="Normal 101 3 2 5 2" xfId="23311"/>
    <cellStyle name="Normal 101 3 2 6" xfId="15923"/>
    <cellStyle name="Normal 101 3 3" xfId="1876"/>
    <cellStyle name="Normal 101 3 3 2" xfId="5073"/>
    <cellStyle name="Normal 101 3 3 2 2" xfId="7424"/>
    <cellStyle name="Normal 101 3 3 2 2 2" xfId="11125"/>
    <cellStyle name="Normal 101 3 3 2 2 2 2" xfId="22247"/>
    <cellStyle name="Normal 101 3 3 2 2 3" xfId="14824"/>
    <cellStyle name="Normal 101 3 3 2 2 3 2" xfId="25941"/>
    <cellStyle name="Normal 101 3 3 2 2 4" xfId="18553"/>
    <cellStyle name="Normal 101 3 3 2 3" xfId="9278"/>
    <cellStyle name="Normal 101 3 3 2 3 2" xfId="20400"/>
    <cellStyle name="Normal 101 3 3 2 4" xfId="12977"/>
    <cellStyle name="Normal 101 3 3 2 4 2" xfId="24094"/>
    <cellStyle name="Normal 101 3 3 2 5" xfId="16706"/>
    <cellStyle name="Normal 101 3 3 3" xfId="6505"/>
    <cellStyle name="Normal 101 3 3 3 2" xfId="10207"/>
    <cellStyle name="Normal 101 3 3 3 2 2" xfId="21329"/>
    <cellStyle name="Normal 101 3 3 3 3" xfId="13906"/>
    <cellStyle name="Normal 101 3 3 3 3 2" xfId="25023"/>
    <cellStyle name="Normal 101 3 3 3 4" xfId="17635"/>
    <cellStyle name="Normal 101 3 3 4" xfId="8359"/>
    <cellStyle name="Normal 101 3 3 4 2" xfId="19482"/>
    <cellStyle name="Normal 101 3 3 5" xfId="12059"/>
    <cellStyle name="Normal 101 3 3 5 2" xfId="23176"/>
    <cellStyle name="Normal 101 3 3 6" xfId="15788"/>
    <cellStyle name="Normal 101 3 4" xfId="4865"/>
    <cellStyle name="Normal 101 3 4 2" xfId="7216"/>
    <cellStyle name="Normal 101 3 4 2 2" xfId="10917"/>
    <cellStyle name="Normal 101 3 4 2 2 2" xfId="22039"/>
    <cellStyle name="Normal 101 3 4 2 3" xfId="14616"/>
    <cellStyle name="Normal 101 3 4 2 3 2" xfId="25733"/>
    <cellStyle name="Normal 101 3 4 2 4" xfId="18345"/>
    <cellStyle name="Normal 101 3 4 3" xfId="9070"/>
    <cellStyle name="Normal 101 3 4 3 2" xfId="20192"/>
    <cellStyle name="Normal 101 3 4 4" xfId="12769"/>
    <cellStyle name="Normal 101 3 4 4 2" xfId="23886"/>
    <cellStyle name="Normal 101 3 4 5" xfId="16498"/>
    <cellStyle name="Normal 101 3 5" xfId="6297"/>
    <cellStyle name="Normal 101 3 5 2" xfId="9999"/>
    <cellStyle name="Normal 101 3 5 2 2" xfId="21121"/>
    <cellStyle name="Normal 101 3 5 3" xfId="13698"/>
    <cellStyle name="Normal 101 3 5 3 2" xfId="24815"/>
    <cellStyle name="Normal 101 3 5 4" xfId="17427"/>
    <cellStyle name="Normal 101 3 6" xfId="8151"/>
    <cellStyle name="Normal 101 3 6 2" xfId="19274"/>
    <cellStyle name="Normal 101 3 7" xfId="11851"/>
    <cellStyle name="Normal 101 3 7 2" xfId="22968"/>
    <cellStyle name="Normal 101 3 8" xfId="15580"/>
    <cellStyle name="Normal 101 4" xfId="2085"/>
    <cellStyle name="Normal 101 4 2" xfId="5205"/>
    <cellStyle name="Normal 101 4 2 2" xfId="7556"/>
    <cellStyle name="Normal 101 4 2 2 2" xfId="11257"/>
    <cellStyle name="Normal 101 4 2 2 2 2" xfId="22379"/>
    <cellStyle name="Normal 101 4 2 2 3" xfId="14956"/>
    <cellStyle name="Normal 101 4 2 2 3 2" xfId="26073"/>
    <cellStyle name="Normal 101 4 2 2 4" xfId="18685"/>
    <cellStyle name="Normal 101 4 2 3" xfId="9410"/>
    <cellStyle name="Normal 101 4 2 3 2" xfId="20532"/>
    <cellStyle name="Normal 101 4 2 4" xfId="13109"/>
    <cellStyle name="Normal 101 4 2 4 2" xfId="24226"/>
    <cellStyle name="Normal 101 4 2 5" xfId="16838"/>
    <cellStyle name="Normal 101 4 3" xfId="6637"/>
    <cellStyle name="Normal 101 4 3 2" xfId="10339"/>
    <cellStyle name="Normal 101 4 3 2 2" xfId="21461"/>
    <cellStyle name="Normal 101 4 3 3" xfId="14038"/>
    <cellStyle name="Normal 101 4 3 3 2" xfId="25155"/>
    <cellStyle name="Normal 101 4 3 4" xfId="17767"/>
    <cellStyle name="Normal 101 4 4" xfId="8491"/>
    <cellStyle name="Normal 101 4 4 2" xfId="19614"/>
    <cellStyle name="Normal 101 4 5" xfId="12191"/>
    <cellStyle name="Normal 101 4 5 2" xfId="23308"/>
    <cellStyle name="Normal 101 4 6" xfId="15920"/>
    <cellStyle name="Normal 101 5" xfId="1772"/>
    <cellStyle name="Normal 101 5 2" xfId="4969"/>
    <cellStyle name="Normal 101 5 2 2" xfId="7320"/>
    <cellStyle name="Normal 101 5 2 2 2" xfId="11021"/>
    <cellStyle name="Normal 101 5 2 2 2 2" xfId="22143"/>
    <cellStyle name="Normal 101 5 2 2 3" xfId="14720"/>
    <cellStyle name="Normal 101 5 2 2 3 2" xfId="25837"/>
    <cellStyle name="Normal 101 5 2 2 4" xfId="18449"/>
    <cellStyle name="Normal 101 5 2 3" xfId="9174"/>
    <cellStyle name="Normal 101 5 2 3 2" xfId="20296"/>
    <cellStyle name="Normal 101 5 2 4" xfId="12873"/>
    <cellStyle name="Normal 101 5 2 4 2" xfId="23990"/>
    <cellStyle name="Normal 101 5 2 5" xfId="16602"/>
    <cellStyle name="Normal 101 5 3" xfId="6401"/>
    <cellStyle name="Normal 101 5 3 2" xfId="10103"/>
    <cellStyle name="Normal 101 5 3 2 2" xfId="21225"/>
    <cellStyle name="Normal 101 5 3 3" xfId="13802"/>
    <cellStyle name="Normal 101 5 3 3 2" xfId="24919"/>
    <cellStyle name="Normal 101 5 3 4" xfId="17531"/>
    <cellStyle name="Normal 101 5 4" xfId="8255"/>
    <cellStyle name="Normal 101 5 4 2" xfId="19378"/>
    <cellStyle name="Normal 101 5 5" xfId="11955"/>
    <cellStyle name="Normal 101 5 5 2" xfId="23072"/>
    <cellStyle name="Normal 101 5 6" xfId="15684"/>
    <cellStyle name="Normal 101 6" xfId="3295"/>
    <cellStyle name="Normal 101 7" xfId="4760"/>
    <cellStyle name="Normal 101 7 2" xfId="7112"/>
    <cellStyle name="Normal 101 7 2 2" xfId="10813"/>
    <cellStyle name="Normal 101 7 2 2 2" xfId="21935"/>
    <cellStyle name="Normal 101 7 2 3" xfId="14512"/>
    <cellStyle name="Normal 101 7 2 3 2" xfId="25629"/>
    <cellStyle name="Normal 101 7 2 4" xfId="18241"/>
    <cellStyle name="Normal 101 7 3" xfId="8966"/>
    <cellStyle name="Normal 101 7 3 2" xfId="20088"/>
    <cellStyle name="Normal 101 7 4" xfId="12665"/>
    <cellStyle name="Normal 101 7 4 2" xfId="23782"/>
    <cellStyle name="Normal 101 7 5" xfId="16394"/>
    <cellStyle name="Normal 101 8" xfId="6193"/>
    <cellStyle name="Normal 101 8 2" xfId="9895"/>
    <cellStyle name="Normal 101 8 2 2" xfId="21017"/>
    <cellStyle name="Normal 101 8 3" xfId="13594"/>
    <cellStyle name="Normal 101 8 3 2" xfId="24711"/>
    <cellStyle name="Normal 101 8 4" xfId="17323"/>
    <cellStyle name="Normal 101 9" xfId="8046"/>
    <cellStyle name="Normal 101 9 2" xfId="19170"/>
    <cellStyle name="Normal 102" xfId="1544"/>
    <cellStyle name="Normal 102 2" xfId="3297"/>
    <cellStyle name="Normal 103" xfId="1551"/>
    <cellStyle name="Normal 103 2" xfId="3298"/>
    <cellStyle name="Normal 104" xfId="1546"/>
    <cellStyle name="Normal 104 2" xfId="3299"/>
    <cellStyle name="Normal 105" xfId="1547"/>
    <cellStyle name="Normal 105 2" xfId="3300"/>
    <cellStyle name="Normal 106" xfId="1550"/>
    <cellStyle name="Normal 106 2" xfId="3301"/>
    <cellStyle name="Normal 107" xfId="1548"/>
    <cellStyle name="Normal 107 2" xfId="3302"/>
    <cellStyle name="Normal 108" xfId="1545"/>
    <cellStyle name="Normal 108 2" xfId="3303"/>
    <cellStyle name="Normal 109" xfId="1549"/>
    <cellStyle name="Normal 109 2" xfId="3304"/>
    <cellStyle name="Normal 11" xfId="383"/>
    <cellStyle name="Normal 11 2" xfId="384"/>
    <cellStyle name="Normal 11 2 2" xfId="3305"/>
    <cellStyle name="Normal 11 3" xfId="957"/>
    <cellStyle name="Normal 11 3 2" xfId="980"/>
    <cellStyle name="Normal 11 3 2 10" xfId="11750"/>
    <cellStyle name="Normal 11 3 2 10 2" xfId="22867"/>
    <cellStyle name="Normal 11 3 2 11" xfId="15479"/>
    <cellStyle name="Normal 11 3 2 2" xfId="1605"/>
    <cellStyle name="Normal 11 3 2 2 2" xfId="1722"/>
    <cellStyle name="Normal 11 3 2 2 2 2" xfId="2091"/>
    <cellStyle name="Normal 11 3 2 2 2 2 2" xfId="5211"/>
    <cellStyle name="Normal 11 3 2 2 2 2 2 2" xfId="7562"/>
    <cellStyle name="Normal 11 3 2 2 2 2 2 2 2" xfId="11263"/>
    <cellStyle name="Normal 11 3 2 2 2 2 2 2 2 2" xfId="22385"/>
    <cellStyle name="Normal 11 3 2 2 2 2 2 2 3" xfId="14962"/>
    <cellStyle name="Normal 11 3 2 2 2 2 2 2 3 2" xfId="26079"/>
    <cellStyle name="Normal 11 3 2 2 2 2 2 2 4" xfId="18691"/>
    <cellStyle name="Normal 11 3 2 2 2 2 2 3" xfId="9416"/>
    <cellStyle name="Normal 11 3 2 2 2 2 2 3 2" xfId="20538"/>
    <cellStyle name="Normal 11 3 2 2 2 2 2 4" xfId="13115"/>
    <cellStyle name="Normal 11 3 2 2 2 2 2 4 2" xfId="24232"/>
    <cellStyle name="Normal 11 3 2 2 2 2 2 5" xfId="16844"/>
    <cellStyle name="Normal 11 3 2 2 2 2 3" xfId="6643"/>
    <cellStyle name="Normal 11 3 2 2 2 2 3 2" xfId="10345"/>
    <cellStyle name="Normal 11 3 2 2 2 2 3 2 2" xfId="21467"/>
    <cellStyle name="Normal 11 3 2 2 2 2 3 3" xfId="14044"/>
    <cellStyle name="Normal 11 3 2 2 2 2 3 3 2" xfId="25161"/>
    <cellStyle name="Normal 11 3 2 2 2 2 3 4" xfId="17773"/>
    <cellStyle name="Normal 11 3 2 2 2 2 4" xfId="8497"/>
    <cellStyle name="Normal 11 3 2 2 2 2 4 2" xfId="19620"/>
    <cellStyle name="Normal 11 3 2 2 2 2 5" xfId="12197"/>
    <cellStyle name="Normal 11 3 2 2 2 2 5 2" xfId="23314"/>
    <cellStyle name="Normal 11 3 2 2 2 2 6" xfId="15926"/>
    <cellStyle name="Normal 11 3 2 2 2 3" xfId="1932"/>
    <cellStyle name="Normal 11 3 2 2 2 3 2" xfId="5129"/>
    <cellStyle name="Normal 11 3 2 2 2 3 2 2" xfId="7480"/>
    <cellStyle name="Normal 11 3 2 2 2 3 2 2 2" xfId="11181"/>
    <cellStyle name="Normal 11 3 2 2 2 3 2 2 2 2" xfId="22303"/>
    <cellStyle name="Normal 11 3 2 2 2 3 2 2 3" xfId="14880"/>
    <cellStyle name="Normal 11 3 2 2 2 3 2 2 3 2" xfId="25997"/>
    <cellStyle name="Normal 11 3 2 2 2 3 2 2 4" xfId="18609"/>
    <cellStyle name="Normal 11 3 2 2 2 3 2 3" xfId="9334"/>
    <cellStyle name="Normal 11 3 2 2 2 3 2 3 2" xfId="20456"/>
    <cellStyle name="Normal 11 3 2 2 2 3 2 4" xfId="13033"/>
    <cellStyle name="Normal 11 3 2 2 2 3 2 4 2" xfId="24150"/>
    <cellStyle name="Normal 11 3 2 2 2 3 2 5" xfId="16762"/>
    <cellStyle name="Normal 11 3 2 2 2 3 3" xfId="6561"/>
    <cellStyle name="Normal 11 3 2 2 2 3 3 2" xfId="10263"/>
    <cellStyle name="Normal 11 3 2 2 2 3 3 2 2" xfId="21385"/>
    <cellStyle name="Normal 11 3 2 2 2 3 3 3" xfId="13962"/>
    <cellStyle name="Normal 11 3 2 2 2 3 3 3 2" xfId="25079"/>
    <cellStyle name="Normal 11 3 2 2 2 3 3 4" xfId="17691"/>
    <cellStyle name="Normal 11 3 2 2 2 3 4" xfId="8415"/>
    <cellStyle name="Normal 11 3 2 2 2 3 4 2" xfId="19538"/>
    <cellStyle name="Normal 11 3 2 2 2 3 5" xfId="12115"/>
    <cellStyle name="Normal 11 3 2 2 2 3 5 2" xfId="23232"/>
    <cellStyle name="Normal 11 3 2 2 2 3 6" xfId="15844"/>
    <cellStyle name="Normal 11 3 2 2 2 4" xfId="4921"/>
    <cellStyle name="Normal 11 3 2 2 2 4 2" xfId="7272"/>
    <cellStyle name="Normal 11 3 2 2 2 4 2 2" xfId="10973"/>
    <cellStyle name="Normal 11 3 2 2 2 4 2 2 2" xfId="22095"/>
    <cellStyle name="Normal 11 3 2 2 2 4 2 3" xfId="14672"/>
    <cellStyle name="Normal 11 3 2 2 2 4 2 3 2" xfId="25789"/>
    <cellStyle name="Normal 11 3 2 2 2 4 2 4" xfId="18401"/>
    <cellStyle name="Normal 11 3 2 2 2 4 3" xfId="9126"/>
    <cellStyle name="Normal 11 3 2 2 2 4 3 2" xfId="20248"/>
    <cellStyle name="Normal 11 3 2 2 2 4 4" xfId="12825"/>
    <cellStyle name="Normal 11 3 2 2 2 4 4 2" xfId="23942"/>
    <cellStyle name="Normal 11 3 2 2 2 4 5" xfId="16554"/>
    <cellStyle name="Normal 11 3 2 2 2 5" xfId="6353"/>
    <cellStyle name="Normal 11 3 2 2 2 5 2" xfId="10055"/>
    <cellStyle name="Normal 11 3 2 2 2 5 2 2" xfId="21177"/>
    <cellStyle name="Normal 11 3 2 2 2 5 3" xfId="13754"/>
    <cellStyle name="Normal 11 3 2 2 2 5 3 2" xfId="24871"/>
    <cellStyle name="Normal 11 3 2 2 2 5 4" xfId="17483"/>
    <cellStyle name="Normal 11 3 2 2 2 6" xfId="8207"/>
    <cellStyle name="Normal 11 3 2 2 2 6 2" xfId="19330"/>
    <cellStyle name="Normal 11 3 2 2 2 7" xfId="11907"/>
    <cellStyle name="Normal 11 3 2 2 2 7 2" xfId="23024"/>
    <cellStyle name="Normal 11 3 2 2 2 8" xfId="15636"/>
    <cellStyle name="Normal 11 3 2 2 3" xfId="2090"/>
    <cellStyle name="Normal 11 3 2 2 3 2" xfId="5210"/>
    <cellStyle name="Normal 11 3 2 2 3 2 2" xfId="7561"/>
    <cellStyle name="Normal 11 3 2 2 3 2 2 2" xfId="11262"/>
    <cellStyle name="Normal 11 3 2 2 3 2 2 2 2" xfId="22384"/>
    <cellStyle name="Normal 11 3 2 2 3 2 2 3" xfId="14961"/>
    <cellStyle name="Normal 11 3 2 2 3 2 2 3 2" xfId="26078"/>
    <cellStyle name="Normal 11 3 2 2 3 2 2 4" xfId="18690"/>
    <cellStyle name="Normal 11 3 2 2 3 2 3" xfId="9415"/>
    <cellStyle name="Normal 11 3 2 2 3 2 3 2" xfId="20537"/>
    <cellStyle name="Normal 11 3 2 2 3 2 4" xfId="13114"/>
    <cellStyle name="Normal 11 3 2 2 3 2 4 2" xfId="24231"/>
    <cellStyle name="Normal 11 3 2 2 3 2 5" xfId="16843"/>
    <cellStyle name="Normal 11 3 2 2 3 3" xfId="6642"/>
    <cellStyle name="Normal 11 3 2 2 3 3 2" xfId="10344"/>
    <cellStyle name="Normal 11 3 2 2 3 3 2 2" xfId="21466"/>
    <cellStyle name="Normal 11 3 2 2 3 3 3" xfId="14043"/>
    <cellStyle name="Normal 11 3 2 2 3 3 3 2" xfId="25160"/>
    <cellStyle name="Normal 11 3 2 2 3 3 4" xfId="17772"/>
    <cellStyle name="Normal 11 3 2 2 3 4" xfId="8496"/>
    <cellStyle name="Normal 11 3 2 2 3 4 2" xfId="19619"/>
    <cellStyle name="Normal 11 3 2 2 3 5" xfId="12196"/>
    <cellStyle name="Normal 11 3 2 2 3 5 2" xfId="23313"/>
    <cellStyle name="Normal 11 3 2 2 3 6" xfId="15925"/>
    <cellStyle name="Normal 11 3 2 2 4" xfId="1826"/>
    <cellStyle name="Normal 11 3 2 2 4 2" xfId="5023"/>
    <cellStyle name="Normal 11 3 2 2 4 2 2" xfId="7374"/>
    <cellStyle name="Normal 11 3 2 2 4 2 2 2" xfId="11075"/>
    <cellStyle name="Normal 11 3 2 2 4 2 2 2 2" xfId="22197"/>
    <cellStyle name="Normal 11 3 2 2 4 2 2 3" xfId="14774"/>
    <cellStyle name="Normal 11 3 2 2 4 2 2 3 2" xfId="25891"/>
    <cellStyle name="Normal 11 3 2 2 4 2 2 4" xfId="18503"/>
    <cellStyle name="Normal 11 3 2 2 4 2 3" xfId="9228"/>
    <cellStyle name="Normal 11 3 2 2 4 2 3 2" xfId="20350"/>
    <cellStyle name="Normal 11 3 2 2 4 2 4" xfId="12927"/>
    <cellStyle name="Normal 11 3 2 2 4 2 4 2" xfId="24044"/>
    <cellStyle name="Normal 11 3 2 2 4 2 5" xfId="16656"/>
    <cellStyle name="Normal 11 3 2 2 4 3" xfId="6455"/>
    <cellStyle name="Normal 11 3 2 2 4 3 2" xfId="10157"/>
    <cellStyle name="Normal 11 3 2 2 4 3 2 2" xfId="21279"/>
    <cellStyle name="Normal 11 3 2 2 4 3 3" xfId="13856"/>
    <cellStyle name="Normal 11 3 2 2 4 3 3 2" xfId="24973"/>
    <cellStyle name="Normal 11 3 2 2 4 3 4" xfId="17585"/>
    <cellStyle name="Normal 11 3 2 2 4 4" xfId="8309"/>
    <cellStyle name="Normal 11 3 2 2 4 4 2" xfId="19432"/>
    <cellStyle name="Normal 11 3 2 2 4 5" xfId="12009"/>
    <cellStyle name="Normal 11 3 2 2 4 5 2" xfId="23126"/>
    <cellStyle name="Normal 11 3 2 2 4 6" xfId="15738"/>
    <cellStyle name="Normal 11 3 2 2 5" xfId="4815"/>
    <cellStyle name="Normal 11 3 2 2 5 2" xfId="7166"/>
    <cellStyle name="Normal 11 3 2 2 5 2 2" xfId="10867"/>
    <cellStyle name="Normal 11 3 2 2 5 2 2 2" xfId="21989"/>
    <cellStyle name="Normal 11 3 2 2 5 2 3" xfId="14566"/>
    <cellStyle name="Normal 11 3 2 2 5 2 3 2" xfId="25683"/>
    <cellStyle name="Normal 11 3 2 2 5 2 4" xfId="18295"/>
    <cellStyle name="Normal 11 3 2 2 5 3" xfId="9020"/>
    <cellStyle name="Normal 11 3 2 2 5 3 2" xfId="20142"/>
    <cellStyle name="Normal 11 3 2 2 5 4" xfId="12719"/>
    <cellStyle name="Normal 11 3 2 2 5 4 2" xfId="23836"/>
    <cellStyle name="Normal 11 3 2 2 5 5" xfId="16448"/>
    <cellStyle name="Normal 11 3 2 2 6" xfId="6247"/>
    <cellStyle name="Normal 11 3 2 2 6 2" xfId="9949"/>
    <cellStyle name="Normal 11 3 2 2 6 2 2" xfId="21071"/>
    <cellStyle name="Normal 11 3 2 2 6 3" xfId="13648"/>
    <cellStyle name="Normal 11 3 2 2 6 3 2" xfId="24765"/>
    <cellStyle name="Normal 11 3 2 2 6 4" xfId="17377"/>
    <cellStyle name="Normal 11 3 2 2 7" xfId="8101"/>
    <cellStyle name="Normal 11 3 2 2 7 2" xfId="19224"/>
    <cellStyle name="Normal 11 3 2 2 8" xfId="11801"/>
    <cellStyle name="Normal 11 3 2 2 8 2" xfId="22918"/>
    <cellStyle name="Normal 11 3 2 2 9" xfId="15530"/>
    <cellStyle name="Normal 11 3 2 3" xfId="1670"/>
    <cellStyle name="Normal 11 3 2 3 2" xfId="2092"/>
    <cellStyle name="Normal 11 3 2 3 2 2" xfId="5212"/>
    <cellStyle name="Normal 11 3 2 3 2 2 2" xfId="7563"/>
    <cellStyle name="Normal 11 3 2 3 2 2 2 2" xfId="11264"/>
    <cellStyle name="Normal 11 3 2 3 2 2 2 2 2" xfId="22386"/>
    <cellStyle name="Normal 11 3 2 3 2 2 2 3" xfId="14963"/>
    <cellStyle name="Normal 11 3 2 3 2 2 2 3 2" xfId="26080"/>
    <cellStyle name="Normal 11 3 2 3 2 2 2 4" xfId="18692"/>
    <cellStyle name="Normal 11 3 2 3 2 2 3" xfId="9417"/>
    <cellStyle name="Normal 11 3 2 3 2 2 3 2" xfId="20539"/>
    <cellStyle name="Normal 11 3 2 3 2 2 4" xfId="13116"/>
    <cellStyle name="Normal 11 3 2 3 2 2 4 2" xfId="24233"/>
    <cellStyle name="Normal 11 3 2 3 2 2 5" xfId="16845"/>
    <cellStyle name="Normal 11 3 2 3 2 3" xfId="6644"/>
    <cellStyle name="Normal 11 3 2 3 2 3 2" xfId="10346"/>
    <cellStyle name="Normal 11 3 2 3 2 3 2 2" xfId="21468"/>
    <cellStyle name="Normal 11 3 2 3 2 3 3" xfId="14045"/>
    <cellStyle name="Normal 11 3 2 3 2 3 3 2" xfId="25162"/>
    <cellStyle name="Normal 11 3 2 3 2 3 4" xfId="17774"/>
    <cellStyle name="Normal 11 3 2 3 2 4" xfId="8498"/>
    <cellStyle name="Normal 11 3 2 3 2 4 2" xfId="19621"/>
    <cellStyle name="Normal 11 3 2 3 2 5" xfId="12198"/>
    <cellStyle name="Normal 11 3 2 3 2 5 2" xfId="23315"/>
    <cellStyle name="Normal 11 3 2 3 2 6" xfId="15927"/>
    <cellStyle name="Normal 11 3 2 3 3" xfId="1881"/>
    <cellStyle name="Normal 11 3 2 3 3 2" xfId="5078"/>
    <cellStyle name="Normal 11 3 2 3 3 2 2" xfId="7429"/>
    <cellStyle name="Normal 11 3 2 3 3 2 2 2" xfId="11130"/>
    <cellStyle name="Normal 11 3 2 3 3 2 2 2 2" xfId="22252"/>
    <cellStyle name="Normal 11 3 2 3 3 2 2 3" xfId="14829"/>
    <cellStyle name="Normal 11 3 2 3 3 2 2 3 2" xfId="25946"/>
    <cellStyle name="Normal 11 3 2 3 3 2 2 4" xfId="18558"/>
    <cellStyle name="Normal 11 3 2 3 3 2 3" xfId="9283"/>
    <cellStyle name="Normal 11 3 2 3 3 2 3 2" xfId="20405"/>
    <cellStyle name="Normal 11 3 2 3 3 2 4" xfId="12982"/>
    <cellStyle name="Normal 11 3 2 3 3 2 4 2" xfId="24099"/>
    <cellStyle name="Normal 11 3 2 3 3 2 5" xfId="16711"/>
    <cellStyle name="Normal 11 3 2 3 3 3" xfId="6510"/>
    <cellStyle name="Normal 11 3 2 3 3 3 2" xfId="10212"/>
    <cellStyle name="Normal 11 3 2 3 3 3 2 2" xfId="21334"/>
    <cellStyle name="Normal 11 3 2 3 3 3 3" xfId="13911"/>
    <cellStyle name="Normal 11 3 2 3 3 3 3 2" xfId="25028"/>
    <cellStyle name="Normal 11 3 2 3 3 3 4" xfId="17640"/>
    <cellStyle name="Normal 11 3 2 3 3 4" xfId="8364"/>
    <cellStyle name="Normal 11 3 2 3 3 4 2" xfId="19487"/>
    <cellStyle name="Normal 11 3 2 3 3 5" xfId="12064"/>
    <cellStyle name="Normal 11 3 2 3 3 5 2" xfId="23181"/>
    <cellStyle name="Normal 11 3 2 3 3 6" xfId="15793"/>
    <cellStyle name="Normal 11 3 2 3 4" xfId="4870"/>
    <cellStyle name="Normal 11 3 2 3 4 2" xfId="7221"/>
    <cellStyle name="Normal 11 3 2 3 4 2 2" xfId="10922"/>
    <cellStyle name="Normal 11 3 2 3 4 2 2 2" xfId="22044"/>
    <cellStyle name="Normal 11 3 2 3 4 2 3" xfId="14621"/>
    <cellStyle name="Normal 11 3 2 3 4 2 3 2" xfId="25738"/>
    <cellStyle name="Normal 11 3 2 3 4 2 4" xfId="18350"/>
    <cellStyle name="Normal 11 3 2 3 4 3" xfId="9075"/>
    <cellStyle name="Normal 11 3 2 3 4 3 2" xfId="20197"/>
    <cellStyle name="Normal 11 3 2 3 4 4" xfId="12774"/>
    <cellStyle name="Normal 11 3 2 3 4 4 2" xfId="23891"/>
    <cellStyle name="Normal 11 3 2 3 4 5" xfId="16503"/>
    <cellStyle name="Normal 11 3 2 3 5" xfId="6302"/>
    <cellStyle name="Normal 11 3 2 3 5 2" xfId="10004"/>
    <cellStyle name="Normal 11 3 2 3 5 2 2" xfId="21126"/>
    <cellStyle name="Normal 11 3 2 3 5 3" xfId="13703"/>
    <cellStyle name="Normal 11 3 2 3 5 3 2" xfId="24820"/>
    <cellStyle name="Normal 11 3 2 3 5 4" xfId="17432"/>
    <cellStyle name="Normal 11 3 2 3 6" xfId="8156"/>
    <cellStyle name="Normal 11 3 2 3 6 2" xfId="19279"/>
    <cellStyle name="Normal 11 3 2 3 7" xfId="11856"/>
    <cellStyle name="Normal 11 3 2 3 7 2" xfId="22973"/>
    <cellStyle name="Normal 11 3 2 3 8" xfId="15585"/>
    <cellStyle name="Normal 11 3 2 4" xfId="2089"/>
    <cellStyle name="Normal 11 3 2 4 2" xfId="5209"/>
    <cellStyle name="Normal 11 3 2 4 2 2" xfId="7560"/>
    <cellStyle name="Normal 11 3 2 4 2 2 2" xfId="11261"/>
    <cellStyle name="Normal 11 3 2 4 2 2 2 2" xfId="22383"/>
    <cellStyle name="Normal 11 3 2 4 2 2 3" xfId="14960"/>
    <cellStyle name="Normal 11 3 2 4 2 2 3 2" xfId="26077"/>
    <cellStyle name="Normal 11 3 2 4 2 2 4" xfId="18689"/>
    <cellStyle name="Normal 11 3 2 4 2 3" xfId="9414"/>
    <cellStyle name="Normal 11 3 2 4 2 3 2" xfId="20536"/>
    <cellStyle name="Normal 11 3 2 4 2 4" xfId="13113"/>
    <cellStyle name="Normal 11 3 2 4 2 4 2" xfId="24230"/>
    <cellStyle name="Normal 11 3 2 4 2 5" xfId="16842"/>
    <cellStyle name="Normal 11 3 2 4 3" xfId="6641"/>
    <cellStyle name="Normal 11 3 2 4 3 2" xfId="10343"/>
    <cellStyle name="Normal 11 3 2 4 3 2 2" xfId="21465"/>
    <cellStyle name="Normal 11 3 2 4 3 3" xfId="14042"/>
    <cellStyle name="Normal 11 3 2 4 3 3 2" xfId="25159"/>
    <cellStyle name="Normal 11 3 2 4 3 4" xfId="17771"/>
    <cellStyle name="Normal 11 3 2 4 4" xfId="8495"/>
    <cellStyle name="Normal 11 3 2 4 4 2" xfId="19618"/>
    <cellStyle name="Normal 11 3 2 4 5" xfId="12195"/>
    <cellStyle name="Normal 11 3 2 4 5 2" xfId="23312"/>
    <cellStyle name="Normal 11 3 2 4 6" xfId="15924"/>
    <cellStyle name="Normal 11 3 2 5" xfId="1775"/>
    <cellStyle name="Normal 11 3 2 5 2" xfId="4972"/>
    <cellStyle name="Normal 11 3 2 5 2 2" xfId="7323"/>
    <cellStyle name="Normal 11 3 2 5 2 2 2" xfId="11024"/>
    <cellStyle name="Normal 11 3 2 5 2 2 2 2" xfId="22146"/>
    <cellStyle name="Normal 11 3 2 5 2 2 3" xfId="14723"/>
    <cellStyle name="Normal 11 3 2 5 2 2 3 2" xfId="25840"/>
    <cellStyle name="Normal 11 3 2 5 2 2 4" xfId="18452"/>
    <cellStyle name="Normal 11 3 2 5 2 3" xfId="9177"/>
    <cellStyle name="Normal 11 3 2 5 2 3 2" xfId="20299"/>
    <cellStyle name="Normal 11 3 2 5 2 4" xfId="12876"/>
    <cellStyle name="Normal 11 3 2 5 2 4 2" xfId="23993"/>
    <cellStyle name="Normal 11 3 2 5 2 5" xfId="16605"/>
    <cellStyle name="Normal 11 3 2 5 3" xfId="6404"/>
    <cellStyle name="Normal 11 3 2 5 3 2" xfId="10106"/>
    <cellStyle name="Normal 11 3 2 5 3 2 2" xfId="21228"/>
    <cellStyle name="Normal 11 3 2 5 3 3" xfId="13805"/>
    <cellStyle name="Normal 11 3 2 5 3 3 2" xfId="24922"/>
    <cellStyle name="Normal 11 3 2 5 3 4" xfId="17534"/>
    <cellStyle name="Normal 11 3 2 5 4" xfId="8258"/>
    <cellStyle name="Normal 11 3 2 5 4 2" xfId="19381"/>
    <cellStyle name="Normal 11 3 2 5 5" xfId="11958"/>
    <cellStyle name="Normal 11 3 2 5 5 2" xfId="23075"/>
    <cellStyle name="Normal 11 3 2 5 6" xfId="15687"/>
    <cellStyle name="Normal 11 3 2 6" xfId="3307"/>
    <cellStyle name="Normal 11 3 2 7" xfId="4763"/>
    <cellStyle name="Normal 11 3 2 7 2" xfId="7115"/>
    <cellStyle name="Normal 11 3 2 7 2 2" xfId="10816"/>
    <cellStyle name="Normal 11 3 2 7 2 2 2" xfId="21938"/>
    <cellStyle name="Normal 11 3 2 7 2 3" xfId="14515"/>
    <cellStyle name="Normal 11 3 2 7 2 3 2" xfId="25632"/>
    <cellStyle name="Normal 11 3 2 7 2 4" xfId="18244"/>
    <cellStyle name="Normal 11 3 2 7 3" xfId="8969"/>
    <cellStyle name="Normal 11 3 2 7 3 2" xfId="20091"/>
    <cellStyle name="Normal 11 3 2 7 4" xfId="12668"/>
    <cellStyle name="Normal 11 3 2 7 4 2" xfId="23785"/>
    <cellStyle name="Normal 11 3 2 7 5" xfId="16397"/>
    <cellStyle name="Normal 11 3 2 8" xfId="6196"/>
    <cellStyle name="Normal 11 3 2 8 2" xfId="9898"/>
    <cellStyle name="Normal 11 3 2 8 2 2" xfId="21020"/>
    <cellStyle name="Normal 11 3 2 8 3" xfId="13597"/>
    <cellStyle name="Normal 11 3 2 8 3 2" xfId="24714"/>
    <cellStyle name="Normal 11 3 2 8 4" xfId="17326"/>
    <cellStyle name="Normal 11 3 2 9" xfId="8049"/>
    <cellStyle name="Normal 11 3 2 9 2" xfId="19173"/>
    <cellStyle name="Normal 11 3 3" xfId="1603"/>
    <cellStyle name="Normal 11 3 3 2" xfId="4681"/>
    <cellStyle name="Normal 11 3 3 2 2" xfId="7061"/>
    <cellStyle name="Normal 11 3 3 2 2 2" xfId="10762"/>
    <cellStyle name="Normal 11 3 3 2 2 2 2" xfId="21884"/>
    <cellStyle name="Normal 11 3 3 2 2 3" xfId="14461"/>
    <cellStyle name="Normal 11 3 3 2 2 3 2" xfId="25578"/>
    <cellStyle name="Normal 11 3 3 2 2 4" xfId="18190"/>
    <cellStyle name="Normal 11 3 3 2 3" xfId="8915"/>
    <cellStyle name="Normal 11 3 3 2 3 2" xfId="20037"/>
    <cellStyle name="Normal 11 3 3 2 4" xfId="12614"/>
    <cellStyle name="Normal 11 3 3 2 4 2" xfId="23731"/>
    <cellStyle name="Normal 11 3 3 2 5" xfId="16343"/>
    <cellStyle name="Normal 11 3 3 3" xfId="5900"/>
    <cellStyle name="Normal 11 3 3 3 2" xfId="7980"/>
    <cellStyle name="Normal 11 3 3 3 2 2" xfId="11681"/>
    <cellStyle name="Normal 11 3 3 3 2 2 2" xfId="22803"/>
    <cellStyle name="Normal 11 3 3 3 2 3" xfId="15380"/>
    <cellStyle name="Normal 11 3 3 3 2 3 2" xfId="26497"/>
    <cellStyle name="Normal 11 3 3 3 2 4" xfId="19109"/>
    <cellStyle name="Normal 11 3 3 3 3" xfId="9834"/>
    <cellStyle name="Normal 11 3 3 3 3 2" xfId="20956"/>
    <cellStyle name="Normal 11 3 3 3 4" xfId="13533"/>
    <cellStyle name="Normal 11 3 3 3 4 2" xfId="24650"/>
    <cellStyle name="Normal 11 3 3 3 5" xfId="17262"/>
    <cellStyle name="Normal 11 3 4" xfId="3306"/>
    <cellStyle name="Normal 11 3 4 2" xfId="6813"/>
    <cellStyle name="Normal 11 3 4 2 2" xfId="10515"/>
    <cellStyle name="Normal 11 3 4 2 2 2" xfId="21637"/>
    <cellStyle name="Normal 11 3 4 2 3" xfId="14214"/>
    <cellStyle name="Normal 11 3 4 2 3 2" xfId="25331"/>
    <cellStyle name="Normal 11 3 4 2 4" xfId="17943"/>
    <cellStyle name="Normal 11 3 4 3" xfId="8667"/>
    <cellStyle name="Normal 11 3 4 3 2" xfId="19790"/>
    <cellStyle name="Normal 11 3 4 4" xfId="12367"/>
    <cellStyle name="Normal 11 3 4 4 2" xfId="23484"/>
    <cellStyle name="Normal 11 3 4 5" xfId="16096"/>
    <cellStyle name="Normal 11 3 5" xfId="5623"/>
    <cellStyle name="Normal 11 3 5 2" xfId="7733"/>
    <cellStyle name="Normal 11 3 5 2 2" xfId="11434"/>
    <cellStyle name="Normal 11 3 5 2 2 2" xfId="22556"/>
    <cellStyle name="Normal 11 3 5 2 3" xfId="15133"/>
    <cellStyle name="Normal 11 3 5 2 3 2" xfId="26250"/>
    <cellStyle name="Normal 11 3 5 2 4" xfId="18862"/>
    <cellStyle name="Normal 11 3 5 3" xfId="9587"/>
    <cellStyle name="Normal 11 3 5 3 2" xfId="20709"/>
    <cellStyle name="Normal 11 3 5 4" xfId="13286"/>
    <cellStyle name="Normal 11 3 5 4 2" xfId="24403"/>
    <cellStyle name="Normal 11 3 5 5" xfId="17015"/>
    <cellStyle name="Normal 11 3 6" xfId="5972"/>
    <cellStyle name="Normal 11 3 6 2" xfId="7987"/>
    <cellStyle name="Normal 11 3 6 2 2" xfId="11688"/>
    <cellStyle name="Normal 11 3 6 2 2 2" xfId="22810"/>
    <cellStyle name="Normal 11 3 6 2 3" xfId="15387"/>
    <cellStyle name="Normal 11 3 6 2 3 2" xfId="26504"/>
    <cellStyle name="Normal 11 3 6 2 4" xfId="19116"/>
    <cellStyle name="Normal 11 3 6 3" xfId="9841"/>
    <cellStyle name="Normal 11 3 6 3 2" xfId="20963"/>
    <cellStyle name="Normal 11 3 6 4" xfId="13540"/>
    <cellStyle name="Normal 11 3 6 4 2" xfId="24657"/>
    <cellStyle name="Normal 11 3 6 5" xfId="17269"/>
    <cellStyle name="Normal 11 4" xfId="1117"/>
    <cellStyle name="Normal 11 4 10" xfId="6198"/>
    <cellStyle name="Normal 11 4 10 2" xfId="9900"/>
    <cellStyle name="Normal 11 4 10 2 2" xfId="21022"/>
    <cellStyle name="Normal 11 4 10 3" xfId="13599"/>
    <cellStyle name="Normal 11 4 10 3 2" xfId="24716"/>
    <cellStyle name="Normal 11 4 10 4" xfId="17328"/>
    <cellStyle name="Normal 11 4 11" xfId="8052"/>
    <cellStyle name="Normal 11 4 11 2" xfId="19175"/>
    <cellStyle name="Normal 11 4 12" xfId="11752"/>
    <cellStyle name="Normal 11 4 12 2" xfId="22869"/>
    <cellStyle name="Normal 11 4 13" xfId="15481"/>
    <cellStyle name="Normal 11 4 2" xfId="1608"/>
    <cellStyle name="Normal 11 4 2 10" xfId="11803"/>
    <cellStyle name="Normal 11 4 2 10 2" xfId="22920"/>
    <cellStyle name="Normal 11 4 2 11" xfId="15532"/>
    <cellStyle name="Normal 11 4 2 2" xfId="1724"/>
    <cellStyle name="Normal 11 4 2 2 10" xfId="15638"/>
    <cellStyle name="Normal 11 4 2 2 2" xfId="2095"/>
    <cellStyle name="Normal 11 4 2 2 2 2" xfId="3312"/>
    <cellStyle name="Normal 11 4 2 2 2 2 2" xfId="5626"/>
    <cellStyle name="Normal 11 4 2 2 2 2 2 2" xfId="7736"/>
    <cellStyle name="Normal 11 4 2 2 2 2 2 2 2" xfId="11437"/>
    <cellStyle name="Normal 11 4 2 2 2 2 2 2 2 2" xfId="22559"/>
    <cellStyle name="Normal 11 4 2 2 2 2 2 2 3" xfId="15136"/>
    <cellStyle name="Normal 11 4 2 2 2 2 2 2 3 2" xfId="26253"/>
    <cellStyle name="Normal 11 4 2 2 2 2 2 2 4" xfId="18865"/>
    <cellStyle name="Normal 11 4 2 2 2 2 2 3" xfId="9590"/>
    <cellStyle name="Normal 11 4 2 2 2 2 2 3 2" xfId="20712"/>
    <cellStyle name="Normal 11 4 2 2 2 2 2 4" xfId="13289"/>
    <cellStyle name="Normal 11 4 2 2 2 2 2 4 2" xfId="24406"/>
    <cellStyle name="Normal 11 4 2 2 2 2 2 5" xfId="17018"/>
    <cellStyle name="Normal 11 4 2 2 2 2 3" xfId="6816"/>
    <cellStyle name="Normal 11 4 2 2 2 2 3 2" xfId="10518"/>
    <cellStyle name="Normal 11 4 2 2 2 2 3 2 2" xfId="21640"/>
    <cellStyle name="Normal 11 4 2 2 2 2 3 3" xfId="14217"/>
    <cellStyle name="Normal 11 4 2 2 2 2 3 3 2" xfId="25334"/>
    <cellStyle name="Normal 11 4 2 2 2 2 3 4" xfId="17946"/>
    <cellStyle name="Normal 11 4 2 2 2 2 4" xfId="8670"/>
    <cellStyle name="Normal 11 4 2 2 2 2 4 2" xfId="19793"/>
    <cellStyle name="Normal 11 4 2 2 2 2 5" xfId="12370"/>
    <cellStyle name="Normal 11 4 2 2 2 2 5 2" xfId="23487"/>
    <cellStyle name="Normal 11 4 2 2 2 2 6" xfId="16099"/>
    <cellStyle name="Normal 11 4 2 2 2 3" xfId="3311"/>
    <cellStyle name="Normal 11 4 2 2 2 3 2" xfId="6815"/>
    <cellStyle name="Normal 11 4 2 2 2 3 2 2" xfId="10517"/>
    <cellStyle name="Normal 11 4 2 2 2 3 2 2 2" xfId="21639"/>
    <cellStyle name="Normal 11 4 2 2 2 3 2 3" xfId="14216"/>
    <cellStyle name="Normal 11 4 2 2 2 3 2 3 2" xfId="25333"/>
    <cellStyle name="Normal 11 4 2 2 2 3 2 4" xfId="17945"/>
    <cellStyle name="Normal 11 4 2 2 2 3 3" xfId="8669"/>
    <cellStyle name="Normal 11 4 2 2 2 3 3 2" xfId="19792"/>
    <cellStyle name="Normal 11 4 2 2 2 3 4" xfId="12369"/>
    <cellStyle name="Normal 11 4 2 2 2 3 4 2" xfId="23486"/>
    <cellStyle name="Normal 11 4 2 2 2 3 5" xfId="16098"/>
    <cellStyle name="Normal 11 4 2 2 2 4" xfId="5215"/>
    <cellStyle name="Normal 11 4 2 2 2 4 2" xfId="7566"/>
    <cellStyle name="Normal 11 4 2 2 2 4 2 2" xfId="11267"/>
    <cellStyle name="Normal 11 4 2 2 2 4 2 2 2" xfId="22389"/>
    <cellStyle name="Normal 11 4 2 2 2 4 2 3" xfId="14966"/>
    <cellStyle name="Normal 11 4 2 2 2 4 2 3 2" xfId="26083"/>
    <cellStyle name="Normal 11 4 2 2 2 4 2 4" xfId="18695"/>
    <cellStyle name="Normal 11 4 2 2 2 4 3" xfId="9420"/>
    <cellStyle name="Normal 11 4 2 2 2 4 3 2" xfId="20542"/>
    <cellStyle name="Normal 11 4 2 2 2 4 4" xfId="13119"/>
    <cellStyle name="Normal 11 4 2 2 2 4 4 2" xfId="24236"/>
    <cellStyle name="Normal 11 4 2 2 2 4 5" xfId="16848"/>
    <cellStyle name="Normal 11 4 2 2 2 5" xfId="5625"/>
    <cellStyle name="Normal 11 4 2 2 2 5 2" xfId="7735"/>
    <cellStyle name="Normal 11 4 2 2 2 5 2 2" xfId="11436"/>
    <cellStyle name="Normal 11 4 2 2 2 5 2 2 2" xfId="22558"/>
    <cellStyle name="Normal 11 4 2 2 2 5 2 3" xfId="15135"/>
    <cellStyle name="Normal 11 4 2 2 2 5 2 3 2" xfId="26252"/>
    <cellStyle name="Normal 11 4 2 2 2 5 2 4" xfId="18864"/>
    <cellStyle name="Normal 11 4 2 2 2 5 3" xfId="9589"/>
    <cellStyle name="Normal 11 4 2 2 2 5 3 2" xfId="20711"/>
    <cellStyle name="Normal 11 4 2 2 2 5 4" xfId="13288"/>
    <cellStyle name="Normal 11 4 2 2 2 5 4 2" xfId="24405"/>
    <cellStyle name="Normal 11 4 2 2 2 5 5" xfId="17017"/>
    <cellStyle name="Normal 11 4 2 2 2 6" xfId="6647"/>
    <cellStyle name="Normal 11 4 2 2 2 6 2" xfId="10349"/>
    <cellStyle name="Normal 11 4 2 2 2 6 2 2" xfId="21471"/>
    <cellStyle name="Normal 11 4 2 2 2 6 3" xfId="14048"/>
    <cellStyle name="Normal 11 4 2 2 2 6 3 2" xfId="25165"/>
    <cellStyle name="Normal 11 4 2 2 2 6 4" xfId="17777"/>
    <cellStyle name="Normal 11 4 2 2 2 7" xfId="8501"/>
    <cellStyle name="Normal 11 4 2 2 2 7 2" xfId="19624"/>
    <cellStyle name="Normal 11 4 2 2 2 8" xfId="12201"/>
    <cellStyle name="Normal 11 4 2 2 2 8 2" xfId="23318"/>
    <cellStyle name="Normal 11 4 2 2 2 9" xfId="15930"/>
    <cellStyle name="Normal 11 4 2 2 3" xfId="1934"/>
    <cellStyle name="Normal 11 4 2 2 3 2" xfId="3313"/>
    <cellStyle name="Normal 11 4 2 2 3 2 2" xfId="6817"/>
    <cellStyle name="Normal 11 4 2 2 3 2 2 2" xfId="10519"/>
    <cellStyle name="Normal 11 4 2 2 3 2 2 2 2" xfId="21641"/>
    <cellStyle name="Normal 11 4 2 2 3 2 2 3" xfId="14218"/>
    <cellStyle name="Normal 11 4 2 2 3 2 2 3 2" xfId="25335"/>
    <cellStyle name="Normal 11 4 2 2 3 2 2 4" xfId="17947"/>
    <cellStyle name="Normal 11 4 2 2 3 2 3" xfId="8671"/>
    <cellStyle name="Normal 11 4 2 2 3 2 3 2" xfId="19794"/>
    <cellStyle name="Normal 11 4 2 2 3 2 4" xfId="12371"/>
    <cellStyle name="Normal 11 4 2 2 3 2 4 2" xfId="23488"/>
    <cellStyle name="Normal 11 4 2 2 3 2 5" xfId="16100"/>
    <cellStyle name="Normal 11 4 2 2 3 3" xfId="5131"/>
    <cellStyle name="Normal 11 4 2 2 3 3 2" xfId="7482"/>
    <cellStyle name="Normal 11 4 2 2 3 3 2 2" xfId="11183"/>
    <cellStyle name="Normal 11 4 2 2 3 3 2 2 2" xfId="22305"/>
    <cellStyle name="Normal 11 4 2 2 3 3 2 3" xfId="14882"/>
    <cellStyle name="Normal 11 4 2 2 3 3 2 3 2" xfId="25999"/>
    <cellStyle name="Normal 11 4 2 2 3 3 2 4" xfId="18611"/>
    <cellStyle name="Normal 11 4 2 2 3 3 3" xfId="9336"/>
    <cellStyle name="Normal 11 4 2 2 3 3 3 2" xfId="20458"/>
    <cellStyle name="Normal 11 4 2 2 3 3 4" xfId="13035"/>
    <cellStyle name="Normal 11 4 2 2 3 3 4 2" xfId="24152"/>
    <cellStyle name="Normal 11 4 2 2 3 3 5" xfId="16764"/>
    <cellStyle name="Normal 11 4 2 2 3 4" xfId="5627"/>
    <cellStyle name="Normal 11 4 2 2 3 4 2" xfId="7737"/>
    <cellStyle name="Normal 11 4 2 2 3 4 2 2" xfId="11438"/>
    <cellStyle name="Normal 11 4 2 2 3 4 2 2 2" xfId="22560"/>
    <cellStyle name="Normal 11 4 2 2 3 4 2 3" xfId="15137"/>
    <cellStyle name="Normal 11 4 2 2 3 4 2 3 2" xfId="26254"/>
    <cellStyle name="Normal 11 4 2 2 3 4 2 4" xfId="18866"/>
    <cellStyle name="Normal 11 4 2 2 3 4 3" xfId="9591"/>
    <cellStyle name="Normal 11 4 2 2 3 4 3 2" xfId="20713"/>
    <cellStyle name="Normal 11 4 2 2 3 4 4" xfId="13290"/>
    <cellStyle name="Normal 11 4 2 2 3 4 4 2" xfId="24407"/>
    <cellStyle name="Normal 11 4 2 2 3 4 5" xfId="17019"/>
    <cellStyle name="Normal 11 4 2 2 3 5" xfId="6563"/>
    <cellStyle name="Normal 11 4 2 2 3 5 2" xfId="10265"/>
    <cellStyle name="Normal 11 4 2 2 3 5 2 2" xfId="21387"/>
    <cellStyle name="Normal 11 4 2 2 3 5 3" xfId="13964"/>
    <cellStyle name="Normal 11 4 2 2 3 5 3 2" xfId="25081"/>
    <cellStyle name="Normal 11 4 2 2 3 5 4" xfId="17693"/>
    <cellStyle name="Normal 11 4 2 2 3 6" xfId="8417"/>
    <cellStyle name="Normal 11 4 2 2 3 6 2" xfId="19540"/>
    <cellStyle name="Normal 11 4 2 2 3 7" xfId="12117"/>
    <cellStyle name="Normal 11 4 2 2 3 7 2" xfId="23234"/>
    <cellStyle name="Normal 11 4 2 2 3 8" xfId="15846"/>
    <cellStyle name="Normal 11 4 2 2 4" xfId="3310"/>
    <cellStyle name="Normal 11 4 2 2 4 2" xfId="6814"/>
    <cellStyle name="Normal 11 4 2 2 4 2 2" xfId="10516"/>
    <cellStyle name="Normal 11 4 2 2 4 2 2 2" xfId="21638"/>
    <cellStyle name="Normal 11 4 2 2 4 2 3" xfId="14215"/>
    <cellStyle name="Normal 11 4 2 2 4 2 3 2" xfId="25332"/>
    <cellStyle name="Normal 11 4 2 2 4 2 4" xfId="17944"/>
    <cellStyle name="Normal 11 4 2 2 4 3" xfId="8668"/>
    <cellStyle name="Normal 11 4 2 2 4 3 2" xfId="19791"/>
    <cellStyle name="Normal 11 4 2 2 4 4" xfId="12368"/>
    <cellStyle name="Normal 11 4 2 2 4 4 2" xfId="23485"/>
    <cellStyle name="Normal 11 4 2 2 4 5" xfId="16097"/>
    <cellStyle name="Normal 11 4 2 2 5" xfId="4923"/>
    <cellStyle name="Normal 11 4 2 2 5 2" xfId="7274"/>
    <cellStyle name="Normal 11 4 2 2 5 2 2" xfId="10975"/>
    <cellStyle name="Normal 11 4 2 2 5 2 2 2" xfId="22097"/>
    <cellStyle name="Normal 11 4 2 2 5 2 3" xfId="14674"/>
    <cellStyle name="Normal 11 4 2 2 5 2 3 2" xfId="25791"/>
    <cellStyle name="Normal 11 4 2 2 5 2 4" xfId="18403"/>
    <cellStyle name="Normal 11 4 2 2 5 3" xfId="9128"/>
    <cellStyle name="Normal 11 4 2 2 5 3 2" xfId="20250"/>
    <cellStyle name="Normal 11 4 2 2 5 4" xfId="12827"/>
    <cellStyle name="Normal 11 4 2 2 5 4 2" xfId="23944"/>
    <cellStyle name="Normal 11 4 2 2 5 5" xfId="16556"/>
    <cellStyle name="Normal 11 4 2 2 6" xfId="5624"/>
    <cellStyle name="Normal 11 4 2 2 6 2" xfId="7734"/>
    <cellStyle name="Normal 11 4 2 2 6 2 2" xfId="11435"/>
    <cellStyle name="Normal 11 4 2 2 6 2 2 2" xfId="22557"/>
    <cellStyle name="Normal 11 4 2 2 6 2 3" xfId="15134"/>
    <cellStyle name="Normal 11 4 2 2 6 2 3 2" xfId="26251"/>
    <cellStyle name="Normal 11 4 2 2 6 2 4" xfId="18863"/>
    <cellStyle name="Normal 11 4 2 2 6 3" xfId="9588"/>
    <cellStyle name="Normal 11 4 2 2 6 3 2" xfId="20710"/>
    <cellStyle name="Normal 11 4 2 2 6 4" xfId="13287"/>
    <cellStyle name="Normal 11 4 2 2 6 4 2" xfId="24404"/>
    <cellStyle name="Normal 11 4 2 2 6 5" xfId="17016"/>
    <cellStyle name="Normal 11 4 2 2 7" xfId="6355"/>
    <cellStyle name="Normal 11 4 2 2 7 2" xfId="10057"/>
    <cellStyle name="Normal 11 4 2 2 7 2 2" xfId="21179"/>
    <cellStyle name="Normal 11 4 2 2 7 3" xfId="13756"/>
    <cellStyle name="Normal 11 4 2 2 7 3 2" xfId="24873"/>
    <cellStyle name="Normal 11 4 2 2 7 4" xfId="17485"/>
    <cellStyle name="Normal 11 4 2 2 8" xfId="8209"/>
    <cellStyle name="Normal 11 4 2 2 8 2" xfId="19332"/>
    <cellStyle name="Normal 11 4 2 2 9" xfId="11909"/>
    <cellStyle name="Normal 11 4 2 2 9 2" xfId="23026"/>
    <cellStyle name="Normal 11 4 2 3" xfId="2094"/>
    <cellStyle name="Normal 11 4 2 3 2" xfId="3315"/>
    <cellStyle name="Normal 11 4 2 3 2 2" xfId="5629"/>
    <cellStyle name="Normal 11 4 2 3 2 2 2" xfId="7739"/>
    <cellStyle name="Normal 11 4 2 3 2 2 2 2" xfId="11440"/>
    <cellStyle name="Normal 11 4 2 3 2 2 2 2 2" xfId="22562"/>
    <cellStyle name="Normal 11 4 2 3 2 2 2 3" xfId="15139"/>
    <cellStyle name="Normal 11 4 2 3 2 2 2 3 2" xfId="26256"/>
    <cellStyle name="Normal 11 4 2 3 2 2 2 4" xfId="18868"/>
    <cellStyle name="Normal 11 4 2 3 2 2 3" xfId="9593"/>
    <cellStyle name="Normal 11 4 2 3 2 2 3 2" xfId="20715"/>
    <cellStyle name="Normal 11 4 2 3 2 2 4" xfId="13292"/>
    <cellStyle name="Normal 11 4 2 3 2 2 4 2" xfId="24409"/>
    <cellStyle name="Normal 11 4 2 3 2 2 5" xfId="17021"/>
    <cellStyle name="Normal 11 4 2 3 2 3" xfId="6819"/>
    <cellStyle name="Normal 11 4 2 3 2 3 2" xfId="10521"/>
    <cellStyle name="Normal 11 4 2 3 2 3 2 2" xfId="21643"/>
    <cellStyle name="Normal 11 4 2 3 2 3 3" xfId="14220"/>
    <cellStyle name="Normal 11 4 2 3 2 3 3 2" xfId="25337"/>
    <cellStyle name="Normal 11 4 2 3 2 3 4" xfId="17949"/>
    <cellStyle name="Normal 11 4 2 3 2 4" xfId="8673"/>
    <cellStyle name="Normal 11 4 2 3 2 4 2" xfId="19796"/>
    <cellStyle name="Normal 11 4 2 3 2 5" xfId="12373"/>
    <cellStyle name="Normal 11 4 2 3 2 5 2" xfId="23490"/>
    <cellStyle name="Normal 11 4 2 3 2 6" xfId="16102"/>
    <cellStyle name="Normal 11 4 2 3 3" xfId="3314"/>
    <cellStyle name="Normal 11 4 2 3 3 2" xfId="6818"/>
    <cellStyle name="Normal 11 4 2 3 3 2 2" xfId="10520"/>
    <cellStyle name="Normal 11 4 2 3 3 2 2 2" xfId="21642"/>
    <cellStyle name="Normal 11 4 2 3 3 2 3" xfId="14219"/>
    <cellStyle name="Normal 11 4 2 3 3 2 3 2" xfId="25336"/>
    <cellStyle name="Normal 11 4 2 3 3 2 4" xfId="17948"/>
    <cellStyle name="Normal 11 4 2 3 3 3" xfId="8672"/>
    <cellStyle name="Normal 11 4 2 3 3 3 2" xfId="19795"/>
    <cellStyle name="Normal 11 4 2 3 3 4" xfId="12372"/>
    <cellStyle name="Normal 11 4 2 3 3 4 2" xfId="23489"/>
    <cellStyle name="Normal 11 4 2 3 3 5" xfId="16101"/>
    <cellStyle name="Normal 11 4 2 3 4" xfId="5214"/>
    <cellStyle name="Normal 11 4 2 3 4 2" xfId="7565"/>
    <cellStyle name="Normal 11 4 2 3 4 2 2" xfId="11266"/>
    <cellStyle name="Normal 11 4 2 3 4 2 2 2" xfId="22388"/>
    <cellStyle name="Normal 11 4 2 3 4 2 3" xfId="14965"/>
    <cellStyle name="Normal 11 4 2 3 4 2 3 2" xfId="26082"/>
    <cellStyle name="Normal 11 4 2 3 4 2 4" xfId="18694"/>
    <cellStyle name="Normal 11 4 2 3 4 3" xfId="9419"/>
    <cellStyle name="Normal 11 4 2 3 4 3 2" xfId="20541"/>
    <cellStyle name="Normal 11 4 2 3 4 4" xfId="13118"/>
    <cellStyle name="Normal 11 4 2 3 4 4 2" xfId="24235"/>
    <cellStyle name="Normal 11 4 2 3 4 5" xfId="16847"/>
    <cellStyle name="Normal 11 4 2 3 5" xfId="5628"/>
    <cellStyle name="Normal 11 4 2 3 5 2" xfId="7738"/>
    <cellStyle name="Normal 11 4 2 3 5 2 2" xfId="11439"/>
    <cellStyle name="Normal 11 4 2 3 5 2 2 2" xfId="22561"/>
    <cellStyle name="Normal 11 4 2 3 5 2 3" xfId="15138"/>
    <cellStyle name="Normal 11 4 2 3 5 2 3 2" xfId="26255"/>
    <cellStyle name="Normal 11 4 2 3 5 2 4" xfId="18867"/>
    <cellStyle name="Normal 11 4 2 3 5 3" xfId="9592"/>
    <cellStyle name="Normal 11 4 2 3 5 3 2" xfId="20714"/>
    <cellStyle name="Normal 11 4 2 3 5 4" xfId="13291"/>
    <cellStyle name="Normal 11 4 2 3 5 4 2" xfId="24408"/>
    <cellStyle name="Normal 11 4 2 3 5 5" xfId="17020"/>
    <cellStyle name="Normal 11 4 2 3 6" xfId="6646"/>
    <cellStyle name="Normal 11 4 2 3 6 2" xfId="10348"/>
    <cellStyle name="Normal 11 4 2 3 6 2 2" xfId="21470"/>
    <cellStyle name="Normal 11 4 2 3 6 3" xfId="14047"/>
    <cellStyle name="Normal 11 4 2 3 6 3 2" xfId="25164"/>
    <cellStyle name="Normal 11 4 2 3 6 4" xfId="17776"/>
    <cellStyle name="Normal 11 4 2 3 7" xfId="8500"/>
    <cellStyle name="Normal 11 4 2 3 7 2" xfId="19623"/>
    <cellStyle name="Normal 11 4 2 3 8" xfId="12200"/>
    <cellStyle name="Normal 11 4 2 3 8 2" xfId="23317"/>
    <cellStyle name="Normal 11 4 2 3 9" xfId="15929"/>
    <cellStyle name="Normal 11 4 2 4" xfId="1828"/>
    <cellStyle name="Normal 11 4 2 4 2" xfId="3316"/>
    <cellStyle name="Normal 11 4 2 4 2 2" xfId="6820"/>
    <cellStyle name="Normal 11 4 2 4 2 2 2" xfId="10522"/>
    <cellStyle name="Normal 11 4 2 4 2 2 2 2" xfId="21644"/>
    <cellStyle name="Normal 11 4 2 4 2 2 3" xfId="14221"/>
    <cellStyle name="Normal 11 4 2 4 2 2 3 2" xfId="25338"/>
    <cellStyle name="Normal 11 4 2 4 2 2 4" xfId="17950"/>
    <cellStyle name="Normal 11 4 2 4 2 3" xfId="8674"/>
    <cellStyle name="Normal 11 4 2 4 2 3 2" xfId="19797"/>
    <cellStyle name="Normal 11 4 2 4 2 4" xfId="12374"/>
    <cellStyle name="Normal 11 4 2 4 2 4 2" xfId="23491"/>
    <cellStyle name="Normal 11 4 2 4 2 5" xfId="16103"/>
    <cellStyle name="Normal 11 4 2 4 3" xfId="5025"/>
    <cellStyle name="Normal 11 4 2 4 3 2" xfId="7376"/>
    <cellStyle name="Normal 11 4 2 4 3 2 2" xfId="11077"/>
    <cellStyle name="Normal 11 4 2 4 3 2 2 2" xfId="22199"/>
    <cellStyle name="Normal 11 4 2 4 3 2 3" xfId="14776"/>
    <cellStyle name="Normal 11 4 2 4 3 2 3 2" xfId="25893"/>
    <cellStyle name="Normal 11 4 2 4 3 2 4" xfId="18505"/>
    <cellStyle name="Normal 11 4 2 4 3 3" xfId="9230"/>
    <cellStyle name="Normal 11 4 2 4 3 3 2" xfId="20352"/>
    <cellStyle name="Normal 11 4 2 4 3 4" xfId="12929"/>
    <cellStyle name="Normal 11 4 2 4 3 4 2" xfId="24046"/>
    <cellStyle name="Normal 11 4 2 4 3 5" xfId="16658"/>
    <cellStyle name="Normal 11 4 2 4 4" xfId="5630"/>
    <cellStyle name="Normal 11 4 2 4 4 2" xfId="7740"/>
    <cellStyle name="Normal 11 4 2 4 4 2 2" xfId="11441"/>
    <cellStyle name="Normal 11 4 2 4 4 2 2 2" xfId="22563"/>
    <cellStyle name="Normal 11 4 2 4 4 2 3" xfId="15140"/>
    <cellStyle name="Normal 11 4 2 4 4 2 3 2" xfId="26257"/>
    <cellStyle name="Normal 11 4 2 4 4 2 4" xfId="18869"/>
    <cellStyle name="Normal 11 4 2 4 4 3" xfId="9594"/>
    <cellStyle name="Normal 11 4 2 4 4 3 2" xfId="20716"/>
    <cellStyle name="Normal 11 4 2 4 4 4" xfId="13293"/>
    <cellStyle name="Normal 11 4 2 4 4 4 2" xfId="24410"/>
    <cellStyle name="Normal 11 4 2 4 4 5" xfId="17022"/>
    <cellStyle name="Normal 11 4 2 4 5" xfId="6457"/>
    <cellStyle name="Normal 11 4 2 4 5 2" xfId="10159"/>
    <cellStyle name="Normal 11 4 2 4 5 2 2" xfId="21281"/>
    <cellStyle name="Normal 11 4 2 4 5 3" xfId="13858"/>
    <cellStyle name="Normal 11 4 2 4 5 3 2" xfId="24975"/>
    <cellStyle name="Normal 11 4 2 4 5 4" xfId="17587"/>
    <cellStyle name="Normal 11 4 2 4 6" xfId="8311"/>
    <cellStyle name="Normal 11 4 2 4 6 2" xfId="19434"/>
    <cellStyle name="Normal 11 4 2 4 7" xfId="12011"/>
    <cellStyle name="Normal 11 4 2 4 7 2" xfId="23128"/>
    <cellStyle name="Normal 11 4 2 4 8" xfId="15740"/>
    <cellStyle name="Normal 11 4 2 5" xfId="3317"/>
    <cellStyle name="Normal 11 4 2 5 2" xfId="5631"/>
    <cellStyle name="Normal 11 4 2 5 2 2" xfId="7741"/>
    <cellStyle name="Normal 11 4 2 5 2 2 2" xfId="11442"/>
    <cellStyle name="Normal 11 4 2 5 2 2 2 2" xfId="22564"/>
    <cellStyle name="Normal 11 4 2 5 2 2 3" xfId="15141"/>
    <cellStyle name="Normal 11 4 2 5 2 2 3 2" xfId="26258"/>
    <cellStyle name="Normal 11 4 2 5 2 2 4" xfId="18870"/>
    <cellStyle name="Normal 11 4 2 5 2 3" xfId="9595"/>
    <cellStyle name="Normal 11 4 2 5 2 3 2" xfId="20717"/>
    <cellStyle name="Normal 11 4 2 5 2 4" xfId="13294"/>
    <cellStyle name="Normal 11 4 2 5 2 4 2" xfId="24411"/>
    <cellStyle name="Normal 11 4 2 5 2 5" xfId="17023"/>
    <cellStyle name="Normal 11 4 2 5 3" xfId="6821"/>
    <cellStyle name="Normal 11 4 2 5 3 2" xfId="10523"/>
    <cellStyle name="Normal 11 4 2 5 3 2 2" xfId="21645"/>
    <cellStyle name="Normal 11 4 2 5 3 3" xfId="14222"/>
    <cellStyle name="Normal 11 4 2 5 3 3 2" xfId="25339"/>
    <cellStyle name="Normal 11 4 2 5 3 4" xfId="17951"/>
    <cellStyle name="Normal 11 4 2 5 4" xfId="8675"/>
    <cellStyle name="Normal 11 4 2 5 4 2" xfId="19798"/>
    <cellStyle name="Normal 11 4 2 5 5" xfId="12375"/>
    <cellStyle name="Normal 11 4 2 5 5 2" xfId="23492"/>
    <cellStyle name="Normal 11 4 2 5 6" xfId="16104"/>
    <cellStyle name="Normal 11 4 2 6" xfId="3309"/>
    <cellStyle name="Normal 11 4 2 7" xfId="4817"/>
    <cellStyle name="Normal 11 4 2 7 2" xfId="7168"/>
    <cellStyle name="Normal 11 4 2 7 2 2" xfId="10869"/>
    <cellStyle name="Normal 11 4 2 7 2 2 2" xfId="21991"/>
    <cellStyle name="Normal 11 4 2 7 2 3" xfId="14568"/>
    <cellStyle name="Normal 11 4 2 7 2 3 2" xfId="25685"/>
    <cellStyle name="Normal 11 4 2 7 2 4" xfId="18297"/>
    <cellStyle name="Normal 11 4 2 7 3" xfId="9022"/>
    <cellStyle name="Normal 11 4 2 7 3 2" xfId="20144"/>
    <cellStyle name="Normal 11 4 2 7 4" xfId="12721"/>
    <cellStyle name="Normal 11 4 2 7 4 2" xfId="23838"/>
    <cellStyle name="Normal 11 4 2 7 5" xfId="16450"/>
    <cellStyle name="Normal 11 4 2 8" xfId="6249"/>
    <cellStyle name="Normal 11 4 2 8 2" xfId="9951"/>
    <cellStyle name="Normal 11 4 2 8 2 2" xfId="21073"/>
    <cellStyle name="Normal 11 4 2 8 3" xfId="13650"/>
    <cellStyle name="Normal 11 4 2 8 3 2" xfId="24767"/>
    <cellStyle name="Normal 11 4 2 8 4" xfId="17379"/>
    <cellStyle name="Normal 11 4 2 9" xfId="8103"/>
    <cellStyle name="Normal 11 4 2 9 2" xfId="19226"/>
    <cellStyle name="Normal 11 4 3" xfId="1674"/>
    <cellStyle name="Normal 11 4 3 10" xfId="15589"/>
    <cellStyle name="Normal 11 4 3 2" xfId="2096"/>
    <cellStyle name="Normal 11 4 3 2 2" xfId="3320"/>
    <cellStyle name="Normal 11 4 3 2 2 2" xfId="5634"/>
    <cellStyle name="Normal 11 4 3 2 2 2 2" xfId="7744"/>
    <cellStyle name="Normal 11 4 3 2 2 2 2 2" xfId="11445"/>
    <cellStyle name="Normal 11 4 3 2 2 2 2 2 2" xfId="22567"/>
    <cellStyle name="Normal 11 4 3 2 2 2 2 3" xfId="15144"/>
    <cellStyle name="Normal 11 4 3 2 2 2 2 3 2" xfId="26261"/>
    <cellStyle name="Normal 11 4 3 2 2 2 2 4" xfId="18873"/>
    <cellStyle name="Normal 11 4 3 2 2 2 3" xfId="9598"/>
    <cellStyle name="Normal 11 4 3 2 2 2 3 2" xfId="20720"/>
    <cellStyle name="Normal 11 4 3 2 2 2 4" xfId="13297"/>
    <cellStyle name="Normal 11 4 3 2 2 2 4 2" xfId="24414"/>
    <cellStyle name="Normal 11 4 3 2 2 2 5" xfId="17026"/>
    <cellStyle name="Normal 11 4 3 2 2 3" xfId="6824"/>
    <cellStyle name="Normal 11 4 3 2 2 3 2" xfId="10526"/>
    <cellStyle name="Normal 11 4 3 2 2 3 2 2" xfId="21648"/>
    <cellStyle name="Normal 11 4 3 2 2 3 3" xfId="14225"/>
    <cellStyle name="Normal 11 4 3 2 2 3 3 2" xfId="25342"/>
    <cellStyle name="Normal 11 4 3 2 2 3 4" xfId="17954"/>
    <cellStyle name="Normal 11 4 3 2 2 4" xfId="8678"/>
    <cellStyle name="Normal 11 4 3 2 2 4 2" xfId="19801"/>
    <cellStyle name="Normal 11 4 3 2 2 5" xfId="12378"/>
    <cellStyle name="Normal 11 4 3 2 2 5 2" xfId="23495"/>
    <cellStyle name="Normal 11 4 3 2 2 6" xfId="16107"/>
    <cellStyle name="Normal 11 4 3 2 3" xfId="3319"/>
    <cellStyle name="Normal 11 4 3 2 3 2" xfId="6823"/>
    <cellStyle name="Normal 11 4 3 2 3 2 2" xfId="10525"/>
    <cellStyle name="Normal 11 4 3 2 3 2 2 2" xfId="21647"/>
    <cellStyle name="Normal 11 4 3 2 3 2 3" xfId="14224"/>
    <cellStyle name="Normal 11 4 3 2 3 2 3 2" xfId="25341"/>
    <cellStyle name="Normal 11 4 3 2 3 2 4" xfId="17953"/>
    <cellStyle name="Normal 11 4 3 2 3 3" xfId="8677"/>
    <cellStyle name="Normal 11 4 3 2 3 3 2" xfId="19800"/>
    <cellStyle name="Normal 11 4 3 2 3 4" xfId="12377"/>
    <cellStyle name="Normal 11 4 3 2 3 4 2" xfId="23494"/>
    <cellStyle name="Normal 11 4 3 2 3 5" xfId="16106"/>
    <cellStyle name="Normal 11 4 3 2 4" xfId="5216"/>
    <cellStyle name="Normal 11 4 3 2 4 2" xfId="7567"/>
    <cellStyle name="Normal 11 4 3 2 4 2 2" xfId="11268"/>
    <cellStyle name="Normal 11 4 3 2 4 2 2 2" xfId="22390"/>
    <cellStyle name="Normal 11 4 3 2 4 2 3" xfId="14967"/>
    <cellStyle name="Normal 11 4 3 2 4 2 3 2" xfId="26084"/>
    <cellStyle name="Normal 11 4 3 2 4 2 4" xfId="18696"/>
    <cellStyle name="Normal 11 4 3 2 4 3" xfId="9421"/>
    <cellStyle name="Normal 11 4 3 2 4 3 2" xfId="20543"/>
    <cellStyle name="Normal 11 4 3 2 4 4" xfId="13120"/>
    <cellStyle name="Normal 11 4 3 2 4 4 2" xfId="24237"/>
    <cellStyle name="Normal 11 4 3 2 4 5" xfId="16849"/>
    <cellStyle name="Normal 11 4 3 2 5" xfId="5633"/>
    <cellStyle name="Normal 11 4 3 2 5 2" xfId="7743"/>
    <cellStyle name="Normal 11 4 3 2 5 2 2" xfId="11444"/>
    <cellStyle name="Normal 11 4 3 2 5 2 2 2" xfId="22566"/>
    <cellStyle name="Normal 11 4 3 2 5 2 3" xfId="15143"/>
    <cellStyle name="Normal 11 4 3 2 5 2 3 2" xfId="26260"/>
    <cellStyle name="Normal 11 4 3 2 5 2 4" xfId="18872"/>
    <cellStyle name="Normal 11 4 3 2 5 3" xfId="9597"/>
    <cellStyle name="Normal 11 4 3 2 5 3 2" xfId="20719"/>
    <cellStyle name="Normal 11 4 3 2 5 4" xfId="13296"/>
    <cellStyle name="Normal 11 4 3 2 5 4 2" xfId="24413"/>
    <cellStyle name="Normal 11 4 3 2 5 5" xfId="17025"/>
    <cellStyle name="Normal 11 4 3 2 6" xfId="6648"/>
    <cellStyle name="Normal 11 4 3 2 6 2" xfId="10350"/>
    <cellStyle name="Normal 11 4 3 2 6 2 2" xfId="21472"/>
    <cellStyle name="Normal 11 4 3 2 6 3" xfId="14049"/>
    <cellStyle name="Normal 11 4 3 2 6 3 2" xfId="25166"/>
    <cellStyle name="Normal 11 4 3 2 6 4" xfId="17778"/>
    <cellStyle name="Normal 11 4 3 2 7" xfId="8502"/>
    <cellStyle name="Normal 11 4 3 2 7 2" xfId="19625"/>
    <cellStyle name="Normal 11 4 3 2 8" xfId="12202"/>
    <cellStyle name="Normal 11 4 3 2 8 2" xfId="23319"/>
    <cellStyle name="Normal 11 4 3 2 9" xfId="15931"/>
    <cellStyle name="Normal 11 4 3 3" xfId="1885"/>
    <cellStyle name="Normal 11 4 3 3 2" xfId="3321"/>
    <cellStyle name="Normal 11 4 3 3 2 2" xfId="6825"/>
    <cellStyle name="Normal 11 4 3 3 2 2 2" xfId="10527"/>
    <cellStyle name="Normal 11 4 3 3 2 2 2 2" xfId="21649"/>
    <cellStyle name="Normal 11 4 3 3 2 2 3" xfId="14226"/>
    <cellStyle name="Normal 11 4 3 3 2 2 3 2" xfId="25343"/>
    <cellStyle name="Normal 11 4 3 3 2 2 4" xfId="17955"/>
    <cellStyle name="Normal 11 4 3 3 2 3" xfId="8679"/>
    <cellStyle name="Normal 11 4 3 3 2 3 2" xfId="19802"/>
    <cellStyle name="Normal 11 4 3 3 2 4" xfId="12379"/>
    <cellStyle name="Normal 11 4 3 3 2 4 2" xfId="23496"/>
    <cellStyle name="Normal 11 4 3 3 2 5" xfId="16108"/>
    <cellStyle name="Normal 11 4 3 3 3" xfId="5082"/>
    <cellStyle name="Normal 11 4 3 3 3 2" xfId="7433"/>
    <cellStyle name="Normal 11 4 3 3 3 2 2" xfId="11134"/>
    <cellStyle name="Normal 11 4 3 3 3 2 2 2" xfId="22256"/>
    <cellStyle name="Normal 11 4 3 3 3 2 3" xfId="14833"/>
    <cellStyle name="Normal 11 4 3 3 3 2 3 2" xfId="25950"/>
    <cellStyle name="Normal 11 4 3 3 3 2 4" xfId="18562"/>
    <cellStyle name="Normal 11 4 3 3 3 3" xfId="9287"/>
    <cellStyle name="Normal 11 4 3 3 3 3 2" xfId="20409"/>
    <cellStyle name="Normal 11 4 3 3 3 4" xfId="12986"/>
    <cellStyle name="Normal 11 4 3 3 3 4 2" xfId="24103"/>
    <cellStyle name="Normal 11 4 3 3 3 5" xfId="16715"/>
    <cellStyle name="Normal 11 4 3 3 4" xfId="5635"/>
    <cellStyle name="Normal 11 4 3 3 4 2" xfId="7745"/>
    <cellStyle name="Normal 11 4 3 3 4 2 2" xfId="11446"/>
    <cellStyle name="Normal 11 4 3 3 4 2 2 2" xfId="22568"/>
    <cellStyle name="Normal 11 4 3 3 4 2 3" xfId="15145"/>
    <cellStyle name="Normal 11 4 3 3 4 2 3 2" xfId="26262"/>
    <cellStyle name="Normal 11 4 3 3 4 2 4" xfId="18874"/>
    <cellStyle name="Normal 11 4 3 3 4 3" xfId="9599"/>
    <cellStyle name="Normal 11 4 3 3 4 3 2" xfId="20721"/>
    <cellStyle name="Normal 11 4 3 3 4 4" xfId="13298"/>
    <cellStyle name="Normal 11 4 3 3 4 4 2" xfId="24415"/>
    <cellStyle name="Normal 11 4 3 3 4 5" xfId="17027"/>
    <cellStyle name="Normal 11 4 3 3 5" xfId="6514"/>
    <cellStyle name="Normal 11 4 3 3 5 2" xfId="10216"/>
    <cellStyle name="Normal 11 4 3 3 5 2 2" xfId="21338"/>
    <cellStyle name="Normal 11 4 3 3 5 3" xfId="13915"/>
    <cellStyle name="Normal 11 4 3 3 5 3 2" xfId="25032"/>
    <cellStyle name="Normal 11 4 3 3 5 4" xfId="17644"/>
    <cellStyle name="Normal 11 4 3 3 6" xfId="8368"/>
    <cellStyle name="Normal 11 4 3 3 6 2" xfId="19491"/>
    <cellStyle name="Normal 11 4 3 3 7" xfId="12068"/>
    <cellStyle name="Normal 11 4 3 3 7 2" xfId="23185"/>
    <cellStyle name="Normal 11 4 3 3 8" xfId="15797"/>
    <cellStyle name="Normal 11 4 3 4" xfId="3318"/>
    <cellStyle name="Normal 11 4 3 4 2" xfId="6822"/>
    <cellStyle name="Normal 11 4 3 4 2 2" xfId="10524"/>
    <cellStyle name="Normal 11 4 3 4 2 2 2" xfId="21646"/>
    <cellStyle name="Normal 11 4 3 4 2 3" xfId="14223"/>
    <cellStyle name="Normal 11 4 3 4 2 3 2" xfId="25340"/>
    <cellStyle name="Normal 11 4 3 4 2 4" xfId="17952"/>
    <cellStyle name="Normal 11 4 3 4 3" xfId="8676"/>
    <cellStyle name="Normal 11 4 3 4 3 2" xfId="19799"/>
    <cellStyle name="Normal 11 4 3 4 4" xfId="12376"/>
    <cellStyle name="Normal 11 4 3 4 4 2" xfId="23493"/>
    <cellStyle name="Normal 11 4 3 4 5" xfId="16105"/>
    <cellStyle name="Normal 11 4 3 5" xfId="4874"/>
    <cellStyle name="Normal 11 4 3 5 2" xfId="7225"/>
    <cellStyle name="Normal 11 4 3 5 2 2" xfId="10926"/>
    <cellStyle name="Normal 11 4 3 5 2 2 2" xfId="22048"/>
    <cellStyle name="Normal 11 4 3 5 2 3" xfId="14625"/>
    <cellStyle name="Normal 11 4 3 5 2 3 2" xfId="25742"/>
    <cellStyle name="Normal 11 4 3 5 2 4" xfId="18354"/>
    <cellStyle name="Normal 11 4 3 5 3" xfId="9079"/>
    <cellStyle name="Normal 11 4 3 5 3 2" xfId="20201"/>
    <cellStyle name="Normal 11 4 3 5 4" xfId="12778"/>
    <cellStyle name="Normal 11 4 3 5 4 2" xfId="23895"/>
    <cellStyle name="Normal 11 4 3 5 5" xfId="16507"/>
    <cellStyle name="Normal 11 4 3 6" xfId="5632"/>
    <cellStyle name="Normal 11 4 3 6 2" xfId="7742"/>
    <cellStyle name="Normal 11 4 3 6 2 2" xfId="11443"/>
    <cellStyle name="Normal 11 4 3 6 2 2 2" xfId="22565"/>
    <cellStyle name="Normal 11 4 3 6 2 3" xfId="15142"/>
    <cellStyle name="Normal 11 4 3 6 2 3 2" xfId="26259"/>
    <cellStyle name="Normal 11 4 3 6 2 4" xfId="18871"/>
    <cellStyle name="Normal 11 4 3 6 3" xfId="9596"/>
    <cellStyle name="Normal 11 4 3 6 3 2" xfId="20718"/>
    <cellStyle name="Normal 11 4 3 6 4" xfId="13295"/>
    <cellStyle name="Normal 11 4 3 6 4 2" xfId="24412"/>
    <cellStyle name="Normal 11 4 3 6 5" xfId="17024"/>
    <cellStyle name="Normal 11 4 3 7" xfId="6306"/>
    <cellStyle name="Normal 11 4 3 7 2" xfId="10008"/>
    <cellStyle name="Normal 11 4 3 7 2 2" xfId="21130"/>
    <cellStyle name="Normal 11 4 3 7 3" xfId="13707"/>
    <cellStyle name="Normal 11 4 3 7 3 2" xfId="24824"/>
    <cellStyle name="Normal 11 4 3 7 4" xfId="17436"/>
    <cellStyle name="Normal 11 4 3 8" xfId="8160"/>
    <cellStyle name="Normal 11 4 3 8 2" xfId="19283"/>
    <cellStyle name="Normal 11 4 3 9" xfId="11860"/>
    <cellStyle name="Normal 11 4 3 9 2" xfId="22977"/>
    <cellStyle name="Normal 11 4 4" xfId="2093"/>
    <cellStyle name="Normal 11 4 4 2" xfId="3323"/>
    <cellStyle name="Normal 11 4 4 2 2" xfId="5637"/>
    <cellStyle name="Normal 11 4 4 2 2 2" xfId="7747"/>
    <cellStyle name="Normal 11 4 4 2 2 2 2" xfId="11448"/>
    <cellStyle name="Normal 11 4 4 2 2 2 2 2" xfId="22570"/>
    <cellStyle name="Normal 11 4 4 2 2 2 3" xfId="15147"/>
    <cellStyle name="Normal 11 4 4 2 2 2 3 2" xfId="26264"/>
    <cellStyle name="Normal 11 4 4 2 2 2 4" xfId="18876"/>
    <cellStyle name="Normal 11 4 4 2 2 3" xfId="9601"/>
    <cellStyle name="Normal 11 4 4 2 2 3 2" xfId="20723"/>
    <cellStyle name="Normal 11 4 4 2 2 4" xfId="13300"/>
    <cellStyle name="Normal 11 4 4 2 2 4 2" xfId="24417"/>
    <cellStyle name="Normal 11 4 4 2 2 5" xfId="17029"/>
    <cellStyle name="Normal 11 4 4 2 3" xfId="6827"/>
    <cellStyle name="Normal 11 4 4 2 3 2" xfId="10529"/>
    <cellStyle name="Normal 11 4 4 2 3 2 2" xfId="21651"/>
    <cellStyle name="Normal 11 4 4 2 3 3" xfId="14228"/>
    <cellStyle name="Normal 11 4 4 2 3 3 2" xfId="25345"/>
    <cellStyle name="Normal 11 4 4 2 3 4" xfId="17957"/>
    <cellStyle name="Normal 11 4 4 2 4" xfId="8681"/>
    <cellStyle name="Normal 11 4 4 2 4 2" xfId="19804"/>
    <cellStyle name="Normal 11 4 4 2 5" xfId="12381"/>
    <cellStyle name="Normal 11 4 4 2 5 2" xfId="23498"/>
    <cellStyle name="Normal 11 4 4 2 6" xfId="16110"/>
    <cellStyle name="Normal 11 4 4 3" xfId="3322"/>
    <cellStyle name="Normal 11 4 4 3 2" xfId="6826"/>
    <cellStyle name="Normal 11 4 4 3 2 2" xfId="10528"/>
    <cellStyle name="Normal 11 4 4 3 2 2 2" xfId="21650"/>
    <cellStyle name="Normal 11 4 4 3 2 3" xfId="14227"/>
    <cellStyle name="Normal 11 4 4 3 2 3 2" xfId="25344"/>
    <cellStyle name="Normal 11 4 4 3 2 4" xfId="17956"/>
    <cellStyle name="Normal 11 4 4 3 3" xfId="8680"/>
    <cellStyle name="Normal 11 4 4 3 3 2" xfId="19803"/>
    <cellStyle name="Normal 11 4 4 3 4" xfId="12380"/>
    <cellStyle name="Normal 11 4 4 3 4 2" xfId="23497"/>
    <cellStyle name="Normal 11 4 4 3 5" xfId="16109"/>
    <cellStyle name="Normal 11 4 4 4" xfId="5213"/>
    <cellStyle name="Normal 11 4 4 4 2" xfId="7564"/>
    <cellStyle name="Normal 11 4 4 4 2 2" xfId="11265"/>
    <cellStyle name="Normal 11 4 4 4 2 2 2" xfId="22387"/>
    <cellStyle name="Normal 11 4 4 4 2 3" xfId="14964"/>
    <cellStyle name="Normal 11 4 4 4 2 3 2" xfId="26081"/>
    <cellStyle name="Normal 11 4 4 4 2 4" xfId="18693"/>
    <cellStyle name="Normal 11 4 4 4 3" xfId="9418"/>
    <cellStyle name="Normal 11 4 4 4 3 2" xfId="20540"/>
    <cellStyle name="Normal 11 4 4 4 4" xfId="13117"/>
    <cellStyle name="Normal 11 4 4 4 4 2" xfId="24234"/>
    <cellStyle name="Normal 11 4 4 4 5" xfId="16846"/>
    <cellStyle name="Normal 11 4 4 5" xfId="5636"/>
    <cellStyle name="Normal 11 4 4 5 2" xfId="7746"/>
    <cellStyle name="Normal 11 4 4 5 2 2" xfId="11447"/>
    <cellStyle name="Normal 11 4 4 5 2 2 2" xfId="22569"/>
    <cellStyle name="Normal 11 4 4 5 2 3" xfId="15146"/>
    <cellStyle name="Normal 11 4 4 5 2 3 2" xfId="26263"/>
    <cellStyle name="Normal 11 4 4 5 2 4" xfId="18875"/>
    <cellStyle name="Normal 11 4 4 5 3" xfId="9600"/>
    <cellStyle name="Normal 11 4 4 5 3 2" xfId="20722"/>
    <cellStyle name="Normal 11 4 4 5 4" xfId="13299"/>
    <cellStyle name="Normal 11 4 4 5 4 2" xfId="24416"/>
    <cellStyle name="Normal 11 4 4 5 5" xfId="17028"/>
    <cellStyle name="Normal 11 4 4 6" xfId="6645"/>
    <cellStyle name="Normal 11 4 4 6 2" xfId="10347"/>
    <cellStyle name="Normal 11 4 4 6 2 2" xfId="21469"/>
    <cellStyle name="Normal 11 4 4 6 3" xfId="14046"/>
    <cellStyle name="Normal 11 4 4 6 3 2" xfId="25163"/>
    <cellStyle name="Normal 11 4 4 6 4" xfId="17775"/>
    <cellStyle name="Normal 11 4 4 7" xfId="8499"/>
    <cellStyle name="Normal 11 4 4 7 2" xfId="19622"/>
    <cellStyle name="Normal 11 4 4 8" xfId="12199"/>
    <cellStyle name="Normal 11 4 4 8 2" xfId="23316"/>
    <cellStyle name="Normal 11 4 4 9" xfId="15928"/>
    <cellStyle name="Normal 11 4 5" xfId="1777"/>
    <cellStyle name="Normal 11 4 5 2" xfId="3324"/>
    <cellStyle name="Normal 11 4 5 2 2" xfId="6828"/>
    <cellStyle name="Normal 11 4 5 2 2 2" xfId="10530"/>
    <cellStyle name="Normal 11 4 5 2 2 2 2" xfId="21652"/>
    <cellStyle name="Normal 11 4 5 2 2 3" xfId="14229"/>
    <cellStyle name="Normal 11 4 5 2 2 3 2" xfId="25346"/>
    <cellStyle name="Normal 11 4 5 2 2 4" xfId="17958"/>
    <cellStyle name="Normal 11 4 5 2 3" xfId="8682"/>
    <cellStyle name="Normal 11 4 5 2 3 2" xfId="19805"/>
    <cellStyle name="Normal 11 4 5 2 4" xfId="12382"/>
    <cellStyle name="Normal 11 4 5 2 4 2" xfId="23499"/>
    <cellStyle name="Normal 11 4 5 2 5" xfId="16111"/>
    <cellStyle name="Normal 11 4 5 3" xfId="4974"/>
    <cellStyle name="Normal 11 4 5 3 2" xfId="7325"/>
    <cellStyle name="Normal 11 4 5 3 2 2" xfId="11026"/>
    <cellStyle name="Normal 11 4 5 3 2 2 2" xfId="22148"/>
    <cellStyle name="Normal 11 4 5 3 2 3" xfId="14725"/>
    <cellStyle name="Normal 11 4 5 3 2 3 2" xfId="25842"/>
    <cellStyle name="Normal 11 4 5 3 2 4" xfId="18454"/>
    <cellStyle name="Normal 11 4 5 3 3" xfId="9179"/>
    <cellStyle name="Normal 11 4 5 3 3 2" xfId="20301"/>
    <cellStyle name="Normal 11 4 5 3 4" xfId="12878"/>
    <cellStyle name="Normal 11 4 5 3 4 2" xfId="23995"/>
    <cellStyle name="Normal 11 4 5 3 5" xfId="16607"/>
    <cellStyle name="Normal 11 4 5 4" xfId="5638"/>
    <cellStyle name="Normal 11 4 5 4 2" xfId="7748"/>
    <cellStyle name="Normal 11 4 5 4 2 2" xfId="11449"/>
    <cellStyle name="Normal 11 4 5 4 2 2 2" xfId="22571"/>
    <cellStyle name="Normal 11 4 5 4 2 3" xfId="15148"/>
    <cellStyle name="Normal 11 4 5 4 2 3 2" xfId="26265"/>
    <cellStyle name="Normal 11 4 5 4 2 4" xfId="18877"/>
    <cellStyle name="Normal 11 4 5 4 3" xfId="9602"/>
    <cellStyle name="Normal 11 4 5 4 3 2" xfId="20724"/>
    <cellStyle name="Normal 11 4 5 4 4" xfId="13301"/>
    <cellStyle name="Normal 11 4 5 4 4 2" xfId="24418"/>
    <cellStyle name="Normal 11 4 5 4 5" xfId="17030"/>
    <cellStyle name="Normal 11 4 5 5" xfId="6406"/>
    <cellStyle name="Normal 11 4 5 5 2" xfId="10108"/>
    <cellStyle name="Normal 11 4 5 5 2 2" xfId="21230"/>
    <cellStyle name="Normal 11 4 5 5 3" xfId="13807"/>
    <cellStyle name="Normal 11 4 5 5 3 2" xfId="24924"/>
    <cellStyle name="Normal 11 4 5 5 4" xfId="17536"/>
    <cellStyle name="Normal 11 4 5 6" xfId="8260"/>
    <cellStyle name="Normal 11 4 5 6 2" xfId="19383"/>
    <cellStyle name="Normal 11 4 5 7" xfId="11960"/>
    <cellStyle name="Normal 11 4 5 7 2" xfId="23077"/>
    <cellStyle name="Normal 11 4 5 8" xfId="15689"/>
    <cellStyle name="Normal 11 4 6" xfId="3325"/>
    <cellStyle name="Normal 11 4 6 2" xfId="5639"/>
    <cellStyle name="Normal 11 4 6 2 2" xfId="7749"/>
    <cellStyle name="Normal 11 4 6 2 2 2" xfId="11450"/>
    <cellStyle name="Normal 11 4 6 2 2 2 2" xfId="22572"/>
    <cellStyle name="Normal 11 4 6 2 2 3" xfId="15149"/>
    <cellStyle name="Normal 11 4 6 2 2 3 2" xfId="26266"/>
    <cellStyle name="Normal 11 4 6 2 2 4" xfId="18878"/>
    <cellStyle name="Normal 11 4 6 2 3" xfId="9603"/>
    <cellStyle name="Normal 11 4 6 2 3 2" xfId="20725"/>
    <cellStyle name="Normal 11 4 6 2 4" xfId="13302"/>
    <cellStyle name="Normal 11 4 6 2 4 2" xfId="24419"/>
    <cellStyle name="Normal 11 4 6 2 5" xfId="17031"/>
    <cellStyle name="Normal 11 4 6 3" xfId="6829"/>
    <cellStyle name="Normal 11 4 6 3 2" xfId="10531"/>
    <cellStyle name="Normal 11 4 6 3 2 2" xfId="21653"/>
    <cellStyle name="Normal 11 4 6 3 3" xfId="14230"/>
    <cellStyle name="Normal 11 4 6 3 3 2" xfId="25347"/>
    <cellStyle name="Normal 11 4 6 3 4" xfId="17959"/>
    <cellStyle name="Normal 11 4 6 4" xfId="8683"/>
    <cellStyle name="Normal 11 4 6 4 2" xfId="19806"/>
    <cellStyle name="Normal 11 4 6 5" xfId="12383"/>
    <cellStyle name="Normal 11 4 6 5 2" xfId="23500"/>
    <cellStyle name="Normal 11 4 6 6" xfId="16112"/>
    <cellStyle name="Normal 11 4 7" xfId="3308"/>
    <cellStyle name="Normal 11 4 8" xfId="4765"/>
    <cellStyle name="Normal 11 4 8 2" xfId="7117"/>
    <cellStyle name="Normal 11 4 8 2 2" xfId="10818"/>
    <cellStyle name="Normal 11 4 8 2 2 2" xfId="21940"/>
    <cellStyle name="Normal 11 4 8 2 3" xfId="14517"/>
    <cellStyle name="Normal 11 4 8 2 3 2" xfId="25634"/>
    <cellStyle name="Normal 11 4 8 2 4" xfId="18246"/>
    <cellStyle name="Normal 11 4 8 3" xfId="8971"/>
    <cellStyle name="Normal 11 4 8 3 2" xfId="20093"/>
    <cellStyle name="Normal 11 4 8 4" xfId="12670"/>
    <cellStyle name="Normal 11 4 8 4 2" xfId="23787"/>
    <cellStyle name="Normal 11 4 8 5" xfId="16399"/>
    <cellStyle name="Normal 11 4 9" xfId="5983"/>
    <cellStyle name="Normal 11 4 9 2" xfId="7990"/>
    <cellStyle name="Normal 11 4 9 2 2" xfId="11691"/>
    <cellStyle name="Normal 11 4 9 2 2 2" xfId="22813"/>
    <cellStyle name="Normal 11 4 9 2 3" xfId="15390"/>
    <cellStyle name="Normal 11 4 9 2 3 2" xfId="26507"/>
    <cellStyle name="Normal 11 4 9 2 4" xfId="19119"/>
    <cellStyle name="Normal 11 4 9 3" xfId="9844"/>
    <cellStyle name="Normal 11 4 9 3 2" xfId="20966"/>
    <cellStyle name="Normal 11 4 9 4" xfId="13543"/>
    <cellStyle name="Normal 11 4 9 4 2" xfId="24660"/>
    <cellStyle name="Normal 11 4 9 5" xfId="17272"/>
    <cellStyle name="Normal 11 5" xfId="3326"/>
    <cellStyle name="Normal 11 5 2" xfId="3327"/>
    <cellStyle name="Normal 11 5 2 2" xfId="3328"/>
    <cellStyle name="Normal 11 5 2 2 2" xfId="3329"/>
    <cellStyle name="Normal 11 5 2 2 2 2" xfId="5642"/>
    <cellStyle name="Normal 11 5 2 2 2 2 2" xfId="7752"/>
    <cellStyle name="Normal 11 5 2 2 2 2 2 2" xfId="11453"/>
    <cellStyle name="Normal 11 5 2 2 2 2 2 2 2" xfId="22575"/>
    <cellStyle name="Normal 11 5 2 2 2 2 2 3" xfId="15152"/>
    <cellStyle name="Normal 11 5 2 2 2 2 2 3 2" xfId="26269"/>
    <cellStyle name="Normal 11 5 2 2 2 2 2 4" xfId="18881"/>
    <cellStyle name="Normal 11 5 2 2 2 2 3" xfId="9606"/>
    <cellStyle name="Normal 11 5 2 2 2 2 3 2" xfId="20728"/>
    <cellStyle name="Normal 11 5 2 2 2 2 4" xfId="13305"/>
    <cellStyle name="Normal 11 5 2 2 2 2 4 2" xfId="24422"/>
    <cellStyle name="Normal 11 5 2 2 2 2 5" xfId="17034"/>
    <cellStyle name="Normal 11 5 2 2 2 3" xfId="6832"/>
    <cellStyle name="Normal 11 5 2 2 2 3 2" xfId="10534"/>
    <cellStyle name="Normal 11 5 2 2 2 3 2 2" xfId="21656"/>
    <cellStyle name="Normal 11 5 2 2 2 3 3" xfId="14233"/>
    <cellStyle name="Normal 11 5 2 2 2 3 3 2" xfId="25350"/>
    <cellStyle name="Normal 11 5 2 2 2 3 4" xfId="17962"/>
    <cellStyle name="Normal 11 5 2 2 2 4" xfId="8686"/>
    <cellStyle name="Normal 11 5 2 2 2 4 2" xfId="19809"/>
    <cellStyle name="Normal 11 5 2 2 2 5" xfId="12386"/>
    <cellStyle name="Normal 11 5 2 2 2 5 2" xfId="23503"/>
    <cellStyle name="Normal 11 5 2 2 2 6" xfId="16115"/>
    <cellStyle name="Normal 11 5 2 2 3" xfId="5641"/>
    <cellStyle name="Normal 11 5 2 2 3 2" xfId="7751"/>
    <cellStyle name="Normal 11 5 2 2 3 2 2" xfId="11452"/>
    <cellStyle name="Normal 11 5 2 2 3 2 2 2" xfId="22574"/>
    <cellStyle name="Normal 11 5 2 2 3 2 3" xfId="15151"/>
    <cellStyle name="Normal 11 5 2 2 3 2 3 2" xfId="26268"/>
    <cellStyle name="Normal 11 5 2 2 3 2 4" xfId="18880"/>
    <cellStyle name="Normal 11 5 2 2 3 3" xfId="9605"/>
    <cellStyle name="Normal 11 5 2 2 3 3 2" xfId="20727"/>
    <cellStyle name="Normal 11 5 2 2 3 4" xfId="13304"/>
    <cellStyle name="Normal 11 5 2 2 3 4 2" xfId="24421"/>
    <cellStyle name="Normal 11 5 2 2 3 5" xfId="17033"/>
    <cellStyle name="Normal 11 5 2 2 4" xfId="6831"/>
    <cellStyle name="Normal 11 5 2 2 4 2" xfId="10533"/>
    <cellStyle name="Normal 11 5 2 2 4 2 2" xfId="21655"/>
    <cellStyle name="Normal 11 5 2 2 4 3" xfId="14232"/>
    <cellStyle name="Normal 11 5 2 2 4 3 2" xfId="25349"/>
    <cellStyle name="Normal 11 5 2 2 4 4" xfId="17961"/>
    <cellStyle name="Normal 11 5 2 2 5" xfId="8685"/>
    <cellStyle name="Normal 11 5 2 2 5 2" xfId="19808"/>
    <cellStyle name="Normal 11 5 2 2 6" xfId="12385"/>
    <cellStyle name="Normal 11 5 2 2 6 2" xfId="23502"/>
    <cellStyle name="Normal 11 5 2 2 7" xfId="16114"/>
    <cellStyle name="Normal 11 5 2 3" xfId="3330"/>
    <cellStyle name="Normal 11 5 2 3 2" xfId="5643"/>
    <cellStyle name="Normal 11 5 2 3 2 2" xfId="7753"/>
    <cellStyle name="Normal 11 5 2 3 2 2 2" xfId="11454"/>
    <cellStyle name="Normal 11 5 2 3 2 2 2 2" xfId="22576"/>
    <cellStyle name="Normal 11 5 2 3 2 2 3" xfId="15153"/>
    <cellStyle name="Normal 11 5 2 3 2 2 3 2" xfId="26270"/>
    <cellStyle name="Normal 11 5 2 3 2 2 4" xfId="18882"/>
    <cellStyle name="Normal 11 5 2 3 2 3" xfId="9607"/>
    <cellStyle name="Normal 11 5 2 3 2 3 2" xfId="20729"/>
    <cellStyle name="Normal 11 5 2 3 2 4" xfId="13306"/>
    <cellStyle name="Normal 11 5 2 3 2 4 2" xfId="24423"/>
    <cellStyle name="Normal 11 5 2 3 2 5" xfId="17035"/>
    <cellStyle name="Normal 11 5 2 3 3" xfId="6833"/>
    <cellStyle name="Normal 11 5 2 3 3 2" xfId="10535"/>
    <cellStyle name="Normal 11 5 2 3 3 2 2" xfId="21657"/>
    <cellStyle name="Normal 11 5 2 3 3 3" xfId="14234"/>
    <cellStyle name="Normal 11 5 2 3 3 3 2" xfId="25351"/>
    <cellStyle name="Normal 11 5 2 3 3 4" xfId="17963"/>
    <cellStyle name="Normal 11 5 2 3 4" xfId="8687"/>
    <cellStyle name="Normal 11 5 2 3 4 2" xfId="19810"/>
    <cellStyle name="Normal 11 5 2 3 5" xfId="12387"/>
    <cellStyle name="Normal 11 5 2 3 5 2" xfId="23504"/>
    <cellStyle name="Normal 11 5 2 3 6" xfId="16116"/>
    <cellStyle name="Normal 11 5 2 4" xfId="5640"/>
    <cellStyle name="Normal 11 5 2 4 2" xfId="7750"/>
    <cellStyle name="Normal 11 5 2 4 2 2" xfId="11451"/>
    <cellStyle name="Normal 11 5 2 4 2 2 2" xfId="22573"/>
    <cellStyle name="Normal 11 5 2 4 2 3" xfId="15150"/>
    <cellStyle name="Normal 11 5 2 4 2 3 2" xfId="26267"/>
    <cellStyle name="Normal 11 5 2 4 2 4" xfId="18879"/>
    <cellStyle name="Normal 11 5 2 4 3" xfId="9604"/>
    <cellStyle name="Normal 11 5 2 4 3 2" xfId="20726"/>
    <cellStyle name="Normal 11 5 2 4 4" xfId="13303"/>
    <cellStyle name="Normal 11 5 2 4 4 2" xfId="24420"/>
    <cellStyle name="Normal 11 5 2 4 5" xfId="17032"/>
    <cellStyle name="Normal 11 5 2 5" xfId="6830"/>
    <cellStyle name="Normal 11 5 2 5 2" xfId="10532"/>
    <cellStyle name="Normal 11 5 2 5 2 2" xfId="21654"/>
    <cellStyle name="Normal 11 5 2 5 3" xfId="14231"/>
    <cellStyle name="Normal 11 5 2 5 3 2" xfId="25348"/>
    <cellStyle name="Normal 11 5 2 5 4" xfId="17960"/>
    <cellStyle name="Normal 11 5 2 6" xfId="8684"/>
    <cellStyle name="Normal 11 5 2 6 2" xfId="19807"/>
    <cellStyle name="Normal 11 5 2 7" xfId="12384"/>
    <cellStyle name="Normal 11 5 2 7 2" xfId="23501"/>
    <cellStyle name="Normal 11 5 2 8" xfId="16113"/>
    <cellStyle name="Normal 11 5 3" xfId="3331"/>
    <cellStyle name="Normal 11 5 3 2" xfId="3332"/>
    <cellStyle name="Normal 11 5 3 2 2" xfId="5645"/>
    <cellStyle name="Normal 11 5 3 2 2 2" xfId="7755"/>
    <cellStyle name="Normal 11 5 3 2 2 2 2" xfId="11456"/>
    <cellStyle name="Normal 11 5 3 2 2 2 2 2" xfId="22578"/>
    <cellStyle name="Normal 11 5 3 2 2 2 3" xfId="15155"/>
    <cellStyle name="Normal 11 5 3 2 2 2 3 2" xfId="26272"/>
    <cellStyle name="Normal 11 5 3 2 2 2 4" xfId="18884"/>
    <cellStyle name="Normal 11 5 3 2 2 3" xfId="9609"/>
    <cellStyle name="Normal 11 5 3 2 2 3 2" xfId="20731"/>
    <cellStyle name="Normal 11 5 3 2 2 4" xfId="13308"/>
    <cellStyle name="Normal 11 5 3 2 2 4 2" xfId="24425"/>
    <cellStyle name="Normal 11 5 3 2 2 5" xfId="17037"/>
    <cellStyle name="Normal 11 5 3 2 3" xfId="6835"/>
    <cellStyle name="Normal 11 5 3 2 3 2" xfId="10537"/>
    <cellStyle name="Normal 11 5 3 2 3 2 2" xfId="21659"/>
    <cellStyle name="Normal 11 5 3 2 3 3" xfId="14236"/>
    <cellStyle name="Normal 11 5 3 2 3 3 2" xfId="25353"/>
    <cellStyle name="Normal 11 5 3 2 3 4" xfId="17965"/>
    <cellStyle name="Normal 11 5 3 2 4" xfId="8689"/>
    <cellStyle name="Normal 11 5 3 2 4 2" xfId="19812"/>
    <cellStyle name="Normal 11 5 3 2 5" xfId="12389"/>
    <cellStyle name="Normal 11 5 3 2 5 2" xfId="23506"/>
    <cellStyle name="Normal 11 5 3 2 6" xfId="16118"/>
    <cellStyle name="Normal 11 5 3 3" xfId="5644"/>
    <cellStyle name="Normal 11 5 3 3 2" xfId="7754"/>
    <cellStyle name="Normal 11 5 3 3 2 2" xfId="11455"/>
    <cellStyle name="Normal 11 5 3 3 2 2 2" xfId="22577"/>
    <cellStyle name="Normal 11 5 3 3 2 3" xfId="15154"/>
    <cellStyle name="Normal 11 5 3 3 2 3 2" xfId="26271"/>
    <cellStyle name="Normal 11 5 3 3 2 4" xfId="18883"/>
    <cellStyle name="Normal 11 5 3 3 3" xfId="9608"/>
    <cellStyle name="Normal 11 5 3 3 3 2" xfId="20730"/>
    <cellStyle name="Normal 11 5 3 3 4" xfId="13307"/>
    <cellStyle name="Normal 11 5 3 3 4 2" xfId="24424"/>
    <cellStyle name="Normal 11 5 3 3 5" xfId="17036"/>
    <cellStyle name="Normal 11 5 3 4" xfId="6834"/>
    <cellStyle name="Normal 11 5 3 4 2" xfId="10536"/>
    <cellStyle name="Normal 11 5 3 4 2 2" xfId="21658"/>
    <cellStyle name="Normal 11 5 3 4 3" xfId="14235"/>
    <cellStyle name="Normal 11 5 3 4 3 2" xfId="25352"/>
    <cellStyle name="Normal 11 5 3 4 4" xfId="17964"/>
    <cellStyle name="Normal 11 5 3 5" xfId="8688"/>
    <cellStyle name="Normal 11 5 3 5 2" xfId="19811"/>
    <cellStyle name="Normal 11 5 3 6" xfId="12388"/>
    <cellStyle name="Normal 11 5 3 6 2" xfId="23505"/>
    <cellStyle name="Normal 11 5 3 7" xfId="16117"/>
    <cellStyle name="Normal 11 5 4" xfId="3333"/>
    <cellStyle name="Normal 11 5 4 2" xfId="5646"/>
    <cellStyle name="Normal 11 5 4 2 2" xfId="7756"/>
    <cellStyle name="Normal 11 5 4 2 2 2" xfId="11457"/>
    <cellStyle name="Normal 11 5 4 2 2 2 2" xfId="22579"/>
    <cellStyle name="Normal 11 5 4 2 2 3" xfId="15156"/>
    <cellStyle name="Normal 11 5 4 2 2 3 2" xfId="26273"/>
    <cellStyle name="Normal 11 5 4 2 2 4" xfId="18885"/>
    <cellStyle name="Normal 11 5 4 2 3" xfId="9610"/>
    <cellStyle name="Normal 11 5 4 2 3 2" xfId="20732"/>
    <cellStyle name="Normal 11 5 4 2 4" xfId="13309"/>
    <cellStyle name="Normal 11 5 4 2 4 2" xfId="24426"/>
    <cellStyle name="Normal 11 5 4 2 5" xfId="17038"/>
    <cellStyle name="Normal 11 5 4 3" xfId="6836"/>
    <cellStyle name="Normal 11 5 4 3 2" xfId="10538"/>
    <cellStyle name="Normal 11 5 4 3 2 2" xfId="21660"/>
    <cellStyle name="Normal 11 5 4 3 3" xfId="14237"/>
    <cellStyle name="Normal 11 5 4 3 3 2" xfId="25354"/>
    <cellStyle name="Normal 11 5 4 3 4" xfId="17966"/>
    <cellStyle name="Normal 11 5 4 4" xfId="8690"/>
    <cellStyle name="Normal 11 5 4 4 2" xfId="19813"/>
    <cellStyle name="Normal 11 5 4 5" xfId="12390"/>
    <cellStyle name="Normal 11 5 4 5 2" xfId="23507"/>
    <cellStyle name="Normal 11 5 4 6" xfId="16119"/>
    <cellStyle name="Normal 11 5 5" xfId="3334"/>
    <cellStyle name="Normal 11 5 5 2" xfId="5647"/>
    <cellStyle name="Normal 11 5 5 2 2" xfId="7757"/>
    <cellStyle name="Normal 11 5 5 2 2 2" xfId="11458"/>
    <cellStyle name="Normal 11 5 5 2 2 2 2" xfId="22580"/>
    <cellStyle name="Normal 11 5 5 2 2 3" xfId="15157"/>
    <cellStyle name="Normal 11 5 5 2 2 3 2" xfId="26274"/>
    <cellStyle name="Normal 11 5 5 2 2 4" xfId="18886"/>
    <cellStyle name="Normal 11 5 5 2 3" xfId="9611"/>
    <cellStyle name="Normal 11 5 5 2 3 2" xfId="20733"/>
    <cellStyle name="Normal 11 5 5 2 4" xfId="13310"/>
    <cellStyle name="Normal 11 5 5 2 4 2" xfId="24427"/>
    <cellStyle name="Normal 11 5 5 2 5" xfId="17039"/>
    <cellStyle name="Normal 11 5 5 3" xfId="6837"/>
    <cellStyle name="Normal 11 5 5 3 2" xfId="10539"/>
    <cellStyle name="Normal 11 5 5 3 2 2" xfId="21661"/>
    <cellStyle name="Normal 11 5 5 3 3" xfId="14238"/>
    <cellStyle name="Normal 11 5 5 3 3 2" xfId="25355"/>
    <cellStyle name="Normal 11 5 5 3 4" xfId="17967"/>
    <cellStyle name="Normal 11 5 5 4" xfId="8691"/>
    <cellStyle name="Normal 11 5 5 4 2" xfId="19814"/>
    <cellStyle name="Normal 11 5 5 5" xfId="12391"/>
    <cellStyle name="Normal 11 5 5 5 2" xfId="23508"/>
    <cellStyle name="Normal 11 5 5 6" xfId="16120"/>
    <cellStyle name="Normal 11 5 6" xfId="4680"/>
    <cellStyle name="Normal 11 6" xfId="3335"/>
    <cellStyle name="Normal 11 6 2" xfId="3336"/>
    <cellStyle name="Normal 11 6 2 2" xfId="3337"/>
    <cellStyle name="Normal 11 6 2 2 2" xfId="3338"/>
    <cellStyle name="Normal 11 6 2 2 2 2" xfId="5651"/>
    <cellStyle name="Normal 11 6 2 2 2 2 2" xfId="7761"/>
    <cellStyle name="Normal 11 6 2 2 2 2 2 2" xfId="11462"/>
    <cellStyle name="Normal 11 6 2 2 2 2 2 2 2" xfId="22584"/>
    <cellStyle name="Normal 11 6 2 2 2 2 2 3" xfId="15161"/>
    <cellStyle name="Normal 11 6 2 2 2 2 2 3 2" xfId="26278"/>
    <cellStyle name="Normal 11 6 2 2 2 2 2 4" xfId="18890"/>
    <cellStyle name="Normal 11 6 2 2 2 2 3" xfId="9615"/>
    <cellStyle name="Normal 11 6 2 2 2 2 3 2" xfId="20737"/>
    <cellStyle name="Normal 11 6 2 2 2 2 4" xfId="13314"/>
    <cellStyle name="Normal 11 6 2 2 2 2 4 2" xfId="24431"/>
    <cellStyle name="Normal 11 6 2 2 2 2 5" xfId="17043"/>
    <cellStyle name="Normal 11 6 2 2 2 3" xfId="6841"/>
    <cellStyle name="Normal 11 6 2 2 2 3 2" xfId="10543"/>
    <cellStyle name="Normal 11 6 2 2 2 3 2 2" xfId="21665"/>
    <cellStyle name="Normal 11 6 2 2 2 3 3" xfId="14242"/>
    <cellStyle name="Normal 11 6 2 2 2 3 3 2" xfId="25359"/>
    <cellStyle name="Normal 11 6 2 2 2 3 4" xfId="17971"/>
    <cellStyle name="Normal 11 6 2 2 2 4" xfId="8695"/>
    <cellStyle name="Normal 11 6 2 2 2 4 2" xfId="19818"/>
    <cellStyle name="Normal 11 6 2 2 2 5" xfId="12395"/>
    <cellStyle name="Normal 11 6 2 2 2 5 2" xfId="23512"/>
    <cellStyle name="Normal 11 6 2 2 2 6" xfId="16124"/>
    <cellStyle name="Normal 11 6 2 2 3" xfId="5650"/>
    <cellStyle name="Normal 11 6 2 2 3 2" xfId="7760"/>
    <cellStyle name="Normal 11 6 2 2 3 2 2" xfId="11461"/>
    <cellStyle name="Normal 11 6 2 2 3 2 2 2" xfId="22583"/>
    <cellStyle name="Normal 11 6 2 2 3 2 3" xfId="15160"/>
    <cellStyle name="Normal 11 6 2 2 3 2 3 2" xfId="26277"/>
    <cellStyle name="Normal 11 6 2 2 3 2 4" xfId="18889"/>
    <cellStyle name="Normal 11 6 2 2 3 3" xfId="9614"/>
    <cellStyle name="Normal 11 6 2 2 3 3 2" xfId="20736"/>
    <cellStyle name="Normal 11 6 2 2 3 4" xfId="13313"/>
    <cellStyle name="Normal 11 6 2 2 3 4 2" xfId="24430"/>
    <cellStyle name="Normal 11 6 2 2 3 5" xfId="17042"/>
    <cellStyle name="Normal 11 6 2 2 4" xfId="6840"/>
    <cellStyle name="Normal 11 6 2 2 4 2" xfId="10542"/>
    <cellStyle name="Normal 11 6 2 2 4 2 2" xfId="21664"/>
    <cellStyle name="Normal 11 6 2 2 4 3" xfId="14241"/>
    <cellStyle name="Normal 11 6 2 2 4 3 2" xfId="25358"/>
    <cellStyle name="Normal 11 6 2 2 4 4" xfId="17970"/>
    <cellStyle name="Normal 11 6 2 2 5" xfId="8694"/>
    <cellStyle name="Normal 11 6 2 2 5 2" xfId="19817"/>
    <cellStyle name="Normal 11 6 2 2 6" xfId="12394"/>
    <cellStyle name="Normal 11 6 2 2 6 2" xfId="23511"/>
    <cellStyle name="Normal 11 6 2 2 7" xfId="16123"/>
    <cellStyle name="Normal 11 6 2 3" xfId="3339"/>
    <cellStyle name="Normal 11 6 2 3 2" xfId="5652"/>
    <cellStyle name="Normal 11 6 2 3 2 2" xfId="7762"/>
    <cellStyle name="Normal 11 6 2 3 2 2 2" xfId="11463"/>
    <cellStyle name="Normal 11 6 2 3 2 2 2 2" xfId="22585"/>
    <cellStyle name="Normal 11 6 2 3 2 2 3" xfId="15162"/>
    <cellStyle name="Normal 11 6 2 3 2 2 3 2" xfId="26279"/>
    <cellStyle name="Normal 11 6 2 3 2 2 4" xfId="18891"/>
    <cellStyle name="Normal 11 6 2 3 2 3" xfId="9616"/>
    <cellStyle name="Normal 11 6 2 3 2 3 2" xfId="20738"/>
    <cellStyle name="Normal 11 6 2 3 2 4" xfId="13315"/>
    <cellStyle name="Normal 11 6 2 3 2 4 2" xfId="24432"/>
    <cellStyle name="Normal 11 6 2 3 2 5" xfId="17044"/>
    <cellStyle name="Normal 11 6 2 3 3" xfId="6842"/>
    <cellStyle name="Normal 11 6 2 3 3 2" xfId="10544"/>
    <cellStyle name="Normal 11 6 2 3 3 2 2" xfId="21666"/>
    <cellStyle name="Normal 11 6 2 3 3 3" xfId="14243"/>
    <cellStyle name="Normal 11 6 2 3 3 3 2" xfId="25360"/>
    <cellStyle name="Normal 11 6 2 3 3 4" xfId="17972"/>
    <cellStyle name="Normal 11 6 2 3 4" xfId="8696"/>
    <cellStyle name="Normal 11 6 2 3 4 2" xfId="19819"/>
    <cellStyle name="Normal 11 6 2 3 5" xfId="12396"/>
    <cellStyle name="Normal 11 6 2 3 5 2" xfId="23513"/>
    <cellStyle name="Normal 11 6 2 3 6" xfId="16125"/>
    <cellStyle name="Normal 11 6 2 4" xfId="5649"/>
    <cellStyle name="Normal 11 6 2 4 2" xfId="7759"/>
    <cellStyle name="Normal 11 6 2 4 2 2" xfId="11460"/>
    <cellStyle name="Normal 11 6 2 4 2 2 2" xfId="22582"/>
    <cellStyle name="Normal 11 6 2 4 2 3" xfId="15159"/>
    <cellStyle name="Normal 11 6 2 4 2 3 2" xfId="26276"/>
    <cellStyle name="Normal 11 6 2 4 2 4" xfId="18888"/>
    <cellStyle name="Normal 11 6 2 4 3" xfId="9613"/>
    <cellStyle name="Normal 11 6 2 4 3 2" xfId="20735"/>
    <cellStyle name="Normal 11 6 2 4 4" xfId="13312"/>
    <cellStyle name="Normal 11 6 2 4 4 2" xfId="24429"/>
    <cellStyle name="Normal 11 6 2 4 5" xfId="17041"/>
    <cellStyle name="Normal 11 6 2 5" xfId="6839"/>
    <cellStyle name="Normal 11 6 2 5 2" xfId="10541"/>
    <cellStyle name="Normal 11 6 2 5 2 2" xfId="21663"/>
    <cellStyle name="Normal 11 6 2 5 3" xfId="14240"/>
    <cellStyle name="Normal 11 6 2 5 3 2" xfId="25357"/>
    <cellStyle name="Normal 11 6 2 5 4" xfId="17969"/>
    <cellStyle name="Normal 11 6 2 6" xfId="8693"/>
    <cellStyle name="Normal 11 6 2 6 2" xfId="19816"/>
    <cellStyle name="Normal 11 6 2 7" xfId="12393"/>
    <cellStyle name="Normal 11 6 2 7 2" xfId="23510"/>
    <cellStyle name="Normal 11 6 2 8" xfId="16122"/>
    <cellStyle name="Normal 11 6 3" xfId="3340"/>
    <cellStyle name="Normal 11 6 3 2" xfId="3341"/>
    <cellStyle name="Normal 11 6 3 2 2" xfId="5654"/>
    <cellStyle name="Normal 11 6 3 2 2 2" xfId="7764"/>
    <cellStyle name="Normal 11 6 3 2 2 2 2" xfId="11465"/>
    <cellStyle name="Normal 11 6 3 2 2 2 2 2" xfId="22587"/>
    <cellStyle name="Normal 11 6 3 2 2 2 3" xfId="15164"/>
    <cellStyle name="Normal 11 6 3 2 2 2 3 2" xfId="26281"/>
    <cellStyle name="Normal 11 6 3 2 2 2 4" xfId="18893"/>
    <cellStyle name="Normal 11 6 3 2 2 3" xfId="9618"/>
    <cellStyle name="Normal 11 6 3 2 2 3 2" xfId="20740"/>
    <cellStyle name="Normal 11 6 3 2 2 4" xfId="13317"/>
    <cellStyle name="Normal 11 6 3 2 2 4 2" xfId="24434"/>
    <cellStyle name="Normal 11 6 3 2 2 5" xfId="17046"/>
    <cellStyle name="Normal 11 6 3 2 3" xfId="6844"/>
    <cellStyle name="Normal 11 6 3 2 3 2" xfId="10546"/>
    <cellStyle name="Normal 11 6 3 2 3 2 2" xfId="21668"/>
    <cellStyle name="Normal 11 6 3 2 3 3" xfId="14245"/>
    <cellStyle name="Normal 11 6 3 2 3 3 2" xfId="25362"/>
    <cellStyle name="Normal 11 6 3 2 3 4" xfId="17974"/>
    <cellStyle name="Normal 11 6 3 2 4" xfId="8698"/>
    <cellStyle name="Normal 11 6 3 2 4 2" xfId="19821"/>
    <cellStyle name="Normal 11 6 3 2 5" xfId="12398"/>
    <cellStyle name="Normal 11 6 3 2 5 2" xfId="23515"/>
    <cellStyle name="Normal 11 6 3 2 6" xfId="16127"/>
    <cellStyle name="Normal 11 6 3 3" xfId="5653"/>
    <cellStyle name="Normal 11 6 3 3 2" xfId="7763"/>
    <cellStyle name="Normal 11 6 3 3 2 2" xfId="11464"/>
    <cellStyle name="Normal 11 6 3 3 2 2 2" xfId="22586"/>
    <cellStyle name="Normal 11 6 3 3 2 3" xfId="15163"/>
    <cellStyle name="Normal 11 6 3 3 2 3 2" xfId="26280"/>
    <cellStyle name="Normal 11 6 3 3 2 4" xfId="18892"/>
    <cellStyle name="Normal 11 6 3 3 3" xfId="9617"/>
    <cellStyle name="Normal 11 6 3 3 3 2" xfId="20739"/>
    <cellStyle name="Normal 11 6 3 3 4" xfId="13316"/>
    <cellStyle name="Normal 11 6 3 3 4 2" xfId="24433"/>
    <cellStyle name="Normal 11 6 3 3 5" xfId="17045"/>
    <cellStyle name="Normal 11 6 3 4" xfId="6843"/>
    <cellStyle name="Normal 11 6 3 4 2" xfId="10545"/>
    <cellStyle name="Normal 11 6 3 4 2 2" xfId="21667"/>
    <cellStyle name="Normal 11 6 3 4 3" xfId="14244"/>
    <cellStyle name="Normal 11 6 3 4 3 2" xfId="25361"/>
    <cellStyle name="Normal 11 6 3 4 4" xfId="17973"/>
    <cellStyle name="Normal 11 6 3 5" xfId="8697"/>
    <cellStyle name="Normal 11 6 3 5 2" xfId="19820"/>
    <cellStyle name="Normal 11 6 3 6" xfId="12397"/>
    <cellStyle name="Normal 11 6 3 6 2" xfId="23514"/>
    <cellStyle name="Normal 11 6 3 7" xfId="16126"/>
    <cellStyle name="Normal 11 6 4" xfId="3342"/>
    <cellStyle name="Normal 11 6 4 2" xfId="5655"/>
    <cellStyle name="Normal 11 6 4 2 2" xfId="7765"/>
    <cellStyle name="Normal 11 6 4 2 2 2" xfId="11466"/>
    <cellStyle name="Normal 11 6 4 2 2 2 2" xfId="22588"/>
    <cellStyle name="Normal 11 6 4 2 2 3" xfId="15165"/>
    <cellStyle name="Normal 11 6 4 2 2 3 2" xfId="26282"/>
    <cellStyle name="Normal 11 6 4 2 2 4" xfId="18894"/>
    <cellStyle name="Normal 11 6 4 2 3" xfId="9619"/>
    <cellStyle name="Normal 11 6 4 2 3 2" xfId="20741"/>
    <cellStyle name="Normal 11 6 4 2 4" xfId="13318"/>
    <cellStyle name="Normal 11 6 4 2 4 2" xfId="24435"/>
    <cellStyle name="Normal 11 6 4 2 5" xfId="17047"/>
    <cellStyle name="Normal 11 6 4 3" xfId="6845"/>
    <cellStyle name="Normal 11 6 4 3 2" xfId="10547"/>
    <cellStyle name="Normal 11 6 4 3 2 2" xfId="21669"/>
    <cellStyle name="Normal 11 6 4 3 3" xfId="14246"/>
    <cellStyle name="Normal 11 6 4 3 3 2" xfId="25363"/>
    <cellStyle name="Normal 11 6 4 3 4" xfId="17975"/>
    <cellStyle name="Normal 11 6 4 4" xfId="8699"/>
    <cellStyle name="Normal 11 6 4 4 2" xfId="19822"/>
    <cellStyle name="Normal 11 6 4 5" xfId="12399"/>
    <cellStyle name="Normal 11 6 4 5 2" xfId="23516"/>
    <cellStyle name="Normal 11 6 4 6" xfId="16128"/>
    <cellStyle name="Normal 11 6 5" xfId="5648"/>
    <cellStyle name="Normal 11 6 5 2" xfId="7758"/>
    <cellStyle name="Normal 11 6 5 2 2" xfId="11459"/>
    <cellStyle name="Normal 11 6 5 2 2 2" xfId="22581"/>
    <cellStyle name="Normal 11 6 5 2 3" xfId="15158"/>
    <cellStyle name="Normal 11 6 5 2 3 2" xfId="26275"/>
    <cellStyle name="Normal 11 6 5 2 4" xfId="18887"/>
    <cellStyle name="Normal 11 6 5 3" xfId="9612"/>
    <cellStyle name="Normal 11 6 5 3 2" xfId="20734"/>
    <cellStyle name="Normal 11 6 5 4" xfId="13311"/>
    <cellStyle name="Normal 11 6 5 4 2" xfId="24428"/>
    <cellStyle name="Normal 11 6 5 5" xfId="17040"/>
    <cellStyle name="Normal 11 6 6" xfId="6838"/>
    <cellStyle name="Normal 11 6 6 2" xfId="10540"/>
    <cellStyle name="Normal 11 6 6 2 2" xfId="21662"/>
    <cellStyle name="Normal 11 6 6 3" xfId="14239"/>
    <cellStyle name="Normal 11 6 6 3 2" xfId="25356"/>
    <cellStyle name="Normal 11 6 6 4" xfId="17968"/>
    <cellStyle name="Normal 11 6 7" xfId="8692"/>
    <cellStyle name="Normal 11 6 7 2" xfId="19815"/>
    <cellStyle name="Normal 11 6 8" xfId="12392"/>
    <cellStyle name="Normal 11 6 8 2" xfId="23509"/>
    <cellStyle name="Normal 11 6 9" xfId="16121"/>
    <cellStyle name="Normal 11 7" xfId="3343"/>
    <cellStyle name="Normal 11 7 2" xfId="3344"/>
    <cellStyle name="Normal 11 7 3" xfId="3345"/>
    <cellStyle name="Normal 11 7 3 2" xfId="5657"/>
    <cellStyle name="Normal 11 7 3 2 2" xfId="7767"/>
    <cellStyle name="Normal 11 7 3 2 2 2" xfId="11468"/>
    <cellStyle name="Normal 11 7 3 2 2 2 2" xfId="22590"/>
    <cellStyle name="Normal 11 7 3 2 2 3" xfId="15167"/>
    <cellStyle name="Normal 11 7 3 2 2 3 2" xfId="26284"/>
    <cellStyle name="Normal 11 7 3 2 2 4" xfId="18896"/>
    <cellStyle name="Normal 11 7 3 2 3" xfId="9621"/>
    <cellStyle name="Normal 11 7 3 2 3 2" xfId="20743"/>
    <cellStyle name="Normal 11 7 3 2 4" xfId="13320"/>
    <cellStyle name="Normal 11 7 3 2 4 2" xfId="24437"/>
    <cellStyle name="Normal 11 7 3 2 5" xfId="17049"/>
    <cellStyle name="Normal 11 7 3 3" xfId="6847"/>
    <cellStyle name="Normal 11 7 3 3 2" xfId="10549"/>
    <cellStyle name="Normal 11 7 3 3 2 2" xfId="21671"/>
    <cellStyle name="Normal 11 7 3 3 3" xfId="14248"/>
    <cellStyle name="Normal 11 7 3 3 3 2" xfId="25365"/>
    <cellStyle name="Normal 11 7 3 3 4" xfId="17977"/>
    <cellStyle name="Normal 11 7 3 4" xfId="8701"/>
    <cellStyle name="Normal 11 7 3 4 2" xfId="19824"/>
    <cellStyle name="Normal 11 7 3 5" xfId="12401"/>
    <cellStyle name="Normal 11 7 3 5 2" xfId="23518"/>
    <cellStyle name="Normal 11 7 3 6" xfId="16130"/>
    <cellStyle name="Normal 11 7 4" xfId="5656"/>
    <cellStyle name="Normal 11 7 4 2" xfId="7766"/>
    <cellStyle name="Normal 11 7 4 2 2" xfId="11467"/>
    <cellStyle name="Normal 11 7 4 2 2 2" xfId="22589"/>
    <cellStyle name="Normal 11 7 4 2 3" xfId="15166"/>
    <cellStyle name="Normal 11 7 4 2 3 2" xfId="26283"/>
    <cellStyle name="Normal 11 7 4 2 4" xfId="18895"/>
    <cellStyle name="Normal 11 7 4 3" xfId="9620"/>
    <cellStyle name="Normal 11 7 4 3 2" xfId="20742"/>
    <cellStyle name="Normal 11 7 4 4" xfId="13319"/>
    <cellStyle name="Normal 11 7 4 4 2" xfId="24436"/>
    <cellStyle name="Normal 11 7 4 5" xfId="17048"/>
    <cellStyle name="Normal 11 7 5" xfId="6846"/>
    <cellStyle name="Normal 11 7 5 2" xfId="10548"/>
    <cellStyle name="Normal 11 7 5 2 2" xfId="21670"/>
    <cellStyle name="Normal 11 7 5 3" xfId="14247"/>
    <cellStyle name="Normal 11 7 5 3 2" xfId="25364"/>
    <cellStyle name="Normal 11 7 5 4" xfId="17976"/>
    <cellStyle name="Normal 11 7 6" xfId="8700"/>
    <cellStyle name="Normal 11 7 6 2" xfId="19823"/>
    <cellStyle name="Normal 11 7 7" xfId="12400"/>
    <cellStyle name="Normal 11 7 7 2" xfId="23517"/>
    <cellStyle name="Normal 11 7 8" xfId="16129"/>
    <cellStyle name="Normal 11 8" xfId="3346"/>
    <cellStyle name="Normal 110" xfId="1552"/>
    <cellStyle name="Normal 110 2" xfId="1676"/>
    <cellStyle name="Normal 110 2 2" xfId="2097"/>
    <cellStyle name="Normal 110 2 2 2" xfId="5217"/>
    <cellStyle name="Normal 110 2 2 2 2" xfId="7568"/>
    <cellStyle name="Normal 110 2 2 2 2 2" xfId="11269"/>
    <cellStyle name="Normal 110 2 2 2 2 2 2" xfId="22391"/>
    <cellStyle name="Normal 110 2 2 2 2 3" xfId="14968"/>
    <cellStyle name="Normal 110 2 2 2 2 3 2" xfId="26085"/>
    <cellStyle name="Normal 110 2 2 2 2 4" xfId="18697"/>
    <cellStyle name="Normal 110 2 2 2 3" xfId="9422"/>
    <cellStyle name="Normal 110 2 2 2 3 2" xfId="20544"/>
    <cellStyle name="Normal 110 2 2 2 4" xfId="13121"/>
    <cellStyle name="Normal 110 2 2 2 4 2" xfId="24238"/>
    <cellStyle name="Normal 110 2 2 2 5" xfId="16850"/>
    <cellStyle name="Normal 110 2 2 3" xfId="6649"/>
    <cellStyle name="Normal 110 2 2 3 2" xfId="10351"/>
    <cellStyle name="Normal 110 2 2 3 2 2" xfId="21473"/>
    <cellStyle name="Normal 110 2 2 3 3" xfId="14050"/>
    <cellStyle name="Normal 110 2 2 3 3 2" xfId="25167"/>
    <cellStyle name="Normal 110 2 2 3 4" xfId="17779"/>
    <cellStyle name="Normal 110 2 2 4" xfId="8503"/>
    <cellStyle name="Normal 110 2 2 4 2" xfId="19626"/>
    <cellStyle name="Normal 110 2 2 5" xfId="12203"/>
    <cellStyle name="Normal 110 2 2 5 2" xfId="23320"/>
    <cellStyle name="Normal 110 2 2 6" xfId="15932"/>
    <cellStyle name="Normal 110 2 3" xfId="1887"/>
    <cellStyle name="Normal 110 2 3 2" xfId="5084"/>
    <cellStyle name="Normal 110 2 3 2 2" xfId="7435"/>
    <cellStyle name="Normal 110 2 3 2 2 2" xfId="11136"/>
    <cellStyle name="Normal 110 2 3 2 2 2 2" xfId="22258"/>
    <cellStyle name="Normal 110 2 3 2 2 3" xfId="14835"/>
    <cellStyle name="Normal 110 2 3 2 2 3 2" xfId="25952"/>
    <cellStyle name="Normal 110 2 3 2 2 4" xfId="18564"/>
    <cellStyle name="Normal 110 2 3 2 3" xfId="9289"/>
    <cellStyle name="Normal 110 2 3 2 3 2" xfId="20411"/>
    <cellStyle name="Normal 110 2 3 2 4" xfId="12988"/>
    <cellStyle name="Normal 110 2 3 2 4 2" xfId="24105"/>
    <cellStyle name="Normal 110 2 3 2 5" xfId="16717"/>
    <cellStyle name="Normal 110 2 3 3" xfId="6516"/>
    <cellStyle name="Normal 110 2 3 3 2" xfId="10218"/>
    <cellStyle name="Normal 110 2 3 3 2 2" xfId="21340"/>
    <cellStyle name="Normal 110 2 3 3 3" xfId="13917"/>
    <cellStyle name="Normal 110 2 3 3 3 2" xfId="25034"/>
    <cellStyle name="Normal 110 2 3 3 4" xfId="17646"/>
    <cellStyle name="Normal 110 2 3 4" xfId="8370"/>
    <cellStyle name="Normal 110 2 3 4 2" xfId="19493"/>
    <cellStyle name="Normal 110 2 3 5" xfId="12070"/>
    <cellStyle name="Normal 110 2 3 5 2" xfId="23187"/>
    <cellStyle name="Normal 110 2 3 6" xfId="15799"/>
    <cellStyle name="Normal 110 2 4" xfId="4876"/>
    <cellStyle name="Normal 110 2 4 2" xfId="7227"/>
    <cellStyle name="Normal 110 2 4 2 2" xfId="10928"/>
    <cellStyle name="Normal 110 2 4 2 2 2" xfId="22050"/>
    <cellStyle name="Normal 110 2 4 2 3" xfId="14627"/>
    <cellStyle name="Normal 110 2 4 2 3 2" xfId="25744"/>
    <cellStyle name="Normal 110 2 4 2 4" xfId="18356"/>
    <cellStyle name="Normal 110 2 4 3" xfId="9081"/>
    <cellStyle name="Normal 110 2 4 3 2" xfId="20203"/>
    <cellStyle name="Normal 110 2 4 4" xfId="12780"/>
    <cellStyle name="Normal 110 2 4 4 2" xfId="23897"/>
    <cellStyle name="Normal 110 2 4 5" xfId="16509"/>
    <cellStyle name="Normal 110 2 5" xfId="6308"/>
    <cellStyle name="Normal 110 2 5 2" xfId="10010"/>
    <cellStyle name="Normal 110 2 5 2 2" xfId="21132"/>
    <cellStyle name="Normal 110 2 5 3" xfId="13709"/>
    <cellStyle name="Normal 110 2 5 3 2" xfId="24826"/>
    <cellStyle name="Normal 110 2 5 4" xfId="17438"/>
    <cellStyle name="Normal 110 2 6" xfId="8162"/>
    <cellStyle name="Normal 110 2 6 2" xfId="19285"/>
    <cellStyle name="Normal 110 2 7" xfId="11862"/>
    <cellStyle name="Normal 110 2 7 2" xfId="22979"/>
    <cellStyle name="Normal 110 2 8" xfId="15591"/>
    <cellStyle name="Normal 110 3" xfId="3347"/>
    <cellStyle name="Normal 111" xfId="1554"/>
    <cellStyle name="Normal 111 2" xfId="3348"/>
    <cellStyle name="Normal 112" xfId="1601"/>
    <cellStyle name="Normal 112 2" xfId="3349"/>
    <cellStyle name="Normal 113" xfId="1606"/>
    <cellStyle name="Normal 113 2" xfId="3350"/>
    <cellStyle name="Normal 114" xfId="1613"/>
    <cellStyle name="Normal 114 2" xfId="3351"/>
    <cellStyle name="Normal 115" xfId="1612"/>
    <cellStyle name="Normal 115 2" xfId="3352"/>
    <cellStyle name="Normal 116" xfId="1553"/>
    <cellStyle name="Normal 116 2" xfId="3353"/>
    <cellStyle name="Normal 117" xfId="1614"/>
    <cellStyle name="Normal 117 2" xfId="3354"/>
    <cellStyle name="Normal 118" xfId="1616"/>
    <cellStyle name="Normal 118 2" xfId="3355"/>
    <cellStyle name="Normal 119" xfId="1668"/>
    <cellStyle name="Normal 119 2" xfId="3356"/>
    <cellStyle name="Normal 12" xfId="385"/>
    <cellStyle name="Normal 12 2" xfId="386"/>
    <cellStyle name="Normal 12 2 2" xfId="1119"/>
    <cellStyle name="Normal 12 2 2 2" xfId="1169"/>
    <cellStyle name="Normal 12 2 3" xfId="3357"/>
    <cellStyle name="Normal 12 3" xfId="1118"/>
    <cellStyle name="Normal 12 3 2" xfId="916"/>
    <cellStyle name="Normal 12 3 3" xfId="3358"/>
    <cellStyle name="Normal 12 4" xfId="1176"/>
    <cellStyle name="Normal 12 4 2" xfId="3359"/>
    <cellStyle name="Normal 12 5" xfId="3360"/>
    <cellStyle name="Normal 12 5 2" xfId="3361"/>
    <cellStyle name="Normal 12 5 3" xfId="4683"/>
    <cellStyle name="Normal 12 5 3 2" xfId="5901"/>
    <cellStyle name="Normal 12 5 3 2 2" xfId="7981"/>
    <cellStyle name="Normal 12 5 3 2 2 2" xfId="11682"/>
    <cellStyle name="Normal 12 5 3 2 2 2 2" xfId="22804"/>
    <cellStyle name="Normal 12 5 3 2 2 3" xfId="15381"/>
    <cellStyle name="Normal 12 5 3 2 2 3 2" xfId="26498"/>
    <cellStyle name="Normal 12 5 3 2 2 4" xfId="19110"/>
    <cellStyle name="Normal 12 5 3 2 3" xfId="9835"/>
    <cellStyle name="Normal 12 5 3 2 3 2" xfId="20957"/>
    <cellStyle name="Normal 12 5 3 2 4" xfId="13534"/>
    <cellStyle name="Normal 12 5 3 2 4 2" xfId="24651"/>
    <cellStyle name="Normal 12 5 3 2 5" xfId="17263"/>
    <cellStyle name="Normal 12 5 3 3" xfId="7062"/>
    <cellStyle name="Normal 12 5 3 3 2" xfId="10763"/>
    <cellStyle name="Normal 12 5 3 3 2 2" xfId="21885"/>
    <cellStyle name="Normal 12 5 3 3 3" xfId="14462"/>
    <cellStyle name="Normal 12 5 3 3 3 2" xfId="25579"/>
    <cellStyle name="Normal 12 5 3 3 4" xfId="18191"/>
    <cellStyle name="Normal 12 5 3 4" xfId="8916"/>
    <cellStyle name="Normal 12 5 3 4 2" xfId="20038"/>
    <cellStyle name="Normal 12 5 3 5" xfId="12615"/>
    <cellStyle name="Normal 12 5 3 5 2" xfId="23732"/>
    <cellStyle name="Normal 12 5 3 6" xfId="16344"/>
    <cellStyle name="Normal 12 5 4" xfId="5658"/>
    <cellStyle name="Normal 12 5 4 2" xfId="7768"/>
    <cellStyle name="Normal 12 5 4 2 2" xfId="11469"/>
    <cellStyle name="Normal 12 5 4 2 2 2" xfId="22591"/>
    <cellStyle name="Normal 12 5 4 2 3" xfId="15168"/>
    <cellStyle name="Normal 12 5 4 2 3 2" xfId="26285"/>
    <cellStyle name="Normal 12 5 4 2 4" xfId="18897"/>
    <cellStyle name="Normal 12 5 4 3" xfId="9622"/>
    <cellStyle name="Normal 12 5 4 3 2" xfId="20744"/>
    <cellStyle name="Normal 12 5 4 4" xfId="13321"/>
    <cellStyle name="Normal 12 5 4 4 2" xfId="24438"/>
    <cellStyle name="Normal 12 5 4 5" xfId="17050"/>
    <cellStyle name="Normal 12 5 5" xfId="6848"/>
    <cellStyle name="Normal 12 5 5 2" xfId="10550"/>
    <cellStyle name="Normal 12 5 5 2 2" xfId="21672"/>
    <cellStyle name="Normal 12 5 5 3" xfId="14249"/>
    <cellStyle name="Normal 12 5 5 3 2" xfId="25366"/>
    <cellStyle name="Normal 12 5 5 4" xfId="17978"/>
    <cellStyle name="Normal 12 5 6" xfId="8702"/>
    <cellStyle name="Normal 12 5 6 2" xfId="19825"/>
    <cellStyle name="Normal 12 5 7" xfId="12402"/>
    <cellStyle name="Normal 12 5 7 2" xfId="23519"/>
    <cellStyle name="Normal 12 5 8" xfId="16131"/>
    <cellStyle name="Normal 12 6" xfId="3362"/>
    <cellStyle name="Normal 12 6 2" xfId="4682"/>
    <cellStyle name="Normal 120" xfId="1682"/>
    <cellStyle name="Normal 120 2" xfId="3363"/>
    <cellStyle name="Normal 121" xfId="1644"/>
    <cellStyle name="Normal 121 2" xfId="3364"/>
    <cellStyle name="Normal 122" xfId="2098"/>
    <cellStyle name="Normal 123" xfId="1725"/>
    <cellStyle name="Normal 124" xfId="1726"/>
    <cellStyle name="Normal 125" xfId="3365"/>
    <cellStyle name="Normal 126" xfId="3366"/>
    <cellStyle name="Normal 127" xfId="3367"/>
    <cellStyle name="Normal 128" xfId="3368"/>
    <cellStyle name="Normal 129" xfId="3369"/>
    <cellStyle name="Normal 129 2" xfId="3370"/>
    <cellStyle name="Normal 129 2 2" xfId="3371"/>
    <cellStyle name="Normal 129 2 2 2" xfId="3372"/>
    <cellStyle name="Normal 129 2 2 2 2" xfId="5662"/>
    <cellStyle name="Normal 129 2 2 2 2 2" xfId="7772"/>
    <cellStyle name="Normal 129 2 2 2 2 2 2" xfId="11473"/>
    <cellStyle name="Normal 129 2 2 2 2 2 2 2" xfId="22595"/>
    <cellStyle name="Normal 129 2 2 2 2 2 3" xfId="15172"/>
    <cellStyle name="Normal 129 2 2 2 2 2 3 2" xfId="26289"/>
    <cellStyle name="Normal 129 2 2 2 2 2 4" xfId="18901"/>
    <cellStyle name="Normal 129 2 2 2 2 3" xfId="9626"/>
    <cellStyle name="Normal 129 2 2 2 2 3 2" xfId="20748"/>
    <cellStyle name="Normal 129 2 2 2 2 4" xfId="13325"/>
    <cellStyle name="Normal 129 2 2 2 2 4 2" xfId="24442"/>
    <cellStyle name="Normal 129 2 2 2 2 5" xfId="17054"/>
    <cellStyle name="Normal 129 2 2 2 3" xfId="6852"/>
    <cellStyle name="Normal 129 2 2 2 3 2" xfId="10554"/>
    <cellStyle name="Normal 129 2 2 2 3 2 2" xfId="21676"/>
    <cellStyle name="Normal 129 2 2 2 3 3" xfId="14253"/>
    <cellStyle name="Normal 129 2 2 2 3 3 2" xfId="25370"/>
    <cellStyle name="Normal 129 2 2 2 3 4" xfId="17982"/>
    <cellStyle name="Normal 129 2 2 2 4" xfId="8706"/>
    <cellStyle name="Normal 129 2 2 2 4 2" xfId="19829"/>
    <cellStyle name="Normal 129 2 2 2 5" xfId="12406"/>
    <cellStyle name="Normal 129 2 2 2 5 2" xfId="23523"/>
    <cellStyle name="Normal 129 2 2 2 6" xfId="16135"/>
    <cellStyle name="Normal 129 2 2 3" xfId="5661"/>
    <cellStyle name="Normal 129 2 2 3 2" xfId="7771"/>
    <cellStyle name="Normal 129 2 2 3 2 2" xfId="11472"/>
    <cellStyle name="Normal 129 2 2 3 2 2 2" xfId="22594"/>
    <cellStyle name="Normal 129 2 2 3 2 3" xfId="15171"/>
    <cellStyle name="Normal 129 2 2 3 2 3 2" xfId="26288"/>
    <cellStyle name="Normal 129 2 2 3 2 4" xfId="18900"/>
    <cellStyle name="Normal 129 2 2 3 3" xfId="9625"/>
    <cellStyle name="Normal 129 2 2 3 3 2" xfId="20747"/>
    <cellStyle name="Normal 129 2 2 3 4" xfId="13324"/>
    <cellStyle name="Normal 129 2 2 3 4 2" xfId="24441"/>
    <cellStyle name="Normal 129 2 2 3 5" xfId="17053"/>
    <cellStyle name="Normal 129 2 2 4" xfId="6851"/>
    <cellStyle name="Normal 129 2 2 4 2" xfId="10553"/>
    <cellStyle name="Normal 129 2 2 4 2 2" xfId="21675"/>
    <cellStyle name="Normal 129 2 2 4 3" xfId="14252"/>
    <cellStyle name="Normal 129 2 2 4 3 2" xfId="25369"/>
    <cellStyle name="Normal 129 2 2 4 4" xfId="17981"/>
    <cellStyle name="Normal 129 2 2 5" xfId="8705"/>
    <cellStyle name="Normal 129 2 2 5 2" xfId="19828"/>
    <cellStyle name="Normal 129 2 2 6" xfId="12405"/>
    <cellStyle name="Normal 129 2 2 6 2" xfId="23522"/>
    <cellStyle name="Normal 129 2 2 7" xfId="16134"/>
    <cellStyle name="Normal 129 2 3" xfId="3373"/>
    <cellStyle name="Normal 129 2 3 2" xfId="5663"/>
    <cellStyle name="Normal 129 2 3 2 2" xfId="7773"/>
    <cellStyle name="Normal 129 2 3 2 2 2" xfId="11474"/>
    <cellStyle name="Normal 129 2 3 2 2 2 2" xfId="22596"/>
    <cellStyle name="Normal 129 2 3 2 2 3" xfId="15173"/>
    <cellStyle name="Normal 129 2 3 2 2 3 2" xfId="26290"/>
    <cellStyle name="Normal 129 2 3 2 2 4" xfId="18902"/>
    <cellStyle name="Normal 129 2 3 2 3" xfId="9627"/>
    <cellStyle name="Normal 129 2 3 2 3 2" xfId="20749"/>
    <cellStyle name="Normal 129 2 3 2 4" xfId="13326"/>
    <cellStyle name="Normal 129 2 3 2 4 2" xfId="24443"/>
    <cellStyle name="Normal 129 2 3 2 5" xfId="17055"/>
    <cellStyle name="Normal 129 2 3 3" xfId="6853"/>
    <cellStyle name="Normal 129 2 3 3 2" xfId="10555"/>
    <cellStyle name="Normal 129 2 3 3 2 2" xfId="21677"/>
    <cellStyle name="Normal 129 2 3 3 3" xfId="14254"/>
    <cellStyle name="Normal 129 2 3 3 3 2" xfId="25371"/>
    <cellStyle name="Normal 129 2 3 3 4" xfId="17983"/>
    <cellStyle name="Normal 129 2 3 4" xfId="8707"/>
    <cellStyle name="Normal 129 2 3 4 2" xfId="19830"/>
    <cellStyle name="Normal 129 2 3 5" xfId="12407"/>
    <cellStyle name="Normal 129 2 3 5 2" xfId="23524"/>
    <cellStyle name="Normal 129 2 3 6" xfId="16136"/>
    <cellStyle name="Normal 129 2 4" xfId="5660"/>
    <cellStyle name="Normal 129 2 4 2" xfId="7770"/>
    <cellStyle name="Normal 129 2 4 2 2" xfId="11471"/>
    <cellStyle name="Normal 129 2 4 2 2 2" xfId="22593"/>
    <cellStyle name="Normal 129 2 4 2 3" xfId="15170"/>
    <cellStyle name="Normal 129 2 4 2 3 2" xfId="26287"/>
    <cellStyle name="Normal 129 2 4 2 4" xfId="18899"/>
    <cellStyle name="Normal 129 2 4 3" xfId="9624"/>
    <cellStyle name="Normal 129 2 4 3 2" xfId="20746"/>
    <cellStyle name="Normal 129 2 4 4" xfId="13323"/>
    <cellStyle name="Normal 129 2 4 4 2" xfId="24440"/>
    <cellStyle name="Normal 129 2 4 5" xfId="17052"/>
    <cellStyle name="Normal 129 2 5" xfId="6850"/>
    <cellStyle name="Normal 129 2 5 2" xfId="10552"/>
    <cellStyle name="Normal 129 2 5 2 2" xfId="21674"/>
    <cellStyle name="Normal 129 2 5 3" xfId="14251"/>
    <cellStyle name="Normal 129 2 5 3 2" xfId="25368"/>
    <cellStyle name="Normal 129 2 5 4" xfId="17980"/>
    <cellStyle name="Normal 129 2 6" xfId="8704"/>
    <cellStyle name="Normal 129 2 6 2" xfId="19827"/>
    <cellStyle name="Normal 129 2 7" xfId="12404"/>
    <cellStyle name="Normal 129 2 7 2" xfId="23521"/>
    <cellStyle name="Normal 129 2 8" xfId="16133"/>
    <cellStyle name="Normal 129 3" xfId="3374"/>
    <cellStyle name="Normal 129 3 2" xfId="3375"/>
    <cellStyle name="Normal 129 3 2 2" xfId="5665"/>
    <cellStyle name="Normal 129 3 2 2 2" xfId="7775"/>
    <cellStyle name="Normal 129 3 2 2 2 2" xfId="11476"/>
    <cellStyle name="Normal 129 3 2 2 2 2 2" xfId="22598"/>
    <cellStyle name="Normal 129 3 2 2 2 3" xfId="15175"/>
    <cellStyle name="Normal 129 3 2 2 2 3 2" xfId="26292"/>
    <cellStyle name="Normal 129 3 2 2 2 4" xfId="18904"/>
    <cellStyle name="Normal 129 3 2 2 3" xfId="9629"/>
    <cellStyle name="Normal 129 3 2 2 3 2" xfId="20751"/>
    <cellStyle name="Normal 129 3 2 2 4" xfId="13328"/>
    <cellStyle name="Normal 129 3 2 2 4 2" xfId="24445"/>
    <cellStyle name="Normal 129 3 2 2 5" xfId="17057"/>
    <cellStyle name="Normal 129 3 2 3" xfId="6855"/>
    <cellStyle name="Normal 129 3 2 3 2" xfId="10557"/>
    <cellStyle name="Normal 129 3 2 3 2 2" xfId="21679"/>
    <cellStyle name="Normal 129 3 2 3 3" xfId="14256"/>
    <cellStyle name="Normal 129 3 2 3 3 2" xfId="25373"/>
    <cellStyle name="Normal 129 3 2 3 4" xfId="17985"/>
    <cellStyle name="Normal 129 3 2 4" xfId="8709"/>
    <cellStyle name="Normal 129 3 2 4 2" xfId="19832"/>
    <cellStyle name="Normal 129 3 2 5" xfId="12409"/>
    <cellStyle name="Normal 129 3 2 5 2" xfId="23526"/>
    <cellStyle name="Normal 129 3 2 6" xfId="16138"/>
    <cellStyle name="Normal 129 3 3" xfId="5664"/>
    <cellStyle name="Normal 129 3 3 2" xfId="7774"/>
    <cellStyle name="Normal 129 3 3 2 2" xfId="11475"/>
    <cellStyle name="Normal 129 3 3 2 2 2" xfId="22597"/>
    <cellStyle name="Normal 129 3 3 2 3" xfId="15174"/>
    <cellStyle name="Normal 129 3 3 2 3 2" xfId="26291"/>
    <cellStyle name="Normal 129 3 3 2 4" xfId="18903"/>
    <cellStyle name="Normal 129 3 3 3" xfId="9628"/>
    <cellStyle name="Normal 129 3 3 3 2" xfId="20750"/>
    <cellStyle name="Normal 129 3 3 4" xfId="13327"/>
    <cellStyle name="Normal 129 3 3 4 2" xfId="24444"/>
    <cellStyle name="Normal 129 3 3 5" xfId="17056"/>
    <cellStyle name="Normal 129 3 4" xfId="6854"/>
    <cellStyle name="Normal 129 3 4 2" xfId="10556"/>
    <cellStyle name="Normal 129 3 4 2 2" xfId="21678"/>
    <cellStyle name="Normal 129 3 4 3" xfId="14255"/>
    <cellStyle name="Normal 129 3 4 3 2" xfId="25372"/>
    <cellStyle name="Normal 129 3 4 4" xfId="17984"/>
    <cellStyle name="Normal 129 3 5" xfId="8708"/>
    <cellStyle name="Normal 129 3 5 2" xfId="19831"/>
    <cellStyle name="Normal 129 3 6" xfId="12408"/>
    <cellStyle name="Normal 129 3 6 2" xfId="23525"/>
    <cellStyle name="Normal 129 3 7" xfId="16137"/>
    <cellStyle name="Normal 129 4" xfId="3376"/>
    <cellStyle name="Normal 129 4 2" xfId="5666"/>
    <cellStyle name="Normal 129 4 2 2" xfId="7776"/>
    <cellStyle name="Normal 129 4 2 2 2" xfId="11477"/>
    <cellStyle name="Normal 129 4 2 2 2 2" xfId="22599"/>
    <cellStyle name="Normal 129 4 2 2 3" xfId="15176"/>
    <cellStyle name="Normal 129 4 2 2 3 2" xfId="26293"/>
    <cellStyle name="Normal 129 4 2 2 4" xfId="18905"/>
    <cellStyle name="Normal 129 4 2 3" xfId="9630"/>
    <cellStyle name="Normal 129 4 2 3 2" xfId="20752"/>
    <cellStyle name="Normal 129 4 2 4" xfId="13329"/>
    <cellStyle name="Normal 129 4 2 4 2" xfId="24446"/>
    <cellStyle name="Normal 129 4 2 5" xfId="17058"/>
    <cellStyle name="Normal 129 4 3" xfId="6856"/>
    <cellStyle name="Normal 129 4 3 2" xfId="10558"/>
    <cellStyle name="Normal 129 4 3 2 2" xfId="21680"/>
    <cellStyle name="Normal 129 4 3 3" xfId="14257"/>
    <cellStyle name="Normal 129 4 3 3 2" xfId="25374"/>
    <cellStyle name="Normal 129 4 3 4" xfId="17986"/>
    <cellStyle name="Normal 129 4 4" xfId="8710"/>
    <cellStyle name="Normal 129 4 4 2" xfId="19833"/>
    <cellStyle name="Normal 129 4 5" xfId="12410"/>
    <cellStyle name="Normal 129 4 5 2" xfId="23527"/>
    <cellStyle name="Normal 129 4 6" xfId="16139"/>
    <cellStyle name="Normal 129 5" xfId="5659"/>
    <cellStyle name="Normal 129 5 2" xfId="7769"/>
    <cellStyle name="Normal 129 5 2 2" xfId="11470"/>
    <cellStyle name="Normal 129 5 2 2 2" xfId="22592"/>
    <cellStyle name="Normal 129 5 2 3" xfId="15169"/>
    <cellStyle name="Normal 129 5 2 3 2" xfId="26286"/>
    <cellStyle name="Normal 129 5 2 4" xfId="18898"/>
    <cellStyle name="Normal 129 5 3" xfId="9623"/>
    <cellStyle name="Normal 129 5 3 2" xfId="20745"/>
    <cellStyle name="Normal 129 5 4" xfId="13322"/>
    <cellStyle name="Normal 129 5 4 2" xfId="24439"/>
    <cellStyle name="Normal 129 5 5" xfId="17051"/>
    <cellStyle name="Normal 129 6" xfId="6849"/>
    <cellStyle name="Normal 129 6 2" xfId="10551"/>
    <cellStyle name="Normal 129 6 2 2" xfId="21673"/>
    <cellStyle name="Normal 129 6 3" xfId="14250"/>
    <cellStyle name="Normal 129 6 3 2" xfId="25367"/>
    <cellStyle name="Normal 129 6 4" xfId="17979"/>
    <cellStyle name="Normal 129 7" xfId="8703"/>
    <cellStyle name="Normal 129 7 2" xfId="19826"/>
    <cellStyle name="Normal 129 8" xfId="12403"/>
    <cellStyle name="Normal 129 8 2" xfId="23520"/>
    <cellStyle name="Normal 129 9" xfId="16132"/>
    <cellStyle name="Normal 13" xfId="387"/>
    <cellStyle name="Normal 13 2" xfId="388"/>
    <cellStyle name="Normal 13 2 2" xfId="918"/>
    <cellStyle name="Normal 13 2 2 2" xfId="3377"/>
    <cellStyle name="Normal 13 2 3" xfId="917"/>
    <cellStyle name="Normal 13 2 3 2" xfId="3378"/>
    <cellStyle name="Normal 13 2 4" xfId="3379"/>
    <cellStyle name="Normal 13 3" xfId="1120"/>
    <cellStyle name="Normal 13 3 2" xfId="919"/>
    <cellStyle name="Normal 13 3 3" xfId="3380"/>
    <cellStyle name="Normal 13 4" xfId="3381"/>
    <cellStyle name="Normal 13 4 2" xfId="3382"/>
    <cellStyle name="Normal 13 4 3" xfId="3383"/>
    <cellStyle name="Normal 13 4 4" xfId="4685"/>
    <cellStyle name="Normal 13 4 4 2" xfId="5902"/>
    <cellStyle name="Normal 13 4 4 2 2" xfId="7982"/>
    <cellStyle name="Normal 13 4 4 2 2 2" xfId="11683"/>
    <cellStyle name="Normal 13 4 4 2 2 2 2" xfId="22805"/>
    <cellStyle name="Normal 13 4 4 2 2 3" xfId="15382"/>
    <cellStyle name="Normal 13 4 4 2 2 3 2" xfId="26499"/>
    <cellStyle name="Normal 13 4 4 2 2 4" xfId="19111"/>
    <cellStyle name="Normal 13 4 4 2 3" xfId="9836"/>
    <cellStyle name="Normal 13 4 4 2 3 2" xfId="20958"/>
    <cellStyle name="Normal 13 4 4 2 4" xfId="13535"/>
    <cellStyle name="Normal 13 4 4 2 4 2" xfId="24652"/>
    <cellStyle name="Normal 13 4 4 2 5" xfId="17264"/>
    <cellStyle name="Normal 13 4 4 3" xfId="7063"/>
    <cellStyle name="Normal 13 4 4 3 2" xfId="10764"/>
    <cellStyle name="Normal 13 4 4 3 2 2" xfId="21886"/>
    <cellStyle name="Normal 13 4 4 3 3" xfId="14463"/>
    <cellStyle name="Normal 13 4 4 3 3 2" xfId="25580"/>
    <cellStyle name="Normal 13 4 4 3 4" xfId="18192"/>
    <cellStyle name="Normal 13 4 4 4" xfId="8917"/>
    <cellStyle name="Normal 13 4 4 4 2" xfId="20039"/>
    <cellStyle name="Normal 13 4 4 5" xfId="12616"/>
    <cellStyle name="Normal 13 4 4 5 2" xfId="23733"/>
    <cellStyle name="Normal 13 4 4 6" xfId="16345"/>
    <cellStyle name="Normal 13 4 5" xfId="5667"/>
    <cellStyle name="Normal 13 4 5 2" xfId="7777"/>
    <cellStyle name="Normal 13 4 5 2 2" xfId="11478"/>
    <cellStyle name="Normal 13 4 5 2 2 2" xfId="22600"/>
    <cellStyle name="Normal 13 4 5 2 3" xfId="15177"/>
    <cellStyle name="Normal 13 4 5 2 3 2" xfId="26294"/>
    <cellStyle name="Normal 13 4 5 2 4" xfId="18906"/>
    <cellStyle name="Normal 13 4 5 3" xfId="9631"/>
    <cellStyle name="Normal 13 4 5 3 2" xfId="20753"/>
    <cellStyle name="Normal 13 4 5 4" xfId="13330"/>
    <cellStyle name="Normal 13 4 5 4 2" xfId="24447"/>
    <cellStyle name="Normal 13 4 5 5" xfId="17059"/>
    <cellStyle name="Normal 13 4 6" xfId="6857"/>
    <cellStyle name="Normal 13 4 6 2" xfId="10559"/>
    <cellStyle name="Normal 13 4 6 2 2" xfId="21681"/>
    <cellStyle name="Normal 13 4 6 3" xfId="14258"/>
    <cellStyle name="Normal 13 4 6 3 2" xfId="25375"/>
    <cellStyle name="Normal 13 4 6 4" xfId="17987"/>
    <cellStyle name="Normal 13 4 7" xfId="8711"/>
    <cellStyle name="Normal 13 4 7 2" xfId="19834"/>
    <cellStyle name="Normal 13 4 8" xfId="12411"/>
    <cellStyle name="Normal 13 4 8 2" xfId="23528"/>
    <cellStyle name="Normal 13 4 9" xfId="16140"/>
    <cellStyle name="Normal 13 5" xfId="3384"/>
    <cellStyle name="Normal 13 5 2" xfId="4684"/>
    <cellStyle name="Normal 130" xfId="3385"/>
    <cellStyle name="Normal 130 2" xfId="3386"/>
    <cellStyle name="Normal 130 2 2" xfId="3387"/>
    <cellStyle name="Normal 130 2 2 2" xfId="3388"/>
    <cellStyle name="Normal 130 2 2 2 2" xfId="5671"/>
    <cellStyle name="Normal 130 2 2 2 2 2" xfId="7781"/>
    <cellStyle name="Normal 130 2 2 2 2 2 2" xfId="11482"/>
    <cellStyle name="Normal 130 2 2 2 2 2 2 2" xfId="22604"/>
    <cellStyle name="Normal 130 2 2 2 2 2 3" xfId="15181"/>
    <cellStyle name="Normal 130 2 2 2 2 2 3 2" xfId="26298"/>
    <cellStyle name="Normal 130 2 2 2 2 2 4" xfId="18910"/>
    <cellStyle name="Normal 130 2 2 2 2 3" xfId="9635"/>
    <cellStyle name="Normal 130 2 2 2 2 3 2" xfId="20757"/>
    <cellStyle name="Normal 130 2 2 2 2 4" xfId="13334"/>
    <cellStyle name="Normal 130 2 2 2 2 4 2" xfId="24451"/>
    <cellStyle name="Normal 130 2 2 2 2 5" xfId="17063"/>
    <cellStyle name="Normal 130 2 2 2 3" xfId="6861"/>
    <cellStyle name="Normal 130 2 2 2 3 2" xfId="10563"/>
    <cellStyle name="Normal 130 2 2 2 3 2 2" xfId="21685"/>
    <cellStyle name="Normal 130 2 2 2 3 3" xfId="14262"/>
    <cellStyle name="Normal 130 2 2 2 3 3 2" xfId="25379"/>
    <cellStyle name="Normal 130 2 2 2 3 4" xfId="17991"/>
    <cellStyle name="Normal 130 2 2 2 4" xfId="8715"/>
    <cellStyle name="Normal 130 2 2 2 4 2" xfId="19838"/>
    <cellStyle name="Normal 130 2 2 2 5" xfId="12415"/>
    <cellStyle name="Normal 130 2 2 2 5 2" xfId="23532"/>
    <cellStyle name="Normal 130 2 2 2 6" xfId="16144"/>
    <cellStyle name="Normal 130 2 2 3" xfId="5670"/>
    <cellStyle name="Normal 130 2 2 3 2" xfId="7780"/>
    <cellStyle name="Normal 130 2 2 3 2 2" xfId="11481"/>
    <cellStyle name="Normal 130 2 2 3 2 2 2" xfId="22603"/>
    <cellStyle name="Normal 130 2 2 3 2 3" xfId="15180"/>
    <cellStyle name="Normal 130 2 2 3 2 3 2" xfId="26297"/>
    <cellStyle name="Normal 130 2 2 3 2 4" xfId="18909"/>
    <cellStyle name="Normal 130 2 2 3 3" xfId="9634"/>
    <cellStyle name="Normal 130 2 2 3 3 2" xfId="20756"/>
    <cellStyle name="Normal 130 2 2 3 4" xfId="13333"/>
    <cellStyle name="Normal 130 2 2 3 4 2" xfId="24450"/>
    <cellStyle name="Normal 130 2 2 3 5" xfId="17062"/>
    <cellStyle name="Normal 130 2 2 4" xfId="6860"/>
    <cellStyle name="Normal 130 2 2 4 2" xfId="10562"/>
    <cellStyle name="Normal 130 2 2 4 2 2" xfId="21684"/>
    <cellStyle name="Normal 130 2 2 4 3" xfId="14261"/>
    <cellStyle name="Normal 130 2 2 4 3 2" xfId="25378"/>
    <cellStyle name="Normal 130 2 2 4 4" xfId="17990"/>
    <cellStyle name="Normal 130 2 2 5" xfId="8714"/>
    <cellStyle name="Normal 130 2 2 5 2" xfId="19837"/>
    <cellStyle name="Normal 130 2 2 6" xfId="12414"/>
    <cellStyle name="Normal 130 2 2 6 2" xfId="23531"/>
    <cellStyle name="Normal 130 2 2 7" xfId="16143"/>
    <cellStyle name="Normal 130 2 3" xfId="3389"/>
    <cellStyle name="Normal 130 2 3 2" xfId="5672"/>
    <cellStyle name="Normal 130 2 3 2 2" xfId="7782"/>
    <cellStyle name="Normal 130 2 3 2 2 2" xfId="11483"/>
    <cellStyle name="Normal 130 2 3 2 2 2 2" xfId="22605"/>
    <cellStyle name="Normal 130 2 3 2 2 3" xfId="15182"/>
    <cellStyle name="Normal 130 2 3 2 2 3 2" xfId="26299"/>
    <cellStyle name="Normal 130 2 3 2 2 4" xfId="18911"/>
    <cellStyle name="Normal 130 2 3 2 3" xfId="9636"/>
    <cellStyle name="Normal 130 2 3 2 3 2" xfId="20758"/>
    <cellStyle name="Normal 130 2 3 2 4" xfId="13335"/>
    <cellStyle name="Normal 130 2 3 2 4 2" xfId="24452"/>
    <cellStyle name="Normal 130 2 3 2 5" xfId="17064"/>
    <cellStyle name="Normal 130 2 3 3" xfId="6862"/>
    <cellStyle name="Normal 130 2 3 3 2" xfId="10564"/>
    <cellStyle name="Normal 130 2 3 3 2 2" xfId="21686"/>
    <cellStyle name="Normal 130 2 3 3 3" xfId="14263"/>
    <cellStyle name="Normal 130 2 3 3 3 2" xfId="25380"/>
    <cellStyle name="Normal 130 2 3 3 4" xfId="17992"/>
    <cellStyle name="Normal 130 2 3 4" xfId="8716"/>
    <cellStyle name="Normal 130 2 3 4 2" xfId="19839"/>
    <cellStyle name="Normal 130 2 3 5" xfId="12416"/>
    <cellStyle name="Normal 130 2 3 5 2" xfId="23533"/>
    <cellStyle name="Normal 130 2 3 6" xfId="16145"/>
    <cellStyle name="Normal 130 2 4" xfId="5669"/>
    <cellStyle name="Normal 130 2 4 2" xfId="7779"/>
    <cellStyle name="Normal 130 2 4 2 2" xfId="11480"/>
    <cellStyle name="Normal 130 2 4 2 2 2" xfId="22602"/>
    <cellStyle name="Normal 130 2 4 2 3" xfId="15179"/>
    <cellStyle name="Normal 130 2 4 2 3 2" xfId="26296"/>
    <cellStyle name="Normal 130 2 4 2 4" xfId="18908"/>
    <cellStyle name="Normal 130 2 4 3" xfId="9633"/>
    <cellStyle name="Normal 130 2 4 3 2" xfId="20755"/>
    <cellStyle name="Normal 130 2 4 4" xfId="13332"/>
    <cellStyle name="Normal 130 2 4 4 2" xfId="24449"/>
    <cellStyle name="Normal 130 2 4 5" xfId="17061"/>
    <cellStyle name="Normal 130 2 5" xfId="6859"/>
    <cellStyle name="Normal 130 2 5 2" xfId="10561"/>
    <cellStyle name="Normal 130 2 5 2 2" xfId="21683"/>
    <cellStyle name="Normal 130 2 5 3" xfId="14260"/>
    <cellStyle name="Normal 130 2 5 3 2" xfId="25377"/>
    <cellStyle name="Normal 130 2 5 4" xfId="17989"/>
    <cellStyle name="Normal 130 2 6" xfId="8713"/>
    <cellStyle name="Normal 130 2 6 2" xfId="19836"/>
    <cellStyle name="Normal 130 2 7" xfId="12413"/>
    <cellStyle name="Normal 130 2 7 2" xfId="23530"/>
    <cellStyle name="Normal 130 2 8" xfId="16142"/>
    <cellStyle name="Normal 130 3" xfId="3390"/>
    <cellStyle name="Normal 130 3 2" xfId="3391"/>
    <cellStyle name="Normal 130 3 2 2" xfId="5674"/>
    <cellStyle name="Normal 130 3 2 2 2" xfId="7784"/>
    <cellStyle name="Normal 130 3 2 2 2 2" xfId="11485"/>
    <cellStyle name="Normal 130 3 2 2 2 2 2" xfId="22607"/>
    <cellStyle name="Normal 130 3 2 2 2 3" xfId="15184"/>
    <cellStyle name="Normal 130 3 2 2 2 3 2" xfId="26301"/>
    <cellStyle name="Normal 130 3 2 2 2 4" xfId="18913"/>
    <cellStyle name="Normal 130 3 2 2 3" xfId="9638"/>
    <cellStyle name="Normal 130 3 2 2 3 2" xfId="20760"/>
    <cellStyle name="Normal 130 3 2 2 4" xfId="13337"/>
    <cellStyle name="Normal 130 3 2 2 4 2" xfId="24454"/>
    <cellStyle name="Normal 130 3 2 2 5" xfId="17066"/>
    <cellStyle name="Normal 130 3 2 3" xfId="6864"/>
    <cellStyle name="Normal 130 3 2 3 2" xfId="10566"/>
    <cellStyle name="Normal 130 3 2 3 2 2" xfId="21688"/>
    <cellStyle name="Normal 130 3 2 3 3" xfId="14265"/>
    <cellStyle name="Normal 130 3 2 3 3 2" xfId="25382"/>
    <cellStyle name="Normal 130 3 2 3 4" xfId="17994"/>
    <cellStyle name="Normal 130 3 2 4" xfId="8718"/>
    <cellStyle name="Normal 130 3 2 4 2" xfId="19841"/>
    <cellStyle name="Normal 130 3 2 5" xfId="12418"/>
    <cellStyle name="Normal 130 3 2 5 2" xfId="23535"/>
    <cellStyle name="Normal 130 3 2 6" xfId="16147"/>
    <cellStyle name="Normal 130 3 3" xfId="5673"/>
    <cellStyle name="Normal 130 3 3 2" xfId="7783"/>
    <cellStyle name="Normal 130 3 3 2 2" xfId="11484"/>
    <cellStyle name="Normal 130 3 3 2 2 2" xfId="22606"/>
    <cellStyle name="Normal 130 3 3 2 3" xfId="15183"/>
    <cellStyle name="Normal 130 3 3 2 3 2" xfId="26300"/>
    <cellStyle name="Normal 130 3 3 2 4" xfId="18912"/>
    <cellStyle name="Normal 130 3 3 3" xfId="9637"/>
    <cellStyle name="Normal 130 3 3 3 2" xfId="20759"/>
    <cellStyle name="Normal 130 3 3 4" xfId="13336"/>
    <cellStyle name="Normal 130 3 3 4 2" xfId="24453"/>
    <cellStyle name="Normal 130 3 3 5" xfId="17065"/>
    <cellStyle name="Normal 130 3 4" xfId="6863"/>
    <cellStyle name="Normal 130 3 4 2" xfId="10565"/>
    <cellStyle name="Normal 130 3 4 2 2" xfId="21687"/>
    <cellStyle name="Normal 130 3 4 3" xfId="14264"/>
    <cellStyle name="Normal 130 3 4 3 2" xfId="25381"/>
    <cellStyle name="Normal 130 3 4 4" xfId="17993"/>
    <cellStyle name="Normal 130 3 5" xfId="8717"/>
    <cellStyle name="Normal 130 3 5 2" xfId="19840"/>
    <cellStyle name="Normal 130 3 6" xfId="12417"/>
    <cellStyle name="Normal 130 3 6 2" xfId="23534"/>
    <cellStyle name="Normal 130 3 7" xfId="16146"/>
    <cellStyle name="Normal 130 4" xfId="3392"/>
    <cellStyle name="Normal 130 4 2" xfId="5675"/>
    <cellStyle name="Normal 130 4 2 2" xfId="7785"/>
    <cellStyle name="Normal 130 4 2 2 2" xfId="11486"/>
    <cellStyle name="Normal 130 4 2 2 2 2" xfId="22608"/>
    <cellStyle name="Normal 130 4 2 2 3" xfId="15185"/>
    <cellStyle name="Normal 130 4 2 2 3 2" xfId="26302"/>
    <cellStyle name="Normal 130 4 2 2 4" xfId="18914"/>
    <cellStyle name="Normal 130 4 2 3" xfId="9639"/>
    <cellStyle name="Normal 130 4 2 3 2" xfId="20761"/>
    <cellStyle name="Normal 130 4 2 4" xfId="13338"/>
    <cellStyle name="Normal 130 4 2 4 2" xfId="24455"/>
    <cellStyle name="Normal 130 4 2 5" xfId="17067"/>
    <cellStyle name="Normal 130 4 3" xfId="6865"/>
    <cellStyle name="Normal 130 4 3 2" xfId="10567"/>
    <cellStyle name="Normal 130 4 3 2 2" xfId="21689"/>
    <cellStyle name="Normal 130 4 3 3" xfId="14266"/>
    <cellStyle name="Normal 130 4 3 3 2" xfId="25383"/>
    <cellStyle name="Normal 130 4 3 4" xfId="17995"/>
    <cellStyle name="Normal 130 4 4" xfId="8719"/>
    <cellStyle name="Normal 130 4 4 2" xfId="19842"/>
    <cellStyle name="Normal 130 4 5" xfId="12419"/>
    <cellStyle name="Normal 130 4 5 2" xfId="23536"/>
    <cellStyle name="Normal 130 4 6" xfId="16148"/>
    <cellStyle name="Normal 130 5" xfId="5668"/>
    <cellStyle name="Normal 130 5 2" xfId="7778"/>
    <cellStyle name="Normal 130 5 2 2" xfId="11479"/>
    <cellStyle name="Normal 130 5 2 2 2" xfId="22601"/>
    <cellStyle name="Normal 130 5 2 3" xfId="15178"/>
    <cellStyle name="Normal 130 5 2 3 2" xfId="26295"/>
    <cellStyle name="Normal 130 5 2 4" xfId="18907"/>
    <cellStyle name="Normal 130 5 3" xfId="9632"/>
    <cellStyle name="Normal 130 5 3 2" xfId="20754"/>
    <cellStyle name="Normal 130 5 4" xfId="13331"/>
    <cellStyle name="Normal 130 5 4 2" xfId="24448"/>
    <cellStyle name="Normal 130 5 5" xfId="17060"/>
    <cellStyle name="Normal 130 6" xfId="6858"/>
    <cellStyle name="Normal 130 6 2" xfId="10560"/>
    <cellStyle name="Normal 130 6 2 2" xfId="21682"/>
    <cellStyle name="Normal 130 6 3" xfId="14259"/>
    <cellStyle name="Normal 130 6 3 2" xfId="25376"/>
    <cellStyle name="Normal 130 6 4" xfId="17988"/>
    <cellStyle name="Normal 130 7" xfId="8712"/>
    <cellStyle name="Normal 130 7 2" xfId="19835"/>
    <cellStyle name="Normal 130 8" xfId="12412"/>
    <cellStyle name="Normal 130 8 2" xfId="23529"/>
    <cellStyle name="Normal 130 9" xfId="16141"/>
    <cellStyle name="Normal 131" xfId="3393"/>
    <cellStyle name="Normal 132" xfId="3394"/>
    <cellStyle name="Normal 133" xfId="3395"/>
    <cellStyle name="Normal 133 2" xfId="3396"/>
    <cellStyle name="Normal 133 2 2" xfId="3397"/>
    <cellStyle name="Normal 133 2 2 2" xfId="3398"/>
    <cellStyle name="Normal 133 2 2 2 2" xfId="5679"/>
    <cellStyle name="Normal 133 2 2 2 2 2" xfId="7789"/>
    <cellStyle name="Normal 133 2 2 2 2 2 2" xfId="11490"/>
    <cellStyle name="Normal 133 2 2 2 2 2 2 2" xfId="22612"/>
    <cellStyle name="Normal 133 2 2 2 2 2 3" xfId="15189"/>
    <cellStyle name="Normal 133 2 2 2 2 2 3 2" xfId="26306"/>
    <cellStyle name="Normal 133 2 2 2 2 2 4" xfId="18918"/>
    <cellStyle name="Normal 133 2 2 2 2 3" xfId="9643"/>
    <cellStyle name="Normal 133 2 2 2 2 3 2" xfId="20765"/>
    <cellStyle name="Normal 133 2 2 2 2 4" xfId="13342"/>
    <cellStyle name="Normal 133 2 2 2 2 4 2" xfId="24459"/>
    <cellStyle name="Normal 133 2 2 2 2 5" xfId="17071"/>
    <cellStyle name="Normal 133 2 2 2 3" xfId="6869"/>
    <cellStyle name="Normal 133 2 2 2 3 2" xfId="10571"/>
    <cellStyle name="Normal 133 2 2 2 3 2 2" xfId="21693"/>
    <cellStyle name="Normal 133 2 2 2 3 3" xfId="14270"/>
    <cellStyle name="Normal 133 2 2 2 3 3 2" xfId="25387"/>
    <cellStyle name="Normal 133 2 2 2 3 4" xfId="17999"/>
    <cellStyle name="Normal 133 2 2 2 4" xfId="8723"/>
    <cellStyle name="Normal 133 2 2 2 4 2" xfId="19846"/>
    <cellStyle name="Normal 133 2 2 2 5" xfId="12423"/>
    <cellStyle name="Normal 133 2 2 2 5 2" xfId="23540"/>
    <cellStyle name="Normal 133 2 2 2 6" xfId="16152"/>
    <cellStyle name="Normal 133 2 2 3" xfId="5678"/>
    <cellStyle name="Normal 133 2 2 3 2" xfId="7788"/>
    <cellStyle name="Normal 133 2 2 3 2 2" xfId="11489"/>
    <cellStyle name="Normal 133 2 2 3 2 2 2" xfId="22611"/>
    <cellStyle name="Normal 133 2 2 3 2 3" xfId="15188"/>
    <cellStyle name="Normal 133 2 2 3 2 3 2" xfId="26305"/>
    <cellStyle name="Normal 133 2 2 3 2 4" xfId="18917"/>
    <cellStyle name="Normal 133 2 2 3 3" xfId="9642"/>
    <cellStyle name="Normal 133 2 2 3 3 2" xfId="20764"/>
    <cellStyle name="Normal 133 2 2 3 4" xfId="13341"/>
    <cellStyle name="Normal 133 2 2 3 4 2" xfId="24458"/>
    <cellStyle name="Normal 133 2 2 3 5" xfId="17070"/>
    <cellStyle name="Normal 133 2 2 4" xfId="6868"/>
    <cellStyle name="Normal 133 2 2 4 2" xfId="10570"/>
    <cellStyle name="Normal 133 2 2 4 2 2" xfId="21692"/>
    <cellStyle name="Normal 133 2 2 4 3" xfId="14269"/>
    <cellStyle name="Normal 133 2 2 4 3 2" xfId="25386"/>
    <cellStyle name="Normal 133 2 2 4 4" xfId="17998"/>
    <cellStyle name="Normal 133 2 2 5" xfId="8722"/>
    <cellStyle name="Normal 133 2 2 5 2" xfId="19845"/>
    <cellStyle name="Normal 133 2 2 6" xfId="12422"/>
    <cellStyle name="Normal 133 2 2 6 2" xfId="23539"/>
    <cellStyle name="Normal 133 2 2 7" xfId="16151"/>
    <cellStyle name="Normal 133 2 3" xfId="3399"/>
    <cellStyle name="Normal 133 2 3 2" xfId="5680"/>
    <cellStyle name="Normal 133 2 3 2 2" xfId="7790"/>
    <cellStyle name="Normal 133 2 3 2 2 2" xfId="11491"/>
    <cellStyle name="Normal 133 2 3 2 2 2 2" xfId="22613"/>
    <cellStyle name="Normal 133 2 3 2 2 3" xfId="15190"/>
    <cellStyle name="Normal 133 2 3 2 2 3 2" xfId="26307"/>
    <cellStyle name="Normal 133 2 3 2 2 4" xfId="18919"/>
    <cellStyle name="Normal 133 2 3 2 3" xfId="9644"/>
    <cellStyle name="Normal 133 2 3 2 3 2" xfId="20766"/>
    <cellStyle name="Normal 133 2 3 2 4" xfId="13343"/>
    <cellStyle name="Normal 133 2 3 2 4 2" xfId="24460"/>
    <cellStyle name="Normal 133 2 3 2 5" xfId="17072"/>
    <cellStyle name="Normal 133 2 3 3" xfId="6870"/>
    <cellStyle name="Normal 133 2 3 3 2" xfId="10572"/>
    <cellStyle name="Normal 133 2 3 3 2 2" xfId="21694"/>
    <cellStyle name="Normal 133 2 3 3 3" xfId="14271"/>
    <cellStyle name="Normal 133 2 3 3 3 2" xfId="25388"/>
    <cellStyle name="Normal 133 2 3 3 4" xfId="18000"/>
    <cellStyle name="Normal 133 2 3 4" xfId="8724"/>
    <cellStyle name="Normal 133 2 3 4 2" xfId="19847"/>
    <cellStyle name="Normal 133 2 3 5" xfId="12424"/>
    <cellStyle name="Normal 133 2 3 5 2" xfId="23541"/>
    <cellStyle name="Normal 133 2 3 6" xfId="16153"/>
    <cellStyle name="Normal 133 2 4" xfId="5677"/>
    <cellStyle name="Normal 133 2 4 2" xfId="7787"/>
    <cellStyle name="Normal 133 2 4 2 2" xfId="11488"/>
    <cellStyle name="Normal 133 2 4 2 2 2" xfId="22610"/>
    <cellStyle name="Normal 133 2 4 2 3" xfId="15187"/>
    <cellStyle name="Normal 133 2 4 2 3 2" xfId="26304"/>
    <cellStyle name="Normal 133 2 4 2 4" xfId="18916"/>
    <cellStyle name="Normal 133 2 4 3" xfId="9641"/>
    <cellStyle name="Normal 133 2 4 3 2" xfId="20763"/>
    <cellStyle name="Normal 133 2 4 4" xfId="13340"/>
    <cellStyle name="Normal 133 2 4 4 2" xfId="24457"/>
    <cellStyle name="Normal 133 2 4 5" xfId="17069"/>
    <cellStyle name="Normal 133 2 5" xfId="6867"/>
    <cellStyle name="Normal 133 2 5 2" xfId="10569"/>
    <cellStyle name="Normal 133 2 5 2 2" xfId="21691"/>
    <cellStyle name="Normal 133 2 5 3" xfId="14268"/>
    <cellStyle name="Normal 133 2 5 3 2" xfId="25385"/>
    <cellStyle name="Normal 133 2 5 4" xfId="17997"/>
    <cellStyle name="Normal 133 2 6" xfId="8721"/>
    <cellStyle name="Normal 133 2 6 2" xfId="19844"/>
    <cellStyle name="Normal 133 2 7" xfId="12421"/>
    <cellStyle name="Normal 133 2 7 2" xfId="23538"/>
    <cellStyle name="Normal 133 2 8" xfId="16150"/>
    <cellStyle name="Normal 133 3" xfId="3400"/>
    <cellStyle name="Normal 133 3 2" xfId="3401"/>
    <cellStyle name="Normal 133 3 2 2" xfId="5682"/>
    <cellStyle name="Normal 133 3 2 2 2" xfId="7792"/>
    <cellStyle name="Normal 133 3 2 2 2 2" xfId="11493"/>
    <cellStyle name="Normal 133 3 2 2 2 2 2" xfId="22615"/>
    <cellStyle name="Normal 133 3 2 2 2 3" xfId="15192"/>
    <cellStyle name="Normal 133 3 2 2 2 3 2" xfId="26309"/>
    <cellStyle name="Normal 133 3 2 2 2 4" xfId="18921"/>
    <cellStyle name="Normal 133 3 2 2 3" xfId="9646"/>
    <cellStyle name="Normal 133 3 2 2 3 2" xfId="20768"/>
    <cellStyle name="Normal 133 3 2 2 4" xfId="13345"/>
    <cellStyle name="Normal 133 3 2 2 4 2" xfId="24462"/>
    <cellStyle name="Normal 133 3 2 2 5" xfId="17074"/>
    <cellStyle name="Normal 133 3 2 3" xfId="6872"/>
    <cellStyle name="Normal 133 3 2 3 2" xfId="10574"/>
    <cellStyle name="Normal 133 3 2 3 2 2" xfId="21696"/>
    <cellStyle name="Normal 133 3 2 3 3" xfId="14273"/>
    <cellStyle name="Normal 133 3 2 3 3 2" xfId="25390"/>
    <cellStyle name="Normal 133 3 2 3 4" xfId="18002"/>
    <cellStyle name="Normal 133 3 2 4" xfId="8726"/>
    <cellStyle name="Normal 133 3 2 4 2" xfId="19849"/>
    <cellStyle name="Normal 133 3 2 5" xfId="12426"/>
    <cellStyle name="Normal 133 3 2 5 2" xfId="23543"/>
    <cellStyle name="Normal 133 3 2 6" xfId="16155"/>
    <cellStyle name="Normal 133 3 3" xfId="5681"/>
    <cellStyle name="Normal 133 3 3 2" xfId="7791"/>
    <cellStyle name="Normal 133 3 3 2 2" xfId="11492"/>
    <cellStyle name="Normal 133 3 3 2 2 2" xfId="22614"/>
    <cellStyle name="Normal 133 3 3 2 3" xfId="15191"/>
    <cellStyle name="Normal 133 3 3 2 3 2" xfId="26308"/>
    <cellStyle name="Normal 133 3 3 2 4" xfId="18920"/>
    <cellStyle name="Normal 133 3 3 3" xfId="9645"/>
    <cellStyle name="Normal 133 3 3 3 2" xfId="20767"/>
    <cellStyle name="Normal 133 3 3 4" xfId="13344"/>
    <cellStyle name="Normal 133 3 3 4 2" xfId="24461"/>
    <cellStyle name="Normal 133 3 3 5" xfId="17073"/>
    <cellStyle name="Normal 133 3 4" xfId="6871"/>
    <cellStyle name="Normal 133 3 4 2" xfId="10573"/>
    <cellStyle name="Normal 133 3 4 2 2" xfId="21695"/>
    <cellStyle name="Normal 133 3 4 3" xfId="14272"/>
    <cellStyle name="Normal 133 3 4 3 2" xfId="25389"/>
    <cellStyle name="Normal 133 3 4 4" xfId="18001"/>
    <cellStyle name="Normal 133 3 5" xfId="8725"/>
    <cellStyle name="Normal 133 3 5 2" xfId="19848"/>
    <cellStyle name="Normal 133 3 6" xfId="12425"/>
    <cellStyle name="Normal 133 3 6 2" xfId="23542"/>
    <cellStyle name="Normal 133 3 7" xfId="16154"/>
    <cellStyle name="Normal 133 4" xfId="3402"/>
    <cellStyle name="Normal 133 4 2" xfId="5683"/>
    <cellStyle name="Normal 133 4 2 2" xfId="7793"/>
    <cellStyle name="Normal 133 4 2 2 2" xfId="11494"/>
    <cellStyle name="Normal 133 4 2 2 2 2" xfId="22616"/>
    <cellStyle name="Normal 133 4 2 2 3" xfId="15193"/>
    <cellStyle name="Normal 133 4 2 2 3 2" xfId="26310"/>
    <cellStyle name="Normal 133 4 2 2 4" xfId="18922"/>
    <cellStyle name="Normal 133 4 2 3" xfId="9647"/>
    <cellStyle name="Normal 133 4 2 3 2" xfId="20769"/>
    <cellStyle name="Normal 133 4 2 4" xfId="13346"/>
    <cellStyle name="Normal 133 4 2 4 2" xfId="24463"/>
    <cellStyle name="Normal 133 4 2 5" xfId="17075"/>
    <cellStyle name="Normal 133 4 3" xfId="6873"/>
    <cellStyle name="Normal 133 4 3 2" xfId="10575"/>
    <cellStyle name="Normal 133 4 3 2 2" xfId="21697"/>
    <cellStyle name="Normal 133 4 3 3" xfId="14274"/>
    <cellStyle name="Normal 133 4 3 3 2" xfId="25391"/>
    <cellStyle name="Normal 133 4 3 4" xfId="18003"/>
    <cellStyle name="Normal 133 4 4" xfId="8727"/>
    <cellStyle name="Normal 133 4 4 2" xfId="19850"/>
    <cellStyle name="Normal 133 4 5" xfId="12427"/>
    <cellStyle name="Normal 133 4 5 2" xfId="23544"/>
    <cellStyle name="Normal 133 4 6" xfId="16156"/>
    <cellStyle name="Normal 133 5" xfId="5676"/>
    <cellStyle name="Normal 133 5 2" xfId="7786"/>
    <cellStyle name="Normal 133 5 2 2" xfId="11487"/>
    <cellStyle name="Normal 133 5 2 2 2" xfId="22609"/>
    <cellStyle name="Normal 133 5 2 3" xfId="15186"/>
    <cellStyle name="Normal 133 5 2 3 2" xfId="26303"/>
    <cellStyle name="Normal 133 5 2 4" xfId="18915"/>
    <cellStyle name="Normal 133 5 3" xfId="9640"/>
    <cellStyle name="Normal 133 5 3 2" xfId="20762"/>
    <cellStyle name="Normal 133 5 4" xfId="13339"/>
    <cellStyle name="Normal 133 5 4 2" xfId="24456"/>
    <cellStyle name="Normal 133 5 5" xfId="17068"/>
    <cellStyle name="Normal 133 6" xfId="6866"/>
    <cellStyle name="Normal 133 6 2" xfId="10568"/>
    <cellStyle name="Normal 133 6 2 2" xfId="21690"/>
    <cellStyle name="Normal 133 6 3" xfId="14267"/>
    <cellStyle name="Normal 133 6 3 2" xfId="25384"/>
    <cellStyle name="Normal 133 6 4" xfId="17996"/>
    <cellStyle name="Normal 133 7" xfId="8720"/>
    <cellStyle name="Normal 133 7 2" xfId="19843"/>
    <cellStyle name="Normal 133 8" xfId="12420"/>
    <cellStyle name="Normal 133 8 2" xfId="23537"/>
    <cellStyle name="Normal 133 9" xfId="16149"/>
    <cellStyle name="Normal 134" xfId="3403"/>
    <cellStyle name="Normal 135" xfId="3404"/>
    <cellStyle name="Normal 136" xfId="3405"/>
    <cellStyle name="Normal 137" xfId="3406"/>
    <cellStyle name="Normal 138" xfId="3407"/>
    <cellStyle name="Normal 139" xfId="3408"/>
    <cellStyle name="Normal 14" xfId="389"/>
    <cellStyle name="Normal 14 2" xfId="390"/>
    <cellStyle name="Normal 14 2 2" xfId="3409"/>
    <cellStyle name="Normal 14 3" xfId="391"/>
    <cellStyle name="Normal 14 3 2" xfId="3410"/>
    <cellStyle name="Normal 14 4" xfId="392"/>
    <cellStyle name="Normal 14 4 2" xfId="3411"/>
    <cellStyle name="Normal 14 4 2 2" xfId="6067"/>
    <cellStyle name="Normal 14 5" xfId="5992"/>
    <cellStyle name="Normal 140" xfId="3412"/>
    <cellStyle name="Normal 141" xfId="3413"/>
    <cellStyle name="Normal 142" xfId="3414"/>
    <cellStyle name="Normal 142 2" xfId="3415"/>
    <cellStyle name="Normal 142 3" xfId="3416"/>
    <cellStyle name="Normal 142 3 2" xfId="5685"/>
    <cellStyle name="Normal 142 3 2 2" xfId="7795"/>
    <cellStyle name="Normal 142 3 2 2 2" xfId="11496"/>
    <cellStyle name="Normal 142 3 2 2 2 2" xfId="22618"/>
    <cellStyle name="Normal 142 3 2 2 3" xfId="15195"/>
    <cellStyle name="Normal 142 3 2 2 3 2" xfId="26312"/>
    <cellStyle name="Normal 142 3 2 2 4" xfId="18924"/>
    <cellStyle name="Normal 142 3 2 3" xfId="9649"/>
    <cellStyle name="Normal 142 3 2 3 2" xfId="20771"/>
    <cellStyle name="Normal 142 3 2 4" xfId="13348"/>
    <cellStyle name="Normal 142 3 2 4 2" xfId="24465"/>
    <cellStyle name="Normal 142 3 2 5" xfId="17077"/>
    <cellStyle name="Normal 142 3 3" xfId="6875"/>
    <cellStyle name="Normal 142 3 3 2" xfId="10577"/>
    <cellStyle name="Normal 142 3 3 2 2" xfId="21699"/>
    <cellStyle name="Normal 142 3 3 3" xfId="14276"/>
    <cellStyle name="Normal 142 3 3 3 2" xfId="25393"/>
    <cellStyle name="Normal 142 3 3 4" xfId="18005"/>
    <cellStyle name="Normal 142 3 4" xfId="8729"/>
    <cellStyle name="Normal 142 3 4 2" xfId="19852"/>
    <cellStyle name="Normal 142 3 5" xfId="12429"/>
    <cellStyle name="Normal 142 3 5 2" xfId="23546"/>
    <cellStyle name="Normal 142 3 6" xfId="16158"/>
    <cellStyle name="Normal 142 4" xfId="5684"/>
    <cellStyle name="Normal 142 4 2" xfId="7794"/>
    <cellStyle name="Normal 142 4 2 2" xfId="11495"/>
    <cellStyle name="Normal 142 4 2 2 2" xfId="22617"/>
    <cellStyle name="Normal 142 4 2 3" xfId="15194"/>
    <cellStyle name="Normal 142 4 2 3 2" xfId="26311"/>
    <cellStyle name="Normal 142 4 2 4" xfId="18923"/>
    <cellStyle name="Normal 142 4 3" xfId="9648"/>
    <cellStyle name="Normal 142 4 3 2" xfId="20770"/>
    <cellStyle name="Normal 142 4 4" xfId="13347"/>
    <cellStyle name="Normal 142 4 4 2" xfId="24464"/>
    <cellStyle name="Normal 142 4 5" xfId="17076"/>
    <cellStyle name="Normal 142 5" xfId="6874"/>
    <cellStyle name="Normal 142 5 2" xfId="10576"/>
    <cellStyle name="Normal 142 5 2 2" xfId="21698"/>
    <cellStyle name="Normal 142 5 3" xfId="14275"/>
    <cellStyle name="Normal 142 5 3 2" xfId="25392"/>
    <cellStyle name="Normal 142 5 4" xfId="18004"/>
    <cellStyle name="Normal 142 6" xfId="8728"/>
    <cellStyle name="Normal 142 6 2" xfId="19851"/>
    <cellStyle name="Normal 142 7" xfId="12428"/>
    <cellStyle name="Normal 142 7 2" xfId="23545"/>
    <cellStyle name="Normal 142 8" xfId="16157"/>
    <cellStyle name="Normal 143" xfId="3417"/>
    <cellStyle name="Normal 144" xfId="3418"/>
    <cellStyle name="Normal 145" xfId="3419"/>
    <cellStyle name="Normal 146" xfId="3420"/>
    <cellStyle name="Normal 147" xfId="3421"/>
    <cellStyle name="Normal 148" xfId="3422"/>
    <cellStyle name="Normal 149" xfId="3423"/>
    <cellStyle name="Normal 15" xfId="393"/>
    <cellStyle name="Normal 15 2" xfId="394"/>
    <cellStyle name="Normal 15 2 2" xfId="3424"/>
    <cellStyle name="Normal 15 3" xfId="924"/>
    <cellStyle name="Normal 15 3 2" xfId="3425"/>
    <cellStyle name="Normal 15 4" xfId="3426"/>
    <cellStyle name="Normal 150" xfId="3427"/>
    <cellStyle name="Normal 151" xfId="3428"/>
    <cellStyle name="Normal 152" xfId="3429"/>
    <cellStyle name="Normal 153" xfId="3430"/>
    <cellStyle name="Normal 154" xfId="3431"/>
    <cellStyle name="Normal 155" xfId="3432"/>
    <cellStyle name="Normal 156" xfId="3433"/>
    <cellStyle name="Normal 157" xfId="3434"/>
    <cellStyle name="Normal 158" xfId="3435"/>
    <cellStyle name="Normal 159" xfId="3436"/>
    <cellStyle name="Normal 16" xfId="395"/>
    <cellStyle name="Normal 16 2" xfId="396"/>
    <cellStyle name="Normal 16 2 2" xfId="996"/>
    <cellStyle name="Normal 16 2 2 2" xfId="1202"/>
    <cellStyle name="Normal 16 2 2 2 2" xfId="3437"/>
    <cellStyle name="Normal 16 2 3" xfId="995"/>
    <cellStyle name="Normal 16 2 3 2" xfId="3438"/>
    <cellStyle name="Normal 16 2 4" xfId="3439"/>
    <cellStyle name="Normal 16 3" xfId="997"/>
    <cellStyle name="Normal 16 4" xfId="999"/>
    <cellStyle name="Normal 16 5" xfId="994"/>
    <cellStyle name="Normal 16 5 2" xfId="4686"/>
    <cellStyle name="Normal 160" xfId="3440"/>
    <cellStyle name="Normal 161" xfId="3441"/>
    <cellStyle name="Normal 162" xfId="3442"/>
    <cellStyle name="Normal 163" xfId="3443"/>
    <cellStyle name="Normal 164" xfId="3444"/>
    <cellStyle name="Normal 165" xfId="3445"/>
    <cellStyle name="Normal 166" xfId="3446"/>
    <cellStyle name="Normal 167" xfId="3447"/>
    <cellStyle name="Normal 168" xfId="3448"/>
    <cellStyle name="Normal 169" xfId="3449"/>
    <cellStyle name="Normal 17" xfId="54"/>
    <cellStyle name="Normal 17 2" xfId="397"/>
    <cellStyle name="Normal 17 2 2" xfId="3450"/>
    <cellStyle name="Normal 17 3" xfId="1002"/>
    <cellStyle name="Normal 17 3 2" xfId="3451"/>
    <cellStyle name="Normal 17 4" xfId="1000"/>
    <cellStyle name="Normal 170" xfId="3452"/>
    <cellStyle name="Normal 171" xfId="3453"/>
    <cellStyle name="Normal 172" xfId="3454"/>
    <cellStyle name="Normal 173" xfId="3455"/>
    <cellStyle name="Normal 174" xfId="3456"/>
    <cellStyle name="Normal 175" xfId="3457"/>
    <cellStyle name="Normal 176" xfId="3458"/>
    <cellStyle name="Normal 177" xfId="4357"/>
    <cellStyle name="Normal 178" xfId="4370"/>
    <cellStyle name="Normal 179" xfId="2238"/>
    <cellStyle name="Normal 179 2" xfId="5906"/>
    <cellStyle name="Normal 18" xfId="55"/>
    <cellStyle name="Normal 18 2" xfId="398"/>
    <cellStyle name="Normal 18 2 2" xfId="3459"/>
    <cellStyle name="Normal 18 3" xfId="3460"/>
    <cellStyle name="Normal 180" xfId="4712"/>
    <cellStyle name="Normal 181" xfId="4714"/>
    <cellStyle name="Normal 182" xfId="4713"/>
    <cellStyle name="Normal 183" xfId="5274"/>
    <cellStyle name="Normal 184" xfId="4766"/>
    <cellStyle name="Normal 185" xfId="5275"/>
    <cellStyle name="Normal 186" xfId="5876"/>
    <cellStyle name="Normal 187" xfId="5916"/>
    <cellStyle name="Normal 188" xfId="5375"/>
    <cellStyle name="Normal 189" xfId="5277"/>
    <cellStyle name="Normal 19" xfId="399"/>
    <cellStyle name="Normal 19 2" xfId="400"/>
    <cellStyle name="Normal 19 2 2" xfId="3461"/>
    <cellStyle name="Normal 19 2 3" xfId="3462"/>
    <cellStyle name="Normal 19 3" xfId="3463"/>
    <cellStyle name="Normal 19 4" xfId="3464"/>
    <cellStyle name="Normal 190" xfId="5293"/>
    <cellStyle name="Normal 191" xfId="5280"/>
    <cellStyle name="Normal 192" xfId="5925"/>
    <cellStyle name="Normal 193" xfId="5276"/>
    <cellStyle name="Normal 194" xfId="5944"/>
    <cellStyle name="Normal 195" xfId="5961"/>
    <cellStyle name="Normal 196" xfId="5962"/>
    <cellStyle name="Normal 197" xfId="5964"/>
    <cellStyle name="Normal 198" xfId="5963"/>
    <cellStyle name="Normal 199" xfId="5965"/>
    <cellStyle name="Normal 2" xfId="98"/>
    <cellStyle name="Normal 2 2" xfId="401"/>
    <cellStyle name="Normal 2 2 2" xfId="94"/>
    <cellStyle name="Normal 2 2 2 2" xfId="2102"/>
    <cellStyle name="Normal 2 2 2 3" xfId="2101"/>
    <cellStyle name="Normal 2 2 3" xfId="929"/>
    <cellStyle name="Normal 2 2 3 2" xfId="3465"/>
    <cellStyle name="Normal 2 2 3 3" xfId="3466"/>
    <cellStyle name="Normal 2 2 4" xfId="2103"/>
    <cellStyle name="Normal 2 2 4 2" xfId="3467"/>
    <cellStyle name="Normal 2 2 4 2 2" xfId="5686"/>
    <cellStyle name="Normal 2 2 4 2 2 2" xfId="7796"/>
    <cellStyle name="Normal 2 2 4 2 2 2 2" xfId="11497"/>
    <cellStyle name="Normal 2 2 4 2 2 2 2 2" xfId="22619"/>
    <cellStyle name="Normal 2 2 4 2 2 2 3" xfId="15196"/>
    <cellStyle name="Normal 2 2 4 2 2 2 3 2" xfId="26313"/>
    <cellStyle name="Normal 2 2 4 2 2 2 4" xfId="18925"/>
    <cellStyle name="Normal 2 2 4 2 2 3" xfId="9650"/>
    <cellStyle name="Normal 2 2 4 2 2 3 2" xfId="20772"/>
    <cellStyle name="Normal 2 2 4 2 2 4" xfId="13349"/>
    <cellStyle name="Normal 2 2 4 2 2 4 2" xfId="24466"/>
    <cellStyle name="Normal 2 2 4 2 2 5" xfId="17078"/>
    <cellStyle name="Normal 2 2 4 2 3" xfId="6876"/>
    <cellStyle name="Normal 2 2 4 2 3 2" xfId="10578"/>
    <cellStyle name="Normal 2 2 4 2 3 2 2" xfId="21700"/>
    <cellStyle name="Normal 2 2 4 2 3 3" xfId="14277"/>
    <cellStyle name="Normal 2 2 4 2 3 3 2" xfId="25394"/>
    <cellStyle name="Normal 2 2 4 2 3 4" xfId="18006"/>
    <cellStyle name="Normal 2 2 4 2 4" xfId="8730"/>
    <cellStyle name="Normal 2 2 4 2 4 2" xfId="19853"/>
    <cellStyle name="Normal 2 2 4 2 5" xfId="12430"/>
    <cellStyle name="Normal 2 2 4 2 5 2" xfId="23547"/>
    <cellStyle name="Normal 2 2 4 2 6" xfId="16159"/>
    <cellStyle name="Normal 2 2 4 3" xfId="3468"/>
    <cellStyle name="Normal 2 2 4 3 2" xfId="5687"/>
    <cellStyle name="Normal 2 2 4 3 2 2" xfId="7797"/>
    <cellStyle name="Normal 2 2 4 3 2 2 2" xfId="11498"/>
    <cellStyle name="Normal 2 2 4 3 2 2 2 2" xfId="22620"/>
    <cellStyle name="Normal 2 2 4 3 2 2 3" xfId="15197"/>
    <cellStyle name="Normal 2 2 4 3 2 2 3 2" xfId="26314"/>
    <cellStyle name="Normal 2 2 4 3 2 2 4" xfId="18926"/>
    <cellStyle name="Normal 2 2 4 3 2 3" xfId="9651"/>
    <cellStyle name="Normal 2 2 4 3 2 3 2" xfId="20773"/>
    <cellStyle name="Normal 2 2 4 3 2 4" xfId="13350"/>
    <cellStyle name="Normal 2 2 4 3 2 4 2" xfId="24467"/>
    <cellStyle name="Normal 2 2 4 3 2 5" xfId="17079"/>
    <cellStyle name="Normal 2 2 4 3 3" xfId="6877"/>
    <cellStyle name="Normal 2 2 4 3 3 2" xfId="10579"/>
    <cellStyle name="Normal 2 2 4 3 3 2 2" xfId="21701"/>
    <cellStyle name="Normal 2 2 4 3 3 3" xfId="14278"/>
    <cellStyle name="Normal 2 2 4 3 3 3 2" xfId="25395"/>
    <cellStyle name="Normal 2 2 4 3 3 4" xfId="18007"/>
    <cellStyle name="Normal 2 2 4 3 4" xfId="8731"/>
    <cellStyle name="Normal 2 2 4 3 4 2" xfId="19854"/>
    <cellStyle name="Normal 2 2 4 3 5" xfId="12431"/>
    <cellStyle name="Normal 2 2 4 3 5 2" xfId="23548"/>
    <cellStyle name="Normal 2 2 4 3 6" xfId="16160"/>
    <cellStyle name="Normal 2 2 5" xfId="2100"/>
    <cellStyle name="Normal 2 2 5 2" xfId="4597"/>
    <cellStyle name="Normal 2 2_Pivot Table Tips" xfId="3469"/>
    <cellStyle name="Normal 2 3" xfId="402"/>
    <cellStyle name="Normal 2 3 2" xfId="799"/>
    <cellStyle name="Normal 2 3 2 2" xfId="931"/>
    <cellStyle name="Normal 2 3 2 3" xfId="3471"/>
    <cellStyle name="Normal 2 3 2 4" xfId="3470"/>
    <cellStyle name="Normal 2 3 3" xfId="2105"/>
    <cellStyle name="Normal 2 3 3 2" xfId="3473"/>
    <cellStyle name="Normal 2 3 3 3" xfId="4687"/>
    <cellStyle name="Normal 2 3 3 4" xfId="3472"/>
    <cellStyle name="Normal 2 3 4" xfId="2104"/>
    <cellStyle name="Normal 2 3 4 2" xfId="3475"/>
    <cellStyle name="Normal 2 3 4 3" xfId="3474"/>
    <cellStyle name="Normal 2 3 5" xfId="3476"/>
    <cellStyle name="Normal 2 4" xfId="403"/>
    <cellStyle name="Normal 2 4 2" xfId="800"/>
    <cellStyle name="Normal 2 4 2 2" xfId="3477"/>
    <cellStyle name="Normal 2 4 2 3" xfId="3478"/>
    <cellStyle name="Normal 2 4 3" xfId="2107"/>
    <cellStyle name="Normal 2 4 3 2" xfId="3479"/>
    <cellStyle name="Normal 2 4 4" xfId="2106"/>
    <cellStyle name="Normal 2 4 4 2" xfId="3480"/>
    <cellStyle name="Normal 2 4 5" xfId="3481"/>
    <cellStyle name="Normal 2 4 6" xfId="4596"/>
    <cellStyle name="Normal 2 5" xfId="404"/>
    <cellStyle name="Normal 2 5 2" xfId="2109"/>
    <cellStyle name="Normal 2 5 3" xfId="2108"/>
    <cellStyle name="Normal 2 5 3 2" xfId="3482"/>
    <cellStyle name="Normal 2 6" xfId="818"/>
    <cellStyle name="Normal 2 6 2" xfId="1246"/>
    <cellStyle name="Normal 2 6 2 2" xfId="3484"/>
    <cellStyle name="Normal 2 6 2 3" xfId="3483"/>
    <cellStyle name="Normal 2 6 3" xfId="3485"/>
    <cellStyle name="Normal 2 6 3 2" xfId="3486"/>
    <cellStyle name="Normal 2 6 4" xfId="3487"/>
    <cellStyle name="Normal 2 7" xfId="2110"/>
    <cellStyle name="Normal 2 7 2" xfId="3489"/>
    <cellStyle name="Normal 2 7 2 2" xfId="3490"/>
    <cellStyle name="Normal 2 7 2 2 2" xfId="3491"/>
    <cellStyle name="Normal 2 7 2 2 2 2" xfId="5690"/>
    <cellStyle name="Normal 2 7 2 2 2 2 2" xfId="7800"/>
    <cellStyle name="Normal 2 7 2 2 2 2 2 2" xfId="11501"/>
    <cellStyle name="Normal 2 7 2 2 2 2 2 2 2" xfId="22623"/>
    <cellStyle name="Normal 2 7 2 2 2 2 2 3" xfId="15200"/>
    <cellStyle name="Normal 2 7 2 2 2 2 2 3 2" xfId="26317"/>
    <cellStyle name="Normal 2 7 2 2 2 2 2 4" xfId="18929"/>
    <cellStyle name="Normal 2 7 2 2 2 2 3" xfId="9654"/>
    <cellStyle name="Normal 2 7 2 2 2 2 3 2" xfId="20776"/>
    <cellStyle name="Normal 2 7 2 2 2 2 4" xfId="13353"/>
    <cellStyle name="Normal 2 7 2 2 2 2 4 2" xfId="24470"/>
    <cellStyle name="Normal 2 7 2 2 2 2 5" xfId="17082"/>
    <cellStyle name="Normal 2 7 2 2 2 3" xfId="6880"/>
    <cellStyle name="Normal 2 7 2 2 2 3 2" xfId="10582"/>
    <cellStyle name="Normal 2 7 2 2 2 3 2 2" xfId="21704"/>
    <cellStyle name="Normal 2 7 2 2 2 3 3" xfId="14281"/>
    <cellStyle name="Normal 2 7 2 2 2 3 3 2" xfId="25398"/>
    <cellStyle name="Normal 2 7 2 2 2 3 4" xfId="18010"/>
    <cellStyle name="Normal 2 7 2 2 2 4" xfId="8734"/>
    <cellStyle name="Normal 2 7 2 2 2 4 2" xfId="19857"/>
    <cellStyle name="Normal 2 7 2 2 2 5" xfId="12434"/>
    <cellStyle name="Normal 2 7 2 2 2 5 2" xfId="23551"/>
    <cellStyle name="Normal 2 7 2 2 2 6" xfId="16163"/>
    <cellStyle name="Normal 2 7 2 2 3" xfId="5689"/>
    <cellStyle name="Normal 2 7 2 2 3 2" xfId="7799"/>
    <cellStyle name="Normal 2 7 2 2 3 2 2" xfId="11500"/>
    <cellStyle name="Normal 2 7 2 2 3 2 2 2" xfId="22622"/>
    <cellStyle name="Normal 2 7 2 2 3 2 3" xfId="15199"/>
    <cellStyle name="Normal 2 7 2 2 3 2 3 2" xfId="26316"/>
    <cellStyle name="Normal 2 7 2 2 3 2 4" xfId="18928"/>
    <cellStyle name="Normal 2 7 2 2 3 3" xfId="9653"/>
    <cellStyle name="Normal 2 7 2 2 3 3 2" xfId="20775"/>
    <cellStyle name="Normal 2 7 2 2 3 4" xfId="13352"/>
    <cellStyle name="Normal 2 7 2 2 3 4 2" xfId="24469"/>
    <cellStyle name="Normal 2 7 2 2 3 5" xfId="17081"/>
    <cellStyle name="Normal 2 7 2 2 4" xfId="6879"/>
    <cellStyle name="Normal 2 7 2 2 4 2" xfId="10581"/>
    <cellStyle name="Normal 2 7 2 2 4 2 2" xfId="21703"/>
    <cellStyle name="Normal 2 7 2 2 4 3" xfId="14280"/>
    <cellStyle name="Normal 2 7 2 2 4 3 2" xfId="25397"/>
    <cellStyle name="Normal 2 7 2 2 4 4" xfId="18009"/>
    <cellStyle name="Normal 2 7 2 2 5" xfId="8733"/>
    <cellStyle name="Normal 2 7 2 2 5 2" xfId="19856"/>
    <cellStyle name="Normal 2 7 2 2 6" xfId="12433"/>
    <cellStyle name="Normal 2 7 2 2 6 2" xfId="23550"/>
    <cellStyle name="Normal 2 7 2 2 7" xfId="16162"/>
    <cellStyle name="Normal 2 7 2 3" xfId="3492"/>
    <cellStyle name="Normal 2 7 2 3 2" xfId="5691"/>
    <cellStyle name="Normal 2 7 2 3 2 2" xfId="7801"/>
    <cellStyle name="Normal 2 7 2 3 2 2 2" xfId="11502"/>
    <cellStyle name="Normal 2 7 2 3 2 2 2 2" xfId="22624"/>
    <cellStyle name="Normal 2 7 2 3 2 2 3" xfId="15201"/>
    <cellStyle name="Normal 2 7 2 3 2 2 3 2" xfId="26318"/>
    <cellStyle name="Normal 2 7 2 3 2 2 4" xfId="18930"/>
    <cellStyle name="Normal 2 7 2 3 2 3" xfId="9655"/>
    <cellStyle name="Normal 2 7 2 3 2 3 2" xfId="20777"/>
    <cellStyle name="Normal 2 7 2 3 2 4" xfId="13354"/>
    <cellStyle name="Normal 2 7 2 3 2 4 2" xfId="24471"/>
    <cellStyle name="Normal 2 7 2 3 2 5" xfId="17083"/>
    <cellStyle name="Normal 2 7 2 3 3" xfId="6881"/>
    <cellStyle name="Normal 2 7 2 3 3 2" xfId="10583"/>
    <cellStyle name="Normal 2 7 2 3 3 2 2" xfId="21705"/>
    <cellStyle name="Normal 2 7 2 3 3 3" xfId="14282"/>
    <cellStyle name="Normal 2 7 2 3 3 3 2" xfId="25399"/>
    <cellStyle name="Normal 2 7 2 3 3 4" xfId="18011"/>
    <cellStyle name="Normal 2 7 2 3 4" xfId="8735"/>
    <cellStyle name="Normal 2 7 2 3 4 2" xfId="19858"/>
    <cellStyle name="Normal 2 7 2 3 5" xfId="12435"/>
    <cellStyle name="Normal 2 7 2 3 5 2" xfId="23552"/>
    <cellStyle name="Normal 2 7 2 3 6" xfId="16164"/>
    <cellStyle name="Normal 2 7 2 4" xfId="5688"/>
    <cellStyle name="Normal 2 7 2 4 2" xfId="7798"/>
    <cellStyle name="Normal 2 7 2 4 2 2" xfId="11499"/>
    <cellStyle name="Normal 2 7 2 4 2 2 2" xfId="22621"/>
    <cellStyle name="Normal 2 7 2 4 2 3" xfId="15198"/>
    <cellStyle name="Normal 2 7 2 4 2 3 2" xfId="26315"/>
    <cellStyle name="Normal 2 7 2 4 2 4" xfId="18927"/>
    <cellStyle name="Normal 2 7 2 4 3" xfId="9652"/>
    <cellStyle name="Normal 2 7 2 4 3 2" xfId="20774"/>
    <cellStyle name="Normal 2 7 2 4 4" xfId="13351"/>
    <cellStyle name="Normal 2 7 2 4 4 2" xfId="24468"/>
    <cellStyle name="Normal 2 7 2 4 5" xfId="17080"/>
    <cellStyle name="Normal 2 7 2 5" xfId="6878"/>
    <cellStyle name="Normal 2 7 2 5 2" xfId="10580"/>
    <cellStyle name="Normal 2 7 2 5 2 2" xfId="21702"/>
    <cellStyle name="Normal 2 7 2 5 3" xfId="14279"/>
    <cellStyle name="Normal 2 7 2 5 3 2" xfId="25396"/>
    <cellStyle name="Normal 2 7 2 5 4" xfId="18008"/>
    <cellStyle name="Normal 2 7 2 6" xfId="8732"/>
    <cellStyle name="Normal 2 7 2 6 2" xfId="19855"/>
    <cellStyle name="Normal 2 7 2 7" xfId="12432"/>
    <cellStyle name="Normal 2 7 2 7 2" xfId="23549"/>
    <cellStyle name="Normal 2 7 2 8" xfId="16161"/>
    <cellStyle name="Normal 2 7 3" xfId="3493"/>
    <cellStyle name="Normal 2 7 3 2" xfId="3494"/>
    <cellStyle name="Normal 2 7 3 2 2" xfId="5693"/>
    <cellStyle name="Normal 2 7 3 2 2 2" xfId="7803"/>
    <cellStyle name="Normal 2 7 3 2 2 2 2" xfId="11504"/>
    <cellStyle name="Normal 2 7 3 2 2 2 2 2" xfId="22626"/>
    <cellStyle name="Normal 2 7 3 2 2 2 3" xfId="15203"/>
    <cellStyle name="Normal 2 7 3 2 2 2 3 2" xfId="26320"/>
    <cellStyle name="Normal 2 7 3 2 2 2 4" xfId="18932"/>
    <cellStyle name="Normal 2 7 3 2 2 3" xfId="9657"/>
    <cellStyle name="Normal 2 7 3 2 2 3 2" xfId="20779"/>
    <cellStyle name="Normal 2 7 3 2 2 4" xfId="13356"/>
    <cellStyle name="Normal 2 7 3 2 2 4 2" xfId="24473"/>
    <cellStyle name="Normal 2 7 3 2 2 5" xfId="17085"/>
    <cellStyle name="Normal 2 7 3 2 3" xfId="6883"/>
    <cellStyle name="Normal 2 7 3 2 3 2" xfId="10585"/>
    <cellStyle name="Normal 2 7 3 2 3 2 2" xfId="21707"/>
    <cellStyle name="Normal 2 7 3 2 3 3" xfId="14284"/>
    <cellStyle name="Normal 2 7 3 2 3 3 2" xfId="25401"/>
    <cellStyle name="Normal 2 7 3 2 3 4" xfId="18013"/>
    <cellStyle name="Normal 2 7 3 2 4" xfId="8737"/>
    <cellStyle name="Normal 2 7 3 2 4 2" xfId="19860"/>
    <cellStyle name="Normal 2 7 3 2 5" xfId="12437"/>
    <cellStyle name="Normal 2 7 3 2 5 2" xfId="23554"/>
    <cellStyle name="Normal 2 7 3 2 6" xfId="16166"/>
    <cellStyle name="Normal 2 7 3 3" xfId="5692"/>
    <cellStyle name="Normal 2 7 3 3 2" xfId="7802"/>
    <cellStyle name="Normal 2 7 3 3 2 2" xfId="11503"/>
    <cellStyle name="Normal 2 7 3 3 2 2 2" xfId="22625"/>
    <cellStyle name="Normal 2 7 3 3 2 3" xfId="15202"/>
    <cellStyle name="Normal 2 7 3 3 2 3 2" xfId="26319"/>
    <cellStyle name="Normal 2 7 3 3 2 4" xfId="18931"/>
    <cellStyle name="Normal 2 7 3 3 3" xfId="9656"/>
    <cellStyle name="Normal 2 7 3 3 3 2" xfId="20778"/>
    <cellStyle name="Normal 2 7 3 3 4" xfId="13355"/>
    <cellStyle name="Normal 2 7 3 3 4 2" xfId="24472"/>
    <cellStyle name="Normal 2 7 3 3 5" xfId="17084"/>
    <cellStyle name="Normal 2 7 3 4" xfId="6882"/>
    <cellStyle name="Normal 2 7 3 4 2" xfId="10584"/>
    <cellStyle name="Normal 2 7 3 4 2 2" xfId="21706"/>
    <cellStyle name="Normal 2 7 3 4 3" xfId="14283"/>
    <cellStyle name="Normal 2 7 3 4 3 2" xfId="25400"/>
    <cellStyle name="Normal 2 7 3 4 4" xfId="18012"/>
    <cellStyle name="Normal 2 7 3 5" xfId="8736"/>
    <cellStyle name="Normal 2 7 3 5 2" xfId="19859"/>
    <cellStyle name="Normal 2 7 3 6" xfId="12436"/>
    <cellStyle name="Normal 2 7 3 6 2" xfId="23553"/>
    <cellStyle name="Normal 2 7 3 7" xfId="16165"/>
    <cellStyle name="Normal 2 7 4" xfId="3495"/>
    <cellStyle name="Normal 2 7 5" xfId="3496"/>
    <cellStyle name="Normal 2 7 5 2" xfId="5694"/>
    <cellStyle name="Normal 2 7 5 2 2" xfId="7804"/>
    <cellStyle name="Normal 2 7 5 2 2 2" xfId="11505"/>
    <cellStyle name="Normal 2 7 5 2 2 2 2" xfId="22627"/>
    <cellStyle name="Normal 2 7 5 2 2 3" xfId="15204"/>
    <cellStyle name="Normal 2 7 5 2 2 3 2" xfId="26321"/>
    <cellStyle name="Normal 2 7 5 2 2 4" xfId="18933"/>
    <cellStyle name="Normal 2 7 5 2 3" xfId="9658"/>
    <cellStyle name="Normal 2 7 5 2 3 2" xfId="20780"/>
    <cellStyle name="Normal 2 7 5 2 4" xfId="13357"/>
    <cellStyle name="Normal 2 7 5 2 4 2" xfId="24474"/>
    <cellStyle name="Normal 2 7 5 2 5" xfId="17086"/>
    <cellStyle name="Normal 2 7 5 3" xfId="6884"/>
    <cellStyle name="Normal 2 7 5 3 2" xfId="10586"/>
    <cellStyle name="Normal 2 7 5 3 2 2" xfId="21708"/>
    <cellStyle name="Normal 2 7 5 3 3" xfId="14285"/>
    <cellStyle name="Normal 2 7 5 3 3 2" xfId="25402"/>
    <cellStyle name="Normal 2 7 5 3 4" xfId="18014"/>
    <cellStyle name="Normal 2 7 5 4" xfId="8738"/>
    <cellStyle name="Normal 2 7 5 4 2" xfId="19861"/>
    <cellStyle name="Normal 2 7 5 5" xfId="12438"/>
    <cellStyle name="Normal 2 7 5 5 2" xfId="23555"/>
    <cellStyle name="Normal 2 7 5 6" xfId="16167"/>
    <cellStyle name="Normal 2 7 6" xfId="3497"/>
    <cellStyle name="Normal 2 7 6 2" xfId="5695"/>
    <cellStyle name="Normal 2 7 6 2 2" xfId="7805"/>
    <cellStyle name="Normal 2 7 6 2 2 2" xfId="11506"/>
    <cellStyle name="Normal 2 7 6 2 2 2 2" xfId="22628"/>
    <cellStyle name="Normal 2 7 6 2 2 3" xfId="15205"/>
    <cellStyle name="Normal 2 7 6 2 2 3 2" xfId="26322"/>
    <cellStyle name="Normal 2 7 6 2 2 4" xfId="18934"/>
    <cellStyle name="Normal 2 7 6 2 3" xfId="9659"/>
    <cellStyle name="Normal 2 7 6 2 3 2" xfId="20781"/>
    <cellStyle name="Normal 2 7 6 2 4" xfId="13358"/>
    <cellStyle name="Normal 2 7 6 2 4 2" xfId="24475"/>
    <cellStyle name="Normal 2 7 6 2 5" xfId="17087"/>
    <cellStyle name="Normal 2 7 6 3" xfId="6885"/>
    <cellStyle name="Normal 2 7 6 3 2" xfId="10587"/>
    <cellStyle name="Normal 2 7 6 3 2 2" xfId="21709"/>
    <cellStyle name="Normal 2 7 6 3 3" xfId="14286"/>
    <cellStyle name="Normal 2 7 6 3 3 2" xfId="25403"/>
    <cellStyle name="Normal 2 7 6 3 4" xfId="18015"/>
    <cellStyle name="Normal 2 7 6 4" xfId="8739"/>
    <cellStyle name="Normal 2 7 6 4 2" xfId="19862"/>
    <cellStyle name="Normal 2 7 6 5" xfId="12439"/>
    <cellStyle name="Normal 2 7 6 5 2" xfId="23556"/>
    <cellStyle name="Normal 2 7 6 6" xfId="16168"/>
    <cellStyle name="Normal 2 7 7" xfId="3488"/>
    <cellStyle name="Normal 2 8" xfId="2099"/>
    <cellStyle name="Normal 2 8 2" xfId="3498"/>
    <cellStyle name="Normal 2 9" xfId="3499"/>
    <cellStyle name="Normal 2_Exhibits" xfId="716"/>
    <cellStyle name="Normal 20" xfId="405"/>
    <cellStyle name="Normal 20 2" xfId="406"/>
    <cellStyle name="Normal 20 2 2" xfId="1270"/>
    <cellStyle name="Normal 20 2 2 2" xfId="5993"/>
    <cellStyle name="Normal 20 3" xfId="1273"/>
    <cellStyle name="Normal 20 3 2" xfId="3500"/>
    <cellStyle name="Normal 20 3 3" xfId="3501"/>
    <cellStyle name="Normal 20 4" xfId="3502"/>
    <cellStyle name="Normal 20 4 2" xfId="3503"/>
    <cellStyle name="Normal 200" xfId="5981"/>
    <cellStyle name="Normal 201" xfId="5970"/>
    <cellStyle name="Normal 202" xfId="6147"/>
    <cellStyle name="Normal 203" xfId="7045"/>
    <cellStyle name="Normal 204" xfId="7996"/>
    <cellStyle name="Normal 205" xfId="7997"/>
    <cellStyle name="Normal 206" xfId="8899"/>
    <cellStyle name="Normal 207" xfId="11697"/>
    <cellStyle name="Normal 208" xfId="7999"/>
    <cellStyle name="Normal 209" xfId="8050"/>
    <cellStyle name="Normal 21" xfId="407"/>
    <cellStyle name="Normal 21 2" xfId="408"/>
    <cellStyle name="Normal 21 2 2" xfId="3504"/>
    <cellStyle name="Normal 21 3" xfId="3505"/>
    <cellStyle name="Normal 21 4" xfId="3506"/>
    <cellStyle name="Normal 210" xfId="11700"/>
    <cellStyle name="Normal 211" xfId="11698"/>
    <cellStyle name="Normal 212" xfId="7998"/>
    <cellStyle name="Normal 213" xfId="11699"/>
    <cellStyle name="Normal 214" xfId="8000"/>
    <cellStyle name="Normal 215" xfId="11701"/>
    <cellStyle name="Normal 216" xfId="15396"/>
    <cellStyle name="Normal 217" xfId="15399"/>
    <cellStyle name="Normal 218" xfId="15407"/>
    <cellStyle name="Normal 219" xfId="15410"/>
    <cellStyle name="Normal 22" xfId="409"/>
    <cellStyle name="Normal 22 2" xfId="410"/>
    <cellStyle name="Normal 22 2 2" xfId="935"/>
    <cellStyle name="Normal 22 2 2 2" xfId="3507"/>
    <cellStyle name="Normal 22 2 3" xfId="3508"/>
    <cellStyle name="Normal 22 3" xfId="1274"/>
    <cellStyle name="Normal 22 3 2" xfId="5994"/>
    <cellStyle name="Normal 220" xfId="15421"/>
    <cellStyle name="Normal 221" xfId="15425"/>
    <cellStyle name="Normal 222" xfId="15428"/>
    <cellStyle name="Normal 223" xfId="15430"/>
    <cellStyle name="Normal 23" xfId="411"/>
    <cellStyle name="Normal 23 2" xfId="412"/>
    <cellStyle name="Normal 23 2 2" xfId="6068"/>
    <cellStyle name="Normal 23 3" xfId="5995"/>
    <cellStyle name="Normal 24" xfId="413"/>
    <cellStyle name="Normal 24 2" xfId="414"/>
    <cellStyle name="Normal 24 2 2" xfId="6069"/>
    <cellStyle name="Normal 24 3" xfId="5996"/>
    <cellStyle name="Normal 25" xfId="415"/>
    <cellStyle name="Normal 25 2" xfId="416"/>
    <cellStyle name="Normal 25 2 2" xfId="5493"/>
    <cellStyle name="Normal 25 2 2 2" xfId="6135"/>
    <cellStyle name="Normal 25 2 3" xfId="5290"/>
    <cellStyle name="Normal 25 2 3 2" xfId="6070"/>
    <cellStyle name="Normal 25 2 4" xfId="5998"/>
    <cellStyle name="Normal 25 3" xfId="3509"/>
    <cellStyle name="Normal 25 3 2" xfId="5492"/>
    <cellStyle name="Normal 25 4" xfId="5997"/>
    <cellStyle name="Normal 26" xfId="417"/>
    <cellStyle name="Normal 26 2" xfId="418"/>
    <cellStyle name="Normal 26 2 2" xfId="6071"/>
    <cellStyle name="Normal 26 3" xfId="5999"/>
    <cellStyle name="Normal 27" xfId="419"/>
    <cellStyle name="Normal 27 2" xfId="3510"/>
    <cellStyle name="Normal 27 2 2" xfId="3511"/>
    <cellStyle name="Normal 27 2 3" xfId="5696"/>
    <cellStyle name="Normal 27 2 3 2" xfId="7806"/>
    <cellStyle name="Normal 27 2 3 2 2" xfId="11507"/>
    <cellStyle name="Normal 27 2 3 2 2 2" xfId="22629"/>
    <cellStyle name="Normal 27 2 3 2 3" xfId="15206"/>
    <cellStyle name="Normal 27 2 3 2 3 2" xfId="26323"/>
    <cellStyle name="Normal 27 2 3 2 4" xfId="18935"/>
    <cellStyle name="Normal 27 2 3 3" xfId="9660"/>
    <cellStyle name="Normal 27 2 3 3 2" xfId="20782"/>
    <cellStyle name="Normal 27 2 3 4" xfId="13359"/>
    <cellStyle name="Normal 27 2 3 4 2" xfId="24476"/>
    <cellStyle name="Normal 27 2 3 5" xfId="17088"/>
    <cellStyle name="Normal 27 2 4" xfId="6886"/>
    <cellStyle name="Normal 27 2 4 2" xfId="10588"/>
    <cellStyle name="Normal 27 2 4 2 2" xfId="21710"/>
    <cellStyle name="Normal 27 2 4 3" xfId="14287"/>
    <cellStyle name="Normal 27 2 4 3 2" xfId="25404"/>
    <cellStyle name="Normal 27 2 4 4" xfId="18016"/>
    <cellStyle name="Normal 27 2 5" xfId="8740"/>
    <cellStyle name="Normal 27 2 5 2" xfId="19863"/>
    <cellStyle name="Normal 27 2 6" xfId="12440"/>
    <cellStyle name="Normal 27 2 6 2" xfId="23557"/>
    <cellStyle name="Normal 27 2 7" xfId="16169"/>
    <cellStyle name="Normal 27 3" xfId="4375"/>
    <cellStyle name="Normal 27 3 2" xfId="5857"/>
    <cellStyle name="Normal 27 3 2 2" xfId="7962"/>
    <cellStyle name="Normal 27 3 2 2 2" xfId="11663"/>
    <cellStyle name="Normal 27 3 2 2 2 2" xfId="22785"/>
    <cellStyle name="Normal 27 3 2 2 3" xfId="15362"/>
    <cellStyle name="Normal 27 3 2 2 3 2" xfId="26479"/>
    <cellStyle name="Normal 27 3 2 2 4" xfId="19091"/>
    <cellStyle name="Normal 27 3 2 3" xfId="9816"/>
    <cellStyle name="Normal 27 3 2 3 2" xfId="20938"/>
    <cellStyle name="Normal 27 3 2 4" xfId="13515"/>
    <cellStyle name="Normal 27 3 2 4 2" xfId="24632"/>
    <cellStyle name="Normal 27 3 2 5" xfId="17244"/>
    <cellStyle name="Normal 27 3 3" xfId="7042"/>
    <cellStyle name="Normal 27 3 3 2" xfId="10744"/>
    <cellStyle name="Normal 27 3 3 2 2" xfId="21866"/>
    <cellStyle name="Normal 27 3 3 3" xfId="14443"/>
    <cellStyle name="Normal 27 3 3 3 2" xfId="25560"/>
    <cellStyle name="Normal 27 3 3 4" xfId="18172"/>
    <cellStyle name="Normal 27 3 4" xfId="8896"/>
    <cellStyle name="Normal 27 3 4 2" xfId="20019"/>
    <cellStyle name="Normal 27 3 5" xfId="12596"/>
    <cellStyle name="Normal 27 3 5 2" xfId="23713"/>
    <cellStyle name="Normal 27 3 6" xfId="16325"/>
    <cellStyle name="Normal 28" xfId="420"/>
    <cellStyle name="Normal 28 2" xfId="3512"/>
    <cellStyle name="Normal 28 2 2" xfId="3513"/>
    <cellStyle name="Normal 28 2 3" xfId="5697"/>
    <cellStyle name="Normal 28 2 3 2" xfId="7807"/>
    <cellStyle name="Normal 28 2 3 2 2" xfId="11508"/>
    <cellStyle name="Normal 28 2 3 2 2 2" xfId="22630"/>
    <cellStyle name="Normal 28 2 3 2 3" xfId="15207"/>
    <cellStyle name="Normal 28 2 3 2 3 2" xfId="26324"/>
    <cellStyle name="Normal 28 2 3 2 4" xfId="18936"/>
    <cellStyle name="Normal 28 2 3 3" xfId="9661"/>
    <cellStyle name="Normal 28 2 3 3 2" xfId="20783"/>
    <cellStyle name="Normal 28 2 3 4" xfId="13360"/>
    <cellStyle name="Normal 28 2 3 4 2" xfId="24477"/>
    <cellStyle name="Normal 28 2 3 5" xfId="17089"/>
    <cellStyle name="Normal 28 2 4" xfId="6887"/>
    <cellStyle name="Normal 28 2 4 2" xfId="10589"/>
    <cellStyle name="Normal 28 2 4 2 2" xfId="21711"/>
    <cellStyle name="Normal 28 2 4 3" xfId="14288"/>
    <cellStyle name="Normal 28 2 4 3 2" xfId="25405"/>
    <cellStyle name="Normal 28 2 4 4" xfId="18017"/>
    <cellStyle name="Normal 28 2 5" xfId="8741"/>
    <cellStyle name="Normal 28 2 5 2" xfId="19864"/>
    <cellStyle name="Normal 28 2 6" xfId="12441"/>
    <cellStyle name="Normal 28 2 6 2" xfId="23558"/>
    <cellStyle name="Normal 28 2 7" xfId="16170"/>
    <cellStyle name="Normal 28 3" xfId="4374"/>
    <cellStyle name="Normal 28 3 2" xfId="5856"/>
    <cellStyle name="Normal 28 3 2 2" xfId="7961"/>
    <cellStyle name="Normal 28 3 2 2 2" xfId="11662"/>
    <cellStyle name="Normal 28 3 2 2 2 2" xfId="22784"/>
    <cellStyle name="Normal 28 3 2 2 3" xfId="15361"/>
    <cellStyle name="Normal 28 3 2 2 3 2" xfId="26478"/>
    <cellStyle name="Normal 28 3 2 2 4" xfId="19090"/>
    <cellStyle name="Normal 28 3 2 3" xfId="9815"/>
    <cellStyle name="Normal 28 3 2 3 2" xfId="20937"/>
    <cellStyle name="Normal 28 3 2 4" xfId="13514"/>
    <cellStyle name="Normal 28 3 2 4 2" xfId="24631"/>
    <cellStyle name="Normal 28 3 2 5" xfId="17243"/>
    <cellStyle name="Normal 28 3 3" xfId="7041"/>
    <cellStyle name="Normal 28 3 3 2" xfId="10743"/>
    <cellStyle name="Normal 28 3 3 2 2" xfId="21865"/>
    <cellStyle name="Normal 28 3 3 3" xfId="14442"/>
    <cellStyle name="Normal 28 3 3 3 2" xfId="25559"/>
    <cellStyle name="Normal 28 3 3 4" xfId="18171"/>
    <cellStyle name="Normal 28 3 4" xfId="8895"/>
    <cellStyle name="Normal 28 3 4 2" xfId="20018"/>
    <cellStyle name="Normal 28 3 5" xfId="12595"/>
    <cellStyle name="Normal 28 3 5 2" xfId="23712"/>
    <cellStyle name="Normal 28 3 6" xfId="16324"/>
    <cellStyle name="Normal 29" xfId="421"/>
    <cellStyle name="Normal 29 2" xfId="3514"/>
    <cellStyle name="Normal 3" xfId="56"/>
    <cellStyle name="Normal 3 2" xfId="422"/>
    <cellStyle name="Normal 3 2 2" xfId="423"/>
    <cellStyle name="Normal 3 2 2 2" xfId="424"/>
    <cellStyle name="Normal 3 2 2 2 2" xfId="3515"/>
    <cellStyle name="Normal 3 2 2 2 2 2" xfId="6072"/>
    <cellStyle name="Normal 3 2 2 3" xfId="939"/>
    <cellStyle name="Normal 3 2 2 3 2" xfId="3516"/>
    <cellStyle name="Normal 3 2 2 4" xfId="3517"/>
    <cellStyle name="Normal 3 2 3" xfId="425"/>
    <cellStyle name="Normal 3 2 3 2" xfId="1306"/>
    <cellStyle name="Normal 3 2 3 2 2" xfId="1284"/>
    <cellStyle name="Normal 3 2 3 2 2 2" xfId="3518"/>
    <cellStyle name="Normal 3 2 4" xfId="1128"/>
    <cellStyle name="Normal 3 2 4 2" xfId="3520"/>
    <cellStyle name="Normal 3 2 4 3" xfId="3519"/>
    <cellStyle name="Normal 3 2 5" xfId="3521"/>
    <cellStyle name="Normal 3 2 5 10" xfId="12442"/>
    <cellStyle name="Normal 3 2 5 10 2" xfId="23559"/>
    <cellStyle name="Normal 3 2 5 11" xfId="16171"/>
    <cellStyle name="Normal 3 2 5 2" xfId="3522"/>
    <cellStyle name="Normal 3 2 5 2 2" xfId="3523"/>
    <cellStyle name="Normal 3 2 5 2 2 2" xfId="3524"/>
    <cellStyle name="Normal 3 2 5 2 2 2 2" xfId="3525"/>
    <cellStyle name="Normal 3 2 5 2 2 2 2 2" xfId="5702"/>
    <cellStyle name="Normal 3 2 5 2 2 2 2 2 2" xfId="7812"/>
    <cellStyle name="Normal 3 2 5 2 2 2 2 2 2 2" xfId="11513"/>
    <cellStyle name="Normal 3 2 5 2 2 2 2 2 2 2 2" xfId="22635"/>
    <cellStyle name="Normal 3 2 5 2 2 2 2 2 2 3" xfId="15212"/>
    <cellStyle name="Normal 3 2 5 2 2 2 2 2 2 3 2" xfId="26329"/>
    <cellStyle name="Normal 3 2 5 2 2 2 2 2 2 4" xfId="18941"/>
    <cellStyle name="Normal 3 2 5 2 2 2 2 2 3" xfId="9666"/>
    <cellStyle name="Normal 3 2 5 2 2 2 2 2 3 2" xfId="20788"/>
    <cellStyle name="Normal 3 2 5 2 2 2 2 2 4" xfId="13365"/>
    <cellStyle name="Normal 3 2 5 2 2 2 2 2 4 2" xfId="24482"/>
    <cellStyle name="Normal 3 2 5 2 2 2 2 2 5" xfId="17094"/>
    <cellStyle name="Normal 3 2 5 2 2 2 2 3" xfId="6892"/>
    <cellStyle name="Normal 3 2 5 2 2 2 2 3 2" xfId="10594"/>
    <cellStyle name="Normal 3 2 5 2 2 2 2 3 2 2" xfId="21716"/>
    <cellStyle name="Normal 3 2 5 2 2 2 2 3 3" xfId="14293"/>
    <cellStyle name="Normal 3 2 5 2 2 2 2 3 3 2" xfId="25410"/>
    <cellStyle name="Normal 3 2 5 2 2 2 2 3 4" xfId="18022"/>
    <cellStyle name="Normal 3 2 5 2 2 2 2 4" xfId="8746"/>
    <cellStyle name="Normal 3 2 5 2 2 2 2 4 2" xfId="19869"/>
    <cellStyle name="Normal 3 2 5 2 2 2 2 5" xfId="12446"/>
    <cellStyle name="Normal 3 2 5 2 2 2 2 5 2" xfId="23563"/>
    <cellStyle name="Normal 3 2 5 2 2 2 2 6" xfId="16175"/>
    <cellStyle name="Normal 3 2 5 2 2 2 3" xfId="5701"/>
    <cellStyle name="Normal 3 2 5 2 2 2 3 2" xfId="7811"/>
    <cellStyle name="Normal 3 2 5 2 2 2 3 2 2" xfId="11512"/>
    <cellStyle name="Normal 3 2 5 2 2 2 3 2 2 2" xfId="22634"/>
    <cellStyle name="Normal 3 2 5 2 2 2 3 2 3" xfId="15211"/>
    <cellStyle name="Normal 3 2 5 2 2 2 3 2 3 2" xfId="26328"/>
    <cellStyle name="Normal 3 2 5 2 2 2 3 2 4" xfId="18940"/>
    <cellStyle name="Normal 3 2 5 2 2 2 3 3" xfId="9665"/>
    <cellStyle name="Normal 3 2 5 2 2 2 3 3 2" xfId="20787"/>
    <cellStyle name="Normal 3 2 5 2 2 2 3 4" xfId="13364"/>
    <cellStyle name="Normal 3 2 5 2 2 2 3 4 2" xfId="24481"/>
    <cellStyle name="Normal 3 2 5 2 2 2 3 5" xfId="17093"/>
    <cellStyle name="Normal 3 2 5 2 2 2 4" xfId="6891"/>
    <cellStyle name="Normal 3 2 5 2 2 2 4 2" xfId="10593"/>
    <cellStyle name="Normal 3 2 5 2 2 2 4 2 2" xfId="21715"/>
    <cellStyle name="Normal 3 2 5 2 2 2 4 3" xfId="14292"/>
    <cellStyle name="Normal 3 2 5 2 2 2 4 3 2" xfId="25409"/>
    <cellStyle name="Normal 3 2 5 2 2 2 4 4" xfId="18021"/>
    <cellStyle name="Normal 3 2 5 2 2 2 5" xfId="8745"/>
    <cellStyle name="Normal 3 2 5 2 2 2 5 2" xfId="19868"/>
    <cellStyle name="Normal 3 2 5 2 2 2 6" xfId="12445"/>
    <cellStyle name="Normal 3 2 5 2 2 2 6 2" xfId="23562"/>
    <cellStyle name="Normal 3 2 5 2 2 2 7" xfId="16174"/>
    <cellStyle name="Normal 3 2 5 2 2 3" xfId="3526"/>
    <cellStyle name="Normal 3 2 5 2 2 3 2" xfId="5703"/>
    <cellStyle name="Normal 3 2 5 2 2 3 2 2" xfId="7813"/>
    <cellStyle name="Normal 3 2 5 2 2 3 2 2 2" xfId="11514"/>
    <cellStyle name="Normal 3 2 5 2 2 3 2 2 2 2" xfId="22636"/>
    <cellStyle name="Normal 3 2 5 2 2 3 2 2 3" xfId="15213"/>
    <cellStyle name="Normal 3 2 5 2 2 3 2 2 3 2" xfId="26330"/>
    <cellStyle name="Normal 3 2 5 2 2 3 2 2 4" xfId="18942"/>
    <cellStyle name="Normal 3 2 5 2 2 3 2 3" xfId="9667"/>
    <cellStyle name="Normal 3 2 5 2 2 3 2 3 2" xfId="20789"/>
    <cellStyle name="Normal 3 2 5 2 2 3 2 4" xfId="13366"/>
    <cellStyle name="Normal 3 2 5 2 2 3 2 4 2" xfId="24483"/>
    <cellStyle name="Normal 3 2 5 2 2 3 2 5" xfId="17095"/>
    <cellStyle name="Normal 3 2 5 2 2 3 3" xfId="6893"/>
    <cellStyle name="Normal 3 2 5 2 2 3 3 2" xfId="10595"/>
    <cellStyle name="Normal 3 2 5 2 2 3 3 2 2" xfId="21717"/>
    <cellStyle name="Normal 3 2 5 2 2 3 3 3" xfId="14294"/>
    <cellStyle name="Normal 3 2 5 2 2 3 3 3 2" xfId="25411"/>
    <cellStyle name="Normal 3 2 5 2 2 3 3 4" xfId="18023"/>
    <cellStyle name="Normal 3 2 5 2 2 3 4" xfId="8747"/>
    <cellStyle name="Normal 3 2 5 2 2 3 4 2" xfId="19870"/>
    <cellStyle name="Normal 3 2 5 2 2 3 5" xfId="12447"/>
    <cellStyle name="Normal 3 2 5 2 2 3 5 2" xfId="23564"/>
    <cellStyle name="Normal 3 2 5 2 2 3 6" xfId="16176"/>
    <cellStyle name="Normal 3 2 5 2 2 4" xfId="5700"/>
    <cellStyle name="Normal 3 2 5 2 2 4 2" xfId="7810"/>
    <cellStyle name="Normal 3 2 5 2 2 4 2 2" xfId="11511"/>
    <cellStyle name="Normal 3 2 5 2 2 4 2 2 2" xfId="22633"/>
    <cellStyle name="Normal 3 2 5 2 2 4 2 3" xfId="15210"/>
    <cellStyle name="Normal 3 2 5 2 2 4 2 3 2" xfId="26327"/>
    <cellStyle name="Normal 3 2 5 2 2 4 2 4" xfId="18939"/>
    <cellStyle name="Normal 3 2 5 2 2 4 3" xfId="9664"/>
    <cellStyle name="Normal 3 2 5 2 2 4 3 2" xfId="20786"/>
    <cellStyle name="Normal 3 2 5 2 2 4 4" xfId="13363"/>
    <cellStyle name="Normal 3 2 5 2 2 4 4 2" xfId="24480"/>
    <cellStyle name="Normal 3 2 5 2 2 4 5" xfId="17092"/>
    <cellStyle name="Normal 3 2 5 2 2 5" xfId="6890"/>
    <cellStyle name="Normal 3 2 5 2 2 5 2" xfId="10592"/>
    <cellStyle name="Normal 3 2 5 2 2 5 2 2" xfId="21714"/>
    <cellStyle name="Normal 3 2 5 2 2 5 3" xfId="14291"/>
    <cellStyle name="Normal 3 2 5 2 2 5 3 2" xfId="25408"/>
    <cellStyle name="Normal 3 2 5 2 2 5 4" xfId="18020"/>
    <cellStyle name="Normal 3 2 5 2 2 6" xfId="8744"/>
    <cellStyle name="Normal 3 2 5 2 2 6 2" xfId="19867"/>
    <cellStyle name="Normal 3 2 5 2 2 7" xfId="12444"/>
    <cellStyle name="Normal 3 2 5 2 2 7 2" xfId="23561"/>
    <cellStyle name="Normal 3 2 5 2 2 8" xfId="16173"/>
    <cellStyle name="Normal 3 2 5 2 3" xfId="3527"/>
    <cellStyle name="Normal 3 2 5 2 3 2" xfId="3528"/>
    <cellStyle name="Normal 3 2 5 2 3 2 2" xfId="5705"/>
    <cellStyle name="Normal 3 2 5 2 3 2 2 2" xfId="7815"/>
    <cellStyle name="Normal 3 2 5 2 3 2 2 2 2" xfId="11516"/>
    <cellStyle name="Normal 3 2 5 2 3 2 2 2 2 2" xfId="22638"/>
    <cellStyle name="Normal 3 2 5 2 3 2 2 2 3" xfId="15215"/>
    <cellStyle name="Normal 3 2 5 2 3 2 2 2 3 2" xfId="26332"/>
    <cellStyle name="Normal 3 2 5 2 3 2 2 2 4" xfId="18944"/>
    <cellStyle name="Normal 3 2 5 2 3 2 2 3" xfId="9669"/>
    <cellStyle name="Normal 3 2 5 2 3 2 2 3 2" xfId="20791"/>
    <cellStyle name="Normal 3 2 5 2 3 2 2 4" xfId="13368"/>
    <cellStyle name="Normal 3 2 5 2 3 2 2 4 2" xfId="24485"/>
    <cellStyle name="Normal 3 2 5 2 3 2 2 5" xfId="17097"/>
    <cellStyle name="Normal 3 2 5 2 3 2 3" xfId="6895"/>
    <cellStyle name="Normal 3 2 5 2 3 2 3 2" xfId="10597"/>
    <cellStyle name="Normal 3 2 5 2 3 2 3 2 2" xfId="21719"/>
    <cellStyle name="Normal 3 2 5 2 3 2 3 3" xfId="14296"/>
    <cellStyle name="Normal 3 2 5 2 3 2 3 3 2" xfId="25413"/>
    <cellStyle name="Normal 3 2 5 2 3 2 3 4" xfId="18025"/>
    <cellStyle name="Normal 3 2 5 2 3 2 4" xfId="8749"/>
    <cellStyle name="Normal 3 2 5 2 3 2 4 2" xfId="19872"/>
    <cellStyle name="Normal 3 2 5 2 3 2 5" xfId="12449"/>
    <cellStyle name="Normal 3 2 5 2 3 2 5 2" xfId="23566"/>
    <cellStyle name="Normal 3 2 5 2 3 2 6" xfId="16178"/>
    <cellStyle name="Normal 3 2 5 2 3 3" xfId="5704"/>
    <cellStyle name="Normal 3 2 5 2 3 3 2" xfId="7814"/>
    <cellStyle name="Normal 3 2 5 2 3 3 2 2" xfId="11515"/>
    <cellStyle name="Normal 3 2 5 2 3 3 2 2 2" xfId="22637"/>
    <cellStyle name="Normal 3 2 5 2 3 3 2 3" xfId="15214"/>
    <cellStyle name="Normal 3 2 5 2 3 3 2 3 2" xfId="26331"/>
    <cellStyle name="Normal 3 2 5 2 3 3 2 4" xfId="18943"/>
    <cellStyle name="Normal 3 2 5 2 3 3 3" xfId="9668"/>
    <cellStyle name="Normal 3 2 5 2 3 3 3 2" xfId="20790"/>
    <cellStyle name="Normal 3 2 5 2 3 3 4" xfId="13367"/>
    <cellStyle name="Normal 3 2 5 2 3 3 4 2" xfId="24484"/>
    <cellStyle name="Normal 3 2 5 2 3 3 5" xfId="17096"/>
    <cellStyle name="Normal 3 2 5 2 3 4" xfId="6894"/>
    <cellStyle name="Normal 3 2 5 2 3 4 2" xfId="10596"/>
    <cellStyle name="Normal 3 2 5 2 3 4 2 2" xfId="21718"/>
    <cellStyle name="Normal 3 2 5 2 3 4 3" xfId="14295"/>
    <cellStyle name="Normal 3 2 5 2 3 4 3 2" xfId="25412"/>
    <cellStyle name="Normal 3 2 5 2 3 4 4" xfId="18024"/>
    <cellStyle name="Normal 3 2 5 2 3 5" xfId="8748"/>
    <cellStyle name="Normal 3 2 5 2 3 5 2" xfId="19871"/>
    <cellStyle name="Normal 3 2 5 2 3 6" xfId="12448"/>
    <cellStyle name="Normal 3 2 5 2 3 6 2" xfId="23565"/>
    <cellStyle name="Normal 3 2 5 2 3 7" xfId="16177"/>
    <cellStyle name="Normal 3 2 5 2 4" xfId="3529"/>
    <cellStyle name="Normal 3 2 5 2 4 2" xfId="5706"/>
    <cellStyle name="Normal 3 2 5 2 4 2 2" xfId="7816"/>
    <cellStyle name="Normal 3 2 5 2 4 2 2 2" xfId="11517"/>
    <cellStyle name="Normal 3 2 5 2 4 2 2 2 2" xfId="22639"/>
    <cellStyle name="Normal 3 2 5 2 4 2 2 3" xfId="15216"/>
    <cellStyle name="Normal 3 2 5 2 4 2 2 3 2" xfId="26333"/>
    <cellStyle name="Normal 3 2 5 2 4 2 2 4" xfId="18945"/>
    <cellStyle name="Normal 3 2 5 2 4 2 3" xfId="9670"/>
    <cellStyle name="Normal 3 2 5 2 4 2 3 2" xfId="20792"/>
    <cellStyle name="Normal 3 2 5 2 4 2 4" xfId="13369"/>
    <cellStyle name="Normal 3 2 5 2 4 2 4 2" xfId="24486"/>
    <cellStyle name="Normal 3 2 5 2 4 2 5" xfId="17098"/>
    <cellStyle name="Normal 3 2 5 2 4 3" xfId="6896"/>
    <cellStyle name="Normal 3 2 5 2 4 3 2" xfId="10598"/>
    <cellStyle name="Normal 3 2 5 2 4 3 2 2" xfId="21720"/>
    <cellStyle name="Normal 3 2 5 2 4 3 3" xfId="14297"/>
    <cellStyle name="Normal 3 2 5 2 4 3 3 2" xfId="25414"/>
    <cellStyle name="Normal 3 2 5 2 4 3 4" xfId="18026"/>
    <cellStyle name="Normal 3 2 5 2 4 4" xfId="8750"/>
    <cellStyle name="Normal 3 2 5 2 4 4 2" xfId="19873"/>
    <cellStyle name="Normal 3 2 5 2 4 5" xfId="12450"/>
    <cellStyle name="Normal 3 2 5 2 4 5 2" xfId="23567"/>
    <cellStyle name="Normal 3 2 5 2 4 6" xfId="16179"/>
    <cellStyle name="Normal 3 2 5 2 5" xfId="5699"/>
    <cellStyle name="Normal 3 2 5 2 5 2" xfId="7809"/>
    <cellStyle name="Normal 3 2 5 2 5 2 2" xfId="11510"/>
    <cellStyle name="Normal 3 2 5 2 5 2 2 2" xfId="22632"/>
    <cellStyle name="Normal 3 2 5 2 5 2 3" xfId="15209"/>
    <cellStyle name="Normal 3 2 5 2 5 2 3 2" xfId="26326"/>
    <cellStyle name="Normal 3 2 5 2 5 2 4" xfId="18938"/>
    <cellStyle name="Normal 3 2 5 2 5 3" xfId="9663"/>
    <cellStyle name="Normal 3 2 5 2 5 3 2" xfId="20785"/>
    <cellStyle name="Normal 3 2 5 2 5 4" xfId="13362"/>
    <cellStyle name="Normal 3 2 5 2 5 4 2" xfId="24479"/>
    <cellStyle name="Normal 3 2 5 2 5 5" xfId="17091"/>
    <cellStyle name="Normal 3 2 5 2 6" xfId="6889"/>
    <cellStyle name="Normal 3 2 5 2 6 2" xfId="10591"/>
    <cellStyle name="Normal 3 2 5 2 6 2 2" xfId="21713"/>
    <cellStyle name="Normal 3 2 5 2 6 3" xfId="14290"/>
    <cellStyle name="Normal 3 2 5 2 6 3 2" xfId="25407"/>
    <cellStyle name="Normal 3 2 5 2 6 4" xfId="18019"/>
    <cellStyle name="Normal 3 2 5 2 7" xfId="8743"/>
    <cellStyle name="Normal 3 2 5 2 7 2" xfId="19866"/>
    <cellStyle name="Normal 3 2 5 2 8" xfId="12443"/>
    <cellStyle name="Normal 3 2 5 2 8 2" xfId="23560"/>
    <cellStyle name="Normal 3 2 5 2 9" xfId="16172"/>
    <cellStyle name="Normal 3 2 5 3" xfId="3530"/>
    <cellStyle name="Normal 3 2 5 3 2" xfId="3531"/>
    <cellStyle name="Normal 3 2 5 3 2 2" xfId="3532"/>
    <cellStyle name="Normal 3 2 5 3 2 2 2" xfId="5709"/>
    <cellStyle name="Normal 3 2 5 3 2 2 2 2" xfId="7819"/>
    <cellStyle name="Normal 3 2 5 3 2 2 2 2 2" xfId="11520"/>
    <cellStyle name="Normal 3 2 5 3 2 2 2 2 2 2" xfId="22642"/>
    <cellStyle name="Normal 3 2 5 3 2 2 2 2 3" xfId="15219"/>
    <cellStyle name="Normal 3 2 5 3 2 2 2 2 3 2" xfId="26336"/>
    <cellStyle name="Normal 3 2 5 3 2 2 2 2 4" xfId="18948"/>
    <cellStyle name="Normal 3 2 5 3 2 2 2 3" xfId="9673"/>
    <cellStyle name="Normal 3 2 5 3 2 2 2 3 2" xfId="20795"/>
    <cellStyle name="Normal 3 2 5 3 2 2 2 4" xfId="13372"/>
    <cellStyle name="Normal 3 2 5 3 2 2 2 4 2" xfId="24489"/>
    <cellStyle name="Normal 3 2 5 3 2 2 2 5" xfId="17101"/>
    <cellStyle name="Normal 3 2 5 3 2 2 3" xfId="6899"/>
    <cellStyle name="Normal 3 2 5 3 2 2 3 2" xfId="10601"/>
    <cellStyle name="Normal 3 2 5 3 2 2 3 2 2" xfId="21723"/>
    <cellStyle name="Normal 3 2 5 3 2 2 3 3" xfId="14300"/>
    <cellStyle name="Normal 3 2 5 3 2 2 3 3 2" xfId="25417"/>
    <cellStyle name="Normal 3 2 5 3 2 2 3 4" xfId="18029"/>
    <cellStyle name="Normal 3 2 5 3 2 2 4" xfId="8753"/>
    <cellStyle name="Normal 3 2 5 3 2 2 4 2" xfId="19876"/>
    <cellStyle name="Normal 3 2 5 3 2 2 5" xfId="12453"/>
    <cellStyle name="Normal 3 2 5 3 2 2 5 2" xfId="23570"/>
    <cellStyle name="Normal 3 2 5 3 2 2 6" xfId="16182"/>
    <cellStyle name="Normal 3 2 5 3 2 3" xfId="5708"/>
    <cellStyle name="Normal 3 2 5 3 2 3 2" xfId="7818"/>
    <cellStyle name="Normal 3 2 5 3 2 3 2 2" xfId="11519"/>
    <cellStyle name="Normal 3 2 5 3 2 3 2 2 2" xfId="22641"/>
    <cellStyle name="Normal 3 2 5 3 2 3 2 3" xfId="15218"/>
    <cellStyle name="Normal 3 2 5 3 2 3 2 3 2" xfId="26335"/>
    <cellStyle name="Normal 3 2 5 3 2 3 2 4" xfId="18947"/>
    <cellStyle name="Normal 3 2 5 3 2 3 3" xfId="9672"/>
    <cellStyle name="Normal 3 2 5 3 2 3 3 2" xfId="20794"/>
    <cellStyle name="Normal 3 2 5 3 2 3 4" xfId="13371"/>
    <cellStyle name="Normal 3 2 5 3 2 3 4 2" xfId="24488"/>
    <cellStyle name="Normal 3 2 5 3 2 3 5" xfId="17100"/>
    <cellStyle name="Normal 3 2 5 3 2 4" xfId="6898"/>
    <cellStyle name="Normal 3 2 5 3 2 4 2" xfId="10600"/>
    <cellStyle name="Normal 3 2 5 3 2 4 2 2" xfId="21722"/>
    <cellStyle name="Normal 3 2 5 3 2 4 3" xfId="14299"/>
    <cellStyle name="Normal 3 2 5 3 2 4 3 2" xfId="25416"/>
    <cellStyle name="Normal 3 2 5 3 2 4 4" xfId="18028"/>
    <cellStyle name="Normal 3 2 5 3 2 5" xfId="8752"/>
    <cellStyle name="Normal 3 2 5 3 2 5 2" xfId="19875"/>
    <cellStyle name="Normal 3 2 5 3 2 6" xfId="12452"/>
    <cellStyle name="Normal 3 2 5 3 2 6 2" xfId="23569"/>
    <cellStyle name="Normal 3 2 5 3 2 7" xfId="16181"/>
    <cellStyle name="Normal 3 2 5 3 3" xfId="3533"/>
    <cellStyle name="Normal 3 2 5 3 3 2" xfId="5710"/>
    <cellStyle name="Normal 3 2 5 3 3 2 2" xfId="7820"/>
    <cellStyle name="Normal 3 2 5 3 3 2 2 2" xfId="11521"/>
    <cellStyle name="Normal 3 2 5 3 3 2 2 2 2" xfId="22643"/>
    <cellStyle name="Normal 3 2 5 3 3 2 2 3" xfId="15220"/>
    <cellStyle name="Normal 3 2 5 3 3 2 2 3 2" xfId="26337"/>
    <cellStyle name="Normal 3 2 5 3 3 2 2 4" xfId="18949"/>
    <cellStyle name="Normal 3 2 5 3 3 2 3" xfId="9674"/>
    <cellStyle name="Normal 3 2 5 3 3 2 3 2" xfId="20796"/>
    <cellStyle name="Normal 3 2 5 3 3 2 4" xfId="13373"/>
    <cellStyle name="Normal 3 2 5 3 3 2 4 2" xfId="24490"/>
    <cellStyle name="Normal 3 2 5 3 3 2 5" xfId="17102"/>
    <cellStyle name="Normal 3 2 5 3 3 3" xfId="6900"/>
    <cellStyle name="Normal 3 2 5 3 3 3 2" xfId="10602"/>
    <cellStyle name="Normal 3 2 5 3 3 3 2 2" xfId="21724"/>
    <cellStyle name="Normal 3 2 5 3 3 3 3" xfId="14301"/>
    <cellStyle name="Normal 3 2 5 3 3 3 3 2" xfId="25418"/>
    <cellStyle name="Normal 3 2 5 3 3 3 4" xfId="18030"/>
    <cellStyle name="Normal 3 2 5 3 3 4" xfId="8754"/>
    <cellStyle name="Normal 3 2 5 3 3 4 2" xfId="19877"/>
    <cellStyle name="Normal 3 2 5 3 3 5" xfId="12454"/>
    <cellStyle name="Normal 3 2 5 3 3 5 2" xfId="23571"/>
    <cellStyle name="Normal 3 2 5 3 3 6" xfId="16183"/>
    <cellStyle name="Normal 3 2 5 3 4" xfId="5707"/>
    <cellStyle name="Normal 3 2 5 3 4 2" xfId="7817"/>
    <cellStyle name="Normal 3 2 5 3 4 2 2" xfId="11518"/>
    <cellStyle name="Normal 3 2 5 3 4 2 2 2" xfId="22640"/>
    <cellStyle name="Normal 3 2 5 3 4 2 3" xfId="15217"/>
    <cellStyle name="Normal 3 2 5 3 4 2 3 2" xfId="26334"/>
    <cellStyle name="Normal 3 2 5 3 4 2 4" xfId="18946"/>
    <cellStyle name="Normal 3 2 5 3 4 3" xfId="9671"/>
    <cellStyle name="Normal 3 2 5 3 4 3 2" xfId="20793"/>
    <cellStyle name="Normal 3 2 5 3 4 4" xfId="13370"/>
    <cellStyle name="Normal 3 2 5 3 4 4 2" xfId="24487"/>
    <cellStyle name="Normal 3 2 5 3 4 5" xfId="17099"/>
    <cellStyle name="Normal 3 2 5 3 5" xfId="6897"/>
    <cellStyle name="Normal 3 2 5 3 5 2" xfId="10599"/>
    <cellStyle name="Normal 3 2 5 3 5 2 2" xfId="21721"/>
    <cellStyle name="Normal 3 2 5 3 5 3" xfId="14298"/>
    <cellStyle name="Normal 3 2 5 3 5 3 2" xfId="25415"/>
    <cellStyle name="Normal 3 2 5 3 5 4" xfId="18027"/>
    <cellStyle name="Normal 3 2 5 3 6" xfId="8751"/>
    <cellStyle name="Normal 3 2 5 3 6 2" xfId="19874"/>
    <cellStyle name="Normal 3 2 5 3 7" xfId="12451"/>
    <cellStyle name="Normal 3 2 5 3 7 2" xfId="23568"/>
    <cellStyle name="Normal 3 2 5 3 8" xfId="16180"/>
    <cellStyle name="Normal 3 2 5 4" xfId="3534"/>
    <cellStyle name="Normal 3 2 5 4 2" xfId="3535"/>
    <cellStyle name="Normal 3 2 5 4 2 2" xfId="5712"/>
    <cellStyle name="Normal 3 2 5 4 2 2 2" xfId="7822"/>
    <cellStyle name="Normal 3 2 5 4 2 2 2 2" xfId="11523"/>
    <cellStyle name="Normal 3 2 5 4 2 2 2 2 2" xfId="22645"/>
    <cellStyle name="Normal 3 2 5 4 2 2 2 3" xfId="15222"/>
    <cellStyle name="Normal 3 2 5 4 2 2 2 3 2" xfId="26339"/>
    <cellStyle name="Normal 3 2 5 4 2 2 2 4" xfId="18951"/>
    <cellStyle name="Normal 3 2 5 4 2 2 3" xfId="9676"/>
    <cellStyle name="Normal 3 2 5 4 2 2 3 2" xfId="20798"/>
    <cellStyle name="Normal 3 2 5 4 2 2 4" xfId="13375"/>
    <cellStyle name="Normal 3 2 5 4 2 2 4 2" xfId="24492"/>
    <cellStyle name="Normal 3 2 5 4 2 2 5" xfId="17104"/>
    <cellStyle name="Normal 3 2 5 4 2 3" xfId="6902"/>
    <cellStyle name="Normal 3 2 5 4 2 3 2" xfId="10604"/>
    <cellStyle name="Normal 3 2 5 4 2 3 2 2" xfId="21726"/>
    <cellStyle name="Normal 3 2 5 4 2 3 3" xfId="14303"/>
    <cellStyle name="Normal 3 2 5 4 2 3 3 2" xfId="25420"/>
    <cellStyle name="Normal 3 2 5 4 2 3 4" xfId="18032"/>
    <cellStyle name="Normal 3 2 5 4 2 4" xfId="8756"/>
    <cellStyle name="Normal 3 2 5 4 2 4 2" xfId="19879"/>
    <cellStyle name="Normal 3 2 5 4 2 5" xfId="12456"/>
    <cellStyle name="Normal 3 2 5 4 2 5 2" xfId="23573"/>
    <cellStyle name="Normal 3 2 5 4 2 6" xfId="16185"/>
    <cellStyle name="Normal 3 2 5 4 3" xfId="5711"/>
    <cellStyle name="Normal 3 2 5 4 3 2" xfId="7821"/>
    <cellStyle name="Normal 3 2 5 4 3 2 2" xfId="11522"/>
    <cellStyle name="Normal 3 2 5 4 3 2 2 2" xfId="22644"/>
    <cellStyle name="Normal 3 2 5 4 3 2 3" xfId="15221"/>
    <cellStyle name="Normal 3 2 5 4 3 2 3 2" xfId="26338"/>
    <cellStyle name="Normal 3 2 5 4 3 2 4" xfId="18950"/>
    <cellStyle name="Normal 3 2 5 4 3 3" xfId="9675"/>
    <cellStyle name="Normal 3 2 5 4 3 3 2" xfId="20797"/>
    <cellStyle name="Normal 3 2 5 4 3 4" xfId="13374"/>
    <cellStyle name="Normal 3 2 5 4 3 4 2" xfId="24491"/>
    <cellStyle name="Normal 3 2 5 4 3 5" xfId="17103"/>
    <cellStyle name="Normal 3 2 5 4 4" xfId="6901"/>
    <cellStyle name="Normal 3 2 5 4 4 2" xfId="10603"/>
    <cellStyle name="Normal 3 2 5 4 4 2 2" xfId="21725"/>
    <cellStyle name="Normal 3 2 5 4 4 3" xfId="14302"/>
    <cellStyle name="Normal 3 2 5 4 4 3 2" xfId="25419"/>
    <cellStyle name="Normal 3 2 5 4 4 4" xfId="18031"/>
    <cellStyle name="Normal 3 2 5 4 5" xfId="8755"/>
    <cellStyle name="Normal 3 2 5 4 5 2" xfId="19878"/>
    <cellStyle name="Normal 3 2 5 4 6" xfId="12455"/>
    <cellStyle name="Normal 3 2 5 4 6 2" xfId="23572"/>
    <cellStyle name="Normal 3 2 5 4 7" xfId="16184"/>
    <cellStyle name="Normal 3 2 5 5" xfId="3536"/>
    <cellStyle name="Normal 3 2 5 5 2" xfId="5713"/>
    <cellStyle name="Normal 3 2 5 5 2 2" xfId="7823"/>
    <cellStyle name="Normal 3 2 5 5 2 2 2" xfId="11524"/>
    <cellStyle name="Normal 3 2 5 5 2 2 2 2" xfId="22646"/>
    <cellStyle name="Normal 3 2 5 5 2 2 3" xfId="15223"/>
    <cellStyle name="Normal 3 2 5 5 2 2 3 2" xfId="26340"/>
    <cellStyle name="Normal 3 2 5 5 2 2 4" xfId="18952"/>
    <cellStyle name="Normal 3 2 5 5 2 3" xfId="9677"/>
    <cellStyle name="Normal 3 2 5 5 2 3 2" xfId="20799"/>
    <cellStyle name="Normal 3 2 5 5 2 4" xfId="13376"/>
    <cellStyle name="Normal 3 2 5 5 2 4 2" xfId="24493"/>
    <cellStyle name="Normal 3 2 5 5 2 5" xfId="17105"/>
    <cellStyle name="Normal 3 2 5 5 3" xfId="6903"/>
    <cellStyle name="Normal 3 2 5 5 3 2" xfId="10605"/>
    <cellStyle name="Normal 3 2 5 5 3 2 2" xfId="21727"/>
    <cellStyle name="Normal 3 2 5 5 3 3" xfId="14304"/>
    <cellStyle name="Normal 3 2 5 5 3 3 2" xfId="25421"/>
    <cellStyle name="Normal 3 2 5 5 3 4" xfId="18033"/>
    <cellStyle name="Normal 3 2 5 5 4" xfId="8757"/>
    <cellStyle name="Normal 3 2 5 5 4 2" xfId="19880"/>
    <cellStyle name="Normal 3 2 5 5 5" xfId="12457"/>
    <cellStyle name="Normal 3 2 5 5 5 2" xfId="23574"/>
    <cellStyle name="Normal 3 2 5 5 6" xfId="16186"/>
    <cellStyle name="Normal 3 2 5 6" xfId="5698"/>
    <cellStyle name="Normal 3 2 5 6 2" xfId="7808"/>
    <cellStyle name="Normal 3 2 5 6 2 2" xfId="11509"/>
    <cellStyle name="Normal 3 2 5 6 2 2 2" xfId="22631"/>
    <cellStyle name="Normal 3 2 5 6 2 3" xfId="15208"/>
    <cellStyle name="Normal 3 2 5 6 2 3 2" xfId="26325"/>
    <cellStyle name="Normal 3 2 5 6 2 4" xfId="18937"/>
    <cellStyle name="Normal 3 2 5 6 3" xfId="9662"/>
    <cellStyle name="Normal 3 2 5 6 3 2" xfId="20784"/>
    <cellStyle name="Normal 3 2 5 6 4" xfId="13361"/>
    <cellStyle name="Normal 3 2 5 6 4 2" xfId="24478"/>
    <cellStyle name="Normal 3 2 5 6 5" xfId="17090"/>
    <cellStyle name="Normal 3 2 5 7" xfId="6001"/>
    <cellStyle name="Normal 3 2 5 8" xfId="6888"/>
    <cellStyle name="Normal 3 2 5 8 2" xfId="10590"/>
    <cellStyle name="Normal 3 2 5 8 2 2" xfId="21712"/>
    <cellStyle name="Normal 3 2 5 8 3" xfId="14289"/>
    <cellStyle name="Normal 3 2 5 8 3 2" xfId="25406"/>
    <cellStyle name="Normal 3 2 5 8 4" xfId="18018"/>
    <cellStyle name="Normal 3 2 5 9" xfId="8742"/>
    <cellStyle name="Normal 3 2 5 9 2" xfId="19865"/>
    <cellStyle name="Normal 3 2 6" xfId="3537"/>
    <cellStyle name="Normal 3 2 6 2" xfId="3538"/>
    <cellStyle name="Normal 3 2 6 2 2" xfId="3539"/>
    <cellStyle name="Normal 3 2 6 2 2 2" xfId="3540"/>
    <cellStyle name="Normal 3 2 6 2 2 2 2" xfId="5717"/>
    <cellStyle name="Normal 3 2 6 2 2 2 2 2" xfId="7827"/>
    <cellStyle name="Normal 3 2 6 2 2 2 2 2 2" xfId="11528"/>
    <cellStyle name="Normal 3 2 6 2 2 2 2 2 2 2" xfId="22650"/>
    <cellStyle name="Normal 3 2 6 2 2 2 2 2 3" xfId="15227"/>
    <cellStyle name="Normal 3 2 6 2 2 2 2 2 3 2" xfId="26344"/>
    <cellStyle name="Normal 3 2 6 2 2 2 2 2 4" xfId="18956"/>
    <cellStyle name="Normal 3 2 6 2 2 2 2 3" xfId="9681"/>
    <cellStyle name="Normal 3 2 6 2 2 2 2 3 2" xfId="20803"/>
    <cellStyle name="Normal 3 2 6 2 2 2 2 4" xfId="13380"/>
    <cellStyle name="Normal 3 2 6 2 2 2 2 4 2" xfId="24497"/>
    <cellStyle name="Normal 3 2 6 2 2 2 2 5" xfId="17109"/>
    <cellStyle name="Normal 3 2 6 2 2 2 3" xfId="6907"/>
    <cellStyle name="Normal 3 2 6 2 2 2 3 2" xfId="10609"/>
    <cellStyle name="Normal 3 2 6 2 2 2 3 2 2" xfId="21731"/>
    <cellStyle name="Normal 3 2 6 2 2 2 3 3" xfId="14308"/>
    <cellStyle name="Normal 3 2 6 2 2 2 3 3 2" xfId="25425"/>
    <cellStyle name="Normal 3 2 6 2 2 2 3 4" xfId="18037"/>
    <cellStyle name="Normal 3 2 6 2 2 2 4" xfId="8761"/>
    <cellStyle name="Normal 3 2 6 2 2 2 4 2" xfId="19884"/>
    <cellStyle name="Normal 3 2 6 2 2 2 5" xfId="12461"/>
    <cellStyle name="Normal 3 2 6 2 2 2 5 2" xfId="23578"/>
    <cellStyle name="Normal 3 2 6 2 2 2 6" xfId="16190"/>
    <cellStyle name="Normal 3 2 6 2 2 3" xfId="5716"/>
    <cellStyle name="Normal 3 2 6 2 2 3 2" xfId="7826"/>
    <cellStyle name="Normal 3 2 6 2 2 3 2 2" xfId="11527"/>
    <cellStyle name="Normal 3 2 6 2 2 3 2 2 2" xfId="22649"/>
    <cellStyle name="Normal 3 2 6 2 2 3 2 3" xfId="15226"/>
    <cellStyle name="Normal 3 2 6 2 2 3 2 3 2" xfId="26343"/>
    <cellStyle name="Normal 3 2 6 2 2 3 2 4" xfId="18955"/>
    <cellStyle name="Normal 3 2 6 2 2 3 3" xfId="9680"/>
    <cellStyle name="Normal 3 2 6 2 2 3 3 2" xfId="20802"/>
    <cellStyle name="Normal 3 2 6 2 2 3 4" xfId="13379"/>
    <cellStyle name="Normal 3 2 6 2 2 3 4 2" xfId="24496"/>
    <cellStyle name="Normal 3 2 6 2 2 3 5" xfId="17108"/>
    <cellStyle name="Normal 3 2 6 2 2 4" xfId="6906"/>
    <cellStyle name="Normal 3 2 6 2 2 4 2" xfId="10608"/>
    <cellStyle name="Normal 3 2 6 2 2 4 2 2" xfId="21730"/>
    <cellStyle name="Normal 3 2 6 2 2 4 3" xfId="14307"/>
    <cellStyle name="Normal 3 2 6 2 2 4 3 2" xfId="25424"/>
    <cellStyle name="Normal 3 2 6 2 2 4 4" xfId="18036"/>
    <cellStyle name="Normal 3 2 6 2 2 5" xfId="8760"/>
    <cellStyle name="Normal 3 2 6 2 2 5 2" xfId="19883"/>
    <cellStyle name="Normal 3 2 6 2 2 6" xfId="12460"/>
    <cellStyle name="Normal 3 2 6 2 2 6 2" xfId="23577"/>
    <cellStyle name="Normal 3 2 6 2 2 7" xfId="16189"/>
    <cellStyle name="Normal 3 2 6 2 3" xfId="3541"/>
    <cellStyle name="Normal 3 2 6 2 3 2" xfId="5718"/>
    <cellStyle name="Normal 3 2 6 2 3 2 2" xfId="7828"/>
    <cellStyle name="Normal 3 2 6 2 3 2 2 2" xfId="11529"/>
    <cellStyle name="Normal 3 2 6 2 3 2 2 2 2" xfId="22651"/>
    <cellStyle name="Normal 3 2 6 2 3 2 2 3" xfId="15228"/>
    <cellStyle name="Normal 3 2 6 2 3 2 2 3 2" xfId="26345"/>
    <cellStyle name="Normal 3 2 6 2 3 2 2 4" xfId="18957"/>
    <cellStyle name="Normal 3 2 6 2 3 2 3" xfId="9682"/>
    <cellStyle name="Normal 3 2 6 2 3 2 3 2" xfId="20804"/>
    <cellStyle name="Normal 3 2 6 2 3 2 4" xfId="13381"/>
    <cellStyle name="Normal 3 2 6 2 3 2 4 2" xfId="24498"/>
    <cellStyle name="Normal 3 2 6 2 3 2 5" xfId="17110"/>
    <cellStyle name="Normal 3 2 6 2 3 3" xfId="6908"/>
    <cellStyle name="Normal 3 2 6 2 3 3 2" xfId="10610"/>
    <cellStyle name="Normal 3 2 6 2 3 3 2 2" xfId="21732"/>
    <cellStyle name="Normal 3 2 6 2 3 3 3" xfId="14309"/>
    <cellStyle name="Normal 3 2 6 2 3 3 3 2" xfId="25426"/>
    <cellStyle name="Normal 3 2 6 2 3 3 4" xfId="18038"/>
    <cellStyle name="Normal 3 2 6 2 3 4" xfId="8762"/>
    <cellStyle name="Normal 3 2 6 2 3 4 2" xfId="19885"/>
    <cellStyle name="Normal 3 2 6 2 3 5" xfId="12462"/>
    <cellStyle name="Normal 3 2 6 2 3 5 2" xfId="23579"/>
    <cellStyle name="Normal 3 2 6 2 3 6" xfId="16191"/>
    <cellStyle name="Normal 3 2 6 2 4" xfId="5715"/>
    <cellStyle name="Normal 3 2 6 2 4 2" xfId="7825"/>
    <cellStyle name="Normal 3 2 6 2 4 2 2" xfId="11526"/>
    <cellStyle name="Normal 3 2 6 2 4 2 2 2" xfId="22648"/>
    <cellStyle name="Normal 3 2 6 2 4 2 3" xfId="15225"/>
    <cellStyle name="Normal 3 2 6 2 4 2 3 2" xfId="26342"/>
    <cellStyle name="Normal 3 2 6 2 4 2 4" xfId="18954"/>
    <cellStyle name="Normal 3 2 6 2 4 3" xfId="9679"/>
    <cellStyle name="Normal 3 2 6 2 4 3 2" xfId="20801"/>
    <cellStyle name="Normal 3 2 6 2 4 4" xfId="13378"/>
    <cellStyle name="Normal 3 2 6 2 4 4 2" xfId="24495"/>
    <cellStyle name="Normal 3 2 6 2 4 5" xfId="17107"/>
    <cellStyle name="Normal 3 2 6 2 5" xfId="6905"/>
    <cellStyle name="Normal 3 2 6 2 5 2" xfId="10607"/>
    <cellStyle name="Normal 3 2 6 2 5 2 2" xfId="21729"/>
    <cellStyle name="Normal 3 2 6 2 5 3" xfId="14306"/>
    <cellStyle name="Normal 3 2 6 2 5 3 2" xfId="25423"/>
    <cellStyle name="Normal 3 2 6 2 5 4" xfId="18035"/>
    <cellStyle name="Normal 3 2 6 2 6" xfId="8759"/>
    <cellStyle name="Normal 3 2 6 2 6 2" xfId="19882"/>
    <cellStyle name="Normal 3 2 6 2 7" xfId="12459"/>
    <cellStyle name="Normal 3 2 6 2 7 2" xfId="23576"/>
    <cellStyle name="Normal 3 2 6 2 8" xfId="16188"/>
    <cellStyle name="Normal 3 2 6 3" xfId="3542"/>
    <cellStyle name="Normal 3 2 6 3 2" xfId="3543"/>
    <cellStyle name="Normal 3 2 6 3 2 2" xfId="5720"/>
    <cellStyle name="Normal 3 2 6 3 2 2 2" xfId="7830"/>
    <cellStyle name="Normal 3 2 6 3 2 2 2 2" xfId="11531"/>
    <cellStyle name="Normal 3 2 6 3 2 2 2 2 2" xfId="22653"/>
    <cellStyle name="Normal 3 2 6 3 2 2 2 3" xfId="15230"/>
    <cellStyle name="Normal 3 2 6 3 2 2 2 3 2" xfId="26347"/>
    <cellStyle name="Normal 3 2 6 3 2 2 2 4" xfId="18959"/>
    <cellStyle name="Normal 3 2 6 3 2 2 3" xfId="9684"/>
    <cellStyle name="Normal 3 2 6 3 2 2 3 2" xfId="20806"/>
    <cellStyle name="Normal 3 2 6 3 2 2 4" xfId="13383"/>
    <cellStyle name="Normal 3 2 6 3 2 2 4 2" xfId="24500"/>
    <cellStyle name="Normal 3 2 6 3 2 2 5" xfId="17112"/>
    <cellStyle name="Normal 3 2 6 3 2 3" xfId="6910"/>
    <cellStyle name="Normal 3 2 6 3 2 3 2" xfId="10612"/>
    <cellStyle name="Normal 3 2 6 3 2 3 2 2" xfId="21734"/>
    <cellStyle name="Normal 3 2 6 3 2 3 3" xfId="14311"/>
    <cellStyle name="Normal 3 2 6 3 2 3 3 2" xfId="25428"/>
    <cellStyle name="Normal 3 2 6 3 2 3 4" xfId="18040"/>
    <cellStyle name="Normal 3 2 6 3 2 4" xfId="8764"/>
    <cellStyle name="Normal 3 2 6 3 2 4 2" xfId="19887"/>
    <cellStyle name="Normal 3 2 6 3 2 5" xfId="12464"/>
    <cellStyle name="Normal 3 2 6 3 2 5 2" xfId="23581"/>
    <cellStyle name="Normal 3 2 6 3 2 6" xfId="16193"/>
    <cellStyle name="Normal 3 2 6 3 3" xfId="5719"/>
    <cellStyle name="Normal 3 2 6 3 3 2" xfId="7829"/>
    <cellStyle name="Normal 3 2 6 3 3 2 2" xfId="11530"/>
    <cellStyle name="Normal 3 2 6 3 3 2 2 2" xfId="22652"/>
    <cellStyle name="Normal 3 2 6 3 3 2 3" xfId="15229"/>
    <cellStyle name="Normal 3 2 6 3 3 2 3 2" xfId="26346"/>
    <cellStyle name="Normal 3 2 6 3 3 2 4" xfId="18958"/>
    <cellStyle name="Normal 3 2 6 3 3 3" xfId="9683"/>
    <cellStyle name="Normal 3 2 6 3 3 3 2" xfId="20805"/>
    <cellStyle name="Normal 3 2 6 3 3 4" xfId="13382"/>
    <cellStyle name="Normal 3 2 6 3 3 4 2" xfId="24499"/>
    <cellStyle name="Normal 3 2 6 3 3 5" xfId="17111"/>
    <cellStyle name="Normal 3 2 6 3 4" xfId="6909"/>
    <cellStyle name="Normal 3 2 6 3 4 2" xfId="10611"/>
    <cellStyle name="Normal 3 2 6 3 4 2 2" xfId="21733"/>
    <cellStyle name="Normal 3 2 6 3 4 3" xfId="14310"/>
    <cellStyle name="Normal 3 2 6 3 4 3 2" xfId="25427"/>
    <cellStyle name="Normal 3 2 6 3 4 4" xfId="18039"/>
    <cellStyle name="Normal 3 2 6 3 5" xfId="8763"/>
    <cellStyle name="Normal 3 2 6 3 5 2" xfId="19886"/>
    <cellStyle name="Normal 3 2 6 3 6" xfId="12463"/>
    <cellStyle name="Normal 3 2 6 3 6 2" xfId="23580"/>
    <cellStyle name="Normal 3 2 6 3 7" xfId="16192"/>
    <cellStyle name="Normal 3 2 6 4" xfId="3544"/>
    <cellStyle name="Normal 3 2 6 4 2" xfId="5721"/>
    <cellStyle name="Normal 3 2 6 4 2 2" xfId="7831"/>
    <cellStyle name="Normal 3 2 6 4 2 2 2" xfId="11532"/>
    <cellStyle name="Normal 3 2 6 4 2 2 2 2" xfId="22654"/>
    <cellStyle name="Normal 3 2 6 4 2 2 3" xfId="15231"/>
    <cellStyle name="Normal 3 2 6 4 2 2 3 2" xfId="26348"/>
    <cellStyle name="Normal 3 2 6 4 2 2 4" xfId="18960"/>
    <cellStyle name="Normal 3 2 6 4 2 3" xfId="9685"/>
    <cellStyle name="Normal 3 2 6 4 2 3 2" xfId="20807"/>
    <cellStyle name="Normal 3 2 6 4 2 4" xfId="13384"/>
    <cellStyle name="Normal 3 2 6 4 2 4 2" xfId="24501"/>
    <cellStyle name="Normal 3 2 6 4 2 5" xfId="17113"/>
    <cellStyle name="Normal 3 2 6 4 3" xfId="6911"/>
    <cellStyle name="Normal 3 2 6 4 3 2" xfId="10613"/>
    <cellStyle name="Normal 3 2 6 4 3 2 2" xfId="21735"/>
    <cellStyle name="Normal 3 2 6 4 3 3" xfId="14312"/>
    <cellStyle name="Normal 3 2 6 4 3 3 2" xfId="25429"/>
    <cellStyle name="Normal 3 2 6 4 3 4" xfId="18041"/>
    <cellStyle name="Normal 3 2 6 4 4" xfId="8765"/>
    <cellStyle name="Normal 3 2 6 4 4 2" xfId="19888"/>
    <cellStyle name="Normal 3 2 6 4 5" xfId="12465"/>
    <cellStyle name="Normal 3 2 6 4 5 2" xfId="23582"/>
    <cellStyle name="Normal 3 2 6 4 6" xfId="16194"/>
    <cellStyle name="Normal 3 2 6 5" xfId="5714"/>
    <cellStyle name="Normal 3 2 6 5 2" xfId="7824"/>
    <cellStyle name="Normal 3 2 6 5 2 2" xfId="11525"/>
    <cellStyle name="Normal 3 2 6 5 2 2 2" xfId="22647"/>
    <cellStyle name="Normal 3 2 6 5 2 3" xfId="15224"/>
    <cellStyle name="Normal 3 2 6 5 2 3 2" xfId="26341"/>
    <cellStyle name="Normal 3 2 6 5 2 4" xfId="18953"/>
    <cellStyle name="Normal 3 2 6 5 3" xfId="9678"/>
    <cellStyle name="Normal 3 2 6 5 3 2" xfId="20800"/>
    <cellStyle name="Normal 3 2 6 5 4" xfId="13377"/>
    <cellStyle name="Normal 3 2 6 5 4 2" xfId="24494"/>
    <cellStyle name="Normal 3 2 6 5 5" xfId="17106"/>
    <cellStyle name="Normal 3 2 6 6" xfId="6904"/>
    <cellStyle name="Normal 3 2 6 6 2" xfId="10606"/>
    <cellStyle name="Normal 3 2 6 6 2 2" xfId="21728"/>
    <cellStyle name="Normal 3 2 6 6 3" xfId="14305"/>
    <cellStyle name="Normal 3 2 6 6 3 2" xfId="25422"/>
    <cellStyle name="Normal 3 2 6 6 4" xfId="18034"/>
    <cellStyle name="Normal 3 2 6 7" xfId="8758"/>
    <cellStyle name="Normal 3 2 6 7 2" xfId="19881"/>
    <cellStyle name="Normal 3 2 6 8" xfId="12458"/>
    <cellStyle name="Normal 3 2 6 8 2" xfId="23575"/>
    <cellStyle name="Normal 3 2 6 9" xfId="16187"/>
    <cellStyle name="Normal 3 2 7" xfId="3545"/>
    <cellStyle name="Normal 3 2 7 2" xfId="3546"/>
    <cellStyle name="Normal 3 2 7 3" xfId="3547"/>
    <cellStyle name="Normal 3 2 7 3 2" xfId="5723"/>
    <cellStyle name="Normal 3 2 7 3 2 2" xfId="7833"/>
    <cellStyle name="Normal 3 2 7 3 2 2 2" xfId="11534"/>
    <cellStyle name="Normal 3 2 7 3 2 2 2 2" xfId="22656"/>
    <cellStyle name="Normal 3 2 7 3 2 2 3" xfId="15233"/>
    <cellStyle name="Normal 3 2 7 3 2 2 3 2" xfId="26350"/>
    <cellStyle name="Normal 3 2 7 3 2 2 4" xfId="18962"/>
    <cellStyle name="Normal 3 2 7 3 2 3" xfId="9687"/>
    <cellStyle name="Normal 3 2 7 3 2 3 2" xfId="20809"/>
    <cellStyle name="Normal 3 2 7 3 2 4" xfId="13386"/>
    <cellStyle name="Normal 3 2 7 3 2 4 2" xfId="24503"/>
    <cellStyle name="Normal 3 2 7 3 2 5" xfId="17115"/>
    <cellStyle name="Normal 3 2 7 3 3" xfId="6913"/>
    <cellStyle name="Normal 3 2 7 3 3 2" xfId="10615"/>
    <cellStyle name="Normal 3 2 7 3 3 2 2" xfId="21737"/>
    <cellStyle name="Normal 3 2 7 3 3 3" xfId="14314"/>
    <cellStyle name="Normal 3 2 7 3 3 3 2" xfId="25431"/>
    <cellStyle name="Normal 3 2 7 3 3 4" xfId="18043"/>
    <cellStyle name="Normal 3 2 7 3 4" xfId="8767"/>
    <cellStyle name="Normal 3 2 7 3 4 2" xfId="19890"/>
    <cellStyle name="Normal 3 2 7 3 5" xfId="12467"/>
    <cellStyle name="Normal 3 2 7 3 5 2" xfId="23584"/>
    <cellStyle name="Normal 3 2 7 3 6" xfId="16196"/>
    <cellStyle name="Normal 3 2 7 4" xfId="5722"/>
    <cellStyle name="Normal 3 2 7 4 2" xfId="7832"/>
    <cellStyle name="Normal 3 2 7 4 2 2" xfId="11533"/>
    <cellStyle name="Normal 3 2 7 4 2 2 2" xfId="22655"/>
    <cellStyle name="Normal 3 2 7 4 2 3" xfId="15232"/>
    <cellStyle name="Normal 3 2 7 4 2 3 2" xfId="26349"/>
    <cellStyle name="Normal 3 2 7 4 2 4" xfId="18961"/>
    <cellStyle name="Normal 3 2 7 4 3" xfId="9686"/>
    <cellStyle name="Normal 3 2 7 4 3 2" xfId="20808"/>
    <cellStyle name="Normal 3 2 7 4 4" xfId="13385"/>
    <cellStyle name="Normal 3 2 7 4 4 2" xfId="24502"/>
    <cellStyle name="Normal 3 2 7 4 5" xfId="17114"/>
    <cellStyle name="Normal 3 2 7 5" xfId="6912"/>
    <cellStyle name="Normal 3 2 7 5 2" xfId="10614"/>
    <cellStyle name="Normal 3 2 7 5 2 2" xfId="21736"/>
    <cellStyle name="Normal 3 2 7 5 3" xfId="14313"/>
    <cellStyle name="Normal 3 2 7 5 3 2" xfId="25430"/>
    <cellStyle name="Normal 3 2 7 5 4" xfId="18042"/>
    <cellStyle name="Normal 3 2 7 6" xfId="8766"/>
    <cellStyle name="Normal 3 2 7 6 2" xfId="19889"/>
    <cellStyle name="Normal 3 2 7 7" xfId="12466"/>
    <cellStyle name="Normal 3 2 7 7 2" xfId="23583"/>
    <cellStyle name="Normal 3 2 7 8" xfId="16195"/>
    <cellStyle name="Normal 3 2 8" xfId="3548"/>
    <cellStyle name="Normal 3 3" xfId="426"/>
    <cellStyle name="Normal 3 3 2" xfId="427"/>
    <cellStyle name="Normal 3 3 2 2" xfId="3549"/>
    <cellStyle name="Normal 3 3 3" xfId="428"/>
    <cellStyle name="Normal 3 3 3 2" xfId="6073"/>
    <cellStyle name="Normal 3 3 4" xfId="429"/>
    <cellStyle name="Normal 3 3 5" xfId="6002"/>
    <cellStyle name="Normal 3 4" xfId="430"/>
    <cellStyle name="Normal 3 4 2" xfId="3550"/>
    <cellStyle name="Normal 3 4 2 2" xfId="3551"/>
    <cellStyle name="Normal 3 5" xfId="801"/>
    <cellStyle name="Normal 3 5 10" xfId="6171"/>
    <cellStyle name="Normal 3 5 10 2" xfId="9873"/>
    <cellStyle name="Normal 3 5 10 2 2" xfId="20995"/>
    <cellStyle name="Normal 3 5 10 3" xfId="13572"/>
    <cellStyle name="Normal 3 5 10 3 2" xfId="24689"/>
    <cellStyle name="Normal 3 5 10 4" xfId="17301"/>
    <cellStyle name="Normal 3 5 11" xfId="8024"/>
    <cellStyle name="Normal 3 5 11 2" xfId="19148"/>
    <cellStyle name="Normal 3 5 12" xfId="11725"/>
    <cellStyle name="Normal 3 5 12 2" xfId="22842"/>
    <cellStyle name="Normal 3 5 13" xfId="15454"/>
    <cellStyle name="Normal 3 5 2" xfId="1578"/>
    <cellStyle name="Normal 3 5 2 10" xfId="11776"/>
    <cellStyle name="Normal 3 5 2 10 2" xfId="22893"/>
    <cellStyle name="Normal 3 5 2 11" xfId="15505"/>
    <cellStyle name="Normal 3 5 2 2" xfId="1697"/>
    <cellStyle name="Normal 3 5 2 2 10" xfId="15611"/>
    <cellStyle name="Normal 3 5 2 2 2" xfId="2114"/>
    <cellStyle name="Normal 3 5 2 2 2 2" xfId="5220"/>
    <cellStyle name="Normal 3 5 2 2 2 2 2" xfId="7571"/>
    <cellStyle name="Normal 3 5 2 2 2 2 2 2" xfId="11272"/>
    <cellStyle name="Normal 3 5 2 2 2 2 2 2 2" xfId="22394"/>
    <cellStyle name="Normal 3 5 2 2 2 2 2 3" xfId="14971"/>
    <cellStyle name="Normal 3 5 2 2 2 2 2 3 2" xfId="26088"/>
    <cellStyle name="Normal 3 5 2 2 2 2 2 4" xfId="18700"/>
    <cellStyle name="Normal 3 5 2 2 2 2 3" xfId="9425"/>
    <cellStyle name="Normal 3 5 2 2 2 2 3 2" xfId="20547"/>
    <cellStyle name="Normal 3 5 2 2 2 2 4" xfId="13124"/>
    <cellStyle name="Normal 3 5 2 2 2 2 4 2" xfId="24241"/>
    <cellStyle name="Normal 3 5 2 2 2 2 5" xfId="16853"/>
    <cellStyle name="Normal 3 5 2 2 2 3" xfId="6652"/>
    <cellStyle name="Normal 3 5 2 2 2 3 2" xfId="10354"/>
    <cellStyle name="Normal 3 5 2 2 2 3 2 2" xfId="21476"/>
    <cellStyle name="Normal 3 5 2 2 2 3 3" xfId="14053"/>
    <cellStyle name="Normal 3 5 2 2 2 3 3 2" xfId="25170"/>
    <cellStyle name="Normal 3 5 2 2 2 3 4" xfId="17782"/>
    <cellStyle name="Normal 3 5 2 2 2 4" xfId="8506"/>
    <cellStyle name="Normal 3 5 2 2 2 4 2" xfId="19629"/>
    <cellStyle name="Normal 3 5 2 2 2 5" xfId="12206"/>
    <cellStyle name="Normal 3 5 2 2 2 5 2" xfId="23323"/>
    <cellStyle name="Normal 3 5 2 2 2 6" xfId="15935"/>
    <cellStyle name="Normal 3 5 2 2 3" xfId="1907"/>
    <cellStyle name="Normal 3 5 2 2 3 2" xfId="5104"/>
    <cellStyle name="Normal 3 5 2 2 3 2 2" xfId="7455"/>
    <cellStyle name="Normal 3 5 2 2 3 2 2 2" xfId="11156"/>
    <cellStyle name="Normal 3 5 2 2 3 2 2 2 2" xfId="22278"/>
    <cellStyle name="Normal 3 5 2 2 3 2 2 3" xfId="14855"/>
    <cellStyle name="Normal 3 5 2 2 3 2 2 3 2" xfId="25972"/>
    <cellStyle name="Normal 3 5 2 2 3 2 2 4" xfId="18584"/>
    <cellStyle name="Normal 3 5 2 2 3 2 3" xfId="9309"/>
    <cellStyle name="Normal 3 5 2 2 3 2 3 2" xfId="20431"/>
    <cellStyle name="Normal 3 5 2 2 3 2 4" xfId="13008"/>
    <cellStyle name="Normal 3 5 2 2 3 2 4 2" xfId="24125"/>
    <cellStyle name="Normal 3 5 2 2 3 2 5" xfId="16737"/>
    <cellStyle name="Normal 3 5 2 2 3 3" xfId="6536"/>
    <cellStyle name="Normal 3 5 2 2 3 3 2" xfId="10238"/>
    <cellStyle name="Normal 3 5 2 2 3 3 2 2" xfId="21360"/>
    <cellStyle name="Normal 3 5 2 2 3 3 3" xfId="13937"/>
    <cellStyle name="Normal 3 5 2 2 3 3 3 2" xfId="25054"/>
    <cellStyle name="Normal 3 5 2 2 3 3 4" xfId="17666"/>
    <cellStyle name="Normal 3 5 2 2 3 4" xfId="8390"/>
    <cellStyle name="Normal 3 5 2 2 3 4 2" xfId="19513"/>
    <cellStyle name="Normal 3 5 2 2 3 5" xfId="12090"/>
    <cellStyle name="Normal 3 5 2 2 3 5 2" xfId="23207"/>
    <cellStyle name="Normal 3 5 2 2 3 6" xfId="15819"/>
    <cellStyle name="Normal 3 5 2 2 4" xfId="3554"/>
    <cellStyle name="Normal 3 5 2 2 4 2" xfId="6916"/>
    <cellStyle name="Normal 3 5 2 2 4 2 2" xfId="10618"/>
    <cellStyle name="Normal 3 5 2 2 4 2 2 2" xfId="21740"/>
    <cellStyle name="Normal 3 5 2 2 4 2 3" xfId="14317"/>
    <cellStyle name="Normal 3 5 2 2 4 2 3 2" xfId="25434"/>
    <cellStyle name="Normal 3 5 2 2 4 2 4" xfId="18046"/>
    <cellStyle name="Normal 3 5 2 2 4 3" xfId="8770"/>
    <cellStyle name="Normal 3 5 2 2 4 3 2" xfId="19893"/>
    <cellStyle name="Normal 3 5 2 2 4 4" xfId="12470"/>
    <cellStyle name="Normal 3 5 2 2 4 4 2" xfId="23587"/>
    <cellStyle name="Normal 3 5 2 2 4 5" xfId="16199"/>
    <cellStyle name="Normal 3 5 2 2 5" xfId="4896"/>
    <cellStyle name="Normal 3 5 2 2 5 2" xfId="7247"/>
    <cellStyle name="Normal 3 5 2 2 5 2 2" xfId="10948"/>
    <cellStyle name="Normal 3 5 2 2 5 2 2 2" xfId="22070"/>
    <cellStyle name="Normal 3 5 2 2 5 2 3" xfId="14647"/>
    <cellStyle name="Normal 3 5 2 2 5 2 3 2" xfId="25764"/>
    <cellStyle name="Normal 3 5 2 2 5 2 4" xfId="18376"/>
    <cellStyle name="Normal 3 5 2 2 5 3" xfId="9101"/>
    <cellStyle name="Normal 3 5 2 2 5 3 2" xfId="20223"/>
    <cellStyle name="Normal 3 5 2 2 5 4" xfId="12800"/>
    <cellStyle name="Normal 3 5 2 2 5 4 2" xfId="23917"/>
    <cellStyle name="Normal 3 5 2 2 5 5" xfId="16529"/>
    <cellStyle name="Normal 3 5 2 2 6" xfId="5726"/>
    <cellStyle name="Normal 3 5 2 2 6 2" xfId="7836"/>
    <cellStyle name="Normal 3 5 2 2 6 2 2" xfId="11537"/>
    <cellStyle name="Normal 3 5 2 2 6 2 2 2" xfId="22659"/>
    <cellStyle name="Normal 3 5 2 2 6 2 3" xfId="15236"/>
    <cellStyle name="Normal 3 5 2 2 6 2 3 2" xfId="26353"/>
    <cellStyle name="Normal 3 5 2 2 6 2 4" xfId="18965"/>
    <cellStyle name="Normal 3 5 2 2 6 3" xfId="9690"/>
    <cellStyle name="Normal 3 5 2 2 6 3 2" xfId="20812"/>
    <cellStyle name="Normal 3 5 2 2 6 4" xfId="13389"/>
    <cellStyle name="Normal 3 5 2 2 6 4 2" xfId="24506"/>
    <cellStyle name="Normal 3 5 2 2 6 5" xfId="17118"/>
    <cellStyle name="Normal 3 5 2 2 7" xfId="6328"/>
    <cellStyle name="Normal 3 5 2 2 7 2" xfId="10030"/>
    <cellStyle name="Normal 3 5 2 2 7 2 2" xfId="21152"/>
    <cellStyle name="Normal 3 5 2 2 7 3" xfId="13729"/>
    <cellStyle name="Normal 3 5 2 2 7 3 2" xfId="24846"/>
    <cellStyle name="Normal 3 5 2 2 7 4" xfId="17458"/>
    <cellStyle name="Normal 3 5 2 2 8" xfId="8182"/>
    <cellStyle name="Normal 3 5 2 2 8 2" xfId="19305"/>
    <cellStyle name="Normal 3 5 2 2 9" xfId="11882"/>
    <cellStyle name="Normal 3 5 2 2 9 2" xfId="22999"/>
    <cellStyle name="Normal 3 5 2 3" xfId="2113"/>
    <cellStyle name="Normal 3 5 2 3 2" xfId="3555"/>
    <cellStyle name="Normal 3 5 2 3 2 2" xfId="6917"/>
    <cellStyle name="Normal 3 5 2 3 2 2 2" xfId="10619"/>
    <cellStyle name="Normal 3 5 2 3 2 2 2 2" xfId="21741"/>
    <cellStyle name="Normal 3 5 2 3 2 2 3" xfId="14318"/>
    <cellStyle name="Normal 3 5 2 3 2 2 3 2" xfId="25435"/>
    <cellStyle name="Normal 3 5 2 3 2 2 4" xfId="18047"/>
    <cellStyle name="Normal 3 5 2 3 2 3" xfId="8771"/>
    <cellStyle name="Normal 3 5 2 3 2 3 2" xfId="19894"/>
    <cellStyle name="Normal 3 5 2 3 2 4" xfId="12471"/>
    <cellStyle name="Normal 3 5 2 3 2 4 2" xfId="23588"/>
    <cellStyle name="Normal 3 5 2 3 2 5" xfId="16200"/>
    <cellStyle name="Normal 3 5 2 3 3" xfId="5219"/>
    <cellStyle name="Normal 3 5 2 3 3 2" xfId="7570"/>
    <cellStyle name="Normal 3 5 2 3 3 2 2" xfId="11271"/>
    <cellStyle name="Normal 3 5 2 3 3 2 2 2" xfId="22393"/>
    <cellStyle name="Normal 3 5 2 3 3 2 3" xfId="14970"/>
    <cellStyle name="Normal 3 5 2 3 3 2 3 2" xfId="26087"/>
    <cellStyle name="Normal 3 5 2 3 3 2 4" xfId="18699"/>
    <cellStyle name="Normal 3 5 2 3 3 3" xfId="9424"/>
    <cellStyle name="Normal 3 5 2 3 3 3 2" xfId="20546"/>
    <cellStyle name="Normal 3 5 2 3 3 4" xfId="13123"/>
    <cellStyle name="Normal 3 5 2 3 3 4 2" xfId="24240"/>
    <cellStyle name="Normal 3 5 2 3 3 5" xfId="16852"/>
    <cellStyle name="Normal 3 5 2 3 4" xfId="5727"/>
    <cellStyle name="Normal 3 5 2 3 4 2" xfId="7837"/>
    <cellStyle name="Normal 3 5 2 3 4 2 2" xfId="11538"/>
    <cellStyle name="Normal 3 5 2 3 4 2 2 2" xfId="22660"/>
    <cellStyle name="Normal 3 5 2 3 4 2 3" xfId="15237"/>
    <cellStyle name="Normal 3 5 2 3 4 2 3 2" xfId="26354"/>
    <cellStyle name="Normal 3 5 2 3 4 2 4" xfId="18966"/>
    <cellStyle name="Normal 3 5 2 3 4 3" xfId="9691"/>
    <cellStyle name="Normal 3 5 2 3 4 3 2" xfId="20813"/>
    <cellStyle name="Normal 3 5 2 3 4 4" xfId="13390"/>
    <cellStyle name="Normal 3 5 2 3 4 4 2" xfId="24507"/>
    <cellStyle name="Normal 3 5 2 3 4 5" xfId="17119"/>
    <cellStyle name="Normal 3 5 2 3 5" xfId="6651"/>
    <cellStyle name="Normal 3 5 2 3 5 2" xfId="10353"/>
    <cellStyle name="Normal 3 5 2 3 5 2 2" xfId="21475"/>
    <cellStyle name="Normal 3 5 2 3 5 3" xfId="14052"/>
    <cellStyle name="Normal 3 5 2 3 5 3 2" xfId="25169"/>
    <cellStyle name="Normal 3 5 2 3 5 4" xfId="17781"/>
    <cellStyle name="Normal 3 5 2 3 6" xfId="8505"/>
    <cellStyle name="Normal 3 5 2 3 6 2" xfId="19628"/>
    <cellStyle name="Normal 3 5 2 3 7" xfId="12205"/>
    <cellStyle name="Normal 3 5 2 3 7 2" xfId="23322"/>
    <cellStyle name="Normal 3 5 2 3 8" xfId="15934"/>
    <cellStyle name="Normal 3 5 2 4" xfId="1801"/>
    <cellStyle name="Normal 3 5 2 4 2" xfId="4998"/>
    <cellStyle name="Normal 3 5 2 4 2 2" xfId="7349"/>
    <cellStyle name="Normal 3 5 2 4 2 2 2" xfId="11050"/>
    <cellStyle name="Normal 3 5 2 4 2 2 2 2" xfId="22172"/>
    <cellStyle name="Normal 3 5 2 4 2 2 3" xfId="14749"/>
    <cellStyle name="Normal 3 5 2 4 2 2 3 2" xfId="25866"/>
    <cellStyle name="Normal 3 5 2 4 2 2 4" xfId="18478"/>
    <cellStyle name="Normal 3 5 2 4 2 3" xfId="9203"/>
    <cellStyle name="Normal 3 5 2 4 2 3 2" xfId="20325"/>
    <cellStyle name="Normal 3 5 2 4 2 4" xfId="12902"/>
    <cellStyle name="Normal 3 5 2 4 2 4 2" xfId="24019"/>
    <cellStyle name="Normal 3 5 2 4 2 5" xfId="16631"/>
    <cellStyle name="Normal 3 5 2 4 3" xfId="6430"/>
    <cellStyle name="Normal 3 5 2 4 3 2" xfId="10132"/>
    <cellStyle name="Normal 3 5 2 4 3 2 2" xfId="21254"/>
    <cellStyle name="Normal 3 5 2 4 3 3" xfId="13831"/>
    <cellStyle name="Normal 3 5 2 4 3 3 2" xfId="24948"/>
    <cellStyle name="Normal 3 5 2 4 3 4" xfId="17560"/>
    <cellStyle name="Normal 3 5 2 4 4" xfId="8284"/>
    <cellStyle name="Normal 3 5 2 4 4 2" xfId="19407"/>
    <cellStyle name="Normal 3 5 2 4 5" xfId="11984"/>
    <cellStyle name="Normal 3 5 2 4 5 2" xfId="23101"/>
    <cellStyle name="Normal 3 5 2 4 6" xfId="15713"/>
    <cellStyle name="Normal 3 5 2 5" xfId="3553"/>
    <cellStyle name="Normal 3 5 2 5 2" xfId="6915"/>
    <cellStyle name="Normal 3 5 2 5 2 2" xfId="10617"/>
    <cellStyle name="Normal 3 5 2 5 2 2 2" xfId="21739"/>
    <cellStyle name="Normal 3 5 2 5 2 3" xfId="14316"/>
    <cellStyle name="Normal 3 5 2 5 2 3 2" xfId="25433"/>
    <cellStyle name="Normal 3 5 2 5 2 4" xfId="18045"/>
    <cellStyle name="Normal 3 5 2 5 3" xfId="8769"/>
    <cellStyle name="Normal 3 5 2 5 3 2" xfId="19892"/>
    <cellStyle name="Normal 3 5 2 5 4" xfId="12469"/>
    <cellStyle name="Normal 3 5 2 5 4 2" xfId="23586"/>
    <cellStyle name="Normal 3 5 2 5 5" xfId="16198"/>
    <cellStyle name="Normal 3 5 2 6" xfId="4790"/>
    <cellStyle name="Normal 3 5 2 6 2" xfId="7141"/>
    <cellStyle name="Normal 3 5 2 6 2 2" xfId="10842"/>
    <cellStyle name="Normal 3 5 2 6 2 2 2" xfId="21964"/>
    <cellStyle name="Normal 3 5 2 6 2 3" xfId="14541"/>
    <cellStyle name="Normal 3 5 2 6 2 3 2" xfId="25658"/>
    <cellStyle name="Normal 3 5 2 6 2 4" xfId="18270"/>
    <cellStyle name="Normal 3 5 2 6 3" xfId="8995"/>
    <cellStyle name="Normal 3 5 2 6 3 2" xfId="20117"/>
    <cellStyle name="Normal 3 5 2 6 4" xfId="12694"/>
    <cellStyle name="Normal 3 5 2 6 4 2" xfId="23811"/>
    <cellStyle name="Normal 3 5 2 6 5" xfId="16423"/>
    <cellStyle name="Normal 3 5 2 7" xfId="5725"/>
    <cellStyle name="Normal 3 5 2 7 2" xfId="7835"/>
    <cellStyle name="Normal 3 5 2 7 2 2" xfId="11536"/>
    <cellStyle name="Normal 3 5 2 7 2 2 2" xfId="22658"/>
    <cellStyle name="Normal 3 5 2 7 2 3" xfId="15235"/>
    <cellStyle name="Normal 3 5 2 7 2 3 2" xfId="26352"/>
    <cellStyle name="Normal 3 5 2 7 2 4" xfId="18964"/>
    <cellStyle name="Normal 3 5 2 7 3" xfId="9689"/>
    <cellStyle name="Normal 3 5 2 7 3 2" xfId="20811"/>
    <cellStyle name="Normal 3 5 2 7 4" xfId="13388"/>
    <cellStyle name="Normal 3 5 2 7 4 2" xfId="24505"/>
    <cellStyle name="Normal 3 5 2 7 5" xfId="17117"/>
    <cellStyle name="Normal 3 5 2 8" xfId="6222"/>
    <cellStyle name="Normal 3 5 2 8 2" xfId="9924"/>
    <cellStyle name="Normal 3 5 2 8 2 2" xfId="21046"/>
    <cellStyle name="Normal 3 5 2 8 3" xfId="13623"/>
    <cellStyle name="Normal 3 5 2 8 3 2" xfId="24740"/>
    <cellStyle name="Normal 3 5 2 8 4" xfId="17352"/>
    <cellStyle name="Normal 3 5 2 9" xfId="8076"/>
    <cellStyle name="Normal 3 5 2 9 2" xfId="19199"/>
    <cellStyle name="Normal 3 5 3" xfId="1641"/>
    <cellStyle name="Normal 3 5 3 10" xfId="15558"/>
    <cellStyle name="Normal 3 5 3 2" xfId="2115"/>
    <cellStyle name="Normal 3 5 3 2 2" xfId="5221"/>
    <cellStyle name="Normal 3 5 3 2 2 2" xfId="7572"/>
    <cellStyle name="Normal 3 5 3 2 2 2 2" xfId="11273"/>
    <cellStyle name="Normal 3 5 3 2 2 2 2 2" xfId="22395"/>
    <cellStyle name="Normal 3 5 3 2 2 2 3" xfId="14972"/>
    <cellStyle name="Normal 3 5 3 2 2 2 3 2" xfId="26089"/>
    <cellStyle name="Normal 3 5 3 2 2 2 4" xfId="18701"/>
    <cellStyle name="Normal 3 5 3 2 2 3" xfId="9426"/>
    <cellStyle name="Normal 3 5 3 2 2 3 2" xfId="20548"/>
    <cellStyle name="Normal 3 5 3 2 2 4" xfId="13125"/>
    <cellStyle name="Normal 3 5 3 2 2 4 2" xfId="24242"/>
    <cellStyle name="Normal 3 5 3 2 2 5" xfId="16854"/>
    <cellStyle name="Normal 3 5 3 2 3" xfId="6653"/>
    <cellStyle name="Normal 3 5 3 2 3 2" xfId="10355"/>
    <cellStyle name="Normal 3 5 3 2 3 2 2" xfId="21477"/>
    <cellStyle name="Normal 3 5 3 2 3 3" xfId="14054"/>
    <cellStyle name="Normal 3 5 3 2 3 3 2" xfId="25171"/>
    <cellStyle name="Normal 3 5 3 2 3 4" xfId="17783"/>
    <cellStyle name="Normal 3 5 3 2 4" xfId="8507"/>
    <cellStyle name="Normal 3 5 3 2 4 2" xfId="19630"/>
    <cellStyle name="Normal 3 5 3 2 5" xfId="12207"/>
    <cellStyle name="Normal 3 5 3 2 5 2" xfId="23324"/>
    <cellStyle name="Normal 3 5 3 2 6" xfId="15936"/>
    <cellStyle name="Normal 3 5 3 3" xfId="1854"/>
    <cellStyle name="Normal 3 5 3 3 2" xfId="5051"/>
    <cellStyle name="Normal 3 5 3 3 2 2" xfId="7402"/>
    <cellStyle name="Normal 3 5 3 3 2 2 2" xfId="11103"/>
    <cellStyle name="Normal 3 5 3 3 2 2 2 2" xfId="22225"/>
    <cellStyle name="Normal 3 5 3 3 2 2 3" xfId="14802"/>
    <cellStyle name="Normal 3 5 3 3 2 2 3 2" xfId="25919"/>
    <cellStyle name="Normal 3 5 3 3 2 2 4" xfId="18531"/>
    <cellStyle name="Normal 3 5 3 3 2 3" xfId="9256"/>
    <cellStyle name="Normal 3 5 3 3 2 3 2" xfId="20378"/>
    <cellStyle name="Normal 3 5 3 3 2 4" xfId="12955"/>
    <cellStyle name="Normal 3 5 3 3 2 4 2" xfId="24072"/>
    <cellStyle name="Normal 3 5 3 3 2 5" xfId="16684"/>
    <cellStyle name="Normal 3 5 3 3 3" xfId="6483"/>
    <cellStyle name="Normal 3 5 3 3 3 2" xfId="10185"/>
    <cellStyle name="Normal 3 5 3 3 3 2 2" xfId="21307"/>
    <cellStyle name="Normal 3 5 3 3 3 3" xfId="13884"/>
    <cellStyle name="Normal 3 5 3 3 3 3 2" xfId="25001"/>
    <cellStyle name="Normal 3 5 3 3 3 4" xfId="17613"/>
    <cellStyle name="Normal 3 5 3 3 4" xfId="8337"/>
    <cellStyle name="Normal 3 5 3 3 4 2" xfId="19460"/>
    <cellStyle name="Normal 3 5 3 3 5" xfId="12037"/>
    <cellStyle name="Normal 3 5 3 3 5 2" xfId="23154"/>
    <cellStyle name="Normal 3 5 3 3 6" xfId="15766"/>
    <cellStyle name="Normal 3 5 3 4" xfId="3556"/>
    <cellStyle name="Normal 3 5 3 4 2" xfId="6918"/>
    <cellStyle name="Normal 3 5 3 4 2 2" xfId="10620"/>
    <cellStyle name="Normal 3 5 3 4 2 2 2" xfId="21742"/>
    <cellStyle name="Normal 3 5 3 4 2 3" xfId="14319"/>
    <cellStyle name="Normal 3 5 3 4 2 3 2" xfId="25436"/>
    <cellStyle name="Normal 3 5 3 4 2 4" xfId="18048"/>
    <cellStyle name="Normal 3 5 3 4 3" xfId="8772"/>
    <cellStyle name="Normal 3 5 3 4 3 2" xfId="19895"/>
    <cellStyle name="Normal 3 5 3 4 4" xfId="12472"/>
    <cellStyle name="Normal 3 5 3 4 4 2" xfId="23589"/>
    <cellStyle name="Normal 3 5 3 4 5" xfId="16201"/>
    <cellStyle name="Normal 3 5 3 5" xfId="4843"/>
    <cellStyle name="Normal 3 5 3 5 2" xfId="7194"/>
    <cellStyle name="Normal 3 5 3 5 2 2" xfId="10895"/>
    <cellStyle name="Normal 3 5 3 5 2 2 2" xfId="22017"/>
    <cellStyle name="Normal 3 5 3 5 2 3" xfId="14594"/>
    <cellStyle name="Normal 3 5 3 5 2 3 2" xfId="25711"/>
    <cellStyle name="Normal 3 5 3 5 2 4" xfId="18323"/>
    <cellStyle name="Normal 3 5 3 5 3" xfId="9048"/>
    <cellStyle name="Normal 3 5 3 5 3 2" xfId="20170"/>
    <cellStyle name="Normal 3 5 3 5 4" xfId="12747"/>
    <cellStyle name="Normal 3 5 3 5 4 2" xfId="23864"/>
    <cellStyle name="Normal 3 5 3 5 5" xfId="16476"/>
    <cellStyle name="Normal 3 5 3 6" xfId="5728"/>
    <cellStyle name="Normal 3 5 3 6 2" xfId="7838"/>
    <cellStyle name="Normal 3 5 3 6 2 2" xfId="11539"/>
    <cellStyle name="Normal 3 5 3 6 2 2 2" xfId="22661"/>
    <cellStyle name="Normal 3 5 3 6 2 3" xfId="15238"/>
    <cellStyle name="Normal 3 5 3 6 2 3 2" xfId="26355"/>
    <cellStyle name="Normal 3 5 3 6 2 4" xfId="18967"/>
    <cellStyle name="Normal 3 5 3 6 3" xfId="9692"/>
    <cellStyle name="Normal 3 5 3 6 3 2" xfId="20814"/>
    <cellStyle name="Normal 3 5 3 6 4" xfId="13391"/>
    <cellStyle name="Normal 3 5 3 6 4 2" xfId="24508"/>
    <cellStyle name="Normal 3 5 3 6 5" xfId="17120"/>
    <cellStyle name="Normal 3 5 3 7" xfId="6275"/>
    <cellStyle name="Normal 3 5 3 7 2" xfId="9977"/>
    <cellStyle name="Normal 3 5 3 7 2 2" xfId="21099"/>
    <cellStyle name="Normal 3 5 3 7 3" xfId="13676"/>
    <cellStyle name="Normal 3 5 3 7 3 2" xfId="24793"/>
    <cellStyle name="Normal 3 5 3 7 4" xfId="17405"/>
    <cellStyle name="Normal 3 5 3 8" xfId="8129"/>
    <cellStyle name="Normal 3 5 3 8 2" xfId="19252"/>
    <cellStyle name="Normal 3 5 3 9" xfId="11829"/>
    <cellStyle name="Normal 3 5 3 9 2" xfId="22946"/>
    <cellStyle name="Normal 3 5 4" xfId="2112"/>
    <cellStyle name="Normal 3 5 4 2" xfId="3557"/>
    <cellStyle name="Normal 3 5 4 2 2" xfId="6919"/>
    <cellStyle name="Normal 3 5 4 2 2 2" xfId="10621"/>
    <cellStyle name="Normal 3 5 4 2 2 2 2" xfId="21743"/>
    <cellStyle name="Normal 3 5 4 2 2 3" xfId="14320"/>
    <cellStyle name="Normal 3 5 4 2 2 3 2" xfId="25437"/>
    <cellStyle name="Normal 3 5 4 2 2 4" xfId="18049"/>
    <cellStyle name="Normal 3 5 4 2 3" xfId="8773"/>
    <cellStyle name="Normal 3 5 4 2 3 2" xfId="19896"/>
    <cellStyle name="Normal 3 5 4 2 4" xfId="12473"/>
    <cellStyle name="Normal 3 5 4 2 4 2" xfId="23590"/>
    <cellStyle name="Normal 3 5 4 2 5" xfId="16202"/>
    <cellStyle name="Normal 3 5 4 3" xfId="5218"/>
    <cellStyle name="Normal 3 5 4 3 2" xfId="7569"/>
    <cellStyle name="Normal 3 5 4 3 2 2" xfId="11270"/>
    <cellStyle name="Normal 3 5 4 3 2 2 2" xfId="22392"/>
    <cellStyle name="Normal 3 5 4 3 2 3" xfId="14969"/>
    <cellStyle name="Normal 3 5 4 3 2 3 2" xfId="26086"/>
    <cellStyle name="Normal 3 5 4 3 2 4" xfId="18698"/>
    <cellStyle name="Normal 3 5 4 3 3" xfId="9423"/>
    <cellStyle name="Normal 3 5 4 3 3 2" xfId="20545"/>
    <cellStyle name="Normal 3 5 4 3 4" xfId="13122"/>
    <cellStyle name="Normal 3 5 4 3 4 2" xfId="24239"/>
    <cellStyle name="Normal 3 5 4 3 5" xfId="16851"/>
    <cellStyle name="Normal 3 5 4 4" xfId="5729"/>
    <cellStyle name="Normal 3 5 4 4 2" xfId="7839"/>
    <cellStyle name="Normal 3 5 4 4 2 2" xfId="11540"/>
    <cellStyle name="Normal 3 5 4 4 2 2 2" xfId="22662"/>
    <cellStyle name="Normal 3 5 4 4 2 3" xfId="15239"/>
    <cellStyle name="Normal 3 5 4 4 2 3 2" xfId="26356"/>
    <cellStyle name="Normal 3 5 4 4 2 4" xfId="18968"/>
    <cellStyle name="Normal 3 5 4 4 3" xfId="9693"/>
    <cellStyle name="Normal 3 5 4 4 3 2" xfId="20815"/>
    <cellStyle name="Normal 3 5 4 4 4" xfId="13392"/>
    <cellStyle name="Normal 3 5 4 4 4 2" xfId="24509"/>
    <cellStyle name="Normal 3 5 4 4 5" xfId="17121"/>
    <cellStyle name="Normal 3 5 4 5" xfId="6650"/>
    <cellStyle name="Normal 3 5 4 5 2" xfId="10352"/>
    <cellStyle name="Normal 3 5 4 5 2 2" xfId="21474"/>
    <cellStyle name="Normal 3 5 4 5 3" xfId="14051"/>
    <cellStyle name="Normal 3 5 4 5 3 2" xfId="25168"/>
    <cellStyle name="Normal 3 5 4 5 4" xfId="17780"/>
    <cellStyle name="Normal 3 5 4 6" xfId="8504"/>
    <cellStyle name="Normal 3 5 4 6 2" xfId="19627"/>
    <cellStyle name="Normal 3 5 4 7" xfId="12204"/>
    <cellStyle name="Normal 3 5 4 7 2" xfId="23321"/>
    <cellStyle name="Normal 3 5 4 8" xfId="15933"/>
    <cellStyle name="Normal 3 5 5" xfId="1750"/>
    <cellStyle name="Normal 3 5 5 2" xfId="4598"/>
    <cellStyle name="Normal 3 5 5 3" xfId="4947"/>
    <cellStyle name="Normal 3 5 5 3 2" xfId="7298"/>
    <cellStyle name="Normal 3 5 5 3 2 2" xfId="10999"/>
    <cellStyle name="Normal 3 5 5 3 2 2 2" xfId="22121"/>
    <cellStyle name="Normal 3 5 5 3 2 3" xfId="14698"/>
    <cellStyle name="Normal 3 5 5 3 2 3 2" xfId="25815"/>
    <cellStyle name="Normal 3 5 5 3 2 4" xfId="18427"/>
    <cellStyle name="Normal 3 5 5 3 3" xfId="9152"/>
    <cellStyle name="Normal 3 5 5 3 3 2" xfId="20274"/>
    <cellStyle name="Normal 3 5 5 3 4" xfId="12851"/>
    <cellStyle name="Normal 3 5 5 3 4 2" xfId="23968"/>
    <cellStyle name="Normal 3 5 5 3 5" xfId="16580"/>
    <cellStyle name="Normal 3 5 5 4" xfId="6379"/>
    <cellStyle name="Normal 3 5 5 4 2" xfId="10081"/>
    <cellStyle name="Normal 3 5 5 4 2 2" xfId="21203"/>
    <cellStyle name="Normal 3 5 5 4 3" xfId="13780"/>
    <cellStyle name="Normal 3 5 5 4 3 2" xfId="24897"/>
    <cellStyle name="Normal 3 5 5 4 4" xfId="17509"/>
    <cellStyle name="Normal 3 5 5 5" xfId="8233"/>
    <cellStyle name="Normal 3 5 5 5 2" xfId="19356"/>
    <cellStyle name="Normal 3 5 5 6" xfId="11933"/>
    <cellStyle name="Normal 3 5 5 6 2" xfId="23050"/>
    <cellStyle name="Normal 3 5 5 7" xfId="15662"/>
    <cellStyle name="Normal 3 5 6" xfId="3552"/>
    <cellStyle name="Normal 3 5 6 2" xfId="6914"/>
    <cellStyle name="Normal 3 5 6 2 2" xfId="10616"/>
    <cellStyle name="Normal 3 5 6 2 2 2" xfId="21738"/>
    <cellStyle name="Normal 3 5 6 2 3" xfId="14315"/>
    <cellStyle name="Normal 3 5 6 2 3 2" xfId="25432"/>
    <cellStyle name="Normal 3 5 6 2 4" xfId="18044"/>
    <cellStyle name="Normal 3 5 6 3" xfId="8768"/>
    <cellStyle name="Normal 3 5 6 3 2" xfId="19891"/>
    <cellStyle name="Normal 3 5 6 4" xfId="12468"/>
    <cellStyle name="Normal 3 5 6 4 2" xfId="23585"/>
    <cellStyle name="Normal 3 5 6 5" xfId="16197"/>
    <cellStyle name="Normal 3 5 7" xfId="4738"/>
    <cellStyle name="Normal 3 5 7 2" xfId="7090"/>
    <cellStyle name="Normal 3 5 7 2 2" xfId="10791"/>
    <cellStyle name="Normal 3 5 7 2 2 2" xfId="21913"/>
    <cellStyle name="Normal 3 5 7 2 3" xfId="14490"/>
    <cellStyle name="Normal 3 5 7 2 3 2" xfId="25607"/>
    <cellStyle name="Normal 3 5 7 2 4" xfId="18219"/>
    <cellStyle name="Normal 3 5 7 3" xfId="8944"/>
    <cellStyle name="Normal 3 5 7 3 2" xfId="20066"/>
    <cellStyle name="Normal 3 5 7 4" xfId="12643"/>
    <cellStyle name="Normal 3 5 7 4 2" xfId="23760"/>
    <cellStyle name="Normal 3 5 7 5" xfId="16372"/>
    <cellStyle name="Normal 3 5 8" xfId="5724"/>
    <cellStyle name="Normal 3 5 8 2" xfId="7834"/>
    <cellStyle name="Normal 3 5 8 2 2" xfId="11535"/>
    <cellStyle name="Normal 3 5 8 2 2 2" xfId="22657"/>
    <cellStyle name="Normal 3 5 8 2 3" xfId="15234"/>
    <cellStyle name="Normal 3 5 8 2 3 2" xfId="26351"/>
    <cellStyle name="Normal 3 5 8 2 4" xfId="18963"/>
    <cellStyle name="Normal 3 5 8 3" xfId="9688"/>
    <cellStyle name="Normal 3 5 8 3 2" xfId="20810"/>
    <cellStyle name="Normal 3 5 8 4" xfId="13387"/>
    <cellStyle name="Normal 3 5 8 4 2" xfId="24504"/>
    <cellStyle name="Normal 3 5 8 5" xfId="17116"/>
    <cellStyle name="Normal 3 5 9" xfId="6000"/>
    <cellStyle name="Normal 3 6" xfId="863"/>
    <cellStyle name="Normal 3 7" xfId="2116"/>
    <cellStyle name="Normal 3 8" xfId="2111"/>
    <cellStyle name="Normal 30" xfId="431"/>
    <cellStyle name="Normal 30 2" xfId="3558"/>
    <cellStyle name="Normal 30 3" xfId="4376"/>
    <cellStyle name="Normal 31" xfId="432"/>
    <cellStyle name="Normal 31 2" xfId="3559"/>
    <cellStyle name="Normal 31 3" xfId="4641"/>
    <cellStyle name="Normal 32" xfId="433"/>
    <cellStyle name="Normal 32 2" xfId="3560"/>
    <cellStyle name="Normal 32 3" xfId="4663"/>
    <cellStyle name="Normal 33" xfId="434"/>
    <cellStyle name="Normal 33 2" xfId="3561"/>
    <cellStyle name="Normal 33 3" xfId="4664"/>
    <cellStyle name="Normal 34" xfId="435"/>
    <cellStyle name="Normal 34 2" xfId="948"/>
    <cellStyle name="Normal 34 2 2" xfId="3562"/>
    <cellStyle name="Normal 34 2 3" xfId="4688"/>
    <cellStyle name="Normal 34 3" xfId="3563"/>
    <cellStyle name="Normal 34 3 2" xfId="6074"/>
    <cellStyle name="Normal 34 4" xfId="4655"/>
    <cellStyle name="Normal 34 4 2" xfId="5884"/>
    <cellStyle name="Normal 34 4 2 2" xfId="7971"/>
    <cellStyle name="Normal 34 4 2 2 2" xfId="11672"/>
    <cellStyle name="Normal 34 4 2 2 2 2" xfId="22794"/>
    <cellStyle name="Normal 34 4 2 2 3" xfId="15371"/>
    <cellStyle name="Normal 34 4 2 2 3 2" xfId="26488"/>
    <cellStyle name="Normal 34 4 2 2 4" xfId="19100"/>
    <cellStyle name="Normal 34 4 2 3" xfId="9825"/>
    <cellStyle name="Normal 34 4 2 3 2" xfId="20947"/>
    <cellStyle name="Normal 34 4 2 4" xfId="13524"/>
    <cellStyle name="Normal 34 4 2 4 2" xfId="24641"/>
    <cellStyle name="Normal 34 4 2 5" xfId="17253"/>
    <cellStyle name="Normal 34 4 3" xfId="6003"/>
    <cellStyle name="Normal 34 4 4" xfId="7052"/>
    <cellStyle name="Normal 34 4 4 2" xfId="10753"/>
    <cellStyle name="Normal 34 4 4 2 2" xfId="21875"/>
    <cellStyle name="Normal 34 4 4 3" xfId="14452"/>
    <cellStyle name="Normal 34 4 4 3 2" xfId="25569"/>
    <cellStyle name="Normal 34 4 4 4" xfId="18181"/>
    <cellStyle name="Normal 34 4 5" xfId="8906"/>
    <cellStyle name="Normal 34 4 5 2" xfId="20028"/>
    <cellStyle name="Normal 34 4 6" xfId="12605"/>
    <cellStyle name="Normal 34 4 6 2" xfId="23722"/>
    <cellStyle name="Normal 34 4 7" xfId="16334"/>
    <cellStyle name="Normal 35" xfId="436"/>
    <cellStyle name="Normal 35 2" xfId="949"/>
    <cellStyle name="Normal 35 2 2" xfId="3564"/>
    <cellStyle name="Normal 35 2 3" xfId="4689"/>
    <cellStyle name="Normal 35 3" xfId="3565"/>
    <cellStyle name="Normal 35 4" xfId="4654"/>
    <cellStyle name="Normal 35 4 2" xfId="5883"/>
    <cellStyle name="Normal 35 4 2 2" xfId="7970"/>
    <cellStyle name="Normal 35 4 2 2 2" xfId="11671"/>
    <cellStyle name="Normal 35 4 2 2 2 2" xfId="22793"/>
    <cellStyle name="Normal 35 4 2 2 3" xfId="15370"/>
    <cellStyle name="Normal 35 4 2 2 3 2" xfId="26487"/>
    <cellStyle name="Normal 35 4 2 2 4" xfId="19099"/>
    <cellStyle name="Normal 35 4 2 3" xfId="9824"/>
    <cellStyle name="Normal 35 4 2 3 2" xfId="20946"/>
    <cellStyle name="Normal 35 4 2 4" xfId="13523"/>
    <cellStyle name="Normal 35 4 2 4 2" xfId="24640"/>
    <cellStyle name="Normal 35 4 2 5" xfId="17252"/>
    <cellStyle name="Normal 35 4 3" xfId="6004"/>
    <cellStyle name="Normal 35 4 4" xfId="7051"/>
    <cellStyle name="Normal 35 4 4 2" xfId="10752"/>
    <cellStyle name="Normal 35 4 4 2 2" xfId="21874"/>
    <cellStyle name="Normal 35 4 4 3" xfId="14451"/>
    <cellStyle name="Normal 35 4 4 3 2" xfId="25568"/>
    <cellStyle name="Normal 35 4 4 4" xfId="18180"/>
    <cellStyle name="Normal 35 4 5" xfId="8905"/>
    <cellStyle name="Normal 35 4 5 2" xfId="20027"/>
    <cellStyle name="Normal 35 4 6" xfId="12604"/>
    <cellStyle name="Normal 35 4 6 2" xfId="23721"/>
    <cellStyle name="Normal 35 4 7" xfId="16333"/>
    <cellStyle name="Normal 36" xfId="437"/>
    <cellStyle name="Normal 36 2" xfId="1129"/>
    <cellStyle name="Normal 36 2 2" xfId="1299"/>
    <cellStyle name="Normal 36 2 2 2" xfId="3566"/>
    <cellStyle name="Normal 36 2 3" xfId="3567"/>
    <cellStyle name="Normal 36 3" xfId="951"/>
    <cellStyle name="Normal 36 3 2" xfId="3568"/>
    <cellStyle name="Normal 36 3 3" xfId="4690"/>
    <cellStyle name="Normal 36 4" xfId="3569"/>
    <cellStyle name="Normal 36 5" xfId="4651"/>
    <cellStyle name="Normal 36 5 2" xfId="5881"/>
    <cellStyle name="Normal 36 5 2 2" xfId="7968"/>
    <cellStyle name="Normal 36 5 2 2 2" xfId="11669"/>
    <cellStyle name="Normal 36 5 2 2 2 2" xfId="22791"/>
    <cellStyle name="Normal 36 5 2 2 3" xfId="15368"/>
    <cellStyle name="Normal 36 5 2 2 3 2" xfId="26485"/>
    <cellStyle name="Normal 36 5 2 2 4" xfId="19097"/>
    <cellStyle name="Normal 36 5 2 3" xfId="9822"/>
    <cellStyle name="Normal 36 5 2 3 2" xfId="20944"/>
    <cellStyle name="Normal 36 5 2 4" xfId="13521"/>
    <cellStyle name="Normal 36 5 2 4 2" xfId="24638"/>
    <cellStyle name="Normal 36 5 2 5" xfId="17250"/>
    <cellStyle name="Normal 36 5 3" xfId="7049"/>
    <cellStyle name="Normal 36 5 3 2" xfId="10750"/>
    <cellStyle name="Normal 36 5 3 2 2" xfId="21872"/>
    <cellStyle name="Normal 36 5 3 3" xfId="14449"/>
    <cellStyle name="Normal 36 5 3 3 2" xfId="25566"/>
    <cellStyle name="Normal 36 5 3 4" xfId="18178"/>
    <cellStyle name="Normal 36 5 4" xfId="8903"/>
    <cellStyle name="Normal 36 5 4 2" xfId="20025"/>
    <cellStyle name="Normal 36 5 5" xfId="12602"/>
    <cellStyle name="Normal 36 5 5 2" xfId="23719"/>
    <cellStyle name="Normal 36 5 6" xfId="16331"/>
    <cellStyle name="Normal 37" xfId="633"/>
    <cellStyle name="Normal 37 2" xfId="1130"/>
    <cellStyle name="Normal 37 2 2" xfId="3570"/>
    <cellStyle name="Normal 37 2 3" xfId="3571"/>
    <cellStyle name="Normal 37 3" xfId="5494"/>
    <cellStyle name="Normal 38" xfId="636"/>
    <cellStyle name="Normal 38 2" xfId="3572"/>
    <cellStyle name="Normal 38 2 2" xfId="3573"/>
    <cellStyle name="Normal 39" xfId="96"/>
    <cellStyle name="Normal 39 2" xfId="955"/>
    <cellStyle name="Normal 39 2 2" xfId="3574"/>
    <cellStyle name="Normal 39 3" xfId="3575"/>
    <cellStyle name="Normal 4" xfId="438"/>
    <cellStyle name="Normal 4 10" xfId="3576"/>
    <cellStyle name="Normal 4 10 2" xfId="3577"/>
    <cellStyle name="Normal 4 10 2 2" xfId="5731"/>
    <cellStyle name="Normal 4 10 2 2 2" xfId="7841"/>
    <cellStyle name="Normal 4 10 2 2 2 2" xfId="11542"/>
    <cellStyle name="Normal 4 10 2 2 2 2 2" xfId="22664"/>
    <cellStyle name="Normal 4 10 2 2 2 3" xfId="15241"/>
    <cellStyle name="Normal 4 10 2 2 2 3 2" xfId="26358"/>
    <cellStyle name="Normal 4 10 2 2 2 4" xfId="18970"/>
    <cellStyle name="Normal 4 10 2 2 3" xfId="9695"/>
    <cellStyle name="Normal 4 10 2 2 3 2" xfId="20817"/>
    <cellStyle name="Normal 4 10 2 2 4" xfId="13394"/>
    <cellStyle name="Normal 4 10 2 2 4 2" xfId="24511"/>
    <cellStyle name="Normal 4 10 2 2 5" xfId="17123"/>
    <cellStyle name="Normal 4 10 2 3" xfId="6921"/>
    <cellStyle name="Normal 4 10 2 3 2" xfId="10623"/>
    <cellStyle name="Normal 4 10 2 3 2 2" xfId="21745"/>
    <cellStyle name="Normal 4 10 2 3 3" xfId="14322"/>
    <cellStyle name="Normal 4 10 2 3 3 2" xfId="25439"/>
    <cellStyle name="Normal 4 10 2 3 4" xfId="18051"/>
    <cellStyle name="Normal 4 10 2 4" xfId="8775"/>
    <cellStyle name="Normal 4 10 2 4 2" xfId="19898"/>
    <cellStyle name="Normal 4 10 2 5" xfId="12475"/>
    <cellStyle name="Normal 4 10 2 5 2" xfId="23592"/>
    <cellStyle name="Normal 4 10 2 6" xfId="16204"/>
    <cellStyle name="Normal 4 10 3" xfId="5730"/>
    <cellStyle name="Normal 4 10 3 2" xfId="7840"/>
    <cellStyle name="Normal 4 10 3 2 2" xfId="11541"/>
    <cellStyle name="Normal 4 10 3 2 2 2" xfId="22663"/>
    <cellStyle name="Normal 4 10 3 2 3" xfId="15240"/>
    <cellStyle name="Normal 4 10 3 2 3 2" xfId="26357"/>
    <cellStyle name="Normal 4 10 3 2 4" xfId="18969"/>
    <cellStyle name="Normal 4 10 3 3" xfId="9694"/>
    <cellStyle name="Normal 4 10 3 3 2" xfId="20816"/>
    <cellStyle name="Normal 4 10 3 4" xfId="13393"/>
    <cellStyle name="Normal 4 10 3 4 2" xfId="24510"/>
    <cellStyle name="Normal 4 10 3 5" xfId="17122"/>
    <cellStyle name="Normal 4 10 4" xfId="6920"/>
    <cellStyle name="Normal 4 10 4 2" xfId="10622"/>
    <cellStyle name="Normal 4 10 4 2 2" xfId="21744"/>
    <cellStyle name="Normal 4 10 4 3" xfId="14321"/>
    <cellStyle name="Normal 4 10 4 3 2" xfId="25438"/>
    <cellStyle name="Normal 4 10 4 4" xfId="18050"/>
    <cellStyle name="Normal 4 10 5" xfId="8774"/>
    <cellStyle name="Normal 4 10 5 2" xfId="19897"/>
    <cellStyle name="Normal 4 10 6" xfId="12474"/>
    <cellStyle name="Normal 4 10 6 2" xfId="23591"/>
    <cellStyle name="Normal 4 10 7" xfId="16203"/>
    <cellStyle name="Normal 4 11" xfId="15402"/>
    <cellStyle name="Normal 4 11 2" xfId="26513"/>
    <cellStyle name="Normal 4 12" xfId="15413"/>
    <cellStyle name="Normal 4 12 2" xfId="26516"/>
    <cellStyle name="Normal 4 2" xfId="439"/>
    <cellStyle name="Normal 4 2 2" xfId="3578"/>
    <cellStyle name="Normal 4 2 2 2" xfId="3579"/>
    <cellStyle name="Normal 4 2 2 3" xfId="5732"/>
    <cellStyle name="Normal 4 2 2 3 2" xfId="7842"/>
    <cellStyle name="Normal 4 2 2 3 2 2" xfId="11543"/>
    <cellStyle name="Normal 4 2 2 3 2 2 2" xfId="22665"/>
    <cellStyle name="Normal 4 2 2 3 2 3" xfId="15242"/>
    <cellStyle name="Normal 4 2 2 3 2 3 2" xfId="26359"/>
    <cellStyle name="Normal 4 2 2 3 2 4" xfId="18971"/>
    <cellStyle name="Normal 4 2 2 3 3" xfId="9696"/>
    <cellStyle name="Normal 4 2 2 3 3 2" xfId="20818"/>
    <cellStyle name="Normal 4 2 2 3 4" xfId="13395"/>
    <cellStyle name="Normal 4 2 2 3 4 2" xfId="24512"/>
    <cellStyle name="Normal 4 2 2 3 5" xfId="17124"/>
    <cellStyle name="Normal 4 2 2 4" xfId="6922"/>
    <cellStyle name="Normal 4 2 2 4 2" xfId="10624"/>
    <cellStyle name="Normal 4 2 2 4 2 2" xfId="21746"/>
    <cellStyle name="Normal 4 2 2 4 3" xfId="14323"/>
    <cellStyle name="Normal 4 2 2 4 3 2" xfId="25440"/>
    <cellStyle name="Normal 4 2 2 4 4" xfId="18052"/>
    <cellStyle name="Normal 4 2 2 5" xfId="8776"/>
    <cellStyle name="Normal 4 2 2 5 2" xfId="19899"/>
    <cellStyle name="Normal 4 2 2 6" xfId="12476"/>
    <cellStyle name="Normal 4 2 2 6 2" xfId="23593"/>
    <cellStyle name="Normal 4 2 2 7" xfId="16205"/>
    <cellStyle name="Normal 4 2 3" xfId="3580"/>
    <cellStyle name="Normal 4 2 4" xfId="4364"/>
    <cellStyle name="Normal 4 2 4 2" xfId="5850"/>
    <cellStyle name="Normal 4 2 4 2 2" xfId="7956"/>
    <cellStyle name="Normal 4 2 4 2 2 2" xfId="11657"/>
    <cellStyle name="Normal 4 2 4 2 2 2 2" xfId="22779"/>
    <cellStyle name="Normal 4 2 4 2 2 3" xfId="15356"/>
    <cellStyle name="Normal 4 2 4 2 2 3 2" xfId="26473"/>
    <cellStyle name="Normal 4 2 4 2 2 4" xfId="19085"/>
    <cellStyle name="Normal 4 2 4 2 3" xfId="9810"/>
    <cellStyle name="Normal 4 2 4 2 3 2" xfId="20932"/>
    <cellStyle name="Normal 4 2 4 2 4" xfId="13509"/>
    <cellStyle name="Normal 4 2 4 2 4 2" xfId="24626"/>
    <cellStyle name="Normal 4 2 4 2 5" xfId="17238"/>
    <cellStyle name="Normal 4 2 4 3" xfId="7036"/>
    <cellStyle name="Normal 4 2 4 3 2" xfId="10738"/>
    <cellStyle name="Normal 4 2 4 3 2 2" xfId="21860"/>
    <cellStyle name="Normal 4 2 4 3 3" xfId="14437"/>
    <cellStyle name="Normal 4 2 4 3 3 2" xfId="25554"/>
    <cellStyle name="Normal 4 2 4 3 4" xfId="18166"/>
    <cellStyle name="Normal 4 2 4 4" xfId="8890"/>
    <cellStyle name="Normal 4 2 4 4 2" xfId="20013"/>
    <cellStyle name="Normal 4 2 4 5" xfId="12590"/>
    <cellStyle name="Normal 4 2 4 5 2" xfId="23707"/>
    <cellStyle name="Normal 4 2 4 6" xfId="16319"/>
    <cellStyle name="Normal 4 3" xfId="440"/>
    <cellStyle name="Normal 4 3 2" xfId="1301"/>
    <cellStyle name="Normal 4 3 2 2" xfId="3581"/>
    <cellStyle name="Normal 4 3 2 2 2" xfId="6075"/>
    <cellStyle name="Normal 4 3 3" xfId="1300"/>
    <cellStyle name="Normal 4 3 4" xfId="4599"/>
    <cellStyle name="Normal 4 3 4 2" xfId="5874"/>
    <cellStyle name="Normal 4 3 4 2 2" xfId="7963"/>
    <cellStyle name="Normal 4 3 4 2 2 2" xfId="11664"/>
    <cellStyle name="Normal 4 3 4 2 2 2 2" xfId="22786"/>
    <cellStyle name="Normal 4 3 4 2 2 3" xfId="15363"/>
    <cellStyle name="Normal 4 3 4 2 2 3 2" xfId="26480"/>
    <cellStyle name="Normal 4 3 4 2 2 4" xfId="19092"/>
    <cellStyle name="Normal 4 3 4 2 3" xfId="9817"/>
    <cellStyle name="Normal 4 3 4 2 3 2" xfId="20939"/>
    <cellStyle name="Normal 4 3 4 2 4" xfId="13516"/>
    <cellStyle name="Normal 4 3 4 2 4 2" xfId="24633"/>
    <cellStyle name="Normal 4 3 4 2 5" xfId="17245"/>
    <cellStyle name="Normal 4 3 4 3" xfId="7043"/>
    <cellStyle name="Normal 4 3 4 3 2" xfId="10745"/>
    <cellStyle name="Normal 4 3 4 3 2 2" xfId="21867"/>
    <cellStyle name="Normal 4 3 4 3 3" xfId="14444"/>
    <cellStyle name="Normal 4 3 4 3 3 2" xfId="25561"/>
    <cellStyle name="Normal 4 3 4 3 4" xfId="18173"/>
    <cellStyle name="Normal 4 3 4 4" xfId="8897"/>
    <cellStyle name="Normal 4 3 4 4 2" xfId="20020"/>
    <cellStyle name="Normal 4 3 4 5" xfId="12597"/>
    <cellStyle name="Normal 4 3 4 5 2" xfId="23714"/>
    <cellStyle name="Normal 4 3 4 6" xfId="16326"/>
    <cellStyle name="Normal 4 4" xfId="441"/>
    <cellStyle name="Normal 4 4 2" xfId="959"/>
    <cellStyle name="Normal 4 4 2 2" xfId="4691"/>
    <cellStyle name="Normal 4 4 3" xfId="3582"/>
    <cellStyle name="Normal 4 4 4" xfId="4657"/>
    <cellStyle name="Normal 4 4 4 2" xfId="5885"/>
    <cellStyle name="Normal 4 4 4 2 2" xfId="7972"/>
    <cellStyle name="Normal 4 4 4 2 2 2" xfId="11673"/>
    <cellStyle name="Normal 4 4 4 2 2 2 2" xfId="22795"/>
    <cellStyle name="Normal 4 4 4 2 2 3" xfId="15372"/>
    <cellStyle name="Normal 4 4 4 2 2 3 2" xfId="26489"/>
    <cellStyle name="Normal 4 4 4 2 2 4" xfId="19101"/>
    <cellStyle name="Normal 4 4 4 2 3" xfId="9826"/>
    <cellStyle name="Normal 4 4 4 2 3 2" xfId="20948"/>
    <cellStyle name="Normal 4 4 4 2 4" xfId="13525"/>
    <cellStyle name="Normal 4 4 4 2 4 2" xfId="24642"/>
    <cellStyle name="Normal 4 4 4 2 5" xfId="17254"/>
    <cellStyle name="Normal 4 4 4 3" xfId="7053"/>
    <cellStyle name="Normal 4 4 4 3 2" xfId="10754"/>
    <cellStyle name="Normal 4 4 4 3 2 2" xfId="21876"/>
    <cellStyle name="Normal 4 4 4 3 3" xfId="14453"/>
    <cellStyle name="Normal 4 4 4 3 3 2" xfId="25570"/>
    <cellStyle name="Normal 4 4 4 3 4" xfId="18182"/>
    <cellStyle name="Normal 4 4 4 4" xfId="8907"/>
    <cellStyle name="Normal 4 4 4 4 2" xfId="20029"/>
    <cellStyle name="Normal 4 4 4 5" xfId="12606"/>
    <cellStyle name="Normal 4 4 4 5 2" xfId="23723"/>
    <cellStyle name="Normal 4 4 4 6" xfId="16335"/>
    <cellStyle name="Normal 4 5" xfId="802"/>
    <cellStyle name="Normal 4 5 10" xfId="8025"/>
    <cellStyle name="Normal 4 5 10 2" xfId="19149"/>
    <cellStyle name="Normal 4 5 11" xfId="11726"/>
    <cellStyle name="Normal 4 5 11 2" xfId="22843"/>
    <cellStyle name="Normal 4 5 12" xfId="15455"/>
    <cellStyle name="Normal 4 5 2" xfId="1579"/>
    <cellStyle name="Normal 4 5 2 10" xfId="11777"/>
    <cellStyle name="Normal 4 5 2 10 2" xfId="22894"/>
    <cellStyle name="Normal 4 5 2 11" xfId="15506"/>
    <cellStyle name="Normal 4 5 2 2" xfId="1698"/>
    <cellStyle name="Normal 4 5 2 2 10" xfId="15612"/>
    <cellStyle name="Normal 4 5 2 2 2" xfId="2119"/>
    <cellStyle name="Normal 4 5 2 2 2 2" xfId="5224"/>
    <cellStyle name="Normal 4 5 2 2 2 2 2" xfId="7575"/>
    <cellStyle name="Normal 4 5 2 2 2 2 2 2" xfId="11276"/>
    <cellStyle name="Normal 4 5 2 2 2 2 2 2 2" xfId="22398"/>
    <cellStyle name="Normal 4 5 2 2 2 2 2 3" xfId="14975"/>
    <cellStyle name="Normal 4 5 2 2 2 2 2 3 2" xfId="26092"/>
    <cellStyle name="Normal 4 5 2 2 2 2 2 4" xfId="18704"/>
    <cellStyle name="Normal 4 5 2 2 2 2 3" xfId="9429"/>
    <cellStyle name="Normal 4 5 2 2 2 2 3 2" xfId="20551"/>
    <cellStyle name="Normal 4 5 2 2 2 2 4" xfId="13128"/>
    <cellStyle name="Normal 4 5 2 2 2 2 4 2" xfId="24245"/>
    <cellStyle name="Normal 4 5 2 2 2 2 5" xfId="16857"/>
    <cellStyle name="Normal 4 5 2 2 2 3" xfId="6656"/>
    <cellStyle name="Normal 4 5 2 2 2 3 2" xfId="10358"/>
    <cellStyle name="Normal 4 5 2 2 2 3 2 2" xfId="21480"/>
    <cellStyle name="Normal 4 5 2 2 2 3 3" xfId="14057"/>
    <cellStyle name="Normal 4 5 2 2 2 3 3 2" xfId="25174"/>
    <cellStyle name="Normal 4 5 2 2 2 3 4" xfId="17786"/>
    <cellStyle name="Normal 4 5 2 2 2 4" xfId="8510"/>
    <cellStyle name="Normal 4 5 2 2 2 4 2" xfId="19633"/>
    <cellStyle name="Normal 4 5 2 2 2 5" xfId="12210"/>
    <cellStyle name="Normal 4 5 2 2 2 5 2" xfId="23327"/>
    <cellStyle name="Normal 4 5 2 2 2 6" xfId="15939"/>
    <cellStyle name="Normal 4 5 2 2 3" xfId="1908"/>
    <cellStyle name="Normal 4 5 2 2 3 2" xfId="5105"/>
    <cellStyle name="Normal 4 5 2 2 3 2 2" xfId="7456"/>
    <cellStyle name="Normal 4 5 2 2 3 2 2 2" xfId="11157"/>
    <cellStyle name="Normal 4 5 2 2 3 2 2 2 2" xfId="22279"/>
    <cellStyle name="Normal 4 5 2 2 3 2 2 3" xfId="14856"/>
    <cellStyle name="Normal 4 5 2 2 3 2 2 3 2" xfId="25973"/>
    <cellStyle name="Normal 4 5 2 2 3 2 2 4" xfId="18585"/>
    <cellStyle name="Normal 4 5 2 2 3 2 3" xfId="9310"/>
    <cellStyle name="Normal 4 5 2 2 3 2 3 2" xfId="20432"/>
    <cellStyle name="Normal 4 5 2 2 3 2 4" xfId="13009"/>
    <cellStyle name="Normal 4 5 2 2 3 2 4 2" xfId="24126"/>
    <cellStyle name="Normal 4 5 2 2 3 2 5" xfId="16738"/>
    <cellStyle name="Normal 4 5 2 2 3 3" xfId="6537"/>
    <cellStyle name="Normal 4 5 2 2 3 3 2" xfId="10239"/>
    <cellStyle name="Normal 4 5 2 2 3 3 2 2" xfId="21361"/>
    <cellStyle name="Normal 4 5 2 2 3 3 3" xfId="13938"/>
    <cellStyle name="Normal 4 5 2 2 3 3 3 2" xfId="25055"/>
    <cellStyle name="Normal 4 5 2 2 3 3 4" xfId="17667"/>
    <cellStyle name="Normal 4 5 2 2 3 4" xfId="8391"/>
    <cellStyle name="Normal 4 5 2 2 3 4 2" xfId="19514"/>
    <cellStyle name="Normal 4 5 2 2 3 5" xfId="12091"/>
    <cellStyle name="Normal 4 5 2 2 3 5 2" xfId="23208"/>
    <cellStyle name="Normal 4 5 2 2 3 6" xfId="15820"/>
    <cellStyle name="Normal 4 5 2 2 4" xfId="3585"/>
    <cellStyle name="Normal 4 5 2 2 4 2" xfId="6925"/>
    <cellStyle name="Normal 4 5 2 2 4 2 2" xfId="10627"/>
    <cellStyle name="Normal 4 5 2 2 4 2 2 2" xfId="21749"/>
    <cellStyle name="Normal 4 5 2 2 4 2 3" xfId="14326"/>
    <cellStyle name="Normal 4 5 2 2 4 2 3 2" xfId="25443"/>
    <cellStyle name="Normal 4 5 2 2 4 2 4" xfId="18055"/>
    <cellStyle name="Normal 4 5 2 2 4 3" xfId="8779"/>
    <cellStyle name="Normal 4 5 2 2 4 3 2" xfId="19902"/>
    <cellStyle name="Normal 4 5 2 2 4 4" xfId="12479"/>
    <cellStyle name="Normal 4 5 2 2 4 4 2" xfId="23596"/>
    <cellStyle name="Normal 4 5 2 2 4 5" xfId="16208"/>
    <cellStyle name="Normal 4 5 2 2 5" xfId="4897"/>
    <cellStyle name="Normal 4 5 2 2 5 2" xfId="7248"/>
    <cellStyle name="Normal 4 5 2 2 5 2 2" xfId="10949"/>
    <cellStyle name="Normal 4 5 2 2 5 2 2 2" xfId="22071"/>
    <cellStyle name="Normal 4 5 2 2 5 2 3" xfId="14648"/>
    <cellStyle name="Normal 4 5 2 2 5 2 3 2" xfId="25765"/>
    <cellStyle name="Normal 4 5 2 2 5 2 4" xfId="18377"/>
    <cellStyle name="Normal 4 5 2 2 5 3" xfId="9102"/>
    <cellStyle name="Normal 4 5 2 2 5 3 2" xfId="20224"/>
    <cellStyle name="Normal 4 5 2 2 5 4" xfId="12801"/>
    <cellStyle name="Normal 4 5 2 2 5 4 2" xfId="23918"/>
    <cellStyle name="Normal 4 5 2 2 5 5" xfId="16530"/>
    <cellStyle name="Normal 4 5 2 2 6" xfId="5735"/>
    <cellStyle name="Normal 4 5 2 2 6 2" xfId="7845"/>
    <cellStyle name="Normal 4 5 2 2 6 2 2" xfId="11546"/>
    <cellStyle name="Normal 4 5 2 2 6 2 2 2" xfId="22668"/>
    <cellStyle name="Normal 4 5 2 2 6 2 3" xfId="15245"/>
    <cellStyle name="Normal 4 5 2 2 6 2 3 2" xfId="26362"/>
    <cellStyle name="Normal 4 5 2 2 6 2 4" xfId="18974"/>
    <cellStyle name="Normal 4 5 2 2 6 3" xfId="9699"/>
    <cellStyle name="Normal 4 5 2 2 6 3 2" xfId="20821"/>
    <cellStyle name="Normal 4 5 2 2 6 4" xfId="13398"/>
    <cellStyle name="Normal 4 5 2 2 6 4 2" xfId="24515"/>
    <cellStyle name="Normal 4 5 2 2 6 5" xfId="17127"/>
    <cellStyle name="Normal 4 5 2 2 7" xfId="6329"/>
    <cellStyle name="Normal 4 5 2 2 7 2" xfId="10031"/>
    <cellStyle name="Normal 4 5 2 2 7 2 2" xfId="21153"/>
    <cellStyle name="Normal 4 5 2 2 7 3" xfId="13730"/>
    <cellStyle name="Normal 4 5 2 2 7 3 2" xfId="24847"/>
    <cellStyle name="Normal 4 5 2 2 7 4" xfId="17459"/>
    <cellStyle name="Normal 4 5 2 2 8" xfId="8183"/>
    <cellStyle name="Normal 4 5 2 2 8 2" xfId="19306"/>
    <cellStyle name="Normal 4 5 2 2 9" xfId="11883"/>
    <cellStyle name="Normal 4 5 2 2 9 2" xfId="23000"/>
    <cellStyle name="Normal 4 5 2 3" xfId="2118"/>
    <cellStyle name="Normal 4 5 2 3 2" xfId="3586"/>
    <cellStyle name="Normal 4 5 2 3 2 2" xfId="6926"/>
    <cellStyle name="Normal 4 5 2 3 2 2 2" xfId="10628"/>
    <cellStyle name="Normal 4 5 2 3 2 2 2 2" xfId="21750"/>
    <cellStyle name="Normal 4 5 2 3 2 2 3" xfId="14327"/>
    <cellStyle name="Normal 4 5 2 3 2 2 3 2" xfId="25444"/>
    <cellStyle name="Normal 4 5 2 3 2 2 4" xfId="18056"/>
    <cellStyle name="Normal 4 5 2 3 2 3" xfId="8780"/>
    <cellStyle name="Normal 4 5 2 3 2 3 2" xfId="19903"/>
    <cellStyle name="Normal 4 5 2 3 2 4" xfId="12480"/>
    <cellStyle name="Normal 4 5 2 3 2 4 2" xfId="23597"/>
    <cellStyle name="Normal 4 5 2 3 2 5" xfId="16209"/>
    <cellStyle name="Normal 4 5 2 3 3" xfId="5223"/>
    <cellStyle name="Normal 4 5 2 3 3 2" xfId="7574"/>
    <cellStyle name="Normal 4 5 2 3 3 2 2" xfId="11275"/>
    <cellStyle name="Normal 4 5 2 3 3 2 2 2" xfId="22397"/>
    <cellStyle name="Normal 4 5 2 3 3 2 3" xfId="14974"/>
    <cellStyle name="Normal 4 5 2 3 3 2 3 2" xfId="26091"/>
    <cellStyle name="Normal 4 5 2 3 3 2 4" xfId="18703"/>
    <cellStyle name="Normal 4 5 2 3 3 3" xfId="9428"/>
    <cellStyle name="Normal 4 5 2 3 3 3 2" xfId="20550"/>
    <cellStyle name="Normal 4 5 2 3 3 4" xfId="13127"/>
    <cellStyle name="Normal 4 5 2 3 3 4 2" xfId="24244"/>
    <cellStyle name="Normal 4 5 2 3 3 5" xfId="16856"/>
    <cellStyle name="Normal 4 5 2 3 4" xfId="5736"/>
    <cellStyle name="Normal 4 5 2 3 4 2" xfId="7846"/>
    <cellStyle name="Normal 4 5 2 3 4 2 2" xfId="11547"/>
    <cellStyle name="Normal 4 5 2 3 4 2 2 2" xfId="22669"/>
    <cellStyle name="Normal 4 5 2 3 4 2 3" xfId="15246"/>
    <cellStyle name="Normal 4 5 2 3 4 2 3 2" xfId="26363"/>
    <cellStyle name="Normal 4 5 2 3 4 2 4" xfId="18975"/>
    <cellStyle name="Normal 4 5 2 3 4 3" xfId="9700"/>
    <cellStyle name="Normal 4 5 2 3 4 3 2" xfId="20822"/>
    <cellStyle name="Normal 4 5 2 3 4 4" xfId="13399"/>
    <cellStyle name="Normal 4 5 2 3 4 4 2" xfId="24516"/>
    <cellStyle name="Normal 4 5 2 3 4 5" xfId="17128"/>
    <cellStyle name="Normal 4 5 2 3 5" xfId="6655"/>
    <cellStyle name="Normal 4 5 2 3 5 2" xfId="10357"/>
    <cellStyle name="Normal 4 5 2 3 5 2 2" xfId="21479"/>
    <cellStyle name="Normal 4 5 2 3 5 3" xfId="14056"/>
    <cellStyle name="Normal 4 5 2 3 5 3 2" xfId="25173"/>
    <cellStyle name="Normal 4 5 2 3 5 4" xfId="17785"/>
    <cellStyle name="Normal 4 5 2 3 6" xfId="8509"/>
    <cellStyle name="Normal 4 5 2 3 6 2" xfId="19632"/>
    <cellStyle name="Normal 4 5 2 3 7" xfId="12209"/>
    <cellStyle name="Normal 4 5 2 3 7 2" xfId="23326"/>
    <cellStyle name="Normal 4 5 2 3 8" xfId="15938"/>
    <cellStyle name="Normal 4 5 2 4" xfId="1802"/>
    <cellStyle name="Normal 4 5 2 4 2" xfId="4999"/>
    <cellStyle name="Normal 4 5 2 4 2 2" xfId="7350"/>
    <cellStyle name="Normal 4 5 2 4 2 2 2" xfId="11051"/>
    <cellStyle name="Normal 4 5 2 4 2 2 2 2" xfId="22173"/>
    <cellStyle name="Normal 4 5 2 4 2 2 3" xfId="14750"/>
    <cellStyle name="Normal 4 5 2 4 2 2 3 2" xfId="25867"/>
    <cellStyle name="Normal 4 5 2 4 2 2 4" xfId="18479"/>
    <cellStyle name="Normal 4 5 2 4 2 3" xfId="9204"/>
    <cellStyle name="Normal 4 5 2 4 2 3 2" xfId="20326"/>
    <cellStyle name="Normal 4 5 2 4 2 4" xfId="12903"/>
    <cellStyle name="Normal 4 5 2 4 2 4 2" xfId="24020"/>
    <cellStyle name="Normal 4 5 2 4 2 5" xfId="16632"/>
    <cellStyle name="Normal 4 5 2 4 3" xfId="6431"/>
    <cellStyle name="Normal 4 5 2 4 3 2" xfId="10133"/>
    <cellStyle name="Normal 4 5 2 4 3 2 2" xfId="21255"/>
    <cellStyle name="Normal 4 5 2 4 3 3" xfId="13832"/>
    <cellStyle name="Normal 4 5 2 4 3 3 2" xfId="24949"/>
    <cellStyle name="Normal 4 5 2 4 3 4" xfId="17561"/>
    <cellStyle name="Normal 4 5 2 4 4" xfId="8285"/>
    <cellStyle name="Normal 4 5 2 4 4 2" xfId="19408"/>
    <cellStyle name="Normal 4 5 2 4 5" xfId="11985"/>
    <cellStyle name="Normal 4 5 2 4 5 2" xfId="23102"/>
    <cellStyle name="Normal 4 5 2 4 6" xfId="15714"/>
    <cellStyle name="Normal 4 5 2 5" xfId="3584"/>
    <cellStyle name="Normal 4 5 2 5 2" xfId="6924"/>
    <cellStyle name="Normal 4 5 2 5 2 2" xfId="10626"/>
    <cellStyle name="Normal 4 5 2 5 2 2 2" xfId="21748"/>
    <cellStyle name="Normal 4 5 2 5 2 3" xfId="14325"/>
    <cellStyle name="Normal 4 5 2 5 2 3 2" xfId="25442"/>
    <cellStyle name="Normal 4 5 2 5 2 4" xfId="18054"/>
    <cellStyle name="Normal 4 5 2 5 3" xfId="8778"/>
    <cellStyle name="Normal 4 5 2 5 3 2" xfId="19901"/>
    <cellStyle name="Normal 4 5 2 5 4" xfId="12478"/>
    <cellStyle name="Normal 4 5 2 5 4 2" xfId="23595"/>
    <cellStyle name="Normal 4 5 2 5 5" xfId="16207"/>
    <cellStyle name="Normal 4 5 2 6" xfId="4791"/>
    <cellStyle name="Normal 4 5 2 6 2" xfId="7142"/>
    <cellStyle name="Normal 4 5 2 6 2 2" xfId="10843"/>
    <cellStyle name="Normal 4 5 2 6 2 2 2" xfId="21965"/>
    <cellStyle name="Normal 4 5 2 6 2 3" xfId="14542"/>
    <cellStyle name="Normal 4 5 2 6 2 3 2" xfId="25659"/>
    <cellStyle name="Normal 4 5 2 6 2 4" xfId="18271"/>
    <cellStyle name="Normal 4 5 2 6 3" xfId="8996"/>
    <cellStyle name="Normal 4 5 2 6 3 2" xfId="20118"/>
    <cellStyle name="Normal 4 5 2 6 4" xfId="12695"/>
    <cellStyle name="Normal 4 5 2 6 4 2" xfId="23812"/>
    <cellStyle name="Normal 4 5 2 6 5" xfId="16424"/>
    <cellStyle name="Normal 4 5 2 7" xfId="5734"/>
    <cellStyle name="Normal 4 5 2 7 2" xfId="7844"/>
    <cellStyle name="Normal 4 5 2 7 2 2" xfId="11545"/>
    <cellStyle name="Normal 4 5 2 7 2 2 2" xfId="22667"/>
    <cellStyle name="Normal 4 5 2 7 2 3" xfId="15244"/>
    <cellStyle name="Normal 4 5 2 7 2 3 2" xfId="26361"/>
    <cellStyle name="Normal 4 5 2 7 2 4" xfId="18973"/>
    <cellStyle name="Normal 4 5 2 7 3" xfId="9698"/>
    <cellStyle name="Normal 4 5 2 7 3 2" xfId="20820"/>
    <cellStyle name="Normal 4 5 2 7 4" xfId="13397"/>
    <cellStyle name="Normal 4 5 2 7 4 2" xfId="24514"/>
    <cellStyle name="Normal 4 5 2 7 5" xfId="17126"/>
    <cellStyle name="Normal 4 5 2 8" xfId="6223"/>
    <cellStyle name="Normal 4 5 2 8 2" xfId="9925"/>
    <cellStyle name="Normal 4 5 2 8 2 2" xfId="21047"/>
    <cellStyle name="Normal 4 5 2 8 3" xfId="13624"/>
    <cellStyle name="Normal 4 5 2 8 3 2" xfId="24741"/>
    <cellStyle name="Normal 4 5 2 8 4" xfId="17353"/>
    <cellStyle name="Normal 4 5 2 9" xfId="8077"/>
    <cellStyle name="Normal 4 5 2 9 2" xfId="19200"/>
    <cellStyle name="Normal 4 5 3" xfId="1642"/>
    <cellStyle name="Normal 4 5 3 10" xfId="15559"/>
    <cellStyle name="Normal 4 5 3 2" xfId="2120"/>
    <cellStyle name="Normal 4 5 3 2 2" xfId="5225"/>
    <cellStyle name="Normal 4 5 3 2 2 2" xfId="7576"/>
    <cellStyle name="Normal 4 5 3 2 2 2 2" xfId="11277"/>
    <cellStyle name="Normal 4 5 3 2 2 2 2 2" xfId="22399"/>
    <cellStyle name="Normal 4 5 3 2 2 2 3" xfId="14976"/>
    <cellStyle name="Normal 4 5 3 2 2 2 3 2" xfId="26093"/>
    <cellStyle name="Normal 4 5 3 2 2 2 4" xfId="18705"/>
    <cellStyle name="Normal 4 5 3 2 2 3" xfId="9430"/>
    <cellStyle name="Normal 4 5 3 2 2 3 2" xfId="20552"/>
    <cellStyle name="Normal 4 5 3 2 2 4" xfId="13129"/>
    <cellStyle name="Normal 4 5 3 2 2 4 2" xfId="24246"/>
    <cellStyle name="Normal 4 5 3 2 2 5" xfId="16858"/>
    <cellStyle name="Normal 4 5 3 2 3" xfId="6657"/>
    <cellStyle name="Normal 4 5 3 2 3 2" xfId="10359"/>
    <cellStyle name="Normal 4 5 3 2 3 2 2" xfId="21481"/>
    <cellStyle name="Normal 4 5 3 2 3 3" xfId="14058"/>
    <cellStyle name="Normal 4 5 3 2 3 3 2" xfId="25175"/>
    <cellStyle name="Normal 4 5 3 2 3 4" xfId="17787"/>
    <cellStyle name="Normal 4 5 3 2 4" xfId="8511"/>
    <cellStyle name="Normal 4 5 3 2 4 2" xfId="19634"/>
    <cellStyle name="Normal 4 5 3 2 5" xfId="12211"/>
    <cellStyle name="Normal 4 5 3 2 5 2" xfId="23328"/>
    <cellStyle name="Normal 4 5 3 2 6" xfId="15940"/>
    <cellStyle name="Normal 4 5 3 3" xfId="1855"/>
    <cellStyle name="Normal 4 5 3 3 2" xfId="5052"/>
    <cellStyle name="Normal 4 5 3 3 2 2" xfId="7403"/>
    <cellStyle name="Normal 4 5 3 3 2 2 2" xfId="11104"/>
    <cellStyle name="Normal 4 5 3 3 2 2 2 2" xfId="22226"/>
    <cellStyle name="Normal 4 5 3 3 2 2 3" xfId="14803"/>
    <cellStyle name="Normal 4 5 3 3 2 2 3 2" xfId="25920"/>
    <cellStyle name="Normal 4 5 3 3 2 2 4" xfId="18532"/>
    <cellStyle name="Normal 4 5 3 3 2 3" xfId="9257"/>
    <cellStyle name="Normal 4 5 3 3 2 3 2" xfId="20379"/>
    <cellStyle name="Normal 4 5 3 3 2 4" xfId="12956"/>
    <cellStyle name="Normal 4 5 3 3 2 4 2" xfId="24073"/>
    <cellStyle name="Normal 4 5 3 3 2 5" xfId="16685"/>
    <cellStyle name="Normal 4 5 3 3 3" xfId="6484"/>
    <cellStyle name="Normal 4 5 3 3 3 2" xfId="10186"/>
    <cellStyle name="Normal 4 5 3 3 3 2 2" xfId="21308"/>
    <cellStyle name="Normal 4 5 3 3 3 3" xfId="13885"/>
    <cellStyle name="Normal 4 5 3 3 3 3 2" xfId="25002"/>
    <cellStyle name="Normal 4 5 3 3 3 4" xfId="17614"/>
    <cellStyle name="Normal 4 5 3 3 4" xfId="8338"/>
    <cellStyle name="Normal 4 5 3 3 4 2" xfId="19461"/>
    <cellStyle name="Normal 4 5 3 3 5" xfId="12038"/>
    <cellStyle name="Normal 4 5 3 3 5 2" xfId="23155"/>
    <cellStyle name="Normal 4 5 3 3 6" xfId="15767"/>
    <cellStyle name="Normal 4 5 3 4" xfId="3587"/>
    <cellStyle name="Normal 4 5 3 4 2" xfId="6927"/>
    <cellStyle name="Normal 4 5 3 4 2 2" xfId="10629"/>
    <cellStyle name="Normal 4 5 3 4 2 2 2" xfId="21751"/>
    <cellStyle name="Normal 4 5 3 4 2 3" xfId="14328"/>
    <cellStyle name="Normal 4 5 3 4 2 3 2" xfId="25445"/>
    <cellStyle name="Normal 4 5 3 4 2 4" xfId="18057"/>
    <cellStyle name="Normal 4 5 3 4 3" xfId="8781"/>
    <cellStyle name="Normal 4 5 3 4 3 2" xfId="19904"/>
    <cellStyle name="Normal 4 5 3 4 4" xfId="12481"/>
    <cellStyle name="Normal 4 5 3 4 4 2" xfId="23598"/>
    <cellStyle name="Normal 4 5 3 4 5" xfId="16210"/>
    <cellStyle name="Normal 4 5 3 5" xfId="4844"/>
    <cellStyle name="Normal 4 5 3 5 2" xfId="7195"/>
    <cellStyle name="Normal 4 5 3 5 2 2" xfId="10896"/>
    <cellStyle name="Normal 4 5 3 5 2 2 2" xfId="22018"/>
    <cellStyle name="Normal 4 5 3 5 2 3" xfId="14595"/>
    <cellStyle name="Normal 4 5 3 5 2 3 2" xfId="25712"/>
    <cellStyle name="Normal 4 5 3 5 2 4" xfId="18324"/>
    <cellStyle name="Normal 4 5 3 5 3" xfId="9049"/>
    <cellStyle name="Normal 4 5 3 5 3 2" xfId="20171"/>
    <cellStyle name="Normal 4 5 3 5 4" xfId="12748"/>
    <cellStyle name="Normal 4 5 3 5 4 2" xfId="23865"/>
    <cellStyle name="Normal 4 5 3 5 5" xfId="16477"/>
    <cellStyle name="Normal 4 5 3 6" xfId="5737"/>
    <cellStyle name="Normal 4 5 3 6 2" xfId="7847"/>
    <cellStyle name="Normal 4 5 3 6 2 2" xfId="11548"/>
    <cellStyle name="Normal 4 5 3 6 2 2 2" xfId="22670"/>
    <cellStyle name="Normal 4 5 3 6 2 3" xfId="15247"/>
    <cellStyle name="Normal 4 5 3 6 2 3 2" xfId="26364"/>
    <cellStyle name="Normal 4 5 3 6 2 4" xfId="18976"/>
    <cellStyle name="Normal 4 5 3 6 3" xfId="9701"/>
    <cellStyle name="Normal 4 5 3 6 3 2" xfId="20823"/>
    <cellStyle name="Normal 4 5 3 6 4" xfId="13400"/>
    <cellStyle name="Normal 4 5 3 6 4 2" xfId="24517"/>
    <cellStyle name="Normal 4 5 3 6 5" xfId="17129"/>
    <cellStyle name="Normal 4 5 3 7" xfId="6276"/>
    <cellStyle name="Normal 4 5 3 7 2" xfId="9978"/>
    <cellStyle name="Normal 4 5 3 7 2 2" xfId="21100"/>
    <cellStyle name="Normal 4 5 3 7 3" xfId="13677"/>
    <cellStyle name="Normal 4 5 3 7 3 2" xfId="24794"/>
    <cellStyle name="Normal 4 5 3 7 4" xfId="17406"/>
    <cellStyle name="Normal 4 5 3 8" xfId="8130"/>
    <cellStyle name="Normal 4 5 3 8 2" xfId="19253"/>
    <cellStyle name="Normal 4 5 3 9" xfId="11830"/>
    <cellStyle name="Normal 4 5 3 9 2" xfId="22947"/>
    <cellStyle name="Normal 4 5 4" xfId="2117"/>
    <cellStyle name="Normal 4 5 4 2" xfId="3588"/>
    <cellStyle name="Normal 4 5 4 2 2" xfId="6928"/>
    <cellStyle name="Normal 4 5 4 2 2 2" xfId="10630"/>
    <cellStyle name="Normal 4 5 4 2 2 2 2" xfId="21752"/>
    <cellStyle name="Normal 4 5 4 2 2 3" xfId="14329"/>
    <cellStyle name="Normal 4 5 4 2 2 3 2" xfId="25446"/>
    <cellStyle name="Normal 4 5 4 2 2 4" xfId="18058"/>
    <cellStyle name="Normal 4 5 4 2 3" xfId="8782"/>
    <cellStyle name="Normal 4 5 4 2 3 2" xfId="19905"/>
    <cellStyle name="Normal 4 5 4 2 4" xfId="12482"/>
    <cellStyle name="Normal 4 5 4 2 4 2" xfId="23599"/>
    <cellStyle name="Normal 4 5 4 2 5" xfId="16211"/>
    <cellStyle name="Normal 4 5 4 3" xfId="5222"/>
    <cellStyle name="Normal 4 5 4 3 2" xfId="7573"/>
    <cellStyle name="Normal 4 5 4 3 2 2" xfId="11274"/>
    <cellStyle name="Normal 4 5 4 3 2 2 2" xfId="22396"/>
    <cellStyle name="Normal 4 5 4 3 2 3" xfId="14973"/>
    <cellStyle name="Normal 4 5 4 3 2 3 2" xfId="26090"/>
    <cellStyle name="Normal 4 5 4 3 2 4" xfId="18702"/>
    <cellStyle name="Normal 4 5 4 3 3" xfId="9427"/>
    <cellStyle name="Normal 4 5 4 3 3 2" xfId="20549"/>
    <cellStyle name="Normal 4 5 4 3 4" xfId="13126"/>
    <cellStyle name="Normal 4 5 4 3 4 2" xfId="24243"/>
    <cellStyle name="Normal 4 5 4 3 5" xfId="16855"/>
    <cellStyle name="Normal 4 5 4 4" xfId="5738"/>
    <cellStyle name="Normal 4 5 4 4 2" xfId="7848"/>
    <cellStyle name="Normal 4 5 4 4 2 2" xfId="11549"/>
    <cellStyle name="Normal 4 5 4 4 2 2 2" xfId="22671"/>
    <cellStyle name="Normal 4 5 4 4 2 3" xfId="15248"/>
    <cellStyle name="Normal 4 5 4 4 2 3 2" xfId="26365"/>
    <cellStyle name="Normal 4 5 4 4 2 4" xfId="18977"/>
    <cellStyle name="Normal 4 5 4 4 3" xfId="9702"/>
    <cellStyle name="Normal 4 5 4 4 3 2" xfId="20824"/>
    <cellStyle name="Normal 4 5 4 4 4" xfId="13401"/>
    <cellStyle name="Normal 4 5 4 4 4 2" xfId="24518"/>
    <cellStyle name="Normal 4 5 4 4 5" xfId="17130"/>
    <cellStyle name="Normal 4 5 4 5" xfId="6654"/>
    <cellStyle name="Normal 4 5 4 5 2" xfId="10356"/>
    <cellStyle name="Normal 4 5 4 5 2 2" xfId="21478"/>
    <cellStyle name="Normal 4 5 4 5 3" xfId="14055"/>
    <cellStyle name="Normal 4 5 4 5 3 2" xfId="25172"/>
    <cellStyle name="Normal 4 5 4 5 4" xfId="17784"/>
    <cellStyle name="Normal 4 5 4 6" xfId="8508"/>
    <cellStyle name="Normal 4 5 4 6 2" xfId="19631"/>
    <cellStyle name="Normal 4 5 4 7" xfId="12208"/>
    <cellStyle name="Normal 4 5 4 7 2" xfId="23325"/>
    <cellStyle name="Normal 4 5 4 8" xfId="15937"/>
    <cellStyle name="Normal 4 5 5" xfId="1751"/>
    <cellStyle name="Normal 4 5 5 2" xfId="3589"/>
    <cellStyle name="Normal 4 5 5 3" xfId="4948"/>
    <cellStyle name="Normal 4 5 5 3 2" xfId="7299"/>
    <cellStyle name="Normal 4 5 5 3 2 2" xfId="11000"/>
    <cellStyle name="Normal 4 5 5 3 2 2 2" xfId="22122"/>
    <cellStyle name="Normal 4 5 5 3 2 3" xfId="14699"/>
    <cellStyle name="Normal 4 5 5 3 2 3 2" xfId="25816"/>
    <cellStyle name="Normal 4 5 5 3 2 4" xfId="18428"/>
    <cellStyle name="Normal 4 5 5 3 3" xfId="9153"/>
    <cellStyle name="Normal 4 5 5 3 3 2" xfId="20275"/>
    <cellStyle name="Normal 4 5 5 3 4" xfId="12852"/>
    <cellStyle name="Normal 4 5 5 3 4 2" xfId="23969"/>
    <cellStyle name="Normal 4 5 5 3 5" xfId="16581"/>
    <cellStyle name="Normal 4 5 5 4" xfId="6380"/>
    <cellStyle name="Normal 4 5 5 4 2" xfId="10082"/>
    <cellStyle name="Normal 4 5 5 4 2 2" xfId="21204"/>
    <cellStyle name="Normal 4 5 5 4 3" xfId="13781"/>
    <cellStyle name="Normal 4 5 5 4 3 2" xfId="24898"/>
    <cellStyle name="Normal 4 5 5 4 4" xfId="17510"/>
    <cellStyle name="Normal 4 5 5 5" xfId="8234"/>
    <cellStyle name="Normal 4 5 5 5 2" xfId="19357"/>
    <cellStyle name="Normal 4 5 5 6" xfId="11934"/>
    <cellStyle name="Normal 4 5 5 6 2" xfId="23051"/>
    <cellStyle name="Normal 4 5 5 7" xfId="15663"/>
    <cellStyle name="Normal 4 5 6" xfId="3583"/>
    <cellStyle name="Normal 4 5 6 2" xfId="6923"/>
    <cellStyle name="Normal 4 5 6 2 2" xfId="10625"/>
    <cellStyle name="Normal 4 5 6 2 2 2" xfId="21747"/>
    <cellStyle name="Normal 4 5 6 2 3" xfId="14324"/>
    <cellStyle name="Normal 4 5 6 2 3 2" xfId="25441"/>
    <cellStyle name="Normal 4 5 6 2 4" xfId="18053"/>
    <cellStyle name="Normal 4 5 6 3" xfId="8777"/>
    <cellStyle name="Normal 4 5 6 3 2" xfId="19900"/>
    <cellStyle name="Normal 4 5 6 4" xfId="12477"/>
    <cellStyle name="Normal 4 5 6 4 2" xfId="23594"/>
    <cellStyle name="Normal 4 5 6 5" xfId="16206"/>
    <cellStyle name="Normal 4 5 7" xfId="4739"/>
    <cellStyle name="Normal 4 5 7 2" xfId="7091"/>
    <cellStyle name="Normal 4 5 7 2 2" xfId="10792"/>
    <cellStyle name="Normal 4 5 7 2 2 2" xfId="21914"/>
    <cellStyle name="Normal 4 5 7 2 3" xfId="14491"/>
    <cellStyle name="Normal 4 5 7 2 3 2" xfId="25608"/>
    <cellStyle name="Normal 4 5 7 2 4" xfId="18220"/>
    <cellStyle name="Normal 4 5 7 3" xfId="8945"/>
    <cellStyle name="Normal 4 5 7 3 2" xfId="20067"/>
    <cellStyle name="Normal 4 5 7 4" xfId="12644"/>
    <cellStyle name="Normal 4 5 7 4 2" xfId="23761"/>
    <cellStyle name="Normal 4 5 7 5" xfId="16373"/>
    <cellStyle name="Normal 4 5 8" xfId="5733"/>
    <cellStyle name="Normal 4 5 8 2" xfId="7843"/>
    <cellStyle name="Normal 4 5 8 2 2" xfId="11544"/>
    <cellStyle name="Normal 4 5 8 2 2 2" xfId="22666"/>
    <cellStyle name="Normal 4 5 8 2 3" xfId="15243"/>
    <cellStyle name="Normal 4 5 8 2 3 2" xfId="26360"/>
    <cellStyle name="Normal 4 5 8 2 4" xfId="18972"/>
    <cellStyle name="Normal 4 5 8 3" xfId="9697"/>
    <cellStyle name="Normal 4 5 8 3 2" xfId="20819"/>
    <cellStyle name="Normal 4 5 8 4" xfId="13396"/>
    <cellStyle name="Normal 4 5 8 4 2" xfId="24513"/>
    <cellStyle name="Normal 4 5 8 5" xfId="17125"/>
    <cellStyle name="Normal 4 5 9" xfId="6172"/>
    <cellStyle name="Normal 4 5 9 2" xfId="9874"/>
    <cellStyle name="Normal 4 5 9 2 2" xfId="20996"/>
    <cellStyle name="Normal 4 5 9 3" xfId="13573"/>
    <cellStyle name="Normal 4 5 9 3 2" xfId="24690"/>
    <cellStyle name="Normal 4 5 9 4" xfId="17302"/>
    <cellStyle name="Normal 4 6" xfId="864"/>
    <cellStyle name="Normal 4 6 2" xfId="3590"/>
    <cellStyle name="Normal 4 6 2 2" xfId="3591"/>
    <cellStyle name="Normal 4 6 2 2 2" xfId="3592"/>
    <cellStyle name="Normal 4 6 2 2 2 2" xfId="3593"/>
    <cellStyle name="Normal 4 6 2 2 2 2 2" xfId="5742"/>
    <cellStyle name="Normal 4 6 2 2 2 2 2 2" xfId="7852"/>
    <cellStyle name="Normal 4 6 2 2 2 2 2 2 2" xfId="11553"/>
    <cellStyle name="Normal 4 6 2 2 2 2 2 2 2 2" xfId="22675"/>
    <cellStyle name="Normal 4 6 2 2 2 2 2 2 3" xfId="15252"/>
    <cellStyle name="Normal 4 6 2 2 2 2 2 2 3 2" xfId="26369"/>
    <cellStyle name="Normal 4 6 2 2 2 2 2 2 4" xfId="18981"/>
    <cellStyle name="Normal 4 6 2 2 2 2 2 3" xfId="9706"/>
    <cellStyle name="Normal 4 6 2 2 2 2 2 3 2" xfId="20828"/>
    <cellStyle name="Normal 4 6 2 2 2 2 2 4" xfId="13405"/>
    <cellStyle name="Normal 4 6 2 2 2 2 2 4 2" xfId="24522"/>
    <cellStyle name="Normal 4 6 2 2 2 2 2 5" xfId="17134"/>
    <cellStyle name="Normal 4 6 2 2 2 2 3" xfId="6932"/>
    <cellStyle name="Normal 4 6 2 2 2 2 3 2" xfId="10634"/>
    <cellStyle name="Normal 4 6 2 2 2 2 3 2 2" xfId="21756"/>
    <cellStyle name="Normal 4 6 2 2 2 2 3 3" xfId="14333"/>
    <cellStyle name="Normal 4 6 2 2 2 2 3 3 2" xfId="25450"/>
    <cellStyle name="Normal 4 6 2 2 2 2 3 4" xfId="18062"/>
    <cellStyle name="Normal 4 6 2 2 2 2 4" xfId="8786"/>
    <cellStyle name="Normal 4 6 2 2 2 2 4 2" xfId="19909"/>
    <cellStyle name="Normal 4 6 2 2 2 2 5" xfId="12486"/>
    <cellStyle name="Normal 4 6 2 2 2 2 5 2" xfId="23603"/>
    <cellStyle name="Normal 4 6 2 2 2 2 6" xfId="16215"/>
    <cellStyle name="Normal 4 6 2 2 2 3" xfId="5741"/>
    <cellStyle name="Normal 4 6 2 2 2 3 2" xfId="7851"/>
    <cellStyle name="Normal 4 6 2 2 2 3 2 2" xfId="11552"/>
    <cellStyle name="Normal 4 6 2 2 2 3 2 2 2" xfId="22674"/>
    <cellStyle name="Normal 4 6 2 2 2 3 2 3" xfId="15251"/>
    <cellStyle name="Normal 4 6 2 2 2 3 2 3 2" xfId="26368"/>
    <cellStyle name="Normal 4 6 2 2 2 3 2 4" xfId="18980"/>
    <cellStyle name="Normal 4 6 2 2 2 3 3" xfId="9705"/>
    <cellStyle name="Normal 4 6 2 2 2 3 3 2" xfId="20827"/>
    <cellStyle name="Normal 4 6 2 2 2 3 4" xfId="13404"/>
    <cellStyle name="Normal 4 6 2 2 2 3 4 2" xfId="24521"/>
    <cellStyle name="Normal 4 6 2 2 2 3 5" xfId="17133"/>
    <cellStyle name="Normal 4 6 2 2 2 4" xfId="6931"/>
    <cellStyle name="Normal 4 6 2 2 2 4 2" xfId="10633"/>
    <cellStyle name="Normal 4 6 2 2 2 4 2 2" xfId="21755"/>
    <cellStyle name="Normal 4 6 2 2 2 4 3" xfId="14332"/>
    <cellStyle name="Normal 4 6 2 2 2 4 3 2" xfId="25449"/>
    <cellStyle name="Normal 4 6 2 2 2 4 4" xfId="18061"/>
    <cellStyle name="Normal 4 6 2 2 2 5" xfId="8785"/>
    <cellStyle name="Normal 4 6 2 2 2 5 2" xfId="19908"/>
    <cellStyle name="Normal 4 6 2 2 2 6" xfId="12485"/>
    <cellStyle name="Normal 4 6 2 2 2 6 2" xfId="23602"/>
    <cellStyle name="Normal 4 6 2 2 2 7" xfId="16214"/>
    <cellStyle name="Normal 4 6 2 2 3" xfId="3594"/>
    <cellStyle name="Normal 4 6 2 2 3 2" xfId="5743"/>
    <cellStyle name="Normal 4 6 2 2 3 2 2" xfId="7853"/>
    <cellStyle name="Normal 4 6 2 2 3 2 2 2" xfId="11554"/>
    <cellStyle name="Normal 4 6 2 2 3 2 2 2 2" xfId="22676"/>
    <cellStyle name="Normal 4 6 2 2 3 2 2 3" xfId="15253"/>
    <cellStyle name="Normal 4 6 2 2 3 2 2 3 2" xfId="26370"/>
    <cellStyle name="Normal 4 6 2 2 3 2 2 4" xfId="18982"/>
    <cellStyle name="Normal 4 6 2 2 3 2 3" xfId="9707"/>
    <cellStyle name="Normal 4 6 2 2 3 2 3 2" xfId="20829"/>
    <cellStyle name="Normal 4 6 2 2 3 2 4" xfId="13406"/>
    <cellStyle name="Normal 4 6 2 2 3 2 4 2" xfId="24523"/>
    <cellStyle name="Normal 4 6 2 2 3 2 5" xfId="17135"/>
    <cellStyle name="Normal 4 6 2 2 3 3" xfId="6933"/>
    <cellStyle name="Normal 4 6 2 2 3 3 2" xfId="10635"/>
    <cellStyle name="Normal 4 6 2 2 3 3 2 2" xfId="21757"/>
    <cellStyle name="Normal 4 6 2 2 3 3 3" xfId="14334"/>
    <cellStyle name="Normal 4 6 2 2 3 3 3 2" xfId="25451"/>
    <cellStyle name="Normal 4 6 2 2 3 3 4" xfId="18063"/>
    <cellStyle name="Normal 4 6 2 2 3 4" xfId="8787"/>
    <cellStyle name="Normal 4 6 2 2 3 4 2" xfId="19910"/>
    <cellStyle name="Normal 4 6 2 2 3 5" xfId="12487"/>
    <cellStyle name="Normal 4 6 2 2 3 5 2" xfId="23604"/>
    <cellStyle name="Normal 4 6 2 2 3 6" xfId="16216"/>
    <cellStyle name="Normal 4 6 2 2 4" xfId="5740"/>
    <cellStyle name="Normal 4 6 2 2 4 2" xfId="7850"/>
    <cellStyle name="Normal 4 6 2 2 4 2 2" xfId="11551"/>
    <cellStyle name="Normal 4 6 2 2 4 2 2 2" xfId="22673"/>
    <cellStyle name="Normal 4 6 2 2 4 2 3" xfId="15250"/>
    <cellStyle name="Normal 4 6 2 2 4 2 3 2" xfId="26367"/>
    <cellStyle name="Normal 4 6 2 2 4 2 4" xfId="18979"/>
    <cellStyle name="Normal 4 6 2 2 4 3" xfId="9704"/>
    <cellStyle name="Normal 4 6 2 2 4 3 2" xfId="20826"/>
    <cellStyle name="Normal 4 6 2 2 4 4" xfId="13403"/>
    <cellStyle name="Normal 4 6 2 2 4 4 2" xfId="24520"/>
    <cellStyle name="Normal 4 6 2 2 4 5" xfId="17132"/>
    <cellStyle name="Normal 4 6 2 2 5" xfId="6930"/>
    <cellStyle name="Normal 4 6 2 2 5 2" xfId="10632"/>
    <cellStyle name="Normal 4 6 2 2 5 2 2" xfId="21754"/>
    <cellStyle name="Normal 4 6 2 2 5 3" xfId="14331"/>
    <cellStyle name="Normal 4 6 2 2 5 3 2" xfId="25448"/>
    <cellStyle name="Normal 4 6 2 2 5 4" xfId="18060"/>
    <cellStyle name="Normal 4 6 2 2 6" xfId="8784"/>
    <cellStyle name="Normal 4 6 2 2 6 2" xfId="19907"/>
    <cellStyle name="Normal 4 6 2 2 7" xfId="12484"/>
    <cellStyle name="Normal 4 6 2 2 7 2" xfId="23601"/>
    <cellStyle name="Normal 4 6 2 2 8" xfId="16213"/>
    <cellStyle name="Normal 4 6 2 3" xfId="3595"/>
    <cellStyle name="Normal 4 6 2 3 2" xfId="3596"/>
    <cellStyle name="Normal 4 6 2 3 2 2" xfId="5745"/>
    <cellStyle name="Normal 4 6 2 3 2 2 2" xfId="7855"/>
    <cellStyle name="Normal 4 6 2 3 2 2 2 2" xfId="11556"/>
    <cellStyle name="Normal 4 6 2 3 2 2 2 2 2" xfId="22678"/>
    <cellStyle name="Normal 4 6 2 3 2 2 2 3" xfId="15255"/>
    <cellStyle name="Normal 4 6 2 3 2 2 2 3 2" xfId="26372"/>
    <cellStyle name="Normal 4 6 2 3 2 2 2 4" xfId="18984"/>
    <cellStyle name="Normal 4 6 2 3 2 2 3" xfId="9709"/>
    <cellStyle name="Normal 4 6 2 3 2 2 3 2" xfId="20831"/>
    <cellStyle name="Normal 4 6 2 3 2 2 4" xfId="13408"/>
    <cellStyle name="Normal 4 6 2 3 2 2 4 2" xfId="24525"/>
    <cellStyle name="Normal 4 6 2 3 2 2 5" xfId="17137"/>
    <cellStyle name="Normal 4 6 2 3 2 3" xfId="6935"/>
    <cellStyle name="Normal 4 6 2 3 2 3 2" xfId="10637"/>
    <cellStyle name="Normal 4 6 2 3 2 3 2 2" xfId="21759"/>
    <cellStyle name="Normal 4 6 2 3 2 3 3" xfId="14336"/>
    <cellStyle name="Normal 4 6 2 3 2 3 3 2" xfId="25453"/>
    <cellStyle name="Normal 4 6 2 3 2 3 4" xfId="18065"/>
    <cellStyle name="Normal 4 6 2 3 2 4" xfId="8789"/>
    <cellStyle name="Normal 4 6 2 3 2 4 2" xfId="19912"/>
    <cellStyle name="Normal 4 6 2 3 2 5" xfId="12489"/>
    <cellStyle name="Normal 4 6 2 3 2 5 2" xfId="23606"/>
    <cellStyle name="Normal 4 6 2 3 2 6" xfId="16218"/>
    <cellStyle name="Normal 4 6 2 3 3" xfId="5744"/>
    <cellStyle name="Normal 4 6 2 3 3 2" xfId="7854"/>
    <cellStyle name="Normal 4 6 2 3 3 2 2" xfId="11555"/>
    <cellStyle name="Normal 4 6 2 3 3 2 2 2" xfId="22677"/>
    <cellStyle name="Normal 4 6 2 3 3 2 3" xfId="15254"/>
    <cellStyle name="Normal 4 6 2 3 3 2 3 2" xfId="26371"/>
    <cellStyle name="Normal 4 6 2 3 3 2 4" xfId="18983"/>
    <cellStyle name="Normal 4 6 2 3 3 3" xfId="9708"/>
    <cellStyle name="Normal 4 6 2 3 3 3 2" xfId="20830"/>
    <cellStyle name="Normal 4 6 2 3 3 4" xfId="13407"/>
    <cellStyle name="Normal 4 6 2 3 3 4 2" xfId="24524"/>
    <cellStyle name="Normal 4 6 2 3 3 5" xfId="17136"/>
    <cellStyle name="Normal 4 6 2 3 4" xfId="6934"/>
    <cellStyle name="Normal 4 6 2 3 4 2" xfId="10636"/>
    <cellStyle name="Normal 4 6 2 3 4 2 2" xfId="21758"/>
    <cellStyle name="Normal 4 6 2 3 4 3" xfId="14335"/>
    <cellStyle name="Normal 4 6 2 3 4 3 2" xfId="25452"/>
    <cellStyle name="Normal 4 6 2 3 4 4" xfId="18064"/>
    <cellStyle name="Normal 4 6 2 3 5" xfId="8788"/>
    <cellStyle name="Normal 4 6 2 3 5 2" xfId="19911"/>
    <cellStyle name="Normal 4 6 2 3 6" xfId="12488"/>
    <cellStyle name="Normal 4 6 2 3 6 2" xfId="23605"/>
    <cellStyle name="Normal 4 6 2 3 7" xfId="16217"/>
    <cellStyle name="Normal 4 6 2 4" xfId="3597"/>
    <cellStyle name="Normal 4 6 2 4 2" xfId="5746"/>
    <cellStyle name="Normal 4 6 2 4 2 2" xfId="7856"/>
    <cellStyle name="Normal 4 6 2 4 2 2 2" xfId="11557"/>
    <cellStyle name="Normal 4 6 2 4 2 2 2 2" xfId="22679"/>
    <cellStyle name="Normal 4 6 2 4 2 2 3" xfId="15256"/>
    <cellStyle name="Normal 4 6 2 4 2 2 3 2" xfId="26373"/>
    <cellStyle name="Normal 4 6 2 4 2 2 4" xfId="18985"/>
    <cellStyle name="Normal 4 6 2 4 2 3" xfId="9710"/>
    <cellStyle name="Normal 4 6 2 4 2 3 2" xfId="20832"/>
    <cellStyle name="Normal 4 6 2 4 2 4" xfId="13409"/>
    <cellStyle name="Normal 4 6 2 4 2 4 2" xfId="24526"/>
    <cellStyle name="Normal 4 6 2 4 2 5" xfId="17138"/>
    <cellStyle name="Normal 4 6 2 4 3" xfId="6936"/>
    <cellStyle name="Normal 4 6 2 4 3 2" xfId="10638"/>
    <cellStyle name="Normal 4 6 2 4 3 2 2" xfId="21760"/>
    <cellStyle name="Normal 4 6 2 4 3 3" xfId="14337"/>
    <cellStyle name="Normal 4 6 2 4 3 3 2" xfId="25454"/>
    <cellStyle name="Normal 4 6 2 4 3 4" xfId="18066"/>
    <cellStyle name="Normal 4 6 2 4 4" xfId="8790"/>
    <cellStyle name="Normal 4 6 2 4 4 2" xfId="19913"/>
    <cellStyle name="Normal 4 6 2 4 5" xfId="12490"/>
    <cellStyle name="Normal 4 6 2 4 5 2" xfId="23607"/>
    <cellStyle name="Normal 4 6 2 4 6" xfId="16219"/>
    <cellStyle name="Normal 4 6 2 5" xfId="5739"/>
    <cellStyle name="Normal 4 6 2 5 2" xfId="7849"/>
    <cellStyle name="Normal 4 6 2 5 2 2" xfId="11550"/>
    <cellStyle name="Normal 4 6 2 5 2 2 2" xfId="22672"/>
    <cellStyle name="Normal 4 6 2 5 2 3" xfId="15249"/>
    <cellStyle name="Normal 4 6 2 5 2 3 2" xfId="26366"/>
    <cellStyle name="Normal 4 6 2 5 2 4" xfId="18978"/>
    <cellStyle name="Normal 4 6 2 5 3" xfId="9703"/>
    <cellStyle name="Normal 4 6 2 5 3 2" xfId="20825"/>
    <cellStyle name="Normal 4 6 2 5 4" xfId="13402"/>
    <cellStyle name="Normal 4 6 2 5 4 2" xfId="24519"/>
    <cellStyle name="Normal 4 6 2 5 5" xfId="17131"/>
    <cellStyle name="Normal 4 6 2 6" xfId="6929"/>
    <cellStyle name="Normal 4 6 2 6 2" xfId="10631"/>
    <cellStyle name="Normal 4 6 2 6 2 2" xfId="21753"/>
    <cellStyle name="Normal 4 6 2 6 3" xfId="14330"/>
    <cellStyle name="Normal 4 6 2 6 3 2" xfId="25447"/>
    <cellStyle name="Normal 4 6 2 6 4" xfId="18059"/>
    <cellStyle name="Normal 4 6 2 7" xfId="8783"/>
    <cellStyle name="Normal 4 6 2 7 2" xfId="19906"/>
    <cellStyle name="Normal 4 6 2 8" xfId="12483"/>
    <cellStyle name="Normal 4 6 2 8 2" xfId="23600"/>
    <cellStyle name="Normal 4 6 2 9" xfId="16212"/>
    <cellStyle name="Normal 4 6 3" xfId="3598"/>
    <cellStyle name="Normal 4 6 3 2" xfId="3599"/>
    <cellStyle name="Normal 4 6 3 2 2" xfId="3600"/>
    <cellStyle name="Normal 4 6 3 2 2 2" xfId="5749"/>
    <cellStyle name="Normal 4 6 3 2 2 2 2" xfId="7859"/>
    <cellStyle name="Normal 4 6 3 2 2 2 2 2" xfId="11560"/>
    <cellStyle name="Normal 4 6 3 2 2 2 2 2 2" xfId="22682"/>
    <cellStyle name="Normal 4 6 3 2 2 2 2 3" xfId="15259"/>
    <cellStyle name="Normal 4 6 3 2 2 2 2 3 2" xfId="26376"/>
    <cellStyle name="Normal 4 6 3 2 2 2 2 4" xfId="18988"/>
    <cellStyle name="Normal 4 6 3 2 2 2 3" xfId="9713"/>
    <cellStyle name="Normal 4 6 3 2 2 2 3 2" xfId="20835"/>
    <cellStyle name="Normal 4 6 3 2 2 2 4" xfId="13412"/>
    <cellStyle name="Normal 4 6 3 2 2 2 4 2" xfId="24529"/>
    <cellStyle name="Normal 4 6 3 2 2 2 5" xfId="17141"/>
    <cellStyle name="Normal 4 6 3 2 2 3" xfId="6939"/>
    <cellStyle name="Normal 4 6 3 2 2 3 2" xfId="10641"/>
    <cellStyle name="Normal 4 6 3 2 2 3 2 2" xfId="21763"/>
    <cellStyle name="Normal 4 6 3 2 2 3 3" xfId="14340"/>
    <cellStyle name="Normal 4 6 3 2 2 3 3 2" xfId="25457"/>
    <cellStyle name="Normal 4 6 3 2 2 3 4" xfId="18069"/>
    <cellStyle name="Normal 4 6 3 2 2 4" xfId="8793"/>
    <cellStyle name="Normal 4 6 3 2 2 4 2" xfId="19916"/>
    <cellStyle name="Normal 4 6 3 2 2 5" xfId="12493"/>
    <cellStyle name="Normal 4 6 3 2 2 5 2" xfId="23610"/>
    <cellStyle name="Normal 4 6 3 2 2 6" xfId="16222"/>
    <cellStyle name="Normal 4 6 3 2 3" xfId="5748"/>
    <cellStyle name="Normal 4 6 3 2 3 2" xfId="7858"/>
    <cellStyle name="Normal 4 6 3 2 3 2 2" xfId="11559"/>
    <cellStyle name="Normal 4 6 3 2 3 2 2 2" xfId="22681"/>
    <cellStyle name="Normal 4 6 3 2 3 2 3" xfId="15258"/>
    <cellStyle name="Normal 4 6 3 2 3 2 3 2" xfId="26375"/>
    <cellStyle name="Normal 4 6 3 2 3 2 4" xfId="18987"/>
    <cellStyle name="Normal 4 6 3 2 3 3" xfId="9712"/>
    <cellStyle name="Normal 4 6 3 2 3 3 2" xfId="20834"/>
    <cellStyle name="Normal 4 6 3 2 3 4" xfId="13411"/>
    <cellStyle name="Normal 4 6 3 2 3 4 2" xfId="24528"/>
    <cellStyle name="Normal 4 6 3 2 3 5" xfId="17140"/>
    <cellStyle name="Normal 4 6 3 2 4" xfId="6938"/>
    <cellStyle name="Normal 4 6 3 2 4 2" xfId="10640"/>
    <cellStyle name="Normal 4 6 3 2 4 2 2" xfId="21762"/>
    <cellStyle name="Normal 4 6 3 2 4 3" xfId="14339"/>
    <cellStyle name="Normal 4 6 3 2 4 3 2" xfId="25456"/>
    <cellStyle name="Normal 4 6 3 2 4 4" xfId="18068"/>
    <cellStyle name="Normal 4 6 3 2 5" xfId="8792"/>
    <cellStyle name="Normal 4 6 3 2 5 2" xfId="19915"/>
    <cellStyle name="Normal 4 6 3 2 6" xfId="12492"/>
    <cellStyle name="Normal 4 6 3 2 6 2" xfId="23609"/>
    <cellStyle name="Normal 4 6 3 2 7" xfId="16221"/>
    <cellStyle name="Normal 4 6 3 3" xfId="3601"/>
    <cellStyle name="Normal 4 6 3 3 2" xfId="5750"/>
    <cellStyle name="Normal 4 6 3 3 2 2" xfId="7860"/>
    <cellStyle name="Normal 4 6 3 3 2 2 2" xfId="11561"/>
    <cellStyle name="Normal 4 6 3 3 2 2 2 2" xfId="22683"/>
    <cellStyle name="Normal 4 6 3 3 2 2 3" xfId="15260"/>
    <cellStyle name="Normal 4 6 3 3 2 2 3 2" xfId="26377"/>
    <cellStyle name="Normal 4 6 3 3 2 2 4" xfId="18989"/>
    <cellStyle name="Normal 4 6 3 3 2 3" xfId="9714"/>
    <cellStyle name="Normal 4 6 3 3 2 3 2" xfId="20836"/>
    <cellStyle name="Normal 4 6 3 3 2 4" xfId="13413"/>
    <cellStyle name="Normal 4 6 3 3 2 4 2" xfId="24530"/>
    <cellStyle name="Normal 4 6 3 3 2 5" xfId="17142"/>
    <cellStyle name="Normal 4 6 3 3 3" xfId="6940"/>
    <cellStyle name="Normal 4 6 3 3 3 2" xfId="10642"/>
    <cellStyle name="Normal 4 6 3 3 3 2 2" xfId="21764"/>
    <cellStyle name="Normal 4 6 3 3 3 3" xfId="14341"/>
    <cellStyle name="Normal 4 6 3 3 3 3 2" xfId="25458"/>
    <cellStyle name="Normal 4 6 3 3 3 4" xfId="18070"/>
    <cellStyle name="Normal 4 6 3 3 4" xfId="8794"/>
    <cellStyle name="Normal 4 6 3 3 4 2" xfId="19917"/>
    <cellStyle name="Normal 4 6 3 3 5" xfId="12494"/>
    <cellStyle name="Normal 4 6 3 3 5 2" xfId="23611"/>
    <cellStyle name="Normal 4 6 3 3 6" xfId="16223"/>
    <cellStyle name="Normal 4 6 3 4" xfId="5747"/>
    <cellStyle name="Normal 4 6 3 4 2" xfId="7857"/>
    <cellStyle name="Normal 4 6 3 4 2 2" xfId="11558"/>
    <cellStyle name="Normal 4 6 3 4 2 2 2" xfId="22680"/>
    <cellStyle name="Normal 4 6 3 4 2 3" xfId="15257"/>
    <cellStyle name="Normal 4 6 3 4 2 3 2" xfId="26374"/>
    <cellStyle name="Normal 4 6 3 4 2 4" xfId="18986"/>
    <cellStyle name="Normal 4 6 3 4 3" xfId="9711"/>
    <cellStyle name="Normal 4 6 3 4 3 2" xfId="20833"/>
    <cellStyle name="Normal 4 6 3 4 4" xfId="13410"/>
    <cellStyle name="Normal 4 6 3 4 4 2" xfId="24527"/>
    <cellStyle name="Normal 4 6 3 4 5" xfId="17139"/>
    <cellStyle name="Normal 4 6 3 5" xfId="6937"/>
    <cellStyle name="Normal 4 6 3 5 2" xfId="10639"/>
    <cellStyle name="Normal 4 6 3 5 2 2" xfId="21761"/>
    <cellStyle name="Normal 4 6 3 5 3" xfId="14338"/>
    <cellStyle name="Normal 4 6 3 5 3 2" xfId="25455"/>
    <cellStyle name="Normal 4 6 3 5 4" xfId="18067"/>
    <cellStyle name="Normal 4 6 3 6" xfId="8791"/>
    <cellStyle name="Normal 4 6 3 6 2" xfId="19914"/>
    <cellStyle name="Normal 4 6 3 7" xfId="12491"/>
    <cellStyle name="Normal 4 6 3 7 2" xfId="23608"/>
    <cellStyle name="Normal 4 6 3 8" xfId="16220"/>
    <cellStyle name="Normal 4 6 4" xfId="3602"/>
    <cellStyle name="Normal 4 6 4 2" xfId="3603"/>
    <cellStyle name="Normal 4 6 4 2 2" xfId="5752"/>
    <cellStyle name="Normal 4 6 4 2 2 2" xfId="7862"/>
    <cellStyle name="Normal 4 6 4 2 2 2 2" xfId="11563"/>
    <cellStyle name="Normal 4 6 4 2 2 2 2 2" xfId="22685"/>
    <cellStyle name="Normal 4 6 4 2 2 2 3" xfId="15262"/>
    <cellStyle name="Normal 4 6 4 2 2 2 3 2" xfId="26379"/>
    <cellStyle name="Normal 4 6 4 2 2 2 4" xfId="18991"/>
    <cellStyle name="Normal 4 6 4 2 2 3" xfId="9716"/>
    <cellStyle name="Normal 4 6 4 2 2 3 2" xfId="20838"/>
    <cellStyle name="Normal 4 6 4 2 2 4" xfId="13415"/>
    <cellStyle name="Normal 4 6 4 2 2 4 2" xfId="24532"/>
    <cellStyle name="Normal 4 6 4 2 2 5" xfId="17144"/>
    <cellStyle name="Normal 4 6 4 2 3" xfId="6942"/>
    <cellStyle name="Normal 4 6 4 2 3 2" xfId="10644"/>
    <cellStyle name="Normal 4 6 4 2 3 2 2" xfId="21766"/>
    <cellStyle name="Normal 4 6 4 2 3 3" xfId="14343"/>
    <cellStyle name="Normal 4 6 4 2 3 3 2" xfId="25460"/>
    <cellStyle name="Normal 4 6 4 2 3 4" xfId="18072"/>
    <cellStyle name="Normal 4 6 4 2 4" xfId="8796"/>
    <cellStyle name="Normal 4 6 4 2 4 2" xfId="19919"/>
    <cellStyle name="Normal 4 6 4 2 5" xfId="12496"/>
    <cellStyle name="Normal 4 6 4 2 5 2" xfId="23613"/>
    <cellStyle name="Normal 4 6 4 2 6" xfId="16225"/>
    <cellStyle name="Normal 4 6 4 3" xfId="5751"/>
    <cellStyle name="Normal 4 6 4 3 2" xfId="7861"/>
    <cellStyle name="Normal 4 6 4 3 2 2" xfId="11562"/>
    <cellStyle name="Normal 4 6 4 3 2 2 2" xfId="22684"/>
    <cellStyle name="Normal 4 6 4 3 2 3" xfId="15261"/>
    <cellStyle name="Normal 4 6 4 3 2 3 2" xfId="26378"/>
    <cellStyle name="Normal 4 6 4 3 2 4" xfId="18990"/>
    <cellStyle name="Normal 4 6 4 3 3" xfId="9715"/>
    <cellStyle name="Normal 4 6 4 3 3 2" xfId="20837"/>
    <cellStyle name="Normal 4 6 4 3 4" xfId="13414"/>
    <cellStyle name="Normal 4 6 4 3 4 2" xfId="24531"/>
    <cellStyle name="Normal 4 6 4 3 5" xfId="17143"/>
    <cellStyle name="Normal 4 6 4 4" xfId="6941"/>
    <cellStyle name="Normal 4 6 4 4 2" xfId="10643"/>
    <cellStyle name="Normal 4 6 4 4 2 2" xfId="21765"/>
    <cellStyle name="Normal 4 6 4 4 3" xfId="14342"/>
    <cellStyle name="Normal 4 6 4 4 3 2" xfId="25459"/>
    <cellStyle name="Normal 4 6 4 4 4" xfId="18071"/>
    <cellStyle name="Normal 4 6 4 5" xfId="8795"/>
    <cellStyle name="Normal 4 6 4 5 2" xfId="19918"/>
    <cellStyle name="Normal 4 6 4 6" xfId="12495"/>
    <cellStyle name="Normal 4 6 4 6 2" xfId="23612"/>
    <cellStyle name="Normal 4 6 4 7" xfId="16224"/>
    <cellStyle name="Normal 4 6 5" xfId="3604"/>
    <cellStyle name="Normal 4 6 5 2" xfId="5753"/>
    <cellStyle name="Normal 4 6 5 2 2" xfId="7863"/>
    <cellStyle name="Normal 4 6 5 2 2 2" xfId="11564"/>
    <cellStyle name="Normal 4 6 5 2 2 2 2" xfId="22686"/>
    <cellStyle name="Normal 4 6 5 2 2 3" xfId="15263"/>
    <cellStyle name="Normal 4 6 5 2 2 3 2" xfId="26380"/>
    <cellStyle name="Normal 4 6 5 2 2 4" xfId="18992"/>
    <cellStyle name="Normal 4 6 5 2 3" xfId="9717"/>
    <cellStyle name="Normal 4 6 5 2 3 2" xfId="20839"/>
    <cellStyle name="Normal 4 6 5 2 4" xfId="13416"/>
    <cellStyle name="Normal 4 6 5 2 4 2" xfId="24533"/>
    <cellStyle name="Normal 4 6 5 2 5" xfId="17145"/>
    <cellStyle name="Normal 4 6 5 3" xfId="6943"/>
    <cellStyle name="Normal 4 6 5 3 2" xfId="10645"/>
    <cellStyle name="Normal 4 6 5 3 2 2" xfId="21767"/>
    <cellStyle name="Normal 4 6 5 3 3" xfId="14344"/>
    <cellStyle name="Normal 4 6 5 3 3 2" xfId="25461"/>
    <cellStyle name="Normal 4 6 5 3 4" xfId="18073"/>
    <cellStyle name="Normal 4 6 5 4" xfId="8797"/>
    <cellStyle name="Normal 4 6 5 4 2" xfId="19920"/>
    <cellStyle name="Normal 4 6 5 5" xfId="12497"/>
    <cellStyle name="Normal 4 6 5 5 2" xfId="23614"/>
    <cellStyle name="Normal 4 6 5 6" xfId="16226"/>
    <cellStyle name="Normal 4 6 6" xfId="3605"/>
    <cellStyle name="Normal 4 6 6 2" xfId="5754"/>
    <cellStyle name="Normal 4 6 6 2 2" xfId="7864"/>
    <cellStyle name="Normal 4 6 6 2 2 2" xfId="11565"/>
    <cellStyle name="Normal 4 6 6 2 2 2 2" xfId="22687"/>
    <cellStyle name="Normal 4 6 6 2 2 3" xfId="15264"/>
    <cellStyle name="Normal 4 6 6 2 2 3 2" xfId="26381"/>
    <cellStyle name="Normal 4 6 6 2 2 4" xfId="18993"/>
    <cellStyle name="Normal 4 6 6 2 3" xfId="9718"/>
    <cellStyle name="Normal 4 6 6 2 3 2" xfId="20840"/>
    <cellStyle name="Normal 4 6 6 2 4" xfId="13417"/>
    <cellStyle name="Normal 4 6 6 2 4 2" xfId="24534"/>
    <cellStyle name="Normal 4 6 6 2 5" xfId="17146"/>
    <cellStyle name="Normal 4 6 6 3" xfId="6944"/>
    <cellStyle name="Normal 4 6 6 3 2" xfId="10646"/>
    <cellStyle name="Normal 4 6 6 3 2 2" xfId="21768"/>
    <cellStyle name="Normal 4 6 6 3 3" xfId="14345"/>
    <cellStyle name="Normal 4 6 6 3 3 2" xfId="25462"/>
    <cellStyle name="Normal 4 6 6 3 4" xfId="18074"/>
    <cellStyle name="Normal 4 6 6 4" xfId="8798"/>
    <cellStyle name="Normal 4 6 6 4 2" xfId="19921"/>
    <cellStyle name="Normal 4 6 6 5" xfId="12498"/>
    <cellStyle name="Normal 4 6 6 5 2" xfId="23615"/>
    <cellStyle name="Normal 4 6 6 6" xfId="16227"/>
    <cellStyle name="Normal 4 7" xfId="2121"/>
    <cellStyle name="Normal 4 7 2" xfId="3606"/>
    <cellStyle name="Normal 4 8" xfId="3607"/>
    <cellStyle name="Normal 4 8 2" xfId="3608"/>
    <cellStyle name="Normal 4 8 2 2" xfId="3609"/>
    <cellStyle name="Normal 4 8 2 2 2" xfId="3610"/>
    <cellStyle name="Normal 4 8 2 2 2 2" xfId="5758"/>
    <cellStyle name="Normal 4 8 2 2 2 2 2" xfId="7868"/>
    <cellStyle name="Normal 4 8 2 2 2 2 2 2" xfId="11569"/>
    <cellStyle name="Normal 4 8 2 2 2 2 2 2 2" xfId="22691"/>
    <cellStyle name="Normal 4 8 2 2 2 2 2 3" xfId="15268"/>
    <cellStyle name="Normal 4 8 2 2 2 2 2 3 2" xfId="26385"/>
    <cellStyle name="Normal 4 8 2 2 2 2 2 4" xfId="18997"/>
    <cellStyle name="Normal 4 8 2 2 2 2 3" xfId="9722"/>
    <cellStyle name="Normal 4 8 2 2 2 2 3 2" xfId="20844"/>
    <cellStyle name="Normal 4 8 2 2 2 2 4" xfId="13421"/>
    <cellStyle name="Normal 4 8 2 2 2 2 4 2" xfId="24538"/>
    <cellStyle name="Normal 4 8 2 2 2 2 5" xfId="17150"/>
    <cellStyle name="Normal 4 8 2 2 2 3" xfId="6948"/>
    <cellStyle name="Normal 4 8 2 2 2 3 2" xfId="10650"/>
    <cellStyle name="Normal 4 8 2 2 2 3 2 2" xfId="21772"/>
    <cellStyle name="Normal 4 8 2 2 2 3 3" xfId="14349"/>
    <cellStyle name="Normal 4 8 2 2 2 3 3 2" xfId="25466"/>
    <cellStyle name="Normal 4 8 2 2 2 3 4" xfId="18078"/>
    <cellStyle name="Normal 4 8 2 2 2 4" xfId="8802"/>
    <cellStyle name="Normal 4 8 2 2 2 4 2" xfId="19925"/>
    <cellStyle name="Normal 4 8 2 2 2 5" xfId="12502"/>
    <cellStyle name="Normal 4 8 2 2 2 5 2" xfId="23619"/>
    <cellStyle name="Normal 4 8 2 2 2 6" xfId="16231"/>
    <cellStyle name="Normal 4 8 2 2 3" xfId="5757"/>
    <cellStyle name="Normal 4 8 2 2 3 2" xfId="7867"/>
    <cellStyle name="Normal 4 8 2 2 3 2 2" xfId="11568"/>
    <cellStyle name="Normal 4 8 2 2 3 2 2 2" xfId="22690"/>
    <cellStyle name="Normal 4 8 2 2 3 2 3" xfId="15267"/>
    <cellStyle name="Normal 4 8 2 2 3 2 3 2" xfId="26384"/>
    <cellStyle name="Normal 4 8 2 2 3 2 4" xfId="18996"/>
    <cellStyle name="Normal 4 8 2 2 3 3" xfId="9721"/>
    <cellStyle name="Normal 4 8 2 2 3 3 2" xfId="20843"/>
    <cellStyle name="Normal 4 8 2 2 3 4" xfId="13420"/>
    <cellStyle name="Normal 4 8 2 2 3 4 2" xfId="24537"/>
    <cellStyle name="Normal 4 8 2 2 3 5" xfId="17149"/>
    <cellStyle name="Normal 4 8 2 2 4" xfId="6947"/>
    <cellStyle name="Normal 4 8 2 2 4 2" xfId="10649"/>
    <cellStyle name="Normal 4 8 2 2 4 2 2" xfId="21771"/>
    <cellStyle name="Normal 4 8 2 2 4 3" xfId="14348"/>
    <cellStyle name="Normal 4 8 2 2 4 3 2" xfId="25465"/>
    <cellStyle name="Normal 4 8 2 2 4 4" xfId="18077"/>
    <cellStyle name="Normal 4 8 2 2 5" xfId="8801"/>
    <cellStyle name="Normal 4 8 2 2 5 2" xfId="19924"/>
    <cellStyle name="Normal 4 8 2 2 6" xfId="12501"/>
    <cellStyle name="Normal 4 8 2 2 6 2" xfId="23618"/>
    <cellStyle name="Normal 4 8 2 2 7" xfId="16230"/>
    <cellStyle name="Normal 4 8 2 3" xfId="3611"/>
    <cellStyle name="Normal 4 8 2 3 2" xfId="5759"/>
    <cellStyle name="Normal 4 8 2 3 2 2" xfId="7869"/>
    <cellStyle name="Normal 4 8 2 3 2 2 2" xfId="11570"/>
    <cellStyle name="Normal 4 8 2 3 2 2 2 2" xfId="22692"/>
    <cellStyle name="Normal 4 8 2 3 2 2 3" xfId="15269"/>
    <cellStyle name="Normal 4 8 2 3 2 2 3 2" xfId="26386"/>
    <cellStyle name="Normal 4 8 2 3 2 2 4" xfId="18998"/>
    <cellStyle name="Normal 4 8 2 3 2 3" xfId="9723"/>
    <cellStyle name="Normal 4 8 2 3 2 3 2" xfId="20845"/>
    <cellStyle name="Normal 4 8 2 3 2 4" xfId="13422"/>
    <cellStyle name="Normal 4 8 2 3 2 4 2" xfId="24539"/>
    <cellStyle name="Normal 4 8 2 3 2 5" xfId="17151"/>
    <cellStyle name="Normal 4 8 2 3 3" xfId="6949"/>
    <cellStyle name="Normal 4 8 2 3 3 2" xfId="10651"/>
    <cellStyle name="Normal 4 8 2 3 3 2 2" xfId="21773"/>
    <cellStyle name="Normal 4 8 2 3 3 3" xfId="14350"/>
    <cellStyle name="Normal 4 8 2 3 3 3 2" xfId="25467"/>
    <cellStyle name="Normal 4 8 2 3 3 4" xfId="18079"/>
    <cellStyle name="Normal 4 8 2 3 4" xfId="8803"/>
    <cellStyle name="Normal 4 8 2 3 4 2" xfId="19926"/>
    <cellStyle name="Normal 4 8 2 3 5" xfId="12503"/>
    <cellStyle name="Normal 4 8 2 3 5 2" xfId="23620"/>
    <cellStyle name="Normal 4 8 2 3 6" xfId="16232"/>
    <cellStyle name="Normal 4 8 2 4" xfId="5756"/>
    <cellStyle name="Normal 4 8 2 4 2" xfId="7866"/>
    <cellStyle name="Normal 4 8 2 4 2 2" xfId="11567"/>
    <cellStyle name="Normal 4 8 2 4 2 2 2" xfId="22689"/>
    <cellStyle name="Normal 4 8 2 4 2 3" xfId="15266"/>
    <cellStyle name="Normal 4 8 2 4 2 3 2" xfId="26383"/>
    <cellStyle name="Normal 4 8 2 4 2 4" xfId="18995"/>
    <cellStyle name="Normal 4 8 2 4 3" xfId="9720"/>
    <cellStyle name="Normal 4 8 2 4 3 2" xfId="20842"/>
    <cellStyle name="Normal 4 8 2 4 4" xfId="13419"/>
    <cellStyle name="Normal 4 8 2 4 4 2" xfId="24536"/>
    <cellStyle name="Normal 4 8 2 4 5" xfId="17148"/>
    <cellStyle name="Normal 4 8 2 5" xfId="6946"/>
    <cellStyle name="Normal 4 8 2 5 2" xfId="10648"/>
    <cellStyle name="Normal 4 8 2 5 2 2" xfId="21770"/>
    <cellStyle name="Normal 4 8 2 5 3" xfId="14347"/>
    <cellStyle name="Normal 4 8 2 5 3 2" xfId="25464"/>
    <cellStyle name="Normal 4 8 2 5 4" xfId="18076"/>
    <cellStyle name="Normal 4 8 2 6" xfId="8800"/>
    <cellStyle name="Normal 4 8 2 6 2" xfId="19923"/>
    <cellStyle name="Normal 4 8 2 7" xfId="12500"/>
    <cellStyle name="Normal 4 8 2 7 2" xfId="23617"/>
    <cellStyle name="Normal 4 8 2 8" xfId="16229"/>
    <cellStyle name="Normal 4 8 3" xfId="3612"/>
    <cellStyle name="Normal 4 8 3 2" xfId="3613"/>
    <cellStyle name="Normal 4 8 3 2 2" xfId="5761"/>
    <cellStyle name="Normal 4 8 3 2 2 2" xfId="7871"/>
    <cellStyle name="Normal 4 8 3 2 2 2 2" xfId="11572"/>
    <cellStyle name="Normal 4 8 3 2 2 2 2 2" xfId="22694"/>
    <cellStyle name="Normal 4 8 3 2 2 2 3" xfId="15271"/>
    <cellStyle name="Normal 4 8 3 2 2 2 3 2" xfId="26388"/>
    <cellStyle name="Normal 4 8 3 2 2 2 4" xfId="19000"/>
    <cellStyle name="Normal 4 8 3 2 2 3" xfId="9725"/>
    <cellStyle name="Normal 4 8 3 2 2 3 2" xfId="20847"/>
    <cellStyle name="Normal 4 8 3 2 2 4" xfId="13424"/>
    <cellStyle name="Normal 4 8 3 2 2 4 2" xfId="24541"/>
    <cellStyle name="Normal 4 8 3 2 2 5" xfId="17153"/>
    <cellStyle name="Normal 4 8 3 2 3" xfId="6951"/>
    <cellStyle name="Normal 4 8 3 2 3 2" xfId="10653"/>
    <cellStyle name="Normal 4 8 3 2 3 2 2" xfId="21775"/>
    <cellStyle name="Normal 4 8 3 2 3 3" xfId="14352"/>
    <cellStyle name="Normal 4 8 3 2 3 3 2" xfId="25469"/>
    <cellStyle name="Normal 4 8 3 2 3 4" xfId="18081"/>
    <cellStyle name="Normal 4 8 3 2 4" xfId="8805"/>
    <cellStyle name="Normal 4 8 3 2 4 2" xfId="19928"/>
    <cellStyle name="Normal 4 8 3 2 5" xfId="12505"/>
    <cellStyle name="Normal 4 8 3 2 5 2" xfId="23622"/>
    <cellStyle name="Normal 4 8 3 2 6" xfId="16234"/>
    <cellStyle name="Normal 4 8 3 3" xfId="5760"/>
    <cellStyle name="Normal 4 8 3 3 2" xfId="7870"/>
    <cellStyle name="Normal 4 8 3 3 2 2" xfId="11571"/>
    <cellStyle name="Normal 4 8 3 3 2 2 2" xfId="22693"/>
    <cellStyle name="Normal 4 8 3 3 2 3" xfId="15270"/>
    <cellStyle name="Normal 4 8 3 3 2 3 2" xfId="26387"/>
    <cellStyle name="Normal 4 8 3 3 2 4" xfId="18999"/>
    <cellStyle name="Normal 4 8 3 3 3" xfId="9724"/>
    <cellStyle name="Normal 4 8 3 3 3 2" xfId="20846"/>
    <cellStyle name="Normal 4 8 3 3 4" xfId="13423"/>
    <cellStyle name="Normal 4 8 3 3 4 2" xfId="24540"/>
    <cellStyle name="Normal 4 8 3 3 5" xfId="17152"/>
    <cellStyle name="Normal 4 8 3 4" xfId="6950"/>
    <cellStyle name="Normal 4 8 3 4 2" xfId="10652"/>
    <cellStyle name="Normal 4 8 3 4 2 2" xfId="21774"/>
    <cellStyle name="Normal 4 8 3 4 3" xfId="14351"/>
    <cellStyle name="Normal 4 8 3 4 3 2" xfId="25468"/>
    <cellStyle name="Normal 4 8 3 4 4" xfId="18080"/>
    <cellStyle name="Normal 4 8 3 5" xfId="8804"/>
    <cellStyle name="Normal 4 8 3 5 2" xfId="19927"/>
    <cellStyle name="Normal 4 8 3 6" xfId="12504"/>
    <cellStyle name="Normal 4 8 3 6 2" xfId="23621"/>
    <cellStyle name="Normal 4 8 3 7" xfId="16233"/>
    <cellStyle name="Normal 4 8 4" xfId="3614"/>
    <cellStyle name="Normal 4 8 4 2" xfId="5762"/>
    <cellStyle name="Normal 4 8 4 2 2" xfId="7872"/>
    <cellStyle name="Normal 4 8 4 2 2 2" xfId="11573"/>
    <cellStyle name="Normal 4 8 4 2 2 2 2" xfId="22695"/>
    <cellStyle name="Normal 4 8 4 2 2 3" xfId="15272"/>
    <cellStyle name="Normal 4 8 4 2 2 3 2" xfId="26389"/>
    <cellStyle name="Normal 4 8 4 2 2 4" xfId="19001"/>
    <cellStyle name="Normal 4 8 4 2 3" xfId="9726"/>
    <cellStyle name="Normal 4 8 4 2 3 2" xfId="20848"/>
    <cellStyle name="Normal 4 8 4 2 4" xfId="13425"/>
    <cellStyle name="Normal 4 8 4 2 4 2" xfId="24542"/>
    <cellStyle name="Normal 4 8 4 2 5" xfId="17154"/>
    <cellStyle name="Normal 4 8 4 3" xfId="6952"/>
    <cellStyle name="Normal 4 8 4 3 2" xfId="10654"/>
    <cellStyle name="Normal 4 8 4 3 2 2" xfId="21776"/>
    <cellStyle name="Normal 4 8 4 3 3" xfId="14353"/>
    <cellStyle name="Normal 4 8 4 3 3 2" xfId="25470"/>
    <cellStyle name="Normal 4 8 4 3 4" xfId="18082"/>
    <cellStyle name="Normal 4 8 4 4" xfId="8806"/>
    <cellStyle name="Normal 4 8 4 4 2" xfId="19929"/>
    <cellStyle name="Normal 4 8 4 5" xfId="12506"/>
    <cellStyle name="Normal 4 8 4 5 2" xfId="23623"/>
    <cellStyle name="Normal 4 8 4 6" xfId="16235"/>
    <cellStyle name="Normal 4 8 5" xfId="5755"/>
    <cellStyle name="Normal 4 8 5 2" xfId="7865"/>
    <cellStyle name="Normal 4 8 5 2 2" xfId="11566"/>
    <cellStyle name="Normal 4 8 5 2 2 2" xfId="22688"/>
    <cellStyle name="Normal 4 8 5 2 3" xfId="15265"/>
    <cellStyle name="Normal 4 8 5 2 3 2" xfId="26382"/>
    <cellStyle name="Normal 4 8 5 2 4" xfId="18994"/>
    <cellStyle name="Normal 4 8 5 3" xfId="9719"/>
    <cellStyle name="Normal 4 8 5 3 2" xfId="20841"/>
    <cellStyle name="Normal 4 8 5 4" xfId="13418"/>
    <cellStyle name="Normal 4 8 5 4 2" xfId="24535"/>
    <cellStyle name="Normal 4 8 5 5" xfId="17147"/>
    <cellStyle name="Normal 4 8 6" xfId="6945"/>
    <cellStyle name="Normal 4 8 6 2" xfId="10647"/>
    <cellStyle name="Normal 4 8 6 2 2" xfId="21769"/>
    <cellStyle name="Normal 4 8 6 3" xfId="14346"/>
    <cellStyle name="Normal 4 8 6 3 2" xfId="25463"/>
    <cellStyle name="Normal 4 8 6 4" xfId="18075"/>
    <cellStyle name="Normal 4 8 7" xfId="8799"/>
    <cellStyle name="Normal 4 8 7 2" xfId="19922"/>
    <cellStyle name="Normal 4 8 8" xfId="12499"/>
    <cellStyle name="Normal 4 8 8 2" xfId="23616"/>
    <cellStyle name="Normal 4 8 9" xfId="16228"/>
    <cellStyle name="Normal 4 9" xfId="3615"/>
    <cellStyle name="Normal 4 9 2" xfId="3616"/>
    <cellStyle name="Normal 4 9 2 2" xfId="5764"/>
    <cellStyle name="Normal 4 9 2 2 2" xfId="7874"/>
    <cellStyle name="Normal 4 9 2 2 2 2" xfId="11575"/>
    <cellStyle name="Normal 4 9 2 2 2 2 2" xfId="22697"/>
    <cellStyle name="Normal 4 9 2 2 2 3" xfId="15274"/>
    <cellStyle name="Normal 4 9 2 2 2 3 2" xfId="26391"/>
    <cellStyle name="Normal 4 9 2 2 2 4" xfId="19003"/>
    <cellStyle name="Normal 4 9 2 2 3" xfId="9728"/>
    <cellStyle name="Normal 4 9 2 2 3 2" xfId="20850"/>
    <cellStyle name="Normal 4 9 2 2 4" xfId="13427"/>
    <cellStyle name="Normal 4 9 2 2 4 2" xfId="24544"/>
    <cellStyle name="Normal 4 9 2 2 5" xfId="17156"/>
    <cellStyle name="Normal 4 9 2 3" xfId="6954"/>
    <cellStyle name="Normal 4 9 2 3 2" xfId="10656"/>
    <cellStyle name="Normal 4 9 2 3 2 2" xfId="21778"/>
    <cellStyle name="Normal 4 9 2 3 3" xfId="14355"/>
    <cellStyle name="Normal 4 9 2 3 3 2" xfId="25472"/>
    <cellStyle name="Normal 4 9 2 3 4" xfId="18084"/>
    <cellStyle name="Normal 4 9 2 4" xfId="8808"/>
    <cellStyle name="Normal 4 9 2 4 2" xfId="19931"/>
    <cellStyle name="Normal 4 9 2 5" xfId="12508"/>
    <cellStyle name="Normal 4 9 2 5 2" xfId="23625"/>
    <cellStyle name="Normal 4 9 2 6" xfId="16237"/>
    <cellStyle name="Normal 4 9 3" xfId="5763"/>
    <cellStyle name="Normal 4 9 3 2" xfId="7873"/>
    <cellStyle name="Normal 4 9 3 2 2" xfId="11574"/>
    <cellStyle name="Normal 4 9 3 2 2 2" xfId="22696"/>
    <cellStyle name="Normal 4 9 3 2 3" xfId="15273"/>
    <cellStyle name="Normal 4 9 3 2 3 2" xfId="26390"/>
    <cellStyle name="Normal 4 9 3 2 4" xfId="19002"/>
    <cellStyle name="Normal 4 9 3 3" xfId="9727"/>
    <cellStyle name="Normal 4 9 3 3 2" xfId="20849"/>
    <cellStyle name="Normal 4 9 3 4" xfId="13426"/>
    <cellStyle name="Normal 4 9 3 4 2" xfId="24543"/>
    <cellStyle name="Normal 4 9 3 5" xfId="17155"/>
    <cellStyle name="Normal 4 9 4" xfId="6953"/>
    <cellStyle name="Normal 4 9 4 2" xfId="10655"/>
    <cellStyle name="Normal 4 9 4 2 2" xfId="21777"/>
    <cellStyle name="Normal 4 9 4 3" xfId="14354"/>
    <cellStyle name="Normal 4 9 4 3 2" xfId="25471"/>
    <cellStyle name="Normal 4 9 4 4" xfId="18083"/>
    <cellStyle name="Normal 4 9 5" xfId="8807"/>
    <cellStyle name="Normal 4 9 5 2" xfId="19930"/>
    <cellStyle name="Normal 4 9 6" xfId="12507"/>
    <cellStyle name="Normal 4 9 6 2" xfId="23624"/>
    <cellStyle name="Normal 4 9 7" xfId="16236"/>
    <cellStyle name="Normal 40" xfId="92"/>
    <cellStyle name="Normal 40 2" xfId="960"/>
    <cellStyle name="Normal 40 2 2" xfId="3617"/>
    <cellStyle name="Normal 40 3" xfId="3618"/>
    <cellStyle name="Normal 41" xfId="637"/>
    <cellStyle name="Normal 41 2" xfId="3619"/>
    <cellStyle name="Normal 42" xfId="638"/>
    <cellStyle name="Normal 42 2" xfId="3620"/>
    <cellStyle name="Normal 43" xfId="647"/>
    <cellStyle name="Normal 43 2" xfId="3621"/>
    <cellStyle name="Normal 44" xfId="663"/>
    <cellStyle name="Normal 44 2" xfId="3622"/>
    <cellStyle name="Normal 45" xfId="646"/>
    <cellStyle name="Normal 45 2" xfId="966"/>
    <cellStyle name="Normal 45 2 2" xfId="6134"/>
    <cellStyle name="Normal 45 3" xfId="3623"/>
    <cellStyle name="Normal 45 3 2" xfId="6038"/>
    <cellStyle name="Normal 45 4" xfId="6005"/>
    <cellStyle name="Normal 46" xfId="639"/>
    <cellStyle name="Normal 46 2" xfId="971"/>
    <cellStyle name="Normal 46 2 2" xfId="3624"/>
    <cellStyle name="Normal 46 3" xfId="968"/>
    <cellStyle name="Normal 46 4" xfId="3625"/>
    <cellStyle name="Normal 47" xfId="645"/>
    <cellStyle name="Normal 47 2" xfId="972"/>
    <cellStyle name="Normal 47 2 2" xfId="3626"/>
    <cellStyle name="Normal 47 3" xfId="1302"/>
    <cellStyle name="Normal 47 4" xfId="3627"/>
    <cellStyle name="Normal 48" xfId="640"/>
    <cellStyle name="Normal 48 2" xfId="974"/>
    <cellStyle name="Normal 48 2 2" xfId="3628"/>
    <cellStyle name="Normal 48 3" xfId="973"/>
    <cellStyle name="Normal 48 4" xfId="3629"/>
    <cellStyle name="Normal 49" xfId="644"/>
    <cellStyle name="Normal 49 2" xfId="979"/>
    <cellStyle name="Normal 49 2 2" xfId="3630"/>
    <cellStyle name="Normal 49 3" xfId="978"/>
    <cellStyle name="Normal 49 4" xfId="3631"/>
    <cellStyle name="Normal 5" xfId="442"/>
    <cellStyle name="Normal 5 10" xfId="15414"/>
    <cellStyle name="Normal 5 10 2" xfId="26517"/>
    <cellStyle name="Normal 5 2" xfId="443"/>
    <cellStyle name="Normal 5 2 2" xfId="3632"/>
    <cellStyle name="Normal 5 2 2 2" xfId="3633"/>
    <cellStyle name="Normal 5 2 3" xfId="3634"/>
    <cellStyle name="Normal 5 2 4" xfId="3635"/>
    <cellStyle name="Normal 5 2 5" xfId="3636"/>
    <cellStyle name="Normal 5 2 5 2" xfId="3637"/>
    <cellStyle name="Normal 5 2 5 2 2" xfId="5766"/>
    <cellStyle name="Normal 5 2 5 2 2 2" xfId="7876"/>
    <cellStyle name="Normal 5 2 5 2 2 2 2" xfId="11577"/>
    <cellStyle name="Normal 5 2 5 2 2 2 2 2" xfId="22699"/>
    <cellStyle name="Normal 5 2 5 2 2 2 3" xfId="15276"/>
    <cellStyle name="Normal 5 2 5 2 2 2 3 2" xfId="26393"/>
    <cellStyle name="Normal 5 2 5 2 2 2 4" xfId="19005"/>
    <cellStyle name="Normal 5 2 5 2 2 3" xfId="9730"/>
    <cellStyle name="Normal 5 2 5 2 2 3 2" xfId="20852"/>
    <cellStyle name="Normal 5 2 5 2 2 4" xfId="13429"/>
    <cellStyle name="Normal 5 2 5 2 2 4 2" xfId="24546"/>
    <cellStyle name="Normal 5 2 5 2 2 5" xfId="17158"/>
    <cellStyle name="Normal 5 2 5 2 3" xfId="6956"/>
    <cellStyle name="Normal 5 2 5 2 3 2" xfId="10658"/>
    <cellStyle name="Normal 5 2 5 2 3 2 2" xfId="21780"/>
    <cellStyle name="Normal 5 2 5 2 3 3" xfId="14357"/>
    <cellStyle name="Normal 5 2 5 2 3 3 2" xfId="25474"/>
    <cellStyle name="Normal 5 2 5 2 3 4" xfId="18086"/>
    <cellStyle name="Normal 5 2 5 2 4" xfId="8810"/>
    <cellStyle name="Normal 5 2 5 2 4 2" xfId="19933"/>
    <cellStyle name="Normal 5 2 5 2 5" xfId="12510"/>
    <cellStyle name="Normal 5 2 5 2 5 2" xfId="23627"/>
    <cellStyle name="Normal 5 2 5 2 6" xfId="16239"/>
    <cellStyle name="Normal 5 2 5 3" xfId="5765"/>
    <cellStyle name="Normal 5 2 5 3 2" xfId="7875"/>
    <cellStyle name="Normal 5 2 5 3 2 2" xfId="11576"/>
    <cellStyle name="Normal 5 2 5 3 2 2 2" xfId="22698"/>
    <cellStyle name="Normal 5 2 5 3 2 3" xfId="15275"/>
    <cellStyle name="Normal 5 2 5 3 2 3 2" xfId="26392"/>
    <cellStyle name="Normal 5 2 5 3 2 4" xfId="19004"/>
    <cellStyle name="Normal 5 2 5 3 3" xfId="9729"/>
    <cellStyle name="Normal 5 2 5 3 3 2" xfId="20851"/>
    <cellStyle name="Normal 5 2 5 3 4" xfId="13428"/>
    <cellStyle name="Normal 5 2 5 3 4 2" xfId="24545"/>
    <cellStyle name="Normal 5 2 5 3 5" xfId="17157"/>
    <cellStyle name="Normal 5 2 5 4" xfId="6955"/>
    <cellStyle name="Normal 5 2 5 4 2" xfId="10657"/>
    <cellStyle name="Normal 5 2 5 4 2 2" xfId="21779"/>
    <cellStyle name="Normal 5 2 5 4 3" xfId="14356"/>
    <cellStyle name="Normal 5 2 5 4 3 2" xfId="25473"/>
    <cellStyle name="Normal 5 2 5 4 4" xfId="18085"/>
    <cellStyle name="Normal 5 2 5 5" xfId="8809"/>
    <cellStyle name="Normal 5 2 5 5 2" xfId="19932"/>
    <cellStyle name="Normal 5 2 5 6" xfId="12509"/>
    <cellStyle name="Normal 5 2 5 6 2" xfId="23626"/>
    <cellStyle name="Normal 5 2 5 7" xfId="16238"/>
    <cellStyle name="Normal 5 3" xfId="444"/>
    <cellStyle name="Normal 5 3 2" xfId="983"/>
    <cellStyle name="Normal 5 3 2 2" xfId="3638"/>
    <cellStyle name="Normal 5 3 3" xfId="3639"/>
    <cellStyle name="Normal 5 3 4" xfId="4600"/>
    <cellStyle name="Normal 5 3 4 2" xfId="5875"/>
    <cellStyle name="Normal 5 3 4 2 2" xfId="7964"/>
    <cellStyle name="Normal 5 3 4 2 2 2" xfId="11665"/>
    <cellStyle name="Normal 5 3 4 2 2 2 2" xfId="22787"/>
    <cellStyle name="Normal 5 3 4 2 2 3" xfId="15364"/>
    <cellStyle name="Normal 5 3 4 2 2 3 2" xfId="26481"/>
    <cellStyle name="Normal 5 3 4 2 2 4" xfId="19093"/>
    <cellStyle name="Normal 5 3 4 2 3" xfId="9818"/>
    <cellStyle name="Normal 5 3 4 2 3 2" xfId="20940"/>
    <cellStyle name="Normal 5 3 4 2 4" xfId="13517"/>
    <cellStyle name="Normal 5 3 4 2 4 2" xfId="24634"/>
    <cellStyle name="Normal 5 3 4 2 5" xfId="17246"/>
    <cellStyle name="Normal 5 3 4 3" xfId="7044"/>
    <cellStyle name="Normal 5 3 4 3 2" xfId="10746"/>
    <cellStyle name="Normal 5 3 4 3 2 2" xfId="21868"/>
    <cellStyle name="Normal 5 3 4 3 3" xfId="14445"/>
    <cellStyle name="Normal 5 3 4 3 3 2" xfId="25562"/>
    <cellStyle name="Normal 5 3 4 3 4" xfId="18174"/>
    <cellStyle name="Normal 5 3 4 4" xfId="8898"/>
    <cellStyle name="Normal 5 3 4 4 2" xfId="20021"/>
    <cellStyle name="Normal 5 3 4 5" xfId="12598"/>
    <cellStyle name="Normal 5 3 4 5 2" xfId="23715"/>
    <cellStyle name="Normal 5 3 4 6" xfId="16327"/>
    <cellStyle name="Normal 5 4" xfId="445"/>
    <cellStyle name="Normal 5 4 2" xfId="986"/>
    <cellStyle name="Normal 5 4 2 2" xfId="6076"/>
    <cellStyle name="Normal 5 4 3" xfId="3640"/>
    <cellStyle name="Normal 5 5" xfId="803"/>
    <cellStyle name="Normal 5 5 10" xfId="6173"/>
    <cellStyle name="Normal 5 5 10 2" xfId="9875"/>
    <cellStyle name="Normal 5 5 10 2 2" xfId="20997"/>
    <cellStyle name="Normal 5 5 10 3" xfId="13574"/>
    <cellStyle name="Normal 5 5 10 3 2" xfId="24691"/>
    <cellStyle name="Normal 5 5 10 4" xfId="17303"/>
    <cellStyle name="Normal 5 5 11" xfId="8026"/>
    <cellStyle name="Normal 5 5 11 2" xfId="19150"/>
    <cellStyle name="Normal 5 5 12" xfId="11727"/>
    <cellStyle name="Normal 5 5 12 2" xfId="22844"/>
    <cellStyle name="Normal 5 5 13" xfId="15456"/>
    <cellStyle name="Normal 5 5 2" xfId="1580"/>
    <cellStyle name="Normal 5 5 2 10" xfId="11778"/>
    <cellStyle name="Normal 5 5 2 10 2" xfId="22895"/>
    <cellStyle name="Normal 5 5 2 11" xfId="15507"/>
    <cellStyle name="Normal 5 5 2 2" xfId="1699"/>
    <cellStyle name="Normal 5 5 2 2 10" xfId="15613"/>
    <cellStyle name="Normal 5 5 2 2 2" xfId="2125"/>
    <cellStyle name="Normal 5 5 2 2 2 2" xfId="5228"/>
    <cellStyle name="Normal 5 5 2 2 2 2 2" xfId="7579"/>
    <cellStyle name="Normal 5 5 2 2 2 2 2 2" xfId="11280"/>
    <cellStyle name="Normal 5 5 2 2 2 2 2 2 2" xfId="22402"/>
    <cellStyle name="Normal 5 5 2 2 2 2 2 3" xfId="14979"/>
    <cellStyle name="Normal 5 5 2 2 2 2 2 3 2" xfId="26096"/>
    <cellStyle name="Normal 5 5 2 2 2 2 2 4" xfId="18708"/>
    <cellStyle name="Normal 5 5 2 2 2 2 3" xfId="9433"/>
    <cellStyle name="Normal 5 5 2 2 2 2 3 2" xfId="20555"/>
    <cellStyle name="Normal 5 5 2 2 2 2 4" xfId="13132"/>
    <cellStyle name="Normal 5 5 2 2 2 2 4 2" xfId="24249"/>
    <cellStyle name="Normal 5 5 2 2 2 2 5" xfId="16861"/>
    <cellStyle name="Normal 5 5 2 2 2 3" xfId="6660"/>
    <cellStyle name="Normal 5 5 2 2 2 3 2" xfId="10362"/>
    <cellStyle name="Normal 5 5 2 2 2 3 2 2" xfId="21484"/>
    <cellStyle name="Normal 5 5 2 2 2 3 3" xfId="14061"/>
    <cellStyle name="Normal 5 5 2 2 2 3 3 2" xfId="25178"/>
    <cellStyle name="Normal 5 5 2 2 2 3 4" xfId="17790"/>
    <cellStyle name="Normal 5 5 2 2 2 4" xfId="8514"/>
    <cellStyle name="Normal 5 5 2 2 2 4 2" xfId="19637"/>
    <cellStyle name="Normal 5 5 2 2 2 5" xfId="12214"/>
    <cellStyle name="Normal 5 5 2 2 2 5 2" xfId="23331"/>
    <cellStyle name="Normal 5 5 2 2 2 6" xfId="15943"/>
    <cellStyle name="Normal 5 5 2 2 3" xfId="1909"/>
    <cellStyle name="Normal 5 5 2 2 3 2" xfId="5106"/>
    <cellStyle name="Normal 5 5 2 2 3 2 2" xfId="7457"/>
    <cellStyle name="Normal 5 5 2 2 3 2 2 2" xfId="11158"/>
    <cellStyle name="Normal 5 5 2 2 3 2 2 2 2" xfId="22280"/>
    <cellStyle name="Normal 5 5 2 2 3 2 2 3" xfId="14857"/>
    <cellStyle name="Normal 5 5 2 2 3 2 2 3 2" xfId="25974"/>
    <cellStyle name="Normal 5 5 2 2 3 2 2 4" xfId="18586"/>
    <cellStyle name="Normal 5 5 2 2 3 2 3" xfId="9311"/>
    <cellStyle name="Normal 5 5 2 2 3 2 3 2" xfId="20433"/>
    <cellStyle name="Normal 5 5 2 2 3 2 4" xfId="13010"/>
    <cellStyle name="Normal 5 5 2 2 3 2 4 2" xfId="24127"/>
    <cellStyle name="Normal 5 5 2 2 3 2 5" xfId="16739"/>
    <cellStyle name="Normal 5 5 2 2 3 3" xfId="6538"/>
    <cellStyle name="Normal 5 5 2 2 3 3 2" xfId="10240"/>
    <cellStyle name="Normal 5 5 2 2 3 3 2 2" xfId="21362"/>
    <cellStyle name="Normal 5 5 2 2 3 3 3" xfId="13939"/>
    <cellStyle name="Normal 5 5 2 2 3 3 3 2" xfId="25056"/>
    <cellStyle name="Normal 5 5 2 2 3 3 4" xfId="17668"/>
    <cellStyle name="Normal 5 5 2 2 3 4" xfId="8392"/>
    <cellStyle name="Normal 5 5 2 2 3 4 2" xfId="19515"/>
    <cellStyle name="Normal 5 5 2 2 3 5" xfId="12092"/>
    <cellStyle name="Normal 5 5 2 2 3 5 2" xfId="23209"/>
    <cellStyle name="Normal 5 5 2 2 3 6" xfId="15821"/>
    <cellStyle name="Normal 5 5 2 2 4" xfId="3643"/>
    <cellStyle name="Normal 5 5 2 2 4 2" xfId="6958"/>
    <cellStyle name="Normal 5 5 2 2 4 2 2" xfId="10660"/>
    <cellStyle name="Normal 5 5 2 2 4 2 2 2" xfId="21782"/>
    <cellStyle name="Normal 5 5 2 2 4 2 3" xfId="14359"/>
    <cellStyle name="Normal 5 5 2 2 4 2 3 2" xfId="25476"/>
    <cellStyle name="Normal 5 5 2 2 4 2 4" xfId="18088"/>
    <cellStyle name="Normal 5 5 2 2 4 3" xfId="8812"/>
    <cellStyle name="Normal 5 5 2 2 4 3 2" xfId="19935"/>
    <cellStyle name="Normal 5 5 2 2 4 4" xfId="12512"/>
    <cellStyle name="Normal 5 5 2 2 4 4 2" xfId="23629"/>
    <cellStyle name="Normal 5 5 2 2 4 5" xfId="16241"/>
    <cellStyle name="Normal 5 5 2 2 5" xfId="4898"/>
    <cellStyle name="Normal 5 5 2 2 5 2" xfId="7249"/>
    <cellStyle name="Normal 5 5 2 2 5 2 2" xfId="10950"/>
    <cellStyle name="Normal 5 5 2 2 5 2 2 2" xfId="22072"/>
    <cellStyle name="Normal 5 5 2 2 5 2 3" xfId="14649"/>
    <cellStyle name="Normal 5 5 2 2 5 2 3 2" xfId="25766"/>
    <cellStyle name="Normal 5 5 2 2 5 2 4" xfId="18378"/>
    <cellStyle name="Normal 5 5 2 2 5 3" xfId="9103"/>
    <cellStyle name="Normal 5 5 2 2 5 3 2" xfId="20225"/>
    <cellStyle name="Normal 5 5 2 2 5 4" xfId="12802"/>
    <cellStyle name="Normal 5 5 2 2 5 4 2" xfId="23919"/>
    <cellStyle name="Normal 5 5 2 2 5 5" xfId="16531"/>
    <cellStyle name="Normal 5 5 2 2 6" xfId="5768"/>
    <cellStyle name="Normal 5 5 2 2 6 2" xfId="7878"/>
    <cellStyle name="Normal 5 5 2 2 6 2 2" xfId="11579"/>
    <cellStyle name="Normal 5 5 2 2 6 2 2 2" xfId="22701"/>
    <cellStyle name="Normal 5 5 2 2 6 2 3" xfId="15278"/>
    <cellStyle name="Normal 5 5 2 2 6 2 3 2" xfId="26395"/>
    <cellStyle name="Normal 5 5 2 2 6 2 4" xfId="19007"/>
    <cellStyle name="Normal 5 5 2 2 6 3" xfId="9732"/>
    <cellStyle name="Normal 5 5 2 2 6 3 2" xfId="20854"/>
    <cellStyle name="Normal 5 5 2 2 6 4" xfId="13431"/>
    <cellStyle name="Normal 5 5 2 2 6 4 2" xfId="24548"/>
    <cellStyle name="Normal 5 5 2 2 6 5" xfId="17160"/>
    <cellStyle name="Normal 5 5 2 2 7" xfId="6330"/>
    <cellStyle name="Normal 5 5 2 2 7 2" xfId="10032"/>
    <cellStyle name="Normal 5 5 2 2 7 2 2" xfId="21154"/>
    <cellStyle name="Normal 5 5 2 2 7 3" xfId="13731"/>
    <cellStyle name="Normal 5 5 2 2 7 3 2" xfId="24848"/>
    <cellStyle name="Normal 5 5 2 2 7 4" xfId="17460"/>
    <cellStyle name="Normal 5 5 2 2 8" xfId="8184"/>
    <cellStyle name="Normal 5 5 2 2 8 2" xfId="19307"/>
    <cellStyle name="Normal 5 5 2 2 9" xfId="11884"/>
    <cellStyle name="Normal 5 5 2 2 9 2" xfId="23001"/>
    <cellStyle name="Normal 5 5 2 3" xfId="2124"/>
    <cellStyle name="Normal 5 5 2 3 2" xfId="3644"/>
    <cellStyle name="Normal 5 5 2 3 2 2" xfId="6959"/>
    <cellStyle name="Normal 5 5 2 3 2 2 2" xfId="10661"/>
    <cellStyle name="Normal 5 5 2 3 2 2 2 2" xfId="21783"/>
    <cellStyle name="Normal 5 5 2 3 2 2 3" xfId="14360"/>
    <cellStyle name="Normal 5 5 2 3 2 2 3 2" xfId="25477"/>
    <cellStyle name="Normal 5 5 2 3 2 2 4" xfId="18089"/>
    <cellStyle name="Normal 5 5 2 3 2 3" xfId="8813"/>
    <cellStyle name="Normal 5 5 2 3 2 3 2" xfId="19936"/>
    <cellStyle name="Normal 5 5 2 3 2 4" xfId="12513"/>
    <cellStyle name="Normal 5 5 2 3 2 4 2" xfId="23630"/>
    <cellStyle name="Normal 5 5 2 3 2 5" xfId="16242"/>
    <cellStyle name="Normal 5 5 2 3 3" xfId="5227"/>
    <cellStyle name="Normal 5 5 2 3 3 2" xfId="7578"/>
    <cellStyle name="Normal 5 5 2 3 3 2 2" xfId="11279"/>
    <cellStyle name="Normal 5 5 2 3 3 2 2 2" xfId="22401"/>
    <cellStyle name="Normal 5 5 2 3 3 2 3" xfId="14978"/>
    <cellStyle name="Normal 5 5 2 3 3 2 3 2" xfId="26095"/>
    <cellStyle name="Normal 5 5 2 3 3 2 4" xfId="18707"/>
    <cellStyle name="Normal 5 5 2 3 3 3" xfId="9432"/>
    <cellStyle name="Normal 5 5 2 3 3 3 2" xfId="20554"/>
    <cellStyle name="Normal 5 5 2 3 3 4" xfId="13131"/>
    <cellStyle name="Normal 5 5 2 3 3 4 2" xfId="24248"/>
    <cellStyle name="Normal 5 5 2 3 3 5" xfId="16860"/>
    <cellStyle name="Normal 5 5 2 3 4" xfId="5769"/>
    <cellStyle name="Normal 5 5 2 3 4 2" xfId="7879"/>
    <cellStyle name="Normal 5 5 2 3 4 2 2" xfId="11580"/>
    <cellStyle name="Normal 5 5 2 3 4 2 2 2" xfId="22702"/>
    <cellStyle name="Normal 5 5 2 3 4 2 3" xfId="15279"/>
    <cellStyle name="Normal 5 5 2 3 4 2 3 2" xfId="26396"/>
    <cellStyle name="Normal 5 5 2 3 4 2 4" xfId="19008"/>
    <cellStyle name="Normal 5 5 2 3 4 3" xfId="9733"/>
    <cellStyle name="Normal 5 5 2 3 4 3 2" xfId="20855"/>
    <cellStyle name="Normal 5 5 2 3 4 4" xfId="13432"/>
    <cellStyle name="Normal 5 5 2 3 4 4 2" xfId="24549"/>
    <cellStyle name="Normal 5 5 2 3 4 5" xfId="17161"/>
    <cellStyle name="Normal 5 5 2 3 5" xfId="6659"/>
    <cellStyle name="Normal 5 5 2 3 5 2" xfId="10361"/>
    <cellStyle name="Normal 5 5 2 3 5 2 2" xfId="21483"/>
    <cellStyle name="Normal 5 5 2 3 5 3" xfId="14060"/>
    <cellStyle name="Normal 5 5 2 3 5 3 2" xfId="25177"/>
    <cellStyle name="Normal 5 5 2 3 5 4" xfId="17789"/>
    <cellStyle name="Normal 5 5 2 3 6" xfId="8513"/>
    <cellStyle name="Normal 5 5 2 3 6 2" xfId="19636"/>
    <cellStyle name="Normal 5 5 2 3 7" xfId="12213"/>
    <cellStyle name="Normal 5 5 2 3 7 2" xfId="23330"/>
    <cellStyle name="Normal 5 5 2 3 8" xfId="15942"/>
    <cellStyle name="Normal 5 5 2 4" xfId="1803"/>
    <cellStyle name="Normal 5 5 2 4 2" xfId="5000"/>
    <cellStyle name="Normal 5 5 2 4 2 2" xfId="7351"/>
    <cellStyle name="Normal 5 5 2 4 2 2 2" xfId="11052"/>
    <cellStyle name="Normal 5 5 2 4 2 2 2 2" xfId="22174"/>
    <cellStyle name="Normal 5 5 2 4 2 2 3" xfId="14751"/>
    <cellStyle name="Normal 5 5 2 4 2 2 3 2" xfId="25868"/>
    <cellStyle name="Normal 5 5 2 4 2 2 4" xfId="18480"/>
    <cellStyle name="Normal 5 5 2 4 2 3" xfId="9205"/>
    <cellStyle name="Normal 5 5 2 4 2 3 2" xfId="20327"/>
    <cellStyle name="Normal 5 5 2 4 2 4" xfId="12904"/>
    <cellStyle name="Normal 5 5 2 4 2 4 2" xfId="24021"/>
    <cellStyle name="Normal 5 5 2 4 2 5" xfId="16633"/>
    <cellStyle name="Normal 5 5 2 4 3" xfId="6432"/>
    <cellStyle name="Normal 5 5 2 4 3 2" xfId="10134"/>
    <cellStyle name="Normal 5 5 2 4 3 2 2" xfId="21256"/>
    <cellStyle name="Normal 5 5 2 4 3 3" xfId="13833"/>
    <cellStyle name="Normal 5 5 2 4 3 3 2" xfId="24950"/>
    <cellStyle name="Normal 5 5 2 4 3 4" xfId="17562"/>
    <cellStyle name="Normal 5 5 2 4 4" xfId="8286"/>
    <cellStyle name="Normal 5 5 2 4 4 2" xfId="19409"/>
    <cellStyle name="Normal 5 5 2 4 5" xfId="11986"/>
    <cellStyle name="Normal 5 5 2 4 5 2" xfId="23103"/>
    <cellStyle name="Normal 5 5 2 4 6" xfId="15715"/>
    <cellStyle name="Normal 5 5 2 5" xfId="3642"/>
    <cellStyle name="Normal 5 5 2 5 2" xfId="6957"/>
    <cellStyle name="Normal 5 5 2 5 2 2" xfId="10659"/>
    <cellStyle name="Normal 5 5 2 5 2 2 2" xfId="21781"/>
    <cellStyle name="Normal 5 5 2 5 2 3" xfId="14358"/>
    <cellStyle name="Normal 5 5 2 5 2 3 2" xfId="25475"/>
    <cellStyle name="Normal 5 5 2 5 2 4" xfId="18087"/>
    <cellStyle name="Normal 5 5 2 5 3" xfId="8811"/>
    <cellStyle name="Normal 5 5 2 5 3 2" xfId="19934"/>
    <cellStyle name="Normal 5 5 2 5 4" xfId="12511"/>
    <cellStyle name="Normal 5 5 2 5 4 2" xfId="23628"/>
    <cellStyle name="Normal 5 5 2 5 5" xfId="16240"/>
    <cellStyle name="Normal 5 5 2 6" xfId="4792"/>
    <cellStyle name="Normal 5 5 2 6 2" xfId="7143"/>
    <cellStyle name="Normal 5 5 2 6 2 2" xfId="10844"/>
    <cellStyle name="Normal 5 5 2 6 2 2 2" xfId="21966"/>
    <cellStyle name="Normal 5 5 2 6 2 3" xfId="14543"/>
    <cellStyle name="Normal 5 5 2 6 2 3 2" xfId="25660"/>
    <cellStyle name="Normal 5 5 2 6 2 4" xfId="18272"/>
    <cellStyle name="Normal 5 5 2 6 3" xfId="8997"/>
    <cellStyle name="Normal 5 5 2 6 3 2" xfId="20119"/>
    <cellStyle name="Normal 5 5 2 6 4" xfId="12696"/>
    <cellStyle name="Normal 5 5 2 6 4 2" xfId="23813"/>
    <cellStyle name="Normal 5 5 2 6 5" xfId="16425"/>
    <cellStyle name="Normal 5 5 2 7" xfId="5767"/>
    <cellStyle name="Normal 5 5 2 7 2" xfId="7877"/>
    <cellStyle name="Normal 5 5 2 7 2 2" xfId="11578"/>
    <cellStyle name="Normal 5 5 2 7 2 2 2" xfId="22700"/>
    <cellStyle name="Normal 5 5 2 7 2 3" xfId="15277"/>
    <cellStyle name="Normal 5 5 2 7 2 3 2" xfId="26394"/>
    <cellStyle name="Normal 5 5 2 7 2 4" xfId="19006"/>
    <cellStyle name="Normal 5 5 2 7 3" xfId="9731"/>
    <cellStyle name="Normal 5 5 2 7 3 2" xfId="20853"/>
    <cellStyle name="Normal 5 5 2 7 4" xfId="13430"/>
    <cellStyle name="Normal 5 5 2 7 4 2" xfId="24547"/>
    <cellStyle name="Normal 5 5 2 7 5" xfId="17159"/>
    <cellStyle name="Normal 5 5 2 8" xfId="6224"/>
    <cellStyle name="Normal 5 5 2 8 2" xfId="9926"/>
    <cellStyle name="Normal 5 5 2 8 2 2" xfId="21048"/>
    <cellStyle name="Normal 5 5 2 8 3" xfId="13625"/>
    <cellStyle name="Normal 5 5 2 8 3 2" xfId="24742"/>
    <cellStyle name="Normal 5 5 2 8 4" xfId="17354"/>
    <cellStyle name="Normal 5 5 2 9" xfId="8078"/>
    <cellStyle name="Normal 5 5 2 9 2" xfId="19201"/>
    <cellStyle name="Normal 5 5 3" xfId="1643"/>
    <cellStyle name="Normal 5 5 3 10" xfId="15560"/>
    <cellStyle name="Normal 5 5 3 2" xfId="2126"/>
    <cellStyle name="Normal 5 5 3 2 2" xfId="5229"/>
    <cellStyle name="Normal 5 5 3 2 2 2" xfId="7580"/>
    <cellStyle name="Normal 5 5 3 2 2 2 2" xfId="11281"/>
    <cellStyle name="Normal 5 5 3 2 2 2 2 2" xfId="22403"/>
    <cellStyle name="Normal 5 5 3 2 2 2 3" xfId="14980"/>
    <cellStyle name="Normal 5 5 3 2 2 2 3 2" xfId="26097"/>
    <cellStyle name="Normal 5 5 3 2 2 2 4" xfId="18709"/>
    <cellStyle name="Normal 5 5 3 2 2 3" xfId="9434"/>
    <cellStyle name="Normal 5 5 3 2 2 3 2" xfId="20556"/>
    <cellStyle name="Normal 5 5 3 2 2 4" xfId="13133"/>
    <cellStyle name="Normal 5 5 3 2 2 4 2" xfId="24250"/>
    <cellStyle name="Normal 5 5 3 2 2 5" xfId="16862"/>
    <cellStyle name="Normal 5 5 3 2 3" xfId="6661"/>
    <cellStyle name="Normal 5 5 3 2 3 2" xfId="10363"/>
    <cellStyle name="Normal 5 5 3 2 3 2 2" xfId="21485"/>
    <cellStyle name="Normal 5 5 3 2 3 3" xfId="14062"/>
    <cellStyle name="Normal 5 5 3 2 3 3 2" xfId="25179"/>
    <cellStyle name="Normal 5 5 3 2 3 4" xfId="17791"/>
    <cellStyle name="Normal 5 5 3 2 4" xfId="8515"/>
    <cellStyle name="Normal 5 5 3 2 4 2" xfId="19638"/>
    <cellStyle name="Normal 5 5 3 2 5" xfId="12215"/>
    <cellStyle name="Normal 5 5 3 2 5 2" xfId="23332"/>
    <cellStyle name="Normal 5 5 3 2 6" xfId="15944"/>
    <cellStyle name="Normal 5 5 3 3" xfId="1856"/>
    <cellStyle name="Normal 5 5 3 3 2" xfId="5053"/>
    <cellStyle name="Normal 5 5 3 3 2 2" xfId="7404"/>
    <cellStyle name="Normal 5 5 3 3 2 2 2" xfId="11105"/>
    <cellStyle name="Normal 5 5 3 3 2 2 2 2" xfId="22227"/>
    <cellStyle name="Normal 5 5 3 3 2 2 3" xfId="14804"/>
    <cellStyle name="Normal 5 5 3 3 2 2 3 2" xfId="25921"/>
    <cellStyle name="Normal 5 5 3 3 2 2 4" xfId="18533"/>
    <cellStyle name="Normal 5 5 3 3 2 3" xfId="9258"/>
    <cellStyle name="Normal 5 5 3 3 2 3 2" xfId="20380"/>
    <cellStyle name="Normal 5 5 3 3 2 4" xfId="12957"/>
    <cellStyle name="Normal 5 5 3 3 2 4 2" xfId="24074"/>
    <cellStyle name="Normal 5 5 3 3 2 5" xfId="16686"/>
    <cellStyle name="Normal 5 5 3 3 3" xfId="6485"/>
    <cellStyle name="Normal 5 5 3 3 3 2" xfId="10187"/>
    <cellStyle name="Normal 5 5 3 3 3 2 2" xfId="21309"/>
    <cellStyle name="Normal 5 5 3 3 3 3" xfId="13886"/>
    <cellStyle name="Normal 5 5 3 3 3 3 2" xfId="25003"/>
    <cellStyle name="Normal 5 5 3 3 3 4" xfId="17615"/>
    <cellStyle name="Normal 5 5 3 3 4" xfId="8339"/>
    <cellStyle name="Normal 5 5 3 3 4 2" xfId="19462"/>
    <cellStyle name="Normal 5 5 3 3 5" xfId="12039"/>
    <cellStyle name="Normal 5 5 3 3 5 2" xfId="23156"/>
    <cellStyle name="Normal 5 5 3 3 6" xfId="15768"/>
    <cellStyle name="Normal 5 5 3 4" xfId="3645"/>
    <cellStyle name="Normal 5 5 3 4 2" xfId="6960"/>
    <cellStyle name="Normal 5 5 3 4 2 2" xfId="10662"/>
    <cellStyle name="Normal 5 5 3 4 2 2 2" xfId="21784"/>
    <cellStyle name="Normal 5 5 3 4 2 3" xfId="14361"/>
    <cellStyle name="Normal 5 5 3 4 2 3 2" xfId="25478"/>
    <cellStyle name="Normal 5 5 3 4 2 4" xfId="18090"/>
    <cellStyle name="Normal 5 5 3 4 3" xfId="8814"/>
    <cellStyle name="Normal 5 5 3 4 3 2" xfId="19937"/>
    <cellStyle name="Normal 5 5 3 4 4" xfId="12514"/>
    <cellStyle name="Normal 5 5 3 4 4 2" xfId="23631"/>
    <cellStyle name="Normal 5 5 3 4 5" xfId="16243"/>
    <cellStyle name="Normal 5 5 3 5" xfId="4845"/>
    <cellStyle name="Normal 5 5 3 5 2" xfId="7196"/>
    <cellStyle name="Normal 5 5 3 5 2 2" xfId="10897"/>
    <cellStyle name="Normal 5 5 3 5 2 2 2" xfId="22019"/>
    <cellStyle name="Normal 5 5 3 5 2 3" xfId="14596"/>
    <cellStyle name="Normal 5 5 3 5 2 3 2" xfId="25713"/>
    <cellStyle name="Normal 5 5 3 5 2 4" xfId="18325"/>
    <cellStyle name="Normal 5 5 3 5 3" xfId="9050"/>
    <cellStyle name="Normal 5 5 3 5 3 2" xfId="20172"/>
    <cellStyle name="Normal 5 5 3 5 4" xfId="12749"/>
    <cellStyle name="Normal 5 5 3 5 4 2" xfId="23866"/>
    <cellStyle name="Normal 5 5 3 5 5" xfId="16478"/>
    <cellStyle name="Normal 5 5 3 6" xfId="5770"/>
    <cellStyle name="Normal 5 5 3 6 2" xfId="7880"/>
    <cellStyle name="Normal 5 5 3 6 2 2" xfId="11581"/>
    <cellStyle name="Normal 5 5 3 6 2 2 2" xfId="22703"/>
    <cellStyle name="Normal 5 5 3 6 2 3" xfId="15280"/>
    <cellStyle name="Normal 5 5 3 6 2 3 2" xfId="26397"/>
    <cellStyle name="Normal 5 5 3 6 2 4" xfId="19009"/>
    <cellStyle name="Normal 5 5 3 6 3" xfId="9734"/>
    <cellStyle name="Normal 5 5 3 6 3 2" xfId="20856"/>
    <cellStyle name="Normal 5 5 3 6 4" xfId="13433"/>
    <cellStyle name="Normal 5 5 3 6 4 2" xfId="24550"/>
    <cellStyle name="Normal 5 5 3 6 5" xfId="17162"/>
    <cellStyle name="Normal 5 5 3 7" xfId="6277"/>
    <cellStyle name="Normal 5 5 3 7 2" xfId="9979"/>
    <cellStyle name="Normal 5 5 3 7 2 2" xfId="21101"/>
    <cellStyle name="Normal 5 5 3 7 3" xfId="13678"/>
    <cellStyle name="Normal 5 5 3 7 3 2" xfId="24795"/>
    <cellStyle name="Normal 5 5 3 7 4" xfId="17407"/>
    <cellStyle name="Normal 5 5 3 8" xfId="8131"/>
    <cellStyle name="Normal 5 5 3 8 2" xfId="19254"/>
    <cellStyle name="Normal 5 5 3 9" xfId="11831"/>
    <cellStyle name="Normal 5 5 3 9 2" xfId="22948"/>
    <cellStyle name="Normal 5 5 4" xfId="2123"/>
    <cellStyle name="Normal 5 5 4 2" xfId="3646"/>
    <cellStyle name="Normal 5 5 4 2 2" xfId="6961"/>
    <cellStyle name="Normal 5 5 4 2 2 2" xfId="10663"/>
    <cellStyle name="Normal 5 5 4 2 2 2 2" xfId="21785"/>
    <cellStyle name="Normal 5 5 4 2 2 3" xfId="14362"/>
    <cellStyle name="Normal 5 5 4 2 2 3 2" xfId="25479"/>
    <cellStyle name="Normal 5 5 4 2 2 4" xfId="18091"/>
    <cellStyle name="Normal 5 5 4 2 3" xfId="8815"/>
    <cellStyle name="Normal 5 5 4 2 3 2" xfId="19938"/>
    <cellStyle name="Normal 5 5 4 2 4" xfId="12515"/>
    <cellStyle name="Normal 5 5 4 2 4 2" xfId="23632"/>
    <cellStyle name="Normal 5 5 4 2 5" xfId="16244"/>
    <cellStyle name="Normal 5 5 4 3" xfId="5226"/>
    <cellStyle name="Normal 5 5 4 3 2" xfId="7577"/>
    <cellStyle name="Normal 5 5 4 3 2 2" xfId="11278"/>
    <cellStyle name="Normal 5 5 4 3 2 2 2" xfId="22400"/>
    <cellStyle name="Normal 5 5 4 3 2 3" xfId="14977"/>
    <cellStyle name="Normal 5 5 4 3 2 3 2" xfId="26094"/>
    <cellStyle name="Normal 5 5 4 3 2 4" xfId="18706"/>
    <cellStyle name="Normal 5 5 4 3 3" xfId="9431"/>
    <cellStyle name="Normal 5 5 4 3 3 2" xfId="20553"/>
    <cellStyle name="Normal 5 5 4 3 4" xfId="13130"/>
    <cellStyle name="Normal 5 5 4 3 4 2" xfId="24247"/>
    <cellStyle name="Normal 5 5 4 3 5" xfId="16859"/>
    <cellStyle name="Normal 5 5 4 4" xfId="5771"/>
    <cellStyle name="Normal 5 5 4 4 2" xfId="7881"/>
    <cellStyle name="Normal 5 5 4 4 2 2" xfId="11582"/>
    <cellStyle name="Normal 5 5 4 4 2 2 2" xfId="22704"/>
    <cellStyle name="Normal 5 5 4 4 2 3" xfId="15281"/>
    <cellStyle name="Normal 5 5 4 4 2 3 2" xfId="26398"/>
    <cellStyle name="Normal 5 5 4 4 2 4" xfId="19010"/>
    <cellStyle name="Normal 5 5 4 4 3" xfId="9735"/>
    <cellStyle name="Normal 5 5 4 4 3 2" xfId="20857"/>
    <cellStyle name="Normal 5 5 4 4 4" xfId="13434"/>
    <cellStyle name="Normal 5 5 4 4 4 2" xfId="24551"/>
    <cellStyle name="Normal 5 5 4 4 5" xfId="17163"/>
    <cellStyle name="Normal 5 5 4 5" xfId="6658"/>
    <cellStyle name="Normal 5 5 4 5 2" xfId="10360"/>
    <cellStyle name="Normal 5 5 4 5 2 2" xfId="21482"/>
    <cellStyle name="Normal 5 5 4 5 3" xfId="14059"/>
    <cellStyle name="Normal 5 5 4 5 3 2" xfId="25176"/>
    <cellStyle name="Normal 5 5 4 5 4" xfId="17788"/>
    <cellStyle name="Normal 5 5 4 6" xfId="8512"/>
    <cellStyle name="Normal 5 5 4 6 2" xfId="19635"/>
    <cellStyle name="Normal 5 5 4 7" xfId="12212"/>
    <cellStyle name="Normal 5 5 4 7 2" xfId="23329"/>
    <cellStyle name="Normal 5 5 4 8" xfId="15941"/>
    <cellStyle name="Normal 5 5 5" xfId="1752"/>
    <cellStyle name="Normal 5 5 5 2" xfId="3647"/>
    <cellStyle name="Normal 5 5 5 2 2" xfId="6962"/>
    <cellStyle name="Normal 5 5 5 2 2 2" xfId="10664"/>
    <cellStyle name="Normal 5 5 5 2 2 2 2" xfId="21786"/>
    <cellStyle name="Normal 5 5 5 2 2 3" xfId="14363"/>
    <cellStyle name="Normal 5 5 5 2 2 3 2" xfId="25480"/>
    <cellStyle name="Normal 5 5 5 2 2 4" xfId="18092"/>
    <cellStyle name="Normal 5 5 5 2 3" xfId="8816"/>
    <cellStyle name="Normal 5 5 5 2 3 2" xfId="19939"/>
    <cellStyle name="Normal 5 5 5 2 4" xfId="12516"/>
    <cellStyle name="Normal 5 5 5 2 4 2" xfId="23633"/>
    <cellStyle name="Normal 5 5 5 2 5" xfId="16245"/>
    <cellStyle name="Normal 5 5 5 3" xfId="4949"/>
    <cellStyle name="Normal 5 5 5 3 2" xfId="7300"/>
    <cellStyle name="Normal 5 5 5 3 2 2" xfId="11001"/>
    <cellStyle name="Normal 5 5 5 3 2 2 2" xfId="22123"/>
    <cellStyle name="Normal 5 5 5 3 2 3" xfId="14700"/>
    <cellStyle name="Normal 5 5 5 3 2 3 2" xfId="25817"/>
    <cellStyle name="Normal 5 5 5 3 2 4" xfId="18429"/>
    <cellStyle name="Normal 5 5 5 3 3" xfId="9154"/>
    <cellStyle name="Normal 5 5 5 3 3 2" xfId="20276"/>
    <cellStyle name="Normal 5 5 5 3 4" xfId="12853"/>
    <cellStyle name="Normal 5 5 5 3 4 2" xfId="23970"/>
    <cellStyle name="Normal 5 5 5 3 5" xfId="16582"/>
    <cellStyle name="Normal 5 5 5 4" xfId="5772"/>
    <cellStyle name="Normal 5 5 5 4 2" xfId="7882"/>
    <cellStyle name="Normal 5 5 5 4 2 2" xfId="11583"/>
    <cellStyle name="Normal 5 5 5 4 2 2 2" xfId="22705"/>
    <cellStyle name="Normal 5 5 5 4 2 3" xfId="15282"/>
    <cellStyle name="Normal 5 5 5 4 2 3 2" xfId="26399"/>
    <cellStyle name="Normal 5 5 5 4 2 4" xfId="19011"/>
    <cellStyle name="Normal 5 5 5 4 3" xfId="9736"/>
    <cellStyle name="Normal 5 5 5 4 3 2" xfId="20858"/>
    <cellStyle name="Normal 5 5 5 4 4" xfId="13435"/>
    <cellStyle name="Normal 5 5 5 4 4 2" xfId="24552"/>
    <cellStyle name="Normal 5 5 5 4 5" xfId="17164"/>
    <cellStyle name="Normal 5 5 5 5" xfId="6381"/>
    <cellStyle name="Normal 5 5 5 5 2" xfId="10083"/>
    <cellStyle name="Normal 5 5 5 5 2 2" xfId="21205"/>
    <cellStyle name="Normal 5 5 5 5 3" xfId="13782"/>
    <cellStyle name="Normal 5 5 5 5 3 2" xfId="24899"/>
    <cellStyle name="Normal 5 5 5 5 4" xfId="17511"/>
    <cellStyle name="Normal 5 5 5 6" xfId="8235"/>
    <cellStyle name="Normal 5 5 5 6 2" xfId="19358"/>
    <cellStyle name="Normal 5 5 5 7" xfId="11935"/>
    <cellStyle name="Normal 5 5 5 7 2" xfId="23052"/>
    <cellStyle name="Normal 5 5 5 8" xfId="15664"/>
    <cellStyle name="Normal 5 5 6" xfId="3648"/>
    <cellStyle name="Normal 5 5 7" xfId="4692"/>
    <cellStyle name="Normal 5 5 8" xfId="3641"/>
    <cellStyle name="Normal 5 5 9" xfId="4740"/>
    <cellStyle name="Normal 5 5 9 2" xfId="7092"/>
    <cellStyle name="Normal 5 5 9 2 2" xfId="10793"/>
    <cellStyle name="Normal 5 5 9 2 2 2" xfId="21915"/>
    <cellStyle name="Normal 5 5 9 2 3" xfId="14492"/>
    <cellStyle name="Normal 5 5 9 2 3 2" xfId="25609"/>
    <cellStyle name="Normal 5 5 9 2 4" xfId="18221"/>
    <cellStyle name="Normal 5 5 9 3" xfId="8946"/>
    <cellStyle name="Normal 5 5 9 3 2" xfId="20068"/>
    <cellStyle name="Normal 5 5 9 4" xfId="12645"/>
    <cellStyle name="Normal 5 5 9 4 2" xfId="23762"/>
    <cellStyle name="Normal 5 5 9 5" xfId="16374"/>
    <cellStyle name="Normal 5 6" xfId="2127"/>
    <cellStyle name="Normal 5 6 2" xfId="3650"/>
    <cellStyle name="Normal 5 6 2 2" xfId="3651"/>
    <cellStyle name="Normal 5 6 2 2 2" xfId="3652"/>
    <cellStyle name="Normal 5 6 2 2 2 2" xfId="3653"/>
    <cellStyle name="Normal 5 6 2 2 2 2 2" xfId="5776"/>
    <cellStyle name="Normal 5 6 2 2 2 2 2 2" xfId="7886"/>
    <cellStyle name="Normal 5 6 2 2 2 2 2 2 2" xfId="11587"/>
    <cellStyle name="Normal 5 6 2 2 2 2 2 2 2 2" xfId="22709"/>
    <cellStyle name="Normal 5 6 2 2 2 2 2 2 3" xfId="15286"/>
    <cellStyle name="Normal 5 6 2 2 2 2 2 2 3 2" xfId="26403"/>
    <cellStyle name="Normal 5 6 2 2 2 2 2 2 4" xfId="19015"/>
    <cellStyle name="Normal 5 6 2 2 2 2 2 3" xfId="9740"/>
    <cellStyle name="Normal 5 6 2 2 2 2 2 3 2" xfId="20862"/>
    <cellStyle name="Normal 5 6 2 2 2 2 2 4" xfId="13439"/>
    <cellStyle name="Normal 5 6 2 2 2 2 2 4 2" xfId="24556"/>
    <cellStyle name="Normal 5 6 2 2 2 2 2 5" xfId="17168"/>
    <cellStyle name="Normal 5 6 2 2 2 2 3" xfId="6966"/>
    <cellStyle name="Normal 5 6 2 2 2 2 3 2" xfId="10668"/>
    <cellStyle name="Normal 5 6 2 2 2 2 3 2 2" xfId="21790"/>
    <cellStyle name="Normal 5 6 2 2 2 2 3 3" xfId="14367"/>
    <cellStyle name="Normal 5 6 2 2 2 2 3 3 2" xfId="25484"/>
    <cellStyle name="Normal 5 6 2 2 2 2 3 4" xfId="18096"/>
    <cellStyle name="Normal 5 6 2 2 2 2 4" xfId="8820"/>
    <cellStyle name="Normal 5 6 2 2 2 2 4 2" xfId="19943"/>
    <cellStyle name="Normal 5 6 2 2 2 2 5" xfId="12520"/>
    <cellStyle name="Normal 5 6 2 2 2 2 5 2" xfId="23637"/>
    <cellStyle name="Normal 5 6 2 2 2 2 6" xfId="16249"/>
    <cellStyle name="Normal 5 6 2 2 2 3" xfId="5775"/>
    <cellStyle name="Normal 5 6 2 2 2 3 2" xfId="7885"/>
    <cellStyle name="Normal 5 6 2 2 2 3 2 2" xfId="11586"/>
    <cellStyle name="Normal 5 6 2 2 2 3 2 2 2" xfId="22708"/>
    <cellStyle name="Normal 5 6 2 2 2 3 2 3" xfId="15285"/>
    <cellStyle name="Normal 5 6 2 2 2 3 2 3 2" xfId="26402"/>
    <cellStyle name="Normal 5 6 2 2 2 3 2 4" xfId="19014"/>
    <cellStyle name="Normal 5 6 2 2 2 3 3" xfId="9739"/>
    <cellStyle name="Normal 5 6 2 2 2 3 3 2" xfId="20861"/>
    <cellStyle name="Normal 5 6 2 2 2 3 4" xfId="13438"/>
    <cellStyle name="Normal 5 6 2 2 2 3 4 2" xfId="24555"/>
    <cellStyle name="Normal 5 6 2 2 2 3 5" xfId="17167"/>
    <cellStyle name="Normal 5 6 2 2 2 4" xfId="6965"/>
    <cellStyle name="Normal 5 6 2 2 2 4 2" xfId="10667"/>
    <cellStyle name="Normal 5 6 2 2 2 4 2 2" xfId="21789"/>
    <cellStyle name="Normal 5 6 2 2 2 4 3" xfId="14366"/>
    <cellStyle name="Normal 5 6 2 2 2 4 3 2" xfId="25483"/>
    <cellStyle name="Normal 5 6 2 2 2 4 4" xfId="18095"/>
    <cellStyle name="Normal 5 6 2 2 2 5" xfId="8819"/>
    <cellStyle name="Normal 5 6 2 2 2 5 2" xfId="19942"/>
    <cellStyle name="Normal 5 6 2 2 2 6" xfId="12519"/>
    <cellStyle name="Normal 5 6 2 2 2 6 2" xfId="23636"/>
    <cellStyle name="Normal 5 6 2 2 2 7" xfId="16248"/>
    <cellStyle name="Normal 5 6 2 2 3" xfId="3654"/>
    <cellStyle name="Normal 5 6 2 2 3 2" xfId="5777"/>
    <cellStyle name="Normal 5 6 2 2 3 2 2" xfId="7887"/>
    <cellStyle name="Normal 5 6 2 2 3 2 2 2" xfId="11588"/>
    <cellStyle name="Normal 5 6 2 2 3 2 2 2 2" xfId="22710"/>
    <cellStyle name="Normal 5 6 2 2 3 2 2 3" xfId="15287"/>
    <cellStyle name="Normal 5 6 2 2 3 2 2 3 2" xfId="26404"/>
    <cellStyle name="Normal 5 6 2 2 3 2 2 4" xfId="19016"/>
    <cellStyle name="Normal 5 6 2 2 3 2 3" xfId="9741"/>
    <cellStyle name="Normal 5 6 2 2 3 2 3 2" xfId="20863"/>
    <cellStyle name="Normal 5 6 2 2 3 2 4" xfId="13440"/>
    <cellStyle name="Normal 5 6 2 2 3 2 4 2" xfId="24557"/>
    <cellStyle name="Normal 5 6 2 2 3 2 5" xfId="17169"/>
    <cellStyle name="Normal 5 6 2 2 3 3" xfId="6967"/>
    <cellStyle name="Normal 5 6 2 2 3 3 2" xfId="10669"/>
    <cellStyle name="Normal 5 6 2 2 3 3 2 2" xfId="21791"/>
    <cellStyle name="Normal 5 6 2 2 3 3 3" xfId="14368"/>
    <cellStyle name="Normal 5 6 2 2 3 3 3 2" xfId="25485"/>
    <cellStyle name="Normal 5 6 2 2 3 3 4" xfId="18097"/>
    <cellStyle name="Normal 5 6 2 2 3 4" xfId="8821"/>
    <cellStyle name="Normal 5 6 2 2 3 4 2" xfId="19944"/>
    <cellStyle name="Normal 5 6 2 2 3 5" xfId="12521"/>
    <cellStyle name="Normal 5 6 2 2 3 5 2" xfId="23638"/>
    <cellStyle name="Normal 5 6 2 2 3 6" xfId="16250"/>
    <cellStyle name="Normal 5 6 2 2 4" xfId="5774"/>
    <cellStyle name="Normal 5 6 2 2 4 2" xfId="7884"/>
    <cellStyle name="Normal 5 6 2 2 4 2 2" xfId="11585"/>
    <cellStyle name="Normal 5 6 2 2 4 2 2 2" xfId="22707"/>
    <cellStyle name="Normal 5 6 2 2 4 2 3" xfId="15284"/>
    <cellStyle name="Normal 5 6 2 2 4 2 3 2" xfId="26401"/>
    <cellStyle name="Normal 5 6 2 2 4 2 4" xfId="19013"/>
    <cellStyle name="Normal 5 6 2 2 4 3" xfId="9738"/>
    <cellStyle name="Normal 5 6 2 2 4 3 2" xfId="20860"/>
    <cellStyle name="Normal 5 6 2 2 4 4" xfId="13437"/>
    <cellStyle name="Normal 5 6 2 2 4 4 2" xfId="24554"/>
    <cellStyle name="Normal 5 6 2 2 4 5" xfId="17166"/>
    <cellStyle name="Normal 5 6 2 2 5" xfId="6964"/>
    <cellStyle name="Normal 5 6 2 2 5 2" xfId="10666"/>
    <cellStyle name="Normal 5 6 2 2 5 2 2" xfId="21788"/>
    <cellStyle name="Normal 5 6 2 2 5 3" xfId="14365"/>
    <cellStyle name="Normal 5 6 2 2 5 3 2" xfId="25482"/>
    <cellStyle name="Normal 5 6 2 2 5 4" xfId="18094"/>
    <cellStyle name="Normal 5 6 2 2 6" xfId="8818"/>
    <cellStyle name="Normal 5 6 2 2 6 2" xfId="19941"/>
    <cellStyle name="Normal 5 6 2 2 7" xfId="12518"/>
    <cellStyle name="Normal 5 6 2 2 7 2" xfId="23635"/>
    <cellStyle name="Normal 5 6 2 2 8" xfId="16247"/>
    <cellStyle name="Normal 5 6 2 3" xfId="3655"/>
    <cellStyle name="Normal 5 6 2 3 2" xfId="3656"/>
    <cellStyle name="Normal 5 6 2 3 2 2" xfId="5779"/>
    <cellStyle name="Normal 5 6 2 3 2 2 2" xfId="7889"/>
    <cellStyle name="Normal 5 6 2 3 2 2 2 2" xfId="11590"/>
    <cellStyle name="Normal 5 6 2 3 2 2 2 2 2" xfId="22712"/>
    <cellStyle name="Normal 5 6 2 3 2 2 2 3" xfId="15289"/>
    <cellStyle name="Normal 5 6 2 3 2 2 2 3 2" xfId="26406"/>
    <cellStyle name="Normal 5 6 2 3 2 2 2 4" xfId="19018"/>
    <cellStyle name="Normal 5 6 2 3 2 2 3" xfId="9743"/>
    <cellStyle name="Normal 5 6 2 3 2 2 3 2" xfId="20865"/>
    <cellStyle name="Normal 5 6 2 3 2 2 4" xfId="13442"/>
    <cellStyle name="Normal 5 6 2 3 2 2 4 2" xfId="24559"/>
    <cellStyle name="Normal 5 6 2 3 2 2 5" xfId="17171"/>
    <cellStyle name="Normal 5 6 2 3 2 3" xfId="6969"/>
    <cellStyle name="Normal 5 6 2 3 2 3 2" xfId="10671"/>
    <cellStyle name="Normal 5 6 2 3 2 3 2 2" xfId="21793"/>
    <cellStyle name="Normal 5 6 2 3 2 3 3" xfId="14370"/>
    <cellStyle name="Normal 5 6 2 3 2 3 3 2" xfId="25487"/>
    <cellStyle name="Normal 5 6 2 3 2 3 4" xfId="18099"/>
    <cellStyle name="Normal 5 6 2 3 2 4" xfId="8823"/>
    <cellStyle name="Normal 5 6 2 3 2 4 2" xfId="19946"/>
    <cellStyle name="Normal 5 6 2 3 2 5" xfId="12523"/>
    <cellStyle name="Normal 5 6 2 3 2 5 2" xfId="23640"/>
    <cellStyle name="Normal 5 6 2 3 2 6" xfId="16252"/>
    <cellStyle name="Normal 5 6 2 3 3" xfId="5778"/>
    <cellStyle name="Normal 5 6 2 3 3 2" xfId="7888"/>
    <cellStyle name="Normal 5 6 2 3 3 2 2" xfId="11589"/>
    <cellStyle name="Normal 5 6 2 3 3 2 2 2" xfId="22711"/>
    <cellStyle name="Normal 5 6 2 3 3 2 3" xfId="15288"/>
    <cellStyle name="Normal 5 6 2 3 3 2 3 2" xfId="26405"/>
    <cellStyle name="Normal 5 6 2 3 3 2 4" xfId="19017"/>
    <cellStyle name="Normal 5 6 2 3 3 3" xfId="9742"/>
    <cellStyle name="Normal 5 6 2 3 3 3 2" xfId="20864"/>
    <cellStyle name="Normal 5 6 2 3 3 4" xfId="13441"/>
    <cellStyle name="Normal 5 6 2 3 3 4 2" xfId="24558"/>
    <cellStyle name="Normal 5 6 2 3 3 5" xfId="17170"/>
    <cellStyle name="Normal 5 6 2 3 4" xfId="6968"/>
    <cellStyle name="Normal 5 6 2 3 4 2" xfId="10670"/>
    <cellStyle name="Normal 5 6 2 3 4 2 2" xfId="21792"/>
    <cellStyle name="Normal 5 6 2 3 4 3" xfId="14369"/>
    <cellStyle name="Normal 5 6 2 3 4 3 2" xfId="25486"/>
    <cellStyle name="Normal 5 6 2 3 4 4" xfId="18098"/>
    <cellStyle name="Normal 5 6 2 3 5" xfId="8822"/>
    <cellStyle name="Normal 5 6 2 3 5 2" xfId="19945"/>
    <cellStyle name="Normal 5 6 2 3 6" xfId="12522"/>
    <cellStyle name="Normal 5 6 2 3 6 2" xfId="23639"/>
    <cellStyle name="Normal 5 6 2 3 7" xfId="16251"/>
    <cellStyle name="Normal 5 6 2 4" xfId="3657"/>
    <cellStyle name="Normal 5 6 2 4 2" xfId="5780"/>
    <cellStyle name="Normal 5 6 2 4 2 2" xfId="7890"/>
    <cellStyle name="Normal 5 6 2 4 2 2 2" xfId="11591"/>
    <cellStyle name="Normal 5 6 2 4 2 2 2 2" xfId="22713"/>
    <cellStyle name="Normal 5 6 2 4 2 2 3" xfId="15290"/>
    <cellStyle name="Normal 5 6 2 4 2 2 3 2" xfId="26407"/>
    <cellStyle name="Normal 5 6 2 4 2 2 4" xfId="19019"/>
    <cellStyle name="Normal 5 6 2 4 2 3" xfId="9744"/>
    <cellStyle name="Normal 5 6 2 4 2 3 2" xfId="20866"/>
    <cellStyle name="Normal 5 6 2 4 2 4" xfId="13443"/>
    <cellStyle name="Normal 5 6 2 4 2 4 2" xfId="24560"/>
    <cellStyle name="Normal 5 6 2 4 2 5" xfId="17172"/>
    <cellStyle name="Normal 5 6 2 4 3" xfId="6970"/>
    <cellStyle name="Normal 5 6 2 4 3 2" xfId="10672"/>
    <cellStyle name="Normal 5 6 2 4 3 2 2" xfId="21794"/>
    <cellStyle name="Normal 5 6 2 4 3 3" xfId="14371"/>
    <cellStyle name="Normal 5 6 2 4 3 3 2" xfId="25488"/>
    <cellStyle name="Normal 5 6 2 4 3 4" xfId="18100"/>
    <cellStyle name="Normal 5 6 2 4 4" xfId="8824"/>
    <cellStyle name="Normal 5 6 2 4 4 2" xfId="19947"/>
    <cellStyle name="Normal 5 6 2 4 5" xfId="12524"/>
    <cellStyle name="Normal 5 6 2 4 5 2" xfId="23641"/>
    <cellStyle name="Normal 5 6 2 4 6" xfId="16253"/>
    <cellStyle name="Normal 5 6 2 5" xfId="5773"/>
    <cellStyle name="Normal 5 6 2 5 2" xfId="7883"/>
    <cellStyle name="Normal 5 6 2 5 2 2" xfId="11584"/>
    <cellStyle name="Normal 5 6 2 5 2 2 2" xfId="22706"/>
    <cellStyle name="Normal 5 6 2 5 2 3" xfId="15283"/>
    <cellStyle name="Normal 5 6 2 5 2 3 2" xfId="26400"/>
    <cellStyle name="Normal 5 6 2 5 2 4" xfId="19012"/>
    <cellStyle name="Normal 5 6 2 5 3" xfId="9737"/>
    <cellStyle name="Normal 5 6 2 5 3 2" xfId="20859"/>
    <cellStyle name="Normal 5 6 2 5 4" xfId="13436"/>
    <cellStyle name="Normal 5 6 2 5 4 2" xfId="24553"/>
    <cellStyle name="Normal 5 6 2 5 5" xfId="17165"/>
    <cellStyle name="Normal 5 6 2 6" xfId="6963"/>
    <cellStyle name="Normal 5 6 2 6 2" xfId="10665"/>
    <cellStyle name="Normal 5 6 2 6 2 2" xfId="21787"/>
    <cellStyle name="Normal 5 6 2 6 3" xfId="14364"/>
    <cellStyle name="Normal 5 6 2 6 3 2" xfId="25481"/>
    <cellStyle name="Normal 5 6 2 6 4" xfId="18093"/>
    <cellStyle name="Normal 5 6 2 7" xfId="8817"/>
    <cellStyle name="Normal 5 6 2 7 2" xfId="19940"/>
    <cellStyle name="Normal 5 6 2 8" xfId="12517"/>
    <cellStyle name="Normal 5 6 2 8 2" xfId="23634"/>
    <cellStyle name="Normal 5 6 2 9" xfId="16246"/>
    <cellStyle name="Normal 5 6 3" xfId="3658"/>
    <cellStyle name="Normal 5 6 3 2" xfId="3659"/>
    <cellStyle name="Normal 5 6 3 2 2" xfId="3660"/>
    <cellStyle name="Normal 5 6 3 2 2 2" xfId="5783"/>
    <cellStyle name="Normal 5 6 3 2 2 2 2" xfId="7893"/>
    <cellStyle name="Normal 5 6 3 2 2 2 2 2" xfId="11594"/>
    <cellStyle name="Normal 5 6 3 2 2 2 2 2 2" xfId="22716"/>
    <cellStyle name="Normal 5 6 3 2 2 2 2 3" xfId="15293"/>
    <cellStyle name="Normal 5 6 3 2 2 2 2 3 2" xfId="26410"/>
    <cellStyle name="Normal 5 6 3 2 2 2 2 4" xfId="19022"/>
    <cellStyle name="Normal 5 6 3 2 2 2 3" xfId="9747"/>
    <cellStyle name="Normal 5 6 3 2 2 2 3 2" xfId="20869"/>
    <cellStyle name="Normal 5 6 3 2 2 2 4" xfId="13446"/>
    <cellStyle name="Normal 5 6 3 2 2 2 4 2" xfId="24563"/>
    <cellStyle name="Normal 5 6 3 2 2 2 5" xfId="17175"/>
    <cellStyle name="Normal 5 6 3 2 2 3" xfId="6973"/>
    <cellStyle name="Normal 5 6 3 2 2 3 2" xfId="10675"/>
    <cellStyle name="Normal 5 6 3 2 2 3 2 2" xfId="21797"/>
    <cellStyle name="Normal 5 6 3 2 2 3 3" xfId="14374"/>
    <cellStyle name="Normal 5 6 3 2 2 3 3 2" xfId="25491"/>
    <cellStyle name="Normal 5 6 3 2 2 3 4" xfId="18103"/>
    <cellStyle name="Normal 5 6 3 2 2 4" xfId="8827"/>
    <cellStyle name="Normal 5 6 3 2 2 4 2" xfId="19950"/>
    <cellStyle name="Normal 5 6 3 2 2 5" xfId="12527"/>
    <cellStyle name="Normal 5 6 3 2 2 5 2" xfId="23644"/>
    <cellStyle name="Normal 5 6 3 2 2 6" xfId="16256"/>
    <cellStyle name="Normal 5 6 3 2 3" xfId="5782"/>
    <cellStyle name="Normal 5 6 3 2 3 2" xfId="7892"/>
    <cellStyle name="Normal 5 6 3 2 3 2 2" xfId="11593"/>
    <cellStyle name="Normal 5 6 3 2 3 2 2 2" xfId="22715"/>
    <cellStyle name="Normal 5 6 3 2 3 2 3" xfId="15292"/>
    <cellStyle name="Normal 5 6 3 2 3 2 3 2" xfId="26409"/>
    <cellStyle name="Normal 5 6 3 2 3 2 4" xfId="19021"/>
    <cellStyle name="Normal 5 6 3 2 3 3" xfId="9746"/>
    <cellStyle name="Normal 5 6 3 2 3 3 2" xfId="20868"/>
    <cellStyle name="Normal 5 6 3 2 3 4" xfId="13445"/>
    <cellStyle name="Normal 5 6 3 2 3 4 2" xfId="24562"/>
    <cellStyle name="Normal 5 6 3 2 3 5" xfId="17174"/>
    <cellStyle name="Normal 5 6 3 2 4" xfId="6972"/>
    <cellStyle name="Normal 5 6 3 2 4 2" xfId="10674"/>
    <cellStyle name="Normal 5 6 3 2 4 2 2" xfId="21796"/>
    <cellStyle name="Normal 5 6 3 2 4 3" xfId="14373"/>
    <cellStyle name="Normal 5 6 3 2 4 3 2" xfId="25490"/>
    <cellStyle name="Normal 5 6 3 2 4 4" xfId="18102"/>
    <cellStyle name="Normal 5 6 3 2 5" xfId="8826"/>
    <cellStyle name="Normal 5 6 3 2 5 2" xfId="19949"/>
    <cellStyle name="Normal 5 6 3 2 6" xfId="12526"/>
    <cellStyle name="Normal 5 6 3 2 6 2" xfId="23643"/>
    <cellStyle name="Normal 5 6 3 2 7" xfId="16255"/>
    <cellStyle name="Normal 5 6 3 3" xfId="3661"/>
    <cellStyle name="Normal 5 6 3 3 2" xfId="5784"/>
    <cellStyle name="Normal 5 6 3 3 2 2" xfId="7894"/>
    <cellStyle name="Normal 5 6 3 3 2 2 2" xfId="11595"/>
    <cellStyle name="Normal 5 6 3 3 2 2 2 2" xfId="22717"/>
    <cellStyle name="Normal 5 6 3 3 2 2 3" xfId="15294"/>
    <cellStyle name="Normal 5 6 3 3 2 2 3 2" xfId="26411"/>
    <cellStyle name="Normal 5 6 3 3 2 2 4" xfId="19023"/>
    <cellStyle name="Normal 5 6 3 3 2 3" xfId="9748"/>
    <cellStyle name="Normal 5 6 3 3 2 3 2" xfId="20870"/>
    <cellStyle name="Normal 5 6 3 3 2 4" xfId="13447"/>
    <cellStyle name="Normal 5 6 3 3 2 4 2" xfId="24564"/>
    <cellStyle name="Normal 5 6 3 3 2 5" xfId="17176"/>
    <cellStyle name="Normal 5 6 3 3 3" xfId="6974"/>
    <cellStyle name="Normal 5 6 3 3 3 2" xfId="10676"/>
    <cellStyle name="Normal 5 6 3 3 3 2 2" xfId="21798"/>
    <cellStyle name="Normal 5 6 3 3 3 3" xfId="14375"/>
    <cellStyle name="Normal 5 6 3 3 3 3 2" xfId="25492"/>
    <cellStyle name="Normal 5 6 3 3 3 4" xfId="18104"/>
    <cellStyle name="Normal 5 6 3 3 4" xfId="8828"/>
    <cellStyle name="Normal 5 6 3 3 4 2" xfId="19951"/>
    <cellStyle name="Normal 5 6 3 3 5" xfId="12528"/>
    <cellStyle name="Normal 5 6 3 3 5 2" xfId="23645"/>
    <cellStyle name="Normal 5 6 3 3 6" xfId="16257"/>
    <cellStyle name="Normal 5 6 3 4" xfId="5781"/>
    <cellStyle name="Normal 5 6 3 4 2" xfId="7891"/>
    <cellStyle name="Normal 5 6 3 4 2 2" xfId="11592"/>
    <cellStyle name="Normal 5 6 3 4 2 2 2" xfId="22714"/>
    <cellStyle name="Normal 5 6 3 4 2 3" xfId="15291"/>
    <cellStyle name="Normal 5 6 3 4 2 3 2" xfId="26408"/>
    <cellStyle name="Normal 5 6 3 4 2 4" xfId="19020"/>
    <cellStyle name="Normal 5 6 3 4 3" xfId="9745"/>
    <cellStyle name="Normal 5 6 3 4 3 2" xfId="20867"/>
    <cellStyle name="Normal 5 6 3 4 4" xfId="13444"/>
    <cellStyle name="Normal 5 6 3 4 4 2" xfId="24561"/>
    <cellStyle name="Normal 5 6 3 4 5" xfId="17173"/>
    <cellStyle name="Normal 5 6 3 5" xfId="6971"/>
    <cellStyle name="Normal 5 6 3 5 2" xfId="10673"/>
    <cellStyle name="Normal 5 6 3 5 2 2" xfId="21795"/>
    <cellStyle name="Normal 5 6 3 5 3" xfId="14372"/>
    <cellStyle name="Normal 5 6 3 5 3 2" xfId="25489"/>
    <cellStyle name="Normal 5 6 3 5 4" xfId="18101"/>
    <cellStyle name="Normal 5 6 3 6" xfId="8825"/>
    <cellStyle name="Normal 5 6 3 6 2" xfId="19948"/>
    <cellStyle name="Normal 5 6 3 7" xfId="12525"/>
    <cellStyle name="Normal 5 6 3 7 2" xfId="23642"/>
    <cellStyle name="Normal 5 6 3 8" xfId="16254"/>
    <cellStyle name="Normal 5 6 4" xfId="3662"/>
    <cellStyle name="Normal 5 6 4 2" xfId="3663"/>
    <cellStyle name="Normal 5 6 4 2 2" xfId="5786"/>
    <cellStyle name="Normal 5 6 4 2 2 2" xfId="7896"/>
    <cellStyle name="Normal 5 6 4 2 2 2 2" xfId="11597"/>
    <cellStyle name="Normal 5 6 4 2 2 2 2 2" xfId="22719"/>
    <cellStyle name="Normal 5 6 4 2 2 2 3" xfId="15296"/>
    <cellStyle name="Normal 5 6 4 2 2 2 3 2" xfId="26413"/>
    <cellStyle name="Normal 5 6 4 2 2 2 4" xfId="19025"/>
    <cellStyle name="Normal 5 6 4 2 2 3" xfId="9750"/>
    <cellStyle name="Normal 5 6 4 2 2 3 2" xfId="20872"/>
    <cellStyle name="Normal 5 6 4 2 2 4" xfId="13449"/>
    <cellStyle name="Normal 5 6 4 2 2 4 2" xfId="24566"/>
    <cellStyle name="Normal 5 6 4 2 2 5" xfId="17178"/>
    <cellStyle name="Normal 5 6 4 2 3" xfId="6976"/>
    <cellStyle name="Normal 5 6 4 2 3 2" xfId="10678"/>
    <cellStyle name="Normal 5 6 4 2 3 2 2" xfId="21800"/>
    <cellStyle name="Normal 5 6 4 2 3 3" xfId="14377"/>
    <cellStyle name="Normal 5 6 4 2 3 3 2" xfId="25494"/>
    <cellStyle name="Normal 5 6 4 2 3 4" xfId="18106"/>
    <cellStyle name="Normal 5 6 4 2 4" xfId="8830"/>
    <cellStyle name="Normal 5 6 4 2 4 2" xfId="19953"/>
    <cellStyle name="Normal 5 6 4 2 5" xfId="12530"/>
    <cellStyle name="Normal 5 6 4 2 5 2" xfId="23647"/>
    <cellStyle name="Normal 5 6 4 2 6" xfId="16259"/>
    <cellStyle name="Normal 5 6 4 3" xfId="5785"/>
    <cellStyle name="Normal 5 6 4 3 2" xfId="7895"/>
    <cellStyle name="Normal 5 6 4 3 2 2" xfId="11596"/>
    <cellStyle name="Normal 5 6 4 3 2 2 2" xfId="22718"/>
    <cellStyle name="Normal 5 6 4 3 2 3" xfId="15295"/>
    <cellStyle name="Normal 5 6 4 3 2 3 2" xfId="26412"/>
    <cellStyle name="Normal 5 6 4 3 2 4" xfId="19024"/>
    <cellStyle name="Normal 5 6 4 3 3" xfId="9749"/>
    <cellStyle name="Normal 5 6 4 3 3 2" xfId="20871"/>
    <cellStyle name="Normal 5 6 4 3 4" xfId="13448"/>
    <cellStyle name="Normal 5 6 4 3 4 2" xfId="24565"/>
    <cellStyle name="Normal 5 6 4 3 5" xfId="17177"/>
    <cellStyle name="Normal 5 6 4 4" xfId="6975"/>
    <cellStyle name="Normal 5 6 4 4 2" xfId="10677"/>
    <cellStyle name="Normal 5 6 4 4 2 2" xfId="21799"/>
    <cellStyle name="Normal 5 6 4 4 3" xfId="14376"/>
    <cellStyle name="Normal 5 6 4 4 3 2" xfId="25493"/>
    <cellStyle name="Normal 5 6 4 4 4" xfId="18105"/>
    <cellStyle name="Normal 5 6 4 5" xfId="8829"/>
    <cellStyle name="Normal 5 6 4 5 2" xfId="19952"/>
    <cellStyle name="Normal 5 6 4 6" xfId="12529"/>
    <cellStyle name="Normal 5 6 4 6 2" xfId="23646"/>
    <cellStyle name="Normal 5 6 4 7" xfId="16258"/>
    <cellStyle name="Normal 5 6 5" xfId="3664"/>
    <cellStyle name="Normal 5 6 5 2" xfId="5787"/>
    <cellStyle name="Normal 5 6 5 2 2" xfId="7897"/>
    <cellStyle name="Normal 5 6 5 2 2 2" xfId="11598"/>
    <cellStyle name="Normal 5 6 5 2 2 2 2" xfId="22720"/>
    <cellStyle name="Normal 5 6 5 2 2 3" xfId="15297"/>
    <cellStyle name="Normal 5 6 5 2 2 3 2" xfId="26414"/>
    <cellStyle name="Normal 5 6 5 2 2 4" xfId="19026"/>
    <cellStyle name="Normal 5 6 5 2 3" xfId="9751"/>
    <cellStyle name="Normal 5 6 5 2 3 2" xfId="20873"/>
    <cellStyle name="Normal 5 6 5 2 4" xfId="13450"/>
    <cellStyle name="Normal 5 6 5 2 4 2" xfId="24567"/>
    <cellStyle name="Normal 5 6 5 2 5" xfId="17179"/>
    <cellStyle name="Normal 5 6 5 3" xfId="6977"/>
    <cellStyle name="Normal 5 6 5 3 2" xfId="10679"/>
    <cellStyle name="Normal 5 6 5 3 2 2" xfId="21801"/>
    <cellStyle name="Normal 5 6 5 3 3" xfId="14378"/>
    <cellStyle name="Normal 5 6 5 3 3 2" xfId="25495"/>
    <cellStyle name="Normal 5 6 5 3 4" xfId="18107"/>
    <cellStyle name="Normal 5 6 5 4" xfId="8831"/>
    <cellStyle name="Normal 5 6 5 4 2" xfId="19954"/>
    <cellStyle name="Normal 5 6 5 5" xfId="12531"/>
    <cellStyle name="Normal 5 6 5 5 2" xfId="23648"/>
    <cellStyle name="Normal 5 6 5 6" xfId="16260"/>
    <cellStyle name="Normal 5 6 6" xfId="3665"/>
    <cellStyle name="Normal 5 6 6 2" xfId="5788"/>
    <cellStyle name="Normal 5 6 6 2 2" xfId="7898"/>
    <cellStyle name="Normal 5 6 6 2 2 2" xfId="11599"/>
    <cellStyle name="Normal 5 6 6 2 2 2 2" xfId="22721"/>
    <cellStyle name="Normal 5 6 6 2 2 3" xfId="15298"/>
    <cellStyle name="Normal 5 6 6 2 2 3 2" xfId="26415"/>
    <cellStyle name="Normal 5 6 6 2 2 4" xfId="19027"/>
    <cellStyle name="Normal 5 6 6 2 3" xfId="9752"/>
    <cellStyle name="Normal 5 6 6 2 3 2" xfId="20874"/>
    <cellStyle name="Normal 5 6 6 2 4" xfId="13451"/>
    <cellStyle name="Normal 5 6 6 2 4 2" xfId="24568"/>
    <cellStyle name="Normal 5 6 6 2 5" xfId="17180"/>
    <cellStyle name="Normal 5 6 6 3" xfId="6978"/>
    <cellStyle name="Normal 5 6 6 3 2" xfId="10680"/>
    <cellStyle name="Normal 5 6 6 3 2 2" xfId="21802"/>
    <cellStyle name="Normal 5 6 6 3 3" xfId="14379"/>
    <cellStyle name="Normal 5 6 6 3 3 2" xfId="25496"/>
    <cellStyle name="Normal 5 6 6 3 4" xfId="18108"/>
    <cellStyle name="Normal 5 6 6 4" xfId="8832"/>
    <cellStyle name="Normal 5 6 6 4 2" xfId="19955"/>
    <cellStyle name="Normal 5 6 6 5" xfId="12532"/>
    <cellStyle name="Normal 5 6 6 5 2" xfId="23649"/>
    <cellStyle name="Normal 5 6 6 6" xfId="16261"/>
    <cellStyle name="Normal 5 6 7" xfId="3649"/>
    <cellStyle name="Normal 5 7" xfId="2122"/>
    <cellStyle name="Normal 5 7 2" xfId="3667"/>
    <cellStyle name="Normal 5 7 2 2" xfId="3668"/>
    <cellStyle name="Normal 5 7 2 2 2" xfId="3669"/>
    <cellStyle name="Normal 5 7 2 2 2 2" xfId="5792"/>
    <cellStyle name="Normal 5 7 2 2 2 2 2" xfId="7902"/>
    <cellStyle name="Normal 5 7 2 2 2 2 2 2" xfId="11603"/>
    <cellStyle name="Normal 5 7 2 2 2 2 2 2 2" xfId="22725"/>
    <cellStyle name="Normal 5 7 2 2 2 2 2 3" xfId="15302"/>
    <cellStyle name="Normal 5 7 2 2 2 2 2 3 2" xfId="26419"/>
    <cellStyle name="Normal 5 7 2 2 2 2 2 4" xfId="19031"/>
    <cellStyle name="Normal 5 7 2 2 2 2 3" xfId="9756"/>
    <cellStyle name="Normal 5 7 2 2 2 2 3 2" xfId="20878"/>
    <cellStyle name="Normal 5 7 2 2 2 2 4" xfId="13455"/>
    <cellStyle name="Normal 5 7 2 2 2 2 4 2" xfId="24572"/>
    <cellStyle name="Normal 5 7 2 2 2 2 5" xfId="17184"/>
    <cellStyle name="Normal 5 7 2 2 2 3" xfId="6982"/>
    <cellStyle name="Normal 5 7 2 2 2 3 2" xfId="10684"/>
    <cellStyle name="Normal 5 7 2 2 2 3 2 2" xfId="21806"/>
    <cellStyle name="Normal 5 7 2 2 2 3 3" xfId="14383"/>
    <cellStyle name="Normal 5 7 2 2 2 3 3 2" xfId="25500"/>
    <cellStyle name="Normal 5 7 2 2 2 3 4" xfId="18112"/>
    <cellStyle name="Normal 5 7 2 2 2 4" xfId="8836"/>
    <cellStyle name="Normal 5 7 2 2 2 4 2" xfId="19959"/>
    <cellStyle name="Normal 5 7 2 2 2 5" xfId="12536"/>
    <cellStyle name="Normal 5 7 2 2 2 5 2" xfId="23653"/>
    <cellStyle name="Normal 5 7 2 2 2 6" xfId="16265"/>
    <cellStyle name="Normal 5 7 2 2 3" xfId="5791"/>
    <cellStyle name="Normal 5 7 2 2 3 2" xfId="7901"/>
    <cellStyle name="Normal 5 7 2 2 3 2 2" xfId="11602"/>
    <cellStyle name="Normal 5 7 2 2 3 2 2 2" xfId="22724"/>
    <cellStyle name="Normal 5 7 2 2 3 2 3" xfId="15301"/>
    <cellStyle name="Normal 5 7 2 2 3 2 3 2" xfId="26418"/>
    <cellStyle name="Normal 5 7 2 2 3 2 4" xfId="19030"/>
    <cellStyle name="Normal 5 7 2 2 3 3" xfId="9755"/>
    <cellStyle name="Normal 5 7 2 2 3 3 2" xfId="20877"/>
    <cellStyle name="Normal 5 7 2 2 3 4" xfId="13454"/>
    <cellStyle name="Normal 5 7 2 2 3 4 2" xfId="24571"/>
    <cellStyle name="Normal 5 7 2 2 3 5" xfId="17183"/>
    <cellStyle name="Normal 5 7 2 2 4" xfId="6981"/>
    <cellStyle name="Normal 5 7 2 2 4 2" xfId="10683"/>
    <cellStyle name="Normal 5 7 2 2 4 2 2" xfId="21805"/>
    <cellStyle name="Normal 5 7 2 2 4 3" xfId="14382"/>
    <cellStyle name="Normal 5 7 2 2 4 3 2" xfId="25499"/>
    <cellStyle name="Normal 5 7 2 2 4 4" xfId="18111"/>
    <cellStyle name="Normal 5 7 2 2 5" xfId="8835"/>
    <cellStyle name="Normal 5 7 2 2 5 2" xfId="19958"/>
    <cellStyle name="Normal 5 7 2 2 6" xfId="12535"/>
    <cellStyle name="Normal 5 7 2 2 6 2" xfId="23652"/>
    <cellStyle name="Normal 5 7 2 2 7" xfId="16264"/>
    <cellStyle name="Normal 5 7 2 3" xfId="3670"/>
    <cellStyle name="Normal 5 7 2 3 2" xfId="5793"/>
    <cellStyle name="Normal 5 7 2 3 2 2" xfId="7903"/>
    <cellStyle name="Normal 5 7 2 3 2 2 2" xfId="11604"/>
    <cellStyle name="Normal 5 7 2 3 2 2 2 2" xfId="22726"/>
    <cellStyle name="Normal 5 7 2 3 2 2 3" xfId="15303"/>
    <cellStyle name="Normal 5 7 2 3 2 2 3 2" xfId="26420"/>
    <cellStyle name="Normal 5 7 2 3 2 2 4" xfId="19032"/>
    <cellStyle name="Normal 5 7 2 3 2 3" xfId="9757"/>
    <cellStyle name="Normal 5 7 2 3 2 3 2" xfId="20879"/>
    <cellStyle name="Normal 5 7 2 3 2 4" xfId="13456"/>
    <cellStyle name="Normal 5 7 2 3 2 4 2" xfId="24573"/>
    <cellStyle name="Normal 5 7 2 3 2 5" xfId="17185"/>
    <cellStyle name="Normal 5 7 2 3 3" xfId="6983"/>
    <cellStyle name="Normal 5 7 2 3 3 2" xfId="10685"/>
    <cellStyle name="Normal 5 7 2 3 3 2 2" xfId="21807"/>
    <cellStyle name="Normal 5 7 2 3 3 3" xfId="14384"/>
    <cellStyle name="Normal 5 7 2 3 3 3 2" xfId="25501"/>
    <cellStyle name="Normal 5 7 2 3 3 4" xfId="18113"/>
    <cellStyle name="Normal 5 7 2 3 4" xfId="8837"/>
    <cellStyle name="Normal 5 7 2 3 4 2" xfId="19960"/>
    <cellStyle name="Normal 5 7 2 3 5" xfId="12537"/>
    <cellStyle name="Normal 5 7 2 3 5 2" xfId="23654"/>
    <cellStyle name="Normal 5 7 2 3 6" xfId="16266"/>
    <cellStyle name="Normal 5 7 2 4" xfId="5790"/>
    <cellStyle name="Normal 5 7 2 4 2" xfId="7900"/>
    <cellStyle name="Normal 5 7 2 4 2 2" xfId="11601"/>
    <cellStyle name="Normal 5 7 2 4 2 2 2" xfId="22723"/>
    <cellStyle name="Normal 5 7 2 4 2 3" xfId="15300"/>
    <cellStyle name="Normal 5 7 2 4 2 3 2" xfId="26417"/>
    <cellStyle name="Normal 5 7 2 4 2 4" xfId="19029"/>
    <cellStyle name="Normal 5 7 2 4 3" xfId="9754"/>
    <cellStyle name="Normal 5 7 2 4 3 2" xfId="20876"/>
    <cellStyle name="Normal 5 7 2 4 4" xfId="13453"/>
    <cellStyle name="Normal 5 7 2 4 4 2" xfId="24570"/>
    <cellStyle name="Normal 5 7 2 4 5" xfId="17182"/>
    <cellStyle name="Normal 5 7 2 5" xfId="6980"/>
    <cellStyle name="Normal 5 7 2 5 2" xfId="10682"/>
    <cellStyle name="Normal 5 7 2 5 2 2" xfId="21804"/>
    <cellStyle name="Normal 5 7 2 5 3" xfId="14381"/>
    <cellStyle name="Normal 5 7 2 5 3 2" xfId="25498"/>
    <cellStyle name="Normal 5 7 2 5 4" xfId="18110"/>
    <cellStyle name="Normal 5 7 2 6" xfId="8834"/>
    <cellStyle name="Normal 5 7 2 6 2" xfId="19957"/>
    <cellStyle name="Normal 5 7 2 7" xfId="12534"/>
    <cellStyle name="Normal 5 7 2 7 2" xfId="23651"/>
    <cellStyle name="Normal 5 7 2 8" xfId="16263"/>
    <cellStyle name="Normal 5 7 3" xfId="3671"/>
    <cellStyle name="Normal 5 7 3 2" xfId="3672"/>
    <cellStyle name="Normal 5 7 3 2 2" xfId="5795"/>
    <cellStyle name="Normal 5 7 3 2 2 2" xfId="7905"/>
    <cellStyle name="Normal 5 7 3 2 2 2 2" xfId="11606"/>
    <cellStyle name="Normal 5 7 3 2 2 2 2 2" xfId="22728"/>
    <cellStyle name="Normal 5 7 3 2 2 2 3" xfId="15305"/>
    <cellStyle name="Normal 5 7 3 2 2 2 3 2" xfId="26422"/>
    <cellStyle name="Normal 5 7 3 2 2 2 4" xfId="19034"/>
    <cellStyle name="Normal 5 7 3 2 2 3" xfId="9759"/>
    <cellStyle name="Normal 5 7 3 2 2 3 2" xfId="20881"/>
    <cellStyle name="Normal 5 7 3 2 2 4" xfId="13458"/>
    <cellStyle name="Normal 5 7 3 2 2 4 2" xfId="24575"/>
    <cellStyle name="Normal 5 7 3 2 2 5" xfId="17187"/>
    <cellStyle name="Normal 5 7 3 2 3" xfId="6985"/>
    <cellStyle name="Normal 5 7 3 2 3 2" xfId="10687"/>
    <cellStyle name="Normal 5 7 3 2 3 2 2" xfId="21809"/>
    <cellStyle name="Normal 5 7 3 2 3 3" xfId="14386"/>
    <cellStyle name="Normal 5 7 3 2 3 3 2" xfId="25503"/>
    <cellStyle name="Normal 5 7 3 2 3 4" xfId="18115"/>
    <cellStyle name="Normal 5 7 3 2 4" xfId="8839"/>
    <cellStyle name="Normal 5 7 3 2 4 2" xfId="19962"/>
    <cellStyle name="Normal 5 7 3 2 5" xfId="12539"/>
    <cellStyle name="Normal 5 7 3 2 5 2" xfId="23656"/>
    <cellStyle name="Normal 5 7 3 2 6" xfId="16268"/>
    <cellStyle name="Normal 5 7 3 3" xfId="5794"/>
    <cellStyle name="Normal 5 7 3 3 2" xfId="7904"/>
    <cellStyle name="Normal 5 7 3 3 2 2" xfId="11605"/>
    <cellStyle name="Normal 5 7 3 3 2 2 2" xfId="22727"/>
    <cellStyle name="Normal 5 7 3 3 2 3" xfId="15304"/>
    <cellStyle name="Normal 5 7 3 3 2 3 2" xfId="26421"/>
    <cellStyle name="Normal 5 7 3 3 2 4" xfId="19033"/>
    <cellStyle name="Normal 5 7 3 3 3" xfId="9758"/>
    <cellStyle name="Normal 5 7 3 3 3 2" xfId="20880"/>
    <cellStyle name="Normal 5 7 3 3 4" xfId="13457"/>
    <cellStyle name="Normal 5 7 3 3 4 2" xfId="24574"/>
    <cellStyle name="Normal 5 7 3 3 5" xfId="17186"/>
    <cellStyle name="Normal 5 7 3 4" xfId="6984"/>
    <cellStyle name="Normal 5 7 3 4 2" xfId="10686"/>
    <cellStyle name="Normal 5 7 3 4 2 2" xfId="21808"/>
    <cellStyle name="Normal 5 7 3 4 3" xfId="14385"/>
    <cellStyle name="Normal 5 7 3 4 3 2" xfId="25502"/>
    <cellStyle name="Normal 5 7 3 4 4" xfId="18114"/>
    <cellStyle name="Normal 5 7 3 5" xfId="8838"/>
    <cellStyle name="Normal 5 7 3 5 2" xfId="19961"/>
    <cellStyle name="Normal 5 7 3 6" xfId="12538"/>
    <cellStyle name="Normal 5 7 3 6 2" xfId="23655"/>
    <cellStyle name="Normal 5 7 3 7" xfId="16267"/>
    <cellStyle name="Normal 5 7 4" xfId="3673"/>
    <cellStyle name="Normal 5 7 4 2" xfId="5796"/>
    <cellStyle name="Normal 5 7 4 2 2" xfId="7906"/>
    <cellStyle name="Normal 5 7 4 2 2 2" xfId="11607"/>
    <cellStyle name="Normal 5 7 4 2 2 2 2" xfId="22729"/>
    <cellStyle name="Normal 5 7 4 2 2 3" xfId="15306"/>
    <cellStyle name="Normal 5 7 4 2 2 3 2" xfId="26423"/>
    <cellStyle name="Normal 5 7 4 2 2 4" xfId="19035"/>
    <cellStyle name="Normal 5 7 4 2 3" xfId="9760"/>
    <cellStyle name="Normal 5 7 4 2 3 2" xfId="20882"/>
    <cellStyle name="Normal 5 7 4 2 4" xfId="13459"/>
    <cellStyle name="Normal 5 7 4 2 4 2" xfId="24576"/>
    <cellStyle name="Normal 5 7 4 2 5" xfId="17188"/>
    <cellStyle name="Normal 5 7 4 3" xfId="6986"/>
    <cellStyle name="Normal 5 7 4 3 2" xfId="10688"/>
    <cellStyle name="Normal 5 7 4 3 2 2" xfId="21810"/>
    <cellStyle name="Normal 5 7 4 3 3" xfId="14387"/>
    <cellStyle name="Normal 5 7 4 3 3 2" xfId="25504"/>
    <cellStyle name="Normal 5 7 4 3 4" xfId="18116"/>
    <cellStyle name="Normal 5 7 4 4" xfId="8840"/>
    <cellStyle name="Normal 5 7 4 4 2" xfId="19963"/>
    <cellStyle name="Normal 5 7 4 5" xfId="12540"/>
    <cellStyle name="Normal 5 7 4 5 2" xfId="23657"/>
    <cellStyle name="Normal 5 7 4 6" xfId="16269"/>
    <cellStyle name="Normal 5 7 5" xfId="3666"/>
    <cellStyle name="Normal 5 7 5 2" xfId="6979"/>
    <cellStyle name="Normal 5 7 5 2 2" xfId="10681"/>
    <cellStyle name="Normal 5 7 5 2 2 2" xfId="21803"/>
    <cellStyle name="Normal 5 7 5 2 3" xfId="14380"/>
    <cellStyle name="Normal 5 7 5 2 3 2" xfId="25497"/>
    <cellStyle name="Normal 5 7 5 2 4" xfId="18109"/>
    <cellStyle name="Normal 5 7 5 3" xfId="8833"/>
    <cellStyle name="Normal 5 7 5 3 2" xfId="19956"/>
    <cellStyle name="Normal 5 7 5 4" xfId="12533"/>
    <cellStyle name="Normal 5 7 5 4 2" xfId="23650"/>
    <cellStyle name="Normal 5 7 5 5" xfId="16262"/>
    <cellStyle name="Normal 5 7 6" xfId="5789"/>
    <cellStyle name="Normal 5 7 6 2" xfId="7899"/>
    <cellStyle name="Normal 5 7 6 2 2" xfId="11600"/>
    <cellStyle name="Normal 5 7 6 2 2 2" xfId="22722"/>
    <cellStyle name="Normal 5 7 6 2 3" xfId="15299"/>
    <cellStyle name="Normal 5 7 6 2 3 2" xfId="26416"/>
    <cellStyle name="Normal 5 7 6 2 4" xfId="19028"/>
    <cellStyle name="Normal 5 7 6 3" xfId="9753"/>
    <cellStyle name="Normal 5 7 6 3 2" xfId="20875"/>
    <cellStyle name="Normal 5 7 6 4" xfId="13452"/>
    <cellStyle name="Normal 5 7 6 4 2" xfId="24569"/>
    <cellStyle name="Normal 5 7 6 5" xfId="17181"/>
    <cellStyle name="Normal 5 8" xfId="3674"/>
    <cellStyle name="Normal 5 8 2" xfId="3675"/>
    <cellStyle name="Normal 5 8 2 2" xfId="5798"/>
    <cellStyle name="Normal 5 8 2 2 2" xfId="7908"/>
    <cellStyle name="Normal 5 8 2 2 2 2" xfId="11609"/>
    <cellStyle name="Normal 5 8 2 2 2 2 2" xfId="22731"/>
    <cellStyle name="Normal 5 8 2 2 2 3" xfId="15308"/>
    <cellStyle name="Normal 5 8 2 2 2 3 2" xfId="26425"/>
    <cellStyle name="Normal 5 8 2 2 2 4" xfId="19037"/>
    <cellStyle name="Normal 5 8 2 2 3" xfId="9762"/>
    <cellStyle name="Normal 5 8 2 2 3 2" xfId="20884"/>
    <cellStyle name="Normal 5 8 2 2 4" xfId="13461"/>
    <cellStyle name="Normal 5 8 2 2 4 2" xfId="24578"/>
    <cellStyle name="Normal 5 8 2 2 5" xfId="17190"/>
    <cellStyle name="Normal 5 8 2 3" xfId="6988"/>
    <cellStyle name="Normal 5 8 2 3 2" xfId="10690"/>
    <cellStyle name="Normal 5 8 2 3 2 2" xfId="21812"/>
    <cellStyle name="Normal 5 8 2 3 3" xfId="14389"/>
    <cellStyle name="Normal 5 8 2 3 3 2" xfId="25506"/>
    <cellStyle name="Normal 5 8 2 3 4" xfId="18118"/>
    <cellStyle name="Normal 5 8 2 4" xfId="8842"/>
    <cellStyle name="Normal 5 8 2 4 2" xfId="19965"/>
    <cellStyle name="Normal 5 8 2 5" xfId="12542"/>
    <cellStyle name="Normal 5 8 2 5 2" xfId="23659"/>
    <cellStyle name="Normal 5 8 2 6" xfId="16271"/>
    <cellStyle name="Normal 5 8 3" xfId="5797"/>
    <cellStyle name="Normal 5 8 3 2" xfId="7907"/>
    <cellStyle name="Normal 5 8 3 2 2" xfId="11608"/>
    <cellStyle name="Normal 5 8 3 2 2 2" xfId="22730"/>
    <cellStyle name="Normal 5 8 3 2 3" xfId="15307"/>
    <cellStyle name="Normal 5 8 3 2 3 2" xfId="26424"/>
    <cellStyle name="Normal 5 8 3 2 4" xfId="19036"/>
    <cellStyle name="Normal 5 8 3 3" xfId="9761"/>
    <cellStyle name="Normal 5 8 3 3 2" xfId="20883"/>
    <cellStyle name="Normal 5 8 3 4" xfId="13460"/>
    <cellStyle name="Normal 5 8 3 4 2" xfId="24577"/>
    <cellStyle name="Normal 5 8 3 5" xfId="17189"/>
    <cellStyle name="Normal 5 8 4" xfId="6987"/>
    <cellStyle name="Normal 5 8 4 2" xfId="10689"/>
    <cellStyle name="Normal 5 8 4 2 2" xfId="21811"/>
    <cellStyle name="Normal 5 8 4 3" xfId="14388"/>
    <cellStyle name="Normal 5 8 4 3 2" xfId="25505"/>
    <cellStyle name="Normal 5 8 4 4" xfId="18117"/>
    <cellStyle name="Normal 5 8 5" xfId="8841"/>
    <cellStyle name="Normal 5 8 5 2" xfId="19964"/>
    <cellStyle name="Normal 5 8 6" xfId="12541"/>
    <cellStyle name="Normal 5 8 6 2" xfId="23658"/>
    <cellStyle name="Normal 5 8 7" xfId="16270"/>
    <cellStyle name="Normal 5 9" xfId="15403"/>
    <cellStyle name="Normal 5 9 2" xfId="26514"/>
    <cellStyle name="Normal 50" xfId="641"/>
    <cellStyle name="Normal 50 2" xfId="990"/>
    <cellStyle name="Normal 50 2 2" xfId="3676"/>
    <cellStyle name="Normal 50 3" xfId="989"/>
    <cellStyle name="Normal 50 4" xfId="3677"/>
    <cellStyle name="Normal 51" xfId="643"/>
    <cellStyle name="Normal 51 2" xfId="993"/>
    <cellStyle name="Normal 51 2 2" xfId="3678"/>
    <cellStyle name="Normal 51 3" xfId="992"/>
    <cellStyle name="Normal 51 4" xfId="3679"/>
    <cellStyle name="Normal 52" xfId="642"/>
    <cellStyle name="Normal 52 2" xfId="1003"/>
    <cellStyle name="Normal 52 2 2" xfId="3680"/>
    <cellStyle name="Normal 52 3" xfId="1001"/>
    <cellStyle name="Normal 52 4" xfId="3681"/>
    <cellStyle name="Normal 53" xfId="664"/>
    <cellStyle name="Normal 53 2" xfId="1005"/>
    <cellStyle name="Normal 53 2 2" xfId="3682"/>
    <cellStyle name="Normal 53 3" xfId="1004"/>
    <cellStyle name="Normal 53 4" xfId="3683"/>
    <cellStyle name="Normal 54" xfId="665"/>
    <cellStyle name="Normal 54 2" xfId="1007"/>
    <cellStyle name="Normal 54 2 2" xfId="3684"/>
    <cellStyle name="Normal 54 3" xfId="1006"/>
    <cellStyle name="Normal 54 4" xfId="3685"/>
    <cellStyle name="Normal 55" xfId="666"/>
    <cellStyle name="Normal 55 2" xfId="1009"/>
    <cellStyle name="Normal 55 2 2" xfId="3686"/>
    <cellStyle name="Normal 55 3" xfId="1008"/>
    <cellStyle name="Normal 55 4" xfId="3687"/>
    <cellStyle name="Normal 56" xfId="667"/>
    <cellStyle name="Normal 56 2" xfId="1011"/>
    <cellStyle name="Normal 56 2 2" xfId="3688"/>
    <cellStyle name="Normal 56 3" xfId="1010"/>
    <cellStyle name="Normal 56 4" xfId="3689"/>
    <cellStyle name="Normal 57" xfId="668"/>
    <cellStyle name="Normal 57 2" xfId="1013"/>
    <cellStyle name="Normal 57 2 2" xfId="3690"/>
    <cellStyle name="Normal 57 3" xfId="1012"/>
    <cellStyle name="Normal 57 4" xfId="3691"/>
    <cellStyle name="Normal 58" xfId="669"/>
    <cellStyle name="Normal 58 2" xfId="1304"/>
    <cellStyle name="Normal 58 2 2" xfId="3692"/>
    <cellStyle name="Normal 58 2 3" xfId="6039"/>
    <cellStyle name="Normal 58 3" xfId="1303"/>
    <cellStyle name="Normal 58 4" xfId="3693"/>
    <cellStyle name="Normal 59" xfId="670"/>
    <cellStyle name="Normal 59 2" xfId="3694"/>
    <cellStyle name="Normal 6" xfId="446"/>
    <cellStyle name="Normal 6 2" xfId="447"/>
    <cellStyle name="Normal 6 2 2" xfId="448"/>
    <cellStyle name="Normal 6 2 2 2" xfId="449"/>
    <cellStyle name="Normal 6 2 2 2 2" xfId="6078"/>
    <cellStyle name="Normal 6 2 2 3" xfId="6077"/>
    <cellStyle name="Normal 6 2 3" xfId="450"/>
    <cellStyle name="Normal 6 2 3 2" xfId="6079"/>
    <cellStyle name="Normal 6 2 4" xfId="5495"/>
    <cellStyle name="Normal 6 2 4 2" xfId="6006"/>
    <cellStyle name="Normal 6 3" xfId="451"/>
    <cellStyle name="Normal 6 3 2" xfId="1305"/>
    <cellStyle name="Normal 6 3 2 2" xfId="3695"/>
    <cellStyle name="Normal 6 3 3" xfId="3696"/>
    <cellStyle name="Normal 6 4" xfId="452"/>
    <cellStyle name="Normal 6 4 2" xfId="3697"/>
    <cellStyle name="Normal 6 5" xfId="453"/>
    <cellStyle name="Normal 6 5 2" xfId="6080"/>
    <cellStyle name="Normal 6 6" xfId="1374"/>
    <cellStyle name="Normal 6 7" xfId="3698"/>
    <cellStyle name="Normal 6 7 2" xfId="4693"/>
    <cellStyle name="Normal 6 8" xfId="3699"/>
    <cellStyle name="Normal 60" xfId="671"/>
    <cellStyle name="Normal 60 2" xfId="3700"/>
    <cellStyle name="Normal 61" xfId="672"/>
    <cellStyle name="Normal 61 2" xfId="3701"/>
    <cellStyle name="Normal 62" xfId="673"/>
    <cellStyle name="Normal 62 2" xfId="3702"/>
    <cellStyle name="Normal 63" xfId="674"/>
    <cellStyle name="Normal 63 2" xfId="3703"/>
    <cellStyle name="Normal 64" xfId="675"/>
    <cellStyle name="Normal 64 2" xfId="3704"/>
    <cellStyle name="Normal 64 2 2" xfId="3705"/>
    <cellStyle name="Normal 64 2 2 2" xfId="5800"/>
    <cellStyle name="Normal 64 2 2 2 2" xfId="7910"/>
    <cellStyle name="Normal 64 2 2 2 2 2" xfId="11611"/>
    <cellStyle name="Normal 64 2 2 2 2 2 2" xfId="22733"/>
    <cellStyle name="Normal 64 2 2 2 2 3" xfId="15310"/>
    <cellStyle name="Normal 64 2 2 2 2 3 2" xfId="26427"/>
    <cellStyle name="Normal 64 2 2 2 2 4" xfId="19039"/>
    <cellStyle name="Normal 64 2 2 2 3" xfId="9764"/>
    <cellStyle name="Normal 64 2 2 2 3 2" xfId="20886"/>
    <cellStyle name="Normal 64 2 2 2 4" xfId="13463"/>
    <cellStyle name="Normal 64 2 2 2 4 2" xfId="24580"/>
    <cellStyle name="Normal 64 2 2 2 5" xfId="17192"/>
    <cellStyle name="Normal 64 2 2 3" xfId="6990"/>
    <cellStyle name="Normal 64 2 2 3 2" xfId="10692"/>
    <cellStyle name="Normal 64 2 2 3 2 2" xfId="21814"/>
    <cellStyle name="Normal 64 2 2 3 3" xfId="14391"/>
    <cellStyle name="Normal 64 2 2 3 3 2" xfId="25508"/>
    <cellStyle name="Normal 64 2 2 3 4" xfId="18120"/>
    <cellStyle name="Normal 64 2 2 4" xfId="8844"/>
    <cellStyle name="Normal 64 2 2 4 2" xfId="19967"/>
    <cellStyle name="Normal 64 2 2 5" xfId="12544"/>
    <cellStyle name="Normal 64 2 2 5 2" xfId="23661"/>
    <cellStyle name="Normal 64 2 2 6" xfId="16273"/>
    <cellStyle name="Normal 64 2 3" xfId="3706"/>
    <cellStyle name="Normal 64 2 3 2" xfId="5801"/>
    <cellStyle name="Normal 64 2 3 2 2" xfId="7911"/>
    <cellStyle name="Normal 64 2 3 2 2 2" xfId="11612"/>
    <cellStyle name="Normal 64 2 3 2 2 2 2" xfId="22734"/>
    <cellStyle name="Normal 64 2 3 2 2 3" xfId="15311"/>
    <cellStyle name="Normal 64 2 3 2 2 3 2" xfId="26428"/>
    <cellStyle name="Normal 64 2 3 2 2 4" xfId="19040"/>
    <cellStyle name="Normal 64 2 3 2 3" xfId="9765"/>
    <cellStyle name="Normal 64 2 3 2 3 2" xfId="20887"/>
    <cellStyle name="Normal 64 2 3 2 4" xfId="13464"/>
    <cellStyle name="Normal 64 2 3 2 4 2" xfId="24581"/>
    <cellStyle name="Normal 64 2 3 2 5" xfId="17193"/>
    <cellStyle name="Normal 64 2 3 3" xfId="6991"/>
    <cellStyle name="Normal 64 2 3 3 2" xfId="10693"/>
    <cellStyle name="Normal 64 2 3 3 2 2" xfId="21815"/>
    <cellStyle name="Normal 64 2 3 3 3" xfId="14392"/>
    <cellStyle name="Normal 64 2 3 3 3 2" xfId="25509"/>
    <cellStyle name="Normal 64 2 3 3 4" xfId="18121"/>
    <cellStyle name="Normal 64 2 3 4" xfId="8845"/>
    <cellStyle name="Normal 64 2 3 4 2" xfId="19968"/>
    <cellStyle name="Normal 64 2 3 5" xfId="12545"/>
    <cellStyle name="Normal 64 2 3 5 2" xfId="23662"/>
    <cellStyle name="Normal 64 2 3 6" xfId="16274"/>
    <cellStyle name="Normal 64 2 4" xfId="5799"/>
    <cellStyle name="Normal 64 2 4 2" xfId="7909"/>
    <cellStyle name="Normal 64 2 4 2 2" xfId="11610"/>
    <cellStyle name="Normal 64 2 4 2 2 2" xfId="22732"/>
    <cellStyle name="Normal 64 2 4 2 3" xfId="15309"/>
    <cellStyle name="Normal 64 2 4 2 3 2" xfId="26426"/>
    <cellStyle name="Normal 64 2 4 2 4" xfId="19038"/>
    <cellStyle name="Normal 64 2 4 3" xfId="9763"/>
    <cellStyle name="Normal 64 2 4 3 2" xfId="20885"/>
    <cellStyle name="Normal 64 2 4 4" xfId="13462"/>
    <cellStyle name="Normal 64 2 4 4 2" xfId="24579"/>
    <cellStyle name="Normal 64 2 4 5" xfId="17191"/>
    <cellStyle name="Normal 64 2 5" xfId="6040"/>
    <cellStyle name="Normal 64 2 6" xfId="6989"/>
    <cellStyle name="Normal 64 2 6 2" xfId="10691"/>
    <cellStyle name="Normal 64 2 6 2 2" xfId="21813"/>
    <cellStyle name="Normal 64 2 6 3" xfId="14390"/>
    <cellStyle name="Normal 64 2 6 3 2" xfId="25507"/>
    <cellStyle name="Normal 64 2 6 4" xfId="18119"/>
    <cellStyle name="Normal 64 2 7" xfId="8843"/>
    <cellStyle name="Normal 64 2 7 2" xfId="19966"/>
    <cellStyle name="Normal 64 2 8" xfId="12543"/>
    <cellStyle name="Normal 64 2 8 2" xfId="23660"/>
    <cellStyle name="Normal 64 2 9" xfId="16272"/>
    <cellStyle name="Normal 64 3" xfId="3707"/>
    <cellStyle name="Normal 64 3 2" xfId="5802"/>
    <cellStyle name="Normal 64 3 2 2" xfId="7912"/>
    <cellStyle name="Normal 64 3 2 2 2" xfId="11613"/>
    <cellStyle name="Normal 64 3 2 2 2 2" xfId="22735"/>
    <cellStyle name="Normal 64 3 2 2 3" xfId="15312"/>
    <cellStyle name="Normal 64 3 2 2 3 2" xfId="26429"/>
    <cellStyle name="Normal 64 3 2 2 4" xfId="19041"/>
    <cellStyle name="Normal 64 3 2 3" xfId="9766"/>
    <cellStyle name="Normal 64 3 2 3 2" xfId="20888"/>
    <cellStyle name="Normal 64 3 2 4" xfId="13465"/>
    <cellStyle name="Normal 64 3 2 4 2" xfId="24582"/>
    <cellStyle name="Normal 64 3 2 5" xfId="17194"/>
    <cellStyle name="Normal 64 3 3" xfId="6992"/>
    <cellStyle name="Normal 64 3 3 2" xfId="10694"/>
    <cellStyle name="Normal 64 3 3 2 2" xfId="21816"/>
    <cellStyle name="Normal 64 3 3 3" xfId="14393"/>
    <cellStyle name="Normal 64 3 3 3 2" xfId="25510"/>
    <cellStyle name="Normal 64 3 3 4" xfId="18122"/>
    <cellStyle name="Normal 64 3 4" xfId="8846"/>
    <cellStyle name="Normal 64 3 4 2" xfId="19969"/>
    <cellStyle name="Normal 64 3 5" xfId="12546"/>
    <cellStyle name="Normal 64 3 5 2" xfId="23663"/>
    <cellStyle name="Normal 64 3 6" xfId="16275"/>
    <cellStyle name="Normal 64 4" xfId="3708"/>
    <cellStyle name="Normal 64 4 2" xfId="5803"/>
    <cellStyle name="Normal 64 4 2 2" xfId="7913"/>
    <cellStyle name="Normal 64 4 2 2 2" xfId="11614"/>
    <cellStyle name="Normal 64 4 2 2 2 2" xfId="22736"/>
    <cellStyle name="Normal 64 4 2 2 3" xfId="15313"/>
    <cellStyle name="Normal 64 4 2 2 3 2" xfId="26430"/>
    <cellStyle name="Normal 64 4 2 2 4" xfId="19042"/>
    <cellStyle name="Normal 64 4 2 3" xfId="9767"/>
    <cellStyle name="Normal 64 4 2 3 2" xfId="20889"/>
    <cellStyle name="Normal 64 4 2 4" xfId="13466"/>
    <cellStyle name="Normal 64 4 2 4 2" xfId="24583"/>
    <cellStyle name="Normal 64 4 2 5" xfId="17195"/>
    <cellStyle name="Normal 64 4 3" xfId="6993"/>
    <cellStyle name="Normal 64 4 3 2" xfId="10695"/>
    <cellStyle name="Normal 64 4 3 2 2" xfId="21817"/>
    <cellStyle name="Normal 64 4 3 3" xfId="14394"/>
    <cellStyle name="Normal 64 4 3 3 2" xfId="25511"/>
    <cellStyle name="Normal 64 4 3 4" xfId="18123"/>
    <cellStyle name="Normal 64 4 4" xfId="8847"/>
    <cellStyle name="Normal 64 4 4 2" xfId="19970"/>
    <cellStyle name="Normal 64 4 5" xfId="12547"/>
    <cellStyle name="Normal 64 4 5 2" xfId="23664"/>
    <cellStyle name="Normal 64 4 6" xfId="16276"/>
    <cellStyle name="Normal 64 5" xfId="3709"/>
    <cellStyle name="Normal 64 5 2" xfId="5804"/>
    <cellStyle name="Normal 64 5 2 2" xfId="7914"/>
    <cellStyle name="Normal 64 5 2 2 2" xfId="11615"/>
    <cellStyle name="Normal 64 5 2 2 2 2" xfId="22737"/>
    <cellStyle name="Normal 64 5 2 2 3" xfId="15314"/>
    <cellStyle name="Normal 64 5 2 2 3 2" xfId="26431"/>
    <cellStyle name="Normal 64 5 2 2 4" xfId="19043"/>
    <cellStyle name="Normal 64 5 2 3" xfId="9768"/>
    <cellStyle name="Normal 64 5 2 3 2" xfId="20890"/>
    <cellStyle name="Normal 64 5 2 4" xfId="13467"/>
    <cellStyle name="Normal 64 5 2 4 2" xfId="24584"/>
    <cellStyle name="Normal 64 5 2 5" xfId="17196"/>
    <cellStyle name="Normal 64 5 3" xfId="6994"/>
    <cellStyle name="Normal 64 5 3 2" xfId="10696"/>
    <cellStyle name="Normal 64 5 3 2 2" xfId="21818"/>
    <cellStyle name="Normal 64 5 3 3" xfId="14395"/>
    <cellStyle name="Normal 64 5 3 3 2" xfId="25512"/>
    <cellStyle name="Normal 64 5 3 4" xfId="18124"/>
    <cellStyle name="Normal 64 5 4" xfId="8848"/>
    <cellStyle name="Normal 64 5 4 2" xfId="19971"/>
    <cellStyle name="Normal 64 5 5" xfId="12548"/>
    <cellStyle name="Normal 64 5 5 2" xfId="23665"/>
    <cellStyle name="Normal 64 5 6" xfId="16277"/>
    <cellStyle name="Normal 65" xfId="676"/>
    <cellStyle name="Normal 65 2" xfId="3710"/>
    <cellStyle name="Normal 65 2 2" xfId="3711"/>
    <cellStyle name="Normal 65 2 2 2" xfId="5806"/>
    <cellStyle name="Normal 65 2 2 2 2" xfId="7916"/>
    <cellStyle name="Normal 65 2 2 2 2 2" xfId="11617"/>
    <cellStyle name="Normal 65 2 2 2 2 2 2" xfId="22739"/>
    <cellStyle name="Normal 65 2 2 2 2 3" xfId="15316"/>
    <cellStyle name="Normal 65 2 2 2 2 3 2" xfId="26433"/>
    <cellStyle name="Normal 65 2 2 2 2 4" xfId="19045"/>
    <cellStyle name="Normal 65 2 2 2 3" xfId="9770"/>
    <cellStyle name="Normal 65 2 2 2 3 2" xfId="20892"/>
    <cellStyle name="Normal 65 2 2 2 4" xfId="13469"/>
    <cellStyle name="Normal 65 2 2 2 4 2" xfId="24586"/>
    <cellStyle name="Normal 65 2 2 2 5" xfId="17198"/>
    <cellStyle name="Normal 65 2 2 3" xfId="6996"/>
    <cellStyle name="Normal 65 2 2 3 2" xfId="10698"/>
    <cellStyle name="Normal 65 2 2 3 2 2" xfId="21820"/>
    <cellStyle name="Normal 65 2 2 3 3" xfId="14397"/>
    <cellStyle name="Normal 65 2 2 3 3 2" xfId="25514"/>
    <cellStyle name="Normal 65 2 2 3 4" xfId="18126"/>
    <cellStyle name="Normal 65 2 2 4" xfId="8850"/>
    <cellStyle name="Normal 65 2 2 4 2" xfId="19973"/>
    <cellStyle name="Normal 65 2 2 5" xfId="12550"/>
    <cellStyle name="Normal 65 2 2 5 2" xfId="23667"/>
    <cellStyle name="Normal 65 2 2 6" xfId="16279"/>
    <cellStyle name="Normal 65 2 3" xfId="3712"/>
    <cellStyle name="Normal 65 2 3 2" xfId="5807"/>
    <cellStyle name="Normal 65 2 3 2 2" xfId="7917"/>
    <cellStyle name="Normal 65 2 3 2 2 2" xfId="11618"/>
    <cellStyle name="Normal 65 2 3 2 2 2 2" xfId="22740"/>
    <cellStyle name="Normal 65 2 3 2 2 3" xfId="15317"/>
    <cellStyle name="Normal 65 2 3 2 2 3 2" xfId="26434"/>
    <cellStyle name="Normal 65 2 3 2 2 4" xfId="19046"/>
    <cellStyle name="Normal 65 2 3 2 3" xfId="9771"/>
    <cellStyle name="Normal 65 2 3 2 3 2" xfId="20893"/>
    <cellStyle name="Normal 65 2 3 2 4" xfId="13470"/>
    <cellStyle name="Normal 65 2 3 2 4 2" xfId="24587"/>
    <cellStyle name="Normal 65 2 3 2 5" xfId="17199"/>
    <cellStyle name="Normal 65 2 3 3" xfId="6997"/>
    <cellStyle name="Normal 65 2 3 3 2" xfId="10699"/>
    <cellStyle name="Normal 65 2 3 3 2 2" xfId="21821"/>
    <cellStyle name="Normal 65 2 3 3 3" xfId="14398"/>
    <cellStyle name="Normal 65 2 3 3 3 2" xfId="25515"/>
    <cellStyle name="Normal 65 2 3 3 4" xfId="18127"/>
    <cellStyle name="Normal 65 2 3 4" xfId="8851"/>
    <cellStyle name="Normal 65 2 3 4 2" xfId="19974"/>
    <cellStyle name="Normal 65 2 3 5" xfId="12551"/>
    <cellStyle name="Normal 65 2 3 5 2" xfId="23668"/>
    <cellStyle name="Normal 65 2 3 6" xfId="16280"/>
    <cellStyle name="Normal 65 2 4" xfId="5805"/>
    <cellStyle name="Normal 65 2 4 2" xfId="7915"/>
    <cellStyle name="Normal 65 2 4 2 2" xfId="11616"/>
    <cellStyle name="Normal 65 2 4 2 2 2" xfId="22738"/>
    <cellStyle name="Normal 65 2 4 2 3" xfId="15315"/>
    <cellStyle name="Normal 65 2 4 2 3 2" xfId="26432"/>
    <cellStyle name="Normal 65 2 4 2 4" xfId="19044"/>
    <cellStyle name="Normal 65 2 4 3" xfId="9769"/>
    <cellStyle name="Normal 65 2 4 3 2" xfId="20891"/>
    <cellStyle name="Normal 65 2 4 4" xfId="13468"/>
    <cellStyle name="Normal 65 2 4 4 2" xfId="24585"/>
    <cellStyle name="Normal 65 2 4 5" xfId="17197"/>
    <cellStyle name="Normal 65 2 5" xfId="6041"/>
    <cellStyle name="Normal 65 2 6" xfId="6995"/>
    <cellStyle name="Normal 65 2 6 2" xfId="10697"/>
    <cellStyle name="Normal 65 2 6 2 2" xfId="21819"/>
    <cellStyle name="Normal 65 2 6 3" xfId="14396"/>
    <cellStyle name="Normal 65 2 6 3 2" xfId="25513"/>
    <cellStyle name="Normal 65 2 6 4" xfId="18125"/>
    <cellStyle name="Normal 65 2 7" xfId="8849"/>
    <cellStyle name="Normal 65 2 7 2" xfId="19972"/>
    <cellStyle name="Normal 65 2 8" xfId="12549"/>
    <cellStyle name="Normal 65 2 8 2" xfId="23666"/>
    <cellStyle name="Normal 65 2 9" xfId="16278"/>
    <cellStyle name="Normal 65 3" xfId="3713"/>
    <cellStyle name="Normal 65 3 2" xfId="5808"/>
    <cellStyle name="Normal 65 3 2 2" xfId="7918"/>
    <cellStyle name="Normal 65 3 2 2 2" xfId="11619"/>
    <cellStyle name="Normal 65 3 2 2 2 2" xfId="22741"/>
    <cellStyle name="Normal 65 3 2 2 3" xfId="15318"/>
    <cellStyle name="Normal 65 3 2 2 3 2" xfId="26435"/>
    <cellStyle name="Normal 65 3 2 2 4" xfId="19047"/>
    <cellStyle name="Normal 65 3 2 3" xfId="9772"/>
    <cellStyle name="Normal 65 3 2 3 2" xfId="20894"/>
    <cellStyle name="Normal 65 3 2 4" xfId="13471"/>
    <cellStyle name="Normal 65 3 2 4 2" xfId="24588"/>
    <cellStyle name="Normal 65 3 2 5" xfId="17200"/>
    <cellStyle name="Normal 65 3 3" xfId="6998"/>
    <cellStyle name="Normal 65 3 3 2" xfId="10700"/>
    <cellStyle name="Normal 65 3 3 2 2" xfId="21822"/>
    <cellStyle name="Normal 65 3 3 3" xfId="14399"/>
    <cellStyle name="Normal 65 3 3 3 2" xfId="25516"/>
    <cellStyle name="Normal 65 3 3 4" xfId="18128"/>
    <cellStyle name="Normal 65 3 4" xfId="8852"/>
    <cellStyle name="Normal 65 3 4 2" xfId="19975"/>
    <cellStyle name="Normal 65 3 5" xfId="12552"/>
    <cellStyle name="Normal 65 3 5 2" xfId="23669"/>
    <cellStyle name="Normal 65 3 6" xfId="16281"/>
    <cellStyle name="Normal 65 4" xfId="3714"/>
    <cellStyle name="Normal 65 4 2" xfId="5809"/>
    <cellStyle name="Normal 65 4 2 2" xfId="7919"/>
    <cellStyle name="Normal 65 4 2 2 2" xfId="11620"/>
    <cellStyle name="Normal 65 4 2 2 2 2" xfId="22742"/>
    <cellStyle name="Normal 65 4 2 2 3" xfId="15319"/>
    <cellStyle name="Normal 65 4 2 2 3 2" xfId="26436"/>
    <cellStyle name="Normal 65 4 2 2 4" xfId="19048"/>
    <cellStyle name="Normal 65 4 2 3" xfId="9773"/>
    <cellStyle name="Normal 65 4 2 3 2" xfId="20895"/>
    <cellStyle name="Normal 65 4 2 4" xfId="13472"/>
    <cellStyle name="Normal 65 4 2 4 2" xfId="24589"/>
    <cellStyle name="Normal 65 4 2 5" xfId="17201"/>
    <cellStyle name="Normal 65 4 3" xfId="6999"/>
    <cellStyle name="Normal 65 4 3 2" xfId="10701"/>
    <cellStyle name="Normal 65 4 3 2 2" xfId="21823"/>
    <cellStyle name="Normal 65 4 3 3" xfId="14400"/>
    <cellStyle name="Normal 65 4 3 3 2" xfId="25517"/>
    <cellStyle name="Normal 65 4 3 4" xfId="18129"/>
    <cellStyle name="Normal 65 4 4" xfId="8853"/>
    <cellStyle name="Normal 65 4 4 2" xfId="19976"/>
    <cellStyle name="Normal 65 4 5" xfId="12553"/>
    <cellStyle name="Normal 65 4 5 2" xfId="23670"/>
    <cellStyle name="Normal 65 4 6" xfId="16282"/>
    <cellStyle name="Normal 65 5" xfId="3715"/>
    <cellStyle name="Normal 65 5 2" xfId="5810"/>
    <cellStyle name="Normal 65 5 2 2" xfId="7920"/>
    <cellStyle name="Normal 65 5 2 2 2" xfId="11621"/>
    <cellStyle name="Normal 65 5 2 2 2 2" xfId="22743"/>
    <cellStyle name="Normal 65 5 2 2 3" xfId="15320"/>
    <cellStyle name="Normal 65 5 2 2 3 2" xfId="26437"/>
    <cellStyle name="Normal 65 5 2 2 4" xfId="19049"/>
    <cellStyle name="Normal 65 5 2 3" xfId="9774"/>
    <cellStyle name="Normal 65 5 2 3 2" xfId="20896"/>
    <cellStyle name="Normal 65 5 2 4" xfId="13473"/>
    <cellStyle name="Normal 65 5 2 4 2" xfId="24590"/>
    <cellStyle name="Normal 65 5 2 5" xfId="17202"/>
    <cellStyle name="Normal 65 5 3" xfId="7000"/>
    <cellStyle name="Normal 65 5 3 2" xfId="10702"/>
    <cellStyle name="Normal 65 5 3 2 2" xfId="21824"/>
    <cellStyle name="Normal 65 5 3 3" xfId="14401"/>
    <cellStyle name="Normal 65 5 3 3 2" xfId="25518"/>
    <cellStyle name="Normal 65 5 3 4" xfId="18130"/>
    <cellStyle name="Normal 65 5 4" xfId="8854"/>
    <cellStyle name="Normal 65 5 4 2" xfId="19977"/>
    <cellStyle name="Normal 65 5 5" xfId="12554"/>
    <cellStyle name="Normal 65 5 5 2" xfId="23671"/>
    <cellStyle name="Normal 65 5 6" xfId="16283"/>
    <cellStyle name="Normal 66" xfId="677"/>
    <cellStyle name="Normal 66 2" xfId="3716"/>
    <cellStyle name="Normal 66 2 2" xfId="3717"/>
    <cellStyle name="Normal 66 2 2 2" xfId="5812"/>
    <cellStyle name="Normal 66 2 2 2 2" xfId="7922"/>
    <cellStyle name="Normal 66 2 2 2 2 2" xfId="11623"/>
    <cellStyle name="Normal 66 2 2 2 2 2 2" xfId="22745"/>
    <cellStyle name="Normal 66 2 2 2 2 3" xfId="15322"/>
    <cellStyle name="Normal 66 2 2 2 2 3 2" xfId="26439"/>
    <cellStyle name="Normal 66 2 2 2 2 4" xfId="19051"/>
    <cellStyle name="Normal 66 2 2 2 3" xfId="9776"/>
    <cellStyle name="Normal 66 2 2 2 3 2" xfId="20898"/>
    <cellStyle name="Normal 66 2 2 2 4" xfId="13475"/>
    <cellStyle name="Normal 66 2 2 2 4 2" xfId="24592"/>
    <cellStyle name="Normal 66 2 2 2 5" xfId="17204"/>
    <cellStyle name="Normal 66 2 2 3" xfId="7002"/>
    <cellStyle name="Normal 66 2 2 3 2" xfId="10704"/>
    <cellStyle name="Normal 66 2 2 3 2 2" xfId="21826"/>
    <cellStyle name="Normal 66 2 2 3 3" xfId="14403"/>
    <cellStyle name="Normal 66 2 2 3 3 2" xfId="25520"/>
    <cellStyle name="Normal 66 2 2 3 4" xfId="18132"/>
    <cellStyle name="Normal 66 2 2 4" xfId="8856"/>
    <cellStyle name="Normal 66 2 2 4 2" xfId="19979"/>
    <cellStyle name="Normal 66 2 2 5" xfId="12556"/>
    <cellStyle name="Normal 66 2 2 5 2" xfId="23673"/>
    <cellStyle name="Normal 66 2 2 6" xfId="16285"/>
    <cellStyle name="Normal 66 2 3" xfId="3718"/>
    <cellStyle name="Normal 66 2 3 2" xfId="5813"/>
    <cellStyle name="Normal 66 2 3 2 2" xfId="7923"/>
    <cellStyle name="Normal 66 2 3 2 2 2" xfId="11624"/>
    <cellStyle name="Normal 66 2 3 2 2 2 2" xfId="22746"/>
    <cellStyle name="Normal 66 2 3 2 2 3" xfId="15323"/>
    <cellStyle name="Normal 66 2 3 2 2 3 2" xfId="26440"/>
    <cellStyle name="Normal 66 2 3 2 2 4" xfId="19052"/>
    <cellStyle name="Normal 66 2 3 2 3" xfId="9777"/>
    <cellStyle name="Normal 66 2 3 2 3 2" xfId="20899"/>
    <cellStyle name="Normal 66 2 3 2 4" xfId="13476"/>
    <cellStyle name="Normal 66 2 3 2 4 2" xfId="24593"/>
    <cellStyle name="Normal 66 2 3 2 5" xfId="17205"/>
    <cellStyle name="Normal 66 2 3 3" xfId="7003"/>
    <cellStyle name="Normal 66 2 3 3 2" xfId="10705"/>
    <cellStyle name="Normal 66 2 3 3 2 2" xfId="21827"/>
    <cellStyle name="Normal 66 2 3 3 3" xfId="14404"/>
    <cellStyle name="Normal 66 2 3 3 3 2" xfId="25521"/>
    <cellStyle name="Normal 66 2 3 3 4" xfId="18133"/>
    <cellStyle name="Normal 66 2 3 4" xfId="8857"/>
    <cellStyle name="Normal 66 2 3 4 2" xfId="19980"/>
    <cellStyle name="Normal 66 2 3 5" xfId="12557"/>
    <cellStyle name="Normal 66 2 3 5 2" xfId="23674"/>
    <cellStyle name="Normal 66 2 3 6" xfId="16286"/>
    <cellStyle name="Normal 66 2 4" xfId="5811"/>
    <cellStyle name="Normal 66 2 4 2" xfId="7921"/>
    <cellStyle name="Normal 66 2 4 2 2" xfId="11622"/>
    <cellStyle name="Normal 66 2 4 2 2 2" xfId="22744"/>
    <cellStyle name="Normal 66 2 4 2 3" xfId="15321"/>
    <cellStyle name="Normal 66 2 4 2 3 2" xfId="26438"/>
    <cellStyle name="Normal 66 2 4 2 4" xfId="19050"/>
    <cellStyle name="Normal 66 2 4 3" xfId="9775"/>
    <cellStyle name="Normal 66 2 4 3 2" xfId="20897"/>
    <cellStyle name="Normal 66 2 4 4" xfId="13474"/>
    <cellStyle name="Normal 66 2 4 4 2" xfId="24591"/>
    <cellStyle name="Normal 66 2 4 5" xfId="17203"/>
    <cellStyle name="Normal 66 2 5" xfId="6042"/>
    <cellStyle name="Normal 66 2 6" xfId="7001"/>
    <cellStyle name="Normal 66 2 6 2" xfId="10703"/>
    <cellStyle name="Normal 66 2 6 2 2" xfId="21825"/>
    <cellStyle name="Normal 66 2 6 3" xfId="14402"/>
    <cellStyle name="Normal 66 2 6 3 2" xfId="25519"/>
    <cellStyle name="Normal 66 2 6 4" xfId="18131"/>
    <cellStyle name="Normal 66 2 7" xfId="8855"/>
    <cellStyle name="Normal 66 2 7 2" xfId="19978"/>
    <cellStyle name="Normal 66 2 8" xfId="12555"/>
    <cellStyle name="Normal 66 2 8 2" xfId="23672"/>
    <cellStyle name="Normal 66 2 9" xfId="16284"/>
    <cellStyle name="Normal 66 3" xfId="3719"/>
    <cellStyle name="Normal 66 3 2" xfId="5814"/>
    <cellStyle name="Normal 66 3 2 2" xfId="7924"/>
    <cellStyle name="Normal 66 3 2 2 2" xfId="11625"/>
    <cellStyle name="Normal 66 3 2 2 2 2" xfId="22747"/>
    <cellStyle name="Normal 66 3 2 2 3" xfId="15324"/>
    <cellStyle name="Normal 66 3 2 2 3 2" xfId="26441"/>
    <cellStyle name="Normal 66 3 2 2 4" xfId="19053"/>
    <cellStyle name="Normal 66 3 2 3" xfId="9778"/>
    <cellStyle name="Normal 66 3 2 3 2" xfId="20900"/>
    <cellStyle name="Normal 66 3 2 4" xfId="13477"/>
    <cellStyle name="Normal 66 3 2 4 2" xfId="24594"/>
    <cellStyle name="Normal 66 3 2 5" xfId="17206"/>
    <cellStyle name="Normal 66 3 3" xfId="7004"/>
    <cellStyle name="Normal 66 3 3 2" xfId="10706"/>
    <cellStyle name="Normal 66 3 3 2 2" xfId="21828"/>
    <cellStyle name="Normal 66 3 3 3" xfId="14405"/>
    <cellStyle name="Normal 66 3 3 3 2" xfId="25522"/>
    <cellStyle name="Normal 66 3 3 4" xfId="18134"/>
    <cellStyle name="Normal 66 3 4" xfId="8858"/>
    <cellStyle name="Normal 66 3 4 2" xfId="19981"/>
    <cellStyle name="Normal 66 3 5" xfId="12558"/>
    <cellStyle name="Normal 66 3 5 2" xfId="23675"/>
    <cellStyle name="Normal 66 3 6" xfId="16287"/>
    <cellStyle name="Normal 66 4" xfId="3720"/>
    <cellStyle name="Normal 66 4 2" xfId="5815"/>
    <cellStyle name="Normal 66 4 2 2" xfId="7925"/>
    <cellStyle name="Normal 66 4 2 2 2" xfId="11626"/>
    <cellStyle name="Normal 66 4 2 2 2 2" xfId="22748"/>
    <cellStyle name="Normal 66 4 2 2 3" xfId="15325"/>
    <cellStyle name="Normal 66 4 2 2 3 2" xfId="26442"/>
    <cellStyle name="Normal 66 4 2 2 4" xfId="19054"/>
    <cellStyle name="Normal 66 4 2 3" xfId="9779"/>
    <cellStyle name="Normal 66 4 2 3 2" xfId="20901"/>
    <cellStyle name="Normal 66 4 2 4" xfId="13478"/>
    <cellStyle name="Normal 66 4 2 4 2" xfId="24595"/>
    <cellStyle name="Normal 66 4 2 5" xfId="17207"/>
    <cellStyle name="Normal 66 4 3" xfId="7005"/>
    <cellStyle name="Normal 66 4 3 2" xfId="10707"/>
    <cellStyle name="Normal 66 4 3 2 2" xfId="21829"/>
    <cellStyle name="Normal 66 4 3 3" xfId="14406"/>
    <cellStyle name="Normal 66 4 3 3 2" xfId="25523"/>
    <cellStyle name="Normal 66 4 3 4" xfId="18135"/>
    <cellStyle name="Normal 66 4 4" xfId="8859"/>
    <cellStyle name="Normal 66 4 4 2" xfId="19982"/>
    <cellStyle name="Normal 66 4 5" xfId="12559"/>
    <cellStyle name="Normal 66 4 5 2" xfId="23676"/>
    <cellStyle name="Normal 66 4 6" xfId="16288"/>
    <cellStyle name="Normal 66 5" xfId="3721"/>
    <cellStyle name="Normal 66 5 2" xfId="5816"/>
    <cellStyle name="Normal 66 5 2 2" xfId="7926"/>
    <cellStyle name="Normal 66 5 2 2 2" xfId="11627"/>
    <cellStyle name="Normal 66 5 2 2 2 2" xfId="22749"/>
    <cellStyle name="Normal 66 5 2 2 3" xfId="15326"/>
    <cellStyle name="Normal 66 5 2 2 3 2" xfId="26443"/>
    <cellStyle name="Normal 66 5 2 2 4" xfId="19055"/>
    <cellStyle name="Normal 66 5 2 3" xfId="9780"/>
    <cellStyle name="Normal 66 5 2 3 2" xfId="20902"/>
    <cellStyle name="Normal 66 5 2 4" xfId="13479"/>
    <cellStyle name="Normal 66 5 2 4 2" xfId="24596"/>
    <cellStyle name="Normal 66 5 2 5" xfId="17208"/>
    <cellStyle name="Normal 66 5 3" xfId="7006"/>
    <cellStyle name="Normal 66 5 3 2" xfId="10708"/>
    <cellStyle name="Normal 66 5 3 2 2" xfId="21830"/>
    <cellStyle name="Normal 66 5 3 3" xfId="14407"/>
    <cellStyle name="Normal 66 5 3 3 2" xfId="25524"/>
    <cellStyle name="Normal 66 5 3 4" xfId="18136"/>
    <cellStyle name="Normal 66 5 4" xfId="8860"/>
    <cellStyle name="Normal 66 5 4 2" xfId="19983"/>
    <cellStyle name="Normal 66 5 5" xfId="12560"/>
    <cellStyle name="Normal 66 5 5 2" xfId="23677"/>
    <cellStyle name="Normal 66 5 6" xfId="16289"/>
    <cellStyle name="Normal 67" xfId="678"/>
    <cellStyle name="Normal 67 2" xfId="3722"/>
    <cellStyle name="Normal 67 2 2" xfId="3723"/>
    <cellStyle name="Normal 67 2 2 2" xfId="5818"/>
    <cellStyle name="Normal 67 2 2 2 2" xfId="7928"/>
    <cellStyle name="Normal 67 2 2 2 2 2" xfId="11629"/>
    <cellStyle name="Normal 67 2 2 2 2 2 2" xfId="22751"/>
    <cellStyle name="Normal 67 2 2 2 2 3" xfId="15328"/>
    <cellStyle name="Normal 67 2 2 2 2 3 2" xfId="26445"/>
    <cellStyle name="Normal 67 2 2 2 2 4" xfId="19057"/>
    <cellStyle name="Normal 67 2 2 2 3" xfId="9782"/>
    <cellStyle name="Normal 67 2 2 2 3 2" xfId="20904"/>
    <cellStyle name="Normal 67 2 2 2 4" xfId="13481"/>
    <cellStyle name="Normal 67 2 2 2 4 2" xfId="24598"/>
    <cellStyle name="Normal 67 2 2 2 5" xfId="17210"/>
    <cellStyle name="Normal 67 2 2 3" xfId="7008"/>
    <cellStyle name="Normal 67 2 2 3 2" xfId="10710"/>
    <cellStyle name="Normal 67 2 2 3 2 2" xfId="21832"/>
    <cellStyle name="Normal 67 2 2 3 3" xfId="14409"/>
    <cellStyle name="Normal 67 2 2 3 3 2" xfId="25526"/>
    <cellStyle name="Normal 67 2 2 3 4" xfId="18138"/>
    <cellStyle name="Normal 67 2 2 4" xfId="8862"/>
    <cellStyle name="Normal 67 2 2 4 2" xfId="19985"/>
    <cellStyle name="Normal 67 2 2 5" xfId="12562"/>
    <cellStyle name="Normal 67 2 2 5 2" xfId="23679"/>
    <cellStyle name="Normal 67 2 2 6" xfId="16291"/>
    <cellStyle name="Normal 67 2 3" xfId="3724"/>
    <cellStyle name="Normal 67 2 3 2" xfId="5819"/>
    <cellStyle name="Normal 67 2 3 2 2" xfId="7929"/>
    <cellStyle name="Normal 67 2 3 2 2 2" xfId="11630"/>
    <cellStyle name="Normal 67 2 3 2 2 2 2" xfId="22752"/>
    <cellStyle name="Normal 67 2 3 2 2 3" xfId="15329"/>
    <cellStyle name="Normal 67 2 3 2 2 3 2" xfId="26446"/>
    <cellStyle name="Normal 67 2 3 2 2 4" xfId="19058"/>
    <cellStyle name="Normal 67 2 3 2 3" xfId="9783"/>
    <cellStyle name="Normal 67 2 3 2 3 2" xfId="20905"/>
    <cellStyle name="Normal 67 2 3 2 4" xfId="13482"/>
    <cellStyle name="Normal 67 2 3 2 4 2" xfId="24599"/>
    <cellStyle name="Normal 67 2 3 2 5" xfId="17211"/>
    <cellStyle name="Normal 67 2 3 3" xfId="7009"/>
    <cellStyle name="Normal 67 2 3 3 2" xfId="10711"/>
    <cellStyle name="Normal 67 2 3 3 2 2" xfId="21833"/>
    <cellStyle name="Normal 67 2 3 3 3" xfId="14410"/>
    <cellStyle name="Normal 67 2 3 3 3 2" xfId="25527"/>
    <cellStyle name="Normal 67 2 3 3 4" xfId="18139"/>
    <cellStyle name="Normal 67 2 3 4" xfId="8863"/>
    <cellStyle name="Normal 67 2 3 4 2" xfId="19986"/>
    <cellStyle name="Normal 67 2 3 5" xfId="12563"/>
    <cellStyle name="Normal 67 2 3 5 2" xfId="23680"/>
    <cellStyle name="Normal 67 2 3 6" xfId="16292"/>
    <cellStyle name="Normal 67 2 4" xfId="5817"/>
    <cellStyle name="Normal 67 2 4 2" xfId="7927"/>
    <cellStyle name="Normal 67 2 4 2 2" xfId="11628"/>
    <cellStyle name="Normal 67 2 4 2 2 2" xfId="22750"/>
    <cellStyle name="Normal 67 2 4 2 3" xfId="15327"/>
    <cellStyle name="Normal 67 2 4 2 3 2" xfId="26444"/>
    <cellStyle name="Normal 67 2 4 2 4" xfId="19056"/>
    <cellStyle name="Normal 67 2 4 3" xfId="9781"/>
    <cellStyle name="Normal 67 2 4 3 2" xfId="20903"/>
    <cellStyle name="Normal 67 2 4 4" xfId="13480"/>
    <cellStyle name="Normal 67 2 4 4 2" xfId="24597"/>
    <cellStyle name="Normal 67 2 4 5" xfId="17209"/>
    <cellStyle name="Normal 67 2 5" xfId="6043"/>
    <cellStyle name="Normal 67 2 6" xfId="7007"/>
    <cellStyle name="Normal 67 2 6 2" xfId="10709"/>
    <cellStyle name="Normal 67 2 6 2 2" xfId="21831"/>
    <cellStyle name="Normal 67 2 6 3" xfId="14408"/>
    <cellStyle name="Normal 67 2 6 3 2" xfId="25525"/>
    <cellStyle name="Normal 67 2 6 4" xfId="18137"/>
    <cellStyle name="Normal 67 2 7" xfId="8861"/>
    <cellStyle name="Normal 67 2 7 2" xfId="19984"/>
    <cellStyle name="Normal 67 2 8" xfId="12561"/>
    <cellStyle name="Normal 67 2 8 2" xfId="23678"/>
    <cellStyle name="Normal 67 2 9" xfId="16290"/>
    <cellStyle name="Normal 67 3" xfId="3725"/>
    <cellStyle name="Normal 67 3 2" xfId="5820"/>
    <cellStyle name="Normal 67 3 2 2" xfId="7930"/>
    <cellStyle name="Normal 67 3 2 2 2" xfId="11631"/>
    <cellStyle name="Normal 67 3 2 2 2 2" xfId="22753"/>
    <cellStyle name="Normal 67 3 2 2 3" xfId="15330"/>
    <cellStyle name="Normal 67 3 2 2 3 2" xfId="26447"/>
    <cellStyle name="Normal 67 3 2 2 4" xfId="19059"/>
    <cellStyle name="Normal 67 3 2 3" xfId="9784"/>
    <cellStyle name="Normal 67 3 2 3 2" xfId="20906"/>
    <cellStyle name="Normal 67 3 2 4" xfId="13483"/>
    <cellStyle name="Normal 67 3 2 4 2" xfId="24600"/>
    <cellStyle name="Normal 67 3 2 5" xfId="17212"/>
    <cellStyle name="Normal 67 3 3" xfId="7010"/>
    <cellStyle name="Normal 67 3 3 2" xfId="10712"/>
    <cellStyle name="Normal 67 3 3 2 2" xfId="21834"/>
    <cellStyle name="Normal 67 3 3 3" xfId="14411"/>
    <cellStyle name="Normal 67 3 3 3 2" xfId="25528"/>
    <cellStyle name="Normal 67 3 3 4" xfId="18140"/>
    <cellStyle name="Normal 67 3 4" xfId="8864"/>
    <cellStyle name="Normal 67 3 4 2" xfId="19987"/>
    <cellStyle name="Normal 67 3 5" xfId="12564"/>
    <cellStyle name="Normal 67 3 5 2" xfId="23681"/>
    <cellStyle name="Normal 67 3 6" xfId="16293"/>
    <cellStyle name="Normal 67 4" xfId="3726"/>
    <cellStyle name="Normal 67 4 2" xfId="5821"/>
    <cellStyle name="Normal 67 4 2 2" xfId="7931"/>
    <cellStyle name="Normal 67 4 2 2 2" xfId="11632"/>
    <cellStyle name="Normal 67 4 2 2 2 2" xfId="22754"/>
    <cellStyle name="Normal 67 4 2 2 3" xfId="15331"/>
    <cellStyle name="Normal 67 4 2 2 3 2" xfId="26448"/>
    <cellStyle name="Normal 67 4 2 2 4" xfId="19060"/>
    <cellStyle name="Normal 67 4 2 3" xfId="9785"/>
    <cellStyle name="Normal 67 4 2 3 2" xfId="20907"/>
    <cellStyle name="Normal 67 4 2 4" xfId="13484"/>
    <cellStyle name="Normal 67 4 2 4 2" xfId="24601"/>
    <cellStyle name="Normal 67 4 2 5" xfId="17213"/>
    <cellStyle name="Normal 67 4 3" xfId="7011"/>
    <cellStyle name="Normal 67 4 3 2" xfId="10713"/>
    <cellStyle name="Normal 67 4 3 2 2" xfId="21835"/>
    <cellStyle name="Normal 67 4 3 3" xfId="14412"/>
    <cellStyle name="Normal 67 4 3 3 2" xfId="25529"/>
    <cellStyle name="Normal 67 4 3 4" xfId="18141"/>
    <cellStyle name="Normal 67 4 4" xfId="8865"/>
    <cellStyle name="Normal 67 4 4 2" xfId="19988"/>
    <cellStyle name="Normal 67 4 5" xfId="12565"/>
    <cellStyle name="Normal 67 4 5 2" xfId="23682"/>
    <cellStyle name="Normal 67 4 6" xfId="16294"/>
    <cellStyle name="Normal 67 5" xfId="3727"/>
    <cellStyle name="Normal 67 5 2" xfId="5822"/>
    <cellStyle name="Normal 67 5 2 2" xfId="7932"/>
    <cellStyle name="Normal 67 5 2 2 2" xfId="11633"/>
    <cellStyle name="Normal 67 5 2 2 2 2" xfId="22755"/>
    <cellStyle name="Normal 67 5 2 2 3" xfId="15332"/>
    <cellStyle name="Normal 67 5 2 2 3 2" xfId="26449"/>
    <cellStyle name="Normal 67 5 2 2 4" xfId="19061"/>
    <cellStyle name="Normal 67 5 2 3" xfId="9786"/>
    <cellStyle name="Normal 67 5 2 3 2" xfId="20908"/>
    <cellStyle name="Normal 67 5 2 4" xfId="13485"/>
    <cellStyle name="Normal 67 5 2 4 2" xfId="24602"/>
    <cellStyle name="Normal 67 5 2 5" xfId="17214"/>
    <cellStyle name="Normal 67 5 3" xfId="7012"/>
    <cellStyle name="Normal 67 5 3 2" xfId="10714"/>
    <cellStyle name="Normal 67 5 3 2 2" xfId="21836"/>
    <cellStyle name="Normal 67 5 3 3" xfId="14413"/>
    <cellStyle name="Normal 67 5 3 3 2" xfId="25530"/>
    <cellStyle name="Normal 67 5 3 4" xfId="18142"/>
    <cellStyle name="Normal 67 5 4" xfId="8866"/>
    <cellStyle name="Normal 67 5 4 2" xfId="19989"/>
    <cellStyle name="Normal 67 5 5" xfId="12566"/>
    <cellStyle name="Normal 67 5 5 2" xfId="23683"/>
    <cellStyle name="Normal 67 5 6" xfId="16295"/>
    <cellStyle name="Normal 68" xfId="679"/>
    <cellStyle name="Normal 68 2" xfId="3728"/>
    <cellStyle name="Normal 68 2 2" xfId="3729"/>
    <cellStyle name="Normal 68 2 2 2" xfId="5824"/>
    <cellStyle name="Normal 68 2 2 2 2" xfId="7934"/>
    <cellStyle name="Normal 68 2 2 2 2 2" xfId="11635"/>
    <cellStyle name="Normal 68 2 2 2 2 2 2" xfId="22757"/>
    <cellStyle name="Normal 68 2 2 2 2 3" xfId="15334"/>
    <cellStyle name="Normal 68 2 2 2 2 3 2" xfId="26451"/>
    <cellStyle name="Normal 68 2 2 2 2 4" xfId="19063"/>
    <cellStyle name="Normal 68 2 2 2 3" xfId="9788"/>
    <cellStyle name="Normal 68 2 2 2 3 2" xfId="20910"/>
    <cellStyle name="Normal 68 2 2 2 4" xfId="13487"/>
    <cellStyle name="Normal 68 2 2 2 4 2" xfId="24604"/>
    <cellStyle name="Normal 68 2 2 2 5" xfId="17216"/>
    <cellStyle name="Normal 68 2 2 3" xfId="7014"/>
    <cellStyle name="Normal 68 2 2 3 2" xfId="10716"/>
    <cellStyle name="Normal 68 2 2 3 2 2" xfId="21838"/>
    <cellStyle name="Normal 68 2 2 3 3" xfId="14415"/>
    <cellStyle name="Normal 68 2 2 3 3 2" xfId="25532"/>
    <cellStyle name="Normal 68 2 2 3 4" xfId="18144"/>
    <cellStyle name="Normal 68 2 2 4" xfId="8868"/>
    <cellStyle name="Normal 68 2 2 4 2" xfId="19991"/>
    <cellStyle name="Normal 68 2 2 5" xfId="12568"/>
    <cellStyle name="Normal 68 2 2 5 2" xfId="23685"/>
    <cellStyle name="Normal 68 2 2 6" xfId="16297"/>
    <cellStyle name="Normal 68 2 3" xfId="3730"/>
    <cellStyle name="Normal 68 2 3 2" xfId="5825"/>
    <cellStyle name="Normal 68 2 3 2 2" xfId="7935"/>
    <cellStyle name="Normal 68 2 3 2 2 2" xfId="11636"/>
    <cellStyle name="Normal 68 2 3 2 2 2 2" xfId="22758"/>
    <cellStyle name="Normal 68 2 3 2 2 3" xfId="15335"/>
    <cellStyle name="Normal 68 2 3 2 2 3 2" xfId="26452"/>
    <cellStyle name="Normal 68 2 3 2 2 4" xfId="19064"/>
    <cellStyle name="Normal 68 2 3 2 3" xfId="9789"/>
    <cellStyle name="Normal 68 2 3 2 3 2" xfId="20911"/>
    <cellStyle name="Normal 68 2 3 2 4" xfId="13488"/>
    <cellStyle name="Normal 68 2 3 2 4 2" xfId="24605"/>
    <cellStyle name="Normal 68 2 3 2 5" xfId="17217"/>
    <cellStyle name="Normal 68 2 3 3" xfId="7015"/>
    <cellStyle name="Normal 68 2 3 3 2" xfId="10717"/>
    <cellStyle name="Normal 68 2 3 3 2 2" xfId="21839"/>
    <cellStyle name="Normal 68 2 3 3 3" xfId="14416"/>
    <cellStyle name="Normal 68 2 3 3 3 2" xfId="25533"/>
    <cellStyle name="Normal 68 2 3 3 4" xfId="18145"/>
    <cellStyle name="Normal 68 2 3 4" xfId="8869"/>
    <cellStyle name="Normal 68 2 3 4 2" xfId="19992"/>
    <cellStyle name="Normal 68 2 3 5" xfId="12569"/>
    <cellStyle name="Normal 68 2 3 5 2" xfId="23686"/>
    <cellStyle name="Normal 68 2 3 6" xfId="16298"/>
    <cellStyle name="Normal 68 2 4" xfId="5823"/>
    <cellStyle name="Normal 68 2 4 2" xfId="7933"/>
    <cellStyle name="Normal 68 2 4 2 2" xfId="11634"/>
    <cellStyle name="Normal 68 2 4 2 2 2" xfId="22756"/>
    <cellStyle name="Normal 68 2 4 2 3" xfId="15333"/>
    <cellStyle name="Normal 68 2 4 2 3 2" xfId="26450"/>
    <cellStyle name="Normal 68 2 4 2 4" xfId="19062"/>
    <cellStyle name="Normal 68 2 4 3" xfId="9787"/>
    <cellStyle name="Normal 68 2 4 3 2" xfId="20909"/>
    <cellStyle name="Normal 68 2 4 4" xfId="13486"/>
    <cellStyle name="Normal 68 2 4 4 2" xfId="24603"/>
    <cellStyle name="Normal 68 2 4 5" xfId="17215"/>
    <cellStyle name="Normal 68 2 5" xfId="6044"/>
    <cellStyle name="Normal 68 2 6" xfId="7013"/>
    <cellStyle name="Normal 68 2 6 2" xfId="10715"/>
    <cellStyle name="Normal 68 2 6 2 2" xfId="21837"/>
    <cellStyle name="Normal 68 2 6 3" xfId="14414"/>
    <cellStyle name="Normal 68 2 6 3 2" xfId="25531"/>
    <cellStyle name="Normal 68 2 6 4" xfId="18143"/>
    <cellStyle name="Normal 68 2 7" xfId="8867"/>
    <cellStyle name="Normal 68 2 7 2" xfId="19990"/>
    <cellStyle name="Normal 68 2 8" xfId="12567"/>
    <cellStyle name="Normal 68 2 8 2" xfId="23684"/>
    <cellStyle name="Normal 68 2 9" xfId="16296"/>
    <cellStyle name="Normal 68 3" xfId="3731"/>
    <cellStyle name="Normal 68 3 2" xfId="5826"/>
    <cellStyle name="Normal 68 3 2 2" xfId="7936"/>
    <cellStyle name="Normal 68 3 2 2 2" xfId="11637"/>
    <cellStyle name="Normal 68 3 2 2 2 2" xfId="22759"/>
    <cellStyle name="Normal 68 3 2 2 3" xfId="15336"/>
    <cellStyle name="Normal 68 3 2 2 3 2" xfId="26453"/>
    <cellStyle name="Normal 68 3 2 2 4" xfId="19065"/>
    <cellStyle name="Normal 68 3 2 3" xfId="9790"/>
    <cellStyle name="Normal 68 3 2 3 2" xfId="20912"/>
    <cellStyle name="Normal 68 3 2 4" xfId="13489"/>
    <cellStyle name="Normal 68 3 2 4 2" xfId="24606"/>
    <cellStyle name="Normal 68 3 2 5" xfId="17218"/>
    <cellStyle name="Normal 68 3 3" xfId="7016"/>
    <cellStyle name="Normal 68 3 3 2" xfId="10718"/>
    <cellStyle name="Normal 68 3 3 2 2" xfId="21840"/>
    <cellStyle name="Normal 68 3 3 3" xfId="14417"/>
    <cellStyle name="Normal 68 3 3 3 2" xfId="25534"/>
    <cellStyle name="Normal 68 3 3 4" xfId="18146"/>
    <cellStyle name="Normal 68 3 4" xfId="8870"/>
    <cellStyle name="Normal 68 3 4 2" xfId="19993"/>
    <cellStyle name="Normal 68 3 5" xfId="12570"/>
    <cellStyle name="Normal 68 3 5 2" xfId="23687"/>
    <cellStyle name="Normal 68 3 6" xfId="16299"/>
    <cellStyle name="Normal 68 4" xfId="3732"/>
    <cellStyle name="Normal 68 4 2" xfId="5827"/>
    <cellStyle name="Normal 68 4 2 2" xfId="7937"/>
    <cellStyle name="Normal 68 4 2 2 2" xfId="11638"/>
    <cellStyle name="Normal 68 4 2 2 2 2" xfId="22760"/>
    <cellStyle name="Normal 68 4 2 2 3" xfId="15337"/>
    <cellStyle name="Normal 68 4 2 2 3 2" xfId="26454"/>
    <cellStyle name="Normal 68 4 2 2 4" xfId="19066"/>
    <cellStyle name="Normal 68 4 2 3" xfId="9791"/>
    <cellStyle name="Normal 68 4 2 3 2" xfId="20913"/>
    <cellStyle name="Normal 68 4 2 4" xfId="13490"/>
    <cellStyle name="Normal 68 4 2 4 2" xfId="24607"/>
    <cellStyle name="Normal 68 4 2 5" xfId="17219"/>
    <cellStyle name="Normal 68 4 3" xfId="7017"/>
    <cellStyle name="Normal 68 4 3 2" xfId="10719"/>
    <cellStyle name="Normal 68 4 3 2 2" xfId="21841"/>
    <cellStyle name="Normal 68 4 3 3" xfId="14418"/>
    <cellStyle name="Normal 68 4 3 3 2" xfId="25535"/>
    <cellStyle name="Normal 68 4 3 4" xfId="18147"/>
    <cellStyle name="Normal 68 4 4" xfId="8871"/>
    <cellStyle name="Normal 68 4 4 2" xfId="19994"/>
    <cellStyle name="Normal 68 4 5" xfId="12571"/>
    <cellStyle name="Normal 68 4 5 2" xfId="23688"/>
    <cellStyle name="Normal 68 4 6" xfId="16300"/>
    <cellStyle name="Normal 68 5" xfId="3733"/>
    <cellStyle name="Normal 68 5 2" xfId="5828"/>
    <cellStyle name="Normal 68 5 2 2" xfId="7938"/>
    <cellStyle name="Normal 68 5 2 2 2" xfId="11639"/>
    <cellStyle name="Normal 68 5 2 2 2 2" xfId="22761"/>
    <cellStyle name="Normal 68 5 2 2 3" xfId="15338"/>
    <cellStyle name="Normal 68 5 2 2 3 2" xfId="26455"/>
    <cellStyle name="Normal 68 5 2 2 4" xfId="19067"/>
    <cellStyle name="Normal 68 5 2 3" xfId="9792"/>
    <cellStyle name="Normal 68 5 2 3 2" xfId="20914"/>
    <cellStyle name="Normal 68 5 2 4" xfId="13491"/>
    <cellStyle name="Normal 68 5 2 4 2" xfId="24608"/>
    <cellStyle name="Normal 68 5 2 5" xfId="17220"/>
    <cellStyle name="Normal 68 5 3" xfId="7018"/>
    <cellStyle name="Normal 68 5 3 2" xfId="10720"/>
    <cellStyle name="Normal 68 5 3 2 2" xfId="21842"/>
    <cellStyle name="Normal 68 5 3 3" xfId="14419"/>
    <cellStyle name="Normal 68 5 3 3 2" xfId="25536"/>
    <cellStyle name="Normal 68 5 3 4" xfId="18148"/>
    <cellStyle name="Normal 68 5 4" xfId="8872"/>
    <cellStyle name="Normal 68 5 4 2" xfId="19995"/>
    <cellStyle name="Normal 68 5 5" xfId="12572"/>
    <cellStyle name="Normal 68 5 5 2" xfId="23689"/>
    <cellStyle name="Normal 68 5 6" xfId="16301"/>
    <cellStyle name="Normal 69" xfId="680"/>
    <cellStyle name="Normal 69 2" xfId="3734"/>
    <cellStyle name="Normal 69 2 2" xfId="6045"/>
    <cellStyle name="Normal 69 3" xfId="3735"/>
    <cellStyle name="Normal 69 4" xfId="3736"/>
    <cellStyle name="Normal 7" xfId="454"/>
    <cellStyle name="Normal 7 2" xfId="455"/>
    <cellStyle name="Normal 7 2 2" xfId="1308"/>
    <cellStyle name="Normal 7 2 2 2" xfId="3738"/>
    <cellStyle name="Normal 7 2 2 2 2" xfId="6081"/>
    <cellStyle name="Normal 7 2 2 3" xfId="3739"/>
    <cellStyle name="Normal 7 2 2 4" xfId="3737"/>
    <cellStyle name="Normal 7 2 3" xfId="3740"/>
    <cellStyle name="Normal 7 3" xfId="819"/>
    <cellStyle name="Normal 7 3 2" xfId="1309"/>
    <cellStyle name="Normal 7 3 3" xfId="3742"/>
    <cellStyle name="Normal 7 3 4" xfId="3741"/>
    <cellStyle name="Normal 7 4" xfId="1310"/>
    <cellStyle name="Normal 7 4 2" xfId="3743"/>
    <cellStyle name="Normal 7 5" xfId="2128"/>
    <cellStyle name="Normal 70" xfId="681"/>
    <cellStyle name="Normal 70 2" xfId="3744"/>
    <cellStyle name="Normal 70 3" xfId="3745"/>
    <cellStyle name="Normal 71" xfId="682"/>
    <cellStyle name="Normal 71 2" xfId="3746"/>
    <cellStyle name="Normal 71 3" xfId="3747"/>
    <cellStyle name="Normal 72" xfId="683"/>
    <cellStyle name="Normal 72 2" xfId="3748"/>
    <cellStyle name="Normal 72 2 2" xfId="3749"/>
    <cellStyle name="Normal 72 3" xfId="3750"/>
    <cellStyle name="Normal 72 4" xfId="3751"/>
    <cellStyle name="Normal 73" xfId="684"/>
    <cellStyle name="Normal 73 2" xfId="3752"/>
    <cellStyle name="Normal 73 2 2" xfId="3753"/>
    <cellStyle name="Normal 73 3" xfId="3754"/>
    <cellStyle name="Normal 73 4" xfId="3755"/>
    <cellStyle name="Normal 74" xfId="686"/>
    <cellStyle name="Normal 74 2" xfId="3756"/>
    <cellStyle name="Normal 74 2 2" xfId="3757"/>
    <cellStyle name="Normal 74 2 3" xfId="3758"/>
    <cellStyle name="Normal 74 3" xfId="3759"/>
    <cellStyle name="Normal 74 3 2" xfId="3760"/>
    <cellStyle name="Normal 74 3 3" xfId="4694"/>
    <cellStyle name="Normal 74 4" xfId="3761"/>
    <cellStyle name="Normal 75" xfId="688"/>
    <cellStyle name="Normal 75 2" xfId="3762"/>
    <cellStyle name="Normal 75 2 2" xfId="3763"/>
    <cellStyle name="Normal 75 3" xfId="6046"/>
    <cellStyle name="Normal 76" xfId="690"/>
    <cellStyle name="Normal 76 2" xfId="3764"/>
    <cellStyle name="Normal 76 2 2" xfId="3765"/>
    <cellStyle name="Normal 76 3" xfId="6047"/>
    <cellStyle name="Normal 77" xfId="730"/>
    <cellStyle name="Normal 77 2" xfId="6048"/>
    <cellStyle name="Normal 78" xfId="732"/>
    <cellStyle name="Normal 78 2" xfId="6120"/>
    <cellStyle name="Normal 79" xfId="731"/>
    <cellStyle name="Normal 79 2" xfId="6128"/>
    <cellStyle name="Normal 8" xfId="456"/>
    <cellStyle name="Normal 8 2" xfId="457"/>
    <cellStyle name="Normal 8 2 2" xfId="1378"/>
    <cellStyle name="Normal 8 2 2 2" xfId="3766"/>
    <cellStyle name="Normal 8 2 2 2 2" xfId="6082"/>
    <cellStyle name="Normal 8 2 3" xfId="1377"/>
    <cellStyle name="Normal 8 3" xfId="820"/>
    <cellStyle name="Normal 8 3 2" xfId="1311"/>
    <cellStyle name="Normal 8 3 3" xfId="3768"/>
    <cellStyle name="Normal 8 3 4" xfId="4695"/>
    <cellStyle name="Normal 8 3 5" xfId="3767"/>
    <cellStyle name="Normal 8 4" xfId="1312"/>
    <cellStyle name="Normal 8 4 2" xfId="3769"/>
    <cellStyle name="Normal 8 5" xfId="2129"/>
    <cellStyle name="Normal 80" xfId="733"/>
    <cellStyle name="Normal 80 2" xfId="6087"/>
    <cellStyle name="Normal 81" xfId="736"/>
    <cellStyle name="Normal 81 2" xfId="6127"/>
    <cellStyle name="Normal 82" xfId="737"/>
    <cellStyle name="Normal 82 2" xfId="6130"/>
    <cellStyle name="Normal 83" xfId="735"/>
    <cellStyle name="Normal 83 2" xfId="6129"/>
    <cellStyle name="Normal 84" xfId="738"/>
    <cellStyle name="Normal 84 2" xfId="6131"/>
    <cellStyle name="Normal 85" xfId="739"/>
    <cellStyle name="Normal 85 2" xfId="6132"/>
    <cellStyle name="Normal 86" xfId="740"/>
    <cellStyle name="Normal 86 2" xfId="3770"/>
    <cellStyle name="Normal 86 2 2" xfId="6144"/>
    <cellStyle name="Normal 86 2 2 2" xfId="7993"/>
    <cellStyle name="Normal 86 2 2 2 2" xfId="11694"/>
    <cellStyle name="Normal 86 2 2 2 2 2" xfId="22816"/>
    <cellStyle name="Normal 86 2 2 2 3" xfId="15393"/>
    <cellStyle name="Normal 86 2 2 2 3 2" xfId="26510"/>
    <cellStyle name="Normal 86 2 2 2 4" xfId="19122"/>
    <cellStyle name="Normal 86 2 2 3" xfId="9847"/>
    <cellStyle name="Normal 86 2 2 3 2" xfId="20969"/>
    <cellStyle name="Normal 86 2 2 4" xfId="13546"/>
    <cellStyle name="Normal 86 2 2 4 2" xfId="24663"/>
    <cellStyle name="Normal 86 2 2 5" xfId="17275"/>
    <cellStyle name="Normal 86 2 3" xfId="6146"/>
    <cellStyle name="Normal 86 2 3 2" xfId="7995"/>
    <cellStyle name="Normal 86 2 3 2 2" xfId="11696"/>
    <cellStyle name="Normal 86 2 3 2 2 2" xfId="22818"/>
    <cellStyle name="Normal 86 2 3 2 3" xfId="15395"/>
    <cellStyle name="Normal 86 2 3 2 3 2" xfId="26512"/>
    <cellStyle name="Normal 86 2 3 2 4" xfId="19124"/>
    <cellStyle name="Normal 86 2 3 3" xfId="9849"/>
    <cellStyle name="Normal 86 2 3 3 2" xfId="20971"/>
    <cellStyle name="Normal 86 2 3 4" xfId="13548"/>
    <cellStyle name="Normal 86 2 3 4 2" xfId="24665"/>
    <cellStyle name="Normal 86 2 3 5" xfId="17277"/>
    <cellStyle name="Normal 86 2 4" xfId="6133"/>
    <cellStyle name="Normal 86 2 4 2" xfId="7991"/>
    <cellStyle name="Normal 86 2 4 2 2" xfId="11692"/>
    <cellStyle name="Normal 86 2 4 2 2 2" xfId="22814"/>
    <cellStyle name="Normal 86 2 4 2 3" xfId="15391"/>
    <cellStyle name="Normal 86 2 4 2 3 2" xfId="26508"/>
    <cellStyle name="Normal 86 2 4 2 4" xfId="19120"/>
    <cellStyle name="Normal 86 2 4 3" xfId="9845"/>
    <cellStyle name="Normal 86 2 4 3 2" xfId="20967"/>
    <cellStyle name="Normal 86 2 4 4" xfId="13544"/>
    <cellStyle name="Normal 86 2 4 4 2" xfId="24661"/>
    <cellStyle name="Normal 86 2 4 5" xfId="17273"/>
    <cellStyle name="Normal 86 3" xfId="3771"/>
    <cellStyle name="Normal 86 3 10" xfId="16302"/>
    <cellStyle name="Normal 86 3 2" xfId="3772"/>
    <cellStyle name="Normal 86 3 2 2" xfId="3773"/>
    <cellStyle name="Normal 86 3 2 2 2" xfId="3774"/>
    <cellStyle name="Normal 86 3 2 2 2 2" xfId="5832"/>
    <cellStyle name="Normal 86 3 2 2 2 2 2" xfId="7942"/>
    <cellStyle name="Normal 86 3 2 2 2 2 2 2" xfId="11643"/>
    <cellStyle name="Normal 86 3 2 2 2 2 2 2 2" xfId="22765"/>
    <cellStyle name="Normal 86 3 2 2 2 2 2 3" xfId="15342"/>
    <cellStyle name="Normal 86 3 2 2 2 2 2 3 2" xfId="26459"/>
    <cellStyle name="Normal 86 3 2 2 2 2 2 4" xfId="19071"/>
    <cellStyle name="Normal 86 3 2 2 2 2 3" xfId="9796"/>
    <cellStyle name="Normal 86 3 2 2 2 2 3 2" xfId="20918"/>
    <cellStyle name="Normal 86 3 2 2 2 2 4" xfId="13495"/>
    <cellStyle name="Normal 86 3 2 2 2 2 4 2" xfId="24612"/>
    <cellStyle name="Normal 86 3 2 2 2 2 5" xfId="17224"/>
    <cellStyle name="Normal 86 3 2 2 2 3" xfId="7022"/>
    <cellStyle name="Normal 86 3 2 2 2 3 2" xfId="10724"/>
    <cellStyle name="Normal 86 3 2 2 2 3 2 2" xfId="21846"/>
    <cellStyle name="Normal 86 3 2 2 2 3 3" xfId="14423"/>
    <cellStyle name="Normal 86 3 2 2 2 3 3 2" xfId="25540"/>
    <cellStyle name="Normal 86 3 2 2 2 3 4" xfId="18152"/>
    <cellStyle name="Normal 86 3 2 2 2 4" xfId="8876"/>
    <cellStyle name="Normal 86 3 2 2 2 4 2" xfId="19999"/>
    <cellStyle name="Normal 86 3 2 2 2 5" xfId="12576"/>
    <cellStyle name="Normal 86 3 2 2 2 5 2" xfId="23693"/>
    <cellStyle name="Normal 86 3 2 2 2 6" xfId="16305"/>
    <cellStyle name="Normal 86 3 2 2 3" xfId="5831"/>
    <cellStyle name="Normal 86 3 2 2 3 2" xfId="7941"/>
    <cellStyle name="Normal 86 3 2 2 3 2 2" xfId="11642"/>
    <cellStyle name="Normal 86 3 2 2 3 2 2 2" xfId="22764"/>
    <cellStyle name="Normal 86 3 2 2 3 2 3" xfId="15341"/>
    <cellStyle name="Normal 86 3 2 2 3 2 3 2" xfId="26458"/>
    <cellStyle name="Normal 86 3 2 2 3 2 4" xfId="19070"/>
    <cellStyle name="Normal 86 3 2 2 3 3" xfId="9795"/>
    <cellStyle name="Normal 86 3 2 2 3 3 2" xfId="20917"/>
    <cellStyle name="Normal 86 3 2 2 3 4" xfId="13494"/>
    <cellStyle name="Normal 86 3 2 2 3 4 2" xfId="24611"/>
    <cellStyle name="Normal 86 3 2 2 3 5" xfId="17223"/>
    <cellStyle name="Normal 86 3 2 2 4" xfId="7021"/>
    <cellStyle name="Normal 86 3 2 2 4 2" xfId="10723"/>
    <cellStyle name="Normal 86 3 2 2 4 2 2" xfId="21845"/>
    <cellStyle name="Normal 86 3 2 2 4 3" xfId="14422"/>
    <cellStyle name="Normal 86 3 2 2 4 3 2" xfId="25539"/>
    <cellStyle name="Normal 86 3 2 2 4 4" xfId="18151"/>
    <cellStyle name="Normal 86 3 2 2 5" xfId="8875"/>
    <cellStyle name="Normal 86 3 2 2 5 2" xfId="19998"/>
    <cellStyle name="Normal 86 3 2 2 6" xfId="12575"/>
    <cellStyle name="Normal 86 3 2 2 6 2" xfId="23692"/>
    <cellStyle name="Normal 86 3 2 2 7" xfId="16304"/>
    <cellStyle name="Normal 86 3 2 3" xfId="3775"/>
    <cellStyle name="Normal 86 3 2 3 2" xfId="5833"/>
    <cellStyle name="Normal 86 3 2 3 2 2" xfId="7943"/>
    <cellStyle name="Normal 86 3 2 3 2 2 2" xfId="11644"/>
    <cellStyle name="Normal 86 3 2 3 2 2 2 2" xfId="22766"/>
    <cellStyle name="Normal 86 3 2 3 2 2 3" xfId="15343"/>
    <cellStyle name="Normal 86 3 2 3 2 2 3 2" xfId="26460"/>
    <cellStyle name="Normal 86 3 2 3 2 2 4" xfId="19072"/>
    <cellStyle name="Normal 86 3 2 3 2 3" xfId="9797"/>
    <cellStyle name="Normal 86 3 2 3 2 3 2" xfId="20919"/>
    <cellStyle name="Normal 86 3 2 3 2 4" xfId="13496"/>
    <cellStyle name="Normal 86 3 2 3 2 4 2" xfId="24613"/>
    <cellStyle name="Normal 86 3 2 3 2 5" xfId="17225"/>
    <cellStyle name="Normal 86 3 2 3 3" xfId="7023"/>
    <cellStyle name="Normal 86 3 2 3 3 2" xfId="10725"/>
    <cellStyle name="Normal 86 3 2 3 3 2 2" xfId="21847"/>
    <cellStyle name="Normal 86 3 2 3 3 3" xfId="14424"/>
    <cellStyle name="Normal 86 3 2 3 3 3 2" xfId="25541"/>
    <cellStyle name="Normal 86 3 2 3 3 4" xfId="18153"/>
    <cellStyle name="Normal 86 3 2 3 4" xfId="8877"/>
    <cellStyle name="Normal 86 3 2 3 4 2" xfId="20000"/>
    <cellStyle name="Normal 86 3 2 3 5" xfId="12577"/>
    <cellStyle name="Normal 86 3 2 3 5 2" xfId="23694"/>
    <cellStyle name="Normal 86 3 2 3 6" xfId="16306"/>
    <cellStyle name="Normal 86 3 2 4" xfId="5830"/>
    <cellStyle name="Normal 86 3 2 4 2" xfId="7940"/>
    <cellStyle name="Normal 86 3 2 4 2 2" xfId="11641"/>
    <cellStyle name="Normal 86 3 2 4 2 2 2" xfId="22763"/>
    <cellStyle name="Normal 86 3 2 4 2 3" xfId="15340"/>
    <cellStyle name="Normal 86 3 2 4 2 3 2" xfId="26457"/>
    <cellStyle name="Normal 86 3 2 4 2 4" xfId="19069"/>
    <cellStyle name="Normal 86 3 2 4 3" xfId="9794"/>
    <cellStyle name="Normal 86 3 2 4 3 2" xfId="20916"/>
    <cellStyle name="Normal 86 3 2 4 4" xfId="13493"/>
    <cellStyle name="Normal 86 3 2 4 4 2" xfId="24610"/>
    <cellStyle name="Normal 86 3 2 4 5" xfId="17222"/>
    <cellStyle name="Normal 86 3 2 5" xfId="7020"/>
    <cellStyle name="Normal 86 3 2 5 2" xfId="10722"/>
    <cellStyle name="Normal 86 3 2 5 2 2" xfId="21844"/>
    <cellStyle name="Normal 86 3 2 5 3" xfId="14421"/>
    <cellStyle name="Normal 86 3 2 5 3 2" xfId="25538"/>
    <cellStyle name="Normal 86 3 2 5 4" xfId="18150"/>
    <cellStyle name="Normal 86 3 2 6" xfId="8874"/>
    <cellStyle name="Normal 86 3 2 6 2" xfId="19997"/>
    <cellStyle name="Normal 86 3 2 7" xfId="12574"/>
    <cellStyle name="Normal 86 3 2 7 2" xfId="23691"/>
    <cellStyle name="Normal 86 3 2 8" xfId="16303"/>
    <cellStyle name="Normal 86 3 3" xfId="3776"/>
    <cellStyle name="Normal 86 3 3 2" xfId="3777"/>
    <cellStyle name="Normal 86 3 3 2 2" xfId="5835"/>
    <cellStyle name="Normal 86 3 3 2 2 2" xfId="7945"/>
    <cellStyle name="Normal 86 3 3 2 2 2 2" xfId="11646"/>
    <cellStyle name="Normal 86 3 3 2 2 2 2 2" xfId="22768"/>
    <cellStyle name="Normal 86 3 3 2 2 2 3" xfId="15345"/>
    <cellStyle name="Normal 86 3 3 2 2 2 3 2" xfId="26462"/>
    <cellStyle name="Normal 86 3 3 2 2 2 4" xfId="19074"/>
    <cellStyle name="Normal 86 3 3 2 2 3" xfId="9799"/>
    <cellStyle name="Normal 86 3 3 2 2 3 2" xfId="20921"/>
    <cellStyle name="Normal 86 3 3 2 2 4" xfId="13498"/>
    <cellStyle name="Normal 86 3 3 2 2 4 2" xfId="24615"/>
    <cellStyle name="Normal 86 3 3 2 2 5" xfId="17227"/>
    <cellStyle name="Normal 86 3 3 2 3" xfId="7025"/>
    <cellStyle name="Normal 86 3 3 2 3 2" xfId="10727"/>
    <cellStyle name="Normal 86 3 3 2 3 2 2" xfId="21849"/>
    <cellStyle name="Normal 86 3 3 2 3 3" xfId="14426"/>
    <cellStyle name="Normal 86 3 3 2 3 3 2" xfId="25543"/>
    <cellStyle name="Normal 86 3 3 2 3 4" xfId="18155"/>
    <cellStyle name="Normal 86 3 3 2 4" xfId="8879"/>
    <cellStyle name="Normal 86 3 3 2 4 2" xfId="20002"/>
    <cellStyle name="Normal 86 3 3 2 5" xfId="12579"/>
    <cellStyle name="Normal 86 3 3 2 5 2" xfId="23696"/>
    <cellStyle name="Normal 86 3 3 2 6" xfId="16308"/>
    <cellStyle name="Normal 86 3 3 3" xfId="5834"/>
    <cellStyle name="Normal 86 3 3 3 2" xfId="7944"/>
    <cellStyle name="Normal 86 3 3 3 2 2" xfId="11645"/>
    <cellStyle name="Normal 86 3 3 3 2 2 2" xfId="22767"/>
    <cellStyle name="Normal 86 3 3 3 2 3" xfId="15344"/>
    <cellStyle name="Normal 86 3 3 3 2 3 2" xfId="26461"/>
    <cellStyle name="Normal 86 3 3 3 2 4" xfId="19073"/>
    <cellStyle name="Normal 86 3 3 3 3" xfId="9798"/>
    <cellStyle name="Normal 86 3 3 3 3 2" xfId="20920"/>
    <cellStyle name="Normal 86 3 3 3 4" xfId="13497"/>
    <cellStyle name="Normal 86 3 3 3 4 2" xfId="24614"/>
    <cellStyle name="Normal 86 3 3 3 5" xfId="17226"/>
    <cellStyle name="Normal 86 3 3 4" xfId="7024"/>
    <cellStyle name="Normal 86 3 3 4 2" xfId="10726"/>
    <cellStyle name="Normal 86 3 3 4 2 2" xfId="21848"/>
    <cellStyle name="Normal 86 3 3 4 3" xfId="14425"/>
    <cellStyle name="Normal 86 3 3 4 3 2" xfId="25542"/>
    <cellStyle name="Normal 86 3 3 4 4" xfId="18154"/>
    <cellStyle name="Normal 86 3 3 5" xfId="8878"/>
    <cellStyle name="Normal 86 3 3 5 2" xfId="20001"/>
    <cellStyle name="Normal 86 3 3 6" xfId="12578"/>
    <cellStyle name="Normal 86 3 3 6 2" xfId="23695"/>
    <cellStyle name="Normal 86 3 3 7" xfId="16307"/>
    <cellStyle name="Normal 86 3 4" xfId="3778"/>
    <cellStyle name="Normal 86 3 4 2" xfId="5836"/>
    <cellStyle name="Normal 86 3 4 2 2" xfId="7946"/>
    <cellStyle name="Normal 86 3 4 2 2 2" xfId="11647"/>
    <cellStyle name="Normal 86 3 4 2 2 2 2" xfId="22769"/>
    <cellStyle name="Normal 86 3 4 2 2 3" xfId="15346"/>
    <cellStyle name="Normal 86 3 4 2 2 3 2" xfId="26463"/>
    <cellStyle name="Normal 86 3 4 2 2 4" xfId="19075"/>
    <cellStyle name="Normal 86 3 4 2 3" xfId="9800"/>
    <cellStyle name="Normal 86 3 4 2 3 2" xfId="20922"/>
    <cellStyle name="Normal 86 3 4 2 4" xfId="13499"/>
    <cellStyle name="Normal 86 3 4 2 4 2" xfId="24616"/>
    <cellStyle name="Normal 86 3 4 2 5" xfId="17228"/>
    <cellStyle name="Normal 86 3 4 3" xfId="7026"/>
    <cellStyle name="Normal 86 3 4 3 2" xfId="10728"/>
    <cellStyle name="Normal 86 3 4 3 2 2" xfId="21850"/>
    <cellStyle name="Normal 86 3 4 3 3" xfId="14427"/>
    <cellStyle name="Normal 86 3 4 3 3 2" xfId="25544"/>
    <cellStyle name="Normal 86 3 4 3 4" xfId="18156"/>
    <cellStyle name="Normal 86 3 4 4" xfId="8880"/>
    <cellStyle name="Normal 86 3 4 4 2" xfId="20003"/>
    <cellStyle name="Normal 86 3 4 5" xfId="12580"/>
    <cellStyle name="Normal 86 3 4 5 2" xfId="23697"/>
    <cellStyle name="Normal 86 3 4 6" xfId="16309"/>
    <cellStyle name="Normal 86 3 5" xfId="5829"/>
    <cellStyle name="Normal 86 3 5 2" xfId="7939"/>
    <cellStyle name="Normal 86 3 5 2 2" xfId="11640"/>
    <cellStyle name="Normal 86 3 5 2 2 2" xfId="22762"/>
    <cellStyle name="Normal 86 3 5 2 3" xfId="15339"/>
    <cellStyle name="Normal 86 3 5 2 3 2" xfId="26456"/>
    <cellStyle name="Normal 86 3 5 2 4" xfId="19068"/>
    <cellStyle name="Normal 86 3 5 3" xfId="9793"/>
    <cellStyle name="Normal 86 3 5 3 2" xfId="20915"/>
    <cellStyle name="Normal 86 3 5 4" xfId="13492"/>
    <cellStyle name="Normal 86 3 5 4 2" xfId="24609"/>
    <cellStyle name="Normal 86 3 5 5" xfId="17221"/>
    <cellStyle name="Normal 86 3 6" xfId="6143"/>
    <cellStyle name="Normal 86 3 6 2" xfId="7992"/>
    <cellStyle name="Normal 86 3 6 2 2" xfId="11693"/>
    <cellStyle name="Normal 86 3 6 2 2 2" xfId="22815"/>
    <cellStyle name="Normal 86 3 6 2 3" xfId="15392"/>
    <cellStyle name="Normal 86 3 6 2 3 2" xfId="26509"/>
    <cellStyle name="Normal 86 3 6 2 4" xfId="19121"/>
    <cellStyle name="Normal 86 3 6 3" xfId="9846"/>
    <cellStyle name="Normal 86 3 6 3 2" xfId="20968"/>
    <cellStyle name="Normal 86 3 6 4" xfId="13545"/>
    <cellStyle name="Normal 86 3 6 4 2" xfId="24662"/>
    <cellStyle name="Normal 86 3 6 5" xfId="17274"/>
    <cellStyle name="Normal 86 3 7" xfId="7019"/>
    <cellStyle name="Normal 86 3 7 2" xfId="10721"/>
    <cellStyle name="Normal 86 3 7 2 2" xfId="21843"/>
    <cellStyle name="Normal 86 3 7 3" xfId="14420"/>
    <cellStyle name="Normal 86 3 7 3 2" xfId="25537"/>
    <cellStyle name="Normal 86 3 7 4" xfId="18149"/>
    <cellStyle name="Normal 86 3 8" xfId="8873"/>
    <cellStyle name="Normal 86 3 8 2" xfId="19996"/>
    <cellStyle name="Normal 86 3 9" xfId="12573"/>
    <cellStyle name="Normal 86 3 9 2" xfId="23690"/>
    <cellStyle name="Normal 86 4" xfId="3779"/>
    <cellStyle name="Normal 86 4 2" xfId="3780"/>
    <cellStyle name="Normal 86 4 2 2" xfId="3781"/>
    <cellStyle name="Normal 86 4 2 2 2" xfId="5839"/>
    <cellStyle name="Normal 86 4 2 2 2 2" xfId="7949"/>
    <cellStyle name="Normal 86 4 2 2 2 2 2" xfId="11650"/>
    <cellStyle name="Normal 86 4 2 2 2 2 2 2" xfId="22772"/>
    <cellStyle name="Normal 86 4 2 2 2 2 3" xfId="15349"/>
    <cellStyle name="Normal 86 4 2 2 2 2 3 2" xfId="26466"/>
    <cellStyle name="Normal 86 4 2 2 2 2 4" xfId="19078"/>
    <cellStyle name="Normal 86 4 2 2 2 3" xfId="9803"/>
    <cellStyle name="Normal 86 4 2 2 2 3 2" xfId="20925"/>
    <cellStyle name="Normal 86 4 2 2 2 4" xfId="13502"/>
    <cellStyle name="Normal 86 4 2 2 2 4 2" xfId="24619"/>
    <cellStyle name="Normal 86 4 2 2 2 5" xfId="17231"/>
    <cellStyle name="Normal 86 4 2 2 3" xfId="7029"/>
    <cellStyle name="Normal 86 4 2 2 3 2" xfId="10731"/>
    <cellStyle name="Normal 86 4 2 2 3 2 2" xfId="21853"/>
    <cellStyle name="Normal 86 4 2 2 3 3" xfId="14430"/>
    <cellStyle name="Normal 86 4 2 2 3 3 2" xfId="25547"/>
    <cellStyle name="Normal 86 4 2 2 3 4" xfId="18159"/>
    <cellStyle name="Normal 86 4 2 2 4" xfId="8883"/>
    <cellStyle name="Normal 86 4 2 2 4 2" xfId="20006"/>
    <cellStyle name="Normal 86 4 2 2 5" xfId="12583"/>
    <cellStyle name="Normal 86 4 2 2 5 2" xfId="23700"/>
    <cellStyle name="Normal 86 4 2 2 6" xfId="16312"/>
    <cellStyle name="Normal 86 4 2 3" xfId="5838"/>
    <cellStyle name="Normal 86 4 2 3 2" xfId="7948"/>
    <cellStyle name="Normal 86 4 2 3 2 2" xfId="11649"/>
    <cellStyle name="Normal 86 4 2 3 2 2 2" xfId="22771"/>
    <cellStyle name="Normal 86 4 2 3 2 3" xfId="15348"/>
    <cellStyle name="Normal 86 4 2 3 2 3 2" xfId="26465"/>
    <cellStyle name="Normal 86 4 2 3 2 4" xfId="19077"/>
    <cellStyle name="Normal 86 4 2 3 3" xfId="9802"/>
    <cellStyle name="Normal 86 4 2 3 3 2" xfId="20924"/>
    <cellStyle name="Normal 86 4 2 3 4" xfId="13501"/>
    <cellStyle name="Normal 86 4 2 3 4 2" xfId="24618"/>
    <cellStyle name="Normal 86 4 2 3 5" xfId="17230"/>
    <cellStyle name="Normal 86 4 2 4" xfId="7028"/>
    <cellStyle name="Normal 86 4 2 4 2" xfId="10730"/>
    <cellStyle name="Normal 86 4 2 4 2 2" xfId="21852"/>
    <cellStyle name="Normal 86 4 2 4 3" xfId="14429"/>
    <cellStyle name="Normal 86 4 2 4 3 2" xfId="25546"/>
    <cellStyle name="Normal 86 4 2 4 4" xfId="18158"/>
    <cellStyle name="Normal 86 4 2 5" xfId="8882"/>
    <cellStyle name="Normal 86 4 2 5 2" xfId="20005"/>
    <cellStyle name="Normal 86 4 2 6" xfId="12582"/>
    <cellStyle name="Normal 86 4 2 6 2" xfId="23699"/>
    <cellStyle name="Normal 86 4 2 7" xfId="16311"/>
    <cellStyle name="Normal 86 4 3" xfId="3782"/>
    <cellStyle name="Normal 86 4 3 2" xfId="5840"/>
    <cellStyle name="Normal 86 4 3 2 2" xfId="7950"/>
    <cellStyle name="Normal 86 4 3 2 2 2" xfId="11651"/>
    <cellStyle name="Normal 86 4 3 2 2 2 2" xfId="22773"/>
    <cellStyle name="Normal 86 4 3 2 2 3" xfId="15350"/>
    <cellStyle name="Normal 86 4 3 2 2 3 2" xfId="26467"/>
    <cellStyle name="Normal 86 4 3 2 2 4" xfId="19079"/>
    <cellStyle name="Normal 86 4 3 2 3" xfId="9804"/>
    <cellStyle name="Normal 86 4 3 2 3 2" xfId="20926"/>
    <cellStyle name="Normal 86 4 3 2 4" xfId="13503"/>
    <cellStyle name="Normal 86 4 3 2 4 2" xfId="24620"/>
    <cellStyle name="Normal 86 4 3 2 5" xfId="17232"/>
    <cellStyle name="Normal 86 4 3 3" xfId="7030"/>
    <cellStyle name="Normal 86 4 3 3 2" xfId="10732"/>
    <cellStyle name="Normal 86 4 3 3 2 2" xfId="21854"/>
    <cellStyle name="Normal 86 4 3 3 3" xfId="14431"/>
    <cellStyle name="Normal 86 4 3 3 3 2" xfId="25548"/>
    <cellStyle name="Normal 86 4 3 3 4" xfId="18160"/>
    <cellStyle name="Normal 86 4 3 4" xfId="8884"/>
    <cellStyle name="Normal 86 4 3 4 2" xfId="20007"/>
    <cellStyle name="Normal 86 4 3 5" xfId="12584"/>
    <cellStyle name="Normal 86 4 3 5 2" xfId="23701"/>
    <cellStyle name="Normal 86 4 3 6" xfId="16313"/>
    <cellStyle name="Normal 86 4 4" xfId="5837"/>
    <cellStyle name="Normal 86 4 4 2" xfId="7947"/>
    <cellStyle name="Normal 86 4 4 2 2" xfId="11648"/>
    <cellStyle name="Normal 86 4 4 2 2 2" xfId="22770"/>
    <cellStyle name="Normal 86 4 4 2 3" xfId="15347"/>
    <cellStyle name="Normal 86 4 4 2 3 2" xfId="26464"/>
    <cellStyle name="Normal 86 4 4 2 4" xfId="19076"/>
    <cellStyle name="Normal 86 4 4 3" xfId="9801"/>
    <cellStyle name="Normal 86 4 4 3 2" xfId="20923"/>
    <cellStyle name="Normal 86 4 4 4" xfId="13500"/>
    <cellStyle name="Normal 86 4 4 4 2" xfId="24617"/>
    <cellStyle name="Normal 86 4 4 5" xfId="17229"/>
    <cellStyle name="Normal 86 4 5" xfId="6145"/>
    <cellStyle name="Normal 86 4 5 2" xfId="7994"/>
    <cellStyle name="Normal 86 4 5 2 2" xfId="11695"/>
    <cellStyle name="Normal 86 4 5 2 2 2" xfId="22817"/>
    <cellStyle name="Normal 86 4 5 2 3" xfId="15394"/>
    <cellStyle name="Normal 86 4 5 2 3 2" xfId="26511"/>
    <cellStyle name="Normal 86 4 5 2 4" xfId="19123"/>
    <cellStyle name="Normal 86 4 5 3" xfId="9848"/>
    <cellStyle name="Normal 86 4 5 3 2" xfId="20970"/>
    <cellStyle name="Normal 86 4 5 4" xfId="13547"/>
    <cellStyle name="Normal 86 4 5 4 2" xfId="24664"/>
    <cellStyle name="Normal 86 4 5 5" xfId="17276"/>
    <cellStyle name="Normal 86 4 6" xfId="7027"/>
    <cellStyle name="Normal 86 4 6 2" xfId="10729"/>
    <cellStyle name="Normal 86 4 6 2 2" xfId="21851"/>
    <cellStyle name="Normal 86 4 6 3" xfId="14428"/>
    <cellStyle name="Normal 86 4 6 3 2" xfId="25545"/>
    <cellStyle name="Normal 86 4 6 4" xfId="18157"/>
    <cellStyle name="Normal 86 4 7" xfId="8881"/>
    <cellStyle name="Normal 86 4 7 2" xfId="20004"/>
    <cellStyle name="Normal 86 4 8" xfId="12581"/>
    <cellStyle name="Normal 86 4 8 2" xfId="23698"/>
    <cellStyle name="Normal 86 4 9" xfId="16310"/>
    <cellStyle name="Normal 86 5" xfId="3783"/>
    <cellStyle name="Normal 86 5 2" xfId="3784"/>
    <cellStyle name="Normal 86 5 2 2" xfId="5842"/>
    <cellStyle name="Normal 86 5 2 2 2" xfId="7952"/>
    <cellStyle name="Normal 86 5 2 2 2 2" xfId="11653"/>
    <cellStyle name="Normal 86 5 2 2 2 2 2" xfId="22775"/>
    <cellStyle name="Normal 86 5 2 2 2 3" xfId="15352"/>
    <cellStyle name="Normal 86 5 2 2 2 3 2" xfId="26469"/>
    <cellStyle name="Normal 86 5 2 2 2 4" xfId="19081"/>
    <cellStyle name="Normal 86 5 2 2 3" xfId="9806"/>
    <cellStyle name="Normal 86 5 2 2 3 2" xfId="20928"/>
    <cellStyle name="Normal 86 5 2 2 4" xfId="13505"/>
    <cellStyle name="Normal 86 5 2 2 4 2" xfId="24622"/>
    <cellStyle name="Normal 86 5 2 2 5" xfId="17234"/>
    <cellStyle name="Normal 86 5 2 3" xfId="7032"/>
    <cellStyle name="Normal 86 5 2 3 2" xfId="10734"/>
    <cellStyle name="Normal 86 5 2 3 2 2" xfId="21856"/>
    <cellStyle name="Normal 86 5 2 3 3" xfId="14433"/>
    <cellStyle name="Normal 86 5 2 3 3 2" xfId="25550"/>
    <cellStyle name="Normal 86 5 2 3 4" xfId="18162"/>
    <cellStyle name="Normal 86 5 2 4" xfId="8886"/>
    <cellStyle name="Normal 86 5 2 4 2" xfId="20009"/>
    <cellStyle name="Normal 86 5 2 5" xfId="12586"/>
    <cellStyle name="Normal 86 5 2 5 2" xfId="23703"/>
    <cellStyle name="Normal 86 5 2 6" xfId="16315"/>
    <cellStyle name="Normal 86 5 3" xfId="5841"/>
    <cellStyle name="Normal 86 5 3 2" xfId="7951"/>
    <cellStyle name="Normal 86 5 3 2 2" xfId="11652"/>
    <cellStyle name="Normal 86 5 3 2 2 2" xfId="22774"/>
    <cellStyle name="Normal 86 5 3 2 3" xfId="15351"/>
    <cellStyle name="Normal 86 5 3 2 3 2" xfId="26468"/>
    <cellStyle name="Normal 86 5 3 2 4" xfId="19080"/>
    <cellStyle name="Normal 86 5 3 3" xfId="9805"/>
    <cellStyle name="Normal 86 5 3 3 2" xfId="20927"/>
    <cellStyle name="Normal 86 5 3 4" xfId="13504"/>
    <cellStyle name="Normal 86 5 3 4 2" xfId="24621"/>
    <cellStyle name="Normal 86 5 3 5" xfId="17233"/>
    <cellStyle name="Normal 86 5 4" xfId="7031"/>
    <cellStyle name="Normal 86 5 4 2" xfId="10733"/>
    <cellStyle name="Normal 86 5 4 2 2" xfId="21855"/>
    <cellStyle name="Normal 86 5 4 3" xfId="14432"/>
    <cellStyle name="Normal 86 5 4 3 2" xfId="25549"/>
    <cellStyle name="Normal 86 5 4 4" xfId="18161"/>
    <cellStyle name="Normal 86 5 5" xfId="8885"/>
    <cellStyle name="Normal 86 5 5 2" xfId="20008"/>
    <cellStyle name="Normal 86 5 6" xfId="12585"/>
    <cellStyle name="Normal 86 5 6 2" xfId="23702"/>
    <cellStyle name="Normal 86 5 7" xfId="16314"/>
    <cellStyle name="Normal 86 6" xfId="3785"/>
    <cellStyle name="Normal 86 6 2" xfId="5843"/>
    <cellStyle name="Normal 86 6 2 2" xfId="7953"/>
    <cellStyle name="Normal 86 6 2 2 2" xfId="11654"/>
    <cellStyle name="Normal 86 6 2 2 2 2" xfId="22776"/>
    <cellStyle name="Normal 86 6 2 2 3" xfId="15353"/>
    <cellStyle name="Normal 86 6 2 2 3 2" xfId="26470"/>
    <cellStyle name="Normal 86 6 2 2 4" xfId="19082"/>
    <cellStyle name="Normal 86 6 2 3" xfId="9807"/>
    <cellStyle name="Normal 86 6 2 3 2" xfId="20929"/>
    <cellStyle name="Normal 86 6 2 4" xfId="13506"/>
    <cellStyle name="Normal 86 6 2 4 2" xfId="24623"/>
    <cellStyle name="Normal 86 6 2 5" xfId="17235"/>
    <cellStyle name="Normal 86 6 3" xfId="7033"/>
    <cellStyle name="Normal 86 6 3 2" xfId="10735"/>
    <cellStyle name="Normal 86 6 3 2 2" xfId="21857"/>
    <cellStyle name="Normal 86 6 3 3" xfId="14434"/>
    <cellStyle name="Normal 86 6 3 3 2" xfId="25551"/>
    <cellStyle name="Normal 86 6 3 4" xfId="18163"/>
    <cellStyle name="Normal 86 6 4" xfId="8887"/>
    <cellStyle name="Normal 86 6 4 2" xfId="20010"/>
    <cellStyle name="Normal 86 6 5" xfId="12587"/>
    <cellStyle name="Normal 86 6 5 2" xfId="23704"/>
    <cellStyle name="Normal 86 6 6" xfId="16316"/>
    <cellStyle name="Normal 86 7" xfId="3786"/>
    <cellStyle name="Normal 86 7 2" xfId="5844"/>
    <cellStyle name="Normal 86 7 2 2" xfId="7954"/>
    <cellStyle name="Normal 86 7 2 2 2" xfId="11655"/>
    <cellStyle name="Normal 86 7 2 2 2 2" xfId="22777"/>
    <cellStyle name="Normal 86 7 2 2 3" xfId="15354"/>
    <cellStyle name="Normal 86 7 2 2 3 2" xfId="26471"/>
    <cellStyle name="Normal 86 7 2 2 4" xfId="19083"/>
    <cellStyle name="Normal 86 7 2 3" xfId="9808"/>
    <cellStyle name="Normal 86 7 2 3 2" xfId="20930"/>
    <cellStyle name="Normal 86 7 2 4" xfId="13507"/>
    <cellStyle name="Normal 86 7 2 4 2" xfId="24624"/>
    <cellStyle name="Normal 86 7 2 5" xfId="17236"/>
    <cellStyle name="Normal 86 7 3" xfId="7034"/>
    <cellStyle name="Normal 86 7 3 2" xfId="10736"/>
    <cellStyle name="Normal 86 7 3 2 2" xfId="21858"/>
    <cellStyle name="Normal 86 7 3 3" xfId="14435"/>
    <cellStyle name="Normal 86 7 3 3 2" xfId="25552"/>
    <cellStyle name="Normal 86 7 3 4" xfId="18164"/>
    <cellStyle name="Normal 86 7 4" xfId="8888"/>
    <cellStyle name="Normal 86 7 4 2" xfId="20011"/>
    <cellStyle name="Normal 86 7 5" xfId="12588"/>
    <cellStyle name="Normal 86 7 5 2" xfId="23705"/>
    <cellStyle name="Normal 86 7 6" xfId="16317"/>
    <cellStyle name="Normal 86 8" xfId="5973"/>
    <cellStyle name="Normal 86 8 2" xfId="7988"/>
    <cellStyle name="Normal 86 8 2 2" xfId="11689"/>
    <cellStyle name="Normal 86 8 2 2 2" xfId="22811"/>
    <cellStyle name="Normal 86 8 2 3" xfId="15388"/>
    <cellStyle name="Normal 86 8 2 3 2" xfId="26505"/>
    <cellStyle name="Normal 86 8 2 4" xfId="19117"/>
    <cellStyle name="Normal 86 8 3" xfId="9842"/>
    <cellStyle name="Normal 86 8 3 2" xfId="20964"/>
    <cellStyle name="Normal 86 8 4" xfId="13541"/>
    <cellStyle name="Normal 86 8 4 2" xfId="24658"/>
    <cellStyle name="Normal 86 8 5" xfId="17270"/>
    <cellStyle name="Normal 87" xfId="734"/>
    <cellStyle name="Normal 87 2" xfId="6121"/>
    <cellStyle name="Normal 88" xfId="741"/>
    <cellStyle name="Normal 88 2" xfId="3788"/>
    <cellStyle name="Normal 88 3" xfId="3787"/>
    <cellStyle name="Normal 89" xfId="742"/>
    <cellStyle name="Normal 89 10" xfId="11702"/>
    <cellStyle name="Normal 89 10 2" xfId="22819"/>
    <cellStyle name="Normal 89 11" xfId="15431"/>
    <cellStyle name="Normal 89 2" xfId="1555"/>
    <cellStyle name="Normal 89 2 10" xfId="15482"/>
    <cellStyle name="Normal 89 2 2" xfId="1671"/>
    <cellStyle name="Normal 89 2 2 2" xfId="2132"/>
    <cellStyle name="Normal 89 2 2 2 2" xfId="5232"/>
    <cellStyle name="Normal 89 2 2 2 2 2" xfId="7583"/>
    <cellStyle name="Normal 89 2 2 2 2 2 2" xfId="11284"/>
    <cellStyle name="Normal 89 2 2 2 2 2 2 2" xfId="22406"/>
    <cellStyle name="Normal 89 2 2 2 2 2 3" xfId="14983"/>
    <cellStyle name="Normal 89 2 2 2 2 2 3 2" xfId="26100"/>
    <cellStyle name="Normal 89 2 2 2 2 2 4" xfId="18712"/>
    <cellStyle name="Normal 89 2 2 2 2 3" xfId="9437"/>
    <cellStyle name="Normal 89 2 2 2 2 3 2" xfId="20559"/>
    <cellStyle name="Normal 89 2 2 2 2 4" xfId="13136"/>
    <cellStyle name="Normal 89 2 2 2 2 4 2" xfId="24253"/>
    <cellStyle name="Normal 89 2 2 2 2 5" xfId="16865"/>
    <cellStyle name="Normal 89 2 2 2 3" xfId="6664"/>
    <cellStyle name="Normal 89 2 2 2 3 2" xfId="10366"/>
    <cellStyle name="Normal 89 2 2 2 3 2 2" xfId="21488"/>
    <cellStyle name="Normal 89 2 2 2 3 3" xfId="14065"/>
    <cellStyle name="Normal 89 2 2 2 3 3 2" xfId="25182"/>
    <cellStyle name="Normal 89 2 2 2 3 4" xfId="17794"/>
    <cellStyle name="Normal 89 2 2 2 4" xfId="8518"/>
    <cellStyle name="Normal 89 2 2 2 4 2" xfId="19641"/>
    <cellStyle name="Normal 89 2 2 2 5" xfId="12218"/>
    <cellStyle name="Normal 89 2 2 2 5 2" xfId="23335"/>
    <cellStyle name="Normal 89 2 2 2 6" xfId="15947"/>
    <cellStyle name="Normal 89 2 2 3" xfId="1882"/>
    <cellStyle name="Normal 89 2 2 3 2" xfId="5079"/>
    <cellStyle name="Normal 89 2 2 3 2 2" xfId="7430"/>
    <cellStyle name="Normal 89 2 2 3 2 2 2" xfId="11131"/>
    <cellStyle name="Normal 89 2 2 3 2 2 2 2" xfId="22253"/>
    <cellStyle name="Normal 89 2 2 3 2 2 3" xfId="14830"/>
    <cellStyle name="Normal 89 2 2 3 2 2 3 2" xfId="25947"/>
    <cellStyle name="Normal 89 2 2 3 2 2 4" xfId="18559"/>
    <cellStyle name="Normal 89 2 2 3 2 3" xfId="9284"/>
    <cellStyle name="Normal 89 2 2 3 2 3 2" xfId="20406"/>
    <cellStyle name="Normal 89 2 2 3 2 4" xfId="12983"/>
    <cellStyle name="Normal 89 2 2 3 2 4 2" xfId="24100"/>
    <cellStyle name="Normal 89 2 2 3 2 5" xfId="16712"/>
    <cellStyle name="Normal 89 2 2 3 3" xfId="6511"/>
    <cellStyle name="Normal 89 2 2 3 3 2" xfId="10213"/>
    <cellStyle name="Normal 89 2 2 3 3 2 2" xfId="21335"/>
    <cellStyle name="Normal 89 2 2 3 3 3" xfId="13912"/>
    <cellStyle name="Normal 89 2 2 3 3 3 2" xfId="25029"/>
    <cellStyle name="Normal 89 2 2 3 3 4" xfId="17641"/>
    <cellStyle name="Normal 89 2 2 3 4" xfId="8365"/>
    <cellStyle name="Normal 89 2 2 3 4 2" xfId="19488"/>
    <cellStyle name="Normal 89 2 2 3 5" xfId="12065"/>
    <cellStyle name="Normal 89 2 2 3 5 2" xfId="23182"/>
    <cellStyle name="Normal 89 2 2 3 6" xfId="15794"/>
    <cellStyle name="Normal 89 2 2 4" xfId="4871"/>
    <cellStyle name="Normal 89 2 2 4 2" xfId="7222"/>
    <cellStyle name="Normal 89 2 2 4 2 2" xfId="10923"/>
    <cellStyle name="Normal 89 2 2 4 2 2 2" xfId="22045"/>
    <cellStyle name="Normal 89 2 2 4 2 3" xfId="14622"/>
    <cellStyle name="Normal 89 2 2 4 2 3 2" xfId="25739"/>
    <cellStyle name="Normal 89 2 2 4 2 4" xfId="18351"/>
    <cellStyle name="Normal 89 2 2 4 3" xfId="9076"/>
    <cellStyle name="Normal 89 2 2 4 3 2" xfId="20198"/>
    <cellStyle name="Normal 89 2 2 4 4" xfId="12775"/>
    <cellStyle name="Normal 89 2 2 4 4 2" xfId="23892"/>
    <cellStyle name="Normal 89 2 2 4 5" xfId="16504"/>
    <cellStyle name="Normal 89 2 2 5" xfId="6303"/>
    <cellStyle name="Normal 89 2 2 5 2" xfId="10005"/>
    <cellStyle name="Normal 89 2 2 5 2 2" xfId="21127"/>
    <cellStyle name="Normal 89 2 2 5 3" xfId="13704"/>
    <cellStyle name="Normal 89 2 2 5 3 2" xfId="24821"/>
    <cellStyle name="Normal 89 2 2 5 4" xfId="17433"/>
    <cellStyle name="Normal 89 2 2 6" xfId="8157"/>
    <cellStyle name="Normal 89 2 2 6 2" xfId="19280"/>
    <cellStyle name="Normal 89 2 2 7" xfId="11857"/>
    <cellStyle name="Normal 89 2 2 7 2" xfId="22974"/>
    <cellStyle name="Normal 89 2 2 8" xfId="15586"/>
    <cellStyle name="Normal 89 2 3" xfId="2131"/>
    <cellStyle name="Normal 89 2 3 2" xfId="5231"/>
    <cellStyle name="Normal 89 2 3 2 2" xfId="7582"/>
    <cellStyle name="Normal 89 2 3 2 2 2" xfId="11283"/>
    <cellStyle name="Normal 89 2 3 2 2 2 2" xfId="22405"/>
    <cellStyle name="Normal 89 2 3 2 2 3" xfId="14982"/>
    <cellStyle name="Normal 89 2 3 2 2 3 2" xfId="26099"/>
    <cellStyle name="Normal 89 2 3 2 2 4" xfId="18711"/>
    <cellStyle name="Normal 89 2 3 2 3" xfId="9436"/>
    <cellStyle name="Normal 89 2 3 2 3 2" xfId="20558"/>
    <cellStyle name="Normal 89 2 3 2 4" xfId="13135"/>
    <cellStyle name="Normal 89 2 3 2 4 2" xfId="24252"/>
    <cellStyle name="Normal 89 2 3 2 5" xfId="16864"/>
    <cellStyle name="Normal 89 2 3 3" xfId="6663"/>
    <cellStyle name="Normal 89 2 3 3 2" xfId="10365"/>
    <cellStyle name="Normal 89 2 3 3 2 2" xfId="21487"/>
    <cellStyle name="Normal 89 2 3 3 3" xfId="14064"/>
    <cellStyle name="Normal 89 2 3 3 3 2" xfId="25181"/>
    <cellStyle name="Normal 89 2 3 3 4" xfId="17793"/>
    <cellStyle name="Normal 89 2 3 4" xfId="8517"/>
    <cellStyle name="Normal 89 2 3 4 2" xfId="19640"/>
    <cellStyle name="Normal 89 2 3 5" xfId="12217"/>
    <cellStyle name="Normal 89 2 3 5 2" xfId="23334"/>
    <cellStyle name="Normal 89 2 3 6" xfId="15946"/>
    <cellStyle name="Normal 89 2 4" xfId="1778"/>
    <cellStyle name="Normal 89 2 4 2" xfId="4975"/>
    <cellStyle name="Normal 89 2 4 2 2" xfId="7326"/>
    <cellStyle name="Normal 89 2 4 2 2 2" xfId="11027"/>
    <cellStyle name="Normal 89 2 4 2 2 2 2" xfId="22149"/>
    <cellStyle name="Normal 89 2 4 2 2 3" xfId="14726"/>
    <cellStyle name="Normal 89 2 4 2 2 3 2" xfId="25843"/>
    <cellStyle name="Normal 89 2 4 2 2 4" xfId="18455"/>
    <cellStyle name="Normal 89 2 4 2 3" xfId="9180"/>
    <cellStyle name="Normal 89 2 4 2 3 2" xfId="20302"/>
    <cellStyle name="Normal 89 2 4 2 4" xfId="12879"/>
    <cellStyle name="Normal 89 2 4 2 4 2" xfId="23996"/>
    <cellStyle name="Normal 89 2 4 2 5" xfId="16608"/>
    <cellStyle name="Normal 89 2 4 3" xfId="6407"/>
    <cellStyle name="Normal 89 2 4 3 2" xfId="10109"/>
    <cellStyle name="Normal 89 2 4 3 2 2" xfId="21231"/>
    <cellStyle name="Normal 89 2 4 3 3" xfId="13808"/>
    <cellStyle name="Normal 89 2 4 3 3 2" xfId="24925"/>
    <cellStyle name="Normal 89 2 4 3 4" xfId="17537"/>
    <cellStyle name="Normal 89 2 4 4" xfId="8261"/>
    <cellStyle name="Normal 89 2 4 4 2" xfId="19384"/>
    <cellStyle name="Normal 89 2 4 5" xfId="11961"/>
    <cellStyle name="Normal 89 2 4 5 2" xfId="23078"/>
    <cellStyle name="Normal 89 2 4 6" xfId="15690"/>
    <cellStyle name="Normal 89 2 5" xfId="3790"/>
    <cellStyle name="Normal 89 2 6" xfId="4767"/>
    <cellStyle name="Normal 89 2 6 2" xfId="7118"/>
    <cellStyle name="Normal 89 2 6 2 2" xfId="10819"/>
    <cellStyle name="Normal 89 2 6 2 2 2" xfId="21941"/>
    <cellStyle name="Normal 89 2 6 2 3" xfId="14518"/>
    <cellStyle name="Normal 89 2 6 2 3 2" xfId="25635"/>
    <cellStyle name="Normal 89 2 6 2 4" xfId="18247"/>
    <cellStyle name="Normal 89 2 6 3" xfId="8972"/>
    <cellStyle name="Normal 89 2 6 3 2" xfId="20094"/>
    <cellStyle name="Normal 89 2 6 4" xfId="12671"/>
    <cellStyle name="Normal 89 2 6 4 2" xfId="23788"/>
    <cellStyle name="Normal 89 2 6 5" xfId="16400"/>
    <cellStyle name="Normal 89 2 7" xfId="6199"/>
    <cellStyle name="Normal 89 2 7 2" xfId="9901"/>
    <cellStyle name="Normal 89 2 7 2 2" xfId="21023"/>
    <cellStyle name="Normal 89 2 7 3" xfId="13600"/>
    <cellStyle name="Normal 89 2 7 3 2" xfId="24717"/>
    <cellStyle name="Normal 89 2 7 4" xfId="17329"/>
    <cellStyle name="Normal 89 2 8" xfId="8053"/>
    <cellStyle name="Normal 89 2 8 2" xfId="19176"/>
    <cellStyle name="Normal 89 2 9" xfId="11753"/>
    <cellStyle name="Normal 89 2 9 2" xfId="22870"/>
    <cellStyle name="Normal 89 3" xfId="1617"/>
    <cellStyle name="Normal 89 3 2" xfId="2133"/>
    <cellStyle name="Normal 89 3 2 2" xfId="5233"/>
    <cellStyle name="Normal 89 3 2 2 2" xfId="7584"/>
    <cellStyle name="Normal 89 3 2 2 2 2" xfId="11285"/>
    <cellStyle name="Normal 89 3 2 2 2 2 2" xfId="22407"/>
    <cellStyle name="Normal 89 3 2 2 2 3" xfId="14984"/>
    <cellStyle name="Normal 89 3 2 2 2 3 2" xfId="26101"/>
    <cellStyle name="Normal 89 3 2 2 2 4" xfId="18713"/>
    <cellStyle name="Normal 89 3 2 2 3" xfId="9438"/>
    <cellStyle name="Normal 89 3 2 2 3 2" xfId="20560"/>
    <cellStyle name="Normal 89 3 2 2 4" xfId="13137"/>
    <cellStyle name="Normal 89 3 2 2 4 2" xfId="24254"/>
    <cellStyle name="Normal 89 3 2 2 5" xfId="16866"/>
    <cellStyle name="Normal 89 3 2 3" xfId="6665"/>
    <cellStyle name="Normal 89 3 2 3 2" xfId="10367"/>
    <cellStyle name="Normal 89 3 2 3 2 2" xfId="21489"/>
    <cellStyle name="Normal 89 3 2 3 3" xfId="14066"/>
    <cellStyle name="Normal 89 3 2 3 3 2" xfId="25183"/>
    <cellStyle name="Normal 89 3 2 3 4" xfId="17795"/>
    <cellStyle name="Normal 89 3 2 4" xfId="8519"/>
    <cellStyle name="Normal 89 3 2 4 2" xfId="19642"/>
    <cellStyle name="Normal 89 3 2 5" xfId="12219"/>
    <cellStyle name="Normal 89 3 2 5 2" xfId="23336"/>
    <cellStyle name="Normal 89 3 2 6" xfId="15948"/>
    <cellStyle name="Normal 89 3 3" xfId="1830"/>
    <cellStyle name="Normal 89 3 3 2" xfId="5027"/>
    <cellStyle name="Normal 89 3 3 2 2" xfId="7378"/>
    <cellStyle name="Normal 89 3 3 2 2 2" xfId="11079"/>
    <cellStyle name="Normal 89 3 3 2 2 2 2" xfId="22201"/>
    <cellStyle name="Normal 89 3 3 2 2 3" xfId="14778"/>
    <cellStyle name="Normal 89 3 3 2 2 3 2" xfId="25895"/>
    <cellStyle name="Normal 89 3 3 2 2 4" xfId="18507"/>
    <cellStyle name="Normal 89 3 3 2 3" xfId="9232"/>
    <cellStyle name="Normal 89 3 3 2 3 2" xfId="20354"/>
    <cellStyle name="Normal 89 3 3 2 4" xfId="12931"/>
    <cellStyle name="Normal 89 3 3 2 4 2" xfId="24048"/>
    <cellStyle name="Normal 89 3 3 2 5" xfId="16660"/>
    <cellStyle name="Normal 89 3 3 3" xfId="6459"/>
    <cellStyle name="Normal 89 3 3 3 2" xfId="10161"/>
    <cellStyle name="Normal 89 3 3 3 2 2" xfId="21283"/>
    <cellStyle name="Normal 89 3 3 3 3" xfId="13860"/>
    <cellStyle name="Normal 89 3 3 3 3 2" xfId="24977"/>
    <cellStyle name="Normal 89 3 3 3 4" xfId="17589"/>
    <cellStyle name="Normal 89 3 3 4" xfId="8313"/>
    <cellStyle name="Normal 89 3 3 4 2" xfId="19436"/>
    <cellStyle name="Normal 89 3 3 5" xfId="12013"/>
    <cellStyle name="Normal 89 3 3 5 2" xfId="23130"/>
    <cellStyle name="Normal 89 3 3 6" xfId="15742"/>
    <cellStyle name="Normal 89 3 4" xfId="4819"/>
    <cellStyle name="Normal 89 3 4 2" xfId="7170"/>
    <cellStyle name="Normal 89 3 4 2 2" xfId="10871"/>
    <cellStyle name="Normal 89 3 4 2 2 2" xfId="21993"/>
    <cellStyle name="Normal 89 3 4 2 3" xfId="14570"/>
    <cellStyle name="Normal 89 3 4 2 3 2" xfId="25687"/>
    <cellStyle name="Normal 89 3 4 2 4" xfId="18299"/>
    <cellStyle name="Normal 89 3 4 3" xfId="9024"/>
    <cellStyle name="Normal 89 3 4 3 2" xfId="20146"/>
    <cellStyle name="Normal 89 3 4 4" xfId="12723"/>
    <cellStyle name="Normal 89 3 4 4 2" xfId="23840"/>
    <cellStyle name="Normal 89 3 4 5" xfId="16452"/>
    <cellStyle name="Normal 89 3 5" xfId="6251"/>
    <cellStyle name="Normal 89 3 5 2" xfId="9953"/>
    <cellStyle name="Normal 89 3 5 2 2" xfId="21075"/>
    <cellStyle name="Normal 89 3 5 3" xfId="13652"/>
    <cellStyle name="Normal 89 3 5 3 2" xfId="24769"/>
    <cellStyle name="Normal 89 3 5 4" xfId="17381"/>
    <cellStyle name="Normal 89 3 6" xfId="8105"/>
    <cellStyle name="Normal 89 3 6 2" xfId="19228"/>
    <cellStyle name="Normal 89 3 7" xfId="11805"/>
    <cellStyle name="Normal 89 3 7 2" xfId="22922"/>
    <cellStyle name="Normal 89 3 8" xfId="15534"/>
    <cellStyle name="Normal 89 4" xfId="2130"/>
    <cellStyle name="Normal 89 4 2" xfId="5230"/>
    <cellStyle name="Normal 89 4 2 2" xfId="7581"/>
    <cellStyle name="Normal 89 4 2 2 2" xfId="11282"/>
    <cellStyle name="Normal 89 4 2 2 2 2" xfId="22404"/>
    <cellStyle name="Normal 89 4 2 2 3" xfId="14981"/>
    <cellStyle name="Normal 89 4 2 2 3 2" xfId="26098"/>
    <cellStyle name="Normal 89 4 2 2 4" xfId="18710"/>
    <cellStyle name="Normal 89 4 2 3" xfId="9435"/>
    <cellStyle name="Normal 89 4 2 3 2" xfId="20557"/>
    <cellStyle name="Normal 89 4 2 4" xfId="13134"/>
    <cellStyle name="Normal 89 4 2 4 2" xfId="24251"/>
    <cellStyle name="Normal 89 4 2 5" xfId="16863"/>
    <cellStyle name="Normal 89 4 3" xfId="6662"/>
    <cellStyle name="Normal 89 4 3 2" xfId="10364"/>
    <cellStyle name="Normal 89 4 3 2 2" xfId="21486"/>
    <cellStyle name="Normal 89 4 3 3" xfId="14063"/>
    <cellStyle name="Normal 89 4 3 3 2" xfId="25180"/>
    <cellStyle name="Normal 89 4 3 4" xfId="17792"/>
    <cellStyle name="Normal 89 4 4" xfId="8516"/>
    <cellStyle name="Normal 89 4 4 2" xfId="19639"/>
    <cellStyle name="Normal 89 4 5" xfId="12216"/>
    <cellStyle name="Normal 89 4 5 2" xfId="23333"/>
    <cellStyle name="Normal 89 4 6" xfId="15945"/>
    <cellStyle name="Normal 89 5" xfId="1727"/>
    <cellStyle name="Normal 89 5 2" xfId="4924"/>
    <cellStyle name="Normal 89 5 2 2" xfId="7275"/>
    <cellStyle name="Normal 89 5 2 2 2" xfId="10976"/>
    <cellStyle name="Normal 89 5 2 2 2 2" xfId="22098"/>
    <cellStyle name="Normal 89 5 2 2 3" xfId="14675"/>
    <cellStyle name="Normal 89 5 2 2 3 2" xfId="25792"/>
    <cellStyle name="Normal 89 5 2 2 4" xfId="18404"/>
    <cellStyle name="Normal 89 5 2 3" xfId="9129"/>
    <cellStyle name="Normal 89 5 2 3 2" xfId="20251"/>
    <cellStyle name="Normal 89 5 2 4" xfId="12828"/>
    <cellStyle name="Normal 89 5 2 4 2" xfId="23945"/>
    <cellStyle name="Normal 89 5 2 5" xfId="16557"/>
    <cellStyle name="Normal 89 5 3" xfId="6356"/>
    <cellStyle name="Normal 89 5 3 2" xfId="10058"/>
    <cellStyle name="Normal 89 5 3 2 2" xfId="21180"/>
    <cellStyle name="Normal 89 5 3 3" xfId="13757"/>
    <cellStyle name="Normal 89 5 3 3 2" xfId="24874"/>
    <cellStyle name="Normal 89 5 3 4" xfId="17486"/>
    <cellStyle name="Normal 89 5 4" xfId="8210"/>
    <cellStyle name="Normal 89 5 4 2" xfId="19333"/>
    <cellStyle name="Normal 89 5 5" xfId="11910"/>
    <cellStyle name="Normal 89 5 5 2" xfId="23027"/>
    <cellStyle name="Normal 89 5 6" xfId="15639"/>
    <cellStyle name="Normal 89 6" xfId="3789"/>
    <cellStyle name="Normal 89 7" xfId="4715"/>
    <cellStyle name="Normal 89 7 2" xfId="7067"/>
    <cellStyle name="Normal 89 7 2 2" xfId="10768"/>
    <cellStyle name="Normal 89 7 2 2 2" xfId="21890"/>
    <cellStyle name="Normal 89 7 2 3" xfId="14467"/>
    <cellStyle name="Normal 89 7 2 3 2" xfId="25584"/>
    <cellStyle name="Normal 89 7 2 4" xfId="18196"/>
    <cellStyle name="Normal 89 7 3" xfId="8921"/>
    <cellStyle name="Normal 89 7 3 2" xfId="20043"/>
    <cellStyle name="Normal 89 7 4" xfId="12620"/>
    <cellStyle name="Normal 89 7 4 2" xfId="23737"/>
    <cellStyle name="Normal 89 7 5" xfId="16349"/>
    <cellStyle name="Normal 89 8" xfId="6148"/>
    <cellStyle name="Normal 89 8 2" xfId="9850"/>
    <cellStyle name="Normal 89 8 2 2" xfId="20972"/>
    <cellStyle name="Normal 89 8 3" xfId="13549"/>
    <cellStyle name="Normal 89 8 3 2" xfId="24666"/>
    <cellStyle name="Normal 89 8 4" xfId="17278"/>
    <cellStyle name="Normal 89 9" xfId="8001"/>
    <cellStyle name="Normal 89 9 2" xfId="19125"/>
    <cellStyle name="Normal 9" xfId="458"/>
    <cellStyle name="Normal 9 2" xfId="459"/>
    <cellStyle name="Normal 9 2 2" xfId="3791"/>
    <cellStyle name="Normal 9 3" xfId="821"/>
    <cellStyle name="Normal 9 3 2" xfId="3793"/>
    <cellStyle name="Normal 9 3 3" xfId="3794"/>
    <cellStyle name="Normal 9 3 4" xfId="3795"/>
    <cellStyle name="Normal 9 3 5" xfId="3792"/>
    <cellStyle name="Normal 9 4" xfId="3796"/>
    <cellStyle name="Normal 9 4 2" xfId="3797"/>
    <cellStyle name="Normal 90" xfId="798"/>
    <cellStyle name="Normal 90 10" xfId="11724"/>
    <cellStyle name="Normal 90 10 2" xfId="22841"/>
    <cellStyle name="Normal 90 11" xfId="15453"/>
    <cellStyle name="Normal 90 2" xfId="1577"/>
    <cellStyle name="Normal 90 2 10" xfId="15504"/>
    <cellStyle name="Normal 90 2 2" xfId="1696"/>
    <cellStyle name="Normal 90 2 2 2" xfId="2136"/>
    <cellStyle name="Normal 90 2 2 2 2" xfId="5236"/>
    <cellStyle name="Normal 90 2 2 2 2 2" xfId="7587"/>
    <cellStyle name="Normal 90 2 2 2 2 2 2" xfId="11288"/>
    <cellStyle name="Normal 90 2 2 2 2 2 2 2" xfId="22410"/>
    <cellStyle name="Normal 90 2 2 2 2 2 3" xfId="14987"/>
    <cellStyle name="Normal 90 2 2 2 2 2 3 2" xfId="26104"/>
    <cellStyle name="Normal 90 2 2 2 2 2 4" xfId="18716"/>
    <cellStyle name="Normal 90 2 2 2 2 3" xfId="9441"/>
    <cellStyle name="Normal 90 2 2 2 2 3 2" xfId="20563"/>
    <cellStyle name="Normal 90 2 2 2 2 4" xfId="13140"/>
    <cellStyle name="Normal 90 2 2 2 2 4 2" xfId="24257"/>
    <cellStyle name="Normal 90 2 2 2 2 5" xfId="16869"/>
    <cellStyle name="Normal 90 2 2 2 3" xfId="6668"/>
    <cellStyle name="Normal 90 2 2 2 3 2" xfId="10370"/>
    <cellStyle name="Normal 90 2 2 2 3 2 2" xfId="21492"/>
    <cellStyle name="Normal 90 2 2 2 3 3" xfId="14069"/>
    <cellStyle name="Normal 90 2 2 2 3 3 2" xfId="25186"/>
    <cellStyle name="Normal 90 2 2 2 3 4" xfId="17798"/>
    <cellStyle name="Normal 90 2 2 2 4" xfId="8522"/>
    <cellStyle name="Normal 90 2 2 2 4 2" xfId="19645"/>
    <cellStyle name="Normal 90 2 2 2 5" xfId="12222"/>
    <cellStyle name="Normal 90 2 2 2 5 2" xfId="23339"/>
    <cellStyle name="Normal 90 2 2 2 6" xfId="15951"/>
    <cellStyle name="Normal 90 2 2 3" xfId="1906"/>
    <cellStyle name="Normal 90 2 2 3 2" xfId="5103"/>
    <cellStyle name="Normal 90 2 2 3 2 2" xfId="7454"/>
    <cellStyle name="Normal 90 2 2 3 2 2 2" xfId="11155"/>
    <cellStyle name="Normal 90 2 2 3 2 2 2 2" xfId="22277"/>
    <cellStyle name="Normal 90 2 2 3 2 2 3" xfId="14854"/>
    <cellStyle name="Normal 90 2 2 3 2 2 3 2" xfId="25971"/>
    <cellStyle name="Normal 90 2 2 3 2 2 4" xfId="18583"/>
    <cellStyle name="Normal 90 2 2 3 2 3" xfId="9308"/>
    <cellStyle name="Normal 90 2 2 3 2 3 2" xfId="20430"/>
    <cellStyle name="Normal 90 2 2 3 2 4" xfId="13007"/>
    <cellStyle name="Normal 90 2 2 3 2 4 2" xfId="24124"/>
    <cellStyle name="Normal 90 2 2 3 2 5" xfId="16736"/>
    <cellStyle name="Normal 90 2 2 3 3" xfId="6535"/>
    <cellStyle name="Normal 90 2 2 3 3 2" xfId="10237"/>
    <cellStyle name="Normal 90 2 2 3 3 2 2" xfId="21359"/>
    <cellStyle name="Normal 90 2 2 3 3 3" xfId="13936"/>
    <cellStyle name="Normal 90 2 2 3 3 3 2" xfId="25053"/>
    <cellStyle name="Normal 90 2 2 3 3 4" xfId="17665"/>
    <cellStyle name="Normal 90 2 2 3 4" xfId="8389"/>
    <cellStyle name="Normal 90 2 2 3 4 2" xfId="19512"/>
    <cellStyle name="Normal 90 2 2 3 5" xfId="12089"/>
    <cellStyle name="Normal 90 2 2 3 5 2" xfId="23206"/>
    <cellStyle name="Normal 90 2 2 3 6" xfId="15818"/>
    <cellStyle name="Normal 90 2 2 4" xfId="4895"/>
    <cellStyle name="Normal 90 2 2 4 2" xfId="7246"/>
    <cellStyle name="Normal 90 2 2 4 2 2" xfId="10947"/>
    <cellStyle name="Normal 90 2 2 4 2 2 2" xfId="22069"/>
    <cellStyle name="Normal 90 2 2 4 2 3" xfId="14646"/>
    <cellStyle name="Normal 90 2 2 4 2 3 2" xfId="25763"/>
    <cellStyle name="Normal 90 2 2 4 2 4" xfId="18375"/>
    <cellStyle name="Normal 90 2 2 4 3" xfId="9100"/>
    <cellStyle name="Normal 90 2 2 4 3 2" xfId="20222"/>
    <cellStyle name="Normal 90 2 2 4 4" xfId="12799"/>
    <cellStyle name="Normal 90 2 2 4 4 2" xfId="23916"/>
    <cellStyle name="Normal 90 2 2 4 5" xfId="16528"/>
    <cellStyle name="Normal 90 2 2 5" xfId="6327"/>
    <cellStyle name="Normal 90 2 2 5 2" xfId="10029"/>
    <cellStyle name="Normal 90 2 2 5 2 2" xfId="21151"/>
    <cellStyle name="Normal 90 2 2 5 3" xfId="13728"/>
    <cellStyle name="Normal 90 2 2 5 3 2" xfId="24845"/>
    <cellStyle name="Normal 90 2 2 5 4" xfId="17457"/>
    <cellStyle name="Normal 90 2 2 6" xfId="8181"/>
    <cellStyle name="Normal 90 2 2 6 2" xfId="19304"/>
    <cellStyle name="Normal 90 2 2 7" xfId="11881"/>
    <cellStyle name="Normal 90 2 2 7 2" xfId="22998"/>
    <cellStyle name="Normal 90 2 2 8" xfId="15610"/>
    <cellStyle name="Normal 90 2 3" xfId="2135"/>
    <cellStyle name="Normal 90 2 3 2" xfId="5235"/>
    <cellStyle name="Normal 90 2 3 2 2" xfId="7586"/>
    <cellStyle name="Normal 90 2 3 2 2 2" xfId="11287"/>
    <cellStyle name="Normal 90 2 3 2 2 2 2" xfId="22409"/>
    <cellStyle name="Normal 90 2 3 2 2 3" xfId="14986"/>
    <cellStyle name="Normal 90 2 3 2 2 3 2" xfId="26103"/>
    <cellStyle name="Normal 90 2 3 2 2 4" xfId="18715"/>
    <cellStyle name="Normal 90 2 3 2 3" xfId="9440"/>
    <cellStyle name="Normal 90 2 3 2 3 2" xfId="20562"/>
    <cellStyle name="Normal 90 2 3 2 4" xfId="13139"/>
    <cellStyle name="Normal 90 2 3 2 4 2" xfId="24256"/>
    <cellStyle name="Normal 90 2 3 2 5" xfId="16868"/>
    <cellStyle name="Normal 90 2 3 3" xfId="6667"/>
    <cellStyle name="Normal 90 2 3 3 2" xfId="10369"/>
    <cellStyle name="Normal 90 2 3 3 2 2" xfId="21491"/>
    <cellStyle name="Normal 90 2 3 3 3" xfId="14068"/>
    <cellStyle name="Normal 90 2 3 3 3 2" xfId="25185"/>
    <cellStyle name="Normal 90 2 3 3 4" xfId="17797"/>
    <cellStyle name="Normal 90 2 3 4" xfId="8521"/>
    <cellStyle name="Normal 90 2 3 4 2" xfId="19644"/>
    <cellStyle name="Normal 90 2 3 5" xfId="12221"/>
    <cellStyle name="Normal 90 2 3 5 2" xfId="23338"/>
    <cellStyle name="Normal 90 2 3 6" xfId="15950"/>
    <cellStyle name="Normal 90 2 4" xfId="1800"/>
    <cellStyle name="Normal 90 2 4 2" xfId="4997"/>
    <cellStyle name="Normal 90 2 4 2 2" xfId="7348"/>
    <cellStyle name="Normal 90 2 4 2 2 2" xfId="11049"/>
    <cellStyle name="Normal 90 2 4 2 2 2 2" xfId="22171"/>
    <cellStyle name="Normal 90 2 4 2 2 3" xfId="14748"/>
    <cellStyle name="Normal 90 2 4 2 2 3 2" xfId="25865"/>
    <cellStyle name="Normal 90 2 4 2 2 4" xfId="18477"/>
    <cellStyle name="Normal 90 2 4 2 3" xfId="9202"/>
    <cellStyle name="Normal 90 2 4 2 3 2" xfId="20324"/>
    <cellStyle name="Normal 90 2 4 2 4" xfId="12901"/>
    <cellStyle name="Normal 90 2 4 2 4 2" xfId="24018"/>
    <cellStyle name="Normal 90 2 4 2 5" xfId="16630"/>
    <cellStyle name="Normal 90 2 4 3" xfId="6429"/>
    <cellStyle name="Normal 90 2 4 3 2" xfId="10131"/>
    <cellStyle name="Normal 90 2 4 3 2 2" xfId="21253"/>
    <cellStyle name="Normal 90 2 4 3 3" xfId="13830"/>
    <cellStyle name="Normal 90 2 4 3 3 2" xfId="24947"/>
    <cellStyle name="Normal 90 2 4 3 4" xfId="17559"/>
    <cellStyle name="Normal 90 2 4 4" xfId="8283"/>
    <cellStyle name="Normal 90 2 4 4 2" xfId="19406"/>
    <cellStyle name="Normal 90 2 4 5" xfId="11983"/>
    <cellStyle name="Normal 90 2 4 5 2" xfId="23100"/>
    <cellStyle name="Normal 90 2 4 6" xfId="15712"/>
    <cellStyle name="Normal 90 2 5" xfId="3799"/>
    <cellStyle name="Normal 90 2 6" xfId="4789"/>
    <cellStyle name="Normal 90 2 6 2" xfId="7140"/>
    <cellStyle name="Normal 90 2 6 2 2" xfId="10841"/>
    <cellStyle name="Normal 90 2 6 2 2 2" xfId="21963"/>
    <cellStyle name="Normal 90 2 6 2 3" xfId="14540"/>
    <cellStyle name="Normal 90 2 6 2 3 2" xfId="25657"/>
    <cellStyle name="Normal 90 2 6 2 4" xfId="18269"/>
    <cellStyle name="Normal 90 2 6 3" xfId="8994"/>
    <cellStyle name="Normal 90 2 6 3 2" xfId="20116"/>
    <cellStyle name="Normal 90 2 6 4" xfId="12693"/>
    <cellStyle name="Normal 90 2 6 4 2" xfId="23810"/>
    <cellStyle name="Normal 90 2 6 5" xfId="16422"/>
    <cellStyle name="Normal 90 2 7" xfId="6221"/>
    <cellStyle name="Normal 90 2 7 2" xfId="9923"/>
    <cellStyle name="Normal 90 2 7 2 2" xfId="21045"/>
    <cellStyle name="Normal 90 2 7 3" xfId="13622"/>
    <cellStyle name="Normal 90 2 7 3 2" xfId="24739"/>
    <cellStyle name="Normal 90 2 7 4" xfId="17351"/>
    <cellStyle name="Normal 90 2 8" xfId="8075"/>
    <cellStyle name="Normal 90 2 8 2" xfId="19198"/>
    <cellStyle name="Normal 90 2 9" xfId="11775"/>
    <cellStyle name="Normal 90 2 9 2" xfId="22892"/>
    <cellStyle name="Normal 90 3" xfId="1640"/>
    <cellStyle name="Normal 90 3 2" xfId="2137"/>
    <cellStyle name="Normal 90 3 2 2" xfId="5237"/>
    <cellStyle name="Normal 90 3 2 2 2" xfId="7588"/>
    <cellStyle name="Normal 90 3 2 2 2 2" xfId="11289"/>
    <cellStyle name="Normal 90 3 2 2 2 2 2" xfId="22411"/>
    <cellStyle name="Normal 90 3 2 2 2 3" xfId="14988"/>
    <cellStyle name="Normal 90 3 2 2 2 3 2" xfId="26105"/>
    <cellStyle name="Normal 90 3 2 2 2 4" xfId="18717"/>
    <cellStyle name="Normal 90 3 2 2 3" xfId="9442"/>
    <cellStyle name="Normal 90 3 2 2 3 2" xfId="20564"/>
    <cellStyle name="Normal 90 3 2 2 4" xfId="13141"/>
    <cellStyle name="Normal 90 3 2 2 4 2" xfId="24258"/>
    <cellStyle name="Normal 90 3 2 2 5" xfId="16870"/>
    <cellStyle name="Normal 90 3 2 3" xfId="6669"/>
    <cellStyle name="Normal 90 3 2 3 2" xfId="10371"/>
    <cellStyle name="Normal 90 3 2 3 2 2" xfId="21493"/>
    <cellStyle name="Normal 90 3 2 3 3" xfId="14070"/>
    <cellStyle name="Normal 90 3 2 3 3 2" xfId="25187"/>
    <cellStyle name="Normal 90 3 2 3 4" xfId="17799"/>
    <cellStyle name="Normal 90 3 2 4" xfId="8523"/>
    <cellStyle name="Normal 90 3 2 4 2" xfId="19646"/>
    <cellStyle name="Normal 90 3 2 5" xfId="12223"/>
    <cellStyle name="Normal 90 3 2 5 2" xfId="23340"/>
    <cellStyle name="Normal 90 3 2 6" xfId="15952"/>
    <cellStyle name="Normal 90 3 3" xfId="1853"/>
    <cellStyle name="Normal 90 3 3 2" xfId="5050"/>
    <cellStyle name="Normal 90 3 3 2 2" xfId="7401"/>
    <cellStyle name="Normal 90 3 3 2 2 2" xfId="11102"/>
    <cellStyle name="Normal 90 3 3 2 2 2 2" xfId="22224"/>
    <cellStyle name="Normal 90 3 3 2 2 3" xfId="14801"/>
    <cellStyle name="Normal 90 3 3 2 2 3 2" xfId="25918"/>
    <cellStyle name="Normal 90 3 3 2 2 4" xfId="18530"/>
    <cellStyle name="Normal 90 3 3 2 3" xfId="9255"/>
    <cellStyle name="Normal 90 3 3 2 3 2" xfId="20377"/>
    <cellStyle name="Normal 90 3 3 2 4" xfId="12954"/>
    <cellStyle name="Normal 90 3 3 2 4 2" xfId="24071"/>
    <cellStyle name="Normal 90 3 3 2 5" xfId="16683"/>
    <cellStyle name="Normal 90 3 3 3" xfId="6482"/>
    <cellStyle name="Normal 90 3 3 3 2" xfId="10184"/>
    <cellStyle name="Normal 90 3 3 3 2 2" xfId="21306"/>
    <cellStyle name="Normal 90 3 3 3 3" xfId="13883"/>
    <cellStyle name="Normal 90 3 3 3 3 2" xfId="25000"/>
    <cellStyle name="Normal 90 3 3 3 4" xfId="17612"/>
    <cellStyle name="Normal 90 3 3 4" xfId="8336"/>
    <cellStyle name="Normal 90 3 3 4 2" xfId="19459"/>
    <cellStyle name="Normal 90 3 3 5" xfId="12036"/>
    <cellStyle name="Normal 90 3 3 5 2" xfId="23153"/>
    <cellStyle name="Normal 90 3 3 6" xfId="15765"/>
    <cellStyle name="Normal 90 3 4" xfId="4842"/>
    <cellStyle name="Normal 90 3 4 2" xfId="7193"/>
    <cellStyle name="Normal 90 3 4 2 2" xfId="10894"/>
    <cellStyle name="Normal 90 3 4 2 2 2" xfId="22016"/>
    <cellStyle name="Normal 90 3 4 2 3" xfId="14593"/>
    <cellStyle name="Normal 90 3 4 2 3 2" xfId="25710"/>
    <cellStyle name="Normal 90 3 4 2 4" xfId="18322"/>
    <cellStyle name="Normal 90 3 4 3" xfId="9047"/>
    <cellStyle name="Normal 90 3 4 3 2" xfId="20169"/>
    <cellStyle name="Normal 90 3 4 4" xfId="12746"/>
    <cellStyle name="Normal 90 3 4 4 2" xfId="23863"/>
    <cellStyle name="Normal 90 3 4 5" xfId="16475"/>
    <cellStyle name="Normal 90 3 5" xfId="6274"/>
    <cellStyle name="Normal 90 3 5 2" xfId="9976"/>
    <cellStyle name="Normal 90 3 5 2 2" xfId="21098"/>
    <cellStyle name="Normal 90 3 5 3" xfId="13675"/>
    <cellStyle name="Normal 90 3 5 3 2" xfId="24792"/>
    <cellStyle name="Normal 90 3 5 4" xfId="17404"/>
    <cellStyle name="Normal 90 3 6" xfId="8128"/>
    <cellStyle name="Normal 90 3 6 2" xfId="19251"/>
    <cellStyle name="Normal 90 3 7" xfId="11828"/>
    <cellStyle name="Normal 90 3 7 2" xfId="22945"/>
    <cellStyle name="Normal 90 3 8" xfId="15557"/>
    <cellStyle name="Normal 90 4" xfId="2134"/>
    <cellStyle name="Normal 90 4 2" xfId="5234"/>
    <cellStyle name="Normal 90 4 2 2" xfId="7585"/>
    <cellStyle name="Normal 90 4 2 2 2" xfId="11286"/>
    <cellStyle name="Normal 90 4 2 2 2 2" xfId="22408"/>
    <cellStyle name="Normal 90 4 2 2 3" xfId="14985"/>
    <cellStyle name="Normal 90 4 2 2 3 2" xfId="26102"/>
    <cellStyle name="Normal 90 4 2 2 4" xfId="18714"/>
    <cellStyle name="Normal 90 4 2 3" xfId="9439"/>
    <cellStyle name="Normal 90 4 2 3 2" xfId="20561"/>
    <cellStyle name="Normal 90 4 2 4" xfId="13138"/>
    <cellStyle name="Normal 90 4 2 4 2" xfId="24255"/>
    <cellStyle name="Normal 90 4 2 5" xfId="16867"/>
    <cellStyle name="Normal 90 4 3" xfId="6666"/>
    <cellStyle name="Normal 90 4 3 2" xfId="10368"/>
    <cellStyle name="Normal 90 4 3 2 2" xfId="21490"/>
    <cellStyle name="Normal 90 4 3 3" xfId="14067"/>
    <cellStyle name="Normal 90 4 3 3 2" xfId="25184"/>
    <cellStyle name="Normal 90 4 3 4" xfId="17796"/>
    <cellStyle name="Normal 90 4 4" xfId="8520"/>
    <cellStyle name="Normal 90 4 4 2" xfId="19643"/>
    <cellStyle name="Normal 90 4 5" xfId="12220"/>
    <cellStyle name="Normal 90 4 5 2" xfId="23337"/>
    <cellStyle name="Normal 90 4 6" xfId="15949"/>
    <cellStyle name="Normal 90 5" xfId="1749"/>
    <cellStyle name="Normal 90 5 2" xfId="4946"/>
    <cellStyle name="Normal 90 5 2 2" xfId="7297"/>
    <cellStyle name="Normal 90 5 2 2 2" xfId="10998"/>
    <cellStyle name="Normal 90 5 2 2 2 2" xfId="22120"/>
    <cellStyle name="Normal 90 5 2 2 3" xfId="14697"/>
    <cellStyle name="Normal 90 5 2 2 3 2" xfId="25814"/>
    <cellStyle name="Normal 90 5 2 2 4" xfId="18426"/>
    <cellStyle name="Normal 90 5 2 3" xfId="9151"/>
    <cellStyle name="Normal 90 5 2 3 2" xfId="20273"/>
    <cellStyle name="Normal 90 5 2 4" xfId="12850"/>
    <cellStyle name="Normal 90 5 2 4 2" xfId="23967"/>
    <cellStyle name="Normal 90 5 2 5" xfId="16579"/>
    <cellStyle name="Normal 90 5 3" xfId="6378"/>
    <cellStyle name="Normal 90 5 3 2" xfId="10080"/>
    <cellStyle name="Normal 90 5 3 2 2" xfId="21202"/>
    <cellStyle name="Normal 90 5 3 3" xfId="13779"/>
    <cellStyle name="Normal 90 5 3 3 2" xfId="24896"/>
    <cellStyle name="Normal 90 5 3 4" xfId="17508"/>
    <cellStyle name="Normal 90 5 4" xfId="8232"/>
    <cellStyle name="Normal 90 5 4 2" xfId="19355"/>
    <cellStyle name="Normal 90 5 5" xfId="11932"/>
    <cellStyle name="Normal 90 5 5 2" xfId="23049"/>
    <cellStyle name="Normal 90 5 6" xfId="15661"/>
    <cellStyle name="Normal 90 6" xfId="3798"/>
    <cellStyle name="Normal 90 7" xfId="4737"/>
    <cellStyle name="Normal 90 7 2" xfId="7089"/>
    <cellStyle name="Normal 90 7 2 2" xfId="10790"/>
    <cellStyle name="Normal 90 7 2 2 2" xfId="21912"/>
    <cellStyle name="Normal 90 7 2 3" xfId="14489"/>
    <cellStyle name="Normal 90 7 2 3 2" xfId="25606"/>
    <cellStyle name="Normal 90 7 2 4" xfId="18218"/>
    <cellStyle name="Normal 90 7 3" xfId="8943"/>
    <cellStyle name="Normal 90 7 3 2" xfId="20065"/>
    <cellStyle name="Normal 90 7 4" xfId="12642"/>
    <cellStyle name="Normal 90 7 4 2" xfId="23759"/>
    <cellStyle name="Normal 90 7 5" xfId="16371"/>
    <cellStyle name="Normal 90 8" xfId="6170"/>
    <cellStyle name="Normal 90 8 2" xfId="9872"/>
    <cellStyle name="Normal 90 8 2 2" xfId="20994"/>
    <cellStyle name="Normal 90 8 3" xfId="13571"/>
    <cellStyle name="Normal 90 8 3 2" xfId="24688"/>
    <cellStyle name="Normal 90 8 4" xfId="17300"/>
    <cellStyle name="Normal 90 9" xfId="8023"/>
    <cellStyle name="Normal 90 9 2" xfId="19147"/>
    <cellStyle name="Normal 91" xfId="847"/>
    <cellStyle name="Normal 91 10" xfId="8032"/>
    <cellStyle name="Normal 91 10 2" xfId="19156"/>
    <cellStyle name="Normal 91 11" xfId="11733"/>
    <cellStyle name="Normal 91 11 2" xfId="22850"/>
    <cellStyle name="Normal 91 12" xfId="15462"/>
    <cellStyle name="Normal 91 2" xfId="1586"/>
    <cellStyle name="Normal 91 2 10" xfId="15513"/>
    <cellStyle name="Normal 91 2 2" xfId="1705"/>
    <cellStyle name="Normal 91 2 2 2" xfId="2140"/>
    <cellStyle name="Normal 91 2 2 2 2" xfId="5240"/>
    <cellStyle name="Normal 91 2 2 2 2 2" xfId="7591"/>
    <cellStyle name="Normal 91 2 2 2 2 2 2" xfId="11292"/>
    <cellStyle name="Normal 91 2 2 2 2 2 2 2" xfId="22414"/>
    <cellStyle name="Normal 91 2 2 2 2 2 3" xfId="14991"/>
    <cellStyle name="Normal 91 2 2 2 2 2 3 2" xfId="26108"/>
    <cellStyle name="Normal 91 2 2 2 2 2 4" xfId="18720"/>
    <cellStyle name="Normal 91 2 2 2 2 3" xfId="9445"/>
    <cellStyle name="Normal 91 2 2 2 2 3 2" xfId="20567"/>
    <cellStyle name="Normal 91 2 2 2 2 4" xfId="13144"/>
    <cellStyle name="Normal 91 2 2 2 2 4 2" xfId="24261"/>
    <cellStyle name="Normal 91 2 2 2 2 5" xfId="16873"/>
    <cellStyle name="Normal 91 2 2 2 3" xfId="6672"/>
    <cellStyle name="Normal 91 2 2 2 3 2" xfId="10374"/>
    <cellStyle name="Normal 91 2 2 2 3 2 2" xfId="21496"/>
    <cellStyle name="Normal 91 2 2 2 3 3" xfId="14073"/>
    <cellStyle name="Normal 91 2 2 2 3 3 2" xfId="25190"/>
    <cellStyle name="Normal 91 2 2 2 3 4" xfId="17802"/>
    <cellStyle name="Normal 91 2 2 2 4" xfId="8526"/>
    <cellStyle name="Normal 91 2 2 2 4 2" xfId="19649"/>
    <cellStyle name="Normal 91 2 2 2 5" xfId="12226"/>
    <cellStyle name="Normal 91 2 2 2 5 2" xfId="23343"/>
    <cellStyle name="Normal 91 2 2 2 6" xfId="15955"/>
    <cellStyle name="Normal 91 2 2 3" xfId="1915"/>
    <cellStyle name="Normal 91 2 2 3 2" xfId="5112"/>
    <cellStyle name="Normal 91 2 2 3 2 2" xfId="7463"/>
    <cellStyle name="Normal 91 2 2 3 2 2 2" xfId="11164"/>
    <cellStyle name="Normal 91 2 2 3 2 2 2 2" xfId="22286"/>
    <cellStyle name="Normal 91 2 2 3 2 2 3" xfId="14863"/>
    <cellStyle name="Normal 91 2 2 3 2 2 3 2" xfId="25980"/>
    <cellStyle name="Normal 91 2 2 3 2 2 4" xfId="18592"/>
    <cellStyle name="Normal 91 2 2 3 2 3" xfId="9317"/>
    <cellStyle name="Normal 91 2 2 3 2 3 2" xfId="20439"/>
    <cellStyle name="Normal 91 2 2 3 2 4" xfId="13016"/>
    <cellStyle name="Normal 91 2 2 3 2 4 2" xfId="24133"/>
    <cellStyle name="Normal 91 2 2 3 2 5" xfId="16745"/>
    <cellStyle name="Normal 91 2 2 3 3" xfId="6544"/>
    <cellStyle name="Normal 91 2 2 3 3 2" xfId="10246"/>
    <cellStyle name="Normal 91 2 2 3 3 2 2" xfId="21368"/>
    <cellStyle name="Normal 91 2 2 3 3 3" xfId="13945"/>
    <cellStyle name="Normal 91 2 2 3 3 3 2" xfId="25062"/>
    <cellStyle name="Normal 91 2 2 3 3 4" xfId="17674"/>
    <cellStyle name="Normal 91 2 2 3 4" xfId="8398"/>
    <cellStyle name="Normal 91 2 2 3 4 2" xfId="19521"/>
    <cellStyle name="Normal 91 2 2 3 5" xfId="12098"/>
    <cellStyle name="Normal 91 2 2 3 5 2" xfId="23215"/>
    <cellStyle name="Normal 91 2 2 3 6" xfId="15827"/>
    <cellStyle name="Normal 91 2 2 4" xfId="4904"/>
    <cellStyle name="Normal 91 2 2 4 2" xfId="7255"/>
    <cellStyle name="Normal 91 2 2 4 2 2" xfId="10956"/>
    <cellStyle name="Normal 91 2 2 4 2 2 2" xfId="22078"/>
    <cellStyle name="Normal 91 2 2 4 2 3" xfId="14655"/>
    <cellStyle name="Normal 91 2 2 4 2 3 2" xfId="25772"/>
    <cellStyle name="Normal 91 2 2 4 2 4" xfId="18384"/>
    <cellStyle name="Normal 91 2 2 4 3" xfId="9109"/>
    <cellStyle name="Normal 91 2 2 4 3 2" xfId="20231"/>
    <cellStyle name="Normal 91 2 2 4 4" xfId="12808"/>
    <cellStyle name="Normal 91 2 2 4 4 2" xfId="23925"/>
    <cellStyle name="Normal 91 2 2 4 5" xfId="16537"/>
    <cellStyle name="Normal 91 2 2 5" xfId="6336"/>
    <cellStyle name="Normal 91 2 2 5 2" xfId="10038"/>
    <cellStyle name="Normal 91 2 2 5 2 2" xfId="21160"/>
    <cellStyle name="Normal 91 2 2 5 3" xfId="13737"/>
    <cellStyle name="Normal 91 2 2 5 3 2" xfId="24854"/>
    <cellStyle name="Normal 91 2 2 5 4" xfId="17466"/>
    <cellStyle name="Normal 91 2 2 6" xfId="8190"/>
    <cellStyle name="Normal 91 2 2 6 2" xfId="19313"/>
    <cellStyle name="Normal 91 2 2 7" xfId="11890"/>
    <cellStyle name="Normal 91 2 2 7 2" xfId="23007"/>
    <cellStyle name="Normal 91 2 2 8" xfId="15619"/>
    <cellStyle name="Normal 91 2 3" xfId="2139"/>
    <cellStyle name="Normal 91 2 3 2" xfId="5239"/>
    <cellStyle name="Normal 91 2 3 2 2" xfId="7590"/>
    <cellStyle name="Normal 91 2 3 2 2 2" xfId="11291"/>
    <cellStyle name="Normal 91 2 3 2 2 2 2" xfId="22413"/>
    <cellStyle name="Normal 91 2 3 2 2 3" xfId="14990"/>
    <cellStyle name="Normal 91 2 3 2 2 3 2" xfId="26107"/>
    <cellStyle name="Normal 91 2 3 2 2 4" xfId="18719"/>
    <cellStyle name="Normal 91 2 3 2 3" xfId="9444"/>
    <cellStyle name="Normal 91 2 3 2 3 2" xfId="20566"/>
    <cellStyle name="Normal 91 2 3 2 4" xfId="13143"/>
    <cellStyle name="Normal 91 2 3 2 4 2" xfId="24260"/>
    <cellStyle name="Normal 91 2 3 2 5" xfId="16872"/>
    <cellStyle name="Normal 91 2 3 3" xfId="6671"/>
    <cellStyle name="Normal 91 2 3 3 2" xfId="10373"/>
    <cellStyle name="Normal 91 2 3 3 2 2" xfId="21495"/>
    <cellStyle name="Normal 91 2 3 3 3" xfId="14072"/>
    <cellStyle name="Normal 91 2 3 3 3 2" xfId="25189"/>
    <cellStyle name="Normal 91 2 3 3 4" xfId="17801"/>
    <cellStyle name="Normal 91 2 3 4" xfId="8525"/>
    <cellStyle name="Normal 91 2 3 4 2" xfId="19648"/>
    <cellStyle name="Normal 91 2 3 5" xfId="12225"/>
    <cellStyle name="Normal 91 2 3 5 2" xfId="23342"/>
    <cellStyle name="Normal 91 2 3 6" xfId="15954"/>
    <cellStyle name="Normal 91 2 4" xfId="1809"/>
    <cellStyle name="Normal 91 2 4 2" xfId="5006"/>
    <cellStyle name="Normal 91 2 4 2 2" xfId="7357"/>
    <cellStyle name="Normal 91 2 4 2 2 2" xfId="11058"/>
    <cellStyle name="Normal 91 2 4 2 2 2 2" xfId="22180"/>
    <cellStyle name="Normal 91 2 4 2 2 3" xfId="14757"/>
    <cellStyle name="Normal 91 2 4 2 2 3 2" xfId="25874"/>
    <cellStyle name="Normal 91 2 4 2 2 4" xfId="18486"/>
    <cellStyle name="Normal 91 2 4 2 3" xfId="9211"/>
    <cellStyle name="Normal 91 2 4 2 3 2" xfId="20333"/>
    <cellStyle name="Normal 91 2 4 2 4" xfId="12910"/>
    <cellStyle name="Normal 91 2 4 2 4 2" xfId="24027"/>
    <cellStyle name="Normal 91 2 4 2 5" xfId="16639"/>
    <cellStyle name="Normal 91 2 4 3" xfId="6438"/>
    <cellStyle name="Normal 91 2 4 3 2" xfId="10140"/>
    <cellStyle name="Normal 91 2 4 3 2 2" xfId="21262"/>
    <cellStyle name="Normal 91 2 4 3 3" xfId="13839"/>
    <cellStyle name="Normal 91 2 4 3 3 2" xfId="24956"/>
    <cellStyle name="Normal 91 2 4 3 4" xfId="17568"/>
    <cellStyle name="Normal 91 2 4 4" xfId="8292"/>
    <cellStyle name="Normal 91 2 4 4 2" xfId="19415"/>
    <cellStyle name="Normal 91 2 4 5" xfId="11992"/>
    <cellStyle name="Normal 91 2 4 5 2" xfId="23109"/>
    <cellStyle name="Normal 91 2 4 6" xfId="15721"/>
    <cellStyle name="Normal 91 2 5" xfId="4798"/>
    <cellStyle name="Normal 91 2 5 2" xfId="7149"/>
    <cellStyle name="Normal 91 2 5 2 2" xfId="10850"/>
    <cellStyle name="Normal 91 2 5 2 2 2" xfId="21972"/>
    <cellStyle name="Normal 91 2 5 2 3" xfId="14549"/>
    <cellStyle name="Normal 91 2 5 2 3 2" xfId="25666"/>
    <cellStyle name="Normal 91 2 5 2 4" xfId="18278"/>
    <cellStyle name="Normal 91 2 5 3" xfId="9003"/>
    <cellStyle name="Normal 91 2 5 3 2" xfId="20125"/>
    <cellStyle name="Normal 91 2 5 4" xfId="12702"/>
    <cellStyle name="Normal 91 2 5 4 2" xfId="23819"/>
    <cellStyle name="Normal 91 2 5 5" xfId="16431"/>
    <cellStyle name="Normal 91 2 6" xfId="6136"/>
    <cellStyle name="Normal 91 2 7" xfId="6230"/>
    <cellStyle name="Normal 91 2 7 2" xfId="9932"/>
    <cellStyle name="Normal 91 2 7 2 2" xfId="21054"/>
    <cellStyle name="Normal 91 2 7 3" xfId="13631"/>
    <cellStyle name="Normal 91 2 7 3 2" xfId="24748"/>
    <cellStyle name="Normal 91 2 7 4" xfId="17360"/>
    <cellStyle name="Normal 91 2 8" xfId="8084"/>
    <cellStyle name="Normal 91 2 8 2" xfId="19207"/>
    <cellStyle name="Normal 91 2 9" xfId="11784"/>
    <cellStyle name="Normal 91 2 9 2" xfId="22901"/>
    <cellStyle name="Normal 91 3" xfId="1650"/>
    <cellStyle name="Normal 91 3 2" xfId="2141"/>
    <cellStyle name="Normal 91 3 2 2" xfId="5241"/>
    <cellStyle name="Normal 91 3 2 2 2" xfId="7592"/>
    <cellStyle name="Normal 91 3 2 2 2 2" xfId="11293"/>
    <cellStyle name="Normal 91 3 2 2 2 2 2" xfId="22415"/>
    <cellStyle name="Normal 91 3 2 2 2 3" xfId="14992"/>
    <cellStyle name="Normal 91 3 2 2 2 3 2" xfId="26109"/>
    <cellStyle name="Normal 91 3 2 2 2 4" xfId="18721"/>
    <cellStyle name="Normal 91 3 2 2 3" xfId="9446"/>
    <cellStyle name="Normal 91 3 2 2 3 2" xfId="20568"/>
    <cellStyle name="Normal 91 3 2 2 4" xfId="13145"/>
    <cellStyle name="Normal 91 3 2 2 4 2" xfId="24262"/>
    <cellStyle name="Normal 91 3 2 2 5" xfId="16874"/>
    <cellStyle name="Normal 91 3 2 3" xfId="6673"/>
    <cellStyle name="Normal 91 3 2 3 2" xfId="10375"/>
    <cellStyle name="Normal 91 3 2 3 2 2" xfId="21497"/>
    <cellStyle name="Normal 91 3 2 3 3" xfId="14074"/>
    <cellStyle name="Normal 91 3 2 3 3 2" xfId="25191"/>
    <cellStyle name="Normal 91 3 2 3 4" xfId="17803"/>
    <cellStyle name="Normal 91 3 2 4" xfId="8527"/>
    <cellStyle name="Normal 91 3 2 4 2" xfId="19650"/>
    <cellStyle name="Normal 91 3 2 5" xfId="12227"/>
    <cellStyle name="Normal 91 3 2 5 2" xfId="23344"/>
    <cellStyle name="Normal 91 3 2 6" xfId="15956"/>
    <cellStyle name="Normal 91 3 3" xfId="1862"/>
    <cellStyle name="Normal 91 3 3 2" xfId="5059"/>
    <cellStyle name="Normal 91 3 3 2 2" xfId="7410"/>
    <cellStyle name="Normal 91 3 3 2 2 2" xfId="11111"/>
    <cellStyle name="Normal 91 3 3 2 2 2 2" xfId="22233"/>
    <cellStyle name="Normal 91 3 3 2 2 3" xfId="14810"/>
    <cellStyle name="Normal 91 3 3 2 2 3 2" xfId="25927"/>
    <cellStyle name="Normal 91 3 3 2 2 4" xfId="18539"/>
    <cellStyle name="Normal 91 3 3 2 3" xfId="9264"/>
    <cellStyle name="Normal 91 3 3 2 3 2" xfId="20386"/>
    <cellStyle name="Normal 91 3 3 2 4" xfId="12963"/>
    <cellStyle name="Normal 91 3 3 2 4 2" xfId="24080"/>
    <cellStyle name="Normal 91 3 3 2 5" xfId="16692"/>
    <cellStyle name="Normal 91 3 3 3" xfId="6491"/>
    <cellStyle name="Normal 91 3 3 3 2" xfId="10193"/>
    <cellStyle name="Normal 91 3 3 3 2 2" xfId="21315"/>
    <cellStyle name="Normal 91 3 3 3 3" xfId="13892"/>
    <cellStyle name="Normal 91 3 3 3 3 2" xfId="25009"/>
    <cellStyle name="Normal 91 3 3 3 4" xfId="17621"/>
    <cellStyle name="Normal 91 3 3 4" xfId="8345"/>
    <cellStyle name="Normal 91 3 3 4 2" xfId="19468"/>
    <cellStyle name="Normal 91 3 3 5" xfId="12045"/>
    <cellStyle name="Normal 91 3 3 5 2" xfId="23162"/>
    <cellStyle name="Normal 91 3 3 6" xfId="15774"/>
    <cellStyle name="Normal 91 3 4" xfId="4851"/>
    <cellStyle name="Normal 91 3 4 2" xfId="7202"/>
    <cellStyle name="Normal 91 3 4 2 2" xfId="10903"/>
    <cellStyle name="Normal 91 3 4 2 2 2" xfId="22025"/>
    <cellStyle name="Normal 91 3 4 2 3" xfId="14602"/>
    <cellStyle name="Normal 91 3 4 2 3 2" xfId="25719"/>
    <cellStyle name="Normal 91 3 4 2 4" xfId="18331"/>
    <cellStyle name="Normal 91 3 4 3" xfId="9056"/>
    <cellStyle name="Normal 91 3 4 3 2" xfId="20178"/>
    <cellStyle name="Normal 91 3 4 4" xfId="12755"/>
    <cellStyle name="Normal 91 3 4 4 2" xfId="23872"/>
    <cellStyle name="Normal 91 3 4 5" xfId="16484"/>
    <cellStyle name="Normal 91 3 5" xfId="6283"/>
    <cellStyle name="Normal 91 3 5 2" xfId="9985"/>
    <cellStyle name="Normal 91 3 5 2 2" xfId="21107"/>
    <cellStyle name="Normal 91 3 5 3" xfId="13684"/>
    <cellStyle name="Normal 91 3 5 3 2" xfId="24801"/>
    <cellStyle name="Normal 91 3 5 4" xfId="17413"/>
    <cellStyle name="Normal 91 3 6" xfId="8137"/>
    <cellStyle name="Normal 91 3 6 2" xfId="19260"/>
    <cellStyle name="Normal 91 3 7" xfId="11837"/>
    <cellStyle name="Normal 91 3 7 2" xfId="22954"/>
    <cellStyle name="Normal 91 3 8" xfId="15566"/>
    <cellStyle name="Normal 91 4" xfId="2138"/>
    <cellStyle name="Normal 91 4 2" xfId="5238"/>
    <cellStyle name="Normal 91 4 2 2" xfId="7589"/>
    <cellStyle name="Normal 91 4 2 2 2" xfId="11290"/>
    <cellStyle name="Normal 91 4 2 2 2 2" xfId="22412"/>
    <cellStyle name="Normal 91 4 2 2 3" xfId="14989"/>
    <cellStyle name="Normal 91 4 2 2 3 2" xfId="26106"/>
    <cellStyle name="Normal 91 4 2 2 4" xfId="18718"/>
    <cellStyle name="Normal 91 4 2 3" xfId="9443"/>
    <cellStyle name="Normal 91 4 2 3 2" xfId="20565"/>
    <cellStyle name="Normal 91 4 2 4" xfId="13142"/>
    <cellStyle name="Normal 91 4 2 4 2" xfId="24259"/>
    <cellStyle name="Normal 91 4 2 5" xfId="16871"/>
    <cellStyle name="Normal 91 4 3" xfId="6670"/>
    <cellStyle name="Normal 91 4 3 2" xfId="10372"/>
    <cellStyle name="Normal 91 4 3 2 2" xfId="21494"/>
    <cellStyle name="Normal 91 4 3 3" xfId="14071"/>
    <cellStyle name="Normal 91 4 3 3 2" xfId="25188"/>
    <cellStyle name="Normal 91 4 3 4" xfId="17800"/>
    <cellStyle name="Normal 91 4 4" xfId="8524"/>
    <cellStyle name="Normal 91 4 4 2" xfId="19647"/>
    <cellStyle name="Normal 91 4 5" xfId="12224"/>
    <cellStyle name="Normal 91 4 5 2" xfId="23341"/>
    <cellStyle name="Normal 91 4 6" xfId="15953"/>
    <cellStyle name="Normal 91 5" xfId="1758"/>
    <cellStyle name="Normal 91 5 2" xfId="4955"/>
    <cellStyle name="Normal 91 5 2 2" xfId="7306"/>
    <cellStyle name="Normal 91 5 2 2 2" xfId="11007"/>
    <cellStyle name="Normal 91 5 2 2 2 2" xfId="22129"/>
    <cellStyle name="Normal 91 5 2 2 3" xfId="14706"/>
    <cellStyle name="Normal 91 5 2 2 3 2" xfId="25823"/>
    <cellStyle name="Normal 91 5 2 2 4" xfId="18435"/>
    <cellStyle name="Normal 91 5 2 3" xfId="9160"/>
    <cellStyle name="Normal 91 5 2 3 2" xfId="20282"/>
    <cellStyle name="Normal 91 5 2 4" xfId="12859"/>
    <cellStyle name="Normal 91 5 2 4 2" xfId="23976"/>
    <cellStyle name="Normal 91 5 2 5" xfId="16588"/>
    <cellStyle name="Normal 91 5 3" xfId="6387"/>
    <cellStyle name="Normal 91 5 3 2" xfId="10089"/>
    <cellStyle name="Normal 91 5 3 2 2" xfId="21211"/>
    <cellStyle name="Normal 91 5 3 3" xfId="13788"/>
    <cellStyle name="Normal 91 5 3 3 2" xfId="24905"/>
    <cellStyle name="Normal 91 5 3 4" xfId="17517"/>
    <cellStyle name="Normal 91 5 4" xfId="8241"/>
    <cellStyle name="Normal 91 5 4 2" xfId="19364"/>
    <cellStyle name="Normal 91 5 5" xfId="11941"/>
    <cellStyle name="Normal 91 5 5 2" xfId="23058"/>
    <cellStyle name="Normal 91 5 6" xfId="15670"/>
    <cellStyle name="Normal 91 6" xfId="3800"/>
    <cellStyle name="Normal 91 7" xfId="4746"/>
    <cellStyle name="Normal 91 7 2" xfId="7098"/>
    <cellStyle name="Normal 91 7 2 2" xfId="10799"/>
    <cellStyle name="Normal 91 7 2 2 2" xfId="21921"/>
    <cellStyle name="Normal 91 7 2 3" xfId="14498"/>
    <cellStyle name="Normal 91 7 2 3 2" xfId="25615"/>
    <cellStyle name="Normal 91 7 2 4" xfId="18227"/>
    <cellStyle name="Normal 91 7 3" xfId="8952"/>
    <cellStyle name="Normal 91 7 3 2" xfId="20074"/>
    <cellStyle name="Normal 91 7 4" xfId="12651"/>
    <cellStyle name="Normal 91 7 4 2" xfId="23768"/>
    <cellStyle name="Normal 91 7 5" xfId="16380"/>
    <cellStyle name="Normal 91 8" xfId="5569"/>
    <cellStyle name="Normal 91 9" xfId="6179"/>
    <cellStyle name="Normal 91 9 2" xfId="9881"/>
    <cellStyle name="Normal 91 9 2 2" xfId="21003"/>
    <cellStyle name="Normal 91 9 3" xfId="13580"/>
    <cellStyle name="Normal 91 9 3 2" xfId="24697"/>
    <cellStyle name="Normal 91 9 4" xfId="17309"/>
    <cellStyle name="Normal 92" xfId="796"/>
    <cellStyle name="Normal 92 10" xfId="8021"/>
    <cellStyle name="Normal 92 10 2" xfId="19145"/>
    <cellStyle name="Normal 92 11" xfId="11722"/>
    <cellStyle name="Normal 92 11 2" xfId="22839"/>
    <cellStyle name="Normal 92 12" xfId="15451"/>
    <cellStyle name="Normal 92 2" xfId="1575"/>
    <cellStyle name="Normal 92 2 10" xfId="15502"/>
    <cellStyle name="Normal 92 2 2" xfId="1694"/>
    <cellStyle name="Normal 92 2 2 2" xfId="2144"/>
    <cellStyle name="Normal 92 2 2 2 2" xfId="5244"/>
    <cellStyle name="Normal 92 2 2 2 2 2" xfId="7595"/>
    <cellStyle name="Normal 92 2 2 2 2 2 2" xfId="11296"/>
    <cellStyle name="Normal 92 2 2 2 2 2 2 2" xfId="22418"/>
    <cellStyle name="Normal 92 2 2 2 2 2 3" xfId="14995"/>
    <cellStyle name="Normal 92 2 2 2 2 2 3 2" xfId="26112"/>
    <cellStyle name="Normal 92 2 2 2 2 2 4" xfId="18724"/>
    <cellStyle name="Normal 92 2 2 2 2 3" xfId="9449"/>
    <cellStyle name="Normal 92 2 2 2 2 3 2" xfId="20571"/>
    <cellStyle name="Normal 92 2 2 2 2 4" xfId="13148"/>
    <cellStyle name="Normal 92 2 2 2 2 4 2" xfId="24265"/>
    <cellStyle name="Normal 92 2 2 2 2 5" xfId="16877"/>
    <cellStyle name="Normal 92 2 2 2 3" xfId="6676"/>
    <cellStyle name="Normal 92 2 2 2 3 2" xfId="10378"/>
    <cellStyle name="Normal 92 2 2 2 3 2 2" xfId="21500"/>
    <cellStyle name="Normal 92 2 2 2 3 3" xfId="14077"/>
    <cellStyle name="Normal 92 2 2 2 3 3 2" xfId="25194"/>
    <cellStyle name="Normal 92 2 2 2 3 4" xfId="17806"/>
    <cellStyle name="Normal 92 2 2 2 4" xfId="8530"/>
    <cellStyle name="Normal 92 2 2 2 4 2" xfId="19653"/>
    <cellStyle name="Normal 92 2 2 2 5" xfId="12230"/>
    <cellStyle name="Normal 92 2 2 2 5 2" xfId="23347"/>
    <cellStyle name="Normal 92 2 2 2 6" xfId="15959"/>
    <cellStyle name="Normal 92 2 2 3" xfId="1904"/>
    <cellStyle name="Normal 92 2 2 3 2" xfId="5101"/>
    <cellStyle name="Normal 92 2 2 3 2 2" xfId="7452"/>
    <cellStyle name="Normal 92 2 2 3 2 2 2" xfId="11153"/>
    <cellStyle name="Normal 92 2 2 3 2 2 2 2" xfId="22275"/>
    <cellStyle name="Normal 92 2 2 3 2 2 3" xfId="14852"/>
    <cellStyle name="Normal 92 2 2 3 2 2 3 2" xfId="25969"/>
    <cellStyle name="Normal 92 2 2 3 2 2 4" xfId="18581"/>
    <cellStyle name="Normal 92 2 2 3 2 3" xfId="9306"/>
    <cellStyle name="Normal 92 2 2 3 2 3 2" xfId="20428"/>
    <cellStyle name="Normal 92 2 2 3 2 4" xfId="13005"/>
    <cellStyle name="Normal 92 2 2 3 2 4 2" xfId="24122"/>
    <cellStyle name="Normal 92 2 2 3 2 5" xfId="16734"/>
    <cellStyle name="Normal 92 2 2 3 3" xfId="6533"/>
    <cellStyle name="Normal 92 2 2 3 3 2" xfId="10235"/>
    <cellStyle name="Normal 92 2 2 3 3 2 2" xfId="21357"/>
    <cellStyle name="Normal 92 2 2 3 3 3" xfId="13934"/>
    <cellStyle name="Normal 92 2 2 3 3 3 2" xfId="25051"/>
    <cellStyle name="Normal 92 2 2 3 3 4" xfId="17663"/>
    <cellStyle name="Normal 92 2 2 3 4" xfId="8387"/>
    <cellStyle name="Normal 92 2 2 3 4 2" xfId="19510"/>
    <cellStyle name="Normal 92 2 2 3 5" xfId="12087"/>
    <cellStyle name="Normal 92 2 2 3 5 2" xfId="23204"/>
    <cellStyle name="Normal 92 2 2 3 6" xfId="15816"/>
    <cellStyle name="Normal 92 2 2 4" xfId="4893"/>
    <cellStyle name="Normal 92 2 2 4 2" xfId="7244"/>
    <cellStyle name="Normal 92 2 2 4 2 2" xfId="10945"/>
    <cellStyle name="Normal 92 2 2 4 2 2 2" xfId="22067"/>
    <cellStyle name="Normal 92 2 2 4 2 3" xfId="14644"/>
    <cellStyle name="Normal 92 2 2 4 2 3 2" xfId="25761"/>
    <cellStyle name="Normal 92 2 2 4 2 4" xfId="18373"/>
    <cellStyle name="Normal 92 2 2 4 3" xfId="9098"/>
    <cellStyle name="Normal 92 2 2 4 3 2" xfId="20220"/>
    <cellStyle name="Normal 92 2 2 4 4" xfId="12797"/>
    <cellStyle name="Normal 92 2 2 4 4 2" xfId="23914"/>
    <cellStyle name="Normal 92 2 2 4 5" xfId="16526"/>
    <cellStyle name="Normal 92 2 2 5" xfId="6325"/>
    <cellStyle name="Normal 92 2 2 5 2" xfId="10027"/>
    <cellStyle name="Normal 92 2 2 5 2 2" xfId="21149"/>
    <cellStyle name="Normal 92 2 2 5 3" xfId="13726"/>
    <cellStyle name="Normal 92 2 2 5 3 2" xfId="24843"/>
    <cellStyle name="Normal 92 2 2 5 4" xfId="17455"/>
    <cellStyle name="Normal 92 2 2 6" xfId="8179"/>
    <cellStyle name="Normal 92 2 2 6 2" xfId="19302"/>
    <cellStyle name="Normal 92 2 2 7" xfId="11879"/>
    <cellStyle name="Normal 92 2 2 7 2" xfId="22996"/>
    <cellStyle name="Normal 92 2 2 8" xfId="15608"/>
    <cellStyle name="Normal 92 2 3" xfId="2143"/>
    <cellStyle name="Normal 92 2 3 2" xfId="5243"/>
    <cellStyle name="Normal 92 2 3 2 2" xfId="7594"/>
    <cellStyle name="Normal 92 2 3 2 2 2" xfId="11295"/>
    <cellStyle name="Normal 92 2 3 2 2 2 2" xfId="22417"/>
    <cellStyle name="Normal 92 2 3 2 2 3" xfId="14994"/>
    <cellStyle name="Normal 92 2 3 2 2 3 2" xfId="26111"/>
    <cellStyle name="Normal 92 2 3 2 2 4" xfId="18723"/>
    <cellStyle name="Normal 92 2 3 2 3" xfId="9448"/>
    <cellStyle name="Normal 92 2 3 2 3 2" xfId="20570"/>
    <cellStyle name="Normal 92 2 3 2 4" xfId="13147"/>
    <cellStyle name="Normal 92 2 3 2 4 2" xfId="24264"/>
    <cellStyle name="Normal 92 2 3 2 5" xfId="16876"/>
    <cellStyle name="Normal 92 2 3 3" xfId="6675"/>
    <cellStyle name="Normal 92 2 3 3 2" xfId="10377"/>
    <cellStyle name="Normal 92 2 3 3 2 2" xfId="21499"/>
    <cellStyle name="Normal 92 2 3 3 3" xfId="14076"/>
    <cellStyle name="Normal 92 2 3 3 3 2" xfId="25193"/>
    <cellStyle name="Normal 92 2 3 3 4" xfId="17805"/>
    <cellStyle name="Normal 92 2 3 4" xfId="8529"/>
    <cellStyle name="Normal 92 2 3 4 2" xfId="19652"/>
    <cellStyle name="Normal 92 2 3 5" xfId="12229"/>
    <cellStyle name="Normal 92 2 3 5 2" xfId="23346"/>
    <cellStyle name="Normal 92 2 3 6" xfId="15958"/>
    <cellStyle name="Normal 92 2 4" xfId="1798"/>
    <cellStyle name="Normal 92 2 4 2" xfId="4995"/>
    <cellStyle name="Normal 92 2 4 2 2" xfId="7346"/>
    <cellStyle name="Normal 92 2 4 2 2 2" xfId="11047"/>
    <cellStyle name="Normal 92 2 4 2 2 2 2" xfId="22169"/>
    <cellStyle name="Normal 92 2 4 2 2 3" xfId="14746"/>
    <cellStyle name="Normal 92 2 4 2 2 3 2" xfId="25863"/>
    <cellStyle name="Normal 92 2 4 2 2 4" xfId="18475"/>
    <cellStyle name="Normal 92 2 4 2 3" xfId="9200"/>
    <cellStyle name="Normal 92 2 4 2 3 2" xfId="20322"/>
    <cellStyle name="Normal 92 2 4 2 4" xfId="12899"/>
    <cellStyle name="Normal 92 2 4 2 4 2" xfId="24016"/>
    <cellStyle name="Normal 92 2 4 2 5" xfId="16628"/>
    <cellStyle name="Normal 92 2 4 3" xfId="6427"/>
    <cellStyle name="Normal 92 2 4 3 2" xfId="10129"/>
    <cellStyle name="Normal 92 2 4 3 2 2" xfId="21251"/>
    <cellStyle name="Normal 92 2 4 3 3" xfId="13828"/>
    <cellStyle name="Normal 92 2 4 3 3 2" xfId="24945"/>
    <cellStyle name="Normal 92 2 4 3 4" xfId="17557"/>
    <cellStyle name="Normal 92 2 4 4" xfId="8281"/>
    <cellStyle name="Normal 92 2 4 4 2" xfId="19404"/>
    <cellStyle name="Normal 92 2 4 5" xfId="11981"/>
    <cellStyle name="Normal 92 2 4 5 2" xfId="23098"/>
    <cellStyle name="Normal 92 2 4 6" xfId="15710"/>
    <cellStyle name="Normal 92 2 5" xfId="4787"/>
    <cellStyle name="Normal 92 2 5 2" xfId="7138"/>
    <cellStyle name="Normal 92 2 5 2 2" xfId="10839"/>
    <cellStyle name="Normal 92 2 5 2 2 2" xfId="21961"/>
    <cellStyle name="Normal 92 2 5 2 3" xfId="14538"/>
    <cellStyle name="Normal 92 2 5 2 3 2" xfId="25655"/>
    <cellStyle name="Normal 92 2 5 2 4" xfId="18267"/>
    <cellStyle name="Normal 92 2 5 3" xfId="8992"/>
    <cellStyle name="Normal 92 2 5 3 2" xfId="20114"/>
    <cellStyle name="Normal 92 2 5 4" xfId="12691"/>
    <cellStyle name="Normal 92 2 5 4 2" xfId="23808"/>
    <cellStyle name="Normal 92 2 5 5" xfId="16420"/>
    <cellStyle name="Normal 92 2 6" xfId="6140"/>
    <cellStyle name="Normal 92 2 7" xfId="6219"/>
    <cellStyle name="Normal 92 2 7 2" xfId="9921"/>
    <cellStyle name="Normal 92 2 7 2 2" xfId="21043"/>
    <cellStyle name="Normal 92 2 7 3" xfId="13620"/>
    <cellStyle name="Normal 92 2 7 3 2" xfId="24737"/>
    <cellStyle name="Normal 92 2 7 4" xfId="17349"/>
    <cellStyle name="Normal 92 2 8" xfId="8073"/>
    <cellStyle name="Normal 92 2 8 2" xfId="19196"/>
    <cellStyle name="Normal 92 2 9" xfId="11773"/>
    <cellStyle name="Normal 92 2 9 2" xfId="22890"/>
    <cellStyle name="Normal 92 3" xfId="1638"/>
    <cellStyle name="Normal 92 3 2" xfId="2145"/>
    <cellStyle name="Normal 92 3 2 2" xfId="5245"/>
    <cellStyle name="Normal 92 3 2 2 2" xfId="7596"/>
    <cellStyle name="Normal 92 3 2 2 2 2" xfId="11297"/>
    <cellStyle name="Normal 92 3 2 2 2 2 2" xfId="22419"/>
    <cellStyle name="Normal 92 3 2 2 2 3" xfId="14996"/>
    <cellStyle name="Normal 92 3 2 2 2 3 2" xfId="26113"/>
    <cellStyle name="Normal 92 3 2 2 2 4" xfId="18725"/>
    <cellStyle name="Normal 92 3 2 2 3" xfId="9450"/>
    <cellStyle name="Normal 92 3 2 2 3 2" xfId="20572"/>
    <cellStyle name="Normal 92 3 2 2 4" xfId="13149"/>
    <cellStyle name="Normal 92 3 2 2 4 2" xfId="24266"/>
    <cellStyle name="Normal 92 3 2 2 5" xfId="16878"/>
    <cellStyle name="Normal 92 3 2 3" xfId="6677"/>
    <cellStyle name="Normal 92 3 2 3 2" xfId="10379"/>
    <cellStyle name="Normal 92 3 2 3 2 2" xfId="21501"/>
    <cellStyle name="Normal 92 3 2 3 3" xfId="14078"/>
    <cellStyle name="Normal 92 3 2 3 3 2" xfId="25195"/>
    <cellStyle name="Normal 92 3 2 3 4" xfId="17807"/>
    <cellStyle name="Normal 92 3 2 4" xfId="8531"/>
    <cellStyle name="Normal 92 3 2 4 2" xfId="19654"/>
    <cellStyle name="Normal 92 3 2 5" xfId="12231"/>
    <cellStyle name="Normal 92 3 2 5 2" xfId="23348"/>
    <cellStyle name="Normal 92 3 2 6" xfId="15960"/>
    <cellStyle name="Normal 92 3 3" xfId="1851"/>
    <cellStyle name="Normal 92 3 3 2" xfId="5048"/>
    <cellStyle name="Normal 92 3 3 2 2" xfId="7399"/>
    <cellStyle name="Normal 92 3 3 2 2 2" xfId="11100"/>
    <cellStyle name="Normal 92 3 3 2 2 2 2" xfId="22222"/>
    <cellStyle name="Normal 92 3 3 2 2 3" xfId="14799"/>
    <cellStyle name="Normal 92 3 3 2 2 3 2" xfId="25916"/>
    <cellStyle name="Normal 92 3 3 2 2 4" xfId="18528"/>
    <cellStyle name="Normal 92 3 3 2 3" xfId="9253"/>
    <cellStyle name="Normal 92 3 3 2 3 2" xfId="20375"/>
    <cellStyle name="Normal 92 3 3 2 4" xfId="12952"/>
    <cellStyle name="Normal 92 3 3 2 4 2" xfId="24069"/>
    <cellStyle name="Normal 92 3 3 2 5" xfId="16681"/>
    <cellStyle name="Normal 92 3 3 3" xfId="6480"/>
    <cellStyle name="Normal 92 3 3 3 2" xfId="10182"/>
    <cellStyle name="Normal 92 3 3 3 2 2" xfId="21304"/>
    <cellStyle name="Normal 92 3 3 3 3" xfId="13881"/>
    <cellStyle name="Normal 92 3 3 3 3 2" xfId="24998"/>
    <cellStyle name="Normal 92 3 3 3 4" xfId="17610"/>
    <cellStyle name="Normal 92 3 3 4" xfId="8334"/>
    <cellStyle name="Normal 92 3 3 4 2" xfId="19457"/>
    <cellStyle name="Normal 92 3 3 5" xfId="12034"/>
    <cellStyle name="Normal 92 3 3 5 2" xfId="23151"/>
    <cellStyle name="Normal 92 3 3 6" xfId="15763"/>
    <cellStyle name="Normal 92 3 4" xfId="4840"/>
    <cellStyle name="Normal 92 3 4 2" xfId="7191"/>
    <cellStyle name="Normal 92 3 4 2 2" xfId="10892"/>
    <cellStyle name="Normal 92 3 4 2 2 2" xfId="22014"/>
    <cellStyle name="Normal 92 3 4 2 3" xfId="14591"/>
    <cellStyle name="Normal 92 3 4 2 3 2" xfId="25708"/>
    <cellStyle name="Normal 92 3 4 2 4" xfId="18320"/>
    <cellStyle name="Normal 92 3 4 3" xfId="9045"/>
    <cellStyle name="Normal 92 3 4 3 2" xfId="20167"/>
    <cellStyle name="Normal 92 3 4 4" xfId="12744"/>
    <cellStyle name="Normal 92 3 4 4 2" xfId="23861"/>
    <cellStyle name="Normal 92 3 4 5" xfId="16473"/>
    <cellStyle name="Normal 92 3 5" xfId="6272"/>
    <cellStyle name="Normal 92 3 5 2" xfId="9974"/>
    <cellStyle name="Normal 92 3 5 2 2" xfId="21096"/>
    <cellStyle name="Normal 92 3 5 3" xfId="13673"/>
    <cellStyle name="Normal 92 3 5 3 2" xfId="24790"/>
    <cellStyle name="Normal 92 3 5 4" xfId="17402"/>
    <cellStyle name="Normal 92 3 6" xfId="8126"/>
    <cellStyle name="Normal 92 3 6 2" xfId="19249"/>
    <cellStyle name="Normal 92 3 7" xfId="11826"/>
    <cellStyle name="Normal 92 3 7 2" xfId="22943"/>
    <cellStyle name="Normal 92 3 8" xfId="15555"/>
    <cellStyle name="Normal 92 4" xfId="2142"/>
    <cellStyle name="Normal 92 4 2" xfId="5242"/>
    <cellStyle name="Normal 92 4 2 2" xfId="7593"/>
    <cellStyle name="Normal 92 4 2 2 2" xfId="11294"/>
    <cellStyle name="Normal 92 4 2 2 2 2" xfId="22416"/>
    <cellStyle name="Normal 92 4 2 2 3" xfId="14993"/>
    <cellStyle name="Normal 92 4 2 2 3 2" xfId="26110"/>
    <cellStyle name="Normal 92 4 2 2 4" xfId="18722"/>
    <cellStyle name="Normal 92 4 2 3" xfId="9447"/>
    <cellStyle name="Normal 92 4 2 3 2" xfId="20569"/>
    <cellStyle name="Normal 92 4 2 4" xfId="13146"/>
    <cellStyle name="Normal 92 4 2 4 2" xfId="24263"/>
    <cellStyle name="Normal 92 4 2 5" xfId="16875"/>
    <cellStyle name="Normal 92 4 3" xfId="6674"/>
    <cellStyle name="Normal 92 4 3 2" xfId="10376"/>
    <cellStyle name="Normal 92 4 3 2 2" xfId="21498"/>
    <cellStyle name="Normal 92 4 3 3" xfId="14075"/>
    <cellStyle name="Normal 92 4 3 3 2" xfId="25192"/>
    <cellStyle name="Normal 92 4 3 4" xfId="17804"/>
    <cellStyle name="Normal 92 4 4" xfId="8528"/>
    <cellStyle name="Normal 92 4 4 2" xfId="19651"/>
    <cellStyle name="Normal 92 4 5" xfId="12228"/>
    <cellStyle name="Normal 92 4 5 2" xfId="23345"/>
    <cellStyle name="Normal 92 4 6" xfId="15957"/>
    <cellStyle name="Normal 92 5" xfId="1747"/>
    <cellStyle name="Normal 92 5 2" xfId="4944"/>
    <cellStyle name="Normal 92 5 2 2" xfId="7295"/>
    <cellStyle name="Normal 92 5 2 2 2" xfId="10996"/>
    <cellStyle name="Normal 92 5 2 2 2 2" xfId="22118"/>
    <cellStyle name="Normal 92 5 2 2 3" xfId="14695"/>
    <cellStyle name="Normal 92 5 2 2 3 2" xfId="25812"/>
    <cellStyle name="Normal 92 5 2 2 4" xfId="18424"/>
    <cellStyle name="Normal 92 5 2 3" xfId="9149"/>
    <cellStyle name="Normal 92 5 2 3 2" xfId="20271"/>
    <cellStyle name="Normal 92 5 2 4" xfId="12848"/>
    <cellStyle name="Normal 92 5 2 4 2" xfId="23965"/>
    <cellStyle name="Normal 92 5 2 5" xfId="16577"/>
    <cellStyle name="Normal 92 5 3" xfId="6376"/>
    <cellStyle name="Normal 92 5 3 2" xfId="10078"/>
    <cellStyle name="Normal 92 5 3 2 2" xfId="21200"/>
    <cellStyle name="Normal 92 5 3 3" xfId="13777"/>
    <cellStyle name="Normal 92 5 3 3 2" xfId="24894"/>
    <cellStyle name="Normal 92 5 3 4" xfId="17506"/>
    <cellStyle name="Normal 92 5 4" xfId="8230"/>
    <cellStyle name="Normal 92 5 4 2" xfId="19353"/>
    <cellStyle name="Normal 92 5 5" xfId="11930"/>
    <cellStyle name="Normal 92 5 5 2" xfId="23047"/>
    <cellStyle name="Normal 92 5 6" xfId="15659"/>
    <cellStyle name="Normal 92 6" xfId="3801"/>
    <cellStyle name="Normal 92 7" xfId="4735"/>
    <cellStyle name="Normal 92 7 2" xfId="7087"/>
    <cellStyle name="Normal 92 7 2 2" xfId="10788"/>
    <cellStyle name="Normal 92 7 2 2 2" xfId="21910"/>
    <cellStyle name="Normal 92 7 2 3" xfId="14487"/>
    <cellStyle name="Normal 92 7 2 3 2" xfId="25604"/>
    <cellStyle name="Normal 92 7 2 4" xfId="18216"/>
    <cellStyle name="Normal 92 7 3" xfId="8941"/>
    <cellStyle name="Normal 92 7 3 2" xfId="20063"/>
    <cellStyle name="Normal 92 7 4" xfId="12640"/>
    <cellStyle name="Normal 92 7 4 2" xfId="23757"/>
    <cellStyle name="Normal 92 7 5" xfId="16369"/>
    <cellStyle name="Normal 92 8" xfId="5940"/>
    <cellStyle name="Normal 92 9" xfId="6168"/>
    <cellStyle name="Normal 92 9 2" xfId="9870"/>
    <cellStyle name="Normal 92 9 2 2" xfId="20992"/>
    <cellStyle name="Normal 92 9 3" xfId="13569"/>
    <cellStyle name="Normal 92 9 3 2" xfId="24686"/>
    <cellStyle name="Normal 92 9 4" xfId="17298"/>
    <cellStyle name="Normal 93" xfId="846"/>
    <cellStyle name="Normal 93 10" xfId="11732"/>
    <cellStyle name="Normal 93 10 2" xfId="22849"/>
    <cellStyle name="Normal 93 11" xfId="15461"/>
    <cellStyle name="Normal 93 2" xfId="1585"/>
    <cellStyle name="Normal 93 2 10" xfId="15512"/>
    <cellStyle name="Normal 93 2 2" xfId="1704"/>
    <cellStyle name="Normal 93 2 2 2" xfId="2148"/>
    <cellStyle name="Normal 93 2 2 2 2" xfId="5248"/>
    <cellStyle name="Normal 93 2 2 2 2 2" xfId="7599"/>
    <cellStyle name="Normal 93 2 2 2 2 2 2" xfId="11300"/>
    <cellStyle name="Normal 93 2 2 2 2 2 2 2" xfId="22422"/>
    <cellStyle name="Normal 93 2 2 2 2 2 3" xfId="14999"/>
    <cellStyle name="Normal 93 2 2 2 2 2 3 2" xfId="26116"/>
    <cellStyle name="Normal 93 2 2 2 2 2 4" xfId="18728"/>
    <cellStyle name="Normal 93 2 2 2 2 3" xfId="9453"/>
    <cellStyle name="Normal 93 2 2 2 2 3 2" xfId="20575"/>
    <cellStyle name="Normal 93 2 2 2 2 4" xfId="13152"/>
    <cellStyle name="Normal 93 2 2 2 2 4 2" xfId="24269"/>
    <cellStyle name="Normal 93 2 2 2 2 5" xfId="16881"/>
    <cellStyle name="Normal 93 2 2 2 3" xfId="6680"/>
    <cellStyle name="Normal 93 2 2 2 3 2" xfId="10382"/>
    <cellStyle name="Normal 93 2 2 2 3 2 2" xfId="21504"/>
    <cellStyle name="Normal 93 2 2 2 3 3" xfId="14081"/>
    <cellStyle name="Normal 93 2 2 2 3 3 2" xfId="25198"/>
    <cellStyle name="Normal 93 2 2 2 3 4" xfId="17810"/>
    <cellStyle name="Normal 93 2 2 2 4" xfId="8534"/>
    <cellStyle name="Normal 93 2 2 2 4 2" xfId="19657"/>
    <cellStyle name="Normal 93 2 2 2 5" xfId="12234"/>
    <cellStyle name="Normal 93 2 2 2 5 2" xfId="23351"/>
    <cellStyle name="Normal 93 2 2 2 6" xfId="15963"/>
    <cellStyle name="Normal 93 2 2 3" xfId="1914"/>
    <cellStyle name="Normal 93 2 2 3 2" xfId="5111"/>
    <cellStyle name="Normal 93 2 2 3 2 2" xfId="7462"/>
    <cellStyle name="Normal 93 2 2 3 2 2 2" xfId="11163"/>
    <cellStyle name="Normal 93 2 2 3 2 2 2 2" xfId="22285"/>
    <cellStyle name="Normal 93 2 2 3 2 2 3" xfId="14862"/>
    <cellStyle name="Normal 93 2 2 3 2 2 3 2" xfId="25979"/>
    <cellStyle name="Normal 93 2 2 3 2 2 4" xfId="18591"/>
    <cellStyle name="Normal 93 2 2 3 2 3" xfId="9316"/>
    <cellStyle name="Normal 93 2 2 3 2 3 2" xfId="20438"/>
    <cellStyle name="Normal 93 2 2 3 2 4" xfId="13015"/>
    <cellStyle name="Normal 93 2 2 3 2 4 2" xfId="24132"/>
    <cellStyle name="Normal 93 2 2 3 2 5" xfId="16744"/>
    <cellStyle name="Normal 93 2 2 3 3" xfId="6543"/>
    <cellStyle name="Normal 93 2 2 3 3 2" xfId="10245"/>
    <cellStyle name="Normal 93 2 2 3 3 2 2" xfId="21367"/>
    <cellStyle name="Normal 93 2 2 3 3 3" xfId="13944"/>
    <cellStyle name="Normal 93 2 2 3 3 3 2" xfId="25061"/>
    <cellStyle name="Normal 93 2 2 3 3 4" xfId="17673"/>
    <cellStyle name="Normal 93 2 2 3 4" xfId="8397"/>
    <cellStyle name="Normal 93 2 2 3 4 2" xfId="19520"/>
    <cellStyle name="Normal 93 2 2 3 5" xfId="12097"/>
    <cellStyle name="Normal 93 2 2 3 5 2" xfId="23214"/>
    <cellStyle name="Normal 93 2 2 3 6" xfId="15826"/>
    <cellStyle name="Normal 93 2 2 4" xfId="4903"/>
    <cellStyle name="Normal 93 2 2 4 2" xfId="7254"/>
    <cellStyle name="Normal 93 2 2 4 2 2" xfId="10955"/>
    <cellStyle name="Normal 93 2 2 4 2 2 2" xfId="22077"/>
    <cellStyle name="Normal 93 2 2 4 2 3" xfId="14654"/>
    <cellStyle name="Normal 93 2 2 4 2 3 2" xfId="25771"/>
    <cellStyle name="Normal 93 2 2 4 2 4" xfId="18383"/>
    <cellStyle name="Normal 93 2 2 4 3" xfId="9108"/>
    <cellStyle name="Normal 93 2 2 4 3 2" xfId="20230"/>
    <cellStyle name="Normal 93 2 2 4 4" xfId="12807"/>
    <cellStyle name="Normal 93 2 2 4 4 2" xfId="23924"/>
    <cellStyle name="Normal 93 2 2 4 5" xfId="16536"/>
    <cellStyle name="Normal 93 2 2 5" xfId="6335"/>
    <cellStyle name="Normal 93 2 2 5 2" xfId="10037"/>
    <cellStyle name="Normal 93 2 2 5 2 2" xfId="21159"/>
    <cellStyle name="Normal 93 2 2 5 3" xfId="13736"/>
    <cellStyle name="Normal 93 2 2 5 3 2" xfId="24853"/>
    <cellStyle name="Normal 93 2 2 5 4" xfId="17465"/>
    <cellStyle name="Normal 93 2 2 6" xfId="8189"/>
    <cellStyle name="Normal 93 2 2 6 2" xfId="19312"/>
    <cellStyle name="Normal 93 2 2 7" xfId="11889"/>
    <cellStyle name="Normal 93 2 2 7 2" xfId="23006"/>
    <cellStyle name="Normal 93 2 2 8" xfId="15618"/>
    <cellStyle name="Normal 93 2 3" xfId="2147"/>
    <cellStyle name="Normal 93 2 3 2" xfId="5247"/>
    <cellStyle name="Normal 93 2 3 2 2" xfId="7598"/>
    <cellStyle name="Normal 93 2 3 2 2 2" xfId="11299"/>
    <cellStyle name="Normal 93 2 3 2 2 2 2" xfId="22421"/>
    <cellStyle name="Normal 93 2 3 2 2 3" xfId="14998"/>
    <cellStyle name="Normal 93 2 3 2 2 3 2" xfId="26115"/>
    <cellStyle name="Normal 93 2 3 2 2 4" xfId="18727"/>
    <cellStyle name="Normal 93 2 3 2 3" xfId="9452"/>
    <cellStyle name="Normal 93 2 3 2 3 2" xfId="20574"/>
    <cellStyle name="Normal 93 2 3 2 4" xfId="13151"/>
    <cellStyle name="Normal 93 2 3 2 4 2" xfId="24268"/>
    <cellStyle name="Normal 93 2 3 2 5" xfId="16880"/>
    <cellStyle name="Normal 93 2 3 3" xfId="6679"/>
    <cellStyle name="Normal 93 2 3 3 2" xfId="10381"/>
    <cellStyle name="Normal 93 2 3 3 2 2" xfId="21503"/>
    <cellStyle name="Normal 93 2 3 3 3" xfId="14080"/>
    <cellStyle name="Normal 93 2 3 3 3 2" xfId="25197"/>
    <cellStyle name="Normal 93 2 3 3 4" xfId="17809"/>
    <cellStyle name="Normal 93 2 3 4" xfId="8533"/>
    <cellStyle name="Normal 93 2 3 4 2" xfId="19656"/>
    <cellStyle name="Normal 93 2 3 5" xfId="12233"/>
    <cellStyle name="Normal 93 2 3 5 2" xfId="23350"/>
    <cellStyle name="Normal 93 2 3 6" xfId="15962"/>
    <cellStyle name="Normal 93 2 4" xfId="1808"/>
    <cellStyle name="Normal 93 2 4 2" xfId="5005"/>
    <cellStyle name="Normal 93 2 4 2 2" xfId="7356"/>
    <cellStyle name="Normal 93 2 4 2 2 2" xfId="11057"/>
    <cellStyle name="Normal 93 2 4 2 2 2 2" xfId="22179"/>
    <cellStyle name="Normal 93 2 4 2 2 3" xfId="14756"/>
    <cellStyle name="Normal 93 2 4 2 2 3 2" xfId="25873"/>
    <cellStyle name="Normal 93 2 4 2 2 4" xfId="18485"/>
    <cellStyle name="Normal 93 2 4 2 3" xfId="9210"/>
    <cellStyle name="Normal 93 2 4 2 3 2" xfId="20332"/>
    <cellStyle name="Normal 93 2 4 2 4" xfId="12909"/>
    <cellStyle name="Normal 93 2 4 2 4 2" xfId="24026"/>
    <cellStyle name="Normal 93 2 4 2 5" xfId="16638"/>
    <cellStyle name="Normal 93 2 4 3" xfId="6437"/>
    <cellStyle name="Normal 93 2 4 3 2" xfId="10139"/>
    <cellStyle name="Normal 93 2 4 3 2 2" xfId="21261"/>
    <cellStyle name="Normal 93 2 4 3 3" xfId="13838"/>
    <cellStyle name="Normal 93 2 4 3 3 2" xfId="24955"/>
    <cellStyle name="Normal 93 2 4 3 4" xfId="17567"/>
    <cellStyle name="Normal 93 2 4 4" xfId="8291"/>
    <cellStyle name="Normal 93 2 4 4 2" xfId="19414"/>
    <cellStyle name="Normal 93 2 4 5" xfId="11991"/>
    <cellStyle name="Normal 93 2 4 5 2" xfId="23108"/>
    <cellStyle name="Normal 93 2 4 6" xfId="15720"/>
    <cellStyle name="Normal 93 2 5" xfId="4797"/>
    <cellStyle name="Normal 93 2 5 2" xfId="7148"/>
    <cellStyle name="Normal 93 2 5 2 2" xfId="10849"/>
    <cellStyle name="Normal 93 2 5 2 2 2" xfId="21971"/>
    <cellStyle name="Normal 93 2 5 2 3" xfId="14548"/>
    <cellStyle name="Normal 93 2 5 2 3 2" xfId="25665"/>
    <cellStyle name="Normal 93 2 5 2 4" xfId="18277"/>
    <cellStyle name="Normal 93 2 5 3" xfId="9002"/>
    <cellStyle name="Normal 93 2 5 3 2" xfId="20124"/>
    <cellStyle name="Normal 93 2 5 4" xfId="12701"/>
    <cellStyle name="Normal 93 2 5 4 2" xfId="23818"/>
    <cellStyle name="Normal 93 2 5 5" xfId="16430"/>
    <cellStyle name="Normal 93 2 6" xfId="6137"/>
    <cellStyle name="Normal 93 2 7" xfId="6229"/>
    <cellStyle name="Normal 93 2 7 2" xfId="9931"/>
    <cellStyle name="Normal 93 2 7 2 2" xfId="21053"/>
    <cellStyle name="Normal 93 2 7 3" xfId="13630"/>
    <cellStyle name="Normal 93 2 7 3 2" xfId="24747"/>
    <cellStyle name="Normal 93 2 7 4" xfId="17359"/>
    <cellStyle name="Normal 93 2 8" xfId="8083"/>
    <cellStyle name="Normal 93 2 8 2" xfId="19206"/>
    <cellStyle name="Normal 93 2 9" xfId="11783"/>
    <cellStyle name="Normal 93 2 9 2" xfId="22900"/>
    <cellStyle name="Normal 93 3" xfId="1649"/>
    <cellStyle name="Normal 93 3 2" xfId="2149"/>
    <cellStyle name="Normal 93 3 2 2" xfId="5249"/>
    <cellStyle name="Normal 93 3 2 2 2" xfId="7600"/>
    <cellStyle name="Normal 93 3 2 2 2 2" xfId="11301"/>
    <cellStyle name="Normal 93 3 2 2 2 2 2" xfId="22423"/>
    <cellStyle name="Normal 93 3 2 2 2 3" xfId="15000"/>
    <cellStyle name="Normal 93 3 2 2 2 3 2" xfId="26117"/>
    <cellStyle name="Normal 93 3 2 2 2 4" xfId="18729"/>
    <cellStyle name="Normal 93 3 2 2 3" xfId="9454"/>
    <cellStyle name="Normal 93 3 2 2 3 2" xfId="20576"/>
    <cellStyle name="Normal 93 3 2 2 4" xfId="13153"/>
    <cellStyle name="Normal 93 3 2 2 4 2" xfId="24270"/>
    <cellStyle name="Normal 93 3 2 2 5" xfId="16882"/>
    <cellStyle name="Normal 93 3 2 3" xfId="6681"/>
    <cellStyle name="Normal 93 3 2 3 2" xfId="10383"/>
    <cellStyle name="Normal 93 3 2 3 2 2" xfId="21505"/>
    <cellStyle name="Normal 93 3 2 3 3" xfId="14082"/>
    <cellStyle name="Normal 93 3 2 3 3 2" xfId="25199"/>
    <cellStyle name="Normal 93 3 2 3 4" xfId="17811"/>
    <cellStyle name="Normal 93 3 2 4" xfId="8535"/>
    <cellStyle name="Normal 93 3 2 4 2" xfId="19658"/>
    <cellStyle name="Normal 93 3 2 5" xfId="12235"/>
    <cellStyle name="Normal 93 3 2 5 2" xfId="23352"/>
    <cellStyle name="Normal 93 3 2 6" xfId="15964"/>
    <cellStyle name="Normal 93 3 3" xfId="1861"/>
    <cellStyle name="Normal 93 3 3 2" xfId="5058"/>
    <cellStyle name="Normal 93 3 3 2 2" xfId="7409"/>
    <cellStyle name="Normal 93 3 3 2 2 2" xfId="11110"/>
    <cellStyle name="Normal 93 3 3 2 2 2 2" xfId="22232"/>
    <cellStyle name="Normal 93 3 3 2 2 3" xfId="14809"/>
    <cellStyle name="Normal 93 3 3 2 2 3 2" xfId="25926"/>
    <cellStyle name="Normal 93 3 3 2 2 4" xfId="18538"/>
    <cellStyle name="Normal 93 3 3 2 3" xfId="9263"/>
    <cellStyle name="Normal 93 3 3 2 3 2" xfId="20385"/>
    <cellStyle name="Normal 93 3 3 2 4" xfId="12962"/>
    <cellStyle name="Normal 93 3 3 2 4 2" xfId="24079"/>
    <cellStyle name="Normal 93 3 3 2 5" xfId="16691"/>
    <cellStyle name="Normal 93 3 3 3" xfId="6490"/>
    <cellStyle name="Normal 93 3 3 3 2" xfId="10192"/>
    <cellStyle name="Normal 93 3 3 3 2 2" xfId="21314"/>
    <cellStyle name="Normal 93 3 3 3 3" xfId="13891"/>
    <cellStyle name="Normal 93 3 3 3 3 2" xfId="25008"/>
    <cellStyle name="Normal 93 3 3 3 4" xfId="17620"/>
    <cellStyle name="Normal 93 3 3 4" xfId="8344"/>
    <cellStyle name="Normal 93 3 3 4 2" xfId="19467"/>
    <cellStyle name="Normal 93 3 3 5" xfId="12044"/>
    <cellStyle name="Normal 93 3 3 5 2" xfId="23161"/>
    <cellStyle name="Normal 93 3 3 6" xfId="15773"/>
    <cellStyle name="Normal 93 3 4" xfId="4850"/>
    <cellStyle name="Normal 93 3 4 2" xfId="7201"/>
    <cellStyle name="Normal 93 3 4 2 2" xfId="10902"/>
    <cellStyle name="Normal 93 3 4 2 2 2" xfId="22024"/>
    <cellStyle name="Normal 93 3 4 2 3" xfId="14601"/>
    <cellStyle name="Normal 93 3 4 2 3 2" xfId="25718"/>
    <cellStyle name="Normal 93 3 4 2 4" xfId="18330"/>
    <cellStyle name="Normal 93 3 4 3" xfId="9055"/>
    <cellStyle name="Normal 93 3 4 3 2" xfId="20177"/>
    <cellStyle name="Normal 93 3 4 4" xfId="12754"/>
    <cellStyle name="Normal 93 3 4 4 2" xfId="23871"/>
    <cellStyle name="Normal 93 3 4 5" xfId="16483"/>
    <cellStyle name="Normal 93 3 5" xfId="6282"/>
    <cellStyle name="Normal 93 3 5 2" xfId="9984"/>
    <cellStyle name="Normal 93 3 5 2 2" xfId="21106"/>
    <cellStyle name="Normal 93 3 5 3" xfId="13683"/>
    <cellStyle name="Normal 93 3 5 3 2" xfId="24800"/>
    <cellStyle name="Normal 93 3 5 4" xfId="17412"/>
    <cellStyle name="Normal 93 3 6" xfId="8136"/>
    <cellStyle name="Normal 93 3 6 2" xfId="19259"/>
    <cellStyle name="Normal 93 3 7" xfId="11836"/>
    <cellStyle name="Normal 93 3 7 2" xfId="22953"/>
    <cellStyle name="Normal 93 3 8" xfId="15565"/>
    <cellStyle name="Normal 93 4" xfId="2146"/>
    <cellStyle name="Normal 93 4 2" xfId="5246"/>
    <cellStyle name="Normal 93 4 2 2" xfId="7597"/>
    <cellStyle name="Normal 93 4 2 2 2" xfId="11298"/>
    <cellStyle name="Normal 93 4 2 2 2 2" xfId="22420"/>
    <cellStyle name="Normal 93 4 2 2 3" xfId="14997"/>
    <cellStyle name="Normal 93 4 2 2 3 2" xfId="26114"/>
    <cellStyle name="Normal 93 4 2 2 4" xfId="18726"/>
    <cellStyle name="Normal 93 4 2 3" xfId="9451"/>
    <cellStyle name="Normal 93 4 2 3 2" xfId="20573"/>
    <cellStyle name="Normal 93 4 2 4" xfId="13150"/>
    <cellStyle name="Normal 93 4 2 4 2" xfId="24267"/>
    <cellStyle name="Normal 93 4 2 5" xfId="16879"/>
    <cellStyle name="Normal 93 4 3" xfId="6678"/>
    <cellStyle name="Normal 93 4 3 2" xfId="10380"/>
    <cellStyle name="Normal 93 4 3 2 2" xfId="21502"/>
    <cellStyle name="Normal 93 4 3 3" xfId="14079"/>
    <cellStyle name="Normal 93 4 3 3 2" xfId="25196"/>
    <cellStyle name="Normal 93 4 3 4" xfId="17808"/>
    <cellStyle name="Normal 93 4 4" xfId="8532"/>
    <cellStyle name="Normal 93 4 4 2" xfId="19655"/>
    <cellStyle name="Normal 93 4 5" xfId="12232"/>
    <cellStyle name="Normal 93 4 5 2" xfId="23349"/>
    <cellStyle name="Normal 93 4 6" xfId="15961"/>
    <cellStyle name="Normal 93 5" xfId="1757"/>
    <cellStyle name="Normal 93 5 2" xfId="4954"/>
    <cellStyle name="Normal 93 5 2 2" xfId="7305"/>
    <cellStyle name="Normal 93 5 2 2 2" xfId="11006"/>
    <cellStyle name="Normal 93 5 2 2 2 2" xfId="22128"/>
    <cellStyle name="Normal 93 5 2 2 3" xfId="14705"/>
    <cellStyle name="Normal 93 5 2 2 3 2" xfId="25822"/>
    <cellStyle name="Normal 93 5 2 2 4" xfId="18434"/>
    <cellStyle name="Normal 93 5 2 3" xfId="9159"/>
    <cellStyle name="Normal 93 5 2 3 2" xfId="20281"/>
    <cellStyle name="Normal 93 5 2 4" xfId="12858"/>
    <cellStyle name="Normal 93 5 2 4 2" xfId="23975"/>
    <cellStyle name="Normal 93 5 2 5" xfId="16587"/>
    <cellStyle name="Normal 93 5 3" xfId="6386"/>
    <cellStyle name="Normal 93 5 3 2" xfId="10088"/>
    <cellStyle name="Normal 93 5 3 2 2" xfId="21210"/>
    <cellStyle name="Normal 93 5 3 3" xfId="13787"/>
    <cellStyle name="Normal 93 5 3 3 2" xfId="24904"/>
    <cellStyle name="Normal 93 5 3 4" xfId="17516"/>
    <cellStyle name="Normal 93 5 4" xfId="8240"/>
    <cellStyle name="Normal 93 5 4 2" xfId="19363"/>
    <cellStyle name="Normal 93 5 5" xfId="11940"/>
    <cellStyle name="Normal 93 5 5 2" xfId="23057"/>
    <cellStyle name="Normal 93 5 6" xfId="15669"/>
    <cellStyle name="Normal 93 6" xfId="3802"/>
    <cellStyle name="Normal 93 7" xfId="4745"/>
    <cellStyle name="Normal 93 7 2" xfId="7097"/>
    <cellStyle name="Normal 93 7 2 2" xfId="10798"/>
    <cellStyle name="Normal 93 7 2 2 2" xfId="21920"/>
    <cellStyle name="Normal 93 7 2 3" xfId="14497"/>
    <cellStyle name="Normal 93 7 2 3 2" xfId="25614"/>
    <cellStyle name="Normal 93 7 2 4" xfId="18226"/>
    <cellStyle name="Normal 93 7 3" xfId="8951"/>
    <cellStyle name="Normal 93 7 3 2" xfId="20073"/>
    <cellStyle name="Normal 93 7 4" xfId="12650"/>
    <cellStyle name="Normal 93 7 4 2" xfId="23767"/>
    <cellStyle name="Normal 93 7 5" xfId="16379"/>
    <cellStyle name="Normal 93 8" xfId="6178"/>
    <cellStyle name="Normal 93 8 2" xfId="9880"/>
    <cellStyle name="Normal 93 8 2 2" xfId="21002"/>
    <cellStyle name="Normal 93 8 3" xfId="13579"/>
    <cellStyle name="Normal 93 8 3 2" xfId="24696"/>
    <cellStyle name="Normal 93 8 4" xfId="17308"/>
    <cellStyle name="Normal 93 9" xfId="8031"/>
    <cellStyle name="Normal 93 9 2" xfId="19155"/>
    <cellStyle name="Normal 94" xfId="853"/>
    <cellStyle name="Normal 94 10" xfId="11735"/>
    <cellStyle name="Normal 94 10 2" xfId="22852"/>
    <cellStyle name="Normal 94 11" xfId="15464"/>
    <cellStyle name="Normal 94 2" xfId="1588"/>
    <cellStyle name="Normal 94 2 2" xfId="1707"/>
    <cellStyle name="Normal 94 2 2 2" xfId="2152"/>
    <cellStyle name="Normal 94 2 2 2 2" xfId="5252"/>
    <cellStyle name="Normal 94 2 2 2 2 2" xfId="7603"/>
    <cellStyle name="Normal 94 2 2 2 2 2 2" xfId="11304"/>
    <cellStyle name="Normal 94 2 2 2 2 2 2 2" xfId="22426"/>
    <cellStyle name="Normal 94 2 2 2 2 2 3" xfId="15003"/>
    <cellStyle name="Normal 94 2 2 2 2 2 3 2" xfId="26120"/>
    <cellStyle name="Normal 94 2 2 2 2 2 4" xfId="18732"/>
    <cellStyle name="Normal 94 2 2 2 2 3" xfId="9457"/>
    <cellStyle name="Normal 94 2 2 2 2 3 2" xfId="20579"/>
    <cellStyle name="Normal 94 2 2 2 2 4" xfId="13156"/>
    <cellStyle name="Normal 94 2 2 2 2 4 2" xfId="24273"/>
    <cellStyle name="Normal 94 2 2 2 2 5" xfId="16885"/>
    <cellStyle name="Normal 94 2 2 2 3" xfId="6684"/>
    <cellStyle name="Normal 94 2 2 2 3 2" xfId="10386"/>
    <cellStyle name="Normal 94 2 2 2 3 2 2" xfId="21508"/>
    <cellStyle name="Normal 94 2 2 2 3 3" xfId="14085"/>
    <cellStyle name="Normal 94 2 2 2 3 3 2" xfId="25202"/>
    <cellStyle name="Normal 94 2 2 2 3 4" xfId="17814"/>
    <cellStyle name="Normal 94 2 2 2 4" xfId="8538"/>
    <cellStyle name="Normal 94 2 2 2 4 2" xfId="19661"/>
    <cellStyle name="Normal 94 2 2 2 5" xfId="12238"/>
    <cellStyle name="Normal 94 2 2 2 5 2" xfId="23355"/>
    <cellStyle name="Normal 94 2 2 2 6" xfId="15967"/>
    <cellStyle name="Normal 94 2 2 3" xfId="1917"/>
    <cellStyle name="Normal 94 2 2 3 2" xfId="5114"/>
    <cellStyle name="Normal 94 2 2 3 2 2" xfId="7465"/>
    <cellStyle name="Normal 94 2 2 3 2 2 2" xfId="11166"/>
    <cellStyle name="Normal 94 2 2 3 2 2 2 2" xfId="22288"/>
    <cellStyle name="Normal 94 2 2 3 2 2 3" xfId="14865"/>
    <cellStyle name="Normal 94 2 2 3 2 2 3 2" xfId="25982"/>
    <cellStyle name="Normal 94 2 2 3 2 2 4" xfId="18594"/>
    <cellStyle name="Normal 94 2 2 3 2 3" xfId="9319"/>
    <cellStyle name="Normal 94 2 2 3 2 3 2" xfId="20441"/>
    <cellStyle name="Normal 94 2 2 3 2 4" xfId="13018"/>
    <cellStyle name="Normal 94 2 2 3 2 4 2" xfId="24135"/>
    <cellStyle name="Normal 94 2 2 3 2 5" xfId="16747"/>
    <cellStyle name="Normal 94 2 2 3 3" xfId="6546"/>
    <cellStyle name="Normal 94 2 2 3 3 2" xfId="10248"/>
    <cellStyle name="Normal 94 2 2 3 3 2 2" xfId="21370"/>
    <cellStyle name="Normal 94 2 2 3 3 3" xfId="13947"/>
    <cellStyle name="Normal 94 2 2 3 3 3 2" xfId="25064"/>
    <cellStyle name="Normal 94 2 2 3 3 4" xfId="17676"/>
    <cellStyle name="Normal 94 2 2 3 4" xfId="8400"/>
    <cellStyle name="Normal 94 2 2 3 4 2" xfId="19523"/>
    <cellStyle name="Normal 94 2 2 3 5" xfId="12100"/>
    <cellStyle name="Normal 94 2 2 3 5 2" xfId="23217"/>
    <cellStyle name="Normal 94 2 2 3 6" xfId="15829"/>
    <cellStyle name="Normal 94 2 2 4" xfId="4906"/>
    <cellStyle name="Normal 94 2 2 4 2" xfId="7257"/>
    <cellStyle name="Normal 94 2 2 4 2 2" xfId="10958"/>
    <cellStyle name="Normal 94 2 2 4 2 2 2" xfId="22080"/>
    <cellStyle name="Normal 94 2 2 4 2 3" xfId="14657"/>
    <cellStyle name="Normal 94 2 2 4 2 3 2" xfId="25774"/>
    <cellStyle name="Normal 94 2 2 4 2 4" xfId="18386"/>
    <cellStyle name="Normal 94 2 2 4 3" xfId="9111"/>
    <cellStyle name="Normal 94 2 2 4 3 2" xfId="20233"/>
    <cellStyle name="Normal 94 2 2 4 4" xfId="12810"/>
    <cellStyle name="Normal 94 2 2 4 4 2" xfId="23927"/>
    <cellStyle name="Normal 94 2 2 4 5" xfId="16539"/>
    <cellStyle name="Normal 94 2 2 5" xfId="6338"/>
    <cellStyle name="Normal 94 2 2 5 2" xfId="10040"/>
    <cellStyle name="Normal 94 2 2 5 2 2" xfId="21162"/>
    <cellStyle name="Normal 94 2 2 5 3" xfId="13739"/>
    <cellStyle name="Normal 94 2 2 5 3 2" xfId="24856"/>
    <cellStyle name="Normal 94 2 2 5 4" xfId="17468"/>
    <cellStyle name="Normal 94 2 2 6" xfId="8192"/>
    <cellStyle name="Normal 94 2 2 6 2" xfId="19315"/>
    <cellStyle name="Normal 94 2 2 7" xfId="11892"/>
    <cellStyle name="Normal 94 2 2 7 2" xfId="23009"/>
    <cellStyle name="Normal 94 2 2 8" xfId="15621"/>
    <cellStyle name="Normal 94 2 3" xfId="2151"/>
    <cellStyle name="Normal 94 2 3 2" xfId="5251"/>
    <cellStyle name="Normal 94 2 3 2 2" xfId="7602"/>
    <cellStyle name="Normal 94 2 3 2 2 2" xfId="11303"/>
    <cellStyle name="Normal 94 2 3 2 2 2 2" xfId="22425"/>
    <cellStyle name="Normal 94 2 3 2 2 3" xfId="15002"/>
    <cellStyle name="Normal 94 2 3 2 2 3 2" xfId="26119"/>
    <cellStyle name="Normal 94 2 3 2 2 4" xfId="18731"/>
    <cellStyle name="Normal 94 2 3 2 3" xfId="9456"/>
    <cellStyle name="Normal 94 2 3 2 3 2" xfId="20578"/>
    <cellStyle name="Normal 94 2 3 2 4" xfId="13155"/>
    <cellStyle name="Normal 94 2 3 2 4 2" xfId="24272"/>
    <cellStyle name="Normal 94 2 3 2 5" xfId="16884"/>
    <cellStyle name="Normal 94 2 3 3" xfId="6683"/>
    <cellStyle name="Normal 94 2 3 3 2" xfId="10385"/>
    <cellStyle name="Normal 94 2 3 3 2 2" xfId="21507"/>
    <cellStyle name="Normal 94 2 3 3 3" xfId="14084"/>
    <cellStyle name="Normal 94 2 3 3 3 2" xfId="25201"/>
    <cellStyle name="Normal 94 2 3 3 4" xfId="17813"/>
    <cellStyle name="Normal 94 2 3 4" xfId="8537"/>
    <cellStyle name="Normal 94 2 3 4 2" xfId="19660"/>
    <cellStyle name="Normal 94 2 3 5" xfId="12237"/>
    <cellStyle name="Normal 94 2 3 5 2" xfId="23354"/>
    <cellStyle name="Normal 94 2 3 6" xfId="15966"/>
    <cellStyle name="Normal 94 2 4" xfId="1811"/>
    <cellStyle name="Normal 94 2 4 2" xfId="5008"/>
    <cellStyle name="Normal 94 2 4 2 2" xfId="7359"/>
    <cellStyle name="Normal 94 2 4 2 2 2" xfId="11060"/>
    <cellStyle name="Normal 94 2 4 2 2 2 2" xfId="22182"/>
    <cellStyle name="Normal 94 2 4 2 2 3" xfId="14759"/>
    <cellStyle name="Normal 94 2 4 2 2 3 2" xfId="25876"/>
    <cellStyle name="Normal 94 2 4 2 2 4" xfId="18488"/>
    <cellStyle name="Normal 94 2 4 2 3" xfId="9213"/>
    <cellStyle name="Normal 94 2 4 2 3 2" xfId="20335"/>
    <cellStyle name="Normal 94 2 4 2 4" xfId="12912"/>
    <cellStyle name="Normal 94 2 4 2 4 2" xfId="24029"/>
    <cellStyle name="Normal 94 2 4 2 5" xfId="16641"/>
    <cellStyle name="Normal 94 2 4 3" xfId="6440"/>
    <cellStyle name="Normal 94 2 4 3 2" xfId="10142"/>
    <cellStyle name="Normal 94 2 4 3 2 2" xfId="21264"/>
    <cellStyle name="Normal 94 2 4 3 3" xfId="13841"/>
    <cellStyle name="Normal 94 2 4 3 3 2" xfId="24958"/>
    <cellStyle name="Normal 94 2 4 3 4" xfId="17570"/>
    <cellStyle name="Normal 94 2 4 4" xfId="8294"/>
    <cellStyle name="Normal 94 2 4 4 2" xfId="19417"/>
    <cellStyle name="Normal 94 2 4 5" xfId="11994"/>
    <cellStyle name="Normal 94 2 4 5 2" xfId="23111"/>
    <cellStyle name="Normal 94 2 4 6" xfId="15723"/>
    <cellStyle name="Normal 94 2 5" xfId="4800"/>
    <cellStyle name="Normal 94 2 5 2" xfId="7151"/>
    <cellStyle name="Normal 94 2 5 2 2" xfId="10852"/>
    <cellStyle name="Normal 94 2 5 2 2 2" xfId="21974"/>
    <cellStyle name="Normal 94 2 5 2 3" xfId="14551"/>
    <cellStyle name="Normal 94 2 5 2 3 2" xfId="25668"/>
    <cellStyle name="Normal 94 2 5 2 4" xfId="18280"/>
    <cellStyle name="Normal 94 2 5 3" xfId="9005"/>
    <cellStyle name="Normal 94 2 5 3 2" xfId="20127"/>
    <cellStyle name="Normal 94 2 5 4" xfId="12704"/>
    <cellStyle name="Normal 94 2 5 4 2" xfId="23821"/>
    <cellStyle name="Normal 94 2 5 5" xfId="16433"/>
    <cellStyle name="Normal 94 2 6" xfId="6232"/>
    <cellStyle name="Normal 94 2 6 2" xfId="9934"/>
    <cellStyle name="Normal 94 2 6 2 2" xfId="21056"/>
    <cellStyle name="Normal 94 2 6 3" xfId="13633"/>
    <cellStyle name="Normal 94 2 6 3 2" xfId="24750"/>
    <cellStyle name="Normal 94 2 6 4" xfId="17362"/>
    <cellStyle name="Normal 94 2 7" xfId="8086"/>
    <cellStyle name="Normal 94 2 7 2" xfId="19209"/>
    <cellStyle name="Normal 94 2 8" xfId="11786"/>
    <cellStyle name="Normal 94 2 8 2" xfId="22903"/>
    <cellStyle name="Normal 94 2 9" xfId="15515"/>
    <cellStyle name="Normal 94 3" xfId="1652"/>
    <cellStyle name="Normal 94 3 2" xfId="2153"/>
    <cellStyle name="Normal 94 3 2 2" xfId="5253"/>
    <cellStyle name="Normal 94 3 2 2 2" xfId="7604"/>
    <cellStyle name="Normal 94 3 2 2 2 2" xfId="11305"/>
    <cellStyle name="Normal 94 3 2 2 2 2 2" xfId="22427"/>
    <cellStyle name="Normal 94 3 2 2 2 3" xfId="15004"/>
    <cellStyle name="Normal 94 3 2 2 2 3 2" xfId="26121"/>
    <cellStyle name="Normal 94 3 2 2 2 4" xfId="18733"/>
    <cellStyle name="Normal 94 3 2 2 3" xfId="9458"/>
    <cellStyle name="Normal 94 3 2 2 3 2" xfId="20580"/>
    <cellStyle name="Normal 94 3 2 2 4" xfId="13157"/>
    <cellStyle name="Normal 94 3 2 2 4 2" xfId="24274"/>
    <cellStyle name="Normal 94 3 2 2 5" xfId="16886"/>
    <cellStyle name="Normal 94 3 2 3" xfId="6685"/>
    <cellStyle name="Normal 94 3 2 3 2" xfId="10387"/>
    <cellStyle name="Normal 94 3 2 3 2 2" xfId="21509"/>
    <cellStyle name="Normal 94 3 2 3 3" xfId="14086"/>
    <cellStyle name="Normal 94 3 2 3 3 2" xfId="25203"/>
    <cellStyle name="Normal 94 3 2 3 4" xfId="17815"/>
    <cellStyle name="Normal 94 3 2 4" xfId="8539"/>
    <cellStyle name="Normal 94 3 2 4 2" xfId="19662"/>
    <cellStyle name="Normal 94 3 2 5" xfId="12239"/>
    <cellStyle name="Normal 94 3 2 5 2" xfId="23356"/>
    <cellStyle name="Normal 94 3 2 6" xfId="15968"/>
    <cellStyle name="Normal 94 3 3" xfId="1864"/>
    <cellStyle name="Normal 94 3 3 2" xfId="5061"/>
    <cellStyle name="Normal 94 3 3 2 2" xfId="7412"/>
    <cellStyle name="Normal 94 3 3 2 2 2" xfId="11113"/>
    <cellStyle name="Normal 94 3 3 2 2 2 2" xfId="22235"/>
    <cellStyle name="Normal 94 3 3 2 2 3" xfId="14812"/>
    <cellStyle name="Normal 94 3 3 2 2 3 2" xfId="25929"/>
    <cellStyle name="Normal 94 3 3 2 2 4" xfId="18541"/>
    <cellStyle name="Normal 94 3 3 2 3" xfId="9266"/>
    <cellStyle name="Normal 94 3 3 2 3 2" xfId="20388"/>
    <cellStyle name="Normal 94 3 3 2 4" xfId="12965"/>
    <cellStyle name="Normal 94 3 3 2 4 2" xfId="24082"/>
    <cellStyle name="Normal 94 3 3 2 5" xfId="16694"/>
    <cellStyle name="Normal 94 3 3 3" xfId="6493"/>
    <cellStyle name="Normal 94 3 3 3 2" xfId="10195"/>
    <cellStyle name="Normal 94 3 3 3 2 2" xfId="21317"/>
    <cellStyle name="Normal 94 3 3 3 3" xfId="13894"/>
    <cellStyle name="Normal 94 3 3 3 3 2" xfId="25011"/>
    <cellStyle name="Normal 94 3 3 3 4" xfId="17623"/>
    <cellStyle name="Normal 94 3 3 4" xfId="8347"/>
    <cellStyle name="Normal 94 3 3 4 2" xfId="19470"/>
    <cellStyle name="Normal 94 3 3 5" xfId="12047"/>
    <cellStyle name="Normal 94 3 3 5 2" xfId="23164"/>
    <cellStyle name="Normal 94 3 3 6" xfId="15776"/>
    <cellStyle name="Normal 94 3 4" xfId="4853"/>
    <cellStyle name="Normal 94 3 4 2" xfId="7204"/>
    <cellStyle name="Normal 94 3 4 2 2" xfId="10905"/>
    <cellStyle name="Normal 94 3 4 2 2 2" xfId="22027"/>
    <cellStyle name="Normal 94 3 4 2 3" xfId="14604"/>
    <cellStyle name="Normal 94 3 4 2 3 2" xfId="25721"/>
    <cellStyle name="Normal 94 3 4 2 4" xfId="18333"/>
    <cellStyle name="Normal 94 3 4 3" xfId="9058"/>
    <cellStyle name="Normal 94 3 4 3 2" xfId="20180"/>
    <cellStyle name="Normal 94 3 4 4" xfId="12757"/>
    <cellStyle name="Normal 94 3 4 4 2" xfId="23874"/>
    <cellStyle name="Normal 94 3 4 5" xfId="16486"/>
    <cellStyle name="Normal 94 3 5" xfId="6285"/>
    <cellStyle name="Normal 94 3 5 2" xfId="9987"/>
    <cellStyle name="Normal 94 3 5 2 2" xfId="21109"/>
    <cellStyle name="Normal 94 3 5 3" xfId="13686"/>
    <cellStyle name="Normal 94 3 5 3 2" xfId="24803"/>
    <cellStyle name="Normal 94 3 5 4" xfId="17415"/>
    <cellStyle name="Normal 94 3 6" xfId="8139"/>
    <cellStyle name="Normal 94 3 6 2" xfId="19262"/>
    <cellStyle name="Normal 94 3 7" xfId="11839"/>
    <cellStyle name="Normal 94 3 7 2" xfId="22956"/>
    <cellStyle name="Normal 94 3 8" xfId="15568"/>
    <cellStyle name="Normal 94 4" xfId="2150"/>
    <cellStyle name="Normal 94 4 2" xfId="5250"/>
    <cellStyle name="Normal 94 4 2 2" xfId="7601"/>
    <cellStyle name="Normal 94 4 2 2 2" xfId="11302"/>
    <cellStyle name="Normal 94 4 2 2 2 2" xfId="22424"/>
    <cellStyle name="Normal 94 4 2 2 3" xfId="15001"/>
    <cellStyle name="Normal 94 4 2 2 3 2" xfId="26118"/>
    <cellStyle name="Normal 94 4 2 2 4" xfId="18730"/>
    <cellStyle name="Normal 94 4 2 3" xfId="9455"/>
    <cellStyle name="Normal 94 4 2 3 2" xfId="20577"/>
    <cellStyle name="Normal 94 4 2 4" xfId="13154"/>
    <cellStyle name="Normal 94 4 2 4 2" xfId="24271"/>
    <cellStyle name="Normal 94 4 2 5" xfId="16883"/>
    <cellStyle name="Normal 94 4 3" xfId="6682"/>
    <cellStyle name="Normal 94 4 3 2" xfId="10384"/>
    <cellStyle name="Normal 94 4 3 2 2" xfId="21506"/>
    <cellStyle name="Normal 94 4 3 3" xfId="14083"/>
    <cellStyle name="Normal 94 4 3 3 2" xfId="25200"/>
    <cellStyle name="Normal 94 4 3 4" xfId="17812"/>
    <cellStyle name="Normal 94 4 4" xfId="8536"/>
    <cellStyle name="Normal 94 4 4 2" xfId="19659"/>
    <cellStyle name="Normal 94 4 5" xfId="12236"/>
    <cellStyle name="Normal 94 4 5 2" xfId="23353"/>
    <cellStyle name="Normal 94 4 6" xfId="15965"/>
    <cellStyle name="Normal 94 5" xfId="1760"/>
    <cellStyle name="Normal 94 5 2" xfId="4957"/>
    <cellStyle name="Normal 94 5 2 2" xfId="7308"/>
    <cellStyle name="Normal 94 5 2 2 2" xfId="11009"/>
    <cellStyle name="Normal 94 5 2 2 2 2" xfId="22131"/>
    <cellStyle name="Normal 94 5 2 2 3" xfId="14708"/>
    <cellStyle name="Normal 94 5 2 2 3 2" xfId="25825"/>
    <cellStyle name="Normal 94 5 2 2 4" xfId="18437"/>
    <cellStyle name="Normal 94 5 2 3" xfId="9162"/>
    <cellStyle name="Normal 94 5 2 3 2" xfId="20284"/>
    <cellStyle name="Normal 94 5 2 4" xfId="12861"/>
    <cellStyle name="Normal 94 5 2 4 2" xfId="23978"/>
    <cellStyle name="Normal 94 5 2 5" xfId="16590"/>
    <cellStyle name="Normal 94 5 3" xfId="6389"/>
    <cellStyle name="Normal 94 5 3 2" xfId="10091"/>
    <cellStyle name="Normal 94 5 3 2 2" xfId="21213"/>
    <cellStyle name="Normal 94 5 3 3" xfId="13790"/>
    <cellStyle name="Normal 94 5 3 3 2" xfId="24907"/>
    <cellStyle name="Normal 94 5 3 4" xfId="17519"/>
    <cellStyle name="Normal 94 5 4" xfId="8243"/>
    <cellStyle name="Normal 94 5 4 2" xfId="19366"/>
    <cellStyle name="Normal 94 5 5" xfId="11943"/>
    <cellStyle name="Normal 94 5 5 2" xfId="23060"/>
    <cellStyle name="Normal 94 5 6" xfId="15672"/>
    <cellStyle name="Normal 94 6" xfId="3803"/>
    <cellStyle name="Normal 94 7" xfId="4748"/>
    <cellStyle name="Normal 94 7 2" xfId="7100"/>
    <cellStyle name="Normal 94 7 2 2" xfId="10801"/>
    <cellStyle name="Normal 94 7 2 2 2" xfId="21923"/>
    <cellStyle name="Normal 94 7 2 3" xfId="14500"/>
    <cellStyle name="Normal 94 7 2 3 2" xfId="25617"/>
    <cellStyle name="Normal 94 7 2 4" xfId="18229"/>
    <cellStyle name="Normal 94 7 3" xfId="8954"/>
    <cellStyle name="Normal 94 7 3 2" xfId="20076"/>
    <cellStyle name="Normal 94 7 4" xfId="12653"/>
    <cellStyle name="Normal 94 7 4 2" xfId="23770"/>
    <cellStyle name="Normal 94 7 5" xfId="16382"/>
    <cellStyle name="Normal 94 8" xfId="6181"/>
    <cellStyle name="Normal 94 8 2" xfId="9883"/>
    <cellStyle name="Normal 94 8 2 2" xfId="21005"/>
    <cellStyle name="Normal 94 8 3" xfId="13582"/>
    <cellStyle name="Normal 94 8 3 2" xfId="24699"/>
    <cellStyle name="Normal 94 8 4" xfId="17311"/>
    <cellStyle name="Normal 94 9" xfId="8034"/>
    <cellStyle name="Normal 94 9 2" xfId="19158"/>
    <cellStyle name="Normal 95" xfId="871"/>
    <cellStyle name="Normal 95 10" xfId="11736"/>
    <cellStyle name="Normal 95 10 2" xfId="22853"/>
    <cellStyle name="Normal 95 11" xfId="15465"/>
    <cellStyle name="Normal 95 2" xfId="1589"/>
    <cellStyle name="Normal 95 2 2" xfId="1708"/>
    <cellStyle name="Normal 95 2 2 2" xfId="2156"/>
    <cellStyle name="Normal 95 2 2 2 2" xfId="5256"/>
    <cellStyle name="Normal 95 2 2 2 2 2" xfId="7607"/>
    <cellStyle name="Normal 95 2 2 2 2 2 2" xfId="11308"/>
    <cellStyle name="Normal 95 2 2 2 2 2 2 2" xfId="22430"/>
    <cellStyle name="Normal 95 2 2 2 2 2 3" xfId="15007"/>
    <cellStyle name="Normal 95 2 2 2 2 2 3 2" xfId="26124"/>
    <cellStyle name="Normal 95 2 2 2 2 2 4" xfId="18736"/>
    <cellStyle name="Normal 95 2 2 2 2 3" xfId="9461"/>
    <cellStyle name="Normal 95 2 2 2 2 3 2" xfId="20583"/>
    <cellStyle name="Normal 95 2 2 2 2 4" xfId="13160"/>
    <cellStyle name="Normal 95 2 2 2 2 4 2" xfId="24277"/>
    <cellStyle name="Normal 95 2 2 2 2 5" xfId="16889"/>
    <cellStyle name="Normal 95 2 2 2 3" xfId="6688"/>
    <cellStyle name="Normal 95 2 2 2 3 2" xfId="10390"/>
    <cellStyle name="Normal 95 2 2 2 3 2 2" xfId="21512"/>
    <cellStyle name="Normal 95 2 2 2 3 3" xfId="14089"/>
    <cellStyle name="Normal 95 2 2 2 3 3 2" xfId="25206"/>
    <cellStyle name="Normal 95 2 2 2 3 4" xfId="17818"/>
    <cellStyle name="Normal 95 2 2 2 4" xfId="8542"/>
    <cellStyle name="Normal 95 2 2 2 4 2" xfId="19665"/>
    <cellStyle name="Normal 95 2 2 2 5" xfId="12242"/>
    <cellStyle name="Normal 95 2 2 2 5 2" xfId="23359"/>
    <cellStyle name="Normal 95 2 2 2 6" xfId="15971"/>
    <cellStyle name="Normal 95 2 2 3" xfId="1918"/>
    <cellStyle name="Normal 95 2 2 3 2" xfId="5115"/>
    <cellStyle name="Normal 95 2 2 3 2 2" xfId="7466"/>
    <cellStyle name="Normal 95 2 2 3 2 2 2" xfId="11167"/>
    <cellStyle name="Normal 95 2 2 3 2 2 2 2" xfId="22289"/>
    <cellStyle name="Normal 95 2 2 3 2 2 3" xfId="14866"/>
    <cellStyle name="Normal 95 2 2 3 2 2 3 2" xfId="25983"/>
    <cellStyle name="Normal 95 2 2 3 2 2 4" xfId="18595"/>
    <cellStyle name="Normal 95 2 2 3 2 3" xfId="9320"/>
    <cellStyle name="Normal 95 2 2 3 2 3 2" xfId="20442"/>
    <cellStyle name="Normal 95 2 2 3 2 4" xfId="13019"/>
    <cellStyle name="Normal 95 2 2 3 2 4 2" xfId="24136"/>
    <cellStyle name="Normal 95 2 2 3 2 5" xfId="16748"/>
    <cellStyle name="Normal 95 2 2 3 3" xfId="6547"/>
    <cellStyle name="Normal 95 2 2 3 3 2" xfId="10249"/>
    <cellStyle name="Normal 95 2 2 3 3 2 2" xfId="21371"/>
    <cellStyle name="Normal 95 2 2 3 3 3" xfId="13948"/>
    <cellStyle name="Normal 95 2 2 3 3 3 2" xfId="25065"/>
    <cellStyle name="Normal 95 2 2 3 3 4" xfId="17677"/>
    <cellStyle name="Normal 95 2 2 3 4" xfId="8401"/>
    <cellStyle name="Normal 95 2 2 3 4 2" xfId="19524"/>
    <cellStyle name="Normal 95 2 2 3 5" xfId="12101"/>
    <cellStyle name="Normal 95 2 2 3 5 2" xfId="23218"/>
    <cellStyle name="Normal 95 2 2 3 6" xfId="15830"/>
    <cellStyle name="Normal 95 2 2 4" xfId="4907"/>
    <cellStyle name="Normal 95 2 2 4 2" xfId="7258"/>
    <cellStyle name="Normal 95 2 2 4 2 2" xfId="10959"/>
    <cellStyle name="Normal 95 2 2 4 2 2 2" xfId="22081"/>
    <cellStyle name="Normal 95 2 2 4 2 3" xfId="14658"/>
    <cellStyle name="Normal 95 2 2 4 2 3 2" xfId="25775"/>
    <cellStyle name="Normal 95 2 2 4 2 4" xfId="18387"/>
    <cellStyle name="Normal 95 2 2 4 3" xfId="9112"/>
    <cellStyle name="Normal 95 2 2 4 3 2" xfId="20234"/>
    <cellStyle name="Normal 95 2 2 4 4" xfId="12811"/>
    <cellStyle name="Normal 95 2 2 4 4 2" xfId="23928"/>
    <cellStyle name="Normal 95 2 2 4 5" xfId="16540"/>
    <cellStyle name="Normal 95 2 2 5" xfId="6339"/>
    <cellStyle name="Normal 95 2 2 5 2" xfId="10041"/>
    <cellStyle name="Normal 95 2 2 5 2 2" xfId="21163"/>
    <cellStyle name="Normal 95 2 2 5 3" xfId="13740"/>
    <cellStyle name="Normal 95 2 2 5 3 2" xfId="24857"/>
    <cellStyle name="Normal 95 2 2 5 4" xfId="17469"/>
    <cellStyle name="Normal 95 2 2 6" xfId="8193"/>
    <cellStyle name="Normal 95 2 2 6 2" xfId="19316"/>
    <cellStyle name="Normal 95 2 2 7" xfId="11893"/>
    <cellStyle name="Normal 95 2 2 7 2" xfId="23010"/>
    <cellStyle name="Normal 95 2 2 8" xfId="15622"/>
    <cellStyle name="Normal 95 2 3" xfId="2155"/>
    <cellStyle name="Normal 95 2 3 2" xfId="5255"/>
    <cellStyle name="Normal 95 2 3 2 2" xfId="7606"/>
    <cellStyle name="Normal 95 2 3 2 2 2" xfId="11307"/>
    <cellStyle name="Normal 95 2 3 2 2 2 2" xfId="22429"/>
    <cellStyle name="Normal 95 2 3 2 2 3" xfId="15006"/>
    <cellStyle name="Normal 95 2 3 2 2 3 2" xfId="26123"/>
    <cellStyle name="Normal 95 2 3 2 2 4" xfId="18735"/>
    <cellStyle name="Normal 95 2 3 2 3" xfId="9460"/>
    <cellStyle name="Normal 95 2 3 2 3 2" xfId="20582"/>
    <cellStyle name="Normal 95 2 3 2 4" xfId="13159"/>
    <cellStyle name="Normal 95 2 3 2 4 2" xfId="24276"/>
    <cellStyle name="Normal 95 2 3 2 5" xfId="16888"/>
    <cellStyle name="Normal 95 2 3 3" xfId="6687"/>
    <cellStyle name="Normal 95 2 3 3 2" xfId="10389"/>
    <cellStyle name="Normal 95 2 3 3 2 2" xfId="21511"/>
    <cellStyle name="Normal 95 2 3 3 3" xfId="14088"/>
    <cellStyle name="Normal 95 2 3 3 3 2" xfId="25205"/>
    <cellStyle name="Normal 95 2 3 3 4" xfId="17817"/>
    <cellStyle name="Normal 95 2 3 4" xfId="8541"/>
    <cellStyle name="Normal 95 2 3 4 2" xfId="19664"/>
    <cellStyle name="Normal 95 2 3 5" xfId="12241"/>
    <cellStyle name="Normal 95 2 3 5 2" xfId="23358"/>
    <cellStyle name="Normal 95 2 3 6" xfId="15970"/>
    <cellStyle name="Normal 95 2 4" xfId="1812"/>
    <cellStyle name="Normal 95 2 4 2" xfId="5009"/>
    <cellStyle name="Normal 95 2 4 2 2" xfId="7360"/>
    <cellStyle name="Normal 95 2 4 2 2 2" xfId="11061"/>
    <cellStyle name="Normal 95 2 4 2 2 2 2" xfId="22183"/>
    <cellStyle name="Normal 95 2 4 2 2 3" xfId="14760"/>
    <cellStyle name="Normal 95 2 4 2 2 3 2" xfId="25877"/>
    <cellStyle name="Normal 95 2 4 2 2 4" xfId="18489"/>
    <cellStyle name="Normal 95 2 4 2 3" xfId="9214"/>
    <cellStyle name="Normal 95 2 4 2 3 2" xfId="20336"/>
    <cellStyle name="Normal 95 2 4 2 4" xfId="12913"/>
    <cellStyle name="Normal 95 2 4 2 4 2" xfId="24030"/>
    <cellStyle name="Normal 95 2 4 2 5" xfId="16642"/>
    <cellStyle name="Normal 95 2 4 3" xfId="6441"/>
    <cellStyle name="Normal 95 2 4 3 2" xfId="10143"/>
    <cellStyle name="Normal 95 2 4 3 2 2" xfId="21265"/>
    <cellStyle name="Normal 95 2 4 3 3" xfId="13842"/>
    <cellStyle name="Normal 95 2 4 3 3 2" xfId="24959"/>
    <cellStyle name="Normal 95 2 4 3 4" xfId="17571"/>
    <cellStyle name="Normal 95 2 4 4" xfId="8295"/>
    <cellStyle name="Normal 95 2 4 4 2" xfId="19418"/>
    <cellStyle name="Normal 95 2 4 5" xfId="11995"/>
    <cellStyle name="Normal 95 2 4 5 2" xfId="23112"/>
    <cellStyle name="Normal 95 2 4 6" xfId="15724"/>
    <cellStyle name="Normal 95 2 5" xfId="4801"/>
    <cellStyle name="Normal 95 2 5 2" xfId="7152"/>
    <cellStyle name="Normal 95 2 5 2 2" xfId="10853"/>
    <cellStyle name="Normal 95 2 5 2 2 2" xfId="21975"/>
    <cellStyle name="Normal 95 2 5 2 3" xfId="14552"/>
    <cellStyle name="Normal 95 2 5 2 3 2" xfId="25669"/>
    <cellStyle name="Normal 95 2 5 2 4" xfId="18281"/>
    <cellStyle name="Normal 95 2 5 3" xfId="9006"/>
    <cellStyle name="Normal 95 2 5 3 2" xfId="20128"/>
    <cellStyle name="Normal 95 2 5 4" xfId="12705"/>
    <cellStyle name="Normal 95 2 5 4 2" xfId="23822"/>
    <cellStyle name="Normal 95 2 5 5" xfId="16434"/>
    <cellStyle name="Normal 95 2 6" xfId="6233"/>
    <cellStyle name="Normal 95 2 6 2" xfId="9935"/>
    <cellStyle name="Normal 95 2 6 2 2" xfId="21057"/>
    <cellStyle name="Normal 95 2 6 3" xfId="13634"/>
    <cellStyle name="Normal 95 2 6 3 2" xfId="24751"/>
    <cellStyle name="Normal 95 2 6 4" xfId="17363"/>
    <cellStyle name="Normal 95 2 7" xfId="8087"/>
    <cellStyle name="Normal 95 2 7 2" xfId="19210"/>
    <cellStyle name="Normal 95 2 8" xfId="11787"/>
    <cellStyle name="Normal 95 2 8 2" xfId="22904"/>
    <cellStyle name="Normal 95 2 9" xfId="15516"/>
    <cellStyle name="Normal 95 3" xfId="1653"/>
    <cellStyle name="Normal 95 3 2" xfId="2157"/>
    <cellStyle name="Normal 95 3 2 2" xfId="5257"/>
    <cellStyle name="Normal 95 3 2 2 2" xfId="7608"/>
    <cellStyle name="Normal 95 3 2 2 2 2" xfId="11309"/>
    <cellStyle name="Normal 95 3 2 2 2 2 2" xfId="22431"/>
    <cellStyle name="Normal 95 3 2 2 2 3" xfId="15008"/>
    <cellStyle name="Normal 95 3 2 2 2 3 2" xfId="26125"/>
    <cellStyle name="Normal 95 3 2 2 2 4" xfId="18737"/>
    <cellStyle name="Normal 95 3 2 2 3" xfId="9462"/>
    <cellStyle name="Normal 95 3 2 2 3 2" xfId="20584"/>
    <cellStyle name="Normal 95 3 2 2 4" xfId="13161"/>
    <cellStyle name="Normal 95 3 2 2 4 2" xfId="24278"/>
    <cellStyle name="Normal 95 3 2 2 5" xfId="16890"/>
    <cellStyle name="Normal 95 3 2 3" xfId="6689"/>
    <cellStyle name="Normal 95 3 2 3 2" xfId="10391"/>
    <cellStyle name="Normal 95 3 2 3 2 2" xfId="21513"/>
    <cellStyle name="Normal 95 3 2 3 3" xfId="14090"/>
    <cellStyle name="Normal 95 3 2 3 3 2" xfId="25207"/>
    <cellStyle name="Normal 95 3 2 3 4" xfId="17819"/>
    <cellStyle name="Normal 95 3 2 4" xfId="8543"/>
    <cellStyle name="Normal 95 3 2 4 2" xfId="19666"/>
    <cellStyle name="Normal 95 3 2 5" xfId="12243"/>
    <cellStyle name="Normal 95 3 2 5 2" xfId="23360"/>
    <cellStyle name="Normal 95 3 2 6" xfId="15972"/>
    <cellStyle name="Normal 95 3 3" xfId="1865"/>
    <cellStyle name="Normal 95 3 3 2" xfId="5062"/>
    <cellStyle name="Normal 95 3 3 2 2" xfId="7413"/>
    <cellStyle name="Normal 95 3 3 2 2 2" xfId="11114"/>
    <cellStyle name="Normal 95 3 3 2 2 2 2" xfId="22236"/>
    <cellStyle name="Normal 95 3 3 2 2 3" xfId="14813"/>
    <cellStyle name="Normal 95 3 3 2 2 3 2" xfId="25930"/>
    <cellStyle name="Normal 95 3 3 2 2 4" xfId="18542"/>
    <cellStyle name="Normal 95 3 3 2 3" xfId="9267"/>
    <cellStyle name="Normal 95 3 3 2 3 2" xfId="20389"/>
    <cellStyle name="Normal 95 3 3 2 4" xfId="12966"/>
    <cellStyle name="Normal 95 3 3 2 4 2" xfId="24083"/>
    <cellStyle name="Normal 95 3 3 2 5" xfId="16695"/>
    <cellStyle name="Normal 95 3 3 3" xfId="6494"/>
    <cellStyle name="Normal 95 3 3 3 2" xfId="10196"/>
    <cellStyle name="Normal 95 3 3 3 2 2" xfId="21318"/>
    <cellStyle name="Normal 95 3 3 3 3" xfId="13895"/>
    <cellStyle name="Normal 95 3 3 3 3 2" xfId="25012"/>
    <cellStyle name="Normal 95 3 3 3 4" xfId="17624"/>
    <cellStyle name="Normal 95 3 3 4" xfId="8348"/>
    <cellStyle name="Normal 95 3 3 4 2" xfId="19471"/>
    <cellStyle name="Normal 95 3 3 5" xfId="12048"/>
    <cellStyle name="Normal 95 3 3 5 2" xfId="23165"/>
    <cellStyle name="Normal 95 3 3 6" xfId="15777"/>
    <cellStyle name="Normal 95 3 4" xfId="4854"/>
    <cellStyle name="Normal 95 3 4 2" xfId="7205"/>
    <cellStyle name="Normal 95 3 4 2 2" xfId="10906"/>
    <cellStyle name="Normal 95 3 4 2 2 2" xfId="22028"/>
    <cellStyle name="Normal 95 3 4 2 3" xfId="14605"/>
    <cellStyle name="Normal 95 3 4 2 3 2" xfId="25722"/>
    <cellStyle name="Normal 95 3 4 2 4" xfId="18334"/>
    <cellStyle name="Normal 95 3 4 3" xfId="9059"/>
    <cellStyle name="Normal 95 3 4 3 2" xfId="20181"/>
    <cellStyle name="Normal 95 3 4 4" xfId="12758"/>
    <cellStyle name="Normal 95 3 4 4 2" xfId="23875"/>
    <cellStyle name="Normal 95 3 4 5" xfId="16487"/>
    <cellStyle name="Normal 95 3 5" xfId="6286"/>
    <cellStyle name="Normal 95 3 5 2" xfId="9988"/>
    <cellStyle name="Normal 95 3 5 2 2" xfId="21110"/>
    <cellStyle name="Normal 95 3 5 3" xfId="13687"/>
    <cellStyle name="Normal 95 3 5 3 2" xfId="24804"/>
    <cellStyle name="Normal 95 3 5 4" xfId="17416"/>
    <cellStyle name="Normal 95 3 6" xfId="8140"/>
    <cellStyle name="Normal 95 3 6 2" xfId="19263"/>
    <cellStyle name="Normal 95 3 7" xfId="11840"/>
    <cellStyle name="Normal 95 3 7 2" xfId="22957"/>
    <cellStyle name="Normal 95 3 8" xfId="15569"/>
    <cellStyle name="Normal 95 4" xfId="2154"/>
    <cellStyle name="Normal 95 4 2" xfId="5254"/>
    <cellStyle name="Normal 95 4 2 2" xfId="7605"/>
    <cellStyle name="Normal 95 4 2 2 2" xfId="11306"/>
    <cellStyle name="Normal 95 4 2 2 2 2" xfId="22428"/>
    <cellStyle name="Normal 95 4 2 2 3" xfId="15005"/>
    <cellStyle name="Normal 95 4 2 2 3 2" xfId="26122"/>
    <cellStyle name="Normal 95 4 2 2 4" xfId="18734"/>
    <cellStyle name="Normal 95 4 2 3" xfId="9459"/>
    <cellStyle name="Normal 95 4 2 3 2" xfId="20581"/>
    <cellStyle name="Normal 95 4 2 4" xfId="13158"/>
    <cellStyle name="Normal 95 4 2 4 2" xfId="24275"/>
    <cellStyle name="Normal 95 4 2 5" xfId="16887"/>
    <cellStyle name="Normal 95 4 3" xfId="6686"/>
    <cellStyle name="Normal 95 4 3 2" xfId="10388"/>
    <cellStyle name="Normal 95 4 3 2 2" xfId="21510"/>
    <cellStyle name="Normal 95 4 3 3" xfId="14087"/>
    <cellStyle name="Normal 95 4 3 3 2" xfId="25204"/>
    <cellStyle name="Normal 95 4 3 4" xfId="17816"/>
    <cellStyle name="Normal 95 4 4" xfId="8540"/>
    <cellStyle name="Normal 95 4 4 2" xfId="19663"/>
    <cellStyle name="Normal 95 4 5" xfId="12240"/>
    <cellStyle name="Normal 95 4 5 2" xfId="23357"/>
    <cellStyle name="Normal 95 4 6" xfId="15969"/>
    <cellStyle name="Normal 95 5" xfId="1761"/>
    <cellStyle name="Normal 95 5 2" xfId="4958"/>
    <cellStyle name="Normal 95 5 2 2" xfId="7309"/>
    <cellStyle name="Normal 95 5 2 2 2" xfId="11010"/>
    <cellStyle name="Normal 95 5 2 2 2 2" xfId="22132"/>
    <cellStyle name="Normal 95 5 2 2 3" xfId="14709"/>
    <cellStyle name="Normal 95 5 2 2 3 2" xfId="25826"/>
    <cellStyle name="Normal 95 5 2 2 4" xfId="18438"/>
    <cellStyle name="Normal 95 5 2 3" xfId="9163"/>
    <cellStyle name="Normal 95 5 2 3 2" xfId="20285"/>
    <cellStyle name="Normal 95 5 2 4" xfId="12862"/>
    <cellStyle name="Normal 95 5 2 4 2" xfId="23979"/>
    <cellStyle name="Normal 95 5 2 5" xfId="16591"/>
    <cellStyle name="Normal 95 5 3" xfId="6390"/>
    <cellStyle name="Normal 95 5 3 2" xfId="10092"/>
    <cellStyle name="Normal 95 5 3 2 2" xfId="21214"/>
    <cellStyle name="Normal 95 5 3 3" xfId="13791"/>
    <cellStyle name="Normal 95 5 3 3 2" xfId="24908"/>
    <cellStyle name="Normal 95 5 3 4" xfId="17520"/>
    <cellStyle name="Normal 95 5 4" xfId="8244"/>
    <cellStyle name="Normal 95 5 4 2" xfId="19367"/>
    <cellStyle name="Normal 95 5 5" xfId="11944"/>
    <cellStyle name="Normal 95 5 5 2" xfId="23061"/>
    <cellStyle name="Normal 95 5 6" xfId="15673"/>
    <cellStyle name="Normal 95 6" xfId="3804"/>
    <cellStyle name="Normal 95 7" xfId="4749"/>
    <cellStyle name="Normal 95 7 2" xfId="7101"/>
    <cellStyle name="Normal 95 7 2 2" xfId="10802"/>
    <cellStyle name="Normal 95 7 2 2 2" xfId="21924"/>
    <cellStyle name="Normal 95 7 2 3" xfId="14501"/>
    <cellStyle name="Normal 95 7 2 3 2" xfId="25618"/>
    <cellStyle name="Normal 95 7 2 4" xfId="18230"/>
    <cellStyle name="Normal 95 7 3" xfId="8955"/>
    <cellStyle name="Normal 95 7 3 2" xfId="20077"/>
    <cellStyle name="Normal 95 7 4" xfId="12654"/>
    <cellStyle name="Normal 95 7 4 2" xfId="23771"/>
    <cellStyle name="Normal 95 7 5" xfId="16383"/>
    <cellStyle name="Normal 95 8" xfId="6182"/>
    <cellStyle name="Normal 95 8 2" xfId="9884"/>
    <cellStyle name="Normal 95 8 2 2" xfId="21006"/>
    <cellStyle name="Normal 95 8 3" xfId="13583"/>
    <cellStyle name="Normal 95 8 3 2" xfId="24700"/>
    <cellStyle name="Normal 95 8 4" xfId="17312"/>
    <cellStyle name="Normal 95 9" xfId="8035"/>
    <cellStyle name="Normal 95 9 2" xfId="19159"/>
    <cellStyle name="Normal 96" xfId="872"/>
    <cellStyle name="Normal 96 10" xfId="11737"/>
    <cellStyle name="Normal 96 10 2" xfId="22854"/>
    <cellStyle name="Normal 96 11" xfId="15466"/>
    <cellStyle name="Normal 96 2" xfId="1590"/>
    <cellStyle name="Normal 96 2 2" xfId="1709"/>
    <cellStyle name="Normal 96 2 2 2" xfId="2160"/>
    <cellStyle name="Normal 96 2 2 2 2" xfId="5260"/>
    <cellStyle name="Normal 96 2 2 2 2 2" xfId="7611"/>
    <cellStyle name="Normal 96 2 2 2 2 2 2" xfId="11312"/>
    <cellStyle name="Normal 96 2 2 2 2 2 2 2" xfId="22434"/>
    <cellStyle name="Normal 96 2 2 2 2 2 3" xfId="15011"/>
    <cellStyle name="Normal 96 2 2 2 2 2 3 2" xfId="26128"/>
    <cellStyle name="Normal 96 2 2 2 2 2 4" xfId="18740"/>
    <cellStyle name="Normal 96 2 2 2 2 3" xfId="9465"/>
    <cellStyle name="Normal 96 2 2 2 2 3 2" xfId="20587"/>
    <cellStyle name="Normal 96 2 2 2 2 4" xfId="13164"/>
    <cellStyle name="Normal 96 2 2 2 2 4 2" xfId="24281"/>
    <cellStyle name="Normal 96 2 2 2 2 5" xfId="16893"/>
    <cellStyle name="Normal 96 2 2 2 3" xfId="6692"/>
    <cellStyle name="Normal 96 2 2 2 3 2" xfId="10394"/>
    <cellStyle name="Normal 96 2 2 2 3 2 2" xfId="21516"/>
    <cellStyle name="Normal 96 2 2 2 3 3" xfId="14093"/>
    <cellStyle name="Normal 96 2 2 2 3 3 2" xfId="25210"/>
    <cellStyle name="Normal 96 2 2 2 3 4" xfId="17822"/>
    <cellStyle name="Normal 96 2 2 2 4" xfId="8546"/>
    <cellStyle name="Normal 96 2 2 2 4 2" xfId="19669"/>
    <cellStyle name="Normal 96 2 2 2 5" xfId="12246"/>
    <cellStyle name="Normal 96 2 2 2 5 2" xfId="23363"/>
    <cellStyle name="Normal 96 2 2 2 6" xfId="15975"/>
    <cellStyle name="Normal 96 2 2 3" xfId="1919"/>
    <cellStyle name="Normal 96 2 2 3 2" xfId="5116"/>
    <cellStyle name="Normal 96 2 2 3 2 2" xfId="7467"/>
    <cellStyle name="Normal 96 2 2 3 2 2 2" xfId="11168"/>
    <cellStyle name="Normal 96 2 2 3 2 2 2 2" xfId="22290"/>
    <cellStyle name="Normal 96 2 2 3 2 2 3" xfId="14867"/>
    <cellStyle name="Normal 96 2 2 3 2 2 3 2" xfId="25984"/>
    <cellStyle name="Normal 96 2 2 3 2 2 4" xfId="18596"/>
    <cellStyle name="Normal 96 2 2 3 2 3" xfId="9321"/>
    <cellStyle name="Normal 96 2 2 3 2 3 2" xfId="20443"/>
    <cellStyle name="Normal 96 2 2 3 2 4" xfId="13020"/>
    <cellStyle name="Normal 96 2 2 3 2 4 2" xfId="24137"/>
    <cellStyle name="Normal 96 2 2 3 2 5" xfId="16749"/>
    <cellStyle name="Normal 96 2 2 3 3" xfId="6548"/>
    <cellStyle name="Normal 96 2 2 3 3 2" xfId="10250"/>
    <cellStyle name="Normal 96 2 2 3 3 2 2" xfId="21372"/>
    <cellStyle name="Normal 96 2 2 3 3 3" xfId="13949"/>
    <cellStyle name="Normal 96 2 2 3 3 3 2" xfId="25066"/>
    <cellStyle name="Normal 96 2 2 3 3 4" xfId="17678"/>
    <cellStyle name="Normal 96 2 2 3 4" xfId="8402"/>
    <cellStyle name="Normal 96 2 2 3 4 2" xfId="19525"/>
    <cellStyle name="Normal 96 2 2 3 5" xfId="12102"/>
    <cellStyle name="Normal 96 2 2 3 5 2" xfId="23219"/>
    <cellStyle name="Normal 96 2 2 3 6" xfId="15831"/>
    <cellStyle name="Normal 96 2 2 4" xfId="4908"/>
    <cellStyle name="Normal 96 2 2 4 2" xfId="7259"/>
    <cellStyle name="Normal 96 2 2 4 2 2" xfId="10960"/>
    <cellStyle name="Normal 96 2 2 4 2 2 2" xfId="22082"/>
    <cellStyle name="Normal 96 2 2 4 2 3" xfId="14659"/>
    <cellStyle name="Normal 96 2 2 4 2 3 2" xfId="25776"/>
    <cellStyle name="Normal 96 2 2 4 2 4" xfId="18388"/>
    <cellStyle name="Normal 96 2 2 4 3" xfId="9113"/>
    <cellStyle name="Normal 96 2 2 4 3 2" xfId="20235"/>
    <cellStyle name="Normal 96 2 2 4 4" xfId="12812"/>
    <cellStyle name="Normal 96 2 2 4 4 2" xfId="23929"/>
    <cellStyle name="Normal 96 2 2 4 5" xfId="16541"/>
    <cellStyle name="Normal 96 2 2 5" xfId="6340"/>
    <cellStyle name="Normal 96 2 2 5 2" xfId="10042"/>
    <cellStyle name="Normal 96 2 2 5 2 2" xfId="21164"/>
    <cellStyle name="Normal 96 2 2 5 3" xfId="13741"/>
    <cellStyle name="Normal 96 2 2 5 3 2" xfId="24858"/>
    <cellStyle name="Normal 96 2 2 5 4" xfId="17470"/>
    <cellStyle name="Normal 96 2 2 6" xfId="8194"/>
    <cellStyle name="Normal 96 2 2 6 2" xfId="19317"/>
    <cellStyle name="Normal 96 2 2 7" xfId="11894"/>
    <cellStyle name="Normal 96 2 2 7 2" xfId="23011"/>
    <cellStyle name="Normal 96 2 2 8" xfId="15623"/>
    <cellStyle name="Normal 96 2 3" xfId="2159"/>
    <cellStyle name="Normal 96 2 3 2" xfId="5259"/>
    <cellStyle name="Normal 96 2 3 2 2" xfId="7610"/>
    <cellStyle name="Normal 96 2 3 2 2 2" xfId="11311"/>
    <cellStyle name="Normal 96 2 3 2 2 2 2" xfId="22433"/>
    <cellStyle name="Normal 96 2 3 2 2 3" xfId="15010"/>
    <cellStyle name="Normal 96 2 3 2 2 3 2" xfId="26127"/>
    <cellStyle name="Normal 96 2 3 2 2 4" xfId="18739"/>
    <cellStyle name="Normal 96 2 3 2 3" xfId="9464"/>
    <cellStyle name="Normal 96 2 3 2 3 2" xfId="20586"/>
    <cellStyle name="Normal 96 2 3 2 4" xfId="13163"/>
    <cellStyle name="Normal 96 2 3 2 4 2" xfId="24280"/>
    <cellStyle name="Normal 96 2 3 2 5" xfId="16892"/>
    <cellStyle name="Normal 96 2 3 3" xfId="6691"/>
    <cellStyle name="Normal 96 2 3 3 2" xfId="10393"/>
    <cellStyle name="Normal 96 2 3 3 2 2" xfId="21515"/>
    <cellStyle name="Normal 96 2 3 3 3" xfId="14092"/>
    <cellStyle name="Normal 96 2 3 3 3 2" xfId="25209"/>
    <cellStyle name="Normal 96 2 3 3 4" xfId="17821"/>
    <cellStyle name="Normal 96 2 3 4" xfId="8545"/>
    <cellStyle name="Normal 96 2 3 4 2" xfId="19668"/>
    <cellStyle name="Normal 96 2 3 5" xfId="12245"/>
    <cellStyle name="Normal 96 2 3 5 2" xfId="23362"/>
    <cellStyle name="Normal 96 2 3 6" xfId="15974"/>
    <cellStyle name="Normal 96 2 4" xfId="1813"/>
    <cellStyle name="Normal 96 2 4 2" xfId="5010"/>
    <cellStyle name="Normal 96 2 4 2 2" xfId="7361"/>
    <cellStyle name="Normal 96 2 4 2 2 2" xfId="11062"/>
    <cellStyle name="Normal 96 2 4 2 2 2 2" xfId="22184"/>
    <cellStyle name="Normal 96 2 4 2 2 3" xfId="14761"/>
    <cellStyle name="Normal 96 2 4 2 2 3 2" xfId="25878"/>
    <cellStyle name="Normal 96 2 4 2 2 4" xfId="18490"/>
    <cellStyle name="Normal 96 2 4 2 3" xfId="9215"/>
    <cellStyle name="Normal 96 2 4 2 3 2" xfId="20337"/>
    <cellStyle name="Normal 96 2 4 2 4" xfId="12914"/>
    <cellStyle name="Normal 96 2 4 2 4 2" xfId="24031"/>
    <cellStyle name="Normal 96 2 4 2 5" xfId="16643"/>
    <cellStyle name="Normal 96 2 4 3" xfId="6442"/>
    <cellStyle name="Normal 96 2 4 3 2" xfId="10144"/>
    <cellStyle name="Normal 96 2 4 3 2 2" xfId="21266"/>
    <cellStyle name="Normal 96 2 4 3 3" xfId="13843"/>
    <cellStyle name="Normal 96 2 4 3 3 2" xfId="24960"/>
    <cellStyle name="Normal 96 2 4 3 4" xfId="17572"/>
    <cellStyle name="Normal 96 2 4 4" xfId="8296"/>
    <cellStyle name="Normal 96 2 4 4 2" xfId="19419"/>
    <cellStyle name="Normal 96 2 4 5" xfId="11996"/>
    <cellStyle name="Normal 96 2 4 5 2" xfId="23113"/>
    <cellStyle name="Normal 96 2 4 6" xfId="15725"/>
    <cellStyle name="Normal 96 2 5" xfId="4802"/>
    <cellStyle name="Normal 96 2 5 2" xfId="7153"/>
    <cellStyle name="Normal 96 2 5 2 2" xfId="10854"/>
    <cellStyle name="Normal 96 2 5 2 2 2" xfId="21976"/>
    <cellStyle name="Normal 96 2 5 2 3" xfId="14553"/>
    <cellStyle name="Normal 96 2 5 2 3 2" xfId="25670"/>
    <cellStyle name="Normal 96 2 5 2 4" xfId="18282"/>
    <cellStyle name="Normal 96 2 5 3" xfId="9007"/>
    <cellStyle name="Normal 96 2 5 3 2" xfId="20129"/>
    <cellStyle name="Normal 96 2 5 4" xfId="12706"/>
    <cellStyle name="Normal 96 2 5 4 2" xfId="23823"/>
    <cellStyle name="Normal 96 2 5 5" xfId="16435"/>
    <cellStyle name="Normal 96 2 6" xfId="6234"/>
    <cellStyle name="Normal 96 2 6 2" xfId="9936"/>
    <cellStyle name="Normal 96 2 6 2 2" xfId="21058"/>
    <cellStyle name="Normal 96 2 6 3" xfId="13635"/>
    <cellStyle name="Normal 96 2 6 3 2" xfId="24752"/>
    <cellStyle name="Normal 96 2 6 4" xfId="17364"/>
    <cellStyle name="Normal 96 2 7" xfId="8088"/>
    <cellStyle name="Normal 96 2 7 2" xfId="19211"/>
    <cellStyle name="Normal 96 2 8" xfId="11788"/>
    <cellStyle name="Normal 96 2 8 2" xfId="22905"/>
    <cellStyle name="Normal 96 2 9" xfId="15517"/>
    <cellStyle name="Normal 96 3" xfId="1654"/>
    <cellStyle name="Normal 96 3 2" xfId="2161"/>
    <cellStyle name="Normal 96 3 2 2" xfId="5261"/>
    <cellStyle name="Normal 96 3 2 2 2" xfId="7612"/>
    <cellStyle name="Normal 96 3 2 2 2 2" xfId="11313"/>
    <cellStyle name="Normal 96 3 2 2 2 2 2" xfId="22435"/>
    <cellStyle name="Normal 96 3 2 2 2 3" xfId="15012"/>
    <cellStyle name="Normal 96 3 2 2 2 3 2" xfId="26129"/>
    <cellStyle name="Normal 96 3 2 2 2 4" xfId="18741"/>
    <cellStyle name="Normal 96 3 2 2 3" xfId="9466"/>
    <cellStyle name="Normal 96 3 2 2 3 2" xfId="20588"/>
    <cellStyle name="Normal 96 3 2 2 4" xfId="13165"/>
    <cellStyle name="Normal 96 3 2 2 4 2" xfId="24282"/>
    <cellStyle name="Normal 96 3 2 2 5" xfId="16894"/>
    <cellStyle name="Normal 96 3 2 3" xfId="6693"/>
    <cellStyle name="Normal 96 3 2 3 2" xfId="10395"/>
    <cellStyle name="Normal 96 3 2 3 2 2" xfId="21517"/>
    <cellStyle name="Normal 96 3 2 3 3" xfId="14094"/>
    <cellStyle name="Normal 96 3 2 3 3 2" xfId="25211"/>
    <cellStyle name="Normal 96 3 2 3 4" xfId="17823"/>
    <cellStyle name="Normal 96 3 2 4" xfId="8547"/>
    <cellStyle name="Normal 96 3 2 4 2" xfId="19670"/>
    <cellStyle name="Normal 96 3 2 5" xfId="12247"/>
    <cellStyle name="Normal 96 3 2 5 2" xfId="23364"/>
    <cellStyle name="Normal 96 3 2 6" xfId="15976"/>
    <cellStyle name="Normal 96 3 3" xfId="1866"/>
    <cellStyle name="Normal 96 3 3 2" xfId="5063"/>
    <cellStyle name="Normal 96 3 3 2 2" xfId="7414"/>
    <cellStyle name="Normal 96 3 3 2 2 2" xfId="11115"/>
    <cellStyle name="Normal 96 3 3 2 2 2 2" xfId="22237"/>
    <cellStyle name="Normal 96 3 3 2 2 3" xfId="14814"/>
    <cellStyle name="Normal 96 3 3 2 2 3 2" xfId="25931"/>
    <cellStyle name="Normal 96 3 3 2 2 4" xfId="18543"/>
    <cellStyle name="Normal 96 3 3 2 3" xfId="9268"/>
    <cellStyle name="Normal 96 3 3 2 3 2" xfId="20390"/>
    <cellStyle name="Normal 96 3 3 2 4" xfId="12967"/>
    <cellStyle name="Normal 96 3 3 2 4 2" xfId="24084"/>
    <cellStyle name="Normal 96 3 3 2 5" xfId="16696"/>
    <cellStyle name="Normal 96 3 3 3" xfId="6495"/>
    <cellStyle name="Normal 96 3 3 3 2" xfId="10197"/>
    <cellStyle name="Normal 96 3 3 3 2 2" xfId="21319"/>
    <cellStyle name="Normal 96 3 3 3 3" xfId="13896"/>
    <cellStyle name="Normal 96 3 3 3 3 2" xfId="25013"/>
    <cellStyle name="Normal 96 3 3 3 4" xfId="17625"/>
    <cellStyle name="Normal 96 3 3 4" xfId="8349"/>
    <cellStyle name="Normal 96 3 3 4 2" xfId="19472"/>
    <cellStyle name="Normal 96 3 3 5" xfId="12049"/>
    <cellStyle name="Normal 96 3 3 5 2" xfId="23166"/>
    <cellStyle name="Normal 96 3 3 6" xfId="15778"/>
    <cellStyle name="Normal 96 3 4" xfId="4855"/>
    <cellStyle name="Normal 96 3 4 2" xfId="7206"/>
    <cellStyle name="Normal 96 3 4 2 2" xfId="10907"/>
    <cellStyle name="Normal 96 3 4 2 2 2" xfId="22029"/>
    <cellStyle name="Normal 96 3 4 2 3" xfId="14606"/>
    <cellStyle name="Normal 96 3 4 2 3 2" xfId="25723"/>
    <cellStyle name="Normal 96 3 4 2 4" xfId="18335"/>
    <cellStyle name="Normal 96 3 4 3" xfId="9060"/>
    <cellStyle name="Normal 96 3 4 3 2" xfId="20182"/>
    <cellStyle name="Normal 96 3 4 4" xfId="12759"/>
    <cellStyle name="Normal 96 3 4 4 2" xfId="23876"/>
    <cellStyle name="Normal 96 3 4 5" xfId="16488"/>
    <cellStyle name="Normal 96 3 5" xfId="6287"/>
    <cellStyle name="Normal 96 3 5 2" xfId="9989"/>
    <cellStyle name="Normal 96 3 5 2 2" xfId="21111"/>
    <cellStyle name="Normal 96 3 5 3" xfId="13688"/>
    <cellStyle name="Normal 96 3 5 3 2" xfId="24805"/>
    <cellStyle name="Normal 96 3 5 4" xfId="17417"/>
    <cellStyle name="Normal 96 3 6" xfId="8141"/>
    <cellStyle name="Normal 96 3 6 2" xfId="19264"/>
    <cellStyle name="Normal 96 3 7" xfId="11841"/>
    <cellStyle name="Normal 96 3 7 2" xfId="22958"/>
    <cellStyle name="Normal 96 3 8" xfId="15570"/>
    <cellStyle name="Normal 96 4" xfId="2158"/>
    <cellStyle name="Normal 96 4 2" xfId="5258"/>
    <cellStyle name="Normal 96 4 2 2" xfId="7609"/>
    <cellStyle name="Normal 96 4 2 2 2" xfId="11310"/>
    <cellStyle name="Normal 96 4 2 2 2 2" xfId="22432"/>
    <cellStyle name="Normal 96 4 2 2 3" xfId="15009"/>
    <cellStyle name="Normal 96 4 2 2 3 2" xfId="26126"/>
    <cellStyle name="Normal 96 4 2 2 4" xfId="18738"/>
    <cellStyle name="Normal 96 4 2 3" xfId="9463"/>
    <cellStyle name="Normal 96 4 2 3 2" xfId="20585"/>
    <cellStyle name="Normal 96 4 2 4" xfId="13162"/>
    <cellStyle name="Normal 96 4 2 4 2" xfId="24279"/>
    <cellStyle name="Normal 96 4 2 5" xfId="16891"/>
    <cellStyle name="Normal 96 4 3" xfId="6690"/>
    <cellStyle name="Normal 96 4 3 2" xfId="10392"/>
    <cellStyle name="Normal 96 4 3 2 2" xfId="21514"/>
    <cellStyle name="Normal 96 4 3 3" xfId="14091"/>
    <cellStyle name="Normal 96 4 3 3 2" xfId="25208"/>
    <cellStyle name="Normal 96 4 3 4" xfId="17820"/>
    <cellStyle name="Normal 96 4 4" xfId="8544"/>
    <cellStyle name="Normal 96 4 4 2" xfId="19667"/>
    <cellStyle name="Normal 96 4 5" xfId="12244"/>
    <cellStyle name="Normal 96 4 5 2" xfId="23361"/>
    <cellStyle name="Normal 96 4 6" xfId="15973"/>
    <cellStyle name="Normal 96 5" xfId="1762"/>
    <cellStyle name="Normal 96 5 2" xfId="4959"/>
    <cellStyle name="Normal 96 5 2 2" xfId="7310"/>
    <cellStyle name="Normal 96 5 2 2 2" xfId="11011"/>
    <cellStyle name="Normal 96 5 2 2 2 2" xfId="22133"/>
    <cellStyle name="Normal 96 5 2 2 3" xfId="14710"/>
    <cellStyle name="Normal 96 5 2 2 3 2" xfId="25827"/>
    <cellStyle name="Normal 96 5 2 2 4" xfId="18439"/>
    <cellStyle name="Normal 96 5 2 3" xfId="9164"/>
    <cellStyle name="Normal 96 5 2 3 2" xfId="20286"/>
    <cellStyle name="Normal 96 5 2 4" xfId="12863"/>
    <cellStyle name="Normal 96 5 2 4 2" xfId="23980"/>
    <cellStyle name="Normal 96 5 2 5" xfId="16592"/>
    <cellStyle name="Normal 96 5 3" xfId="6391"/>
    <cellStyle name="Normal 96 5 3 2" xfId="10093"/>
    <cellStyle name="Normal 96 5 3 2 2" xfId="21215"/>
    <cellStyle name="Normal 96 5 3 3" xfId="13792"/>
    <cellStyle name="Normal 96 5 3 3 2" xfId="24909"/>
    <cellStyle name="Normal 96 5 3 4" xfId="17521"/>
    <cellStyle name="Normal 96 5 4" xfId="8245"/>
    <cellStyle name="Normal 96 5 4 2" xfId="19368"/>
    <cellStyle name="Normal 96 5 5" xfId="11945"/>
    <cellStyle name="Normal 96 5 5 2" xfId="23062"/>
    <cellStyle name="Normal 96 5 6" xfId="15674"/>
    <cellStyle name="Normal 96 6" xfId="3805"/>
    <cellStyle name="Normal 96 7" xfId="4750"/>
    <cellStyle name="Normal 96 7 2" xfId="7102"/>
    <cellStyle name="Normal 96 7 2 2" xfId="10803"/>
    <cellStyle name="Normal 96 7 2 2 2" xfId="21925"/>
    <cellStyle name="Normal 96 7 2 3" xfId="14502"/>
    <cellStyle name="Normal 96 7 2 3 2" xfId="25619"/>
    <cellStyle name="Normal 96 7 2 4" xfId="18231"/>
    <cellStyle name="Normal 96 7 3" xfId="8956"/>
    <cellStyle name="Normal 96 7 3 2" xfId="20078"/>
    <cellStyle name="Normal 96 7 4" xfId="12655"/>
    <cellStyle name="Normal 96 7 4 2" xfId="23772"/>
    <cellStyle name="Normal 96 7 5" xfId="16384"/>
    <cellStyle name="Normal 96 8" xfId="6183"/>
    <cellStyle name="Normal 96 8 2" xfId="9885"/>
    <cellStyle name="Normal 96 8 2 2" xfId="21007"/>
    <cellStyle name="Normal 96 8 3" xfId="13584"/>
    <cellStyle name="Normal 96 8 3 2" xfId="24701"/>
    <cellStyle name="Normal 96 8 4" xfId="17313"/>
    <cellStyle name="Normal 96 9" xfId="8036"/>
    <cellStyle name="Normal 96 9 2" xfId="19160"/>
    <cellStyle name="Normal 97" xfId="873"/>
    <cellStyle name="Normal 97 10" xfId="11738"/>
    <cellStyle name="Normal 97 10 2" xfId="22855"/>
    <cellStyle name="Normal 97 11" xfId="15467"/>
    <cellStyle name="Normal 97 2" xfId="1591"/>
    <cellStyle name="Normal 97 2 2" xfId="1710"/>
    <cellStyle name="Normal 97 2 2 2" xfId="2164"/>
    <cellStyle name="Normal 97 2 2 2 2" xfId="5264"/>
    <cellStyle name="Normal 97 2 2 2 2 2" xfId="7615"/>
    <cellStyle name="Normal 97 2 2 2 2 2 2" xfId="11316"/>
    <cellStyle name="Normal 97 2 2 2 2 2 2 2" xfId="22438"/>
    <cellStyle name="Normal 97 2 2 2 2 2 3" xfId="15015"/>
    <cellStyle name="Normal 97 2 2 2 2 2 3 2" xfId="26132"/>
    <cellStyle name="Normal 97 2 2 2 2 2 4" xfId="18744"/>
    <cellStyle name="Normal 97 2 2 2 2 3" xfId="9469"/>
    <cellStyle name="Normal 97 2 2 2 2 3 2" xfId="20591"/>
    <cellStyle name="Normal 97 2 2 2 2 4" xfId="13168"/>
    <cellStyle name="Normal 97 2 2 2 2 4 2" xfId="24285"/>
    <cellStyle name="Normal 97 2 2 2 2 5" xfId="16897"/>
    <cellStyle name="Normal 97 2 2 2 3" xfId="6696"/>
    <cellStyle name="Normal 97 2 2 2 3 2" xfId="10398"/>
    <cellStyle name="Normal 97 2 2 2 3 2 2" xfId="21520"/>
    <cellStyle name="Normal 97 2 2 2 3 3" xfId="14097"/>
    <cellStyle name="Normal 97 2 2 2 3 3 2" xfId="25214"/>
    <cellStyle name="Normal 97 2 2 2 3 4" xfId="17826"/>
    <cellStyle name="Normal 97 2 2 2 4" xfId="8550"/>
    <cellStyle name="Normal 97 2 2 2 4 2" xfId="19673"/>
    <cellStyle name="Normal 97 2 2 2 5" xfId="12250"/>
    <cellStyle name="Normal 97 2 2 2 5 2" xfId="23367"/>
    <cellStyle name="Normal 97 2 2 2 6" xfId="15979"/>
    <cellStyle name="Normal 97 2 2 3" xfId="1920"/>
    <cellStyle name="Normal 97 2 2 3 2" xfId="5117"/>
    <cellStyle name="Normal 97 2 2 3 2 2" xfId="7468"/>
    <cellStyle name="Normal 97 2 2 3 2 2 2" xfId="11169"/>
    <cellStyle name="Normal 97 2 2 3 2 2 2 2" xfId="22291"/>
    <cellStyle name="Normal 97 2 2 3 2 2 3" xfId="14868"/>
    <cellStyle name="Normal 97 2 2 3 2 2 3 2" xfId="25985"/>
    <cellStyle name="Normal 97 2 2 3 2 2 4" xfId="18597"/>
    <cellStyle name="Normal 97 2 2 3 2 3" xfId="9322"/>
    <cellStyle name="Normal 97 2 2 3 2 3 2" xfId="20444"/>
    <cellStyle name="Normal 97 2 2 3 2 4" xfId="13021"/>
    <cellStyle name="Normal 97 2 2 3 2 4 2" xfId="24138"/>
    <cellStyle name="Normal 97 2 2 3 2 5" xfId="16750"/>
    <cellStyle name="Normal 97 2 2 3 3" xfId="6549"/>
    <cellStyle name="Normal 97 2 2 3 3 2" xfId="10251"/>
    <cellStyle name="Normal 97 2 2 3 3 2 2" xfId="21373"/>
    <cellStyle name="Normal 97 2 2 3 3 3" xfId="13950"/>
    <cellStyle name="Normal 97 2 2 3 3 3 2" xfId="25067"/>
    <cellStyle name="Normal 97 2 2 3 3 4" xfId="17679"/>
    <cellStyle name="Normal 97 2 2 3 4" xfId="8403"/>
    <cellStyle name="Normal 97 2 2 3 4 2" xfId="19526"/>
    <cellStyle name="Normal 97 2 2 3 5" xfId="12103"/>
    <cellStyle name="Normal 97 2 2 3 5 2" xfId="23220"/>
    <cellStyle name="Normal 97 2 2 3 6" xfId="15832"/>
    <cellStyle name="Normal 97 2 2 4" xfId="4909"/>
    <cellStyle name="Normal 97 2 2 4 2" xfId="7260"/>
    <cellStyle name="Normal 97 2 2 4 2 2" xfId="10961"/>
    <cellStyle name="Normal 97 2 2 4 2 2 2" xfId="22083"/>
    <cellStyle name="Normal 97 2 2 4 2 3" xfId="14660"/>
    <cellStyle name="Normal 97 2 2 4 2 3 2" xfId="25777"/>
    <cellStyle name="Normal 97 2 2 4 2 4" xfId="18389"/>
    <cellStyle name="Normal 97 2 2 4 3" xfId="9114"/>
    <cellStyle name="Normal 97 2 2 4 3 2" xfId="20236"/>
    <cellStyle name="Normal 97 2 2 4 4" xfId="12813"/>
    <cellStyle name="Normal 97 2 2 4 4 2" xfId="23930"/>
    <cellStyle name="Normal 97 2 2 4 5" xfId="16542"/>
    <cellStyle name="Normal 97 2 2 5" xfId="6341"/>
    <cellStyle name="Normal 97 2 2 5 2" xfId="10043"/>
    <cellStyle name="Normal 97 2 2 5 2 2" xfId="21165"/>
    <cellStyle name="Normal 97 2 2 5 3" xfId="13742"/>
    <cellStyle name="Normal 97 2 2 5 3 2" xfId="24859"/>
    <cellStyle name="Normal 97 2 2 5 4" xfId="17471"/>
    <cellStyle name="Normal 97 2 2 6" xfId="8195"/>
    <cellStyle name="Normal 97 2 2 6 2" xfId="19318"/>
    <cellStyle name="Normal 97 2 2 7" xfId="11895"/>
    <cellStyle name="Normal 97 2 2 7 2" xfId="23012"/>
    <cellStyle name="Normal 97 2 2 8" xfId="15624"/>
    <cellStyle name="Normal 97 2 3" xfId="2163"/>
    <cellStyle name="Normal 97 2 3 2" xfId="5263"/>
    <cellStyle name="Normal 97 2 3 2 2" xfId="7614"/>
    <cellStyle name="Normal 97 2 3 2 2 2" xfId="11315"/>
    <cellStyle name="Normal 97 2 3 2 2 2 2" xfId="22437"/>
    <cellStyle name="Normal 97 2 3 2 2 3" xfId="15014"/>
    <cellStyle name="Normal 97 2 3 2 2 3 2" xfId="26131"/>
    <cellStyle name="Normal 97 2 3 2 2 4" xfId="18743"/>
    <cellStyle name="Normal 97 2 3 2 3" xfId="9468"/>
    <cellStyle name="Normal 97 2 3 2 3 2" xfId="20590"/>
    <cellStyle name="Normal 97 2 3 2 4" xfId="13167"/>
    <cellStyle name="Normal 97 2 3 2 4 2" xfId="24284"/>
    <cellStyle name="Normal 97 2 3 2 5" xfId="16896"/>
    <cellStyle name="Normal 97 2 3 3" xfId="6695"/>
    <cellStyle name="Normal 97 2 3 3 2" xfId="10397"/>
    <cellStyle name="Normal 97 2 3 3 2 2" xfId="21519"/>
    <cellStyle name="Normal 97 2 3 3 3" xfId="14096"/>
    <cellStyle name="Normal 97 2 3 3 3 2" xfId="25213"/>
    <cellStyle name="Normal 97 2 3 3 4" xfId="17825"/>
    <cellStyle name="Normal 97 2 3 4" xfId="8549"/>
    <cellStyle name="Normal 97 2 3 4 2" xfId="19672"/>
    <cellStyle name="Normal 97 2 3 5" xfId="12249"/>
    <cellStyle name="Normal 97 2 3 5 2" xfId="23366"/>
    <cellStyle name="Normal 97 2 3 6" xfId="15978"/>
    <cellStyle name="Normal 97 2 4" xfId="1814"/>
    <cellStyle name="Normal 97 2 4 2" xfId="5011"/>
    <cellStyle name="Normal 97 2 4 2 2" xfId="7362"/>
    <cellStyle name="Normal 97 2 4 2 2 2" xfId="11063"/>
    <cellStyle name="Normal 97 2 4 2 2 2 2" xfId="22185"/>
    <cellStyle name="Normal 97 2 4 2 2 3" xfId="14762"/>
    <cellStyle name="Normal 97 2 4 2 2 3 2" xfId="25879"/>
    <cellStyle name="Normal 97 2 4 2 2 4" xfId="18491"/>
    <cellStyle name="Normal 97 2 4 2 3" xfId="9216"/>
    <cellStyle name="Normal 97 2 4 2 3 2" xfId="20338"/>
    <cellStyle name="Normal 97 2 4 2 4" xfId="12915"/>
    <cellStyle name="Normal 97 2 4 2 4 2" xfId="24032"/>
    <cellStyle name="Normal 97 2 4 2 5" xfId="16644"/>
    <cellStyle name="Normal 97 2 4 3" xfId="6443"/>
    <cellStyle name="Normal 97 2 4 3 2" xfId="10145"/>
    <cellStyle name="Normal 97 2 4 3 2 2" xfId="21267"/>
    <cellStyle name="Normal 97 2 4 3 3" xfId="13844"/>
    <cellStyle name="Normal 97 2 4 3 3 2" xfId="24961"/>
    <cellStyle name="Normal 97 2 4 3 4" xfId="17573"/>
    <cellStyle name="Normal 97 2 4 4" xfId="8297"/>
    <cellStyle name="Normal 97 2 4 4 2" xfId="19420"/>
    <cellStyle name="Normal 97 2 4 5" xfId="11997"/>
    <cellStyle name="Normal 97 2 4 5 2" xfId="23114"/>
    <cellStyle name="Normal 97 2 4 6" xfId="15726"/>
    <cellStyle name="Normal 97 2 5" xfId="4803"/>
    <cellStyle name="Normal 97 2 5 2" xfId="7154"/>
    <cellStyle name="Normal 97 2 5 2 2" xfId="10855"/>
    <cellStyle name="Normal 97 2 5 2 2 2" xfId="21977"/>
    <cellStyle name="Normal 97 2 5 2 3" xfId="14554"/>
    <cellStyle name="Normal 97 2 5 2 3 2" xfId="25671"/>
    <cellStyle name="Normal 97 2 5 2 4" xfId="18283"/>
    <cellStyle name="Normal 97 2 5 3" xfId="9008"/>
    <cellStyle name="Normal 97 2 5 3 2" xfId="20130"/>
    <cellStyle name="Normal 97 2 5 4" xfId="12707"/>
    <cellStyle name="Normal 97 2 5 4 2" xfId="23824"/>
    <cellStyle name="Normal 97 2 5 5" xfId="16436"/>
    <cellStyle name="Normal 97 2 6" xfId="6235"/>
    <cellStyle name="Normal 97 2 6 2" xfId="9937"/>
    <cellStyle name="Normal 97 2 6 2 2" xfId="21059"/>
    <cellStyle name="Normal 97 2 6 3" xfId="13636"/>
    <cellStyle name="Normal 97 2 6 3 2" xfId="24753"/>
    <cellStyle name="Normal 97 2 6 4" xfId="17365"/>
    <cellStyle name="Normal 97 2 7" xfId="8089"/>
    <cellStyle name="Normal 97 2 7 2" xfId="19212"/>
    <cellStyle name="Normal 97 2 8" xfId="11789"/>
    <cellStyle name="Normal 97 2 8 2" xfId="22906"/>
    <cellStyle name="Normal 97 2 9" xfId="15518"/>
    <cellStyle name="Normal 97 3" xfId="1655"/>
    <cellStyle name="Normal 97 3 2" xfId="2165"/>
    <cellStyle name="Normal 97 3 2 2" xfId="5265"/>
    <cellStyle name="Normal 97 3 2 2 2" xfId="7616"/>
    <cellStyle name="Normal 97 3 2 2 2 2" xfId="11317"/>
    <cellStyle name="Normal 97 3 2 2 2 2 2" xfId="22439"/>
    <cellStyle name="Normal 97 3 2 2 2 3" xfId="15016"/>
    <cellStyle name="Normal 97 3 2 2 2 3 2" xfId="26133"/>
    <cellStyle name="Normal 97 3 2 2 2 4" xfId="18745"/>
    <cellStyle name="Normal 97 3 2 2 3" xfId="9470"/>
    <cellStyle name="Normal 97 3 2 2 3 2" xfId="20592"/>
    <cellStyle name="Normal 97 3 2 2 4" xfId="13169"/>
    <cellStyle name="Normal 97 3 2 2 4 2" xfId="24286"/>
    <cellStyle name="Normal 97 3 2 2 5" xfId="16898"/>
    <cellStyle name="Normal 97 3 2 3" xfId="6697"/>
    <cellStyle name="Normal 97 3 2 3 2" xfId="10399"/>
    <cellStyle name="Normal 97 3 2 3 2 2" xfId="21521"/>
    <cellStyle name="Normal 97 3 2 3 3" xfId="14098"/>
    <cellStyle name="Normal 97 3 2 3 3 2" xfId="25215"/>
    <cellStyle name="Normal 97 3 2 3 4" xfId="17827"/>
    <cellStyle name="Normal 97 3 2 4" xfId="8551"/>
    <cellStyle name="Normal 97 3 2 4 2" xfId="19674"/>
    <cellStyle name="Normal 97 3 2 5" xfId="12251"/>
    <cellStyle name="Normal 97 3 2 5 2" xfId="23368"/>
    <cellStyle name="Normal 97 3 2 6" xfId="15980"/>
    <cellStyle name="Normal 97 3 3" xfId="1867"/>
    <cellStyle name="Normal 97 3 3 2" xfId="5064"/>
    <cellStyle name="Normal 97 3 3 2 2" xfId="7415"/>
    <cellStyle name="Normal 97 3 3 2 2 2" xfId="11116"/>
    <cellStyle name="Normal 97 3 3 2 2 2 2" xfId="22238"/>
    <cellStyle name="Normal 97 3 3 2 2 3" xfId="14815"/>
    <cellStyle name="Normal 97 3 3 2 2 3 2" xfId="25932"/>
    <cellStyle name="Normal 97 3 3 2 2 4" xfId="18544"/>
    <cellStyle name="Normal 97 3 3 2 3" xfId="9269"/>
    <cellStyle name="Normal 97 3 3 2 3 2" xfId="20391"/>
    <cellStyle name="Normal 97 3 3 2 4" xfId="12968"/>
    <cellStyle name="Normal 97 3 3 2 4 2" xfId="24085"/>
    <cellStyle name="Normal 97 3 3 2 5" xfId="16697"/>
    <cellStyle name="Normal 97 3 3 3" xfId="6496"/>
    <cellStyle name="Normal 97 3 3 3 2" xfId="10198"/>
    <cellStyle name="Normal 97 3 3 3 2 2" xfId="21320"/>
    <cellStyle name="Normal 97 3 3 3 3" xfId="13897"/>
    <cellStyle name="Normal 97 3 3 3 3 2" xfId="25014"/>
    <cellStyle name="Normal 97 3 3 3 4" xfId="17626"/>
    <cellStyle name="Normal 97 3 3 4" xfId="8350"/>
    <cellStyle name="Normal 97 3 3 4 2" xfId="19473"/>
    <cellStyle name="Normal 97 3 3 5" xfId="12050"/>
    <cellStyle name="Normal 97 3 3 5 2" xfId="23167"/>
    <cellStyle name="Normal 97 3 3 6" xfId="15779"/>
    <cellStyle name="Normal 97 3 4" xfId="4856"/>
    <cellStyle name="Normal 97 3 4 2" xfId="7207"/>
    <cellStyle name="Normal 97 3 4 2 2" xfId="10908"/>
    <cellStyle name="Normal 97 3 4 2 2 2" xfId="22030"/>
    <cellStyle name="Normal 97 3 4 2 3" xfId="14607"/>
    <cellStyle name="Normal 97 3 4 2 3 2" xfId="25724"/>
    <cellStyle name="Normal 97 3 4 2 4" xfId="18336"/>
    <cellStyle name="Normal 97 3 4 3" xfId="9061"/>
    <cellStyle name="Normal 97 3 4 3 2" xfId="20183"/>
    <cellStyle name="Normal 97 3 4 4" xfId="12760"/>
    <cellStyle name="Normal 97 3 4 4 2" xfId="23877"/>
    <cellStyle name="Normal 97 3 4 5" xfId="16489"/>
    <cellStyle name="Normal 97 3 5" xfId="6288"/>
    <cellStyle name="Normal 97 3 5 2" xfId="9990"/>
    <cellStyle name="Normal 97 3 5 2 2" xfId="21112"/>
    <cellStyle name="Normal 97 3 5 3" xfId="13689"/>
    <cellStyle name="Normal 97 3 5 3 2" xfId="24806"/>
    <cellStyle name="Normal 97 3 5 4" xfId="17418"/>
    <cellStyle name="Normal 97 3 6" xfId="8142"/>
    <cellStyle name="Normal 97 3 6 2" xfId="19265"/>
    <cellStyle name="Normal 97 3 7" xfId="11842"/>
    <cellStyle name="Normal 97 3 7 2" xfId="22959"/>
    <cellStyle name="Normal 97 3 8" xfId="15571"/>
    <cellStyle name="Normal 97 4" xfId="2162"/>
    <cellStyle name="Normal 97 4 2" xfId="5262"/>
    <cellStyle name="Normal 97 4 2 2" xfId="7613"/>
    <cellStyle name="Normal 97 4 2 2 2" xfId="11314"/>
    <cellStyle name="Normal 97 4 2 2 2 2" xfId="22436"/>
    <cellStyle name="Normal 97 4 2 2 3" xfId="15013"/>
    <cellStyle name="Normal 97 4 2 2 3 2" xfId="26130"/>
    <cellStyle name="Normal 97 4 2 2 4" xfId="18742"/>
    <cellStyle name="Normal 97 4 2 3" xfId="9467"/>
    <cellStyle name="Normal 97 4 2 3 2" xfId="20589"/>
    <cellStyle name="Normal 97 4 2 4" xfId="13166"/>
    <cellStyle name="Normal 97 4 2 4 2" xfId="24283"/>
    <cellStyle name="Normal 97 4 2 5" xfId="16895"/>
    <cellStyle name="Normal 97 4 3" xfId="6694"/>
    <cellStyle name="Normal 97 4 3 2" xfId="10396"/>
    <cellStyle name="Normal 97 4 3 2 2" xfId="21518"/>
    <cellStyle name="Normal 97 4 3 3" xfId="14095"/>
    <cellStyle name="Normal 97 4 3 3 2" xfId="25212"/>
    <cellStyle name="Normal 97 4 3 4" xfId="17824"/>
    <cellStyle name="Normal 97 4 4" xfId="8548"/>
    <cellStyle name="Normal 97 4 4 2" xfId="19671"/>
    <cellStyle name="Normal 97 4 5" xfId="12248"/>
    <cellStyle name="Normal 97 4 5 2" xfId="23365"/>
    <cellStyle name="Normal 97 4 6" xfId="15977"/>
    <cellStyle name="Normal 97 5" xfId="1763"/>
    <cellStyle name="Normal 97 5 2" xfId="4960"/>
    <cellStyle name="Normal 97 5 2 2" xfId="7311"/>
    <cellStyle name="Normal 97 5 2 2 2" xfId="11012"/>
    <cellStyle name="Normal 97 5 2 2 2 2" xfId="22134"/>
    <cellStyle name="Normal 97 5 2 2 3" xfId="14711"/>
    <cellStyle name="Normal 97 5 2 2 3 2" xfId="25828"/>
    <cellStyle name="Normal 97 5 2 2 4" xfId="18440"/>
    <cellStyle name="Normal 97 5 2 3" xfId="9165"/>
    <cellStyle name="Normal 97 5 2 3 2" xfId="20287"/>
    <cellStyle name="Normal 97 5 2 4" xfId="12864"/>
    <cellStyle name="Normal 97 5 2 4 2" xfId="23981"/>
    <cellStyle name="Normal 97 5 2 5" xfId="16593"/>
    <cellStyle name="Normal 97 5 3" xfId="6392"/>
    <cellStyle name="Normal 97 5 3 2" xfId="10094"/>
    <cellStyle name="Normal 97 5 3 2 2" xfId="21216"/>
    <cellStyle name="Normal 97 5 3 3" xfId="13793"/>
    <cellStyle name="Normal 97 5 3 3 2" xfId="24910"/>
    <cellStyle name="Normal 97 5 3 4" xfId="17522"/>
    <cellStyle name="Normal 97 5 4" xfId="8246"/>
    <cellStyle name="Normal 97 5 4 2" xfId="19369"/>
    <cellStyle name="Normal 97 5 5" xfId="11946"/>
    <cellStyle name="Normal 97 5 5 2" xfId="23063"/>
    <cellStyle name="Normal 97 5 6" xfId="15675"/>
    <cellStyle name="Normal 97 6" xfId="3806"/>
    <cellStyle name="Normal 97 7" xfId="4751"/>
    <cellStyle name="Normal 97 7 2" xfId="7103"/>
    <cellStyle name="Normal 97 7 2 2" xfId="10804"/>
    <cellStyle name="Normal 97 7 2 2 2" xfId="21926"/>
    <cellStyle name="Normal 97 7 2 3" xfId="14503"/>
    <cellStyle name="Normal 97 7 2 3 2" xfId="25620"/>
    <cellStyle name="Normal 97 7 2 4" xfId="18232"/>
    <cellStyle name="Normal 97 7 3" xfId="8957"/>
    <cellStyle name="Normal 97 7 3 2" xfId="20079"/>
    <cellStyle name="Normal 97 7 4" xfId="12656"/>
    <cellStyle name="Normal 97 7 4 2" xfId="23773"/>
    <cellStyle name="Normal 97 7 5" xfId="16385"/>
    <cellStyle name="Normal 97 8" xfId="6184"/>
    <cellStyle name="Normal 97 8 2" xfId="9886"/>
    <cellStyle name="Normal 97 8 2 2" xfId="21008"/>
    <cellStyle name="Normal 97 8 3" xfId="13585"/>
    <cellStyle name="Normal 97 8 3 2" xfId="24702"/>
    <cellStyle name="Normal 97 8 4" xfId="17314"/>
    <cellStyle name="Normal 97 9" xfId="8037"/>
    <cellStyle name="Normal 97 9 2" xfId="19161"/>
    <cellStyle name="Normal 98" xfId="874"/>
    <cellStyle name="Normal 98 10" xfId="11739"/>
    <cellStyle name="Normal 98 10 2" xfId="22856"/>
    <cellStyle name="Normal 98 11" xfId="15468"/>
    <cellStyle name="Normal 98 2" xfId="1592"/>
    <cellStyle name="Normal 98 2 2" xfId="1711"/>
    <cellStyle name="Normal 98 2 2 2" xfId="2168"/>
    <cellStyle name="Normal 98 2 2 2 2" xfId="5268"/>
    <cellStyle name="Normal 98 2 2 2 2 2" xfId="7619"/>
    <cellStyle name="Normal 98 2 2 2 2 2 2" xfId="11320"/>
    <cellStyle name="Normal 98 2 2 2 2 2 2 2" xfId="22442"/>
    <cellStyle name="Normal 98 2 2 2 2 2 3" xfId="15019"/>
    <cellStyle name="Normal 98 2 2 2 2 2 3 2" xfId="26136"/>
    <cellStyle name="Normal 98 2 2 2 2 2 4" xfId="18748"/>
    <cellStyle name="Normal 98 2 2 2 2 3" xfId="9473"/>
    <cellStyle name="Normal 98 2 2 2 2 3 2" xfId="20595"/>
    <cellStyle name="Normal 98 2 2 2 2 4" xfId="13172"/>
    <cellStyle name="Normal 98 2 2 2 2 4 2" xfId="24289"/>
    <cellStyle name="Normal 98 2 2 2 2 5" xfId="16901"/>
    <cellStyle name="Normal 98 2 2 2 3" xfId="6700"/>
    <cellStyle name="Normal 98 2 2 2 3 2" xfId="10402"/>
    <cellStyle name="Normal 98 2 2 2 3 2 2" xfId="21524"/>
    <cellStyle name="Normal 98 2 2 2 3 3" xfId="14101"/>
    <cellStyle name="Normal 98 2 2 2 3 3 2" xfId="25218"/>
    <cellStyle name="Normal 98 2 2 2 3 4" xfId="17830"/>
    <cellStyle name="Normal 98 2 2 2 4" xfId="8554"/>
    <cellStyle name="Normal 98 2 2 2 4 2" xfId="19677"/>
    <cellStyle name="Normal 98 2 2 2 5" xfId="12254"/>
    <cellStyle name="Normal 98 2 2 2 5 2" xfId="23371"/>
    <cellStyle name="Normal 98 2 2 2 6" xfId="15983"/>
    <cellStyle name="Normal 98 2 2 3" xfId="1921"/>
    <cellStyle name="Normal 98 2 2 3 2" xfId="5118"/>
    <cellStyle name="Normal 98 2 2 3 2 2" xfId="7469"/>
    <cellStyle name="Normal 98 2 2 3 2 2 2" xfId="11170"/>
    <cellStyle name="Normal 98 2 2 3 2 2 2 2" xfId="22292"/>
    <cellStyle name="Normal 98 2 2 3 2 2 3" xfId="14869"/>
    <cellStyle name="Normal 98 2 2 3 2 2 3 2" xfId="25986"/>
    <cellStyle name="Normal 98 2 2 3 2 2 4" xfId="18598"/>
    <cellStyle name="Normal 98 2 2 3 2 3" xfId="9323"/>
    <cellStyle name="Normal 98 2 2 3 2 3 2" xfId="20445"/>
    <cellStyle name="Normal 98 2 2 3 2 4" xfId="13022"/>
    <cellStyle name="Normal 98 2 2 3 2 4 2" xfId="24139"/>
    <cellStyle name="Normal 98 2 2 3 2 5" xfId="16751"/>
    <cellStyle name="Normal 98 2 2 3 3" xfId="6550"/>
    <cellStyle name="Normal 98 2 2 3 3 2" xfId="10252"/>
    <cellStyle name="Normal 98 2 2 3 3 2 2" xfId="21374"/>
    <cellStyle name="Normal 98 2 2 3 3 3" xfId="13951"/>
    <cellStyle name="Normal 98 2 2 3 3 3 2" xfId="25068"/>
    <cellStyle name="Normal 98 2 2 3 3 4" xfId="17680"/>
    <cellStyle name="Normal 98 2 2 3 4" xfId="8404"/>
    <cellStyle name="Normal 98 2 2 3 4 2" xfId="19527"/>
    <cellStyle name="Normal 98 2 2 3 5" xfId="12104"/>
    <cellStyle name="Normal 98 2 2 3 5 2" xfId="23221"/>
    <cellStyle name="Normal 98 2 2 3 6" xfId="15833"/>
    <cellStyle name="Normal 98 2 2 4" xfId="4910"/>
    <cellStyle name="Normal 98 2 2 4 2" xfId="7261"/>
    <cellStyle name="Normal 98 2 2 4 2 2" xfId="10962"/>
    <cellStyle name="Normal 98 2 2 4 2 2 2" xfId="22084"/>
    <cellStyle name="Normal 98 2 2 4 2 3" xfId="14661"/>
    <cellStyle name="Normal 98 2 2 4 2 3 2" xfId="25778"/>
    <cellStyle name="Normal 98 2 2 4 2 4" xfId="18390"/>
    <cellStyle name="Normal 98 2 2 4 3" xfId="9115"/>
    <cellStyle name="Normal 98 2 2 4 3 2" xfId="20237"/>
    <cellStyle name="Normal 98 2 2 4 4" xfId="12814"/>
    <cellStyle name="Normal 98 2 2 4 4 2" xfId="23931"/>
    <cellStyle name="Normal 98 2 2 4 5" xfId="16543"/>
    <cellStyle name="Normal 98 2 2 5" xfId="6342"/>
    <cellStyle name="Normal 98 2 2 5 2" xfId="10044"/>
    <cellStyle name="Normal 98 2 2 5 2 2" xfId="21166"/>
    <cellStyle name="Normal 98 2 2 5 3" xfId="13743"/>
    <cellStyle name="Normal 98 2 2 5 3 2" xfId="24860"/>
    <cellStyle name="Normal 98 2 2 5 4" xfId="17472"/>
    <cellStyle name="Normal 98 2 2 6" xfId="8196"/>
    <cellStyle name="Normal 98 2 2 6 2" xfId="19319"/>
    <cellStyle name="Normal 98 2 2 7" xfId="11896"/>
    <cellStyle name="Normal 98 2 2 7 2" xfId="23013"/>
    <cellStyle name="Normal 98 2 2 8" xfId="15625"/>
    <cellStyle name="Normal 98 2 3" xfId="2167"/>
    <cellStyle name="Normal 98 2 3 2" xfId="5267"/>
    <cellStyle name="Normal 98 2 3 2 2" xfId="7618"/>
    <cellStyle name="Normal 98 2 3 2 2 2" xfId="11319"/>
    <cellStyle name="Normal 98 2 3 2 2 2 2" xfId="22441"/>
    <cellStyle name="Normal 98 2 3 2 2 3" xfId="15018"/>
    <cellStyle name="Normal 98 2 3 2 2 3 2" xfId="26135"/>
    <cellStyle name="Normal 98 2 3 2 2 4" xfId="18747"/>
    <cellStyle name="Normal 98 2 3 2 3" xfId="9472"/>
    <cellStyle name="Normal 98 2 3 2 3 2" xfId="20594"/>
    <cellStyle name="Normal 98 2 3 2 4" xfId="13171"/>
    <cellStyle name="Normal 98 2 3 2 4 2" xfId="24288"/>
    <cellStyle name="Normal 98 2 3 2 5" xfId="16900"/>
    <cellStyle name="Normal 98 2 3 3" xfId="6699"/>
    <cellStyle name="Normal 98 2 3 3 2" xfId="10401"/>
    <cellStyle name="Normal 98 2 3 3 2 2" xfId="21523"/>
    <cellStyle name="Normal 98 2 3 3 3" xfId="14100"/>
    <cellStyle name="Normal 98 2 3 3 3 2" xfId="25217"/>
    <cellStyle name="Normal 98 2 3 3 4" xfId="17829"/>
    <cellStyle name="Normal 98 2 3 4" xfId="8553"/>
    <cellStyle name="Normal 98 2 3 4 2" xfId="19676"/>
    <cellStyle name="Normal 98 2 3 5" xfId="12253"/>
    <cellStyle name="Normal 98 2 3 5 2" xfId="23370"/>
    <cellStyle name="Normal 98 2 3 6" xfId="15982"/>
    <cellStyle name="Normal 98 2 4" xfId="1815"/>
    <cellStyle name="Normal 98 2 4 2" xfId="5012"/>
    <cellStyle name="Normal 98 2 4 2 2" xfId="7363"/>
    <cellStyle name="Normal 98 2 4 2 2 2" xfId="11064"/>
    <cellStyle name="Normal 98 2 4 2 2 2 2" xfId="22186"/>
    <cellStyle name="Normal 98 2 4 2 2 3" xfId="14763"/>
    <cellStyle name="Normal 98 2 4 2 2 3 2" xfId="25880"/>
    <cellStyle name="Normal 98 2 4 2 2 4" xfId="18492"/>
    <cellStyle name="Normal 98 2 4 2 3" xfId="9217"/>
    <cellStyle name="Normal 98 2 4 2 3 2" xfId="20339"/>
    <cellStyle name="Normal 98 2 4 2 4" xfId="12916"/>
    <cellStyle name="Normal 98 2 4 2 4 2" xfId="24033"/>
    <cellStyle name="Normal 98 2 4 2 5" xfId="16645"/>
    <cellStyle name="Normal 98 2 4 3" xfId="6444"/>
    <cellStyle name="Normal 98 2 4 3 2" xfId="10146"/>
    <cellStyle name="Normal 98 2 4 3 2 2" xfId="21268"/>
    <cellStyle name="Normal 98 2 4 3 3" xfId="13845"/>
    <cellStyle name="Normal 98 2 4 3 3 2" xfId="24962"/>
    <cellStyle name="Normal 98 2 4 3 4" xfId="17574"/>
    <cellStyle name="Normal 98 2 4 4" xfId="8298"/>
    <cellStyle name="Normal 98 2 4 4 2" xfId="19421"/>
    <cellStyle name="Normal 98 2 4 5" xfId="11998"/>
    <cellStyle name="Normal 98 2 4 5 2" xfId="23115"/>
    <cellStyle name="Normal 98 2 4 6" xfId="15727"/>
    <cellStyle name="Normal 98 2 5" xfId="4804"/>
    <cellStyle name="Normal 98 2 5 2" xfId="7155"/>
    <cellStyle name="Normal 98 2 5 2 2" xfId="10856"/>
    <cellStyle name="Normal 98 2 5 2 2 2" xfId="21978"/>
    <cellStyle name="Normal 98 2 5 2 3" xfId="14555"/>
    <cellStyle name="Normal 98 2 5 2 3 2" xfId="25672"/>
    <cellStyle name="Normal 98 2 5 2 4" xfId="18284"/>
    <cellStyle name="Normal 98 2 5 3" xfId="9009"/>
    <cellStyle name="Normal 98 2 5 3 2" xfId="20131"/>
    <cellStyle name="Normal 98 2 5 4" xfId="12708"/>
    <cellStyle name="Normal 98 2 5 4 2" xfId="23825"/>
    <cellStyle name="Normal 98 2 5 5" xfId="16437"/>
    <cellStyle name="Normal 98 2 6" xfId="6236"/>
    <cellStyle name="Normal 98 2 6 2" xfId="9938"/>
    <cellStyle name="Normal 98 2 6 2 2" xfId="21060"/>
    <cellStyle name="Normal 98 2 6 3" xfId="13637"/>
    <cellStyle name="Normal 98 2 6 3 2" xfId="24754"/>
    <cellStyle name="Normal 98 2 6 4" xfId="17366"/>
    <cellStyle name="Normal 98 2 7" xfId="8090"/>
    <cellStyle name="Normal 98 2 7 2" xfId="19213"/>
    <cellStyle name="Normal 98 2 8" xfId="11790"/>
    <cellStyle name="Normal 98 2 8 2" xfId="22907"/>
    <cellStyle name="Normal 98 2 9" xfId="15519"/>
    <cellStyle name="Normal 98 3" xfId="1656"/>
    <cellStyle name="Normal 98 3 2" xfId="2169"/>
    <cellStyle name="Normal 98 3 2 2" xfId="5269"/>
    <cellStyle name="Normal 98 3 2 2 2" xfId="7620"/>
    <cellStyle name="Normal 98 3 2 2 2 2" xfId="11321"/>
    <cellStyle name="Normal 98 3 2 2 2 2 2" xfId="22443"/>
    <cellStyle name="Normal 98 3 2 2 2 3" xfId="15020"/>
    <cellStyle name="Normal 98 3 2 2 2 3 2" xfId="26137"/>
    <cellStyle name="Normal 98 3 2 2 2 4" xfId="18749"/>
    <cellStyle name="Normal 98 3 2 2 3" xfId="9474"/>
    <cellStyle name="Normal 98 3 2 2 3 2" xfId="20596"/>
    <cellStyle name="Normal 98 3 2 2 4" xfId="13173"/>
    <cellStyle name="Normal 98 3 2 2 4 2" xfId="24290"/>
    <cellStyle name="Normal 98 3 2 2 5" xfId="16902"/>
    <cellStyle name="Normal 98 3 2 3" xfId="6701"/>
    <cellStyle name="Normal 98 3 2 3 2" xfId="10403"/>
    <cellStyle name="Normal 98 3 2 3 2 2" xfId="21525"/>
    <cellStyle name="Normal 98 3 2 3 3" xfId="14102"/>
    <cellStyle name="Normal 98 3 2 3 3 2" xfId="25219"/>
    <cellStyle name="Normal 98 3 2 3 4" xfId="17831"/>
    <cellStyle name="Normal 98 3 2 4" xfId="8555"/>
    <cellStyle name="Normal 98 3 2 4 2" xfId="19678"/>
    <cellStyle name="Normal 98 3 2 5" xfId="12255"/>
    <cellStyle name="Normal 98 3 2 5 2" xfId="23372"/>
    <cellStyle name="Normal 98 3 2 6" xfId="15984"/>
    <cellStyle name="Normal 98 3 3" xfId="1868"/>
    <cellStyle name="Normal 98 3 3 2" xfId="5065"/>
    <cellStyle name="Normal 98 3 3 2 2" xfId="7416"/>
    <cellStyle name="Normal 98 3 3 2 2 2" xfId="11117"/>
    <cellStyle name="Normal 98 3 3 2 2 2 2" xfId="22239"/>
    <cellStyle name="Normal 98 3 3 2 2 3" xfId="14816"/>
    <cellStyle name="Normal 98 3 3 2 2 3 2" xfId="25933"/>
    <cellStyle name="Normal 98 3 3 2 2 4" xfId="18545"/>
    <cellStyle name="Normal 98 3 3 2 3" xfId="9270"/>
    <cellStyle name="Normal 98 3 3 2 3 2" xfId="20392"/>
    <cellStyle name="Normal 98 3 3 2 4" xfId="12969"/>
    <cellStyle name="Normal 98 3 3 2 4 2" xfId="24086"/>
    <cellStyle name="Normal 98 3 3 2 5" xfId="16698"/>
    <cellStyle name="Normal 98 3 3 3" xfId="6497"/>
    <cellStyle name="Normal 98 3 3 3 2" xfId="10199"/>
    <cellStyle name="Normal 98 3 3 3 2 2" xfId="21321"/>
    <cellStyle name="Normal 98 3 3 3 3" xfId="13898"/>
    <cellStyle name="Normal 98 3 3 3 3 2" xfId="25015"/>
    <cellStyle name="Normal 98 3 3 3 4" xfId="17627"/>
    <cellStyle name="Normal 98 3 3 4" xfId="8351"/>
    <cellStyle name="Normal 98 3 3 4 2" xfId="19474"/>
    <cellStyle name="Normal 98 3 3 5" xfId="12051"/>
    <cellStyle name="Normal 98 3 3 5 2" xfId="23168"/>
    <cellStyle name="Normal 98 3 3 6" xfId="15780"/>
    <cellStyle name="Normal 98 3 4" xfId="4857"/>
    <cellStyle name="Normal 98 3 4 2" xfId="7208"/>
    <cellStyle name="Normal 98 3 4 2 2" xfId="10909"/>
    <cellStyle name="Normal 98 3 4 2 2 2" xfId="22031"/>
    <cellStyle name="Normal 98 3 4 2 3" xfId="14608"/>
    <cellStyle name="Normal 98 3 4 2 3 2" xfId="25725"/>
    <cellStyle name="Normal 98 3 4 2 4" xfId="18337"/>
    <cellStyle name="Normal 98 3 4 3" xfId="9062"/>
    <cellStyle name="Normal 98 3 4 3 2" xfId="20184"/>
    <cellStyle name="Normal 98 3 4 4" xfId="12761"/>
    <cellStyle name="Normal 98 3 4 4 2" xfId="23878"/>
    <cellStyle name="Normal 98 3 4 5" xfId="16490"/>
    <cellStyle name="Normal 98 3 5" xfId="6289"/>
    <cellStyle name="Normal 98 3 5 2" xfId="9991"/>
    <cellStyle name="Normal 98 3 5 2 2" xfId="21113"/>
    <cellStyle name="Normal 98 3 5 3" xfId="13690"/>
    <cellStyle name="Normal 98 3 5 3 2" xfId="24807"/>
    <cellStyle name="Normal 98 3 5 4" xfId="17419"/>
    <cellStyle name="Normal 98 3 6" xfId="8143"/>
    <cellStyle name="Normal 98 3 6 2" xfId="19266"/>
    <cellStyle name="Normal 98 3 7" xfId="11843"/>
    <cellStyle name="Normal 98 3 7 2" xfId="22960"/>
    <cellStyle name="Normal 98 3 8" xfId="15572"/>
    <cellStyle name="Normal 98 4" xfId="2166"/>
    <cellStyle name="Normal 98 4 2" xfId="5266"/>
    <cellStyle name="Normal 98 4 2 2" xfId="7617"/>
    <cellStyle name="Normal 98 4 2 2 2" xfId="11318"/>
    <cellStyle name="Normal 98 4 2 2 2 2" xfId="22440"/>
    <cellStyle name="Normal 98 4 2 2 3" xfId="15017"/>
    <cellStyle name="Normal 98 4 2 2 3 2" xfId="26134"/>
    <cellStyle name="Normal 98 4 2 2 4" xfId="18746"/>
    <cellStyle name="Normal 98 4 2 3" xfId="9471"/>
    <cellStyle name="Normal 98 4 2 3 2" xfId="20593"/>
    <cellStyle name="Normal 98 4 2 4" xfId="13170"/>
    <cellStyle name="Normal 98 4 2 4 2" xfId="24287"/>
    <cellStyle name="Normal 98 4 2 5" xfId="16899"/>
    <cellStyle name="Normal 98 4 3" xfId="6698"/>
    <cellStyle name="Normal 98 4 3 2" xfId="10400"/>
    <cellStyle name="Normal 98 4 3 2 2" xfId="21522"/>
    <cellStyle name="Normal 98 4 3 3" xfId="14099"/>
    <cellStyle name="Normal 98 4 3 3 2" xfId="25216"/>
    <cellStyle name="Normal 98 4 3 4" xfId="17828"/>
    <cellStyle name="Normal 98 4 4" xfId="8552"/>
    <cellStyle name="Normal 98 4 4 2" xfId="19675"/>
    <cellStyle name="Normal 98 4 5" xfId="12252"/>
    <cellStyle name="Normal 98 4 5 2" xfId="23369"/>
    <cellStyle name="Normal 98 4 6" xfId="15981"/>
    <cellStyle name="Normal 98 5" xfId="1764"/>
    <cellStyle name="Normal 98 5 2" xfId="4961"/>
    <cellStyle name="Normal 98 5 2 2" xfId="7312"/>
    <cellStyle name="Normal 98 5 2 2 2" xfId="11013"/>
    <cellStyle name="Normal 98 5 2 2 2 2" xfId="22135"/>
    <cellStyle name="Normal 98 5 2 2 3" xfId="14712"/>
    <cellStyle name="Normal 98 5 2 2 3 2" xfId="25829"/>
    <cellStyle name="Normal 98 5 2 2 4" xfId="18441"/>
    <cellStyle name="Normal 98 5 2 3" xfId="9166"/>
    <cellStyle name="Normal 98 5 2 3 2" xfId="20288"/>
    <cellStyle name="Normal 98 5 2 4" xfId="12865"/>
    <cellStyle name="Normal 98 5 2 4 2" xfId="23982"/>
    <cellStyle name="Normal 98 5 2 5" xfId="16594"/>
    <cellStyle name="Normal 98 5 3" xfId="6393"/>
    <cellStyle name="Normal 98 5 3 2" xfId="10095"/>
    <cellStyle name="Normal 98 5 3 2 2" xfId="21217"/>
    <cellStyle name="Normal 98 5 3 3" xfId="13794"/>
    <cellStyle name="Normal 98 5 3 3 2" xfId="24911"/>
    <cellStyle name="Normal 98 5 3 4" xfId="17523"/>
    <cellStyle name="Normal 98 5 4" xfId="8247"/>
    <cellStyle name="Normal 98 5 4 2" xfId="19370"/>
    <cellStyle name="Normal 98 5 5" xfId="11947"/>
    <cellStyle name="Normal 98 5 5 2" xfId="23064"/>
    <cellStyle name="Normal 98 5 6" xfId="15676"/>
    <cellStyle name="Normal 98 6" xfId="3807"/>
    <cellStyle name="Normal 98 7" xfId="4752"/>
    <cellStyle name="Normal 98 7 2" xfId="7104"/>
    <cellStyle name="Normal 98 7 2 2" xfId="10805"/>
    <cellStyle name="Normal 98 7 2 2 2" xfId="21927"/>
    <cellStyle name="Normal 98 7 2 3" xfId="14504"/>
    <cellStyle name="Normal 98 7 2 3 2" xfId="25621"/>
    <cellStyle name="Normal 98 7 2 4" xfId="18233"/>
    <cellStyle name="Normal 98 7 3" xfId="8958"/>
    <cellStyle name="Normal 98 7 3 2" xfId="20080"/>
    <cellStyle name="Normal 98 7 4" xfId="12657"/>
    <cellStyle name="Normal 98 7 4 2" xfId="23774"/>
    <cellStyle name="Normal 98 7 5" xfId="16386"/>
    <cellStyle name="Normal 98 8" xfId="6185"/>
    <cellStyle name="Normal 98 8 2" xfId="9887"/>
    <cellStyle name="Normal 98 8 2 2" xfId="21009"/>
    <cellStyle name="Normal 98 8 3" xfId="13586"/>
    <cellStyle name="Normal 98 8 3 2" xfId="24703"/>
    <cellStyle name="Normal 98 8 4" xfId="17315"/>
    <cellStyle name="Normal 98 9" xfId="8038"/>
    <cellStyle name="Normal 98 9 2" xfId="19162"/>
    <cellStyle name="Normal 99" xfId="880"/>
    <cellStyle name="Normal 99 10" xfId="11745"/>
    <cellStyle name="Normal 99 10 2" xfId="22862"/>
    <cellStyle name="Normal 99 11" xfId="15474"/>
    <cellStyle name="Normal 99 2" xfId="1598"/>
    <cellStyle name="Normal 99 2 2" xfId="1717"/>
    <cellStyle name="Normal 99 2 2 2" xfId="2172"/>
    <cellStyle name="Normal 99 2 2 2 2" xfId="5272"/>
    <cellStyle name="Normal 99 2 2 2 2 2" xfId="7623"/>
    <cellStyle name="Normal 99 2 2 2 2 2 2" xfId="11324"/>
    <cellStyle name="Normal 99 2 2 2 2 2 2 2" xfId="22446"/>
    <cellStyle name="Normal 99 2 2 2 2 2 3" xfId="15023"/>
    <cellStyle name="Normal 99 2 2 2 2 2 3 2" xfId="26140"/>
    <cellStyle name="Normal 99 2 2 2 2 2 4" xfId="18752"/>
    <cellStyle name="Normal 99 2 2 2 2 3" xfId="9477"/>
    <cellStyle name="Normal 99 2 2 2 2 3 2" xfId="20599"/>
    <cellStyle name="Normal 99 2 2 2 2 4" xfId="13176"/>
    <cellStyle name="Normal 99 2 2 2 2 4 2" xfId="24293"/>
    <cellStyle name="Normal 99 2 2 2 2 5" xfId="16905"/>
    <cellStyle name="Normal 99 2 2 2 3" xfId="6704"/>
    <cellStyle name="Normal 99 2 2 2 3 2" xfId="10406"/>
    <cellStyle name="Normal 99 2 2 2 3 2 2" xfId="21528"/>
    <cellStyle name="Normal 99 2 2 2 3 3" xfId="14105"/>
    <cellStyle name="Normal 99 2 2 2 3 3 2" xfId="25222"/>
    <cellStyle name="Normal 99 2 2 2 3 4" xfId="17834"/>
    <cellStyle name="Normal 99 2 2 2 4" xfId="8558"/>
    <cellStyle name="Normal 99 2 2 2 4 2" xfId="19681"/>
    <cellStyle name="Normal 99 2 2 2 5" xfId="12258"/>
    <cellStyle name="Normal 99 2 2 2 5 2" xfId="23375"/>
    <cellStyle name="Normal 99 2 2 2 6" xfId="15987"/>
    <cellStyle name="Normal 99 2 2 3" xfId="1927"/>
    <cellStyle name="Normal 99 2 2 3 2" xfId="5124"/>
    <cellStyle name="Normal 99 2 2 3 2 2" xfId="7475"/>
    <cellStyle name="Normal 99 2 2 3 2 2 2" xfId="11176"/>
    <cellStyle name="Normal 99 2 2 3 2 2 2 2" xfId="22298"/>
    <cellStyle name="Normal 99 2 2 3 2 2 3" xfId="14875"/>
    <cellStyle name="Normal 99 2 2 3 2 2 3 2" xfId="25992"/>
    <cellStyle name="Normal 99 2 2 3 2 2 4" xfId="18604"/>
    <cellStyle name="Normal 99 2 2 3 2 3" xfId="9329"/>
    <cellStyle name="Normal 99 2 2 3 2 3 2" xfId="20451"/>
    <cellStyle name="Normal 99 2 2 3 2 4" xfId="13028"/>
    <cellStyle name="Normal 99 2 2 3 2 4 2" xfId="24145"/>
    <cellStyle name="Normal 99 2 2 3 2 5" xfId="16757"/>
    <cellStyle name="Normal 99 2 2 3 3" xfId="6556"/>
    <cellStyle name="Normal 99 2 2 3 3 2" xfId="10258"/>
    <cellStyle name="Normal 99 2 2 3 3 2 2" xfId="21380"/>
    <cellStyle name="Normal 99 2 2 3 3 3" xfId="13957"/>
    <cellStyle name="Normal 99 2 2 3 3 3 2" xfId="25074"/>
    <cellStyle name="Normal 99 2 2 3 3 4" xfId="17686"/>
    <cellStyle name="Normal 99 2 2 3 4" xfId="8410"/>
    <cellStyle name="Normal 99 2 2 3 4 2" xfId="19533"/>
    <cellStyle name="Normal 99 2 2 3 5" xfId="12110"/>
    <cellStyle name="Normal 99 2 2 3 5 2" xfId="23227"/>
    <cellStyle name="Normal 99 2 2 3 6" xfId="15839"/>
    <cellStyle name="Normal 99 2 2 4" xfId="4916"/>
    <cellStyle name="Normal 99 2 2 4 2" xfId="7267"/>
    <cellStyle name="Normal 99 2 2 4 2 2" xfId="10968"/>
    <cellStyle name="Normal 99 2 2 4 2 2 2" xfId="22090"/>
    <cellStyle name="Normal 99 2 2 4 2 3" xfId="14667"/>
    <cellStyle name="Normal 99 2 2 4 2 3 2" xfId="25784"/>
    <cellStyle name="Normal 99 2 2 4 2 4" xfId="18396"/>
    <cellStyle name="Normal 99 2 2 4 3" xfId="9121"/>
    <cellStyle name="Normal 99 2 2 4 3 2" xfId="20243"/>
    <cellStyle name="Normal 99 2 2 4 4" xfId="12820"/>
    <cellStyle name="Normal 99 2 2 4 4 2" xfId="23937"/>
    <cellStyle name="Normal 99 2 2 4 5" xfId="16549"/>
    <cellStyle name="Normal 99 2 2 5" xfId="6348"/>
    <cellStyle name="Normal 99 2 2 5 2" xfId="10050"/>
    <cellStyle name="Normal 99 2 2 5 2 2" xfId="21172"/>
    <cellStyle name="Normal 99 2 2 5 3" xfId="13749"/>
    <cellStyle name="Normal 99 2 2 5 3 2" xfId="24866"/>
    <cellStyle name="Normal 99 2 2 5 4" xfId="17478"/>
    <cellStyle name="Normal 99 2 2 6" xfId="8202"/>
    <cellStyle name="Normal 99 2 2 6 2" xfId="19325"/>
    <cellStyle name="Normal 99 2 2 7" xfId="11902"/>
    <cellStyle name="Normal 99 2 2 7 2" xfId="23019"/>
    <cellStyle name="Normal 99 2 2 8" xfId="15631"/>
    <cellStyle name="Normal 99 2 3" xfId="2171"/>
    <cellStyle name="Normal 99 2 3 2" xfId="5271"/>
    <cellStyle name="Normal 99 2 3 2 2" xfId="7622"/>
    <cellStyle name="Normal 99 2 3 2 2 2" xfId="11323"/>
    <cellStyle name="Normal 99 2 3 2 2 2 2" xfId="22445"/>
    <cellStyle name="Normal 99 2 3 2 2 3" xfId="15022"/>
    <cellStyle name="Normal 99 2 3 2 2 3 2" xfId="26139"/>
    <cellStyle name="Normal 99 2 3 2 2 4" xfId="18751"/>
    <cellStyle name="Normal 99 2 3 2 3" xfId="9476"/>
    <cellStyle name="Normal 99 2 3 2 3 2" xfId="20598"/>
    <cellStyle name="Normal 99 2 3 2 4" xfId="13175"/>
    <cellStyle name="Normal 99 2 3 2 4 2" xfId="24292"/>
    <cellStyle name="Normal 99 2 3 2 5" xfId="16904"/>
    <cellStyle name="Normal 99 2 3 3" xfId="6703"/>
    <cellStyle name="Normal 99 2 3 3 2" xfId="10405"/>
    <cellStyle name="Normal 99 2 3 3 2 2" xfId="21527"/>
    <cellStyle name="Normal 99 2 3 3 3" xfId="14104"/>
    <cellStyle name="Normal 99 2 3 3 3 2" xfId="25221"/>
    <cellStyle name="Normal 99 2 3 3 4" xfId="17833"/>
    <cellStyle name="Normal 99 2 3 4" xfId="8557"/>
    <cellStyle name="Normal 99 2 3 4 2" xfId="19680"/>
    <cellStyle name="Normal 99 2 3 5" xfId="12257"/>
    <cellStyle name="Normal 99 2 3 5 2" xfId="23374"/>
    <cellStyle name="Normal 99 2 3 6" xfId="15986"/>
    <cellStyle name="Normal 99 2 4" xfId="1821"/>
    <cellStyle name="Normal 99 2 4 2" xfId="5018"/>
    <cellStyle name="Normal 99 2 4 2 2" xfId="7369"/>
    <cellStyle name="Normal 99 2 4 2 2 2" xfId="11070"/>
    <cellStyle name="Normal 99 2 4 2 2 2 2" xfId="22192"/>
    <cellStyle name="Normal 99 2 4 2 2 3" xfId="14769"/>
    <cellStyle name="Normal 99 2 4 2 2 3 2" xfId="25886"/>
    <cellStyle name="Normal 99 2 4 2 2 4" xfId="18498"/>
    <cellStyle name="Normal 99 2 4 2 3" xfId="9223"/>
    <cellStyle name="Normal 99 2 4 2 3 2" xfId="20345"/>
    <cellStyle name="Normal 99 2 4 2 4" xfId="12922"/>
    <cellStyle name="Normal 99 2 4 2 4 2" xfId="24039"/>
    <cellStyle name="Normal 99 2 4 2 5" xfId="16651"/>
    <cellStyle name="Normal 99 2 4 3" xfId="6450"/>
    <cellStyle name="Normal 99 2 4 3 2" xfId="10152"/>
    <cellStyle name="Normal 99 2 4 3 2 2" xfId="21274"/>
    <cellStyle name="Normal 99 2 4 3 3" xfId="13851"/>
    <cellStyle name="Normal 99 2 4 3 3 2" xfId="24968"/>
    <cellStyle name="Normal 99 2 4 3 4" xfId="17580"/>
    <cellStyle name="Normal 99 2 4 4" xfId="8304"/>
    <cellStyle name="Normal 99 2 4 4 2" xfId="19427"/>
    <cellStyle name="Normal 99 2 4 5" xfId="12004"/>
    <cellStyle name="Normal 99 2 4 5 2" xfId="23121"/>
    <cellStyle name="Normal 99 2 4 6" xfId="15733"/>
    <cellStyle name="Normal 99 2 5" xfId="4810"/>
    <cellStyle name="Normal 99 2 5 2" xfId="7161"/>
    <cellStyle name="Normal 99 2 5 2 2" xfId="10862"/>
    <cellStyle name="Normal 99 2 5 2 2 2" xfId="21984"/>
    <cellStyle name="Normal 99 2 5 2 3" xfId="14561"/>
    <cellStyle name="Normal 99 2 5 2 3 2" xfId="25678"/>
    <cellStyle name="Normal 99 2 5 2 4" xfId="18290"/>
    <cellStyle name="Normal 99 2 5 3" xfId="9015"/>
    <cellStyle name="Normal 99 2 5 3 2" xfId="20137"/>
    <cellStyle name="Normal 99 2 5 4" xfId="12714"/>
    <cellStyle name="Normal 99 2 5 4 2" xfId="23831"/>
    <cellStyle name="Normal 99 2 5 5" xfId="16443"/>
    <cellStyle name="Normal 99 2 6" xfId="6242"/>
    <cellStyle name="Normal 99 2 6 2" xfId="9944"/>
    <cellStyle name="Normal 99 2 6 2 2" xfId="21066"/>
    <cellStyle name="Normal 99 2 6 3" xfId="13643"/>
    <cellStyle name="Normal 99 2 6 3 2" xfId="24760"/>
    <cellStyle name="Normal 99 2 6 4" xfId="17372"/>
    <cellStyle name="Normal 99 2 7" xfId="8096"/>
    <cellStyle name="Normal 99 2 7 2" xfId="19219"/>
    <cellStyle name="Normal 99 2 8" xfId="11796"/>
    <cellStyle name="Normal 99 2 8 2" xfId="22913"/>
    <cellStyle name="Normal 99 2 9" xfId="15525"/>
    <cellStyle name="Normal 99 3" xfId="1662"/>
    <cellStyle name="Normal 99 3 2" xfId="2173"/>
    <cellStyle name="Normal 99 3 2 2" xfId="5273"/>
    <cellStyle name="Normal 99 3 2 2 2" xfId="7624"/>
    <cellStyle name="Normal 99 3 2 2 2 2" xfId="11325"/>
    <cellStyle name="Normal 99 3 2 2 2 2 2" xfId="22447"/>
    <cellStyle name="Normal 99 3 2 2 2 3" xfId="15024"/>
    <cellStyle name="Normal 99 3 2 2 2 3 2" xfId="26141"/>
    <cellStyle name="Normal 99 3 2 2 2 4" xfId="18753"/>
    <cellStyle name="Normal 99 3 2 2 3" xfId="9478"/>
    <cellStyle name="Normal 99 3 2 2 3 2" xfId="20600"/>
    <cellStyle name="Normal 99 3 2 2 4" xfId="13177"/>
    <cellStyle name="Normal 99 3 2 2 4 2" xfId="24294"/>
    <cellStyle name="Normal 99 3 2 2 5" xfId="16906"/>
    <cellStyle name="Normal 99 3 2 3" xfId="6705"/>
    <cellStyle name="Normal 99 3 2 3 2" xfId="10407"/>
    <cellStyle name="Normal 99 3 2 3 2 2" xfId="21529"/>
    <cellStyle name="Normal 99 3 2 3 3" xfId="14106"/>
    <cellStyle name="Normal 99 3 2 3 3 2" xfId="25223"/>
    <cellStyle name="Normal 99 3 2 3 4" xfId="17835"/>
    <cellStyle name="Normal 99 3 2 4" xfId="8559"/>
    <cellStyle name="Normal 99 3 2 4 2" xfId="19682"/>
    <cellStyle name="Normal 99 3 2 5" xfId="12259"/>
    <cellStyle name="Normal 99 3 2 5 2" xfId="23376"/>
    <cellStyle name="Normal 99 3 2 6" xfId="15988"/>
    <cellStyle name="Normal 99 3 3" xfId="1874"/>
    <cellStyle name="Normal 99 3 3 2" xfId="5071"/>
    <cellStyle name="Normal 99 3 3 2 2" xfId="7422"/>
    <cellStyle name="Normal 99 3 3 2 2 2" xfId="11123"/>
    <cellStyle name="Normal 99 3 3 2 2 2 2" xfId="22245"/>
    <cellStyle name="Normal 99 3 3 2 2 3" xfId="14822"/>
    <cellStyle name="Normal 99 3 3 2 2 3 2" xfId="25939"/>
    <cellStyle name="Normal 99 3 3 2 2 4" xfId="18551"/>
    <cellStyle name="Normal 99 3 3 2 3" xfId="9276"/>
    <cellStyle name="Normal 99 3 3 2 3 2" xfId="20398"/>
    <cellStyle name="Normal 99 3 3 2 4" xfId="12975"/>
    <cellStyle name="Normal 99 3 3 2 4 2" xfId="24092"/>
    <cellStyle name="Normal 99 3 3 2 5" xfId="16704"/>
    <cellStyle name="Normal 99 3 3 3" xfId="6503"/>
    <cellStyle name="Normal 99 3 3 3 2" xfId="10205"/>
    <cellStyle name="Normal 99 3 3 3 2 2" xfId="21327"/>
    <cellStyle name="Normal 99 3 3 3 3" xfId="13904"/>
    <cellStyle name="Normal 99 3 3 3 3 2" xfId="25021"/>
    <cellStyle name="Normal 99 3 3 3 4" xfId="17633"/>
    <cellStyle name="Normal 99 3 3 4" xfId="8357"/>
    <cellStyle name="Normal 99 3 3 4 2" xfId="19480"/>
    <cellStyle name="Normal 99 3 3 5" xfId="12057"/>
    <cellStyle name="Normal 99 3 3 5 2" xfId="23174"/>
    <cellStyle name="Normal 99 3 3 6" xfId="15786"/>
    <cellStyle name="Normal 99 3 4" xfId="4863"/>
    <cellStyle name="Normal 99 3 4 2" xfId="7214"/>
    <cellStyle name="Normal 99 3 4 2 2" xfId="10915"/>
    <cellStyle name="Normal 99 3 4 2 2 2" xfId="22037"/>
    <cellStyle name="Normal 99 3 4 2 3" xfId="14614"/>
    <cellStyle name="Normal 99 3 4 2 3 2" xfId="25731"/>
    <cellStyle name="Normal 99 3 4 2 4" xfId="18343"/>
    <cellStyle name="Normal 99 3 4 3" xfId="9068"/>
    <cellStyle name="Normal 99 3 4 3 2" xfId="20190"/>
    <cellStyle name="Normal 99 3 4 4" xfId="12767"/>
    <cellStyle name="Normal 99 3 4 4 2" xfId="23884"/>
    <cellStyle name="Normal 99 3 4 5" xfId="16496"/>
    <cellStyle name="Normal 99 3 5" xfId="6295"/>
    <cellStyle name="Normal 99 3 5 2" xfId="9997"/>
    <cellStyle name="Normal 99 3 5 2 2" xfId="21119"/>
    <cellStyle name="Normal 99 3 5 3" xfId="13696"/>
    <cellStyle name="Normal 99 3 5 3 2" xfId="24813"/>
    <cellStyle name="Normal 99 3 5 4" xfId="17425"/>
    <cellStyle name="Normal 99 3 6" xfId="8149"/>
    <cellStyle name="Normal 99 3 6 2" xfId="19272"/>
    <cellStyle name="Normal 99 3 7" xfId="11849"/>
    <cellStyle name="Normal 99 3 7 2" xfId="22966"/>
    <cellStyle name="Normal 99 3 8" xfId="15578"/>
    <cellStyle name="Normal 99 4" xfId="2170"/>
    <cellStyle name="Normal 99 4 2" xfId="5270"/>
    <cellStyle name="Normal 99 4 2 2" xfId="7621"/>
    <cellStyle name="Normal 99 4 2 2 2" xfId="11322"/>
    <cellStyle name="Normal 99 4 2 2 2 2" xfId="22444"/>
    <cellStyle name="Normal 99 4 2 2 3" xfId="15021"/>
    <cellStyle name="Normal 99 4 2 2 3 2" xfId="26138"/>
    <cellStyle name="Normal 99 4 2 2 4" xfId="18750"/>
    <cellStyle name="Normal 99 4 2 3" xfId="9475"/>
    <cellStyle name="Normal 99 4 2 3 2" xfId="20597"/>
    <cellStyle name="Normal 99 4 2 4" xfId="13174"/>
    <cellStyle name="Normal 99 4 2 4 2" xfId="24291"/>
    <cellStyle name="Normal 99 4 2 5" xfId="16903"/>
    <cellStyle name="Normal 99 4 3" xfId="6702"/>
    <cellStyle name="Normal 99 4 3 2" xfId="10404"/>
    <cellStyle name="Normal 99 4 3 2 2" xfId="21526"/>
    <cellStyle name="Normal 99 4 3 3" xfId="14103"/>
    <cellStyle name="Normal 99 4 3 3 2" xfId="25220"/>
    <cellStyle name="Normal 99 4 3 4" xfId="17832"/>
    <cellStyle name="Normal 99 4 4" xfId="8556"/>
    <cellStyle name="Normal 99 4 4 2" xfId="19679"/>
    <cellStyle name="Normal 99 4 5" xfId="12256"/>
    <cellStyle name="Normal 99 4 5 2" xfId="23373"/>
    <cellStyle name="Normal 99 4 6" xfId="15985"/>
    <cellStyle name="Normal 99 5" xfId="1770"/>
    <cellStyle name="Normal 99 5 2" xfId="4967"/>
    <cellStyle name="Normal 99 5 2 2" xfId="7318"/>
    <cellStyle name="Normal 99 5 2 2 2" xfId="11019"/>
    <cellStyle name="Normal 99 5 2 2 2 2" xfId="22141"/>
    <cellStyle name="Normal 99 5 2 2 3" xfId="14718"/>
    <cellStyle name="Normal 99 5 2 2 3 2" xfId="25835"/>
    <cellStyle name="Normal 99 5 2 2 4" xfId="18447"/>
    <cellStyle name="Normal 99 5 2 3" xfId="9172"/>
    <cellStyle name="Normal 99 5 2 3 2" xfId="20294"/>
    <cellStyle name="Normal 99 5 2 4" xfId="12871"/>
    <cellStyle name="Normal 99 5 2 4 2" xfId="23988"/>
    <cellStyle name="Normal 99 5 2 5" xfId="16600"/>
    <cellStyle name="Normal 99 5 3" xfId="6399"/>
    <cellStyle name="Normal 99 5 3 2" xfId="10101"/>
    <cellStyle name="Normal 99 5 3 2 2" xfId="21223"/>
    <cellStyle name="Normal 99 5 3 3" xfId="13800"/>
    <cellStyle name="Normal 99 5 3 3 2" xfId="24917"/>
    <cellStyle name="Normal 99 5 3 4" xfId="17529"/>
    <cellStyle name="Normal 99 5 4" xfId="8253"/>
    <cellStyle name="Normal 99 5 4 2" xfId="19376"/>
    <cellStyle name="Normal 99 5 5" xfId="11953"/>
    <cellStyle name="Normal 99 5 5 2" xfId="23070"/>
    <cellStyle name="Normal 99 5 6" xfId="15682"/>
    <cellStyle name="Normal 99 6" xfId="3808"/>
    <cellStyle name="Normal 99 7" xfId="4758"/>
    <cellStyle name="Normal 99 7 2" xfId="7110"/>
    <cellStyle name="Normal 99 7 2 2" xfId="10811"/>
    <cellStyle name="Normal 99 7 2 2 2" xfId="21933"/>
    <cellStyle name="Normal 99 7 2 3" xfId="14510"/>
    <cellStyle name="Normal 99 7 2 3 2" xfId="25627"/>
    <cellStyle name="Normal 99 7 2 4" xfId="18239"/>
    <cellStyle name="Normal 99 7 3" xfId="8964"/>
    <cellStyle name="Normal 99 7 3 2" xfId="20086"/>
    <cellStyle name="Normal 99 7 4" xfId="12663"/>
    <cellStyle name="Normal 99 7 4 2" xfId="23780"/>
    <cellStyle name="Normal 99 7 5" xfId="16392"/>
    <cellStyle name="Normal 99 8" xfId="6191"/>
    <cellStyle name="Normal 99 8 2" xfId="9893"/>
    <cellStyle name="Normal 99 8 2 2" xfId="21015"/>
    <cellStyle name="Normal 99 8 3" xfId="13592"/>
    <cellStyle name="Normal 99 8 3 2" xfId="24709"/>
    <cellStyle name="Normal 99 8 4" xfId="17321"/>
    <cellStyle name="Normal 99 9" xfId="8044"/>
    <cellStyle name="Normal 99 9 2" xfId="19168"/>
    <cellStyle name="Normal Bold" xfId="460"/>
    <cellStyle name="Normal Bold 2" xfId="3809"/>
    <cellStyle name="Normal Bold 3" xfId="4601"/>
    <cellStyle name="Normal_AMCCBLSH" xfId="57"/>
    <cellStyle name="Normal_Book3" xfId="58"/>
    <cellStyle name="Normal_DisclaimerSheet Samples" xfId="26519"/>
    <cellStyle name="Normal_intc(1).o" xfId="59"/>
    <cellStyle name="Normale_Immat gennaio 1996" xfId="5937"/>
    <cellStyle name="NormalItalic" xfId="3810"/>
    <cellStyle name="Note" xfId="60" builtinId="10" customBuiltin="1"/>
    <cellStyle name="Note 10" xfId="2175"/>
    <cellStyle name="Note 10 2" xfId="3811"/>
    <cellStyle name="Note 11" xfId="2174"/>
    <cellStyle name="Note 11 2" xfId="3812"/>
    <cellStyle name="Note 12" xfId="3813"/>
    <cellStyle name="Note 12 2" xfId="3814"/>
    <cellStyle name="Note 13" xfId="3815"/>
    <cellStyle name="Note 13 2" xfId="3816"/>
    <cellStyle name="Note 2" xfId="461"/>
    <cellStyle name="Note 2 2" xfId="462"/>
    <cellStyle name="Note 2 2 2" xfId="1313"/>
    <cellStyle name="Note 2 2 2 2" xfId="3817"/>
    <cellStyle name="Note 2 2 3" xfId="3818"/>
    <cellStyle name="Note 2 2 4" xfId="3819"/>
    <cellStyle name="Note 2 3" xfId="1315"/>
    <cellStyle name="Note 2 3 2" xfId="1314"/>
    <cellStyle name="Note 2 3 3" xfId="3820"/>
    <cellStyle name="Note 2 4" xfId="3821"/>
    <cellStyle name="Note 3" xfId="463"/>
    <cellStyle name="Note 3 2" xfId="464"/>
    <cellStyle name="Note 3 2 2" xfId="5497"/>
    <cellStyle name="Note 3 3" xfId="5496"/>
    <cellStyle name="Note 4" xfId="465"/>
    <cellStyle name="Note 4 2" xfId="466"/>
    <cellStyle name="Note 4 2 2" xfId="3822"/>
    <cellStyle name="Note 4 2 2 2" xfId="5499"/>
    <cellStyle name="Note 4 3" xfId="3823"/>
    <cellStyle name="Note 4 3 2" xfId="5498"/>
    <cellStyle name="Note 5" xfId="467"/>
    <cellStyle name="Note 5 2" xfId="468"/>
    <cellStyle name="Note 5 2 2" xfId="5501"/>
    <cellStyle name="Note 5 3" xfId="5500"/>
    <cellStyle name="Note 6" xfId="757"/>
    <cellStyle name="Note 6 10" xfId="8002"/>
    <cellStyle name="Note 6 10 2" xfId="19126"/>
    <cellStyle name="Note 6 11" xfId="11703"/>
    <cellStyle name="Note 6 11 2" xfId="22820"/>
    <cellStyle name="Note 6 12" xfId="15432"/>
    <cellStyle name="Note 6 2" xfId="1143"/>
    <cellStyle name="Note 6 2 2" xfId="5502"/>
    <cellStyle name="Note 6 3" xfId="1142"/>
    <cellStyle name="Note 6 4" xfId="1556"/>
    <cellStyle name="Note 6 4 2" xfId="1680"/>
    <cellStyle name="Note 6 4 2 2" xfId="2178"/>
    <cellStyle name="Note 6 4 2 3" xfId="1891"/>
    <cellStyle name="Note 6 4 2 3 2" xfId="5088"/>
    <cellStyle name="Note 6 4 2 3 2 2" xfId="7439"/>
    <cellStyle name="Note 6 4 2 3 2 2 2" xfId="11140"/>
    <cellStyle name="Note 6 4 2 3 2 2 2 2" xfId="22262"/>
    <cellStyle name="Note 6 4 2 3 2 2 3" xfId="14839"/>
    <cellStyle name="Note 6 4 2 3 2 2 3 2" xfId="25956"/>
    <cellStyle name="Note 6 4 2 3 2 2 4" xfId="18568"/>
    <cellStyle name="Note 6 4 2 3 2 3" xfId="9293"/>
    <cellStyle name="Note 6 4 2 3 2 3 2" xfId="20415"/>
    <cellStyle name="Note 6 4 2 3 2 4" xfId="12992"/>
    <cellStyle name="Note 6 4 2 3 2 4 2" xfId="24109"/>
    <cellStyle name="Note 6 4 2 3 2 5" xfId="16721"/>
    <cellStyle name="Note 6 4 2 3 3" xfId="6520"/>
    <cellStyle name="Note 6 4 2 3 3 2" xfId="10222"/>
    <cellStyle name="Note 6 4 2 3 3 2 2" xfId="21344"/>
    <cellStyle name="Note 6 4 2 3 3 3" xfId="13921"/>
    <cellStyle name="Note 6 4 2 3 3 3 2" xfId="25038"/>
    <cellStyle name="Note 6 4 2 3 3 4" xfId="17650"/>
    <cellStyle name="Note 6 4 2 3 4" xfId="8374"/>
    <cellStyle name="Note 6 4 2 3 4 2" xfId="19497"/>
    <cellStyle name="Note 6 4 2 3 5" xfId="12074"/>
    <cellStyle name="Note 6 4 2 3 5 2" xfId="23191"/>
    <cellStyle name="Note 6 4 2 3 6" xfId="15803"/>
    <cellStyle name="Note 6 4 2 4" xfId="4880"/>
    <cellStyle name="Note 6 4 2 4 2" xfId="7231"/>
    <cellStyle name="Note 6 4 2 4 2 2" xfId="10932"/>
    <cellStyle name="Note 6 4 2 4 2 2 2" xfId="22054"/>
    <cellStyle name="Note 6 4 2 4 2 3" xfId="14631"/>
    <cellStyle name="Note 6 4 2 4 2 3 2" xfId="25748"/>
    <cellStyle name="Note 6 4 2 4 2 4" xfId="18360"/>
    <cellStyle name="Note 6 4 2 4 3" xfId="9085"/>
    <cellStyle name="Note 6 4 2 4 3 2" xfId="20207"/>
    <cellStyle name="Note 6 4 2 4 4" xfId="12784"/>
    <cellStyle name="Note 6 4 2 4 4 2" xfId="23901"/>
    <cellStyle name="Note 6 4 2 4 5" xfId="16513"/>
    <cellStyle name="Note 6 4 2 5" xfId="6312"/>
    <cellStyle name="Note 6 4 2 5 2" xfId="10014"/>
    <cellStyle name="Note 6 4 2 5 2 2" xfId="21136"/>
    <cellStyle name="Note 6 4 2 5 3" xfId="13713"/>
    <cellStyle name="Note 6 4 2 5 3 2" xfId="24830"/>
    <cellStyle name="Note 6 4 2 5 4" xfId="17442"/>
    <cellStyle name="Note 6 4 2 6" xfId="8166"/>
    <cellStyle name="Note 6 4 2 6 2" xfId="19289"/>
    <cellStyle name="Note 6 4 2 7" xfId="11866"/>
    <cellStyle name="Note 6 4 2 7 2" xfId="22983"/>
    <cellStyle name="Note 6 4 2 8" xfId="15595"/>
    <cellStyle name="Note 6 4 3" xfId="2177"/>
    <cellStyle name="Note 6 4 4" xfId="1779"/>
    <cellStyle name="Note 6 4 4 2" xfId="4976"/>
    <cellStyle name="Note 6 4 4 2 2" xfId="7327"/>
    <cellStyle name="Note 6 4 4 2 2 2" xfId="11028"/>
    <cellStyle name="Note 6 4 4 2 2 2 2" xfId="22150"/>
    <cellStyle name="Note 6 4 4 2 2 3" xfId="14727"/>
    <cellStyle name="Note 6 4 4 2 2 3 2" xfId="25844"/>
    <cellStyle name="Note 6 4 4 2 2 4" xfId="18456"/>
    <cellStyle name="Note 6 4 4 2 3" xfId="9181"/>
    <cellStyle name="Note 6 4 4 2 3 2" xfId="20303"/>
    <cellStyle name="Note 6 4 4 2 4" xfId="12880"/>
    <cellStyle name="Note 6 4 4 2 4 2" xfId="23997"/>
    <cellStyle name="Note 6 4 4 2 5" xfId="16609"/>
    <cellStyle name="Note 6 4 4 3" xfId="6408"/>
    <cellStyle name="Note 6 4 4 3 2" xfId="10110"/>
    <cellStyle name="Note 6 4 4 3 2 2" xfId="21232"/>
    <cellStyle name="Note 6 4 4 3 3" xfId="13809"/>
    <cellStyle name="Note 6 4 4 3 3 2" xfId="24926"/>
    <cellStyle name="Note 6 4 4 3 4" xfId="17538"/>
    <cellStyle name="Note 6 4 4 4" xfId="8262"/>
    <cellStyle name="Note 6 4 4 4 2" xfId="19385"/>
    <cellStyle name="Note 6 4 4 5" xfId="11962"/>
    <cellStyle name="Note 6 4 4 5 2" xfId="23079"/>
    <cellStyle name="Note 6 4 4 6" xfId="15691"/>
    <cellStyle name="Note 6 4 5" xfId="4768"/>
    <cellStyle name="Note 6 4 5 2" xfId="7119"/>
    <cellStyle name="Note 6 4 5 2 2" xfId="10820"/>
    <cellStyle name="Note 6 4 5 2 2 2" xfId="21942"/>
    <cellStyle name="Note 6 4 5 2 3" xfId="14519"/>
    <cellStyle name="Note 6 4 5 2 3 2" xfId="25636"/>
    <cellStyle name="Note 6 4 5 2 4" xfId="18248"/>
    <cellStyle name="Note 6 4 5 3" xfId="8973"/>
    <cellStyle name="Note 6 4 5 3 2" xfId="20095"/>
    <cellStyle name="Note 6 4 5 4" xfId="12672"/>
    <cellStyle name="Note 6 4 5 4 2" xfId="23789"/>
    <cellStyle name="Note 6 4 5 5" xfId="16401"/>
    <cellStyle name="Note 6 4 6" xfId="6200"/>
    <cellStyle name="Note 6 4 6 2" xfId="9902"/>
    <cellStyle name="Note 6 4 6 2 2" xfId="21024"/>
    <cellStyle name="Note 6 4 6 3" xfId="13601"/>
    <cellStyle name="Note 6 4 6 3 2" xfId="24718"/>
    <cellStyle name="Note 6 4 6 4" xfId="17330"/>
    <cellStyle name="Note 6 4 7" xfId="8054"/>
    <cellStyle name="Note 6 4 7 2" xfId="19177"/>
    <cellStyle name="Note 6 4 8" xfId="11754"/>
    <cellStyle name="Note 6 4 8 2" xfId="22871"/>
    <cellStyle name="Note 6 4 9" xfId="15483"/>
    <cellStyle name="Note 6 5" xfId="1619"/>
    <cellStyle name="Note 6 5 2" xfId="2179"/>
    <cellStyle name="Note 6 5 3" xfId="1832"/>
    <cellStyle name="Note 6 5 3 2" xfId="5029"/>
    <cellStyle name="Note 6 5 3 2 2" xfId="7380"/>
    <cellStyle name="Note 6 5 3 2 2 2" xfId="11081"/>
    <cellStyle name="Note 6 5 3 2 2 2 2" xfId="22203"/>
    <cellStyle name="Note 6 5 3 2 2 3" xfId="14780"/>
    <cellStyle name="Note 6 5 3 2 2 3 2" xfId="25897"/>
    <cellStyle name="Note 6 5 3 2 2 4" xfId="18509"/>
    <cellStyle name="Note 6 5 3 2 3" xfId="9234"/>
    <cellStyle name="Note 6 5 3 2 3 2" xfId="20356"/>
    <cellStyle name="Note 6 5 3 2 4" xfId="12933"/>
    <cellStyle name="Note 6 5 3 2 4 2" xfId="24050"/>
    <cellStyle name="Note 6 5 3 2 5" xfId="16662"/>
    <cellStyle name="Note 6 5 3 3" xfId="6461"/>
    <cellStyle name="Note 6 5 3 3 2" xfId="10163"/>
    <cellStyle name="Note 6 5 3 3 2 2" xfId="21285"/>
    <cellStyle name="Note 6 5 3 3 3" xfId="13862"/>
    <cellStyle name="Note 6 5 3 3 3 2" xfId="24979"/>
    <cellStyle name="Note 6 5 3 3 4" xfId="17591"/>
    <cellStyle name="Note 6 5 3 4" xfId="8315"/>
    <cellStyle name="Note 6 5 3 4 2" xfId="19438"/>
    <cellStyle name="Note 6 5 3 5" xfId="12015"/>
    <cellStyle name="Note 6 5 3 5 2" xfId="23132"/>
    <cellStyle name="Note 6 5 3 6" xfId="15744"/>
    <cellStyle name="Note 6 5 4" xfId="4821"/>
    <cellStyle name="Note 6 5 4 2" xfId="7172"/>
    <cellStyle name="Note 6 5 4 2 2" xfId="10873"/>
    <cellStyle name="Note 6 5 4 2 2 2" xfId="21995"/>
    <cellStyle name="Note 6 5 4 2 3" xfId="14572"/>
    <cellStyle name="Note 6 5 4 2 3 2" xfId="25689"/>
    <cellStyle name="Note 6 5 4 2 4" xfId="18301"/>
    <cellStyle name="Note 6 5 4 3" xfId="9026"/>
    <cellStyle name="Note 6 5 4 3 2" xfId="20148"/>
    <cellStyle name="Note 6 5 4 4" xfId="12725"/>
    <cellStyle name="Note 6 5 4 4 2" xfId="23842"/>
    <cellStyle name="Note 6 5 4 5" xfId="16454"/>
    <cellStyle name="Note 6 5 5" xfId="6253"/>
    <cellStyle name="Note 6 5 5 2" xfId="9955"/>
    <cellStyle name="Note 6 5 5 2 2" xfId="21077"/>
    <cellStyle name="Note 6 5 5 3" xfId="13654"/>
    <cellStyle name="Note 6 5 5 3 2" xfId="24771"/>
    <cellStyle name="Note 6 5 5 4" xfId="17383"/>
    <cellStyle name="Note 6 5 6" xfId="8107"/>
    <cellStyle name="Note 6 5 6 2" xfId="19230"/>
    <cellStyle name="Note 6 5 7" xfId="11807"/>
    <cellStyle name="Note 6 5 7 2" xfId="22924"/>
    <cellStyle name="Note 6 5 8" xfId="15536"/>
    <cellStyle name="Note 6 6" xfId="2176"/>
    <cellStyle name="Note 6 7" xfId="1728"/>
    <cellStyle name="Note 6 7 2" xfId="4925"/>
    <cellStyle name="Note 6 7 2 2" xfId="7276"/>
    <cellStyle name="Note 6 7 2 2 2" xfId="10977"/>
    <cellStyle name="Note 6 7 2 2 2 2" xfId="22099"/>
    <cellStyle name="Note 6 7 2 2 3" xfId="14676"/>
    <cellStyle name="Note 6 7 2 2 3 2" xfId="25793"/>
    <cellStyle name="Note 6 7 2 2 4" xfId="18405"/>
    <cellStyle name="Note 6 7 2 3" xfId="9130"/>
    <cellStyle name="Note 6 7 2 3 2" xfId="20252"/>
    <cellStyle name="Note 6 7 2 4" xfId="12829"/>
    <cellStyle name="Note 6 7 2 4 2" xfId="23946"/>
    <cellStyle name="Note 6 7 2 5" xfId="16558"/>
    <cellStyle name="Note 6 7 3" xfId="6357"/>
    <cellStyle name="Note 6 7 3 2" xfId="10059"/>
    <cellStyle name="Note 6 7 3 2 2" xfId="21181"/>
    <cellStyle name="Note 6 7 3 3" xfId="13758"/>
    <cellStyle name="Note 6 7 3 3 2" xfId="24875"/>
    <cellStyle name="Note 6 7 3 4" xfId="17487"/>
    <cellStyle name="Note 6 7 4" xfId="8211"/>
    <cellStyle name="Note 6 7 4 2" xfId="19334"/>
    <cellStyle name="Note 6 7 5" xfId="11911"/>
    <cellStyle name="Note 6 7 5 2" xfId="23028"/>
    <cellStyle name="Note 6 7 6" xfId="15640"/>
    <cellStyle name="Note 6 8" xfId="4716"/>
    <cellStyle name="Note 6 8 2" xfId="7068"/>
    <cellStyle name="Note 6 8 2 2" xfId="10769"/>
    <cellStyle name="Note 6 8 2 2 2" xfId="21891"/>
    <cellStyle name="Note 6 8 2 3" xfId="14468"/>
    <cellStyle name="Note 6 8 2 3 2" xfId="25585"/>
    <cellStyle name="Note 6 8 2 4" xfId="18197"/>
    <cellStyle name="Note 6 8 3" xfId="8922"/>
    <cellStyle name="Note 6 8 3 2" xfId="20044"/>
    <cellStyle name="Note 6 8 4" xfId="12621"/>
    <cellStyle name="Note 6 8 4 2" xfId="23738"/>
    <cellStyle name="Note 6 8 5" xfId="16350"/>
    <cellStyle name="Note 6 9" xfId="6149"/>
    <cellStyle name="Note 6 9 2" xfId="9851"/>
    <cellStyle name="Note 6 9 2 2" xfId="20973"/>
    <cellStyle name="Note 6 9 3" xfId="13550"/>
    <cellStyle name="Note 6 9 3 2" xfId="24667"/>
    <cellStyle name="Note 6 9 4" xfId="17279"/>
    <cellStyle name="Note 7" xfId="967"/>
    <cellStyle name="Note 7 2" xfId="1145"/>
    <cellStyle name="Note 7 2 2" xfId="5503"/>
    <cellStyle name="Note 7 3" xfId="1144"/>
    <cellStyle name="Note 8" xfId="1383"/>
    <cellStyle name="Note 8 2" xfId="3824"/>
    <cellStyle name="Note 9" xfId="1384"/>
    <cellStyle name="Note 9 2" xfId="3825"/>
    <cellStyle name="Notes" xfId="4602"/>
    <cellStyle name="num,nodecpts" xfId="4603"/>
    <cellStyle name="number" xfId="469"/>
    <cellStyle name="Number 2" xfId="793"/>
    <cellStyle name="number 2 2" xfId="3826"/>
    <cellStyle name="Number 2 2 2" xfId="4696"/>
    <cellStyle name="Number 2 3" xfId="3827"/>
    <cellStyle name="Number 2 4" xfId="3828"/>
    <cellStyle name="Number 2 5" xfId="3829"/>
    <cellStyle name="number 2 6" xfId="3830"/>
    <cellStyle name="Number 2 7" xfId="4604"/>
    <cellStyle name="Number 2 8" xfId="4368"/>
    <cellStyle name="Number 3" xfId="3831"/>
    <cellStyle name="Number 4" xfId="3832"/>
    <cellStyle name="Number 5" xfId="3833"/>
    <cellStyle name="Number 6" xfId="3834"/>
    <cellStyle name="Number 7" xfId="3835"/>
    <cellStyle name="Number 8" xfId="3836"/>
    <cellStyle name="Numbers" xfId="4605"/>
    <cellStyle name="Numbers [0]" xfId="4606"/>
    <cellStyle name="Œ…‹æØ‚è [0.00]_GE 3 MINIMUM" xfId="470"/>
    <cellStyle name="Œ…‹æØ‚è_GE 3 MINIMUM" xfId="471"/>
    <cellStyle name="Onedec_FT Valuation " xfId="61"/>
    <cellStyle name="OneDecimal" xfId="3837"/>
    <cellStyle name="Other%" xfId="3838"/>
    <cellStyle name="outh America" xfId="472"/>
    <cellStyle name="Output" xfId="62" builtinId="21" customBuiltin="1"/>
    <cellStyle name="Output 2" xfId="473"/>
    <cellStyle name="Output 3" xfId="752"/>
    <cellStyle name="Output 3 2" xfId="2180"/>
    <cellStyle name="Output 3 2 2" xfId="3839"/>
    <cellStyle name="Output 3 3" xfId="5934"/>
    <cellStyle name="Override" xfId="4607"/>
    <cellStyle name="p " xfId="63"/>
    <cellStyle name="Pass" xfId="474"/>
    <cellStyle name="Pass 2" xfId="1316"/>
    <cellStyle name="Pass 2 2" xfId="3841"/>
    <cellStyle name="Pass 2 3" xfId="3842"/>
    <cellStyle name="Pass 2 4" xfId="3840"/>
    <cellStyle name="Pec (2dec,fs)" xfId="4608"/>
    <cellStyle name="Percent" xfId="64" builtinId="5"/>
    <cellStyle name="Percent (1)" xfId="3843"/>
    <cellStyle name="Percent [2]" xfId="475"/>
    <cellStyle name="Percent [2] 2" xfId="476"/>
    <cellStyle name="Percent [2] 2 2" xfId="477"/>
    <cellStyle name="Percent [2] 2 2 2" xfId="1318"/>
    <cellStyle name="Percent [2] 2 2 2 2" xfId="3844"/>
    <cellStyle name="Percent [2] 2 2 3" xfId="3845"/>
    <cellStyle name="Percent [2] 2 3" xfId="1319"/>
    <cellStyle name="Percent [2] 2 3 2" xfId="3846"/>
    <cellStyle name="Percent [2] 2 4" xfId="3847"/>
    <cellStyle name="Percent [2] 3" xfId="478"/>
    <cellStyle name="Percent [2] 3 2" xfId="1387"/>
    <cellStyle name="Percent [2] 3 2 2" xfId="3848"/>
    <cellStyle name="Percent [2] 3 3" xfId="3849"/>
    <cellStyle name="Percent [2] 4" xfId="976"/>
    <cellStyle name="Percent [2] 4 2" xfId="1320"/>
    <cellStyle name="Percent [2] 4 2 2" xfId="5507"/>
    <cellStyle name="Percent [2] 4 3" xfId="5506"/>
    <cellStyle name="Percent [2] 5" xfId="1321"/>
    <cellStyle name="Percent [2] 5 2" xfId="3850"/>
    <cellStyle name="Percent [2] 5 2 2" xfId="5509"/>
    <cellStyle name="Percent [2] 5 3" xfId="5508"/>
    <cellStyle name="Percent [2] 6" xfId="3851"/>
    <cellStyle name="Percent [2] 6 2" xfId="5510"/>
    <cellStyle name="Percent [2] 7" xfId="3852"/>
    <cellStyle name="Percent [2] 7 2" xfId="3853"/>
    <cellStyle name="Percent [2] 8" xfId="3854"/>
    <cellStyle name="Percent [2] 8 2" xfId="3855"/>
    <cellStyle name="Percent 10" xfId="65"/>
    <cellStyle name="Percent 10 2" xfId="66"/>
    <cellStyle name="Percent 10 2 2" xfId="635"/>
    <cellStyle name="Percent 10 2 2 2" xfId="1323"/>
    <cellStyle name="Percent 10 2 2 2 2" xfId="1389"/>
    <cellStyle name="Percent 10 2 3" xfId="1156"/>
    <cellStyle name="Percent 10 2 3 2" xfId="3856"/>
    <cellStyle name="Percent 10 2 4" xfId="3857"/>
    <cellStyle name="Percent 10 3" xfId="479"/>
    <cellStyle name="Percent 10 3 2" xfId="1324"/>
    <cellStyle name="Percent 10 3 2 2" xfId="3858"/>
    <cellStyle name="Percent 10 3 3" xfId="3859"/>
    <cellStyle name="Percent 10 4" xfId="1155"/>
    <cellStyle name="Percent 10 4 2" xfId="1325"/>
    <cellStyle name="Percent 10 4 3" xfId="3860"/>
    <cellStyle name="Percent 10 5" xfId="3861"/>
    <cellStyle name="Percent 10 5 2" xfId="3862"/>
    <cellStyle name="Percent 10 5 3" xfId="3863"/>
    <cellStyle name="Percent 10 5 4" xfId="3864"/>
    <cellStyle name="Percent 10 5 5" xfId="4698"/>
    <cellStyle name="Percent 10 5 5 2" xfId="5903"/>
    <cellStyle name="Percent 10 5 5 2 2" xfId="7983"/>
    <cellStyle name="Percent 10 5 5 2 2 2" xfId="11684"/>
    <cellStyle name="Percent 10 5 5 2 2 2 2" xfId="22806"/>
    <cellStyle name="Percent 10 5 5 2 2 3" xfId="15383"/>
    <cellStyle name="Percent 10 5 5 2 2 3 2" xfId="26500"/>
    <cellStyle name="Percent 10 5 5 2 2 4" xfId="19112"/>
    <cellStyle name="Percent 10 5 5 2 3" xfId="9837"/>
    <cellStyle name="Percent 10 5 5 2 3 2" xfId="20959"/>
    <cellStyle name="Percent 10 5 5 2 4" xfId="13536"/>
    <cellStyle name="Percent 10 5 5 2 4 2" xfId="24653"/>
    <cellStyle name="Percent 10 5 5 2 5" xfId="17265"/>
    <cellStyle name="Percent 10 5 5 3" xfId="7064"/>
    <cellStyle name="Percent 10 5 5 3 2" xfId="10765"/>
    <cellStyle name="Percent 10 5 5 3 2 2" xfId="21887"/>
    <cellStyle name="Percent 10 5 5 3 3" xfId="14464"/>
    <cellStyle name="Percent 10 5 5 3 3 2" xfId="25581"/>
    <cellStyle name="Percent 10 5 5 3 4" xfId="18193"/>
    <cellStyle name="Percent 10 5 5 4" xfId="8918"/>
    <cellStyle name="Percent 10 5 5 4 2" xfId="20040"/>
    <cellStyle name="Percent 10 5 5 5" xfId="12617"/>
    <cellStyle name="Percent 10 5 5 5 2" xfId="23734"/>
    <cellStyle name="Percent 10 5 5 6" xfId="16346"/>
    <cellStyle name="Percent 100" xfId="3865"/>
    <cellStyle name="Percent 101" xfId="3866"/>
    <cellStyle name="Percent 102" xfId="3867"/>
    <cellStyle name="Percent 103" xfId="3868"/>
    <cellStyle name="Percent 104" xfId="3869"/>
    <cellStyle name="Percent 105" xfId="3870"/>
    <cellStyle name="Percent 106" xfId="3871"/>
    <cellStyle name="Percent 107" xfId="3872"/>
    <cellStyle name="Percent 108" xfId="3873"/>
    <cellStyle name="Percent 109" xfId="3874"/>
    <cellStyle name="Percent 11" xfId="480"/>
    <cellStyle name="Percent 11 2" xfId="481"/>
    <cellStyle name="Percent 11 2 2" xfId="1326"/>
    <cellStyle name="Percent 11 2 2 2" xfId="3875"/>
    <cellStyle name="Percent 11 2 3" xfId="3876"/>
    <cellStyle name="Percent 11 3" xfId="482"/>
    <cellStyle name="Percent 11 3 2" xfId="1327"/>
    <cellStyle name="Percent 11 3 2 2" xfId="3877"/>
    <cellStyle name="Percent 11 3 3" xfId="3878"/>
    <cellStyle name="Percent 11 4" xfId="1328"/>
    <cellStyle name="Percent 11 4 2" xfId="3879"/>
    <cellStyle name="Percent 11 5" xfId="1329"/>
    <cellStyle name="Percent 11 5 2" xfId="3880"/>
    <cellStyle name="Percent 11 6" xfId="3881"/>
    <cellStyle name="Percent 110" xfId="3882"/>
    <cellStyle name="Percent 111" xfId="3883"/>
    <cellStyle name="Percent 112" xfId="3884"/>
    <cellStyle name="Percent 113" xfId="3885"/>
    <cellStyle name="Percent 114" xfId="3886"/>
    <cellStyle name="Percent 115" xfId="3887"/>
    <cellStyle name="Percent 116" xfId="3888"/>
    <cellStyle name="Percent 117" xfId="3889"/>
    <cellStyle name="Percent 118" xfId="3890"/>
    <cellStyle name="Percent 119" xfId="3891"/>
    <cellStyle name="Percent 12" xfId="67"/>
    <cellStyle name="Percent 12 2" xfId="483"/>
    <cellStyle name="Percent 12 2 2" xfId="1330"/>
    <cellStyle name="Percent 12 2 2 2" xfId="3892"/>
    <cellStyle name="Percent 12 2 3" xfId="3893"/>
    <cellStyle name="Percent 12 3" xfId="484"/>
    <cellStyle name="Percent 12 3 2" xfId="1331"/>
    <cellStyle name="Percent 12 3 2 2" xfId="3894"/>
    <cellStyle name="Percent 12 3 3" xfId="3895"/>
    <cellStyle name="Percent 12 4" xfId="1332"/>
    <cellStyle name="Percent 12 4 2" xfId="3896"/>
    <cellStyle name="Percent 12 5" xfId="3897"/>
    <cellStyle name="Percent 120" xfId="3898"/>
    <cellStyle name="Percent 121" xfId="3899"/>
    <cellStyle name="Percent 122" xfId="3900"/>
    <cellStyle name="Percent 123" xfId="3901"/>
    <cellStyle name="Percent 124" xfId="3902"/>
    <cellStyle name="Percent 125" xfId="3903"/>
    <cellStyle name="Percent 126" xfId="3904"/>
    <cellStyle name="Percent 127" xfId="3905"/>
    <cellStyle name="Percent 128" xfId="3906"/>
    <cellStyle name="Percent 129" xfId="3907"/>
    <cellStyle name="Percent 13" xfId="485"/>
    <cellStyle name="Percent 13 2" xfId="486"/>
    <cellStyle name="Percent 13 2 2" xfId="3908"/>
    <cellStyle name="Percent 13 3" xfId="487"/>
    <cellStyle name="Percent 13 3 2" xfId="6083"/>
    <cellStyle name="Percent 13 4" xfId="6007"/>
    <cellStyle name="Percent 130" xfId="3909"/>
    <cellStyle name="Percent 131" xfId="3910"/>
    <cellStyle name="Percent 132" xfId="3911"/>
    <cellStyle name="Percent 133" xfId="3912"/>
    <cellStyle name="Percent 134" xfId="3913"/>
    <cellStyle name="Percent 135" xfId="4360"/>
    <cellStyle name="Percent 136" xfId="4707"/>
    <cellStyle name="Percent 137" xfId="15400"/>
    <cellStyle name="Percent 138" xfId="15405"/>
    <cellStyle name="Percent 139" xfId="15411"/>
    <cellStyle name="Percent 14" xfId="488"/>
    <cellStyle name="Percent 14 2" xfId="489"/>
    <cellStyle name="Percent 14 2 2" xfId="3914"/>
    <cellStyle name="Percent 14 3" xfId="490"/>
    <cellStyle name="Percent 14 3 2" xfId="6084"/>
    <cellStyle name="Percent 14 4" xfId="6008"/>
    <cellStyle name="Percent 140" xfId="15417"/>
    <cellStyle name="Percent 141" xfId="15416"/>
    <cellStyle name="Percent 142" xfId="15419"/>
    <cellStyle name="Percent 143" xfId="15423"/>
    <cellStyle name="Percent 15" xfId="491"/>
    <cellStyle name="Percent 15 2" xfId="492"/>
    <cellStyle name="Percent 15 2 2" xfId="3915"/>
    <cellStyle name="Percent 15 3" xfId="493"/>
    <cellStyle name="Percent 15 3 2" xfId="6085"/>
    <cellStyle name="Percent 15 4" xfId="6009"/>
    <cellStyle name="Percent 16" xfId="494"/>
    <cellStyle name="Percent 16 2" xfId="495"/>
    <cellStyle name="Percent 16 2 2" xfId="3916"/>
    <cellStyle name="Percent 16 3" xfId="496"/>
    <cellStyle name="Percent 16 3 2" xfId="6086"/>
    <cellStyle name="Percent 16 4" xfId="6010"/>
    <cellStyle name="Percent 17" xfId="497"/>
    <cellStyle name="Percent 17 2" xfId="498"/>
    <cellStyle name="Percent 17 2 2" xfId="1171"/>
    <cellStyle name="Percent 17 2 2 2" xfId="5513"/>
    <cellStyle name="Percent 17 2 3" xfId="5512"/>
    <cellStyle name="Percent 17 3" xfId="499"/>
    <cellStyle name="Percent 17 3 2" xfId="5514"/>
    <cellStyle name="Percent 17 4" xfId="5511"/>
    <cellStyle name="Percent 18" xfId="500"/>
    <cellStyle name="Percent 18 2" xfId="501"/>
    <cellStyle name="Percent 18 2 2" xfId="1334"/>
    <cellStyle name="Percent 18 2 2 2" xfId="3917"/>
    <cellStyle name="Percent 18 2 3" xfId="3918"/>
    <cellStyle name="Percent 18 3" xfId="1335"/>
    <cellStyle name="Percent 18 3 2" xfId="3919"/>
    <cellStyle name="Percent 18 4" xfId="3920"/>
    <cellStyle name="Percent 19" xfId="502"/>
    <cellStyle name="Percent 19 2" xfId="503"/>
    <cellStyle name="Percent 19 2 2" xfId="1337"/>
    <cellStyle name="Percent 19 2 2 2" xfId="3921"/>
    <cellStyle name="Percent 19 2 3" xfId="3922"/>
    <cellStyle name="Percent 19 3" xfId="1338"/>
    <cellStyle name="Percent 19 3 2" xfId="3923"/>
    <cellStyle name="Percent 19 4" xfId="3924"/>
    <cellStyle name="Percent 2" xfId="68"/>
    <cellStyle name="Percent 2 2" xfId="504"/>
    <cellStyle name="Percent 2 2 2" xfId="95"/>
    <cellStyle name="Percent 2 2 2 2" xfId="4700"/>
    <cellStyle name="Percent 2 2 2 3" xfId="4660"/>
    <cellStyle name="Percent 2 2 2 3 2" xfId="5886"/>
    <cellStyle name="Percent 2 2 2 3 2 2" xfId="7973"/>
    <cellStyle name="Percent 2 2 2 3 2 2 2" xfId="11674"/>
    <cellStyle name="Percent 2 2 2 3 2 2 2 2" xfId="22796"/>
    <cellStyle name="Percent 2 2 2 3 2 2 3" xfId="15373"/>
    <cellStyle name="Percent 2 2 2 3 2 2 3 2" xfId="26490"/>
    <cellStyle name="Percent 2 2 2 3 2 2 4" xfId="19102"/>
    <cellStyle name="Percent 2 2 2 3 2 3" xfId="9827"/>
    <cellStyle name="Percent 2 2 2 3 2 3 2" xfId="20949"/>
    <cellStyle name="Percent 2 2 2 3 2 4" xfId="13526"/>
    <cellStyle name="Percent 2 2 2 3 2 4 2" xfId="24643"/>
    <cellStyle name="Percent 2 2 2 3 2 5" xfId="17255"/>
    <cellStyle name="Percent 2 2 2 3 3" xfId="7054"/>
    <cellStyle name="Percent 2 2 2 3 3 2" xfId="10755"/>
    <cellStyle name="Percent 2 2 2 3 3 2 2" xfId="21877"/>
    <cellStyle name="Percent 2 2 2 3 3 3" xfId="14454"/>
    <cellStyle name="Percent 2 2 2 3 3 3 2" xfId="25571"/>
    <cellStyle name="Percent 2 2 2 3 3 4" xfId="18183"/>
    <cellStyle name="Percent 2 2 2 3 4" xfId="8908"/>
    <cellStyle name="Percent 2 2 2 3 4 2" xfId="20030"/>
    <cellStyle name="Percent 2 2 2 3 5" xfId="12607"/>
    <cellStyle name="Percent 2 2 2 3 5 2" xfId="23724"/>
    <cellStyle name="Percent 2 2 2 3 6" xfId="16336"/>
    <cellStyle name="Percent 2 2 3" xfId="3925"/>
    <cellStyle name="Percent 2 2 3 2" xfId="3926"/>
    <cellStyle name="Percent 2 2 3 3" xfId="4699"/>
    <cellStyle name="Percent 2 2 4" xfId="4365"/>
    <cellStyle name="Percent 2 2 4 2" xfId="5851"/>
    <cellStyle name="Percent 2 2 4 2 2" xfId="7957"/>
    <cellStyle name="Percent 2 2 4 2 2 2" xfId="11658"/>
    <cellStyle name="Percent 2 2 4 2 2 2 2" xfId="22780"/>
    <cellStyle name="Percent 2 2 4 2 2 3" xfId="15357"/>
    <cellStyle name="Percent 2 2 4 2 2 3 2" xfId="26474"/>
    <cellStyle name="Percent 2 2 4 2 2 4" xfId="19086"/>
    <cellStyle name="Percent 2 2 4 2 3" xfId="9811"/>
    <cellStyle name="Percent 2 2 4 2 3 2" xfId="20933"/>
    <cellStyle name="Percent 2 2 4 2 4" xfId="13510"/>
    <cellStyle name="Percent 2 2 4 2 4 2" xfId="24627"/>
    <cellStyle name="Percent 2 2 4 2 5" xfId="17239"/>
    <cellStyle name="Percent 2 2 4 3" xfId="7037"/>
    <cellStyle name="Percent 2 2 4 3 2" xfId="10739"/>
    <cellStyle name="Percent 2 2 4 3 2 2" xfId="21861"/>
    <cellStyle name="Percent 2 2 4 3 3" xfId="14438"/>
    <cellStyle name="Percent 2 2 4 3 3 2" xfId="25555"/>
    <cellStyle name="Percent 2 2 4 3 4" xfId="18167"/>
    <cellStyle name="Percent 2 2 4 4" xfId="8891"/>
    <cellStyle name="Percent 2 2 4 4 2" xfId="20014"/>
    <cellStyle name="Percent 2 2 4 5" xfId="12591"/>
    <cellStyle name="Percent 2 2 4 5 2" xfId="23708"/>
    <cellStyle name="Percent 2 2 4 6" xfId="16320"/>
    <cellStyle name="Percent 2 3" xfId="505"/>
    <cellStyle name="Percent 2 3 2" xfId="1177"/>
    <cellStyle name="Percent 2 3 2 2" xfId="1392"/>
    <cellStyle name="Percent 2 3 2 3" xfId="4661"/>
    <cellStyle name="Percent 2 3 2 3 2" xfId="5887"/>
    <cellStyle name="Percent 2 3 2 3 2 2" xfId="7974"/>
    <cellStyle name="Percent 2 3 2 3 2 2 2" xfId="11675"/>
    <cellStyle name="Percent 2 3 2 3 2 2 2 2" xfId="22797"/>
    <cellStyle name="Percent 2 3 2 3 2 2 3" xfId="15374"/>
    <cellStyle name="Percent 2 3 2 3 2 2 3 2" xfId="26491"/>
    <cellStyle name="Percent 2 3 2 3 2 2 4" xfId="19103"/>
    <cellStyle name="Percent 2 3 2 3 2 3" xfId="9828"/>
    <cellStyle name="Percent 2 3 2 3 2 3 2" xfId="20950"/>
    <cellStyle name="Percent 2 3 2 3 2 4" xfId="13527"/>
    <cellStyle name="Percent 2 3 2 3 2 4 2" xfId="24644"/>
    <cellStyle name="Percent 2 3 2 3 2 5" xfId="17256"/>
    <cellStyle name="Percent 2 3 2 3 3" xfId="7055"/>
    <cellStyle name="Percent 2 3 2 3 3 2" xfId="10756"/>
    <cellStyle name="Percent 2 3 2 3 3 2 2" xfId="21878"/>
    <cellStyle name="Percent 2 3 2 3 3 3" xfId="14455"/>
    <cellStyle name="Percent 2 3 2 3 3 3 2" xfId="25572"/>
    <cellStyle name="Percent 2 3 2 3 3 4" xfId="18184"/>
    <cellStyle name="Percent 2 3 2 3 4" xfId="8909"/>
    <cellStyle name="Percent 2 3 2 3 4 2" xfId="20031"/>
    <cellStyle name="Percent 2 3 2 3 5" xfId="12608"/>
    <cellStyle name="Percent 2 3 2 3 5 2" xfId="23725"/>
    <cellStyle name="Percent 2 3 2 3 6" xfId="16337"/>
    <cellStyle name="Percent 2 3 3" xfId="3927"/>
    <cellStyle name="Percent 2 3 3 2" xfId="3928"/>
    <cellStyle name="Percent 2 3 4" xfId="4366"/>
    <cellStyle name="Percent 2 3 4 2" xfId="5852"/>
    <cellStyle name="Percent 2 3 4 2 2" xfId="7958"/>
    <cellStyle name="Percent 2 3 4 2 2 2" xfId="11659"/>
    <cellStyle name="Percent 2 3 4 2 2 2 2" xfId="22781"/>
    <cellStyle name="Percent 2 3 4 2 2 3" xfId="15358"/>
    <cellStyle name="Percent 2 3 4 2 2 3 2" xfId="26475"/>
    <cellStyle name="Percent 2 3 4 2 2 4" xfId="19087"/>
    <cellStyle name="Percent 2 3 4 2 3" xfId="9812"/>
    <cellStyle name="Percent 2 3 4 2 3 2" xfId="20934"/>
    <cellStyle name="Percent 2 3 4 2 4" xfId="13511"/>
    <cellStyle name="Percent 2 3 4 2 4 2" xfId="24628"/>
    <cellStyle name="Percent 2 3 4 2 5" xfId="17240"/>
    <cellStyle name="Percent 2 3 4 3" xfId="7038"/>
    <cellStyle name="Percent 2 3 4 3 2" xfId="10740"/>
    <cellStyle name="Percent 2 3 4 3 2 2" xfId="21862"/>
    <cellStyle name="Percent 2 3 4 3 3" xfId="14439"/>
    <cellStyle name="Percent 2 3 4 3 3 2" xfId="25556"/>
    <cellStyle name="Percent 2 3 4 3 4" xfId="18168"/>
    <cellStyle name="Percent 2 3 4 4" xfId="8892"/>
    <cellStyle name="Percent 2 3 4 4 2" xfId="20015"/>
    <cellStyle name="Percent 2 3 4 5" xfId="12592"/>
    <cellStyle name="Percent 2 3 4 5 2" xfId="23709"/>
    <cellStyle name="Percent 2 3 4 6" xfId="16321"/>
    <cellStyle name="Percent 2 4" xfId="867"/>
    <cellStyle name="Percent 2 4 2" xfId="3929"/>
    <cellStyle name="Percent 2 5" xfId="2182"/>
    <cellStyle name="Percent 2 5 2" xfId="4609"/>
    <cellStyle name="Percent 2 5 3" xfId="3930"/>
    <cellStyle name="Percent 2 6" xfId="2181"/>
    <cellStyle name="Percent 2 7" xfId="15404"/>
    <cellStyle name="Percent 2 7 2" xfId="26515"/>
    <cellStyle name="Percent 2 8" xfId="15415"/>
    <cellStyle name="Percent 2 8 2" xfId="26518"/>
    <cellStyle name="Percent 2_Pivot Table Tips" xfId="3931"/>
    <cellStyle name="Percent 20" xfId="69"/>
    <cellStyle name="Percent 20 2" xfId="506"/>
    <cellStyle name="Percent 20 2 2" xfId="1180"/>
    <cellStyle name="Percent 20 2 2 2" xfId="3932"/>
    <cellStyle name="Percent 20 2 3" xfId="3933"/>
    <cellStyle name="Percent 20 3" xfId="1181"/>
    <cellStyle name="Percent 20 3 2" xfId="3934"/>
    <cellStyle name="Percent 20 4" xfId="1333"/>
    <cellStyle name="Percent 21" xfId="70"/>
    <cellStyle name="Percent 21 2" xfId="507"/>
    <cellStyle name="Percent 21 2 2" xfId="1184"/>
    <cellStyle name="Percent 21 2 2 2" xfId="5516"/>
    <cellStyle name="Percent 21 2 3" xfId="5515"/>
    <cellStyle name="Percent 21 3" xfId="1185"/>
    <cellStyle name="Percent 21 3 2" xfId="5517"/>
    <cellStyle name="Percent 21 4" xfId="1336"/>
    <cellStyle name="Percent 21 4 2" xfId="3935"/>
    <cellStyle name="Percent 21 4 2 2" xfId="3936"/>
    <cellStyle name="Percent 21 4 2 2 2" xfId="3937"/>
    <cellStyle name="Percent 21 4 2 2 3" xfId="3938"/>
    <cellStyle name="Percent 21 4 2 3" xfId="3939"/>
    <cellStyle name="Percent 21 4 2 4" xfId="3940"/>
    <cellStyle name="Percent 21 4 3" xfId="3941"/>
    <cellStyle name="Percent 21 4 3 2" xfId="3942"/>
    <cellStyle name="Percent 21 4 3 3" xfId="3943"/>
    <cellStyle name="Percent 21 4 4" xfId="3944"/>
    <cellStyle name="Percent 21 4 5" xfId="3945"/>
    <cellStyle name="Percent 21 4 6" xfId="3946"/>
    <cellStyle name="Percent 21 5" xfId="3947"/>
    <cellStyle name="Percent 21 5 2" xfId="3948"/>
    <cellStyle name="Percent 21 5 2 2" xfId="3949"/>
    <cellStyle name="Percent 21 5 2 3" xfId="3950"/>
    <cellStyle name="Percent 21 5 3" xfId="3951"/>
    <cellStyle name="Percent 21 5 4" xfId="3952"/>
    <cellStyle name="Percent 21 6" xfId="3953"/>
    <cellStyle name="Percent 21 6 2" xfId="3954"/>
    <cellStyle name="Percent 21 7" xfId="3955"/>
    <cellStyle name="Percent 21 7 2" xfId="3956"/>
    <cellStyle name="Percent 22" xfId="71"/>
    <cellStyle name="Percent 22 2" xfId="508"/>
    <cellStyle name="Percent 22 2 2" xfId="3957"/>
    <cellStyle name="Percent 22 3" xfId="3958"/>
    <cellStyle name="Percent 22 3 2" xfId="3959"/>
    <cellStyle name="Percent 22 4" xfId="4373"/>
    <cellStyle name="Percent 22 4 2" xfId="5855"/>
    <cellStyle name="Percent 22 4 2 2" xfId="7960"/>
    <cellStyle name="Percent 22 4 2 2 2" xfId="11661"/>
    <cellStyle name="Percent 22 4 2 2 2 2" xfId="22783"/>
    <cellStyle name="Percent 22 4 2 2 3" xfId="15360"/>
    <cellStyle name="Percent 22 4 2 2 3 2" xfId="26477"/>
    <cellStyle name="Percent 22 4 2 2 4" xfId="19089"/>
    <cellStyle name="Percent 22 4 2 3" xfId="9814"/>
    <cellStyle name="Percent 22 4 2 3 2" xfId="20936"/>
    <cellStyle name="Percent 22 4 2 4" xfId="13513"/>
    <cellStyle name="Percent 22 4 2 4 2" xfId="24630"/>
    <cellStyle name="Percent 22 4 2 5" xfId="17242"/>
    <cellStyle name="Percent 22 4 3" xfId="7040"/>
    <cellStyle name="Percent 22 4 3 2" xfId="10742"/>
    <cellStyle name="Percent 22 4 3 2 2" xfId="21864"/>
    <cellStyle name="Percent 22 4 3 3" xfId="14441"/>
    <cellStyle name="Percent 22 4 3 3 2" xfId="25558"/>
    <cellStyle name="Percent 22 4 3 4" xfId="18170"/>
    <cellStyle name="Percent 22 4 4" xfId="8894"/>
    <cellStyle name="Percent 22 4 4 2" xfId="20017"/>
    <cellStyle name="Percent 22 4 5" xfId="12594"/>
    <cellStyle name="Percent 22 4 5 2" xfId="23711"/>
    <cellStyle name="Percent 22 4 6" xfId="16323"/>
    <cellStyle name="Percent 23" xfId="509"/>
    <cellStyle name="Percent 23 2" xfId="510"/>
    <cellStyle name="Percent 23 2 2" xfId="1189"/>
    <cellStyle name="Percent 23 2 2 2" xfId="5519"/>
    <cellStyle name="Percent 23 2 3" xfId="5518"/>
    <cellStyle name="Percent 23 3" xfId="1190"/>
    <cellStyle name="Percent 23 3 2" xfId="5520"/>
    <cellStyle name="Percent 23 4" xfId="3960"/>
    <cellStyle name="Percent 23 4 2" xfId="4701"/>
    <cellStyle name="Percent 23 5" xfId="4372"/>
    <cellStyle name="Percent 23 5 2" xfId="5854"/>
    <cellStyle name="Percent 23 5 2 2" xfId="7959"/>
    <cellStyle name="Percent 23 5 2 2 2" xfId="11660"/>
    <cellStyle name="Percent 23 5 2 2 2 2" xfId="22782"/>
    <cellStyle name="Percent 23 5 2 2 3" xfId="15359"/>
    <cellStyle name="Percent 23 5 2 2 3 2" xfId="26476"/>
    <cellStyle name="Percent 23 5 2 2 4" xfId="19088"/>
    <cellStyle name="Percent 23 5 2 3" xfId="9813"/>
    <cellStyle name="Percent 23 5 2 3 2" xfId="20935"/>
    <cellStyle name="Percent 23 5 2 4" xfId="13512"/>
    <cellStyle name="Percent 23 5 2 4 2" xfId="24629"/>
    <cellStyle name="Percent 23 5 2 5" xfId="17241"/>
    <cellStyle name="Percent 23 5 3" xfId="7039"/>
    <cellStyle name="Percent 23 5 3 2" xfId="10741"/>
    <cellStyle name="Percent 23 5 3 2 2" xfId="21863"/>
    <cellStyle name="Percent 23 5 3 3" xfId="14440"/>
    <cellStyle name="Percent 23 5 3 3 2" xfId="25557"/>
    <cellStyle name="Percent 23 5 3 4" xfId="18169"/>
    <cellStyle name="Percent 23 5 4" xfId="8893"/>
    <cellStyle name="Percent 23 5 4 2" xfId="20016"/>
    <cellStyle name="Percent 23 5 5" xfId="12593"/>
    <cellStyle name="Percent 23 5 5 2" xfId="23710"/>
    <cellStyle name="Percent 23 5 6" xfId="16322"/>
    <cellStyle name="Percent 24" xfId="511"/>
    <cellStyle name="Percent 24 2" xfId="512"/>
    <cellStyle name="Percent 24 2 2" xfId="3961"/>
    <cellStyle name="Percent 24 3" xfId="3962"/>
    <cellStyle name="Percent 25" xfId="513"/>
    <cellStyle name="Percent 25 2" xfId="514"/>
    <cellStyle name="Percent 25 2 2" xfId="1194"/>
    <cellStyle name="Percent 25 2 2 2" xfId="5522"/>
    <cellStyle name="Percent 25 2 3" xfId="5895"/>
    <cellStyle name="Percent 25 3" xfId="1195"/>
    <cellStyle name="Percent 25 3 2" xfId="5523"/>
    <cellStyle name="Percent 25 4" xfId="5521"/>
    <cellStyle name="Percent 26" xfId="515"/>
    <cellStyle name="Percent 26 2" xfId="1339"/>
    <cellStyle name="Percent 26 2 2" xfId="3963"/>
    <cellStyle name="Percent 26 3" xfId="3964"/>
    <cellStyle name="Percent 26 4" xfId="4659"/>
    <cellStyle name="Percent 27" xfId="516"/>
    <cellStyle name="Percent 27 2" xfId="1340"/>
    <cellStyle name="Percent 27 2 2" xfId="3965"/>
    <cellStyle name="Percent 27 3" xfId="3966"/>
    <cellStyle name="Percent 27 4" xfId="4642"/>
    <cellStyle name="Percent 28" xfId="517"/>
    <cellStyle name="Percent 28 2" xfId="1197"/>
    <cellStyle name="Percent 28 2 2" xfId="3967"/>
    <cellStyle name="Percent 28 3" xfId="3968"/>
    <cellStyle name="Percent 28 4" xfId="4658"/>
    <cellStyle name="Percent 29" xfId="72"/>
    <cellStyle name="Percent 29 2" xfId="518"/>
    <cellStyle name="Percent 29 2 2" xfId="3969"/>
    <cellStyle name="Percent 29 3" xfId="3970"/>
    <cellStyle name="Percent 3" xfId="73"/>
    <cellStyle name="Percent 3 2" xfId="519"/>
    <cellStyle name="Percent 3 2 2" xfId="520"/>
    <cellStyle name="Percent 3 2 2 2" xfId="521"/>
    <cellStyle name="Percent 3 2 2 2 2" xfId="6088"/>
    <cellStyle name="Percent 3 2 2 3" xfId="6011"/>
    <cellStyle name="Percent 3 2 3" xfId="522"/>
    <cellStyle name="Percent 3 2 3 2" xfId="6089"/>
    <cellStyle name="Percent 3 2 4" xfId="3971"/>
    <cellStyle name="Percent 3 2 5" xfId="3972"/>
    <cellStyle name="Percent 3 3" xfId="523"/>
    <cellStyle name="Percent 3 3 2" xfId="524"/>
    <cellStyle name="Percent 3 3 2 2" xfId="6090"/>
    <cellStyle name="Percent 3 3 3" xfId="6012"/>
    <cellStyle name="Percent 3 4" xfId="525"/>
    <cellStyle name="Percent 3 4 2" xfId="6091"/>
    <cellStyle name="Percent 3 5" xfId="2183"/>
    <cellStyle name="Percent 3 5 2" xfId="3974"/>
    <cellStyle name="Percent 3 5 2 2" xfId="3975"/>
    <cellStyle name="Percent 3 5 2 3" xfId="3976"/>
    <cellStyle name="Percent 3 5 3" xfId="3977"/>
    <cellStyle name="Percent 3 5 4" xfId="3978"/>
    <cellStyle name="Percent 3 5 5" xfId="3979"/>
    <cellStyle name="Percent 3 5 6" xfId="3973"/>
    <cellStyle name="Percent 3 6" xfId="3980"/>
    <cellStyle name="Percent 3 7" xfId="4367"/>
    <cellStyle name="Percent 30" xfId="74"/>
    <cellStyle name="Percent 30 2" xfId="526"/>
    <cellStyle name="Percent 30 2 2" xfId="6092"/>
    <cellStyle name="Percent 30 3" xfId="6013"/>
    <cellStyle name="Percent 31" xfId="527"/>
    <cellStyle name="Percent 31 2" xfId="3981"/>
    <cellStyle name="Percent 32" xfId="528"/>
    <cellStyle name="Percent 32 2" xfId="1205"/>
    <cellStyle name="Percent 32 2 2" xfId="5525"/>
    <cellStyle name="Percent 32 3" xfId="5524"/>
    <cellStyle name="Percent 33" xfId="529"/>
    <cellStyle name="Percent 33 2" xfId="1207"/>
    <cellStyle name="Percent 33 2 2" xfId="5526"/>
    <cellStyle name="Percent 33 3" xfId="3982"/>
    <cellStyle name="Percent 34" xfId="75"/>
    <cellStyle name="Percent 34 2" xfId="530"/>
    <cellStyle name="Percent 34 2 2" xfId="6093"/>
    <cellStyle name="Percent 34 3" xfId="6014"/>
    <cellStyle name="Percent 35" xfId="76"/>
    <cellStyle name="Percent 35 2" xfId="531"/>
    <cellStyle name="Percent 35 2 2" xfId="6094"/>
    <cellStyle name="Percent 35 3" xfId="6015"/>
    <cellStyle name="Percent 36" xfId="532"/>
    <cellStyle name="Percent 36 2" xfId="1209"/>
    <cellStyle name="Percent 36 2 2" xfId="5527"/>
    <cellStyle name="Percent 36 3" xfId="3983"/>
    <cellStyle name="Percent 37" xfId="533"/>
    <cellStyle name="Percent 37 2" xfId="1210"/>
    <cellStyle name="Percent 37 2 2" xfId="5528"/>
    <cellStyle name="Percent 37 3" xfId="3984"/>
    <cellStyle name="Percent 38" xfId="660"/>
    <cellStyle name="Percent 38 2" xfId="1211"/>
    <cellStyle name="Percent 38 2 2" xfId="3985"/>
    <cellStyle name="Percent 38 3" xfId="3986"/>
    <cellStyle name="Percent 39" xfId="651"/>
    <cellStyle name="Percent 39 2" xfId="1212"/>
    <cellStyle name="Percent 39 2 2" xfId="3987"/>
    <cellStyle name="Percent 39 3" xfId="3988"/>
    <cellStyle name="Percent 4" xfId="77"/>
    <cellStyle name="Percent 4 2" xfId="534"/>
    <cellStyle name="Percent 4 2 2" xfId="535"/>
    <cellStyle name="Percent 4 2 2 2" xfId="3989"/>
    <cellStyle name="Percent 4 2 3" xfId="3990"/>
    <cellStyle name="Percent 4 2 3 2" xfId="3991"/>
    <cellStyle name="Percent 4 3" xfId="536"/>
    <cellStyle name="Percent 4 3 2" xfId="3992"/>
    <cellStyle name="Percent 4 3 2 2" xfId="3993"/>
    <cellStyle name="Percent 4 3 3" xfId="4371"/>
    <cellStyle name="Percent 4 4" xfId="1342"/>
    <cellStyle name="Percent 4 4 2" xfId="3995"/>
    <cellStyle name="Percent 4 4 3" xfId="3996"/>
    <cellStyle name="Percent 4 4 4" xfId="3994"/>
    <cellStyle name="Percent 4 5" xfId="3997"/>
    <cellStyle name="Percent 40" xfId="659"/>
    <cellStyle name="Percent 40 2" xfId="1343"/>
    <cellStyle name="Percent 40 2 2" xfId="3998"/>
    <cellStyle name="Percent 40 3" xfId="3999"/>
    <cellStyle name="Percent 41" xfId="650"/>
    <cellStyle name="Percent 41 2" xfId="4000"/>
    <cellStyle name="Percent 42" xfId="661"/>
    <cellStyle name="Percent 42 2" xfId="1216"/>
    <cellStyle name="Percent 42 2 2" xfId="5530"/>
    <cellStyle name="Percent 42 3" xfId="5529"/>
    <cellStyle name="Percent 43" xfId="649"/>
    <cellStyle name="Percent 43 2" xfId="1217"/>
    <cellStyle name="Percent 43 2 2" xfId="5532"/>
    <cellStyle name="Percent 43 3" xfId="5531"/>
    <cellStyle name="Percent 44" xfId="685"/>
    <cellStyle name="Percent 44 2" xfId="1219"/>
    <cellStyle name="Percent 44 2 2" xfId="1410"/>
    <cellStyle name="Percent 44 2 2 2" xfId="4001"/>
    <cellStyle name="Percent 44 3" xfId="1218"/>
    <cellStyle name="Percent 44 3 2" xfId="6122"/>
    <cellStyle name="Percent 44 4" xfId="6016"/>
    <cellStyle name="Percent 45" xfId="687"/>
    <cellStyle name="Percent 45 2" xfId="1221"/>
    <cellStyle name="Percent 45 2 2" xfId="1411"/>
    <cellStyle name="Percent 45 2 2 2" xfId="4002"/>
    <cellStyle name="Percent 45 3" xfId="1220"/>
    <cellStyle name="Percent 45 3 2" xfId="6123"/>
    <cellStyle name="Percent 45 4" xfId="6017"/>
    <cellStyle name="Percent 46" xfId="689"/>
    <cellStyle name="Percent 46 2" xfId="1223"/>
    <cellStyle name="Percent 46 2 2" xfId="1412"/>
    <cellStyle name="Percent 46 2 2 2" xfId="4003"/>
    <cellStyle name="Percent 46 3" xfId="1222"/>
    <cellStyle name="Percent 46 3 2" xfId="6124"/>
    <cellStyle name="Percent 46 4" xfId="6018"/>
    <cellStyle name="Percent 47" xfId="691"/>
    <cellStyle name="Percent 47 2" xfId="1225"/>
    <cellStyle name="Percent 47 2 2" xfId="1414"/>
    <cellStyle name="Percent 47 2 2 2" xfId="4004"/>
    <cellStyle name="Percent 47 3" xfId="1224"/>
    <cellStyle name="Percent 47 3 2" xfId="6125"/>
    <cellStyle name="Percent 47 4" xfId="6019"/>
    <cellStyle name="Percent 48" xfId="692"/>
    <cellStyle name="Percent 48 2" xfId="1227"/>
    <cellStyle name="Percent 48 2 2" xfId="1416"/>
    <cellStyle name="Percent 48 2 2 2" xfId="4005"/>
    <cellStyle name="Percent 48 3" xfId="1226"/>
    <cellStyle name="Percent 48 3 2" xfId="6126"/>
    <cellStyle name="Percent 48 4" xfId="6020"/>
    <cellStyle name="Percent 49" xfId="784"/>
    <cellStyle name="Percent 49 10" xfId="8015"/>
    <cellStyle name="Percent 49 10 2" xfId="19139"/>
    <cellStyle name="Percent 49 11" xfId="11716"/>
    <cellStyle name="Percent 49 11 2" xfId="22833"/>
    <cellStyle name="Percent 49 12" xfId="15445"/>
    <cellStyle name="Percent 49 2" xfId="1229"/>
    <cellStyle name="Percent 49 2 2" xfId="5533"/>
    <cellStyle name="Percent 49 3" xfId="1228"/>
    <cellStyle name="Percent 49 4" xfId="1569"/>
    <cellStyle name="Percent 49 4 2" xfId="1688"/>
    <cellStyle name="Percent 49 4 2 2" xfId="2186"/>
    <cellStyle name="Percent 49 4 2 3" xfId="1898"/>
    <cellStyle name="Percent 49 4 2 3 2" xfId="5095"/>
    <cellStyle name="Percent 49 4 2 3 2 2" xfId="7446"/>
    <cellStyle name="Percent 49 4 2 3 2 2 2" xfId="11147"/>
    <cellStyle name="Percent 49 4 2 3 2 2 2 2" xfId="22269"/>
    <cellStyle name="Percent 49 4 2 3 2 2 3" xfId="14846"/>
    <cellStyle name="Percent 49 4 2 3 2 2 3 2" xfId="25963"/>
    <cellStyle name="Percent 49 4 2 3 2 2 4" xfId="18575"/>
    <cellStyle name="Percent 49 4 2 3 2 3" xfId="9300"/>
    <cellStyle name="Percent 49 4 2 3 2 3 2" xfId="20422"/>
    <cellStyle name="Percent 49 4 2 3 2 4" xfId="12999"/>
    <cellStyle name="Percent 49 4 2 3 2 4 2" xfId="24116"/>
    <cellStyle name="Percent 49 4 2 3 2 5" xfId="16728"/>
    <cellStyle name="Percent 49 4 2 3 3" xfId="6527"/>
    <cellStyle name="Percent 49 4 2 3 3 2" xfId="10229"/>
    <cellStyle name="Percent 49 4 2 3 3 2 2" xfId="21351"/>
    <cellStyle name="Percent 49 4 2 3 3 3" xfId="13928"/>
    <cellStyle name="Percent 49 4 2 3 3 3 2" xfId="25045"/>
    <cellStyle name="Percent 49 4 2 3 3 4" xfId="17657"/>
    <cellStyle name="Percent 49 4 2 3 4" xfId="8381"/>
    <cellStyle name="Percent 49 4 2 3 4 2" xfId="19504"/>
    <cellStyle name="Percent 49 4 2 3 5" xfId="12081"/>
    <cellStyle name="Percent 49 4 2 3 5 2" xfId="23198"/>
    <cellStyle name="Percent 49 4 2 3 6" xfId="15810"/>
    <cellStyle name="Percent 49 4 2 4" xfId="4887"/>
    <cellStyle name="Percent 49 4 2 4 2" xfId="7238"/>
    <cellStyle name="Percent 49 4 2 4 2 2" xfId="10939"/>
    <cellStyle name="Percent 49 4 2 4 2 2 2" xfId="22061"/>
    <cellStyle name="Percent 49 4 2 4 2 3" xfId="14638"/>
    <cellStyle name="Percent 49 4 2 4 2 3 2" xfId="25755"/>
    <cellStyle name="Percent 49 4 2 4 2 4" xfId="18367"/>
    <cellStyle name="Percent 49 4 2 4 3" xfId="9092"/>
    <cellStyle name="Percent 49 4 2 4 3 2" xfId="20214"/>
    <cellStyle name="Percent 49 4 2 4 4" xfId="12791"/>
    <cellStyle name="Percent 49 4 2 4 4 2" xfId="23908"/>
    <cellStyle name="Percent 49 4 2 4 5" xfId="16520"/>
    <cellStyle name="Percent 49 4 2 5" xfId="6319"/>
    <cellStyle name="Percent 49 4 2 5 2" xfId="10021"/>
    <cellStyle name="Percent 49 4 2 5 2 2" xfId="21143"/>
    <cellStyle name="Percent 49 4 2 5 3" xfId="13720"/>
    <cellStyle name="Percent 49 4 2 5 3 2" xfId="24837"/>
    <cellStyle name="Percent 49 4 2 5 4" xfId="17449"/>
    <cellStyle name="Percent 49 4 2 6" xfId="8173"/>
    <cellStyle name="Percent 49 4 2 6 2" xfId="19296"/>
    <cellStyle name="Percent 49 4 2 7" xfId="11873"/>
    <cellStyle name="Percent 49 4 2 7 2" xfId="22990"/>
    <cellStyle name="Percent 49 4 2 8" xfId="15602"/>
    <cellStyle name="Percent 49 4 3" xfId="2185"/>
    <cellStyle name="Percent 49 4 4" xfId="1792"/>
    <cellStyle name="Percent 49 4 4 2" xfId="4989"/>
    <cellStyle name="Percent 49 4 4 2 2" xfId="7340"/>
    <cellStyle name="Percent 49 4 4 2 2 2" xfId="11041"/>
    <cellStyle name="Percent 49 4 4 2 2 2 2" xfId="22163"/>
    <cellStyle name="Percent 49 4 4 2 2 3" xfId="14740"/>
    <cellStyle name="Percent 49 4 4 2 2 3 2" xfId="25857"/>
    <cellStyle name="Percent 49 4 4 2 2 4" xfId="18469"/>
    <cellStyle name="Percent 49 4 4 2 3" xfId="9194"/>
    <cellStyle name="Percent 49 4 4 2 3 2" xfId="20316"/>
    <cellStyle name="Percent 49 4 4 2 4" xfId="12893"/>
    <cellStyle name="Percent 49 4 4 2 4 2" xfId="24010"/>
    <cellStyle name="Percent 49 4 4 2 5" xfId="16622"/>
    <cellStyle name="Percent 49 4 4 3" xfId="6421"/>
    <cellStyle name="Percent 49 4 4 3 2" xfId="10123"/>
    <cellStyle name="Percent 49 4 4 3 2 2" xfId="21245"/>
    <cellStyle name="Percent 49 4 4 3 3" xfId="13822"/>
    <cellStyle name="Percent 49 4 4 3 3 2" xfId="24939"/>
    <cellStyle name="Percent 49 4 4 3 4" xfId="17551"/>
    <cellStyle name="Percent 49 4 4 4" xfId="8275"/>
    <cellStyle name="Percent 49 4 4 4 2" xfId="19398"/>
    <cellStyle name="Percent 49 4 4 5" xfId="11975"/>
    <cellStyle name="Percent 49 4 4 5 2" xfId="23092"/>
    <cellStyle name="Percent 49 4 4 6" xfId="15704"/>
    <cellStyle name="Percent 49 4 5" xfId="4781"/>
    <cellStyle name="Percent 49 4 5 2" xfId="7132"/>
    <cellStyle name="Percent 49 4 5 2 2" xfId="10833"/>
    <cellStyle name="Percent 49 4 5 2 2 2" xfId="21955"/>
    <cellStyle name="Percent 49 4 5 2 3" xfId="14532"/>
    <cellStyle name="Percent 49 4 5 2 3 2" xfId="25649"/>
    <cellStyle name="Percent 49 4 5 2 4" xfId="18261"/>
    <cellStyle name="Percent 49 4 5 3" xfId="8986"/>
    <cellStyle name="Percent 49 4 5 3 2" xfId="20108"/>
    <cellStyle name="Percent 49 4 5 4" xfId="12685"/>
    <cellStyle name="Percent 49 4 5 4 2" xfId="23802"/>
    <cellStyle name="Percent 49 4 5 5" xfId="16414"/>
    <cellStyle name="Percent 49 4 6" xfId="6213"/>
    <cellStyle name="Percent 49 4 6 2" xfId="9915"/>
    <cellStyle name="Percent 49 4 6 2 2" xfId="21037"/>
    <cellStyle name="Percent 49 4 6 3" xfId="13614"/>
    <cellStyle name="Percent 49 4 6 3 2" xfId="24731"/>
    <cellStyle name="Percent 49 4 6 4" xfId="17343"/>
    <cellStyle name="Percent 49 4 7" xfId="8067"/>
    <cellStyle name="Percent 49 4 7 2" xfId="19190"/>
    <cellStyle name="Percent 49 4 8" xfId="11767"/>
    <cellStyle name="Percent 49 4 8 2" xfId="22884"/>
    <cellStyle name="Percent 49 4 9" xfId="15496"/>
    <cellStyle name="Percent 49 5" xfId="1632"/>
    <cellStyle name="Percent 49 5 2" xfId="2187"/>
    <cellStyle name="Percent 49 5 3" xfId="1845"/>
    <cellStyle name="Percent 49 5 3 2" xfId="5042"/>
    <cellStyle name="Percent 49 5 3 2 2" xfId="7393"/>
    <cellStyle name="Percent 49 5 3 2 2 2" xfId="11094"/>
    <cellStyle name="Percent 49 5 3 2 2 2 2" xfId="22216"/>
    <cellStyle name="Percent 49 5 3 2 2 3" xfId="14793"/>
    <cellStyle name="Percent 49 5 3 2 2 3 2" xfId="25910"/>
    <cellStyle name="Percent 49 5 3 2 2 4" xfId="18522"/>
    <cellStyle name="Percent 49 5 3 2 3" xfId="9247"/>
    <cellStyle name="Percent 49 5 3 2 3 2" xfId="20369"/>
    <cellStyle name="Percent 49 5 3 2 4" xfId="12946"/>
    <cellStyle name="Percent 49 5 3 2 4 2" xfId="24063"/>
    <cellStyle name="Percent 49 5 3 2 5" xfId="16675"/>
    <cellStyle name="Percent 49 5 3 3" xfId="6474"/>
    <cellStyle name="Percent 49 5 3 3 2" xfId="10176"/>
    <cellStyle name="Percent 49 5 3 3 2 2" xfId="21298"/>
    <cellStyle name="Percent 49 5 3 3 3" xfId="13875"/>
    <cellStyle name="Percent 49 5 3 3 3 2" xfId="24992"/>
    <cellStyle name="Percent 49 5 3 3 4" xfId="17604"/>
    <cellStyle name="Percent 49 5 3 4" xfId="8328"/>
    <cellStyle name="Percent 49 5 3 4 2" xfId="19451"/>
    <cellStyle name="Percent 49 5 3 5" xfId="12028"/>
    <cellStyle name="Percent 49 5 3 5 2" xfId="23145"/>
    <cellStyle name="Percent 49 5 3 6" xfId="15757"/>
    <cellStyle name="Percent 49 5 4" xfId="4834"/>
    <cellStyle name="Percent 49 5 4 2" xfId="7185"/>
    <cellStyle name="Percent 49 5 4 2 2" xfId="10886"/>
    <cellStyle name="Percent 49 5 4 2 2 2" xfId="22008"/>
    <cellStyle name="Percent 49 5 4 2 3" xfId="14585"/>
    <cellStyle name="Percent 49 5 4 2 3 2" xfId="25702"/>
    <cellStyle name="Percent 49 5 4 2 4" xfId="18314"/>
    <cellStyle name="Percent 49 5 4 3" xfId="9039"/>
    <cellStyle name="Percent 49 5 4 3 2" xfId="20161"/>
    <cellStyle name="Percent 49 5 4 4" xfId="12738"/>
    <cellStyle name="Percent 49 5 4 4 2" xfId="23855"/>
    <cellStyle name="Percent 49 5 4 5" xfId="16467"/>
    <cellStyle name="Percent 49 5 5" xfId="6266"/>
    <cellStyle name="Percent 49 5 5 2" xfId="9968"/>
    <cellStyle name="Percent 49 5 5 2 2" xfId="21090"/>
    <cellStyle name="Percent 49 5 5 3" xfId="13667"/>
    <cellStyle name="Percent 49 5 5 3 2" xfId="24784"/>
    <cellStyle name="Percent 49 5 5 4" xfId="17396"/>
    <cellStyle name="Percent 49 5 6" xfId="8120"/>
    <cellStyle name="Percent 49 5 6 2" xfId="19243"/>
    <cellStyle name="Percent 49 5 7" xfId="11820"/>
    <cellStyle name="Percent 49 5 7 2" xfId="22937"/>
    <cellStyle name="Percent 49 5 8" xfId="15549"/>
    <cellStyle name="Percent 49 6" xfId="2184"/>
    <cellStyle name="Percent 49 7" xfId="1741"/>
    <cellStyle name="Percent 49 7 2" xfId="4938"/>
    <cellStyle name="Percent 49 7 2 2" xfId="7289"/>
    <cellStyle name="Percent 49 7 2 2 2" xfId="10990"/>
    <cellStyle name="Percent 49 7 2 2 2 2" xfId="22112"/>
    <cellStyle name="Percent 49 7 2 2 3" xfId="14689"/>
    <cellStyle name="Percent 49 7 2 2 3 2" xfId="25806"/>
    <cellStyle name="Percent 49 7 2 2 4" xfId="18418"/>
    <cellStyle name="Percent 49 7 2 3" xfId="9143"/>
    <cellStyle name="Percent 49 7 2 3 2" xfId="20265"/>
    <cellStyle name="Percent 49 7 2 4" xfId="12842"/>
    <cellStyle name="Percent 49 7 2 4 2" xfId="23959"/>
    <cellStyle name="Percent 49 7 2 5" xfId="16571"/>
    <cellStyle name="Percent 49 7 3" xfId="6370"/>
    <cellStyle name="Percent 49 7 3 2" xfId="10072"/>
    <cellStyle name="Percent 49 7 3 2 2" xfId="21194"/>
    <cellStyle name="Percent 49 7 3 3" xfId="13771"/>
    <cellStyle name="Percent 49 7 3 3 2" xfId="24888"/>
    <cellStyle name="Percent 49 7 3 4" xfId="17500"/>
    <cellStyle name="Percent 49 7 4" xfId="8224"/>
    <cellStyle name="Percent 49 7 4 2" xfId="19347"/>
    <cellStyle name="Percent 49 7 5" xfId="11924"/>
    <cellStyle name="Percent 49 7 5 2" xfId="23041"/>
    <cellStyle name="Percent 49 7 6" xfId="15653"/>
    <cellStyle name="Percent 49 8" xfId="4729"/>
    <cellStyle name="Percent 49 8 2" xfId="7081"/>
    <cellStyle name="Percent 49 8 2 2" xfId="10782"/>
    <cellStyle name="Percent 49 8 2 2 2" xfId="21904"/>
    <cellStyle name="Percent 49 8 2 3" xfId="14481"/>
    <cellStyle name="Percent 49 8 2 3 2" xfId="25598"/>
    <cellStyle name="Percent 49 8 2 4" xfId="18210"/>
    <cellStyle name="Percent 49 8 3" xfId="8935"/>
    <cellStyle name="Percent 49 8 3 2" xfId="20057"/>
    <cellStyle name="Percent 49 8 4" xfId="12634"/>
    <cellStyle name="Percent 49 8 4 2" xfId="23751"/>
    <cellStyle name="Percent 49 8 5" xfId="16363"/>
    <cellStyle name="Percent 49 9" xfId="6162"/>
    <cellStyle name="Percent 49 9 2" xfId="9864"/>
    <cellStyle name="Percent 49 9 2 2" xfId="20986"/>
    <cellStyle name="Percent 49 9 3" xfId="13563"/>
    <cellStyle name="Percent 49 9 3 2" xfId="24680"/>
    <cellStyle name="Percent 49 9 4" xfId="17292"/>
    <cellStyle name="Percent 5" xfId="537"/>
    <cellStyle name="Percent 5 2" xfId="538"/>
    <cellStyle name="Percent 5 2 2" xfId="539"/>
    <cellStyle name="Percent 5 2 2 2" xfId="4006"/>
    <cellStyle name="Percent 5 2 3" xfId="4007"/>
    <cellStyle name="Percent 5 3" xfId="540"/>
    <cellStyle name="Percent 5 3 2" xfId="4008"/>
    <cellStyle name="Percent 5 4" xfId="4009"/>
    <cellStyle name="Percent 5 4 2" xfId="4010"/>
    <cellStyle name="Percent 50" xfId="790"/>
    <cellStyle name="Percent 50 10" xfId="8018"/>
    <cellStyle name="Percent 50 10 2" xfId="19142"/>
    <cellStyle name="Percent 50 11" xfId="11719"/>
    <cellStyle name="Percent 50 11 2" xfId="22836"/>
    <cellStyle name="Percent 50 12" xfId="15448"/>
    <cellStyle name="Percent 50 2" xfId="1231"/>
    <cellStyle name="Percent 50 2 2" xfId="5534"/>
    <cellStyle name="Percent 50 3" xfId="1230"/>
    <cellStyle name="Percent 50 4" xfId="1572"/>
    <cellStyle name="Percent 50 4 2" xfId="1691"/>
    <cellStyle name="Percent 50 4 2 2" xfId="2190"/>
    <cellStyle name="Percent 50 4 2 3" xfId="1901"/>
    <cellStyle name="Percent 50 4 2 3 2" xfId="5098"/>
    <cellStyle name="Percent 50 4 2 3 2 2" xfId="7449"/>
    <cellStyle name="Percent 50 4 2 3 2 2 2" xfId="11150"/>
    <cellStyle name="Percent 50 4 2 3 2 2 2 2" xfId="22272"/>
    <cellStyle name="Percent 50 4 2 3 2 2 3" xfId="14849"/>
    <cellStyle name="Percent 50 4 2 3 2 2 3 2" xfId="25966"/>
    <cellStyle name="Percent 50 4 2 3 2 2 4" xfId="18578"/>
    <cellStyle name="Percent 50 4 2 3 2 3" xfId="9303"/>
    <cellStyle name="Percent 50 4 2 3 2 3 2" xfId="20425"/>
    <cellStyle name="Percent 50 4 2 3 2 4" xfId="13002"/>
    <cellStyle name="Percent 50 4 2 3 2 4 2" xfId="24119"/>
    <cellStyle name="Percent 50 4 2 3 2 5" xfId="16731"/>
    <cellStyle name="Percent 50 4 2 3 3" xfId="6530"/>
    <cellStyle name="Percent 50 4 2 3 3 2" xfId="10232"/>
    <cellStyle name="Percent 50 4 2 3 3 2 2" xfId="21354"/>
    <cellStyle name="Percent 50 4 2 3 3 3" xfId="13931"/>
    <cellStyle name="Percent 50 4 2 3 3 3 2" xfId="25048"/>
    <cellStyle name="Percent 50 4 2 3 3 4" xfId="17660"/>
    <cellStyle name="Percent 50 4 2 3 4" xfId="8384"/>
    <cellStyle name="Percent 50 4 2 3 4 2" xfId="19507"/>
    <cellStyle name="Percent 50 4 2 3 5" xfId="12084"/>
    <cellStyle name="Percent 50 4 2 3 5 2" xfId="23201"/>
    <cellStyle name="Percent 50 4 2 3 6" xfId="15813"/>
    <cellStyle name="Percent 50 4 2 4" xfId="4890"/>
    <cellStyle name="Percent 50 4 2 4 2" xfId="7241"/>
    <cellStyle name="Percent 50 4 2 4 2 2" xfId="10942"/>
    <cellStyle name="Percent 50 4 2 4 2 2 2" xfId="22064"/>
    <cellStyle name="Percent 50 4 2 4 2 3" xfId="14641"/>
    <cellStyle name="Percent 50 4 2 4 2 3 2" xfId="25758"/>
    <cellStyle name="Percent 50 4 2 4 2 4" xfId="18370"/>
    <cellStyle name="Percent 50 4 2 4 3" xfId="9095"/>
    <cellStyle name="Percent 50 4 2 4 3 2" xfId="20217"/>
    <cellStyle name="Percent 50 4 2 4 4" xfId="12794"/>
    <cellStyle name="Percent 50 4 2 4 4 2" xfId="23911"/>
    <cellStyle name="Percent 50 4 2 4 5" xfId="16523"/>
    <cellStyle name="Percent 50 4 2 5" xfId="6322"/>
    <cellStyle name="Percent 50 4 2 5 2" xfId="10024"/>
    <cellStyle name="Percent 50 4 2 5 2 2" xfId="21146"/>
    <cellStyle name="Percent 50 4 2 5 3" xfId="13723"/>
    <cellStyle name="Percent 50 4 2 5 3 2" xfId="24840"/>
    <cellStyle name="Percent 50 4 2 5 4" xfId="17452"/>
    <cellStyle name="Percent 50 4 2 6" xfId="8176"/>
    <cellStyle name="Percent 50 4 2 6 2" xfId="19299"/>
    <cellStyle name="Percent 50 4 2 7" xfId="11876"/>
    <cellStyle name="Percent 50 4 2 7 2" xfId="22993"/>
    <cellStyle name="Percent 50 4 2 8" xfId="15605"/>
    <cellStyle name="Percent 50 4 3" xfId="2189"/>
    <cellStyle name="Percent 50 4 4" xfId="1795"/>
    <cellStyle name="Percent 50 4 4 2" xfId="4992"/>
    <cellStyle name="Percent 50 4 4 2 2" xfId="7343"/>
    <cellStyle name="Percent 50 4 4 2 2 2" xfId="11044"/>
    <cellStyle name="Percent 50 4 4 2 2 2 2" xfId="22166"/>
    <cellStyle name="Percent 50 4 4 2 2 3" xfId="14743"/>
    <cellStyle name="Percent 50 4 4 2 2 3 2" xfId="25860"/>
    <cellStyle name="Percent 50 4 4 2 2 4" xfId="18472"/>
    <cellStyle name="Percent 50 4 4 2 3" xfId="9197"/>
    <cellStyle name="Percent 50 4 4 2 3 2" xfId="20319"/>
    <cellStyle name="Percent 50 4 4 2 4" xfId="12896"/>
    <cellStyle name="Percent 50 4 4 2 4 2" xfId="24013"/>
    <cellStyle name="Percent 50 4 4 2 5" xfId="16625"/>
    <cellStyle name="Percent 50 4 4 3" xfId="6424"/>
    <cellStyle name="Percent 50 4 4 3 2" xfId="10126"/>
    <cellStyle name="Percent 50 4 4 3 2 2" xfId="21248"/>
    <cellStyle name="Percent 50 4 4 3 3" xfId="13825"/>
    <cellStyle name="Percent 50 4 4 3 3 2" xfId="24942"/>
    <cellStyle name="Percent 50 4 4 3 4" xfId="17554"/>
    <cellStyle name="Percent 50 4 4 4" xfId="8278"/>
    <cellStyle name="Percent 50 4 4 4 2" xfId="19401"/>
    <cellStyle name="Percent 50 4 4 5" xfId="11978"/>
    <cellStyle name="Percent 50 4 4 5 2" xfId="23095"/>
    <cellStyle name="Percent 50 4 4 6" xfId="15707"/>
    <cellStyle name="Percent 50 4 5" xfId="4784"/>
    <cellStyle name="Percent 50 4 5 2" xfId="7135"/>
    <cellStyle name="Percent 50 4 5 2 2" xfId="10836"/>
    <cellStyle name="Percent 50 4 5 2 2 2" xfId="21958"/>
    <cellStyle name="Percent 50 4 5 2 3" xfId="14535"/>
    <cellStyle name="Percent 50 4 5 2 3 2" xfId="25652"/>
    <cellStyle name="Percent 50 4 5 2 4" xfId="18264"/>
    <cellStyle name="Percent 50 4 5 3" xfId="8989"/>
    <cellStyle name="Percent 50 4 5 3 2" xfId="20111"/>
    <cellStyle name="Percent 50 4 5 4" xfId="12688"/>
    <cellStyle name="Percent 50 4 5 4 2" xfId="23805"/>
    <cellStyle name="Percent 50 4 5 5" xfId="16417"/>
    <cellStyle name="Percent 50 4 6" xfId="6216"/>
    <cellStyle name="Percent 50 4 6 2" xfId="9918"/>
    <cellStyle name="Percent 50 4 6 2 2" xfId="21040"/>
    <cellStyle name="Percent 50 4 6 3" xfId="13617"/>
    <cellStyle name="Percent 50 4 6 3 2" xfId="24734"/>
    <cellStyle name="Percent 50 4 6 4" xfId="17346"/>
    <cellStyle name="Percent 50 4 7" xfId="8070"/>
    <cellStyle name="Percent 50 4 7 2" xfId="19193"/>
    <cellStyle name="Percent 50 4 8" xfId="11770"/>
    <cellStyle name="Percent 50 4 8 2" xfId="22887"/>
    <cellStyle name="Percent 50 4 9" xfId="15499"/>
    <cellStyle name="Percent 50 5" xfId="1635"/>
    <cellStyle name="Percent 50 5 2" xfId="2191"/>
    <cellStyle name="Percent 50 5 3" xfId="1848"/>
    <cellStyle name="Percent 50 5 3 2" xfId="5045"/>
    <cellStyle name="Percent 50 5 3 2 2" xfId="7396"/>
    <cellStyle name="Percent 50 5 3 2 2 2" xfId="11097"/>
    <cellStyle name="Percent 50 5 3 2 2 2 2" xfId="22219"/>
    <cellStyle name="Percent 50 5 3 2 2 3" xfId="14796"/>
    <cellStyle name="Percent 50 5 3 2 2 3 2" xfId="25913"/>
    <cellStyle name="Percent 50 5 3 2 2 4" xfId="18525"/>
    <cellStyle name="Percent 50 5 3 2 3" xfId="9250"/>
    <cellStyle name="Percent 50 5 3 2 3 2" xfId="20372"/>
    <cellStyle name="Percent 50 5 3 2 4" xfId="12949"/>
    <cellStyle name="Percent 50 5 3 2 4 2" xfId="24066"/>
    <cellStyle name="Percent 50 5 3 2 5" xfId="16678"/>
    <cellStyle name="Percent 50 5 3 3" xfId="6477"/>
    <cellStyle name="Percent 50 5 3 3 2" xfId="10179"/>
    <cellStyle name="Percent 50 5 3 3 2 2" xfId="21301"/>
    <cellStyle name="Percent 50 5 3 3 3" xfId="13878"/>
    <cellStyle name="Percent 50 5 3 3 3 2" xfId="24995"/>
    <cellStyle name="Percent 50 5 3 3 4" xfId="17607"/>
    <cellStyle name="Percent 50 5 3 4" xfId="8331"/>
    <cellStyle name="Percent 50 5 3 4 2" xfId="19454"/>
    <cellStyle name="Percent 50 5 3 5" xfId="12031"/>
    <cellStyle name="Percent 50 5 3 5 2" xfId="23148"/>
    <cellStyle name="Percent 50 5 3 6" xfId="15760"/>
    <cellStyle name="Percent 50 5 4" xfId="4837"/>
    <cellStyle name="Percent 50 5 4 2" xfId="7188"/>
    <cellStyle name="Percent 50 5 4 2 2" xfId="10889"/>
    <cellStyle name="Percent 50 5 4 2 2 2" xfId="22011"/>
    <cellStyle name="Percent 50 5 4 2 3" xfId="14588"/>
    <cellStyle name="Percent 50 5 4 2 3 2" xfId="25705"/>
    <cellStyle name="Percent 50 5 4 2 4" xfId="18317"/>
    <cellStyle name="Percent 50 5 4 3" xfId="9042"/>
    <cellStyle name="Percent 50 5 4 3 2" xfId="20164"/>
    <cellStyle name="Percent 50 5 4 4" xfId="12741"/>
    <cellStyle name="Percent 50 5 4 4 2" xfId="23858"/>
    <cellStyle name="Percent 50 5 4 5" xfId="16470"/>
    <cellStyle name="Percent 50 5 5" xfId="6269"/>
    <cellStyle name="Percent 50 5 5 2" xfId="9971"/>
    <cellStyle name="Percent 50 5 5 2 2" xfId="21093"/>
    <cellStyle name="Percent 50 5 5 3" xfId="13670"/>
    <cellStyle name="Percent 50 5 5 3 2" xfId="24787"/>
    <cellStyle name="Percent 50 5 5 4" xfId="17399"/>
    <cellStyle name="Percent 50 5 6" xfId="8123"/>
    <cellStyle name="Percent 50 5 6 2" xfId="19246"/>
    <cellStyle name="Percent 50 5 7" xfId="11823"/>
    <cellStyle name="Percent 50 5 7 2" xfId="22940"/>
    <cellStyle name="Percent 50 5 8" xfId="15552"/>
    <cellStyle name="Percent 50 6" xfId="2188"/>
    <cellStyle name="Percent 50 7" xfId="1744"/>
    <cellStyle name="Percent 50 7 2" xfId="4941"/>
    <cellStyle name="Percent 50 7 2 2" xfId="7292"/>
    <cellStyle name="Percent 50 7 2 2 2" xfId="10993"/>
    <cellStyle name="Percent 50 7 2 2 2 2" xfId="22115"/>
    <cellStyle name="Percent 50 7 2 2 3" xfId="14692"/>
    <cellStyle name="Percent 50 7 2 2 3 2" xfId="25809"/>
    <cellStyle name="Percent 50 7 2 2 4" xfId="18421"/>
    <cellStyle name="Percent 50 7 2 3" xfId="9146"/>
    <cellStyle name="Percent 50 7 2 3 2" xfId="20268"/>
    <cellStyle name="Percent 50 7 2 4" xfId="12845"/>
    <cellStyle name="Percent 50 7 2 4 2" xfId="23962"/>
    <cellStyle name="Percent 50 7 2 5" xfId="16574"/>
    <cellStyle name="Percent 50 7 3" xfId="6373"/>
    <cellStyle name="Percent 50 7 3 2" xfId="10075"/>
    <cellStyle name="Percent 50 7 3 2 2" xfId="21197"/>
    <cellStyle name="Percent 50 7 3 3" xfId="13774"/>
    <cellStyle name="Percent 50 7 3 3 2" xfId="24891"/>
    <cellStyle name="Percent 50 7 3 4" xfId="17503"/>
    <cellStyle name="Percent 50 7 4" xfId="8227"/>
    <cellStyle name="Percent 50 7 4 2" xfId="19350"/>
    <cellStyle name="Percent 50 7 5" xfId="11927"/>
    <cellStyle name="Percent 50 7 5 2" xfId="23044"/>
    <cellStyle name="Percent 50 7 6" xfId="15656"/>
    <cellStyle name="Percent 50 8" xfId="4732"/>
    <cellStyle name="Percent 50 8 2" xfId="7084"/>
    <cellStyle name="Percent 50 8 2 2" xfId="10785"/>
    <cellStyle name="Percent 50 8 2 2 2" xfId="21907"/>
    <cellStyle name="Percent 50 8 2 3" xfId="14484"/>
    <cellStyle name="Percent 50 8 2 3 2" xfId="25601"/>
    <cellStyle name="Percent 50 8 2 4" xfId="18213"/>
    <cellStyle name="Percent 50 8 3" xfId="8938"/>
    <cellStyle name="Percent 50 8 3 2" xfId="20060"/>
    <cellStyle name="Percent 50 8 4" xfId="12637"/>
    <cellStyle name="Percent 50 8 4 2" xfId="23754"/>
    <cellStyle name="Percent 50 8 5" xfId="16366"/>
    <cellStyle name="Percent 50 9" xfId="6165"/>
    <cellStyle name="Percent 50 9 2" xfId="9867"/>
    <cellStyle name="Percent 50 9 2 2" xfId="20989"/>
    <cellStyle name="Percent 50 9 3" xfId="13566"/>
    <cellStyle name="Percent 50 9 3 2" xfId="24683"/>
    <cellStyle name="Percent 50 9 4" xfId="17295"/>
    <cellStyle name="Percent 51" xfId="845"/>
    <cellStyle name="Percent 51 10" xfId="8030"/>
    <cellStyle name="Percent 51 10 2" xfId="19154"/>
    <cellStyle name="Percent 51 11" xfId="11731"/>
    <cellStyle name="Percent 51 11 2" xfId="22848"/>
    <cellStyle name="Percent 51 12" xfId="15460"/>
    <cellStyle name="Percent 51 2" xfId="1233"/>
    <cellStyle name="Percent 51 2 2" xfId="5535"/>
    <cellStyle name="Percent 51 3" xfId="1232"/>
    <cellStyle name="Percent 51 4" xfId="1584"/>
    <cellStyle name="Percent 51 4 2" xfId="1703"/>
    <cellStyle name="Percent 51 4 2 2" xfId="2194"/>
    <cellStyle name="Percent 51 4 2 3" xfId="1913"/>
    <cellStyle name="Percent 51 4 2 3 2" xfId="5110"/>
    <cellStyle name="Percent 51 4 2 3 2 2" xfId="7461"/>
    <cellStyle name="Percent 51 4 2 3 2 2 2" xfId="11162"/>
    <cellStyle name="Percent 51 4 2 3 2 2 2 2" xfId="22284"/>
    <cellStyle name="Percent 51 4 2 3 2 2 3" xfId="14861"/>
    <cellStyle name="Percent 51 4 2 3 2 2 3 2" xfId="25978"/>
    <cellStyle name="Percent 51 4 2 3 2 2 4" xfId="18590"/>
    <cellStyle name="Percent 51 4 2 3 2 3" xfId="9315"/>
    <cellStyle name="Percent 51 4 2 3 2 3 2" xfId="20437"/>
    <cellStyle name="Percent 51 4 2 3 2 4" xfId="13014"/>
    <cellStyle name="Percent 51 4 2 3 2 4 2" xfId="24131"/>
    <cellStyle name="Percent 51 4 2 3 2 5" xfId="16743"/>
    <cellStyle name="Percent 51 4 2 3 3" xfId="6542"/>
    <cellStyle name="Percent 51 4 2 3 3 2" xfId="10244"/>
    <cellStyle name="Percent 51 4 2 3 3 2 2" xfId="21366"/>
    <cellStyle name="Percent 51 4 2 3 3 3" xfId="13943"/>
    <cellStyle name="Percent 51 4 2 3 3 3 2" xfId="25060"/>
    <cellStyle name="Percent 51 4 2 3 3 4" xfId="17672"/>
    <cellStyle name="Percent 51 4 2 3 4" xfId="8396"/>
    <cellStyle name="Percent 51 4 2 3 4 2" xfId="19519"/>
    <cellStyle name="Percent 51 4 2 3 5" xfId="12096"/>
    <cellStyle name="Percent 51 4 2 3 5 2" xfId="23213"/>
    <cellStyle name="Percent 51 4 2 3 6" xfId="15825"/>
    <cellStyle name="Percent 51 4 2 4" xfId="4902"/>
    <cellStyle name="Percent 51 4 2 4 2" xfId="7253"/>
    <cellStyle name="Percent 51 4 2 4 2 2" xfId="10954"/>
    <cellStyle name="Percent 51 4 2 4 2 2 2" xfId="22076"/>
    <cellStyle name="Percent 51 4 2 4 2 3" xfId="14653"/>
    <cellStyle name="Percent 51 4 2 4 2 3 2" xfId="25770"/>
    <cellStyle name="Percent 51 4 2 4 2 4" xfId="18382"/>
    <cellStyle name="Percent 51 4 2 4 3" xfId="9107"/>
    <cellStyle name="Percent 51 4 2 4 3 2" xfId="20229"/>
    <cellStyle name="Percent 51 4 2 4 4" xfId="12806"/>
    <cellStyle name="Percent 51 4 2 4 4 2" xfId="23923"/>
    <cellStyle name="Percent 51 4 2 4 5" xfId="16535"/>
    <cellStyle name="Percent 51 4 2 5" xfId="6334"/>
    <cellStyle name="Percent 51 4 2 5 2" xfId="10036"/>
    <cellStyle name="Percent 51 4 2 5 2 2" xfId="21158"/>
    <cellStyle name="Percent 51 4 2 5 3" xfId="13735"/>
    <cellStyle name="Percent 51 4 2 5 3 2" xfId="24852"/>
    <cellStyle name="Percent 51 4 2 5 4" xfId="17464"/>
    <cellStyle name="Percent 51 4 2 6" xfId="8188"/>
    <cellStyle name="Percent 51 4 2 6 2" xfId="19311"/>
    <cellStyle name="Percent 51 4 2 7" xfId="11888"/>
    <cellStyle name="Percent 51 4 2 7 2" xfId="23005"/>
    <cellStyle name="Percent 51 4 2 8" xfId="15617"/>
    <cellStyle name="Percent 51 4 3" xfId="2193"/>
    <cellStyle name="Percent 51 4 4" xfId="1807"/>
    <cellStyle name="Percent 51 4 4 2" xfId="5004"/>
    <cellStyle name="Percent 51 4 4 2 2" xfId="7355"/>
    <cellStyle name="Percent 51 4 4 2 2 2" xfId="11056"/>
    <cellStyle name="Percent 51 4 4 2 2 2 2" xfId="22178"/>
    <cellStyle name="Percent 51 4 4 2 2 3" xfId="14755"/>
    <cellStyle name="Percent 51 4 4 2 2 3 2" xfId="25872"/>
    <cellStyle name="Percent 51 4 4 2 2 4" xfId="18484"/>
    <cellStyle name="Percent 51 4 4 2 3" xfId="9209"/>
    <cellStyle name="Percent 51 4 4 2 3 2" xfId="20331"/>
    <cellStyle name="Percent 51 4 4 2 4" xfId="12908"/>
    <cellStyle name="Percent 51 4 4 2 4 2" xfId="24025"/>
    <cellStyle name="Percent 51 4 4 2 5" xfId="16637"/>
    <cellStyle name="Percent 51 4 4 3" xfId="6436"/>
    <cellStyle name="Percent 51 4 4 3 2" xfId="10138"/>
    <cellStyle name="Percent 51 4 4 3 2 2" xfId="21260"/>
    <cellStyle name="Percent 51 4 4 3 3" xfId="13837"/>
    <cellStyle name="Percent 51 4 4 3 3 2" xfId="24954"/>
    <cellStyle name="Percent 51 4 4 3 4" xfId="17566"/>
    <cellStyle name="Percent 51 4 4 4" xfId="8290"/>
    <cellStyle name="Percent 51 4 4 4 2" xfId="19413"/>
    <cellStyle name="Percent 51 4 4 5" xfId="11990"/>
    <cellStyle name="Percent 51 4 4 5 2" xfId="23107"/>
    <cellStyle name="Percent 51 4 4 6" xfId="15719"/>
    <cellStyle name="Percent 51 4 5" xfId="4796"/>
    <cellStyle name="Percent 51 4 5 2" xfId="7147"/>
    <cellStyle name="Percent 51 4 5 2 2" xfId="10848"/>
    <cellStyle name="Percent 51 4 5 2 2 2" xfId="21970"/>
    <cellStyle name="Percent 51 4 5 2 3" xfId="14547"/>
    <cellStyle name="Percent 51 4 5 2 3 2" xfId="25664"/>
    <cellStyle name="Percent 51 4 5 2 4" xfId="18276"/>
    <cellStyle name="Percent 51 4 5 3" xfId="9001"/>
    <cellStyle name="Percent 51 4 5 3 2" xfId="20123"/>
    <cellStyle name="Percent 51 4 5 4" xfId="12700"/>
    <cellStyle name="Percent 51 4 5 4 2" xfId="23817"/>
    <cellStyle name="Percent 51 4 5 5" xfId="16429"/>
    <cellStyle name="Percent 51 4 6" xfId="6228"/>
    <cellStyle name="Percent 51 4 6 2" xfId="9930"/>
    <cellStyle name="Percent 51 4 6 2 2" xfId="21052"/>
    <cellStyle name="Percent 51 4 6 3" xfId="13629"/>
    <cellStyle name="Percent 51 4 6 3 2" xfId="24746"/>
    <cellStyle name="Percent 51 4 6 4" xfId="17358"/>
    <cellStyle name="Percent 51 4 7" xfId="8082"/>
    <cellStyle name="Percent 51 4 7 2" xfId="19205"/>
    <cellStyle name="Percent 51 4 8" xfId="11782"/>
    <cellStyle name="Percent 51 4 8 2" xfId="22899"/>
    <cellStyle name="Percent 51 4 9" xfId="15511"/>
    <cellStyle name="Percent 51 5" xfId="1648"/>
    <cellStyle name="Percent 51 5 2" xfId="2195"/>
    <cellStyle name="Percent 51 5 3" xfId="1860"/>
    <cellStyle name="Percent 51 5 3 2" xfId="5057"/>
    <cellStyle name="Percent 51 5 3 2 2" xfId="7408"/>
    <cellStyle name="Percent 51 5 3 2 2 2" xfId="11109"/>
    <cellStyle name="Percent 51 5 3 2 2 2 2" xfId="22231"/>
    <cellStyle name="Percent 51 5 3 2 2 3" xfId="14808"/>
    <cellStyle name="Percent 51 5 3 2 2 3 2" xfId="25925"/>
    <cellStyle name="Percent 51 5 3 2 2 4" xfId="18537"/>
    <cellStyle name="Percent 51 5 3 2 3" xfId="9262"/>
    <cellStyle name="Percent 51 5 3 2 3 2" xfId="20384"/>
    <cellStyle name="Percent 51 5 3 2 4" xfId="12961"/>
    <cellStyle name="Percent 51 5 3 2 4 2" xfId="24078"/>
    <cellStyle name="Percent 51 5 3 2 5" xfId="16690"/>
    <cellStyle name="Percent 51 5 3 3" xfId="6489"/>
    <cellStyle name="Percent 51 5 3 3 2" xfId="10191"/>
    <cellStyle name="Percent 51 5 3 3 2 2" xfId="21313"/>
    <cellStyle name="Percent 51 5 3 3 3" xfId="13890"/>
    <cellStyle name="Percent 51 5 3 3 3 2" xfId="25007"/>
    <cellStyle name="Percent 51 5 3 3 4" xfId="17619"/>
    <cellStyle name="Percent 51 5 3 4" xfId="8343"/>
    <cellStyle name="Percent 51 5 3 4 2" xfId="19466"/>
    <cellStyle name="Percent 51 5 3 5" xfId="12043"/>
    <cellStyle name="Percent 51 5 3 5 2" xfId="23160"/>
    <cellStyle name="Percent 51 5 3 6" xfId="15772"/>
    <cellStyle name="Percent 51 5 4" xfId="4849"/>
    <cellStyle name="Percent 51 5 4 2" xfId="7200"/>
    <cellStyle name="Percent 51 5 4 2 2" xfId="10901"/>
    <cellStyle name="Percent 51 5 4 2 2 2" xfId="22023"/>
    <cellStyle name="Percent 51 5 4 2 3" xfId="14600"/>
    <cellStyle name="Percent 51 5 4 2 3 2" xfId="25717"/>
    <cellStyle name="Percent 51 5 4 2 4" xfId="18329"/>
    <cellStyle name="Percent 51 5 4 3" xfId="9054"/>
    <cellStyle name="Percent 51 5 4 3 2" xfId="20176"/>
    <cellStyle name="Percent 51 5 4 4" xfId="12753"/>
    <cellStyle name="Percent 51 5 4 4 2" xfId="23870"/>
    <cellStyle name="Percent 51 5 4 5" xfId="16482"/>
    <cellStyle name="Percent 51 5 5" xfId="6281"/>
    <cellStyle name="Percent 51 5 5 2" xfId="9983"/>
    <cellStyle name="Percent 51 5 5 2 2" xfId="21105"/>
    <cellStyle name="Percent 51 5 5 3" xfId="13682"/>
    <cellStyle name="Percent 51 5 5 3 2" xfId="24799"/>
    <cellStyle name="Percent 51 5 5 4" xfId="17411"/>
    <cellStyle name="Percent 51 5 6" xfId="8135"/>
    <cellStyle name="Percent 51 5 6 2" xfId="19258"/>
    <cellStyle name="Percent 51 5 7" xfId="11835"/>
    <cellStyle name="Percent 51 5 7 2" xfId="22952"/>
    <cellStyle name="Percent 51 5 8" xfId="15564"/>
    <cellStyle name="Percent 51 6" xfId="2192"/>
    <cellStyle name="Percent 51 7" xfId="1756"/>
    <cellStyle name="Percent 51 7 2" xfId="4953"/>
    <cellStyle name="Percent 51 7 2 2" xfId="7304"/>
    <cellStyle name="Percent 51 7 2 2 2" xfId="11005"/>
    <cellStyle name="Percent 51 7 2 2 2 2" xfId="22127"/>
    <cellStyle name="Percent 51 7 2 2 3" xfId="14704"/>
    <cellStyle name="Percent 51 7 2 2 3 2" xfId="25821"/>
    <cellStyle name="Percent 51 7 2 2 4" xfId="18433"/>
    <cellStyle name="Percent 51 7 2 3" xfId="9158"/>
    <cellStyle name="Percent 51 7 2 3 2" xfId="20280"/>
    <cellStyle name="Percent 51 7 2 4" xfId="12857"/>
    <cellStyle name="Percent 51 7 2 4 2" xfId="23974"/>
    <cellStyle name="Percent 51 7 2 5" xfId="16586"/>
    <cellStyle name="Percent 51 7 3" xfId="6385"/>
    <cellStyle name="Percent 51 7 3 2" xfId="10087"/>
    <cellStyle name="Percent 51 7 3 2 2" xfId="21209"/>
    <cellStyle name="Percent 51 7 3 3" xfId="13786"/>
    <cellStyle name="Percent 51 7 3 3 2" xfId="24903"/>
    <cellStyle name="Percent 51 7 3 4" xfId="17515"/>
    <cellStyle name="Percent 51 7 4" xfId="8239"/>
    <cellStyle name="Percent 51 7 4 2" xfId="19362"/>
    <cellStyle name="Percent 51 7 5" xfId="11939"/>
    <cellStyle name="Percent 51 7 5 2" xfId="23056"/>
    <cellStyle name="Percent 51 7 6" xfId="15668"/>
    <cellStyle name="Percent 51 8" xfId="4744"/>
    <cellStyle name="Percent 51 8 2" xfId="7096"/>
    <cellStyle name="Percent 51 8 2 2" xfId="10797"/>
    <cellStyle name="Percent 51 8 2 2 2" xfId="21919"/>
    <cellStyle name="Percent 51 8 2 3" xfId="14496"/>
    <cellStyle name="Percent 51 8 2 3 2" xfId="25613"/>
    <cellStyle name="Percent 51 8 2 4" xfId="18225"/>
    <cellStyle name="Percent 51 8 3" xfId="8950"/>
    <cellStyle name="Percent 51 8 3 2" xfId="20072"/>
    <cellStyle name="Percent 51 8 4" xfId="12649"/>
    <cellStyle name="Percent 51 8 4 2" xfId="23766"/>
    <cellStyle name="Percent 51 8 5" xfId="16378"/>
    <cellStyle name="Percent 51 9" xfId="6177"/>
    <cellStyle name="Percent 51 9 2" xfId="9879"/>
    <cellStyle name="Percent 51 9 2 2" xfId="21001"/>
    <cellStyle name="Percent 51 9 3" xfId="13578"/>
    <cellStyle name="Percent 51 9 3 2" xfId="24695"/>
    <cellStyle name="Percent 51 9 4" xfId="17307"/>
    <cellStyle name="Percent 52" xfId="844"/>
    <cellStyle name="Percent 52 10" xfId="8029"/>
    <cellStyle name="Percent 52 10 2" xfId="19153"/>
    <cellStyle name="Percent 52 11" xfId="11730"/>
    <cellStyle name="Percent 52 11 2" xfId="22847"/>
    <cellStyle name="Percent 52 12" xfId="15459"/>
    <cellStyle name="Percent 52 2" xfId="1235"/>
    <cellStyle name="Percent 52 2 2" xfId="5536"/>
    <cellStyle name="Percent 52 3" xfId="1234"/>
    <cellStyle name="Percent 52 4" xfId="1583"/>
    <cellStyle name="Percent 52 4 2" xfId="1702"/>
    <cellStyle name="Percent 52 4 2 2" xfId="2198"/>
    <cellStyle name="Percent 52 4 2 3" xfId="1912"/>
    <cellStyle name="Percent 52 4 2 3 2" xfId="5109"/>
    <cellStyle name="Percent 52 4 2 3 2 2" xfId="7460"/>
    <cellStyle name="Percent 52 4 2 3 2 2 2" xfId="11161"/>
    <cellStyle name="Percent 52 4 2 3 2 2 2 2" xfId="22283"/>
    <cellStyle name="Percent 52 4 2 3 2 2 3" xfId="14860"/>
    <cellStyle name="Percent 52 4 2 3 2 2 3 2" xfId="25977"/>
    <cellStyle name="Percent 52 4 2 3 2 2 4" xfId="18589"/>
    <cellStyle name="Percent 52 4 2 3 2 3" xfId="9314"/>
    <cellStyle name="Percent 52 4 2 3 2 3 2" xfId="20436"/>
    <cellStyle name="Percent 52 4 2 3 2 4" xfId="13013"/>
    <cellStyle name="Percent 52 4 2 3 2 4 2" xfId="24130"/>
    <cellStyle name="Percent 52 4 2 3 2 5" xfId="16742"/>
    <cellStyle name="Percent 52 4 2 3 3" xfId="6541"/>
    <cellStyle name="Percent 52 4 2 3 3 2" xfId="10243"/>
    <cellStyle name="Percent 52 4 2 3 3 2 2" xfId="21365"/>
    <cellStyle name="Percent 52 4 2 3 3 3" xfId="13942"/>
    <cellStyle name="Percent 52 4 2 3 3 3 2" xfId="25059"/>
    <cellStyle name="Percent 52 4 2 3 3 4" xfId="17671"/>
    <cellStyle name="Percent 52 4 2 3 4" xfId="8395"/>
    <cellStyle name="Percent 52 4 2 3 4 2" xfId="19518"/>
    <cellStyle name="Percent 52 4 2 3 5" xfId="12095"/>
    <cellStyle name="Percent 52 4 2 3 5 2" xfId="23212"/>
    <cellStyle name="Percent 52 4 2 3 6" xfId="15824"/>
    <cellStyle name="Percent 52 4 2 4" xfId="4901"/>
    <cellStyle name="Percent 52 4 2 4 2" xfId="7252"/>
    <cellStyle name="Percent 52 4 2 4 2 2" xfId="10953"/>
    <cellStyle name="Percent 52 4 2 4 2 2 2" xfId="22075"/>
    <cellStyle name="Percent 52 4 2 4 2 3" xfId="14652"/>
    <cellStyle name="Percent 52 4 2 4 2 3 2" xfId="25769"/>
    <cellStyle name="Percent 52 4 2 4 2 4" xfId="18381"/>
    <cellStyle name="Percent 52 4 2 4 3" xfId="9106"/>
    <cellStyle name="Percent 52 4 2 4 3 2" xfId="20228"/>
    <cellStyle name="Percent 52 4 2 4 4" xfId="12805"/>
    <cellStyle name="Percent 52 4 2 4 4 2" xfId="23922"/>
    <cellStyle name="Percent 52 4 2 4 5" xfId="16534"/>
    <cellStyle name="Percent 52 4 2 5" xfId="6333"/>
    <cellStyle name="Percent 52 4 2 5 2" xfId="10035"/>
    <cellStyle name="Percent 52 4 2 5 2 2" xfId="21157"/>
    <cellStyle name="Percent 52 4 2 5 3" xfId="13734"/>
    <cellStyle name="Percent 52 4 2 5 3 2" xfId="24851"/>
    <cellStyle name="Percent 52 4 2 5 4" xfId="17463"/>
    <cellStyle name="Percent 52 4 2 6" xfId="8187"/>
    <cellStyle name="Percent 52 4 2 6 2" xfId="19310"/>
    <cellStyle name="Percent 52 4 2 7" xfId="11887"/>
    <cellStyle name="Percent 52 4 2 7 2" xfId="23004"/>
    <cellStyle name="Percent 52 4 2 8" xfId="15616"/>
    <cellStyle name="Percent 52 4 3" xfId="2197"/>
    <cellStyle name="Percent 52 4 4" xfId="1806"/>
    <cellStyle name="Percent 52 4 4 2" xfId="5003"/>
    <cellStyle name="Percent 52 4 4 2 2" xfId="7354"/>
    <cellStyle name="Percent 52 4 4 2 2 2" xfId="11055"/>
    <cellStyle name="Percent 52 4 4 2 2 2 2" xfId="22177"/>
    <cellStyle name="Percent 52 4 4 2 2 3" xfId="14754"/>
    <cellStyle name="Percent 52 4 4 2 2 3 2" xfId="25871"/>
    <cellStyle name="Percent 52 4 4 2 2 4" xfId="18483"/>
    <cellStyle name="Percent 52 4 4 2 3" xfId="9208"/>
    <cellStyle name="Percent 52 4 4 2 3 2" xfId="20330"/>
    <cellStyle name="Percent 52 4 4 2 4" xfId="12907"/>
    <cellStyle name="Percent 52 4 4 2 4 2" xfId="24024"/>
    <cellStyle name="Percent 52 4 4 2 5" xfId="16636"/>
    <cellStyle name="Percent 52 4 4 3" xfId="6435"/>
    <cellStyle name="Percent 52 4 4 3 2" xfId="10137"/>
    <cellStyle name="Percent 52 4 4 3 2 2" xfId="21259"/>
    <cellStyle name="Percent 52 4 4 3 3" xfId="13836"/>
    <cellStyle name="Percent 52 4 4 3 3 2" xfId="24953"/>
    <cellStyle name="Percent 52 4 4 3 4" xfId="17565"/>
    <cellStyle name="Percent 52 4 4 4" xfId="8289"/>
    <cellStyle name="Percent 52 4 4 4 2" xfId="19412"/>
    <cellStyle name="Percent 52 4 4 5" xfId="11989"/>
    <cellStyle name="Percent 52 4 4 5 2" xfId="23106"/>
    <cellStyle name="Percent 52 4 4 6" xfId="15718"/>
    <cellStyle name="Percent 52 4 5" xfId="4795"/>
    <cellStyle name="Percent 52 4 5 2" xfId="7146"/>
    <cellStyle name="Percent 52 4 5 2 2" xfId="10847"/>
    <cellStyle name="Percent 52 4 5 2 2 2" xfId="21969"/>
    <cellStyle name="Percent 52 4 5 2 3" xfId="14546"/>
    <cellStyle name="Percent 52 4 5 2 3 2" xfId="25663"/>
    <cellStyle name="Percent 52 4 5 2 4" xfId="18275"/>
    <cellStyle name="Percent 52 4 5 3" xfId="9000"/>
    <cellStyle name="Percent 52 4 5 3 2" xfId="20122"/>
    <cellStyle name="Percent 52 4 5 4" xfId="12699"/>
    <cellStyle name="Percent 52 4 5 4 2" xfId="23816"/>
    <cellStyle name="Percent 52 4 5 5" xfId="16428"/>
    <cellStyle name="Percent 52 4 6" xfId="6227"/>
    <cellStyle name="Percent 52 4 6 2" xfId="9929"/>
    <cellStyle name="Percent 52 4 6 2 2" xfId="21051"/>
    <cellStyle name="Percent 52 4 6 3" xfId="13628"/>
    <cellStyle name="Percent 52 4 6 3 2" xfId="24745"/>
    <cellStyle name="Percent 52 4 6 4" xfId="17357"/>
    <cellStyle name="Percent 52 4 7" xfId="8081"/>
    <cellStyle name="Percent 52 4 7 2" xfId="19204"/>
    <cellStyle name="Percent 52 4 8" xfId="11781"/>
    <cellStyle name="Percent 52 4 8 2" xfId="22898"/>
    <cellStyle name="Percent 52 4 9" xfId="15510"/>
    <cellStyle name="Percent 52 5" xfId="1647"/>
    <cellStyle name="Percent 52 5 2" xfId="2199"/>
    <cellStyle name="Percent 52 5 3" xfId="1859"/>
    <cellStyle name="Percent 52 5 3 2" xfId="5056"/>
    <cellStyle name="Percent 52 5 3 2 2" xfId="7407"/>
    <cellStyle name="Percent 52 5 3 2 2 2" xfId="11108"/>
    <cellStyle name="Percent 52 5 3 2 2 2 2" xfId="22230"/>
    <cellStyle name="Percent 52 5 3 2 2 3" xfId="14807"/>
    <cellStyle name="Percent 52 5 3 2 2 3 2" xfId="25924"/>
    <cellStyle name="Percent 52 5 3 2 2 4" xfId="18536"/>
    <cellStyle name="Percent 52 5 3 2 3" xfId="9261"/>
    <cellStyle name="Percent 52 5 3 2 3 2" xfId="20383"/>
    <cellStyle name="Percent 52 5 3 2 4" xfId="12960"/>
    <cellStyle name="Percent 52 5 3 2 4 2" xfId="24077"/>
    <cellStyle name="Percent 52 5 3 2 5" xfId="16689"/>
    <cellStyle name="Percent 52 5 3 3" xfId="6488"/>
    <cellStyle name="Percent 52 5 3 3 2" xfId="10190"/>
    <cellStyle name="Percent 52 5 3 3 2 2" xfId="21312"/>
    <cellStyle name="Percent 52 5 3 3 3" xfId="13889"/>
    <cellStyle name="Percent 52 5 3 3 3 2" xfId="25006"/>
    <cellStyle name="Percent 52 5 3 3 4" xfId="17618"/>
    <cellStyle name="Percent 52 5 3 4" xfId="8342"/>
    <cellStyle name="Percent 52 5 3 4 2" xfId="19465"/>
    <cellStyle name="Percent 52 5 3 5" xfId="12042"/>
    <cellStyle name="Percent 52 5 3 5 2" xfId="23159"/>
    <cellStyle name="Percent 52 5 3 6" xfId="15771"/>
    <cellStyle name="Percent 52 5 4" xfId="4848"/>
    <cellStyle name="Percent 52 5 4 2" xfId="7199"/>
    <cellStyle name="Percent 52 5 4 2 2" xfId="10900"/>
    <cellStyle name="Percent 52 5 4 2 2 2" xfId="22022"/>
    <cellStyle name="Percent 52 5 4 2 3" xfId="14599"/>
    <cellStyle name="Percent 52 5 4 2 3 2" xfId="25716"/>
    <cellStyle name="Percent 52 5 4 2 4" xfId="18328"/>
    <cellStyle name="Percent 52 5 4 3" xfId="9053"/>
    <cellStyle name="Percent 52 5 4 3 2" xfId="20175"/>
    <cellStyle name="Percent 52 5 4 4" xfId="12752"/>
    <cellStyle name="Percent 52 5 4 4 2" xfId="23869"/>
    <cellStyle name="Percent 52 5 4 5" xfId="16481"/>
    <cellStyle name="Percent 52 5 5" xfId="6280"/>
    <cellStyle name="Percent 52 5 5 2" xfId="9982"/>
    <cellStyle name="Percent 52 5 5 2 2" xfId="21104"/>
    <cellStyle name="Percent 52 5 5 3" xfId="13681"/>
    <cellStyle name="Percent 52 5 5 3 2" xfId="24798"/>
    <cellStyle name="Percent 52 5 5 4" xfId="17410"/>
    <cellStyle name="Percent 52 5 6" xfId="8134"/>
    <cellStyle name="Percent 52 5 6 2" xfId="19257"/>
    <cellStyle name="Percent 52 5 7" xfId="11834"/>
    <cellStyle name="Percent 52 5 7 2" xfId="22951"/>
    <cellStyle name="Percent 52 5 8" xfId="15563"/>
    <cellStyle name="Percent 52 6" xfId="2196"/>
    <cellStyle name="Percent 52 7" xfId="1755"/>
    <cellStyle name="Percent 52 7 2" xfId="4011"/>
    <cellStyle name="Percent 52 7 3" xfId="4952"/>
    <cellStyle name="Percent 52 7 3 2" xfId="7303"/>
    <cellStyle name="Percent 52 7 3 2 2" xfId="11004"/>
    <cellStyle name="Percent 52 7 3 2 2 2" xfId="22126"/>
    <cellStyle name="Percent 52 7 3 2 3" xfId="14703"/>
    <cellStyle name="Percent 52 7 3 2 3 2" xfId="25820"/>
    <cellStyle name="Percent 52 7 3 2 4" xfId="18432"/>
    <cellStyle name="Percent 52 7 3 3" xfId="9157"/>
    <cellStyle name="Percent 52 7 3 3 2" xfId="20279"/>
    <cellStyle name="Percent 52 7 3 4" xfId="12856"/>
    <cellStyle name="Percent 52 7 3 4 2" xfId="23973"/>
    <cellStyle name="Percent 52 7 3 5" xfId="16585"/>
    <cellStyle name="Percent 52 7 4" xfId="6384"/>
    <cellStyle name="Percent 52 7 4 2" xfId="10086"/>
    <cellStyle name="Percent 52 7 4 2 2" xfId="21208"/>
    <cellStyle name="Percent 52 7 4 3" xfId="13785"/>
    <cellStyle name="Percent 52 7 4 3 2" xfId="24902"/>
    <cellStyle name="Percent 52 7 4 4" xfId="17514"/>
    <cellStyle name="Percent 52 7 5" xfId="8238"/>
    <cellStyle name="Percent 52 7 5 2" xfId="19361"/>
    <cellStyle name="Percent 52 7 6" xfId="11938"/>
    <cellStyle name="Percent 52 7 6 2" xfId="23055"/>
    <cellStyle name="Percent 52 7 7" xfId="15667"/>
    <cellStyle name="Percent 52 8" xfId="4743"/>
    <cellStyle name="Percent 52 8 2" xfId="7095"/>
    <cellStyle name="Percent 52 8 2 2" xfId="10796"/>
    <cellStyle name="Percent 52 8 2 2 2" xfId="21918"/>
    <cellStyle name="Percent 52 8 2 3" xfId="14495"/>
    <cellStyle name="Percent 52 8 2 3 2" xfId="25612"/>
    <cellStyle name="Percent 52 8 2 4" xfId="18224"/>
    <cellStyle name="Percent 52 8 3" xfId="8949"/>
    <cellStyle name="Percent 52 8 3 2" xfId="20071"/>
    <cellStyle name="Percent 52 8 4" xfId="12648"/>
    <cellStyle name="Percent 52 8 4 2" xfId="23765"/>
    <cellStyle name="Percent 52 8 5" xfId="16377"/>
    <cellStyle name="Percent 52 9" xfId="6176"/>
    <cellStyle name="Percent 52 9 2" xfId="9878"/>
    <cellStyle name="Percent 52 9 2 2" xfId="21000"/>
    <cellStyle name="Percent 52 9 3" xfId="13577"/>
    <cellStyle name="Percent 52 9 3 2" xfId="24694"/>
    <cellStyle name="Percent 52 9 4" xfId="17306"/>
    <cellStyle name="Percent 53" xfId="797"/>
    <cellStyle name="Percent 53 10" xfId="8022"/>
    <cellStyle name="Percent 53 10 2" xfId="19146"/>
    <cellStyle name="Percent 53 11" xfId="11723"/>
    <cellStyle name="Percent 53 11 2" xfId="22840"/>
    <cellStyle name="Percent 53 12" xfId="15452"/>
    <cellStyle name="Percent 53 2" xfId="1237"/>
    <cellStyle name="Percent 53 2 2" xfId="5537"/>
    <cellStyle name="Percent 53 3" xfId="1236"/>
    <cellStyle name="Percent 53 4" xfId="1576"/>
    <cellStyle name="Percent 53 4 2" xfId="1695"/>
    <cellStyle name="Percent 53 4 2 2" xfId="2202"/>
    <cellStyle name="Percent 53 4 2 3" xfId="1905"/>
    <cellStyle name="Percent 53 4 2 3 2" xfId="5102"/>
    <cellStyle name="Percent 53 4 2 3 2 2" xfId="7453"/>
    <cellStyle name="Percent 53 4 2 3 2 2 2" xfId="11154"/>
    <cellStyle name="Percent 53 4 2 3 2 2 2 2" xfId="22276"/>
    <cellStyle name="Percent 53 4 2 3 2 2 3" xfId="14853"/>
    <cellStyle name="Percent 53 4 2 3 2 2 3 2" xfId="25970"/>
    <cellStyle name="Percent 53 4 2 3 2 2 4" xfId="18582"/>
    <cellStyle name="Percent 53 4 2 3 2 3" xfId="9307"/>
    <cellStyle name="Percent 53 4 2 3 2 3 2" xfId="20429"/>
    <cellStyle name="Percent 53 4 2 3 2 4" xfId="13006"/>
    <cellStyle name="Percent 53 4 2 3 2 4 2" xfId="24123"/>
    <cellStyle name="Percent 53 4 2 3 2 5" xfId="16735"/>
    <cellStyle name="Percent 53 4 2 3 3" xfId="6534"/>
    <cellStyle name="Percent 53 4 2 3 3 2" xfId="10236"/>
    <cellStyle name="Percent 53 4 2 3 3 2 2" xfId="21358"/>
    <cellStyle name="Percent 53 4 2 3 3 3" xfId="13935"/>
    <cellStyle name="Percent 53 4 2 3 3 3 2" xfId="25052"/>
    <cellStyle name="Percent 53 4 2 3 3 4" xfId="17664"/>
    <cellStyle name="Percent 53 4 2 3 4" xfId="8388"/>
    <cellStyle name="Percent 53 4 2 3 4 2" xfId="19511"/>
    <cellStyle name="Percent 53 4 2 3 5" xfId="12088"/>
    <cellStyle name="Percent 53 4 2 3 5 2" xfId="23205"/>
    <cellStyle name="Percent 53 4 2 3 6" xfId="15817"/>
    <cellStyle name="Percent 53 4 2 4" xfId="4894"/>
    <cellStyle name="Percent 53 4 2 4 2" xfId="7245"/>
    <cellStyle name="Percent 53 4 2 4 2 2" xfId="10946"/>
    <cellStyle name="Percent 53 4 2 4 2 2 2" xfId="22068"/>
    <cellStyle name="Percent 53 4 2 4 2 3" xfId="14645"/>
    <cellStyle name="Percent 53 4 2 4 2 3 2" xfId="25762"/>
    <cellStyle name="Percent 53 4 2 4 2 4" xfId="18374"/>
    <cellStyle name="Percent 53 4 2 4 3" xfId="9099"/>
    <cellStyle name="Percent 53 4 2 4 3 2" xfId="20221"/>
    <cellStyle name="Percent 53 4 2 4 4" xfId="12798"/>
    <cellStyle name="Percent 53 4 2 4 4 2" xfId="23915"/>
    <cellStyle name="Percent 53 4 2 4 5" xfId="16527"/>
    <cellStyle name="Percent 53 4 2 5" xfId="6326"/>
    <cellStyle name="Percent 53 4 2 5 2" xfId="10028"/>
    <cellStyle name="Percent 53 4 2 5 2 2" xfId="21150"/>
    <cellStyle name="Percent 53 4 2 5 3" xfId="13727"/>
    <cellStyle name="Percent 53 4 2 5 3 2" xfId="24844"/>
    <cellStyle name="Percent 53 4 2 5 4" xfId="17456"/>
    <cellStyle name="Percent 53 4 2 6" xfId="8180"/>
    <cellStyle name="Percent 53 4 2 6 2" xfId="19303"/>
    <cellStyle name="Percent 53 4 2 7" xfId="11880"/>
    <cellStyle name="Percent 53 4 2 7 2" xfId="22997"/>
    <cellStyle name="Percent 53 4 2 8" xfId="15609"/>
    <cellStyle name="Percent 53 4 3" xfId="2201"/>
    <cellStyle name="Percent 53 4 4" xfId="1799"/>
    <cellStyle name="Percent 53 4 4 2" xfId="4996"/>
    <cellStyle name="Percent 53 4 4 2 2" xfId="7347"/>
    <cellStyle name="Percent 53 4 4 2 2 2" xfId="11048"/>
    <cellStyle name="Percent 53 4 4 2 2 2 2" xfId="22170"/>
    <cellStyle name="Percent 53 4 4 2 2 3" xfId="14747"/>
    <cellStyle name="Percent 53 4 4 2 2 3 2" xfId="25864"/>
    <cellStyle name="Percent 53 4 4 2 2 4" xfId="18476"/>
    <cellStyle name="Percent 53 4 4 2 3" xfId="9201"/>
    <cellStyle name="Percent 53 4 4 2 3 2" xfId="20323"/>
    <cellStyle name="Percent 53 4 4 2 4" xfId="12900"/>
    <cellStyle name="Percent 53 4 4 2 4 2" xfId="24017"/>
    <cellStyle name="Percent 53 4 4 2 5" xfId="16629"/>
    <cellStyle name="Percent 53 4 4 3" xfId="6428"/>
    <cellStyle name="Percent 53 4 4 3 2" xfId="10130"/>
    <cellStyle name="Percent 53 4 4 3 2 2" xfId="21252"/>
    <cellStyle name="Percent 53 4 4 3 3" xfId="13829"/>
    <cellStyle name="Percent 53 4 4 3 3 2" xfId="24946"/>
    <cellStyle name="Percent 53 4 4 3 4" xfId="17558"/>
    <cellStyle name="Percent 53 4 4 4" xfId="8282"/>
    <cellStyle name="Percent 53 4 4 4 2" xfId="19405"/>
    <cellStyle name="Percent 53 4 4 5" xfId="11982"/>
    <cellStyle name="Percent 53 4 4 5 2" xfId="23099"/>
    <cellStyle name="Percent 53 4 4 6" xfId="15711"/>
    <cellStyle name="Percent 53 4 5" xfId="4788"/>
    <cellStyle name="Percent 53 4 5 2" xfId="7139"/>
    <cellStyle name="Percent 53 4 5 2 2" xfId="10840"/>
    <cellStyle name="Percent 53 4 5 2 2 2" xfId="21962"/>
    <cellStyle name="Percent 53 4 5 2 3" xfId="14539"/>
    <cellStyle name="Percent 53 4 5 2 3 2" xfId="25656"/>
    <cellStyle name="Percent 53 4 5 2 4" xfId="18268"/>
    <cellStyle name="Percent 53 4 5 3" xfId="8993"/>
    <cellStyle name="Percent 53 4 5 3 2" xfId="20115"/>
    <cellStyle name="Percent 53 4 5 4" xfId="12692"/>
    <cellStyle name="Percent 53 4 5 4 2" xfId="23809"/>
    <cellStyle name="Percent 53 4 5 5" xfId="16421"/>
    <cellStyle name="Percent 53 4 6" xfId="6220"/>
    <cellStyle name="Percent 53 4 6 2" xfId="9922"/>
    <cellStyle name="Percent 53 4 6 2 2" xfId="21044"/>
    <cellStyle name="Percent 53 4 6 3" xfId="13621"/>
    <cellStyle name="Percent 53 4 6 3 2" xfId="24738"/>
    <cellStyle name="Percent 53 4 6 4" xfId="17350"/>
    <cellStyle name="Percent 53 4 7" xfId="8074"/>
    <cellStyle name="Percent 53 4 7 2" xfId="19197"/>
    <cellStyle name="Percent 53 4 8" xfId="11774"/>
    <cellStyle name="Percent 53 4 8 2" xfId="22891"/>
    <cellStyle name="Percent 53 4 9" xfId="15503"/>
    <cellStyle name="Percent 53 5" xfId="1639"/>
    <cellStyle name="Percent 53 5 2" xfId="2203"/>
    <cellStyle name="Percent 53 5 3" xfId="1852"/>
    <cellStyle name="Percent 53 5 3 2" xfId="5049"/>
    <cellStyle name="Percent 53 5 3 2 2" xfId="7400"/>
    <cellStyle name="Percent 53 5 3 2 2 2" xfId="11101"/>
    <cellStyle name="Percent 53 5 3 2 2 2 2" xfId="22223"/>
    <cellStyle name="Percent 53 5 3 2 2 3" xfId="14800"/>
    <cellStyle name="Percent 53 5 3 2 2 3 2" xfId="25917"/>
    <cellStyle name="Percent 53 5 3 2 2 4" xfId="18529"/>
    <cellStyle name="Percent 53 5 3 2 3" xfId="9254"/>
    <cellStyle name="Percent 53 5 3 2 3 2" xfId="20376"/>
    <cellStyle name="Percent 53 5 3 2 4" xfId="12953"/>
    <cellStyle name="Percent 53 5 3 2 4 2" xfId="24070"/>
    <cellStyle name="Percent 53 5 3 2 5" xfId="16682"/>
    <cellStyle name="Percent 53 5 3 3" xfId="6481"/>
    <cellStyle name="Percent 53 5 3 3 2" xfId="10183"/>
    <cellStyle name="Percent 53 5 3 3 2 2" xfId="21305"/>
    <cellStyle name="Percent 53 5 3 3 3" xfId="13882"/>
    <cellStyle name="Percent 53 5 3 3 3 2" xfId="24999"/>
    <cellStyle name="Percent 53 5 3 3 4" xfId="17611"/>
    <cellStyle name="Percent 53 5 3 4" xfId="8335"/>
    <cellStyle name="Percent 53 5 3 4 2" xfId="19458"/>
    <cellStyle name="Percent 53 5 3 5" xfId="12035"/>
    <cellStyle name="Percent 53 5 3 5 2" xfId="23152"/>
    <cellStyle name="Percent 53 5 3 6" xfId="15764"/>
    <cellStyle name="Percent 53 5 4" xfId="4841"/>
    <cellStyle name="Percent 53 5 4 2" xfId="7192"/>
    <cellStyle name="Percent 53 5 4 2 2" xfId="10893"/>
    <cellStyle name="Percent 53 5 4 2 2 2" xfId="22015"/>
    <cellStyle name="Percent 53 5 4 2 3" xfId="14592"/>
    <cellStyle name="Percent 53 5 4 2 3 2" xfId="25709"/>
    <cellStyle name="Percent 53 5 4 2 4" xfId="18321"/>
    <cellStyle name="Percent 53 5 4 3" xfId="9046"/>
    <cellStyle name="Percent 53 5 4 3 2" xfId="20168"/>
    <cellStyle name="Percent 53 5 4 4" xfId="12745"/>
    <cellStyle name="Percent 53 5 4 4 2" xfId="23862"/>
    <cellStyle name="Percent 53 5 4 5" xfId="16474"/>
    <cellStyle name="Percent 53 5 5" xfId="6273"/>
    <cellStyle name="Percent 53 5 5 2" xfId="9975"/>
    <cellStyle name="Percent 53 5 5 2 2" xfId="21097"/>
    <cellStyle name="Percent 53 5 5 3" xfId="13674"/>
    <cellStyle name="Percent 53 5 5 3 2" xfId="24791"/>
    <cellStyle name="Percent 53 5 5 4" xfId="17403"/>
    <cellStyle name="Percent 53 5 6" xfId="8127"/>
    <cellStyle name="Percent 53 5 6 2" xfId="19250"/>
    <cellStyle name="Percent 53 5 7" xfId="11827"/>
    <cellStyle name="Percent 53 5 7 2" xfId="22944"/>
    <cellStyle name="Percent 53 5 8" xfId="15556"/>
    <cellStyle name="Percent 53 6" xfId="2200"/>
    <cellStyle name="Percent 53 7" xfId="1748"/>
    <cellStyle name="Percent 53 7 2" xfId="4012"/>
    <cellStyle name="Percent 53 7 3" xfId="4945"/>
    <cellStyle name="Percent 53 7 3 2" xfId="7296"/>
    <cellStyle name="Percent 53 7 3 2 2" xfId="10997"/>
    <cellStyle name="Percent 53 7 3 2 2 2" xfId="22119"/>
    <cellStyle name="Percent 53 7 3 2 3" xfId="14696"/>
    <cellStyle name="Percent 53 7 3 2 3 2" xfId="25813"/>
    <cellStyle name="Percent 53 7 3 2 4" xfId="18425"/>
    <cellStyle name="Percent 53 7 3 3" xfId="9150"/>
    <cellStyle name="Percent 53 7 3 3 2" xfId="20272"/>
    <cellStyle name="Percent 53 7 3 4" xfId="12849"/>
    <cellStyle name="Percent 53 7 3 4 2" xfId="23966"/>
    <cellStyle name="Percent 53 7 3 5" xfId="16578"/>
    <cellStyle name="Percent 53 7 4" xfId="6377"/>
    <cellStyle name="Percent 53 7 4 2" xfId="10079"/>
    <cellStyle name="Percent 53 7 4 2 2" xfId="21201"/>
    <cellStyle name="Percent 53 7 4 3" xfId="13778"/>
    <cellStyle name="Percent 53 7 4 3 2" xfId="24895"/>
    <cellStyle name="Percent 53 7 4 4" xfId="17507"/>
    <cellStyle name="Percent 53 7 5" xfId="8231"/>
    <cellStyle name="Percent 53 7 5 2" xfId="19354"/>
    <cellStyle name="Percent 53 7 6" xfId="11931"/>
    <cellStyle name="Percent 53 7 6 2" xfId="23048"/>
    <cellStyle name="Percent 53 7 7" xfId="15660"/>
    <cellStyle name="Percent 53 8" xfId="4736"/>
    <cellStyle name="Percent 53 8 2" xfId="7088"/>
    <cellStyle name="Percent 53 8 2 2" xfId="10789"/>
    <cellStyle name="Percent 53 8 2 2 2" xfId="21911"/>
    <cellStyle name="Percent 53 8 2 3" xfId="14488"/>
    <cellStyle name="Percent 53 8 2 3 2" xfId="25605"/>
    <cellStyle name="Percent 53 8 2 4" xfId="18217"/>
    <cellStyle name="Percent 53 8 3" xfId="8942"/>
    <cellStyle name="Percent 53 8 3 2" xfId="20064"/>
    <cellStyle name="Percent 53 8 4" xfId="12641"/>
    <cellStyle name="Percent 53 8 4 2" xfId="23758"/>
    <cellStyle name="Percent 53 8 5" xfId="16370"/>
    <cellStyle name="Percent 53 9" xfId="6169"/>
    <cellStyle name="Percent 53 9 2" xfId="9871"/>
    <cellStyle name="Percent 53 9 2 2" xfId="20993"/>
    <cellStyle name="Percent 53 9 3" xfId="13570"/>
    <cellStyle name="Percent 53 9 3 2" xfId="24687"/>
    <cellStyle name="Percent 53 9 4" xfId="17299"/>
    <cellStyle name="Percent 54" xfId="866"/>
    <cellStyle name="Percent 54 2" xfId="1239"/>
    <cellStyle name="Percent 54 2 2" xfId="5538"/>
    <cellStyle name="Percent 54 3" xfId="1238"/>
    <cellStyle name="Percent 55" xfId="855"/>
    <cellStyle name="Percent 55 2" xfId="1241"/>
    <cellStyle name="Percent 55 2 2" xfId="5539"/>
    <cellStyle name="Percent 55 3" xfId="1240"/>
    <cellStyle name="Percent 56" xfId="865"/>
    <cellStyle name="Percent 56 2" xfId="1242"/>
    <cellStyle name="Percent 56 3" xfId="6021"/>
    <cellStyle name="Percent 57" xfId="854"/>
    <cellStyle name="Percent 57 2" xfId="1243"/>
    <cellStyle name="Percent 58" xfId="878"/>
    <cellStyle name="Percent 58 10" xfId="11743"/>
    <cellStyle name="Percent 58 10 2" xfId="22860"/>
    <cellStyle name="Percent 58 11" xfId="15472"/>
    <cellStyle name="Percent 58 2" xfId="1244"/>
    <cellStyle name="Percent 58 3" xfId="1596"/>
    <cellStyle name="Percent 58 3 2" xfId="1715"/>
    <cellStyle name="Percent 58 3 2 2" xfId="2206"/>
    <cellStyle name="Percent 58 3 2 3" xfId="1925"/>
    <cellStyle name="Percent 58 3 2 3 2" xfId="5122"/>
    <cellStyle name="Percent 58 3 2 3 2 2" xfId="7473"/>
    <cellStyle name="Percent 58 3 2 3 2 2 2" xfId="11174"/>
    <cellStyle name="Percent 58 3 2 3 2 2 2 2" xfId="22296"/>
    <cellStyle name="Percent 58 3 2 3 2 2 3" xfId="14873"/>
    <cellStyle name="Percent 58 3 2 3 2 2 3 2" xfId="25990"/>
    <cellStyle name="Percent 58 3 2 3 2 2 4" xfId="18602"/>
    <cellStyle name="Percent 58 3 2 3 2 3" xfId="9327"/>
    <cellStyle name="Percent 58 3 2 3 2 3 2" xfId="20449"/>
    <cellStyle name="Percent 58 3 2 3 2 4" xfId="13026"/>
    <cellStyle name="Percent 58 3 2 3 2 4 2" xfId="24143"/>
    <cellStyle name="Percent 58 3 2 3 2 5" xfId="16755"/>
    <cellStyle name="Percent 58 3 2 3 3" xfId="6554"/>
    <cellStyle name="Percent 58 3 2 3 3 2" xfId="10256"/>
    <cellStyle name="Percent 58 3 2 3 3 2 2" xfId="21378"/>
    <cellStyle name="Percent 58 3 2 3 3 3" xfId="13955"/>
    <cellStyle name="Percent 58 3 2 3 3 3 2" xfId="25072"/>
    <cellStyle name="Percent 58 3 2 3 3 4" xfId="17684"/>
    <cellStyle name="Percent 58 3 2 3 4" xfId="8408"/>
    <cellStyle name="Percent 58 3 2 3 4 2" xfId="19531"/>
    <cellStyle name="Percent 58 3 2 3 5" xfId="12108"/>
    <cellStyle name="Percent 58 3 2 3 5 2" xfId="23225"/>
    <cellStyle name="Percent 58 3 2 3 6" xfId="15837"/>
    <cellStyle name="Percent 58 3 2 4" xfId="4914"/>
    <cellStyle name="Percent 58 3 2 4 2" xfId="7265"/>
    <cellStyle name="Percent 58 3 2 4 2 2" xfId="10966"/>
    <cellStyle name="Percent 58 3 2 4 2 2 2" xfId="22088"/>
    <cellStyle name="Percent 58 3 2 4 2 3" xfId="14665"/>
    <cellStyle name="Percent 58 3 2 4 2 3 2" xfId="25782"/>
    <cellStyle name="Percent 58 3 2 4 2 4" xfId="18394"/>
    <cellStyle name="Percent 58 3 2 4 3" xfId="9119"/>
    <cellStyle name="Percent 58 3 2 4 3 2" xfId="20241"/>
    <cellStyle name="Percent 58 3 2 4 4" xfId="12818"/>
    <cellStyle name="Percent 58 3 2 4 4 2" xfId="23935"/>
    <cellStyle name="Percent 58 3 2 4 5" xfId="16547"/>
    <cellStyle name="Percent 58 3 2 5" xfId="6346"/>
    <cellStyle name="Percent 58 3 2 5 2" xfId="10048"/>
    <cellStyle name="Percent 58 3 2 5 2 2" xfId="21170"/>
    <cellStyle name="Percent 58 3 2 5 3" xfId="13747"/>
    <cellStyle name="Percent 58 3 2 5 3 2" xfId="24864"/>
    <cellStyle name="Percent 58 3 2 5 4" xfId="17476"/>
    <cellStyle name="Percent 58 3 2 6" xfId="8200"/>
    <cellStyle name="Percent 58 3 2 6 2" xfId="19323"/>
    <cellStyle name="Percent 58 3 2 7" xfId="11900"/>
    <cellStyle name="Percent 58 3 2 7 2" xfId="23017"/>
    <cellStyle name="Percent 58 3 2 8" xfId="15629"/>
    <cellStyle name="Percent 58 3 3" xfId="2205"/>
    <cellStyle name="Percent 58 3 4" xfId="1819"/>
    <cellStyle name="Percent 58 3 4 2" xfId="5016"/>
    <cellStyle name="Percent 58 3 4 2 2" xfId="7367"/>
    <cellStyle name="Percent 58 3 4 2 2 2" xfId="11068"/>
    <cellStyle name="Percent 58 3 4 2 2 2 2" xfId="22190"/>
    <cellStyle name="Percent 58 3 4 2 2 3" xfId="14767"/>
    <cellStyle name="Percent 58 3 4 2 2 3 2" xfId="25884"/>
    <cellStyle name="Percent 58 3 4 2 2 4" xfId="18496"/>
    <cellStyle name="Percent 58 3 4 2 3" xfId="9221"/>
    <cellStyle name="Percent 58 3 4 2 3 2" xfId="20343"/>
    <cellStyle name="Percent 58 3 4 2 4" xfId="12920"/>
    <cellStyle name="Percent 58 3 4 2 4 2" xfId="24037"/>
    <cellStyle name="Percent 58 3 4 2 5" xfId="16649"/>
    <cellStyle name="Percent 58 3 4 3" xfId="6448"/>
    <cellStyle name="Percent 58 3 4 3 2" xfId="10150"/>
    <cellStyle name="Percent 58 3 4 3 2 2" xfId="21272"/>
    <cellStyle name="Percent 58 3 4 3 3" xfId="13849"/>
    <cellStyle name="Percent 58 3 4 3 3 2" xfId="24966"/>
    <cellStyle name="Percent 58 3 4 3 4" xfId="17578"/>
    <cellStyle name="Percent 58 3 4 4" xfId="8302"/>
    <cellStyle name="Percent 58 3 4 4 2" xfId="19425"/>
    <cellStyle name="Percent 58 3 4 5" xfId="12002"/>
    <cellStyle name="Percent 58 3 4 5 2" xfId="23119"/>
    <cellStyle name="Percent 58 3 4 6" xfId="15731"/>
    <cellStyle name="Percent 58 3 5" xfId="4808"/>
    <cellStyle name="Percent 58 3 5 2" xfId="7159"/>
    <cellStyle name="Percent 58 3 5 2 2" xfId="10860"/>
    <cellStyle name="Percent 58 3 5 2 2 2" xfId="21982"/>
    <cellStyle name="Percent 58 3 5 2 3" xfId="14559"/>
    <cellStyle name="Percent 58 3 5 2 3 2" xfId="25676"/>
    <cellStyle name="Percent 58 3 5 2 4" xfId="18288"/>
    <cellStyle name="Percent 58 3 5 3" xfId="9013"/>
    <cellStyle name="Percent 58 3 5 3 2" xfId="20135"/>
    <cellStyle name="Percent 58 3 5 4" xfId="12712"/>
    <cellStyle name="Percent 58 3 5 4 2" xfId="23829"/>
    <cellStyle name="Percent 58 3 5 5" xfId="16441"/>
    <cellStyle name="Percent 58 3 6" xfId="6240"/>
    <cellStyle name="Percent 58 3 6 2" xfId="9942"/>
    <cellStyle name="Percent 58 3 6 2 2" xfId="21064"/>
    <cellStyle name="Percent 58 3 6 3" xfId="13641"/>
    <cellStyle name="Percent 58 3 6 3 2" xfId="24758"/>
    <cellStyle name="Percent 58 3 6 4" xfId="17370"/>
    <cellStyle name="Percent 58 3 7" xfId="8094"/>
    <cellStyle name="Percent 58 3 7 2" xfId="19217"/>
    <cellStyle name="Percent 58 3 8" xfId="11794"/>
    <cellStyle name="Percent 58 3 8 2" xfId="22911"/>
    <cellStyle name="Percent 58 3 9" xfId="15523"/>
    <cellStyle name="Percent 58 4" xfId="1660"/>
    <cellStyle name="Percent 58 4 2" xfId="2207"/>
    <cellStyle name="Percent 58 4 3" xfId="1872"/>
    <cellStyle name="Percent 58 4 3 2" xfId="5069"/>
    <cellStyle name="Percent 58 4 3 2 2" xfId="7420"/>
    <cellStyle name="Percent 58 4 3 2 2 2" xfId="11121"/>
    <cellStyle name="Percent 58 4 3 2 2 2 2" xfId="22243"/>
    <cellStyle name="Percent 58 4 3 2 2 3" xfId="14820"/>
    <cellStyle name="Percent 58 4 3 2 2 3 2" xfId="25937"/>
    <cellStyle name="Percent 58 4 3 2 2 4" xfId="18549"/>
    <cellStyle name="Percent 58 4 3 2 3" xfId="9274"/>
    <cellStyle name="Percent 58 4 3 2 3 2" xfId="20396"/>
    <cellStyle name="Percent 58 4 3 2 4" xfId="12973"/>
    <cellStyle name="Percent 58 4 3 2 4 2" xfId="24090"/>
    <cellStyle name="Percent 58 4 3 2 5" xfId="16702"/>
    <cellStyle name="Percent 58 4 3 3" xfId="6501"/>
    <cellStyle name="Percent 58 4 3 3 2" xfId="10203"/>
    <cellStyle name="Percent 58 4 3 3 2 2" xfId="21325"/>
    <cellStyle name="Percent 58 4 3 3 3" xfId="13902"/>
    <cellStyle name="Percent 58 4 3 3 3 2" xfId="25019"/>
    <cellStyle name="Percent 58 4 3 3 4" xfId="17631"/>
    <cellStyle name="Percent 58 4 3 4" xfId="8355"/>
    <cellStyle name="Percent 58 4 3 4 2" xfId="19478"/>
    <cellStyle name="Percent 58 4 3 5" xfId="12055"/>
    <cellStyle name="Percent 58 4 3 5 2" xfId="23172"/>
    <cellStyle name="Percent 58 4 3 6" xfId="15784"/>
    <cellStyle name="Percent 58 4 4" xfId="4861"/>
    <cellStyle name="Percent 58 4 4 2" xfId="7212"/>
    <cellStyle name="Percent 58 4 4 2 2" xfId="10913"/>
    <cellStyle name="Percent 58 4 4 2 2 2" xfId="22035"/>
    <cellStyle name="Percent 58 4 4 2 3" xfId="14612"/>
    <cellStyle name="Percent 58 4 4 2 3 2" xfId="25729"/>
    <cellStyle name="Percent 58 4 4 2 4" xfId="18341"/>
    <cellStyle name="Percent 58 4 4 3" xfId="9066"/>
    <cellStyle name="Percent 58 4 4 3 2" xfId="20188"/>
    <cellStyle name="Percent 58 4 4 4" xfId="12765"/>
    <cellStyle name="Percent 58 4 4 4 2" xfId="23882"/>
    <cellStyle name="Percent 58 4 4 5" xfId="16494"/>
    <cellStyle name="Percent 58 4 5" xfId="6293"/>
    <cellStyle name="Percent 58 4 5 2" xfId="9995"/>
    <cellStyle name="Percent 58 4 5 2 2" xfId="21117"/>
    <cellStyle name="Percent 58 4 5 3" xfId="13694"/>
    <cellStyle name="Percent 58 4 5 3 2" xfId="24811"/>
    <cellStyle name="Percent 58 4 5 4" xfId="17423"/>
    <cellStyle name="Percent 58 4 6" xfId="8147"/>
    <cellStyle name="Percent 58 4 6 2" xfId="19270"/>
    <cellStyle name="Percent 58 4 7" xfId="11847"/>
    <cellStyle name="Percent 58 4 7 2" xfId="22964"/>
    <cellStyle name="Percent 58 4 8" xfId="15576"/>
    <cellStyle name="Percent 58 5" xfId="2204"/>
    <cellStyle name="Percent 58 6" xfId="1768"/>
    <cellStyle name="Percent 58 6 2" xfId="4965"/>
    <cellStyle name="Percent 58 6 2 2" xfId="7316"/>
    <cellStyle name="Percent 58 6 2 2 2" xfId="11017"/>
    <cellStyle name="Percent 58 6 2 2 2 2" xfId="22139"/>
    <cellStyle name="Percent 58 6 2 2 3" xfId="14716"/>
    <cellStyle name="Percent 58 6 2 2 3 2" xfId="25833"/>
    <cellStyle name="Percent 58 6 2 2 4" xfId="18445"/>
    <cellStyle name="Percent 58 6 2 3" xfId="9170"/>
    <cellStyle name="Percent 58 6 2 3 2" xfId="20292"/>
    <cellStyle name="Percent 58 6 2 4" xfId="12869"/>
    <cellStyle name="Percent 58 6 2 4 2" xfId="23986"/>
    <cellStyle name="Percent 58 6 2 5" xfId="16598"/>
    <cellStyle name="Percent 58 6 3" xfId="6397"/>
    <cellStyle name="Percent 58 6 3 2" xfId="10099"/>
    <cellStyle name="Percent 58 6 3 2 2" xfId="21221"/>
    <cellStyle name="Percent 58 6 3 3" xfId="13798"/>
    <cellStyle name="Percent 58 6 3 3 2" xfId="24915"/>
    <cellStyle name="Percent 58 6 3 4" xfId="17527"/>
    <cellStyle name="Percent 58 6 4" xfId="8251"/>
    <cellStyle name="Percent 58 6 4 2" xfId="19374"/>
    <cellStyle name="Percent 58 6 5" xfId="11951"/>
    <cellStyle name="Percent 58 6 5 2" xfId="23068"/>
    <cellStyle name="Percent 58 6 6" xfId="15680"/>
    <cellStyle name="Percent 58 7" xfId="4756"/>
    <cellStyle name="Percent 58 7 2" xfId="7108"/>
    <cellStyle name="Percent 58 7 2 2" xfId="10809"/>
    <cellStyle name="Percent 58 7 2 2 2" xfId="21931"/>
    <cellStyle name="Percent 58 7 2 3" xfId="14508"/>
    <cellStyle name="Percent 58 7 2 3 2" xfId="25625"/>
    <cellStyle name="Percent 58 7 2 4" xfId="18237"/>
    <cellStyle name="Percent 58 7 3" xfId="8962"/>
    <cellStyle name="Percent 58 7 3 2" xfId="20084"/>
    <cellStyle name="Percent 58 7 4" xfId="12661"/>
    <cellStyle name="Percent 58 7 4 2" xfId="23778"/>
    <cellStyle name="Percent 58 7 5" xfId="16390"/>
    <cellStyle name="Percent 58 8" xfId="6189"/>
    <cellStyle name="Percent 58 8 2" xfId="9891"/>
    <cellStyle name="Percent 58 8 2 2" xfId="21013"/>
    <cellStyle name="Percent 58 8 3" xfId="13590"/>
    <cellStyle name="Percent 58 8 3 2" xfId="24707"/>
    <cellStyle name="Percent 58 8 4" xfId="17319"/>
    <cellStyle name="Percent 58 9" xfId="8042"/>
    <cellStyle name="Percent 58 9 2" xfId="19166"/>
    <cellStyle name="Percent 59" xfId="876"/>
    <cellStyle name="Percent 59 10" xfId="11741"/>
    <cellStyle name="Percent 59 10 2" xfId="22858"/>
    <cellStyle name="Percent 59 11" xfId="15470"/>
    <cellStyle name="Percent 59 2" xfId="1245"/>
    <cellStyle name="Percent 59 3" xfId="1594"/>
    <cellStyle name="Percent 59 3 2" xfId="1713"/>
    <cellStyle name="Percent 59 3 2 2" xfId="2210"/>
    <cellStyle name="Percent 59 3 2 3" xfId="1923"/>
    <cellStyle name="Percent 59 3 2 3 2" xfId="5120"/>
    <cellStyle name="Percent 59 3 2 3 2 2" xfId="7471"/>
    <cellStyle name="Percent 59 3 2 3 2 2 2" xfId="11172"/>
    <cellStyle name="Percent 59 3 2 3 2 2 2 2" xfId="22294"/>
    <cellStyle name="Percent 59 3 2 3 2 2 3" xfId="14871"/>
    <cellStyle name="Percent 59 3 2 3 2 2 3 2" xfId="25988"/>
    <cellStyle name="Percent 59 3 2 3 2 2 4" xfId="18600"/>
    <cellStyle name="Percent 59 3 2 3 2 3" xfId="9325"/>
    <cellStyle name="Percent 59 3 2 3 2 3 2" xfId="20447"/>
    <cellStyle name="Percent 59 3 2 3 2 4" xfId="13024"/>
    <cellStyle name="Percent 59 3 2 3 2 4 2" xfId="24141"/>
    <cellStyle name="Percent 59 3 2 3 2 5" xfId="16753"/>
    <cellStyle name="Percent 59 3 2 3 3" xfId="6552"/>
    <cellStyle name="Percent 59 3 2 3 3 2" xfId="10254"/>
    <cellStyle name="Percent 59 3 2 3 3 2 2" xfId="21376"/>
    <cellStyle name="Percent 59 3 2 3 3 3" xfId="13953"/>
    <cellStyle name="Percent 59 3 2 3 3 3 2" xfId="25070"/>
    <cellStyle name="Percent 59 3 2 3 3 4" xfId="17682"/>
    <cellStyle name="Percent 59 3 2 3 4" xfId="8406"/>
    <cellStyle name="Percent 59 3 2 3 4 2" xfId="19529"/>
    <cellStyle name="Percent 59 3 2 3 5" xfId="12106"/>
    <cellStyle name="Percent 59 3 2 3 5 2" xfId="23223"/>
    <cellStyle name="Percent 59 3 2 3 6" xfId="15835"/>
    <cellStyle name="Percent 59 3 2 4" xfId="4912"/>
    <cellStyle name="Percent 59 3 2 4 2" xfId="7263"/>
    <cellStyle name="Percent 59 3 2 4 2 2" xfId="10964"/>
    <cellStyle name="Percent 59 3 2 4 2 2 2" xfId="22086"/>
    <cellStyle name="Percent 59 3 2 4 2 3" xfId="14663"/>
    <cellStyle name="Percent 59 3 2 4 2 3 2" xfId="25780"/>
    <cellStyle name="Percent 59 3 2 4 2 4" xfId="18392"/>
    <cellStyle name="Percent 59 3 2 4 3" xfId="9117"/>
    <cellStyle name="Percent 59 3 2 4 3 2" xfId="20239"/>
    <cellStyle name="Percent 59 3 2 4 4" xfId="12816"/>
    <cellStyle name="Percent 59 3 2 4 4 2" xfId="23933"/>
    <cellStyle name="Percent 59 3 2 4 5" xfId="16545"/>
    <cellStyle name="Percent 59 3 2 5" xfId="6344"/>
    <cellStyle name="Percent 59 3 2 5 2" xfId="10046"/>
    <cellStyle name="Percent 59 3 2 5 2 2" xfId="21168"/>
    <cellStyle name="Percent 59 3 2 5 3" xfId="13745"/>
    <cellStyle name="Percent 59 3 2 5 3 2" xfId="24862"/>
    <cellStyle name="Percent 59 3 2 5 4" xfId="17474"/>
    <cellStyle name="Percent 59 3 2 6" xfId="8198"/>
    <cellStyle name="Percent 59 3 2 6 2" xfId="19321"/>
    <cellStyle name="Percent 59 3 2 7" xfId="11898"/>
    <cellStyle name="Percent 59 3 2 7 2" xfId="23015"/>
    <cellStyle name="Percent 59 3 2 8" xfId="15627"/>
    <cellStyle name="Percent 59 3 3" xfId="2209"/>
    <cellStyle name="Percent 59 3 4" xfId="1817"/>
    <cellStyle name="Percent 59 3 4 2" xfId="5014"/>
    <cellStyle name="Percent 59 3 4 2 2" xfId="7365"/>
    <cellStyle name="Percent 59 3 4 2 2 2" xfId="11066"/>
    <cellStyle name="Percent 59 3 4 2 2 2 2" xfId="22188"/>
    <cellStyle name="Percent 59 3 4 2 2 3" xfId="14765"/>
    <cellStyle name="Percent 59 3 4 2 2 3 2" xfId="25882"/>
    <cellStyle name="Percent 59 3 4 2 2 4" xfId="18494"/>
    <cellStyle name="Percent 59 3 4 2 3" xfId="9219"/>
    <cellStyle name="Percent 59 3 4 2 3 2" xfId="20341"/>
    <cellStyle name="Percent 59 3 4 2 4" xfId="12918"/>
    <cellStyle name="Percent 59 3 4 2 4 2" xfId="24035"/>
    <cellStyle name="Percent 59 3 4 2 5" xfId="16647"/>
    <cellStyle name="Percent 59 3 4 3" xfId="6446"/>
    <cellStyle name="Percent 59 3 4 3 2" xfId="10148"/>
    <cellStyle name="Percent 59 3 4 3 2 2" xfId="21270"/>
    <cellStyle name="Percent 59 3 4 3 3" xfId="13847"/>
    <cellStyle name="Percent 59 3 4 3 3 2" xfId="24964"/>
    <cellStyle name="Percent 59 3 4 3 4" xfId="17576"/>
    <cellStyle name="Percent 59 3 4 4" xfId="8300"/>
    <cellStyle name="Percent 59 3 4 4 2" xfId="19423"/>
    <cellStyle name="Percent 59 3 4 5" xfId="12000"/>
    <cellStyle name="Percent 59 3 4 5 2" xfId="23117"/>
    <cellStyle name="Percent 59 3 4 6" xfId="15729"/>
    <cellStyle name="Percent 59 3 5" xfId="4806"/>
    <cellStyle name="Percent 59 3 5 2" xfId="7157"/>
    <cellStyle name="Percent 59 3 5 2 2" xfId="10858"/>
    <cellStyle name="Percent 59 3 5 2 2 2" xfId="21980"/>
    <cellStyle name="Percent 59 3 5 2 3" xfId="14557"/>
    <cellStyle name="Percent 59 3 5 2 3 2" xfId="25674"/>
    <cellStyle name="Percent 59 3 5 2 4" xfId="18286"/>
    <cellStyle name="Percent 59 3 5 3" xfId="9011"/>
    <cellStyle name="Percent 59 3 5 3 2" xfId="20133"/>
    <cellStyle name="Percent 59 3 5 4" xfId="12710"/>
    <cellStyle name="Percent 59 3 5 4 2" xfId="23827"/>
    <cellStyle name="Percent 59 3 5 5" xfId="16439"/>
    <cellStyle name="Percent 59 3 6" xfId="6238"/>
    <cellStyle name="Percent 59 3 6 2" xfId="9940"/>
    <cellStyle name="Percent 59 3 6 2 2" xfId="21062"/>
    <cellStyle name="Percent 59 3 6 3" xfId="13639"/>
    <cellStyle name="Percent 59 3 6 3 2" xfId="24756"/>
    <cellStyle name="Percent 59 3 6 4" xfId="17368"/>
    <cellStyle name="Percent 59 3 7" xfId="8092"/>
    <cellStyle name="Percent 59 3 7 2" xfId="19215"/>
    <cellStyle name="Percent 59 3 8" xfId="11792"/>
    <cellStyle name="Percent 59 3 8 2" xfId="22909"/>
    <cellStyle name="Percent 59 3 9" xfId="15521"/>
    <cellStyle name="Percent 59 4" xfId="1658"/>
    <cellStyle name="Percent 59 4 2" xfId="2211"/>
    <cellStyle name="Percent 59 4 3" xfId="1870"/>
    <cellStyle name="Percent 59 4 3 2" xfId="5067"/>
    <cellStyle name="Percent 59 4 3 2 2" xfId="7418"/>
    <cellStyle name="Percent 59 4 3 2 2 2" xfId="11119"/>
    <cellStyle name="Percent 59 4 3 2 2 2 2" xfId="22241"/>
    <cellStyle name="Percent 59 4 3 2 2 3" xfId="14818"/>
    <cellStyle name="Percent 59 4 3 2 2 3 2" xfId="25935"/>
    <cellStyle name="Percent 59 4 3 2 2 4" xfId="18547"/>
    <cellStyle name="Percent 59 4 3 2 3" xfId="9272"/>
    <cellStyle name="Percent 59 4 3 2 3 2" xfId="20394"/>
    <cellStyle name="Percent 59 4 3 2 4" xfId="12971"/>
    <cellStyle name="Percent 59 4 3 2 4 2" xfId="24088"/>
    <cellStyle name="Percent 59 4 3 2 5" xfId="16700"/>
    <cellStyle name="Percent 59 4 3 3" xfId="6499"/>
    <cellStyle name="Percent 59 4 3 3 2" xfId="10201"/>
    <cellStyle name="Percent 59 4 3 3 2 2" xfId="21323"/>
    <cellStyle name="Percent 59 4 3 3 3" xfId="13900"/>
    <cellStyle name="Percent 59 4 3 3 3 2" xfId="25017"/>
    <cellStyle name="Percent 59 4 3 3 4" xfId="17629"/>
    <cellStyle name="Percent 59 4 3 4" xfId="8353"/>
    <cellStyle name="Percent 59 4 3 4 2" xfId="19476"/>
    <cellStyle name="Percent 59 4 3 5" xfId="12053"/>
    <cellStyle name="Percent 59 4 3 5 2" xfId="23170"/>
    <cellStyle name="Percent 59 4 3 6" xfId="15782"/>
    <cellStyle name="Percent 59 4 4" xfId="4859"/>
    <cellStyle name="Percent 59 4 4 2" xfId="7210"/>
    <cellStyle name="Percent 59 4 4 2 2" xfId="10911"/>
    <cellStyle name="Percent 59 4 4 2 2 2" xfId="22033"/>
    <cellStyle name="Percent 59 4 4 2 3" xfId="14610"/>
    <cellStyle name="Percent 59 4 4 2 3 2" xfId="25727"/>
    <cellStyle name="Percent 59 4 4 2 4" xfId="18339"/>
    <cellStyle name="Percent 59 4 4 3" xfId="9064"/>
    <cellStyle name="Percent 59 4 4 3 2" xfId="20186"/>
    <cellStyle name="Percent 59 4 4 4" xfId="12763"/>
    <cellStyle name="Percent 59 4 4 4 2" xfId="23880"/>
    <cellStyle name="Percent 59 4 4 5" xfId="16492"/>
    <cellStyle name="Percent 59 4 5" xfId="6291"/>
    <cellStyle name="Percent 59 4 5 2" xfId="9993"/>
    <cellStyle name="Percent 59 4 5 2 2" xfId="21115"/>
    <cellStyle name="Percent 59 4 5 3" xfId="13692"/>
    <cellStyle name="Percent 59 4 5 3 2" xfId="24809"/>
    <cellStyle name="Percent 59 4 5 4" xfId="17421"/>
    <cellStyle name="Percent 59 4 6" xfId="8145"/>
    <cellStyle name="Percent 59 4 6 2" xfId="19268"/>
    <cellStyle name="Percent 59 4 7" xfId="11845"/>
    <cellStyle name="Percent 59 4 7 2" xfId="22962"/>
    <cellStyle name="Percent 59 4 8" xfId="15574"/>
    <cellStyle name="Percent 59 5" xfId="2208"/>
    <cellStyle name="Percent 59 6" xfId="1766"/>
    <cellStyle name="Percent 59 6 2" xfId="4963"/>
    <cellStyle name="Percent 59 6 2 2" xfId="7314"/>
    <cellStyle name="Percent 59 6 2 2 2" xfId="11015"/>
    <cellStyle name="Percent 59 6 2 2 2 2" xfId="22137"/>
    <cellStyle name="Percent 59 6 2 2 3" xfId="14714"/>
    <cellStyle name="Percent 59 6 2 2 3 2" xfId="25831"/>
    <cellStyle name="Percent 59 6 2 2 4" xfId="18443"/>
    <cellStyle name="Percent 59 6 2 3" xfId="9168"/>
    <cellStyle name="Percent 59 6 2 3 2" xfId="20290"/>
    <cellStyle name="Percent 59 6 2 4" xfId="12867"/>
    <cellStyle name="Percent 59 6 2 4 2" xfId="23984"/>
    <cellStyle name="Percent 59 6 2 5" xfId="16596"/>
    <cellStyle name="Percent 59 6 3" xfId="6395"/>
    <cellStyle name="Percent 59 6 3 2" xfId="10097"/>
    <cellStyle name="Percent 59 6 3 2 2" xfId="21219"/>
    <cellStyle name="Percent 59 6 3 3" xfId="13796"/>
    <cellStyle name="Percent 59 6 3 3 2" xfId="24913"/>
    <cellStyle name="Percent 59 6 3 4" xfId="17525"/>
    <cellStyle name="Percent 59 6 4" xfId="8249"/>
    <cellStyle name="Percent 59 6 4 2" xfId="19372"/>
    <cellStyle name="Percent 59 6 5" xfId="11949"/>
    <cellStyle name="Percent 59 6 5 2" xfId="23066"/>
    <cellStyle name="Percent 59 6 6" xfId="15678"/>
    <cellStyle name="Percent 59 7" xfId="4754"/>
    <cellStyle name="Percent 59 7 2" xfId="7106"/>
    <cellStyle name="Percent 59 7 2 2" xfId="10807"/>
    <cellStyle name="Percent 59 7 2 2 2" xfId="21929"/>
    <cellStyle name="Percent 59 7 2 3" xfId="14506"/>
    <cellStyle name="Percent 59 7 2 3 2" xfId="25623"/>
    <cellStyle name="Percent 59 7 2 4" xfId="18235"/>
    <cellStyle name="Percent 59 7 3" xfId="8960"/>
    <cellStyle name="Percent 59 7 3 2" xfId="20082"/>
    <cellStyle name="Percent 59 7 4" xfId="12659"/>
    <cellStyle name="Percent 59 7 4 2" xfId="23776"/>
    <cellStyle name="Percent 59 7 5" xfId="16388"/>
    <cellStyle name="Percent 59 8" xfId="6187"/>
    <cellStyle name="Percent 59 8 2" xfId="9889"/>
    <cellStyle name="Percent 59 8 2 2" xfId="21011"/>
    <cellStyle name="Percent 59 8 3" xfId="13588"/>
    <cellStyle name="Percent 59 8 3 2" xfId="24705"/>
    <cellStyle name="Percent 59 8 4" xfId="17317"/>
    <cellStyle name="Percent 59 9" xfId="8040"/>
    <cellStyle name="Percent 59 9 2" xfId="19164"/>
    <cellStyle name="Percent 6" xfId="78"/>
    <cellStyle name="Percent 6 2" xfId="541"/>
    <cellStyle name="Percent 6 2 2" xfId="542"/>
    <cellStyle name="Percent 6 2 2 2" xfId="4013"/>
    <cellStyle name="Percent 6 2 3" xfId="4014"/>
    <cellStyle name="Percent 6 3" xfId="543"/>
    <cellStyle name="Percent 6 3 2" xfId="4015"/>
    <cellStyle name="Percent 6 4" xfId="1347"/>
    <cellStyle name="Percent 6 4 2" xfId="4017"/>
    <cellStyle name="Percent 6 4 3" xfId="4018"/>
    <cellStyle name="Percent 6 4 4" xfId="4016"/>
    <cellStyle name="Percent 6 5" xfId="4019"/>
    <cellStyle name="Percent 60" xfId="879"/>
    <cellStyle name="Percent 60 10" xfId="11744"/>
    <cellStyle name="Percent 60 10 2" xfId="22861"/>
    <cellStyle name="Percent 60 11" xfId="15473"/>
    <cellStyle name="Percent 60 2" xfId="1247"/>
    <cellStyle name="Percent 60 3" xfId="1597"/>
    <cellStyle name="Percent 60 3 2" xfId="1716"/>
    <cellStyle name="Percent 60 3 2 2" xfId="2214"/>
    <cellStyle name="Percent 60 3 2 3" xfId="1926"/>
    <cellStyle name="Percent 60 3 2 3 2" xfId="5123"/>
    <cellStyle name="Percent 60 3 2 3 2 2" xfId="7474"/>
    <cellStyle name="Percent 60 3 2 3 2 2 2" xfId="11175"/>
    <cellStyle name="Percent 60 3 2 3 2 2 2 2" xfId="22297"/>
    <cellStyle name="Percent 60 3 2 3 2 2 3" xfId="14874"/>
    <cellStyle name="Percent 60 3 2 3 2 2 3 2" xfId="25991"/>
    <cellStyle name="Percent 60 3 2 3 2 2 4" xfId="18603"/>
    <cellStyle name="Percent 60 3 2 3 2 3" xfId="9328"/>
    <cellStyle name="Percent 60 3 2 3 2 3 2" xfId="20450"/>
    <cellStyle name="Percent 60 3 2 3 2 4" xfId="13027"/>
    <cellStyle name="Percent 60 3 2 3 2 4 2" xfId="24144"/>
    <cellStyle name="Percent 60 3 2 3 2 5" xfId="16756"/>
    <cellStyle name="Percent 60 3 2 3 3" xfId="6555"/>
    <cellStyle name="Percent 60 3 2 3 3 2" xfId="10257"/>
    <cellStyle name="Percent 60 3 2 3 3 2 2" xfId="21379"/>
    <cellStyle name="Percent 60 3 2 3 3 3" xfId="13956"/>
    <cellStyle name="Percent 60 3 2 3 3 3 2" xfId="25073"/>
    <cellStyle name="Percent 60 3 2 3 3 4" xfId="17685"/>
    <cellStyle name="Percent 60 3 2 3 4" xfId="8409"/>
    <cellStyle name="Percent 60 3 2 3 4 2" xfId="19532"/>
    <cellStyle name="Percent 60 3 2 3 5" xfId="12109"/>
    <cellStyle name="Percent 60 3 2 3 5 2" xfId="23226"/>
    <cellStyle name="Percent 60 3 2 3 6" xfId="15838"/>
    <cellStyle name="Percent 60 3 2 4" xfId="4915"/>
    <cellStyle name="Percent 60 3 2 4 2" xfId="7266"/>
    <cellStyle name="Percent 60 3 2 4 2 2" xfId="10967"/>
    <cellStyle name="Percent 60 3 2 4 2 2 2" xfId="22089"/>
    <cellStyle name="Percent 60 3 2 4 2 3" xfId="14666"/>
    <cellStyle name="Percent 60 3 2 4 2 3 2" xfId="25783"/>
    <cellStyle name="Percent 60 3 2 4 2 4" xfId="18395"/>
    <cellStyle name="Percent 60 3 2 4 3" xfId="9120"/>
    <cellStyle name="Percent 60 3 2 4 3 2" xfId="20242"/>
    <cellStyle name="Percent 60 3 2 4 4" xfId="12819"/>
    <cellStyle name="Percent 60 3 2 4 4 2" xfId="23936"/>
    <cellStyle name="Percent 60 3 2 4 5" xfId="16548"/>
    <cellStyle name="Percent 60 3 2 5" xfId="6347"/>
    <cellStyle name="Percent 60 3 2 5 2" xfId="10049"/>
    <cellStyle name="Percent 60 3 2 5 2 2" xfId="21171"/>
    <cellStyle name="Percent 60 3 2 5 3" xfId="13748"/>
    <cellStyle name="Percent 60 3 2 5 3 2" xfId="24865"/>
    <cellStyle name="Percent 60 3 2 5 4" xfId="17477"/>
    <cellStyle name="Percent 60 3 2 6" xfId="8201"/>
    <cellStyle name="Percent 60 3 2 6 2" xfId="19324"/>
    <cellStyle name="Percent 60 3 2 7" xfId="11901"/>
    <cellStyle name="Percent 60 3 2 7 2" xfId="23018"/>
    <cellStyle name="Percent 60 3 2 8" xfId="15630"/>
    <cellStyle name="Percent 60 3 3" xfId="2213"/>
    <cellStyle name="Percent 60 3 4" xfId="1820"/>
    <cellStyle name="Percent 60 3 4 2" xfId="5017"/>
    <cellStyle name="Percent 60 3 4 2 2" xfId="7368"/>
    <cellStyle name="Percent 60 3 4 2 2 2" xfId="11069"/>
    <cellStyle name="Percent 60 3 4 2 2 2 2" xfId="22191"/>
    <cellStyle name="Percent 60 3 4 2 2 3" xfId="14768"/>
    <cellStyle name="Percent 60 3 4 2 2 3 2" xfId="25885"/>
    <cellStyle name="Percent 60 3 4 2 2 4" xfId="18497"/>
    <cellStyle name="Percent 60 3 4 2 3" xfId="9222"/>
    <cellStyle name="Percent 60 3 4 2 3 2" xfId="20344"/>
    <cellStyle name="Percent 60 3 4 2 4" xfId="12921"/>
    <cellStyle name="Percent 60 3 4 2 4 2" xfId="24038"/>
    <cellStyle name="Percent 60 3 4 2 5" xfId="16650"/>
    <cellStyle name="Percent 60 3 4 3" xfId="6449"/>
    <cellStyle name="Percent 60 3 4 3 2" xfId="10151"/>
    <cellStyle name="Percent 60 3 4 3 2 2" xfId="21273"/>
    <cellStyle name="Percent 60 3 4 3 3" xfId="13850"/>
    <cellStyle name="Percent 60 3 4 3 3 2" xfId="24967"/>
    <cellStyle name="Percent 60 3 4 3 4" xfId="17579"/>
    <cellStyle name="Percent 60 3 4 4" xfId="8303"/>
    <cellStyle name="Percent 60 3 4 4 2" xfId="19426"/>
    <cellStyle name="Percent 60 3 4 5" xfId="12003"/>
    <cellStyle name="Percent 60 3 4 5 2" xfId="23120"/>
    <cellStyle name="Percent 60 3 4 6" xfId="15732"/>
    <cellStyle name="Percent 60 3 5" xfId="4809"/>
    <cellStyle name="Percent 60 3 5 2" xfId="7160"/>
    <cellStyle name="Percent 60 3 5 2 2" xfId="10861"/>
    <cellStyle name="Percent 60 3 5 2 2 2" xfId="21983"/>
    <cellStyle name="Percent 60 3 5 2 3" xfId="14560"/>
    <cellStyle name="Percent 60 3 5 2 3 2" xfId="25677"/>
    <cellStyle name="Percent 60 3 5 2 4" xfId="18289"/>
    <cellStyle name="Percent 60 3 5 3" xfId="9014"/>
    <cellStyle name="Percent 60 3 5 3 2" xfId="20136"/>
    <cellStyle name="Percent 60 3 5 4" xfId="12713"/>
    <cellStyle name="Percent 60 3 5 4 2" xfId="23830"/>
    <cellStyle name="Percent 60 3 5 5" xfId="16442"/>
    <cellStyle name="Percent 60 3 6" xfId="6241"/>
    <cellStyle name="Percent 60 3 6 2" xfId="9943"/>
    <cellStyle name="Percent 60 3 6 2 2" xfId="21065"/>
    <cellStyle name="Percent 60 3 6 3" xfId="13642"/>
    <cellStyle name="Percent 60 3 6 3 2" xfId="24759"/>
    <cellStyle name="Percent 60 3 6 4" xfId="17371"/>
    <cellStyle name="Percent 60 3 7" xfId="8095"/>
    <cellStyle name="Percent 60 3 7 2" xfId="19218"/>
    <cellStyle name="Percent 60 3 8" xfId="11795"/>
    <cellStyle name="Percent 60 3 8 2" xfId="22912"/>
    <cellStyle name="Percent 60 3 9" xfId="15524"/>
    <cellStyle name="Percent 60 4" xfId="1661"/>
    <cellStyle name="Percent 60 4 2" xfId="2215"/>
    <cellStyle name="Percent 60 4 3" xfId="1873"/>
    <cellStyle name="Percent 60 4 3 2" xfId="5070"/>
    <cellStyle name="Percent 60 4 3 2 2" xfId="7421"/>
    <cellStyle name="Percent 60 4 3 2 2 2" xfId="11122"/>
    <cellStyle name="Percent 60 4 3 2 2 2 2" xfId="22244"/>
    <cellStyle name="Percent 60 4 3 2 2 3" xfId="14821"/>
    <cellStyle name="Percent 60 4 3 2 2 3 2" xfId="25938"/>
    <cellStyle name="Percent 60 4 3 2 2 4" xfId="18550"/>
    <cellStyle name="Percent 60 4 3 2 3" xfId="9275"/>
    <cellStyle name="Percent 60 4 3 2 3 2" xfId="20397"/>
    <cellStyle name="Percent 60 4 3 2 4" xfId="12974"/>
    <cellStyle name="Percent 60 4 3 2 4 2" xfId="24091"/>
    <cellStyle name="Percent 60 4 3 2 5" xfId="16703"/>
    <cellStyle name="Percent 60 4 3 3" xfId="6502"/>
    <cellStyle name="Percent 60 4 3 3 2" xfId="10204"/>
    <cellStyle name="Percent 60 4 3 3 2 2" xfId="21326"/>
    <cellStyle name="Percent 60 4 3 3 3" xfId="13903"/>
    <cellStyle name="Percent 60 4 3 3 3 2" xfId="25020"/>
    <cellStyle name="Percent 60 4 3 3 4" xfId="17632"/>
    <cellStyle name="Percent 60 4 3 4" xfId="8356"/>
    <cellStyle name="Percent 60 4 3 4 2" xfId="19479"/>
    <cellStyle name="Percent 60 4 3 5" xfId="12056"/>
    <cellStyle name="Percent 60 4 3 5 2" xfId="23173"/>
    <cellStyle name="Percent 60 4 3 6" xfId="15785"/>
    <cellStyle name="Percent 60 4 4" xfId="4862"/>
    <cellStyle name="Percent 60 4 4 2" xfId="7213"/>
    <cellStyle name="Percent 60 4 4 2 2" xfId="10914"/>
    <cellStyle name="Percent 60 4 4 2 2 2" xfId="22036"/>
    <cellStyle name="Percent 60 4 4 2 3" xfId="14613"/>
    <cellStyle name="Percent 60 4 4 2 3 2" xfId="25730"/>
    <cellStyle name="Percent 60 4 4 2 4" xfId="18342"/>
    <cellStyle name="Percent 60 4 4 3" xfId="9067"/>
    <cellStyle name="Percent 60 4 4 3 2" xfId="20189"/>
    <cellStyle name="Percent 60 4 4 4" xfId="12766"/>
    <cellStyle name="Percent 60 4 4 4 2" xfId="23883"/>
    <cellStyle name="Percent 60 4 4 5" xfId="16495"/>
    <cellStyle name="Percent 60 4 5" xfId="6294"/>
    <cellStyle name="Percent 60 4 5 2" xfId="9996"/>
    <cellStyle name="Percent 60 4 5 2 2" xfId="21118"/>
    <cellStyle name="Percent 60 4 5 3" xfId="13695"/>
    <cellStyle name="Percent 60 4 5 3 2" xfId="24812"/>
    <cellStyle name="Percent 60 4 5 4" xfId="17424"/>
    <cellStyle name="Percent 60 4 6" xfId="8148"/>
    <cellStyle name="Percent 60 4 6 2" xfId="19271"/>
    <cellStyle name="Percent 60 4 7" xfId="11848"/>
    <cellStyle name="Percent 60 4 7 2" xfId="22965"/>
    <cellStyle name="Percent 60 4 8" xfId="15577"/>
    <cellStyle name="Percent 60 5" xfId="2212"/>
    <cellStyle name="Percent 60 6" xfId="1769"/>
    <cellStyle name="Percent 60 6 2" xfId="4966"/>
    <cellStyle name="Percent 60 6 2 2" xfId="7317"/>
    <cellStyle name="Percent 60 6 2 2 2" xfId="11018"/>
    <cellStyle name="Percent 60 6 2 2 2 2" xfId="22140"/>
    <cellStyle name="Percent 60 6 2 2 3" xfId="14717"/>
    <cellStyle name="Percent 60 6 2 2 3 2" xfId="25834"/>
    <cellStyle name="Percent 60 6 2 2 4" xfId="18446"/>
    <cellStyle name="Percent 60 6 2 3" xfId="9171"/>
    <cellStyle name="Percent 60 6 2 3 2" xfId="20293"/>
    <cellStyle name="Percent 60 6 2 4" xfId="12870"/>
    <cellStyle name="Percent 60 6 2 4 2" xfId="23987"/>
    <cellStyle name="Percent 60 6 2 5" xfId="16599"/>
    <cellStyle name="Percent 60 6 3" xfId="6398"/>
    <cellStyle name="Percent 60 6 3 2" xfId="10100"/>
    <cellStyle name="Percent 60 6 3 2 2" xfId="21222"/>
    <cellStyle name="Percent 60 6 3 3" xfId="13799"/>
    <cellStyle name="Percent 60 6 3 3 2" xfId="24916"/>
    <cellStyle name="Percent 60 6 3 4" xfId="17528"/>
    <cellStyle name="Percent 60 6 4" xfId="8252"/>
    <cellStyle name="Percent 60 6 4 2" xfId="19375"/>
    <cellStyle name="Percent 60 6 5" xfId="11952"/>
    <cellStyle name="Percent 60 6 5 2" xfId="23069"/>
    <cellStyle name="Percent 60 6 6" xfId="15681"/>
    <cellStyle name="Percent 60 7" xfId="4757"/>
    <cellStyle name="Percent 60 7 2" xfId="7109"/>
    <cellStyle name="Percent 60 7 2 2" xfId="10810"/>
    <cellStyle name="Percent 60 7 2 2 2" xfId="21932"/>
    <cellStyle name="Percent 60 7 2 3" xfId="14509"/>
    <cellStyle name="Percent 60 7 2 3 2" xfId="25626"/>
    <cellStyle name="Percent 60 7 2 4" xfId="18238"/>
    <cellStyle name="Percent 60 7 3" xfId="8963"/>
    <cellStyle name="Percent 60 7 3 2" xfId="20085"/>
    <cellStyle name="Percent 60 7 4" xfId="12662"/>
    <cellStyle name="Percent 60 7 4 2" xfId="23779"/>
    <cellStyle name="Percent 60 7 5" xfId="16391"/>
    <cellStyle name="Percent 60 8" xfId="6190"/>
    <cellStyle name="Percent 60 8 2" xfId="9892"/>
    <cellStyle name="Percent 60 8 2 2" xfId="21014"/>
    <cellStyle name="Percent 60 8 3" xfId="13591"/>
    <cellStyle name="Percent 60 8 3 2" xfId="24708"/>
    <cellStyle name="Percent 60 8 4" xfId="17320"/>
    <cellStyle name="Percent 60 9" xfId="8043"/>
    <cellStyle name="Percent 60 9 2" xfId="19167"/>
    <cellStyle name="Percent 61" xfId="875"/>
    <cellStyle name="Percent 61 10" xfId="11740"/>
    <cellStyle name="Percent 61 10 2" xfId="22857"/>
    <cellStyle name="Percent 61 11" xfId="15469"/>
    <cellStyle name="Percent 61 2" xfId="1248"/>
    <cellStyle name="Percent 61 2 2" xfId="4020"/>
    <cellStyle name="Percent 61 3" xfId="1348"/>
    <cellStyle name="Percent 61 4" xfId="1593"/>
    <cellStyle name="Percent 61 4 2" xfId="1712"/>
    <cellStyle name="Percent 61 4 2 2" xfId="2217"/>
    <cellStyle name="Percent 61 4 2 3" xfId="1922"/>
    <cellStyle name="Percent 61 4 2 3 2" xfId="5119"/>
    <cellStyle name="Percent 61 4 2 3 2 2" xfId="7470"/>
    <cellStyle name="Percent 61 4 2 3 2 2 2" xfId="11171"/>
    <cellStyle name="Percent 61 4 2 3 2 2 2 2" xfId="22293"/>
    <cellStyle name="Percent 61 4 2 3 2 2 3" xfId="14870"/>
    <cellStyle name="Percent 61 4 2 3 2 2 3 2" xfId="25987"/>
    <cellStyle name="Percent 61 4 2 3 2 2 4" xfId="18599"/>
    <cellStyle name="Percent 61 4 2 3 2 3" xfId="9324"/>
    <cellStyle name="Percent 61 4 2 3 2 3 2" xfId="20446"/>
    <cellStyle name="Percent 61 4 2 3 2 4" xfId="13023"/>
    <cellStyle name="Percent 61 4 2 3 2 4 2" xfId="24140"/>
    <cellStyle name="Percent 61 4 2 3 2 5" xfId="16752"/>
    <cellStyle name="Percent 61 4 2 3 3" xfId="6551"/>
    <cellStyle name="Percent 61 4 2 3 3 2" xfId="10253"/>
    <cellStyle name="Percent 61 4 2 3 3 2 2" xfId="21375"/>
    <cellStyle name="Percent 61 4 2 3 3 3" xfId="13952"/>
    <cellStyle name="Percent 61 4 2 3 3 3 2" xfId="25069"/>
    <cellStyle name="Percent 61 4 2 3 3 4" xfId="17681"/>
    <cellStyle name="Percent 61 4 2 3 4" xfId="8405"/>
    <cellStyle name="Percent 61 4 2 3 4 2" xfId="19528"/>
    <cellStyle name="Percent 61 4 2 3 5" xfId="12105"/>
    <cellStyle name="Percent 61 4 2 3 5 2" xfId="23222"/>
    <cellStyle name="Percent 61 4 2 3 6" xfId="15834"/>
    <cellStyle name="Percent 61 4 2 4" xfId="4911"/>
    <cellStyle name="Percent 61 4 2 4 2" xfId="7262"/>
    <cellStyle name="Percent 61 4 2 4 2 2" xfId="10963"/>
    <cellStyle name="Percent 61 4 2 4 2 2 2" xfId="22085"/>
    <cellStyle name="Percent 61 4 2 4 2 3" xfId="14662"/>
    <cellStyle name="Percent 61 4 2 4 2 3 2" xfId="25779"/>
    <cellStyle name="Percent 61 4 2 4 2 4" xfId="18391"/>
    <cellStyle name="Percent 61 4 2 4 3" xfId="9116"/>
    <cellStyle name="Percent 61 4 2 4 3 2" xfId="20238"/>
    <cellStyle name="Percent 61 4 2 4 4" xfId="12815"/>
    <cellStyle name="Percent 61 4 2 4 4 2" xfId="23932"/>
    <cellStyle name="Percent 61 4 2 4 5" xfId="16544"/>
    <cellStyle name="Percent 61 4 2 5" xfId="6343"/>
    <cellStyle name="Percent 61 4 2 5 2" xfId="10045"/>
    <cellStyle name="Percent 61 4 2 5 2 2" xfId="21167"/>
    <cellStyle name="Percent 61 4 2 5 3" xfId="13744"/>
    <cellStyle name="Percent 61 4 2 5 3 2" xfId="24861"/>
    <cellStyle name="Percent 61 4 2 5 4" xfId="17473"/>
    <cellStyle name="Percent 61 4 2 6" xfId="8197"/>
    <cellStyle name="Percent 61 4 2 6 2" xfId="19320"/>
    <cellStyle name="Percent 61 4 2 7" xfId="11897"/>
    <cellStyle name="Percent 61 4 2 7 2" xfId="23014"/>
    <cellStyle name="Percent 61 4 2 8" xfId="15626"/>
    <cellStyle name="Percent 61 4 3" xfId="2216"/>
    <cellStyle name="Percent 61 4 4" xfId="1816"/>
    <cellStyle name="Percent 61 4 4 2" xfId="5013"/>
    <cellStyle name="Percent 61 4 4 2 2" xfId="7364"/>
    <cellStyle name="Percent 61 4 4 2 2 2" xfId="11065"/>
    <cellStyle name="Percent 61 4 4 2 2 2 2" xfId="22187"/>
    <cellStyle name="Percent 61 4 4 2 2 3" xfId="14764"/>
    <cellStyle name="Percent 61 4 4 2 2 3 2" xfId="25881"/>
    <cellStyle name="Percent 61 4 4 2 2 4" xfId="18493"/>
    <cellStyle name="Percent 61 4 4 2 3" xfId="9218"/>
    <cellStyle name="Percent 61 4 4 2 3 2" xfId="20340"/>
    <cellStyle name="Percent 61 4 4 2 4" xfId="12917"/>
    <cellStyle name="Percent 61 4 4 2 4 2" xfId="24034"/>
    <cellStyle name="Percent 61 4 4 2 5" xfId="16646"/>
    <cellStyle name="Percent 61 4 4 3" xfId="6445"/>
    <cellStyle name="Percent 61 4 4 3 2" xfId="10147"/>
    <cellStyle name="Percent 61 4 4 3 2 2" xfId="21269"/>
    <cellStyle name="Percent 61 4 4 3 3" xfId="13846"/>
    <cellStyle name="Percent 61 4 4 3 3 2" xfId="24963"/>
    <cellStyle name="Percent 61 4 4 3 4" xfId="17575"/>
    <cellStyle name="Percent 61 4 4 4" xfId="8299"/>
    <cellStyle name="Percent 61 4 4 4 2" xfId="19422"/>
    <cellStyle name="Percent 61 4 4 5" xfId="11999"/>
    <cellStyle name="Percent 61 4 4 5 2" xfId="23116"/>
    <cellStyle name="Percent 61 4 4 6" xfId="15728"/>
    <cellStyle name="Percent 61 4 5" xfId="4805"/>
    <cellStyle name="Percent 61 4 5 2" xfId="7156"/>
    <cellStyle name="Percent 61 4 5 2 2" xfId="10857"/>
    <cellStyle name="Percent 61 4 5 2 2 2" xfId="21979"/>
    <cellStyle name="Percent 61 4 5 2 3" xfId="14556"/>
    <cellStyle name="Percent 61 4 5 2 3 2" xfId="25673"/>
    <cellStyle name="Percent 61 4 5 2 4" xfId="18285"/>
    <cellStyle name="Percent 61 4 5 3" xfId="9010"/>
    <cellStyle name="Percent 61 4 5 3 2" xfId="20132"/>
    <cellStyle name="Percent 61 4 5 4" xfId="12709"/>
    <cellStyle name="Percent 61 4 5 4 2" xfId="23826"/>
    <cellStyle name="Percent 61 4 5 5" xfId="16438"/>
    <cellStyle name="Percent 61 4 6" xfId="6237"/>
    <cellStyle name="Percent 61 4 6 2" xfId="9939"/>
    <cellStyle name="Percent 61 4 6 2 2" xfId="21061"/>
    <cellStyle name="Percent 61 4 6 3" xfId="13638"/>
    <cellStyle name="Percent 61 4 6 3 2" xfId="24755"/>
    <cellStyle name="Percent 61 4 6 4" xfId="17367"/>
    <cellStyle name="Percent 61 4 7" xfId="8091"/>
    <cellStyle name="Percent 61 4 7 2" xfId="19214"/>
    <cellStyle name="Percent 61 4 8" xfId="11791"/>
    <cellStyle name="Percent 61 4 8 2" xfId="22908"/>
    <cellStyle name="Percent 61 4 9" xfId="15520"/>
    <cellStyle name="Percent 61 5" xfId="1657"/>
    <cellStyle name="Percent 61 5 2" xfId="2218"/>
    <cellStyle name="Percent 61 5 3" xfId="1869"/>
    <cellStyle name="Percent 61 5 3 2" xfId="5066"/>
    <cellStyle name="Percent 61 5 3 2 2" xfId="7417"/>
    <cellStyle name="Percent 61 5 3 2 2 2" xfId="11118"/>
    <cellStyle name="Percent 61 5 3 2 2 2 2" xfId="22240"/>
    <cellStyle name="Percent 61 5 3 2 2 3" xfId="14817"/>
    <cellStyle name="Percent 61 5 3 2 2 3 2" xfId="25934"/>
    <cellStyle name="Percent 61 5 3 2 2 4" xfId="18546"/>
    <cellStyle name="Percent 61 5 3 2 3" xfId="9271"/>
    <cellStyle name="Percent 61 5 3 2 3 2" xfId="20393"/>
    <cellStyle name="Percent 61 5 3 2 4" xfId="12970"/>
    <cellStyle name="Percent 61 5 3 2 4 2" xfId="24087"/>
    <cellStyle name="Percent 61 5 3 2 5" xfId="16699"/>
    <cellStyle name="Percent 61 5 3 3" xfId="6498"/>
    <cellStyle name="Percent 61 5 3 3 2" xfId="10200"/>
    <cellStyle name="Percent 61 5 3 3 2 2" xfId="21322"/>
    <cellStyle name="Percent 61 5 3 3 3" xfId="13899"/>
    <cellStyle name="Percent 61 5 3 3 3 2" xfId="25016"/>
    <cellStyle name="Percent 61 5 3 3 4" xfId="17628"/>
    <cellStyle name="Percent 61 5 3 4" xfId="8352"/>
    <cellStyle name="Percent 61 5 3 4 2" xfId="19475"/>
    <cellStyle name="Percent 61 5 3 5" xfId="12052"/>
    <cellStyle name="Percent 61 5 3 5 2" xfId="23169"/>
    <cellStyle name="Percent 61 5 3 6" xfId="15781"/>
    <cellStyle name="Percent 61 5 4" xfId="4858"/>
    <cellStyle name="Percent 61 5 4 2" xfId="7209"/>
    <cellStyle name="Percent 61 5 4 2 2" xfId="10910"/>
    <cellStyle name="Percent 61 5 4 2 2 2" xfId="22032"/>
    <cellStyle name="Percent 61 5 4 2 3" xfId="14609"/>
    <cellStyle name="Percent 61 5 4 2 3 2" xfId="25726"/>
    <cellStyle name="Percent 61 5 4 2 4" xfId="18338"/>
    <cellStyle name="Percent 61 5 4 3" xfId="9063"/>
    <cellStyle name="Percent 61 5 4 3 2" xfId="20185"/>
    <cellStyle name="Percent 61 5 4 4" xfId="12762"/>
    <cellStyle name="Percent 61 5 4 4 2" xfId="23879"/>
    <cellStyle name="Percent 61 5 4 5" xfId="16491"/>
    <cellStyle name="Percent 61 5 5" xfId="6290"/>
    <cellStyle name="Percent 61 5 5 2" xfId="9992"/>
    <cellStyle name="Percent 61 5 5 2 2" xfId="21114"/>
    <cellStyle name="Percent 61 5 5 3" xfId="13691"/>
    <cellStyle name="Percent 61 5 5 3 2" xfId="24808"/>
    <cellStyle name="Percent 61 5 5 4" xfId="17420"/>
    <cellStyle name="Percent 61 5 6" xfId="8144"/>
    <cellStyle name="Percent 61 5 6 2" xfId="19267"/>
    <cellStyle name="Percent 61 5 7" xfId="11844"/>
    <cellStyle name="Percent 61 5 7 2" xfId="22961"/>
    <cellStyle name="Percent 61 5 8" xfId="15573"/>
    <cellStyle name="Percent 61 6" xfId="1765"/>
    <cellStyle name="Percent 61 6 2" xfId="4962"/>
    <cellStyle name="Percent 61 6 2 2" xfId="7313"/>
    <cellStyle name="Percent 61 6 2 2 2" xfId="11014"/>
    <cellStyle name="Percent 61 6 2 2 2 2" xfId="22136"/>
    <cellStyle name="Percent 61 6 2 2 3" xfId="14713"/>
    <cellStyle name="Percent 61 6 2 2 3 2" xfId="25830"/>
    <cellStyle name="Percent 61 6 2 2 4" xfId="18442"/>
    <cellStyle name="Percent 61 6 2 3" xfId="9167"/>
    <cellStyle name="Percent 61 6 2 3 2" xfId="20289"/>
    <cellStyle name="Percent 61 6 2 4" xfId="12866"/>
    <cellStyle name="Percent 61 6 2 4 2" xfId="23983"/>
    <cellStyle name="Percent 61 6 2 5" xfId="16595"/>
    <cellStyle name="Percent 61 6 3" xfId="6394"/>
    <cellStyle name="Percent 61 6 3 2" xfId="10096"/>
    <cellStyle name="Percent 61 6 3 2 2" xfId="21218"/>
    <cellStyle name="Percent 61 6 3 3" xfId="13795"/>
    <cellStyle name="Percent 61 6 3 3 2" xfId="24912"/>
    <cellStyle name="Percent 61 6 3 4" xfId="17524"/>
    <cellStyle name="Percent 61 6 4" xfId="8248"/>
    <cellStyle name="Percent 61 6 4 2" xfId="19371"/>
    <cellStyle name="Percent 61 6 5" xfId="11948"/>
    <cellStyle name="Percent 61 6 5 2" xfId="23065"/>
    <cellStyle name="Percent 61 6 6" xfId="15677"/>
    <cellStyle name="Percent 61 7" xfId="4753"/>
    <cellStyle name="Percent 61 7 2" xfId="7105"/>
    <cellStyle name="Percent 61 7 2 2" xfId="10806"/>
    <cellStyle name="Percent 61 7 2 2 2" xfId="21928"/>
    <cellStyle name="Percent 61 7 2 3" xfId="14505"/>
    <cellStyle name="Percent 61 7 2 3 2" xfId="25622"/>
    <cellStyle name="Percent 61 7 2 4" xfId="18234"/>
    <cellStyle name="Percent 61 7 3" xfId="8959"/>
    <cellStyle name="Percent 61 7 3 2" xfId="20081"/>
    <cellStyle name="Percent 61 7 4" xfId="12658"/>
    <cellStyle name="Percent 61 7 4 2" xfId="23775"/>
    <cellStyle name="Percent 61 7 5" xfId="16387"/>
    <cellStyle name="Percent 61 8" xfId="6186"/>
    <cellStyle name="Percent 61 8 2" xfId="9888"/>
    <cellStyle name="Percent 61 8 2 2" xfId="21010"/>
    <cellStyle name="Percent 61 8 3" xfId="13587"/>
    <cellStyle name="Percent 61 8 3 2" xfId="24704"/>
    <cellStyle name="Percent 61 8 4" xfId="17316"/>
    <cellStyle name="Percent 61 9" xfId="8039"/>
    <cellStyle name="Percent 61 9 2" xfId="19163"/>
    <cellStyle name="Percent 62" xfId="975"/>
    <cellStyle name="Percent 62 2" xfId="1249"/>
    <cellStyle name="Percent 63" xfId="1250"/>
    <cellStyle name="Percent 63 2" xfId="4021"/>
    <cellStyle name="Percent 64" xfId="1251"/>
    <cellStyle name="Percent 64 2" xfId="1252"/>
    <cellStyle name="Percent 64 2 2" xfId="5295"/>
    <cellStyle name="Percent 64 2 2 2" xfId="5542"/>
    <cellStyle name="Percent 64 2 3" xfId="5541"/>
    <cellStyle name="Percent 64 3" xfId="4022"/>
    <cellStyle name="Percent 64 3 2" xfId="4023"/>
    <cellStyle name="Percent 64 4" xfId="5540"/>
    <cellStyle name="Percent 65" xfId="1253"/>
    <cellStyle name="Percent 65 2" xfId="1254"/>
    <cellStyle name="Percent 65 2 2" xfId="5296"/>
    <cellStyle name="Percent 65 2 2 2" xfId="5544"/>
    <cellStyle name="Percent 65 2 3" xfId="5920"/>
    <cellStyle name="Percent 65 3" xfId="4024"/>
    <cellStyle name="Percent 65 3 2" xfId="4025"/>
    <cellStyle name="Percent 65 4" xfId="5543"/>
    <cellStyle name="Percent 66" xfId="1255"/>
    <cellStyle name="Percent 66 2" xfId="1256"/>
    <cellStyle name="Percent 66 2 2" xfId="5297"/>
    <cellStyle name="Percent 66 2 2 2" xfId="5547"/>
    <cellStyle name="Percent 66 2 3" xfId="5546"/>
    <cellStyle name="Percent 66 3" xfId="4026"/>
    <cellStyle name="Percent 66 3 2" xfId="4027"/>
    <cellStyle name="Percent 66 4" xfId="5545"/>
    <cellStyle name="Percent 67" xfId="1257"/>
    <cellStyle name="Percent 67 2" xfId="1258"/>
    <cellStyle name="Percent 67 2 2" xfId="4028"/>
    <cellStyle name="Percent 67 2 2 2" xfId="5551"/>
    <cellStyle name="Percent 67 2 3" xfId="5550"/>
    <cellStyle name="Percent 67 3" xfId="4029"/>
    <cellStyle name="Percent 67 3 2" xfId="4030"/>
    <cellStyle name="Percent 67 4" xfId="5549"/>
    <cellStyle name="Percent 68" xfId="1259"/>
    <cellStyle name="Percent 68 2" xfId="1260"/>
    <cellStyle name="Percent 68 2 2" xfId="4031"/>
    <cellStyle name="Percent 68 2 2 2" xfId="5553"/>
    <cellStyle name="Percent 68 2 3" xfId="5908"/>
    <cellStyle name="Percent 68 3" xfId="4032"/>
    <cellStyle name="Percent 68 3 2" xfId="4033"/>
    <cellStyle name="Percent 68 4" xfId="5552"/>
    <cellStyle name="Percent 69" xfId="1261"/>
    <cellStyle name="Percent 69 2" xfId="1262"/>
    <cellStyle name="Percent 69 2 2" xfId="5298"/>
    <cellStyle name="Percent 69 2 2 2" xfId="5556"/>
    <cellStyle name="Percent 69 2 3" xfId="5555"/>
    <cellStyle name="Percent 69 3" xfId="4034"/>
    <cellStyle name="Percent 69 3 2" xfId="4035"/>
    <cellStyle name="Percent 69 4" xfId="5554"/>
    <cellStyle name="Percent 7" xfId="79"/>
    <cellStyle name="Percent 7 2" xfId="544"/>
    <cellStyle name="Percent 7 2 2" xfId="1349"/>
    <cellStyle name="Percent 7 2 2 2" xfId="4036"/>
    <cellStyle name="Percent 7 2 3" xfId="4037"/>
    <cellStyle name="Percent 7 3" xfId="1350"/>
    <cellStyle name="Percent 7 3 2" xfId="4039"/>
    <cellStyle name="Percent 7 3 3" xfId="4040"/>
    <cellStyle name="Percent 7 3 4" xfId="4038"/>
    <cellStyle name="Percent 7 4" xfId="4041"/>
    <cellStyle name="Percent 70" xfId="1263"/>
    <cellStyle name="Percent 70 2" xfId="1264"/>
    <cellStyle name="Percent 70 2 2" xfId="5864"/>
    <cellStyle name="Percent 70 2 2 2" xfId="5559"/>
    <cellStyle name="Percent 70 2 3" xfId="5558"/>
    <cellStyle name="Percent 70 3" xfId="4042"/>
    <cellStyle name="Percent 70 3 2" xfId="4043"/>
    <cellStyle name="Percent 70 4" xfId="5557"/>
    <cellStyle name="Percent 71" xfId="1265"/>
    <cellStyle name="Percent 71 2" xfId="4044"/>
    <cellStyle name="Percent 71 2 2" xfId="4045"/>
    <cellStyle name="Percent 71 2 3" xfId="4046"/>
    <cellStyle name="Percent 71 3" xfId="4047"/>
    <cellStyle name="Percent 72" xfId="1266"/>
    <cellStyle name="Percent 72 2" xfId="4048"/>
    <cellStyle name="Percent 72 2 2" xfId="4049"/>
    <cellStyle name="Percent 72 2 3" xfId="4050"/>
    <cellStyle name="Percent 72 3" xfId="4051"/>
    <cellStyle name="Percent 73" xfId="1267"/>
    <cellStyle name="Percent 73 2" xfId="4052"/>
    <cellStyle name="Percent 73 2 2" xfId="4053"/>
    <cellStyle name="Percent 73 2 3" xfId="4054"/>
    <cellStyle name="Percent 73 3" xfId="4055"/>
    <cellStyle name="Percent 74" xfId="1268"/>
    <cellStyle name="Percent 74 2" xfId="4056"/>
    <cellStyle name="Percent 74 2 2" xfId="4057"/>
    <cellStyle name="Percent 74 2 3" xfId="4058"/>
    <cellStyle name="Percent 74 3" xfId="4059"/>
    <cellStyle name="Percent 75" xfId="1269"/>
    <cellStyle name="Percent 75 2" xfId="4060"/>
    <cellStyle name="Percent 75 2 2" xfId="4061"/>
    <cellStyle name="Percent 75 2 3" xfId="4062"/>
    <cellStyle name="Percent 75 3" xfId="4063"/>
    <cellStyle name="Percent 76" xfId="1153"/>
    <cellStyle name="Percent 76 2" xfId="1433"/>
    <cellStyle name="Percent 76 2 2" xfId="4064"/>
    <cellStyle name="Percent 76 2 3" xfId="4065"/>
    <cellStyle name="Percent 76 3" xfId="4066"/>
    <cellStyle name="Percent 77" xfId="1322"/>
    <cellStyle name="Percent 77 2" xfId="1434"/>
    <cellStyle name="Percent 77 2 2" xfId="4067"/>
    <cellStyle name="Percent 77 2 2 2" xfId="4068"/>
    <cellStyle name="Percent 77 2 3" xfId="4069"/>
    <cellStyle name="Percent 77 2 3 2" xfId="4070"/>
    <cellStyle name="Percent 77 2 4" xfId="4071"/>
    <cellStyle name="Percent 77 3" xfId="4072"/>
    <cellStyle name="Percent 77 3 2" xfId="4073"/>
    <cellStyle name="Percent 77 4" xfId="4074"/>
    <cellStyle name="Percent 77 5" xfId="4075"/>
    <cellStyle name="Percent 78" xfId="1435"/>
    <cellStyle name="Percent 78 2" xfId="4076"/>
    <cellStyle name="Percent 78 2 2" xfId="4077"/>
    <cellStyle name="Percent 78 2 3" xfId="4078"/>
    <cellStyle name="Percent 78 3" xfId="4079"/>
    <cellStyle name="Percent 78 4" xfId="4080"/>
    <cellStyle name="Percent 79" xfId="1385"/>
    <cellStyle name="Percent 79 2" xfId="1351"/>
    <cellStyle name="Percent 79 2 2" xfId="4081"/>
    <cellStyle name="Percent 79 2 3" xfId="4082"/>
    <cellStyle name="Percent 79 3" xfId="4083"/>
    <cellStyle name="Percent 8" xfId="80"/>
    <cellStyle name="Percent 8 2" xfId="545"/>
    <cellStyle name="Percent 8 2 2" xfId="4084"/>
    <cellStyle name="Percent 8 3" xfId="546"/>
    <cellStyle name="Percent 8 3 2" xfId="6095"/>
    <cellStyle name="Percent 8 4" xfId="4085"/>
    <cellStyle name="Percent 8 4 2" xfId="4086"/>
    <cellStyle name="Percent 8 4 3" xfId="4704"/>
    <cellStyle name="Percent 8 4 3 2" xfId="5904"/>
    <cellStyle name="Percent 8 4 3 2 2" xfId="7984"/>
    <cellStyle name="Percent 8 4 3 2 2 2" xfId="11685"/>
    <cellStyle name="Percent 8 4 3 2 2 2 2" xfId="22807"/>
    <cellStyle name="Percent 8 4 3 2 2 3" xfId="15384"/>
    <cellStyle name="Percent 8 4 3 2 2 3 2" xfId="26501"/>
    <cellStyle name="Percent 8 4 3 2 2 4" xfId="19113"/>
    <cellStyle name="Percent 8 4 3 2 3" xfId="9838"/>
    <cellStyle name="Percent 8 4 3 2 3 2" xfId="20960"/>
    <cellStyle name="Percent 8 4 3 2 4" xfId="13537"/>
    <cellStyle name="Percent 8 4 3 2 4 2" xfId="24654"/>
    <cellStyle name="Percent 8 4 3 2 5" xfId="17266"/>
    <cellStyle name="Percent 8 4 3 3" xfId="7065"/>
    <cellStyle name="Percent 8 4 3 3 2" xfId="10766"/>
    <cellStyle name="Percent 8 4 3 3 2 2" xfId="21888"/>
    <cellStyle name="Percent 8 4 3 3 3" xfId="14465"/>
    <cellStyle name="Percent 8 4 3 3 3 2" xfId="25582"/>
    <cellStyle name="Percent 8 4 3 3 4" xfId="18194"/>
    <cellStyle name="Percent 8 4 3 4" xfId="8919"/>
    <cellStyle name="Percent 8 4 3 4 2" xfId="20041"/>
    <cellStyle name="Percent 8 4 3 5" xfId="12618"/>
    <cellStyle name="Percent 8 4 3 5 2" xfId="23735"/>
    <cellStyle name="Percent 8 4 3 6" xfId="16347"/>
    <cellStyle name="Percent 8 4 4" xfId="6022"/>
    <cellStyle name="Percent 8 5" xfId="4087"/>
    <cellStyle name="Percent 8 5 2" xfId="4703"/>
    <cellStyle name="Percent 80" xfId="1352"/>
    <cellStyle name="Percent 80 2" xfId="4088"/>
    <cellStyle name="Percent 80 2 2" xfId="4089"/>
    <cellStyle name="Percent 80 2 3" xfId="4090"/>
    <cellStyle name="Percent 80 3" xfId="4091"/>
    <cellStyle name="Percent 81" xfId="1354"/>
    <cellStyle name="Percent 81 2" xfId="4092"/>
    <cellStyle name="Percent 81 2 2" xfId="4093"/>
    <cellStyle name="Percent 81 2 3" xfId="4094"/>
    <cellStyle name="Percent 81 3" xfId="4095"/>
    <cellStyle name="Percent 82" xfId="1317"/>
    <cellStyle name="Percent 82 2" xfId="1610"/>
    <cellStyle name="Percent 82 2 2" xfId="4096"/>
    <cellStyle name="Percent 82 3" xfId="4097"/>
    <cellStyle name="Percent 83" xfId="1679"/>
    <cellStyle name="Percent 83 2" xfId="2219"/>
    <cellStyle name="Percent 83 2 2" xfId="4100"/>
    <cellStyle name="Percent 83 2 3" xfId="4099"/>
    <cellStyle name="Percent 83 3" xfId="1890"/>
    <cellStyle name="Percent 83 3 2" xfId="4101"/>
    <cellStyle name="Percent 83 3 3" xfId="5087"/>
    <cellStyle name="Percent 83 3 3 2" xfId="7438"/>
    <cellStyle name="Percent 83 3 3 2 2" xfId="11139"/>
    <cellStyle name="Percent 83 3 3 2 2 2" xfId="22261"/>
    <cellStyle name="Percent 83 3 3 2 3" xfId="14838"/>
    <cellStyle name="Percent 83 3 3 2 3 2" xfId="25955"/>
    <cellStyle name="Percent 83 3 3 2 4" xfId="18567"/>
    <cellStyle name="Percent 83 3 3 3" xfId="9292"/>
    <cellStyle name="Percent 83 3 3 3 2" xfId="20414"/>
    <cellStyle name="Percent 83 3 3 4" xfId="12991"/>
    <cellStyle name="Percent 83 3 3 4 2" xfId="24108"/>
    <cellStyle name="Percent 83 3 3 5" xfId="16720"/>
    <cellStyle name="Percent 83 3 4" xfId="6519"/>
    <cellStyle name="Percent 83 3 4 2" xfId="10221"/>
    <cellStyle name="Percent 83 3 4 2 2" xfId="21343"/>
    <cellStyle name="Percent 83 3 4 3" xfId="13920"/>
    <cellStyle name="Percent 83 3 4 3 2" xfId="25037"/>
    <cellStyle name="Percent 83 3 4 4" xfId="17649"/>
    <cellStyle name="Percent 83 3 5" xfId="8373"/>
    <cellStyle name="Percent 83 3 5 2" xfId="19496"/>
    <cellStyle name="Percent 83 3 6" xfId="12073"/>
    <cellStyle name="Percent 83 3 6 2" xfId="23190"/>
    <cellStyle name="Percent 83 3 7" xfId="15802"/>
    <cellStyle name="Percent 83 4" xfId="4098"/>
    <cellStyle name="Percent 83 5" xfId="4879"/>
    <cellStyle name="Percent 83 5 2" xfId="7230"/>
    <cellStyle name="Percent 83 5 2 2" xfId="10931"/>
    <cellStyle name="Percent 83 5 2 2 2" xfId="22053"/>
    <cellStyle name="Percent 83 5 2 3" xfId="14630"/>
    <cellStyle name="Percent 83 5 2 3 2" xfId="25747"/>
    <cellStyle name="Percent 83 5 2 4" xfId="18359"/>
    <cellStyle name="Percent 83 5 3" xfId="9084"/>
    <cellStyle name="Percent 83 5 3 2" xfId="20206"/>
    <cellStyle name="Percent 83 5 4" xfId="12783"/>
    <cellStyle name="Percent 83 5 4 2" xfId="23900"/>
    <cellStyle name="Percent 83 5 5" xfId="16512"/>
    <cellStyle name="Percent 83 6" xfId="6311"/>
    <cellStyle name="Percent 83 6 2" xfId="10013"/>
    <cellStyle name="Percent 83 6 2 2" xfId="21135"/>
    <cellStyle name="Percent 83 6 3" xfId="13712"/>
    <cellStyle name="Percent 83 6 3 2" xfId="24829"/>
    <cellStyle name="Percent 83 6 4" xfId="17441"/>
    <cellStyle name="Percent 83 7" xfId="8165"/>
    <cellStyle name="Percent 83 7 2" xfId="19288"/>
    <cellStyle name="Percent 83 8" xfId="11865"/>
    <cellStyle name="Percent 83 8 2" xfId="22982"/>
    <cellStyle name="Percent 83 9" xfId="15594"/>
    <cellStyle name="Percent 84" xfId="2220"/>
    <cellStyle name="Percent 84 2" xfId="4102"/>
    <cellStyle name="Percent 84 2 2" xfId="4103"/>
    <cellStyle name="Percent 84 3" xfId="4104"/>
    <cellStyle name="Percent 85" xfId="2221"/>
    <cellStyle name="Percent 85 2" xfId="4105"/>
    <cellStyle name="Percent 85 3" xfId="4106"/>
    <cellStyle name="Percent 86" xfId="4107"/>
    <cellStyle name="Percent 86 2" xfId="4108"/>
    <cellStyle name="Percent 86 3" xfId="4109"/>
    <cellStyle name="Percent 87" xfId="4110"/>
    <cellStyle name="Percent 87 2" xfId="4111"/>
    <cellStyle name="Percent 87 3" xfId="4112"/>
    <cellStyle name="Percent 88" xfId="4113"/>
    <cellStyle name="Percent 88 2" xfId="4114"/>
    <cellStyle name="Percent 88 3" xfId="4115"/>
    <cellStyle name="Percent 89" xfId="4116"/>
    <cellStyle name="Percent 89 2" xfId="4117"/>
    <cellStyle name="Percent 89 3" xfId="4118"/>
    <cellStyle name="Percent 9" xfId="547"/>
    <cellStyle name="Percent 9 2" xfId="548"/>
    <cellStyle name="Percent 9 2 2" xfId="1272"/>
    <cellStyle name="Percent 9 2 2 2" xfId="4119"/>
    <cellStyle name="Percent 9 2 3" xfId="4120"/>
    <cellStyle name="Percent 9 3" xfId="549"/>
    <cellStyle name="Percent 9 3 2" xfId="5562"/>
    <cellStyle name="Percent 9 4" xfId="550"/>
    <cellStyle name="Percent 9 4 2" xfId="1346"/>
    <cellStyle name="Percent 9 4 2 2" xfId="1444"/>
    <cellStyle name="Percent 9 5" xfId="1271"/>
    <cellStyle name="Percent 9 5 2" xfId="4121"/>
    <cellStyle name="Percent 9 5 3" xfId="4122"/>
    <cellStyle name="Percent 9 5 4" xfId="4705"/>
    <cellStyle name="Percent 9 5 4 2" xfId="5905"/>
    <cellStyle name="Percent 9 5 4 2 2" xfId="7985"/>
    <cellStyle name="Percent 9 5 4 2 2 2" xfId="11686"/>
    <cellStyle name="Percent 9 5 4 2 2 2 2" xfId="22808"/>
    <cellStyle name="Percent 9 5 4 2 2 3" xfId="15385"/>
    <cellStyle name="Percent 9 5 4 2 2 3 2" xfId="26502"/>
    <cellStyle name="Percent 9 5 4 2 2 4" xfId="19114"/>
    <cellStyle name="Percent 9 5 4 2 3" xfId="9839"/>
    <cellStyle name="Percent 9 5 4 2 3 2" xfId="20961"/>
    <cellStyle name="Percent 9 5 4 2 4" xfId="13538"/>
    <cellStyle name="Percent 9 5 4 2 4 2" xfId="24655"/>
    <cellStyle name="Percent 9 5 4 2 5" xfId="17267"/>
    <cellStyle name="Percent 9 5 4 3" xfId="7066"/>
    <cellStyle name="Percent 9 5 4 3 2" xfId="10767"/>
    <cellStyle name="Percent 9 5 4 3 2 2" xfId="21889"/>
    <cellStyle name="Percent 9 5 4 3 3" xfId="14466"/>
    <cellStyle name="Percent 9 5 4 3 3 2" xfId="25583"/>
    <cellStyle name="Percent 9 5 4 3 4" xfId="18195"/>
    <cellStyle name="Percent 9 5 4 4" xfId="8920"/>
    <cellStyle name="Percent 9 5 4 4 2" xfId="20042"/>
    <cellStyle name="Percent 9 5 4 5" xfId="12619"/>
    <cellStyle name="Percent 9 5 4 5 2" xfId="23736"/>
    <cellStyle name="Percent 9 5 4 6" xfId="16348"/>
    <cellStyle name="Percent 9 6" xfId="4123"/>
    <cellStyle name="Percent 90" xfId="4124"/>
    <cellStyle name="Percent 90 2" xfId="4125"/>
    <cellStyle name="Percent 90 3" xfId="4126"/>
    <cellStyle name="Percent 91" xfId="4127"/>
    <cellStyle name="Percent 91 2" xfId="4128"/>
    <cellStyle name="Percent 91 3" xfId="4129"/>
    <cellStyle name="Percent 92" xfId="4130"/>
    <cellStyle name="Percent 92 2" xfId="4131"/>
    <cellStyle name="Percent 92 3" xfId="4132"/>
    <cellStyle name="Percent 92 4" xfId="4133"/>
    <cellStyle name="Percent 93" xfId="4134"/>
    <cellStyle name="Percent 93 2" xfId="4135"/>
    <cellStyle name="Percent 93 3" xfId="4136"/>
    <cellStyle name="Percent 93 4" xfId="4137"/>
    <cellStyle name="Percent 94" xfId="4138"/>
    <cellStyle name="Percent 94 2" xfId="4139"/>
    <cellStyle name="Percent 94 3" xfId="4140"/>
    <cellStyle name="Percent 94 4" xfId="4141"/>
    <cellStyle name="Percent 95" xfId="4142"/>
    <cellStyle name="Percent 95 2" xfId="4143"/>
    <cellStyle name="Percent 95 3" xfId="4144"/>
    <cellStyle name="Percent 95 4" xfId="4145"/>
    <cellStyle name="Percent 96" xfId="4146"/>
    <cellStyle name="Percent 96 2" xfId="4147"/>
    <cellStyle name="Percent 96 3" xfId="4148"/>
    <cellStyle name="Percent 97" xfId="4149"/>
    <cellStyle name="Percent 97 2" xfId="4150"/>
    <cellStyle name="Percent 97 3" xfId="4151"/>
    <cellStyle name="Percent 98" xfId="4152"/>
    <cellStyle name="Percent 99" xfId="4153"/>
    <cellStyle name="Percent.0" xfId="717"/>
    <cellStyle name="Percent.0 2" xfId="4154"/>
    <cellStyle name="Percent[1]" xfId="4155"/>
    <cellStyle name="Percent0" xfId="4156"/>
    <cellStyle name="Percent1" xfId="4157"/>
    <cellStyle name="Percent1 2" xfId="4610"/>
    <cellStyle name="Percent2" xfId="4158"/>
    <cellStyle name="Percent2 2" xfId="4611"/>
    <cellStyle name="percentage" xfId="4159"/>
    <cellStyle name="Percentage[1]" xfId="4612"/>
    <cellStyle name="PercentChange" xfId="4613"/>
    <cellStyle name="Percent-Input" xfId="4160"/>
    <cellStyle name="PercentPresentation" xfId="4161"/>
    <cellStyle name="POPS" xfId="4162"/>
    <cellStyle name="PresentationZero" xfId="4163"/>
    <cellStyle name="price" xfId="4164"/>
    <cellStyle name="ProgramVariable" xfId="4614"/>
    <cellStyle name="ProtectedDates" xfId="551"/>
    <cellStyle name="q_AA - BenefitsBonus " xfId="4165"/>
    <cellStyle name="Ratio" xfId="4615"/>
    <cellStyle name="Ratios" xfId="4616"/>
    <cellStyle name="RatioX" xfId="4617"/>
    <cellStyle name="RED" xfId="552"/>
    <cellStyle name="RED 2" xfId="1358"/>
    <cellStyle name="Ref Numbers" xfId="718"/>
    <cellStyle name="Ref Numbers 2" xfId="4166"/>
    <cellStyle name="Report" xfId="4618"/>
    <cellStyle name="Restruct" xfId="553"/>
    <cellStyle name="Restruct 2" xfId="1360"/>
    <cellStyle name="Restruct 2 2" xfId="1361"/>
    <cellStyle name="Restruct 2 3" xfId="5926"/>
    <cellStyle name="Restruct 3" xfId="1362"/>
    <cellStyle name="Restruct 3 2" xfId="4167"/>
    <cellStyle name="Restruct 3 3" xfId="4662"/>
    <cellStyle name="Restruct 4" xfId="4168"/>
    <cellStyle name="Restruct 4 2" xfId="4169"/>
    <cellStyle name="Restruct 4 2 2" xfId="4170"/>
    <cellStyle name="Restruct 4 2 2 2" xfId="6142"/>
    <cellStyle name="Restruct 4 2 3" xfId="4171"/>
    <cellStyle name="Restruct 4 3" xfId="4172"/>
    <cellStyle name="RevList" xfId="4173"/>
    <cellStyle name="Right" xfId="554"/>
    <cellStyle name="Role" xfId="4619"/>
    <cellStyle name="RRSInstruction" xfId="81"/>
    <cellStyle name="RRSInstruction 2" xfId="97"/>
    <cellStyle name="RRSInstruction 2 2" xfId="4174"/>
    <cellStyle name="RRSInstruction 3" xfId="4175"/>
    <cellStyle name="s_DCFLBO Code_Wireline Tel Forecast " xfId="82"/>
    <cellStyle name="s_DCFLBO Code_Wireline Tel Forecast  2" xfId="1363"/>
    <cellStyle name="s_DCFLBO Code_Wireline Tel Forecast  2 2" xfId="1364"/>
    <cellStyle name="s_HardInc " xfId="83"/>
    <cellStyle name="s_HardInc  2" xfId="1366"/>
    <cellStyle name="s_HardInc  2 2" xfId="1367"/>
    <cellStyle name="s_HardInc _Catalog" xfId="4176"/>
    <cellStyle name="s_HardInc _JapaneseCatalog" xfId="4177"/>
    <cellStyle name="s_HardInc _RRST1" xfId="555"/>
    <cellStyle name="s_HardInc _RRST1 2" xfId="556"/>
    <cellStyle name="s_HardInc _RRST12" xfId="1275"/>
    <cellStyle name="s_HardInc _RRST19" xfId="1276"/>
    <cellStyle name="s_HardInc _RRST19 2" xfId="1277"/>
    <cellStyle name="s_HardInc _RRST20" xfId="557"/>
    <cellStyle name="s_HardInc _RRST20 2" xfId="558"/>
    <cellStyle name="s_HardInc _RRST25" xfId="4178"/>
    <cellStyle name="s_HardInc _RRST25 2" xfId="4179"/>
    <cellStyle name="s_HardInc _RRST3" xfId="1278"/>
    <cellStyle name="s_HardInc _RRST6" xfId="559"/>
    <cellStyle name="s_HardInc _RRST6 2" xfId="560"/>
    <cellStyle name="s_HardInc _RRST9" xfId="561"/>
    <cellStyle name="s_HardInc _RRST9 2" xfId="562"/>
    <cellStyle name="s_Valuation " xfId="84"/>
    <cellStyle name="s_Valuation  2" xfId="1369"/>
    <cellStyle name="s_Valuation  2 2" xfId="1370"/>
    <cellStyle name="s_Valuation _Catalog" xfId="4180"/>
    <cellStyle name="s_Valuation _JapaneseCatalog" xfId="4181"/>
    <cellStyle name="s_Valuation _RRST1" xfId="563"/>
    <cellStyle name="s_Valuation _RRST1 2" xfId="564"/>
    <cellStyle name="s_Valuation _RRST12" xfId="1279"/>
    <cellStyle name="s_Valuation _RRST19" xfId="1280"/>
    <cellStyle name="s_Valuation _RRST19 2" xfId="1281"/>
    <cellStyle name="s_Valuation _RRST20" xfId="565"/>
    <cellStyle name="s_Valuation _RRST20 2" xfId="566"/>
    <cellStyle name="s_Valuation _RRST25" xfId="4182"/>
    <cellStyle name="s_Valuation _RRST25 2" xfId="4183"/>
    <cellStyle name="s_Valuation _RRST3" xfId="1282"/>
    <cellStyle name="s_Valuation _RRST6" xfId="567"/>
    <cellStyle name="s_Valuation _RRST6 2" xfId="568"/>
    <cellStyle name="s_Valuation _RRST9" xfId="569"/>
    <cellStyle name="s_Valuation _RRST9 2" xfId="570"/>
    <cellStyle name="ScripFactor" xfId="4620"/>
    <cellStyle name="SectionHeaderNormal" xfId="822"/>
    <cellStyle name="SectionHeading" xfId="4621"/>
    <cellStyle name="Shade" xfId="4622"/>
    <cellStyle name="Shaded" xfId="4184"/>
    <cellStyle name="Shares" xfId="4185"/>
    <cellStyle name="Source Line" xfId="719"/>
    <cellStyle name="Source Line 2" xfId="4186"/>
    <cellStyle name="SPEC" xfId="4623"/>
    <cellStyle name="ssp " xfId="85"/>
    <cellStyle name="Standard" xfId="4624"/>
    <cellStyle name="Style 1" xfId="86"/>
    <cellStyle name="Style 1 10" xfId="662"/>
    <cellStyle name="Style 1 10 2" xfId="1457"/>
    <cellStyle name="Style 1 11" xfId="788"/>
    <cellStyle name="Style 1 11 2" xfId="1458"/>
    <cellStyle name="Style 1 11 2 2" xfId="4187"/>
    <cellStyle name="Style 1 11 3" xfId="1523"/>
    <cellStyle name="Style 1 11 3 2" xfId="6037"/>
    <cellStyle name="Style 1 11 4" xfId="4188"/>
    <cellStyle name="Style 1 11 4 2" xfId="6023"/>
    <cellStyle name="Style 1 12" xfId="991"/>
    <cellStyle name="Style 1 12 2" xfId="1524"/>
    <cellStyle name="Style 1 13" xfId="1283"/>
    <cellStyle name="Style 1 13 2" xfId="1609"/>
    <cellStyle name="Style 1 13 2 2" xfId="4189"/>
    <cellStyle name="Style 1 13 3" xfId="4190"/>
    <cellStyle name="Style 1 13 4" xfId="4191"/>
    <cellStyle name="Style 1 14" xfId="2223"/>
    <cellStyle name="Style 1 14 2" xfId="4192"/>
    <cellStyle name="Style 1 14 3" xfId="4193"/>
    <cellStyle name="Style 1 15" xfId="2222"/>
    <cellStyle name="Style 1 15 2" xfId="4194"/>
    <cellStyle name="Style 1 16" xfId="4195"/>
    <cellStyle name="Style 1 16 2" xfId="4196"/>
    <cellStyle name="Style 1 2" xfId="571"/>
    <cellStyle name="Style 1 2 2" xfId="572"/>
    <cellStyle name="Style 1 2 2 2" xfId="1285"/>
    <cellStyle name="Style 1 2 2 2 2" xfId="1461"/>
    <cellStyle name="Style 1 2 2 2 2 2" xfId="4198"/>
    <cellStyle name="Style 1 2 2 2 2 3" xfId="4197"/>
    <cellStyle name="Style 1 2 2 2 3" xfId="4199"/>
    <cellStyle name="Style 1 2 2 3" xfId="1525"/>
    <cellStyle name="Style 1 2 2 3 2" xfId="4200"/>
    <cellStyle name="Style 1 2 2 3 2 2" xfId="6097"/>
    <cellStyle name="Style 1 2 2 3 3" xfId="4201"/>
    <cellStyle name="Style 1 2 2 4" xfId="4202"/>
    <cellStyle name="Style 1 2 2 4 2" xfId="4203"/>
    <cellStyle name="Style 1 2 2 5" xfId="4204"/>
    <cellStyle name="Style 1 2 3" xfId="573"/>
    <cellStyle name="Style 1 2 3 2" xfId="1526"/>
    <cellStyle name="Style 1 2 3 2 2" xfId="4205"/>
    <cellStyle name="Style 1 2 3 3" xfId="4206"/>
    <cellStyle name="Style 1 2 4" xfId="574"/>
    <cellStyle name="Style 1 2 4 2" xfId="4207"/>
    <cellStyle name="Style 1 2 5" xfId="4208"/>
    <cellStyle name="Style 1 2 5 2" xfId="4209"/>
    <cellStyle name="Style 1 2 5 2 2" xfId="6096"/>
    <cellStyle name="Style 1 2 5 3" xfId="4210"/>
    <cellStyle name="Style 1 2 6" xfId="4211"/>
    <cellStyle name="Style 1 2 7" xfId="4212"/>
    <cellStyle name="Style 1 3" xfId="575"/>
    <cellStyle name="Style 1 3 2" xfId="576"/>
    <cellStyle name="Style 1 3 2 2" xfId="577"/>
    <cellStyle name="Style 1 3 2 2 2" xfId="578"/>
    <cellStyle name="Style 1 3 2 2 2 2" xfId="6101"/>
    <cellStyle name="Style 1 3 2 2 3" xfId="4213"/>
    <cellStyle name="Style 1 3 2 2 3 2" xfId="6100"/>
    <cellStyle name="Style 1 3 2 3" xfId="579"/>
    <cellStyle name="Style 1 3 2 3 2" xfId="6102"/>
    <cellStyle name="Style 1 3 2 4" xfId="580"/>
    <cellStyle name="Style 1 3 2 4 2" xfId="6103"/>
    <cellStyle name="Style 1 3 2 5" xfId="581"/>
    <cellStyle name="Style 1 3 2 5 2" xfId="6104"/>
    <cellStyle name="Style 1 3 2 6" xfId="1468"/>
    <cellStyle name="Style 1 3 2 6 2" xfId="6099"/>
    <cellStyle name="Style 1 3 2 7" xfId="6025"/>
    <cellStyle name="Style 1 3 3" xfId="582"/>
    <cellStyle name="Style 1 3 3 2" xfId="583"/>
    <cellStyle name="Style 1 3 3 2 2" xfId="4214"/>
    <cellStyle name="Style 1 3 3 2 2 2" xfId="6106"/>
    <cellStyle name="Style 1 3 3 3" xfId="1527"/>
    <cellStyle name="Style 1 3 3 3 2" xfId="6105"/>
    <cellStyle name="Style 1 3 4" xfId="584"/>
    <cellStyle name="Style 1 3 4 2" xfId="4215"/>
    <cellStyle name="Style 1 3 4 2 2" xfId="6107"/>
    <cellStyle name="Style 1 3 5" xfId="585"/>
    <cellStyle name="Style 1 3 5 2" xfId="6108"/>
    <cellStyle name="Style 1 3 6" xfId="586"/>
    <cellStyle name="Style 1 3 6 2" xfId="6109"/>
    <cellStyle name="Style 1 3 7" xfId="1473"/>
    <cellStyle name="Style 1 3 7 2" xfId="6098"/>
    <cellStyle name="Style 1 3 8" xfId="4216"/>
    <cellStyle name="Style 1 3 8 2" xfId="6024"/>
    <cellStyle name="Style 1 4" xfId="587"/>
    <cellStyle name="Style 1 4 2" xfId="588"/>
    <cellStyle name="Style 1 4 2 2" xfId="589"/>
    <cellStyle name="Style 1 4 2 2 2" xfId="1286"/>
    <cellStyle name="Style 1 4 2 2 2 2" xfId="1476"/>
    <cellStyle name="Style 1 4 2 2 2 2 2" xfId="4217"/>
    <cellStyle name="Style 1 4 2 2 3" xfId="6028"/>
    <cellStyle name="Style 1 4 2 3" xfId="590"/>
    <cellStyle name="Style 1 4 2 3 2" xfId="1529"/>
    <cellStyle name="Style 1 4 2 3 2 2" xfId="6112"/>
    <cellStyle name="Style 1 4 2 3 3" xfId="4218"/>
    <cellStyle name="Style 1 4 2 4" xfId="591"/>
    <cellStyle name="Style 1 4 2 4 2" xfId="6113"/>
    <cellStyle name="Style 1 4 2 5" xfId="4219"/>
    <cellStyle name="Style 1 4 2 5 2" xfId="6111"/>
    <cellStyle name="Style 1 4 2 6" xfId="6027"/>
    <cellStyle name="Style 1 4 3" xfId="592"/>
    <cellStyle name="Style 1 4 3 2" xfId="1287"/>
    <cellStyle name="Style 1 4 3 2 2" xfId="1477"/>
    <cellStyle name="Style 1 4 3 2 2 2" xfId="4220"/>
    <cellStyle name="Style 1 4 3 2 3" xfId="4221"/>
    <cellStyle name="Style 1 4 3 3" xfId="4222"/>
    <cellStyle name="Style 1 4 3 3 2" xfId="4223"/>
    <cellStyle name="Style 1 4 3 4" xfId="6029"/>
    <cellStyle name="Style 1 4 4" xfId="593"/>
    <cellStyle name="Style 1 4 4 2" xfId="1530"/>
    <cellStyle name="Style 1 4 4 2 2" xfId="4224"/>
    <cellStyle name="Style 1 4 4 3" xfId="4225"/>
    <cellStyle name="Style 1 4 5" xfId="594"/>
    <cellStyle name="Style 1 4 5 2" xfId="4226"/>
    <cellStyle name="Style 1 4 6" xfId="1531"/>
    <cellStyle name="Style 1 4 6 2" xfId="4227"/>
    <cellStyle name="Style 1 4 6 2 2" xfId="6110"/>
    <cellStyle name="Style 1 4 6 3" xfId="4228"/>
    <cellStyle name="Style 1 4 7" xfId="1528"/>
    <cellStyle name="Style 1 4 7 2" xfId="6026"/>
    <cellStyle name="Style 1 5" xfId="595"/>
    <cellStyle name="Style 1 5 2" xfId="596"/>
    <cellStyle name="Style 1 5 2 2" xfId="597"/>
    <cellStyle name="Style 1 5 2 2 2" xfId="1288"/>
    <cellStyle name="Style 1 5 2 2 2 2" xfId="1478"/>
    <cellStyle name="Style 1 5 2 2 2 2 2" xfId="4229"/>
    <cellStyle name="Style 1 5 2 2 3" xfId="6032"/>
    <cellStyle name="Style 1 5 2 3" xfId="1357"/>
    <cellStyle name="Style 1 5 2 3 2" xfId="1532"/>
    <cellStyle name="Style 1 5 2 3 2 2" xfId="6114"/>
    <cellStyle name="Style 1 5 2 3 3" xfId="4230"/>
    <cellStyle name="Style 1 5 2 4" xfId="4231"/>
    <cellStyle name="Style 1 5 2 4 2" xfId="6031"/>
    <cellStyle name="Style 1 5 3" xfId="598"/>
    <cellStyle name="Style 1 5 3 2" xfId="4232"/>
    <cellStyle name="Style 1 5 4" xfId="599"/>
    <cellStyle name="Style 1 5 4 2" xfId="1533"/>
    <cellStyle name="Style 1 5 4 2 2" xfId="6115"/>
    <cellStyle name="Style 1 5 4 3" xfId="4233"/>
    <cellStyle name="Style 1 5 5" xfId="600"/>
    <cellStyle name="Style 1 5 5 2" xfId="4234"/>
    <cellStyle name="Style 1 5 6" xfId="4235"/>
    <cellStyle name="Style 1 5 6 2" xfId="4236"/>
    <cellStyle name="Style 1 5 7" xfId="6030"/>
    <cellStyle name="Style 1 6" xfId="601"/>
    <cellStyle name="Style 1 6 2" xfId="602"/>
    <cellStyle name="Style 1 6 2 2" xfId="1290"/>
    <cellStyle name="Style 1 6 2 2 2" xfId="4237"/>
    <cellStyle name="Style 1 6 2 2 2 2" xfId="6117"/>
    <cellStyle name="Style 1 6 2 2 3" xfId="4238"/>
    <cellStyle name="Style 1 6 2 3" xfId="1291"/>
    <cellStyle name="Style 1 6 2 3 2" xfId="4239"/>
    <cellStyle name="Style 1 6 2 3 3" xfId="4240"/>
    <cellStyle name="Style 1 6 2 4" xfId="5566"/>
    <cellStyle name="Style 1 6 3" xfId="1292"/>
    <cellStyle name="Style 1 6 3 2" xfId="4241"/>
    <cellStyle name="Style 1 6 3 2 2" xfId="6116"/>
    <cellStyle name="Style 1 6 3 3" xfId="4242"/>
    <cellStyle name="Style 1 6 4" xfId="1293"/>
    <cellStyle name="Style 1 6 4 2" xfId="4243"/>
    <cellStyle name="Style 1 6 4 3" xfId="4244"/>
    <cellStyle name="Style 1 6 5" xfId="5565"/>
    <cellStyle name="Style 1 7" xfId="603"/>
    <cellStyle name="Style 1 7 2" xfId="1294"/>
    <cellStyle name="Style 1 7 2 2" xfId="5568"/>
    <cellStyle name="Style 1 7 3" xfId="1295"/>
    <cellStyle name="Style 1 7 3 2" xfId="4245"/>
    <cellStyle name="Style 1 7 3 2 2" xfId="6118"/>
    <cellStyle name="Style 1 7 3 3" xfId="4246"/>
    <cellStyle name="Style 1 7 4" xfId="1296"/>
    <cellStyle name="Style 1 7 4 2" xfId="4247"/>
    <cellStyle name="Style 1 7 4 3" xfId="4248"/>
    <cellStyle name="Style 1 7 5" xfId="5567"/>
    <cellStyle name="Style 1 8" xfId="604"/>
    <cellStyle name="Style 1 8 2" xfId="1297"/>
    <cellStyle name="Style 1 8 2 2" xfId="4249"/>
    <cellStyle name="Style 1 8 2 2 2" xfId="5572"/>
    <cellStyle name="Style 1 8 2 2 3" xfId="5922"/>
    <cellStyle name="Style 1 8 2 3" xfId="5571"/>
    <cellStyle name="Style 1 8 3" xfId="1534"/>
    <cellStyle name="Style 1 8 3 2" xfId="4251"/>
    <cellStyle name="Style 1 8 3 3" xfId="4252"/>
    <cellStyle name="Style 1 8 3 4" xfId="4250"/>
    <cellStyle name="Style 1 8 4" xfId="4253"/>
    <cellStyle name="Style 1 8 4 2" xfId="5570"/>
    <cellStyle name="Style 1 9" xfId="605"/>
    <cellStyle name="Style 1 9 2" xfId="1298"/>
    <cellStyle name="Style 1 9 2 2" xfId="1495"/>
    <cellStyle name="Style 1 9 2 2 2" xfId="4254"/>
    <cellStyle name="Style 1 9 2 3" xfId="4255"/>
    <cellStyle name="Style 1 9 3" xfId="4256"/>
    <cellStyle name="Style 1 9 3 2" xfId="6139"/>
    <cellStyle name="Style 1 9 4" xfId="4257"/>
    <cellStyle name="Style 1 9 4 2" xfId="6119"/>
    <cellStyle name="Style 1 9 5" xfId="6033"/>
    <cellStyle name="Style 1_Exhibits" xfId="720"/>
    <cellStyle name="Style 10" xfId="2224"/>
    <cellStyle name="Style 11" xfId="2225"/>
    <cellStyle name="Style 12" xfId="2226"/>
    <cellStyle name="Style 2" xfId="606"/>
    <cellStyle name="Style 2 2" xfId="607"/>
    <cellStyle name="Style 2 2 2" xfId="608"/>
    <cellStyle name="Style 2 2 2 2" xfId="4258"/>
    <cellStyle name="Style 2 2 3" xfId="4259"/>
    <cellStyle name="Style 2 3" xfId="609"/>
    <cellStyle name="Style 2 3 2" xfId="1365"/>
    <cellStyle name="Style 2 3 2 2" xfId="1501"/>
    <cellStyle name="Style 2 3 2 2 2" xfId="4260"/>
    <cellStyle name="Style 2 3 3" xfId="5574"/>
    <cellStyle name="Style 2 3 3 2" xfId="6034"/>
    <cellStyle name="Style 2 4" xfId="868"/>
    <cellStyle name="Style 2 4 2" xfId="4262"/>
    <cellStyle name="Style 2 4 2 2" xfId="4263"/>
    <cellStyle name="Style 2 4 2 2 2" xfId="5576"/>
    <cellStyle name="Style 2 4 3" xfId="4264"/>
    <cellStyle name="Style 2 4 3 2" xfId="5575"/>
    <cellStyle name="Style 2 4 4" xfId="4261"/>
    <cellStyle name="Style 2 5" xfId="2227"/>
    <cellStyle name="Style 2 5 2" xfId="4265"/>
    <cellStyle name="Style 2 5 2 2" xfId="5578"/>
    <cellStyle name="Style 2 5 3" xfId="4266"/>
    <cellStyle name="Style 2 5 3 2" xfId="5577"/>
    <cellStyle name="Style 2 6" xfId="4267"/>
    <cellStyle name="Style 2 6 2" xfId="5579"/>
    <cellStyle name="Style 2 7" xfId="5573"/>
    <cellStyle name="Style 2 7 2" xfId="5564"/>
    <cellStyle name="Style 21" xfId="4268"/>
    <cellStyle name="Style 22" xfId="4269"/>
    <cellStyle name="Style 23" xfId="4270"/>
    <cellStyle name="Style 24" xfId="4271"/>
    <cellStyle name="Style 24 2" xfId="4272"/>
    <cellStyle name="Style 25" xfId="4273"/>
    <cellStyle name="Style 26" xfId="4274"/>
    <cellStyle name="Style 26 2" xfId="4275"/>
    <cellStyle name="Style 27" xfId="4276"/>
    <cellStyle name="Style 3" xfId="610"/>
    <cellStyle name="Style 3 2" xfId="869"/>
    <cellStyle name="Style 3 2 2" xfId="4277"/>
    <cellStyle name="Style 3 2 2 2" xfId="4708"/>
    <cellStyle name="Style 3 3" xfId="2229"/>
    <cellStyle name="Style 3 4" xfId="2228"/>
    <cellStyle name="Style 32" xfId="4278"/>
    <cellStyle name="Style 4" xfId="611"/>
    <cellStyle name="Style 4 2" xfId="870"/>
    <cellStyle name="Style 4 2 2" xfId="4279"/>
    <cellStyle name="Style 4 2 2 2" xfId="4709"/>
    <cellStyle name="Style 4 3" xfId="2230"/>
    <cellStyle name="Style 5" xfId="612"/>
    <cellStyle name="Style 5 2" xfId="613"/>
    <cellStyle name="Style 5 2 2" xfId="614"/>
    <cellStyle name="Style 5 2 2 2" xfId="1535"/>
    <cellStyle name="Style 5 2 2 2 2" xfId="4280"/>
    <cellStyle name="Style 5 2 2 3" xfId="4281"/>
    <cellStyle name="Style 5 2 3" xfId="1536"/>
    <cellStyle name="Style 5 2 3 2" xfId="4283"/>
    <cellStyle name="Style 5 2 3 3" xfId="4284"/>
    <cellStyle name="Style 5 2 3 4" xfId="4282"/>
    <cellStyle name="Style 5 2 4" xfId="4285"/>
    <cellStyle name="Style 5 3" xfId="615"/>
    <cellStyle name="Style 5 3 2" xfId="1505"/>
    <cellStyle name="Style 5 3 2 2" xfId="4286"/>
    <cellStyle name="Style 5 3 3" xfId="4287"/>
    <cellStyle name="Style 5 4" xfId="998"/>
    <cellStyle name="Style 5 4 2" xfId="1537"/>
    <cellStyle name="Style 5 4 2 2" xfId="5581"/>
    <cellStyle name="Style 5 4 3" xfId="5580"/>
    <cellStyle name="Style 5 5" xfId="1538"/>
    <cellStyle name="Style 5 5 2" xfId="4288"/>
    <cellStyle name="Style 5 5 2 2" xfId="5583"/>
    <cellStyle name="Style 5 5 3" xfId="5582"/>
    <cellStyle name="Style 5 6" xfId="2232"/>
    <cellStyle name="Style 5 6 2" xfId="5584"/>
    <cellStyle name="Style 5 7" xfId="2231"/>
    <cellStyle name="Style 5 7 2" xfId="4290"/>
    <cellStyle name="Style 5 7 3" xfId="4289"/>
    <cellStyle name="Style 5 8" xfId="4291"/>
    <cellStyle name="Style 5 8 2" xfId="4292"/>
    <cellStyle name="Style 6" xfId="2233"/>
    <cellStyle name="Style 7" xfId="2234"/>
    <cellStyle name="Style 8" xfId="2235"/>
    <cellStyle name="Style 8 2" xfId="4293"/>
    <cellStyle name="Style 9" xfId="2236"/>
    <cellStyle name="STYLE1" xfId="4294"/>
    <cellStyle name="STYLE2" xfId="4295"/>
    <cellStyle name="styleColumnTitles" xfId="823"/>
    <cellStyle name="styleSeriesAttributes" xfId="824"/>
    <cellStyle name="styleSeriesData" xfId="825"/>
    <cellStyle name="styleSeriesDataForecast" xfId="826"/>
    <cellStyle name="SubDollar" xfId="4296"/>
    <cellStyle name="SubGrowthRate" xfId="4297"/>
    <cellStyle name="Subhead" xfId="4298"/>
    <cellStyle name="Subscribers" xfId="4299"/>
    <cellStyle name="SubScript" xfId="827"/>
    <cellStyle name="Subtotal" xfId="4300"/>
    <cellStyle name="SubVariable" xfId="4301"/>
    <cellStyle name="SuperScript" xfId="828"/>
    <cellStyle name="Synopsis" xfId="4625"/>
    <cellStyle name="Synopsis 2" xfId="4674"/>
    <cellStyle name="Table Heading" xfId="721"/>
    <cellStyle name="Table Title" xfId="4302"/>
    <cellStyle name="Table Units" xfId="4303"/>
    <cellStyle name="Table Units 2" xfId="4304"/>
    <cellStyle name="Table Units 3" xfId="4697"/>
    <cellStyle name="TableName" xfId="4305"/>
    <cellStyle name="TableName 2" xfId="4626"/>
    <cellStyle name="Text Wrap" xfId="4306"/>
    <cellStyle name="textbold" xfId="616"/>
    <cellStyle name="textbold 2" xfId="617"/>
    <cellStyle name="TextBold 3" xfId="829"/>
    <cellStyle name="textbold 3 2" xfId="1539"/>
    <cellStyle name="TextBold 4" xfId="849"/>
    <cellStyle name="TextBold 5" xfId="843"/>
    <cellStyle name="TextBold 6" xfId="841"/>
    <cellStyle name="TextBold 7" xfId="848"/>
    <cellStyle name="Text-fin statements" xfId="4627"/>
    <cellStyle name="TextItalic" xfId="830"/>
    <cellStyle name="TextNormal" xfId="831"/>
    <cellStyle name="Title" xfId="87" builtinId="15" customBuiltin="1"/>
    <cellStyle name="Title 2" xfId="618"/>
    <cellStyle name="Title 3" xfId="743"/>
    <cellStyle name="Title 3 2" xfId="4308"/>
    <cellStyle name="Title 3 3" xfId="4309"/>
    <cellStyle name="Title 3 4" xfId="4307"/>
    <cellStyle name="Title 3 5" xfId="5945"/>
    <cellStyle name="Title Line" xfId="722"/>
    <cellStyle name="title1" xfId="619"/>
    <cellStyle name="title2" xfId="620"/>
    <cellStyle name="TitleBar" xfId="4628"/>
    <cellStyle name="TitleII" xfId="4310"/>
    <cellStyle name="TitleNormal" xfId="832"/>
    <cellStyle name="Titles" xfId="621"/>
    <cellStyle name="Titles 2" xfId="4629"/>
    <cellStyle name="Titre colonne" xfId="5946"/>
    <cellStyle name="Titre colonnes" xfId="5947"/>
    <cellStyle name="Titre general" xfId="5948"/>
    <cellStyle name="Titre général" xfId="5949"/>
    <cellStyle name="Titre ligne" xfId="5950"/>
    <cellStyle name="Titre lignes" xfId="5951"/>
    <cellStyle name="Titre tableau" xfId="5952"/>
    <cellStyle name="top" xfId="4311"/>
    <cellStyle name="Top Line" xfId="622"/>
    <cellStyle name="Top Row" xfId="723"/>
    <cellStyle name="Top Row 10" xfId="4312"/>
    <cellStyle name="Top Row 11" xfId="4313"/>
    <cellStyle name="Top Row 2" xfId="724"/>
    <cellStyle name="Top Row 3" xfId="4314"/>
    <cellStyle name="Top Row 4" xfId="4315"/>
    <cellStyle name="Top Row 5" xfId="4316"/>
    <cellStyle name="Top Row 6" xfId="4317"/>
    <cellStyle name="Top Row 7" xfId="4318"/>
    <cellStyle name="Top Row 8" xfId="4319"/>
    <cellStyle name="Top Row 9" xfId="4320"/>
    <cellStyle name="Top Row_10794" xfId="4321"/>
    <cellStyle name="top-title" xfId="4322"/>
    <cellStyle name="Total" xfId="88" builtinId="25" customBuiltin="1"/>
    <cellStyle name="Total 10" xfId="759"/>
    <cellStyle name="Total 10 2" xfId="2237"/>
    <cellStyle name="Total 10 3" xfId="4323"/>
    <cellStyle name="Total 2" xfId="623"/>
    <cellStyle name="Total 2 2" xfId="833"/>
    <cellStyle name="Total 2 2 2" xfId="1372"/>
    <cellStyle name="Total 2 2 2 2" xfId="4324"/>
    <cellStyle name="Total 2 3" xfId="1371"/>
    <cellStyle name="Total 3" xfId="834"/>
    <cellStyle name="Total 3 2" xfId="4325"/>
    <cellStyle name="Total 3 3" xfId="5953"/>
    <cellStyle name="Total 4" xfId="835"/>
    <cellStyle name="Total 5" xfId="836"/>
    <cellStyle name="Total 6" xfId="837"/>
    <cellStyle name="Total 7" xfId="838"/>
    <cellStyle name="Total 8" xfId="839"/>
    <cellStyle name="Total 9" xfId="840"/>
    <cellStyle name="Total intermediaire" xfId="5954"/>
    <cellStyle name="Total intermediaire 0" xfId="5955"/>
    <cellStyle name="Total intermediaire 1" xfId="5956"/>
    <cellStyle name="Total intermediaire_Sheet1" xfId="5957"/>
    <cellStyle name="Total Row" xfId="725"/>
    <cellStyle name="Total tableau" xfId="5958"/>
    <cellStyle name="Totals" xfId="624"/>
    <cellStyle name="TRHyperlink" xfId="5959"/>
    <cellStyle name="underline 1 decimal" xfId="625"/>
    <cellStyle name="UnderlineNormal" xfId="4326"/>
    <cellStyle name="UnderlineNormal 2" xfId="4630"/>
    <cellStyle name="Unprot" xfId="4327"/>
    <cellStyle name="Unprot$" xfId="4328"/>
    <cellStyle name="Unprotect" xfId="4329"/>
    <cellStyle name="Unprotected" xfId="4330"/>
    <cellStyle name="UnProtectedCalc" xfId="626"/>
    <cellStyle name="UnProtectedCalc 2" xfId="4331"/>
    <cellStyle name="UnProtectedCalc 3" xfId="4706"/>
    <cellStyle name="Upload Only" xfId="627"/>
    <cellStyle name="Upload Only 2" xfId="4332"/>
    <cellStyle name="Use_1dp" xfId="4631"/>
    <cellStyle name="UseB_1dp" xfId="4632"/>
    <cellStyle name="Währung_ACEA" xfId="5960"/>
    <cellStyle name="Warning Text" xfId="89" builtinId="11" customBuiltin="1"/>
    <cellStyle name="Warning Text 2" xfId="628"/>
    <cellStyle name="Warning Text 3" xfId="756"/>
    <cellStyle name="Warning Text 3 2" xfId="4333"/>
    <cellStyle name="WholeNumber" xfId="4334"/>
    <cellStyle name="Year" xfId="629"/>
    <cellStyle name="Year 2" xfId="630"/>
    <cellStyle name="Year 2 2" xfId="631"/>
    <cellStyle name="Year 2 2 2" xfId="1540"/>
    <cellStyle name="Year 2 2 2 2" xfId="4335"/>
    <cellStyle name="Year 2 2 3" xfId="4336"/>
    <cellStyle name="Year 2 3" xfId="1541"/>
    <cellStyle name="Year 2 3 2" xfId="4337"/>
    <cellStyle name="Year 2 4" xfId="4338"/>
    <cellStyle name="Year 3" xfId="632"/>
    <cellStyle name="Year 3 2" xfId="1522"/>
    <cellStyle name="Year 3 2 2" xfId="4339"/>
    <cellStyle name="Year 3 3" xfId="4340"/>
    <cellStyle name="Year 4" xfId="1014"/>
    <cellStyle name="Year 4 2" xfId="1542"/>
    <cellStyle name="Year 4 2 2" xfId="5585"/>
    <cellStyle name="Year 4 3" xfId="5919"/>
    <cellStyle name="Year 5" xfId="1543"/>
    <cellStyle name="Year 5 2" xfId="4341"/>
    <cellStyle name="Year 5 2 2" xfId="5907"/>
    <cellStyle name="Year 5 3" xfId="5586"/>
    <cellStyle name="Year 6" xfId="4342"/>
    <cellStyle name="Year 6 2" xfId="5918"/>
    <cellStyle name="Year 7" xfId="4343"/>
    <cellStyle name="Year 7 2" xfId="4344"/>
    <cellStyle name="Year 8" xfId="4345"/>
    <cellStyle name="Year 8 2" xfId="4346"/>
    <cellStyle name="Year_FT Valuation " xfId="4633"/>
    <cellStyle name="Years" xfId="4347"/>
    <cellStyle name="パーセント_QTBLNEW" xfId="726"/>
    <cellStyle name="뷭?_BOOKSHIP_실적현황 " xfId="4348"/>
    <cellStyle name="쉼표_매출총괄(02)" xfId="4349"/>
    <cellStyle name="쬞\?1@" xfId="4350"/>
    <cellStyle name="콤마 [0]_   " xfId="4351"/>
    <cellStyle name="콤마_   " xfId="4352"/>
    <cellStyle name="통화 [0]_AP02MSEst" xfId="727"/>
    <cellStyle name="통화_AP02MSEst" xfId="728"/>
    <cellStyle name="표준_0N-HANDLING " xfId="4353"/>
    <cellStyle name="하이퍼링크_000727 IMT-2000 시설투자물량(4210) 4FA고려 필요 " xfId="4354"/>
    <cellStyle name="一般_Book2" xfId="4634"/>
    <cellStyle name="千分位[0]_Book2" xfId="4635"/>
    <cellStyle name="千分位_Book2" xfId="4636"/>
    <cellStyle name="未定義" xfId="4355"/>
    <cellStyle name="桁区切り [0.00]_new dif survey sheet" xfId="729"/>
    <cellStyle name="標準_5401a" xfId="4356"/>
    <cellStyle name="百分比_Comp1-QSI,Liteon" xfId="4637"/>
    <cellStyle name="貨幣 [0]_Book2" xfId="4638"/>
    <cellStyle name="貨幣_Book2" xfId="4639"/>
    <cellStyle name="超連結_Comp-Global" xfId="464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2270AB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externalLinks/externalLink1.xml" Type="http://schemas.openxmlformats.org/officeDocument/2006/relationships/externalLink"/>
<Relationship Id="rId11" Target="externalLinks/externalLink2.xml" Type="http://schemas.openxmlformats.org/officeDocument/2006/relationships/externalLink"/>
<Relationship Id="rId12" Target="theme/theme1.xml" Type="http://schemas.openxmlformats.org/officeDocument/2006/relationships/theme"/>
<Relationship Id="rId13" Target="styles.xml" Type="http://schemas.openxmlformats.org/officeDocument/2006/relationships/styles"/>
<Relationship Id="rId14" Target="sharedStrings.xml" Type="http://schemas.openxmlformats.org/officeDocument/2006/relationships/sharedStrings"/>
<Relationship Id="rId15" Target="calcChain.xml" Type="http://schemas.openxmlformats.org/officeDocument/2006/relationships/calcChain"/>
<Relationship Id="rId16" Target="../customXml/item1.xml" Type="http://schemas.openxmlformats.org/officeDocument/2006/relationships/customXml"/>
<Relationship Id="rId17" Target="../customXml/item2.xml" Type="http://schemas.openxmlformats.org/officeDocument/2006/relationships/customXml"/>
<Relationship Id="rId18" Target="vbaProject.bin" Type="http://schemas.microsoft.com/office/2006/relationships/vbaProject"/>
<Relationship Id="rId2" Target="worksheets/sheet2.xml" Type="http://schemas.openxmlformats.org/officeDocument/2006/relationships/worksheet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3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_rels/drawing4.xml.rels><?xml version="1.0" encoding="UTF-8" standalone="yes"?>
<Relationships xmlns="http://schemas.openxmlformats.org/package/2006/relationships">
<Relationship Id="rId1" Target="../media/image4.png" Type="http://schemas.openxmlformats.org/officeDocument/2006/relationships/image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7</xdr:col>
      <xdr:colOff>390525</xdr:colOff>
      <xdr:row>200</xdr:row>
      <xdr:rowOff>104775</xdr:rowOff>
    </xdr:to>
    <xdr:pic>
      <xdr:nvPicPr>
        <xdr:cNvPr id="13101057" name="Picture 1" descr="C:\Users\vinayakr\AppData\Local\Temp\MercuryPriceRatingHistoryChart\NXPI.O_2018_03_19_01_01_45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8912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1485900</xdr:colOff>
      <xdr:row>0</xdr:row>
      <xdr:rowOff>723900</xdr:rowOff>
    </xdr:to>
    <xdr:pic>
      <xdr:nvPicPr>
        <xdr:cNvPr id="11746571" name="Picture 45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798"/>
        <a:stretch>
          <a:fillRect/>
        </a:stretch>
      </xdr:blipFill>
      <xdr:spPr bwMode="auto">
        <a:xfrm>
          <a:off x="152400" y="76200"/>
          <a:ext cx="14478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0</xdr:row>
      <xdr:rowOff>76200</xdr:rowOff>
    </xdr:from>
    <xdr:to>
      <xdr:col>1</xdr:col>
      <xdr:colOff>1485900</xdr:colOff>
      <xdr:row>0</xdr:row>
      <xdr:rowOff>723900</xdr:rowOff>
    </xdr:to>
    <xdr:pic>
      <xdr:nvPicPr>
        <xdr:cNvPr id="11746572" name="Picture 45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798"/>
        <a:stretch>
          <a:fillRect/>
        </a:stretch>
      </xdr:blipFill>
      <xdr:spPr bwMode="auto">
        <a:xfrm>
          <a:off x="152400" y="76200"/>
          <a:ext cx="14478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1485900</xdr:colOff>
      <xdr:row>0</xdr:row>
      <xdr:rowOff>723900</xdr:rowOff>
    </xdr:to>
    <xdr:pic>
      <xdr:nvPicPr>
        <xdr:cNvPr id="5295536" name="Picture 42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798"/>
        <a:stretch>
          <a:fillRect/>
        </a:stretch>
      </xdr:blipFill>
      <xdr:spPr bwMode="auto">
        <a:xfrm>
          <a:off x="152400" y="76200"/>
          <a:ext cx="14478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76200</xdr:rowOff>
    </xdr:from>
    <xdr:to>
      <xdr:col>1</xdr:col>
      <xdr:colOff>1485900</xdr:colOff>
      <xdr:row>0</xdr:row>
      <xdr:rowOff>723900</xdr:rowOff>
    </xdr:to>
    <xdr:pic>
      <xdr:nvPicPr>
        <xdr:cNvPr id="4761552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798"/>
        <a:stretch>
          <a:fillRect/>
        </a:stretch>
      </xdr:blipFill>
      <xdr:spPr bwMode="auto">
        <a:xfrm>
          <a:off x="152400" y="76200"/>
          <a:ext cx="14478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0</xdr:row>
      <xdr:rowOff>76200</xdr:rowOff>
    </xdr:from>
    <xdr:to>
      <xdr:col>1</xdr:col>
      <xdr:colOff>1485900</xdr:colOff>
      <xdr:row>0</xdr:row>
      <xdr:rowOff>723900</xdr:rowOff>
    </xdr:to>
    <xdr:pic>
      <xdr:nvPicPr>
        <xdr:cNvPr id="4761553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798"/>
        <a:stretch>
          <a:fillRect/>
        </a:stretch>
      </xdr:blipFill>
      <xdr:spPr bwMode="auto">
        <a:xfrm>
          <a:off x="152400" y="76200"/>
          <a:ext cx="14478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na/ny/users/johndasc/Docs/ID/Charts/Chart_Gallery/From%20Vlad/B11_BarSingle_AverageLine.xls" TargetMode="External" Type="http://schemas.microsoft.com/office/2006/relationships/xlExternalLinkPath/xlAlternateStartup"/>
</Relationships>

</file>

<file path=xl/externalLinks/_rels/externalLink2.xml.rels><?xml version="1.0" encoding="UTF-8" standalone="yes"?>
<Relationships xmlns="http://schemas.openxmlformats.org/package/2006/relationships">
<Relationship Id="rId1" Target="c1" TargetMode="External" Type="http://schemas.microsoft.com/office/2006/relationships/xlExternalLinkPath/xlPathMissing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Cash"/>
      <sheetName val="Exhibit 3"/>
      <sheetName val="Cash_published"/>
      <sheetName val="NVF_published"/>
      <sheetName val="Exhibit 5"/>
      <sheetName val="IFRS"/>
      <sheetName val="Exhibit 4"/>
      <sheetName val="IFRS Life"/>
      <sheetName val="Exhibit 1"/>
      <sheetName val="Exhibit 2"/>
      <sheetName val="MCEV Roll-up"/>
      <sheetName val="Weekahead"/>
      <sheetName val="MCEV_Capital"/>
      <sheetName val="Assets(new)"/>
      <sheetName val="MCEV P&amp;L"/>
      <sheetName val="Cash Flow"/>
      <sheetName val="upside_downside"/>
      <sheetName val="Income Statement"/>
      <sheetName val="Balance Sheet"/>
      <sheetName val="RI"/>
      <sheetName val="BULLBEAR"/>
      <sheetName val="Sheet2"/>
      <sheetName val="DCF"/>
      <sheetName val="MWA RR"/>
      <sheetName val="REVENUE BY GEOGRAPHY"/>
      <sheetName val="NonQtr"/>
      <sheetName val="Data 20d"/>
      <sheetName val="Data"/>
      <sheetName val="Risk-Reward_View_Chart"/>
      <sheetName val="Valsum"/>
      <sheetName val="Interims"/>
      <sheetName val="Financial Statements"/>
      <sheetName val="Inputs"/>
      <sheetName val="Good 12-00 (2)"/>
      <sheetName val="Good 11-36"/>
      <sheetName val="Good 11-50"/>
      <sheetName val="Sheet3 (5)"/>
      <sheetName val="FX"/>
      <sheetName val="Summary"/>
      <sheetName val="Floater Demand"/>
      <sheetName val="CPB"/>
      <sheetName val="Total_Food_Promo"/>
      <sheetName val="CPB_2yr"/>
      <sheetName val="B11_BarSingle_AverageLine"/>
      <sheetName val="Quero_Sales"/>
      <sheetName val="L2005"/>
      <sheetName val="C2000"/>
      <sheetName val="Cell Reference"/>
      <sheetName val="Shading Period-Level"/>
      <sheetName val="Sources of Change"/>
      <sheetName val="Basic (gridlines)"/>
      <sheetName val="Average (reference) Line"/>
      <sheetName val="Double (overlapping)"/>
      <sheetName val="Reference Step Line"/>
      <sheetName val="Double (gridlines)"/>
      <sheetName val="Growth Line"/>
      <sheetName val="Reference Marks"/>
      <sheetName val="Single-point highlighting"/>
      <sheetName val="CPNO"/>
      <sheetName val="MMP"/>
      <sheetName val="PAA"/>
      <sheetName val="EEP"/>
      <sheetName val="KMP"/>
      <sheetName val="ETP"/>
      <sheetName val="BPL"/>
      <sheetName val="NS"/>
      <sheetName val="BWP"/>
      <sheetName val="EPD"/>
      <sheetName val="RGNC"/>
      <sheetName val="画像1"/>
      <sheetName val="業績推移"/>
      <sheetName val="バリュエーション比較"/>
      <sheetName val="自動車設備投資"/>
      <sheetName val="ロボット機械統計年"/>
      <sheetName val="ロボット機械統計"/>
      <sheetName val="株価と関連指標"/>
      <sheetName val="画像3"/>
      <sheetName val="利益率比較"/>
      <sheetName val="ロボット試算"/>
      <sheetName val="画像2"/>
      <sheetName val="内訳"/>
      <sheetName val="株価(過去1年) "/>
      <sheetName val="WWロボット出荷台数"/>
      <sheetName val="長期営業利益"/>
      <sheetName val="中国NC化率"/>
      <sheetName val="画像4"/>
      <sheetName val="成長率比較"/>
      <sheetName val="バリュエーション"/>
      <sheetName val="四半期"/>
      <sheetName val="画像5"/>
      <sheetName val="RRBox"/>
      <sheetName val="シェアと競合"/>
      <sheetName val="Model"/>
      <sheetName val="Sheet4"/>
      <sheetName val="ForeignStake"/>
      <sheetName val="WP Detail "/>
      <sheetName val="WPZ"/>
      <sheetName val="TPP"/>
      <sheetName val="EPE"/>
      <sheetName val="WMZ"/>
      <sheetName val="HEP"/>
      <sheetName val="MGG"/>
      <sheetName val="ETE"/>
      <sheetName val="BGH"/>
      <sheetName val="SEP"/>
      <sheetName val="TCLP"/>
      <sheetName val="SXL"/>
      <sheetName val="WES"/>
      <sheetName val="rev change analysis"/>
      <sheetName val="rev contribution analysis"/>
      <sheetName val="HTC"/>
      <sheetName val="MS Tele Rep"/>
      <sheetName val="China Handset"/>
      <sheetName val="Smartphone"/>
      <sheetName val="IDC"/>
      <sheetName val="CW"/>
      <sheetName val="R2000"/>
      <sheetName val="__FDS_DOWNL_SCRATCH_SHEET__"/>
      <sheetName val="FIH"/>
      <sheetName val="MIC"/>
      <sheetName val="Valuation"/>
      <sheetName val="Sales by App"/>
      <sheetName val="Net Income &amp; EPS"/>
      <sheetName val="IDC_2"/>
      <sheetName val="Sales by Region Comp"/>
      <sheetName val="What's Changed"/>
      <sheetName val="Outsourcing"/>
      <sheetName val="Nokia vs HTC"/>
      <sheetName val="2012 Outlook"/>
    </sheetNames>
    <sheetDataSet>
      <sheetData sheetId="0" refreshError="1">
        <row r="5">
          <cell r="F5" t="str">
            <v>Display horizontal line for the average?</v>
          </cell>
        </row>
        <row r="10">
          <cell r="Y10" t="str">
            <v>invisible1</v>
          </cell>
        </row>
        <row r="11">
          <cell r="D11" t="str">
            <v>Jupiter</v>
          </cell>
          <cell r="E11">
            <v>78</v>
          </cell>
          <cell r="X11" t="str">
            <v xml:space="preserve">  </v>
          </cell>
          <cell r="Y11">
            <v>44.5</v>
          </cell>
        </row>
        <row r="12">
          <cell r="D12" t="str">
            <v>Juno</v>
          </cell>
          <cell r="E12">
            <v>58</v>
          </cell>
        </row>
        <row r="13">
          <cell r="D13" t="str">
            <v>Neptune</v>
          </cell>
          <cell r="E13">
            <v>45</v>
          </cell>
          <cell r="X13" t="str">
            <v>width</v>
          </cell>
          <cell r="Y13">
            <v>0.624</v>
          </cell>
        </row>
        <row r="14">
          <cell r="D14" t="str">
            <v>Pluto</v>
          </cell>
          <cell r="E14">
            <v>37</v>
          </cell>
        </row>
        <row r="15">
          <cell r="D15" t="str">
            <v>Minerva</v>
          </cell>
          <cell r="E15">
            <v>26</v>
          </cell>
          <cell r="X15" t="str">
            <v>scaling</v>
          </cell>
          <cell r="Y15">
            <v>8.0000000000000002E-3</v>
          </cell>
        </row>
        <row r="16">
          <cell r="D16" t="str">
            <v>Hermes</v>
          </cell>
          <cell r="E16">
            <v>23</v>
          </cell>
        </row>
        <row r="17">
          <cell r="X17" t="str">
            <v>label</v>
          </cell>
          <cell r="Y17" t="str">
            <v>average: 44.5</v>
          </cell>
        </row>
        <row r="28">
          <cell r="R28" t="b">
            <v>1</v>
          </cell>
        </row>
        <row r="34">
          <cell r="R34" t="str">
            <v>Notes:</v>
          </cell>
        </row>
        <row r="35">
          <cell r="R35" t="str">
            <v>-doesn't work for negative average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1"/>
      <sheetName val="Scenario"/>
      <sheetName val="Sheet1"/>
      <sheetName val="GWP"/>
      <sheetName val="ImportantDisclosures"/>
      <sheetName val="IndexInformation"/>
      <sheetName val="Income"/>
      <sheetName val="Income Statement"/>
      <sheetName val="Margins"/>
      <sheetName val="Euro vs. PM"/>
      <sheetName val="Ruble"/>
      <sheetName val="MS_IRI_Methodology"/>
      <sheetName val="MARKET_SHARE ($)_RAW_DATA"/>
      <sheetName val="NEXXUS_RAW_DATA"/>
      <sheetName val="HAIR_CARE_MARKET SHARE ROLL-UP"/>
      <sheetName val="TOTAL_ACV_DOLLAR_SALES"/>
      <sheetName val="Comps"/>
      <sheetName val="Switches"/>
      <sheetName val="EBITDA"/>
      <sheetName val="TimeSeries"/>
      <sheetName val="Valuation Analyzer"/>
      <sheetName val="GWP-WLine"/>
      <sheetName val="SSB Nielsen Sales"/>
      <sheetName val="TS_Stnd_Dev_Band"/>
      <sheetName val="Print "/>
      <sheetName val="Lookup"/>
      <sheetName val="Input"/>
      <sheetName val="99 cons YTD"/>
      <sheetName val="KPN"/>
      <sheetName val="Realizations vs Average"/>
      <sheetName val="summary"/>
      <sheetName val="B"/>
      <sheetName val="Ratios"/>
      <sheetName val="C"/>
      <sheetName val="rev change analysis"/>
      <sheetName val="Oil Consumption – barre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drawing2.xml" Type="http://schemas.openxmlformats.org/officeDocument/2006/relationships/drawing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drawing3.xml" Type="http://schemas.openxmlformats.org/officeDocument/2006/relationships/drawing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drawing4.xml" Type="http://schemas.openxmlformats.org/officeDocument/2006/relationships/drawing"/>
<Relationship Id="rId3" Target="../drawings/vmlDrawing2.vml" Type="http://schemas.openxmlformats.org/officeDocument/2006/relationships/vmlDrawing"/>
<Relationship Id="rId4" Target="../comments2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"/>
  <sheetViews>
    <sheetView workbookViewId="0"/>
  </sheetViews>
  <sheetFormatPr defaultRowHeight="12.75"/>
  <sheetData>
    <row r="1" spans="1:2">
      <c r="A1" s="332"/>
      <c r="B1" t="s">
        <v>245</v>
      </c>
    </row>
  </sheetData>
  <phoneticPr fontId="41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"/>
  <sheetViews>
    <sheetView workbookViewId="0"/>
  </sheetViews>
  <sheetFormatPr defaultRowHeight="12.75"/>
  <sheetData>
    <row r="1" spans="1:38">
      <c r="A1" t="s">
        <v>402</v>
      </c>
    </row>
    <row r="2" spans="1:38">
      <c r="A2" s="292" t="s">
        <v>258</v>
      </c>
      <c r="B2" s="292" t="s">
        <v>259</v>
      </c>
      <c r="C2" s="292" t="s">
        <v>227</v>
      </c>
      <c r="D2" s="292" t="s">
        <v>255</v>
      </c>
      <c r="E2" s="292" t="s">
        <v>398</v>
      </c>
      <c r="F2" s="292" t="s">
        <v>259</v>
      </c>
      <c r="G2" s="292" t="s">
        <v>400</v>
      </c>
      <c r="H2" s="292" t="s">
        <v>259</v>
      </c>
      <c r="I2" s="292" t="s">
        <v>289</v>
      </c>
      <c r="J2" s="292" t="s">
        <v>123</v>
      </c>
      <c r="K2" s="292" t="s">
        <v>290</v>
      </c>
      <c r="L2" s="292" t="s">
        <v>292</v>
      </c>
      <c r="M2" s="292" t="s">
        <v>401</v>
      </c>
      <c r="N2" s="292" t="s">
        <v>259</v>
      </c>
      <c r="O2" s="292" t="s">
        <v>225</v>
      </c>
      <c r="P2" s="292" t="s">
        <v>254</v>
      </c>
      <c r="Q2" s="292" t="s">
        <v>257</v>
      </c>
      <c r="R2" s="292" t="s">
        <v>259</v>
      </c>
      <c r="S2" s="292" t="s">
        <v>277</v>
      </c>
      <c r="T2" s="292" t="s">
        <v>123</v>
      </c>
      <c r="U2" s="292" t="s">
        <v>291</v>
      </c>
      <c r="V2" s="292" t="s">
        <v>259</v>
      </c>
      <c r="W2" s="292" t="s">
        <v>399</v>
      </c>
      <c r="X2" s="292" t="s">
        <v>259</v>
      </c>
      <c r="Y2" s="292" t="s">
        <v>301</v>
      </c>
      <c r="Z2" s="292" t="s">
        <v>123</v>
      </c>
      <c r="AA2" s="292" t="s">
        <v>302</v>
      </c>
      <c r="AB2" s="292" t="s">
        <v>303</v>
      </c>
      <c r="AC2" s="292" t="s">
        <v>278</v>
      </c>
      <c r="AD2" s="292" t="s">
        <v>280</v>
      </c>
      <c r="AE2" s="292" t="s">
        <v>226</v>
      </c>
      <c r="AF2" s="292" t="s">
        <v>123</v>
      </c>
      <c r="AG2" s="292" t="s">
        <v>300</v>
      </c>
      <c r="AH2" s="292" t="s">
        <v>259</v>
      </c>
      <c r="AI2" s="292" t="s">
        <v>256</v>
      </c>
      <c r="AJ2" s="292" t="s">
        <v>259</v>
      </c>
      <c r="AK2" s="292" t="s">
        <v>279</v>
      </c>
      <c r="AL2" s="292" t="s">
        <v>281</v>
      </c>
    </row>
  </sheetData>
  <phoneticPr fontId="41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94"/>
  <sheetViews>
    <sheetView showGridLines="0" tabSelected="1" workbookViewId="0">
      <selection activeCell="Z1" sqref="Z1"/>
    </sheetView>
  </sheetViews>
  <sheetFormatPr defaultRowHeight="12.75"/>
  <cols>
    <col min="1" max="1" width="25.7109375" style="1948" customWidth="1"/>
    <col min="2" max="5" width="9.140625" style="1948"/>
    <col min="6" max="6" width="18.7109375" style="1948" customWidth="1"/>
    <col min="7" max="256" width="9.140625" style="1948"/>
    <col min="257" max="257" width="100.7109375" style="1948" customWidth="1"/>
    <col min="258" max="512" width="9.140625" style="1948"/>
    <col min="513" max="513" width="100.7109375" style="1948" customWidth="1"/>
    <col min="514" max="768" width="9.140625" style="1948"/>
    <col min="769" max="769" width="100.7109375" style="1948" customWidth="1"/>
    <col min="770" max="1024" width="9.140625" style="1948"/>
    <col min="1025" max="1025" width="100.7109375" style="1948" customWidth="1"/>
    <col min="1026" max="1280" width="9.140625" style="1948"/>
    <col min="1281" max="1281" width="100.7109375" style="1948" customWidth="1"/>
    <col min="1282" max="1536" width="9.140625" style="1948"/>
    <col min="1537" max="1537" width="100.7109375" style="1948" customWidth="1"/>
    <col min="1538" max="1792" width="9.140625" style="1948"/>
    <col min="1793" max="1793" width="100.7109375" style="1948" customWidth="1"/>
    <col min="1794" max="2048" width="9.140625" style="1948"/>
    <col min="2049" max="2049" width="100.7109375" style="1948" customWidth="1"/>
    <col min="2050" max="2304" width="9.140625" style="1948"/>
    <col min="2305" max="2305" width="100.7109375" style="1948" customWidth="1"/>
    <col min="2306" max="2560" width="9.140625" style="1948"/>
    <col min="2561" max="2561" width="100.7109375" style="1948" customWidth="1"/>
    <col min="2562" max="2816" width="9.140625" style="1948"/>
    <col min="2817" max="2817" width="100.7109375" style="1948" customWidth="1"/>
    <col min="2818" max="3072" width="9.140625" style="1948"/>
    <col min="3073" max="3073" width="100.7109375" style="1948" customWidth="1"/>
    <col min="3074" max="3328" width="9.140625" style="1948"/>
    <col min="3329" max="3329" width="100.7109375" style="1948" customWidth="1"/>
    <col min="3330" max="3584" width="9.140625" style="1948"/>
    <col min="3585" max="3585" width="100.7109375" style="1948" customWidth="1"/>
    <col min="3586" max="3840" width="9.140625" style="1948"/>
    <col min="3841" max="3841" width="100.7109375" style="1948" customWidth="1"/>
    <col min="3842" max="4096" width="9.140625" style="1948"/>
    <col min="4097" max="4097" width="100.7109375" style="1948" customWidth="1"/>
    <col min="4098" max="4352" width="9.140625" style="1948"/>
    <col min="4353" max="4353" width="100.7109375" style="1948" customWidth="1"/>
    <col min="4354" max="4608" width="9.140625" style="1948"/>
    <col min="4609" max="4609" width="100.7109375" style="1948" customWidth="1"/>
    <col min="4610" max="4864" width="9.140625" style="1948"/>
    <col min="4865" max="4865" width="100.7109375" style="1948" customWidth="1"/>
    <col min="4866" max="5120" width="9.140625" style="1948"/>
    <col min="5121" max="5121" width="100.7109375" style="1948" customWidth="1"/>
    <col min="5122" max="5376" width="9.140625" style="1948"/>
    <col min="5377" max="5377" width="100.7109375" style="1948" customWidth="1"/>
    <col min="5378" max="5632" width="9.140625" style="1948"/>
    <col min="5633" max="5633" width="100.7109375" style="1948" customWidth="1"/>
    <col min="5634" max="5888" width="9.140625" style="1948"/>
    <col min="5889" max="5889" width="100.7109375" style="1948" customWidth="1"/>
    <col min="5890" max="6144" width="9.140625" style="1948"/>
    <col min="6145" max="6145" width="100.7109375" style="1948" customWidth="1"/>
    <col min="6146" max="6400" width="9.140625" style="1948"/>
    <col min="6401" max="6401" width="100.7109375" style="1948" customWidth="1"/>
    <col min="6402" max="6656" width="9.140625" style="1948"/>
    <col min="6657" max="6657" width="100.7109375" style="1948" customWidth="1"/>
    <col min="6658" max="6912" width="9.140625" style="1948"/>
    <col min="6913" max="6913" width="100.7109375" style="1948" customWidth="1"/>
    <col min="6914" max="7168" width="9.140625" style="1948"/>
    <col min="7169" max="7169" width="100.7109375" style="1948" customWidth="1"/>
    <col min="7170" max="7424" width="9.140625" style="1948"/>
    <col min="7425" max="7425" width="100.7109375" style="1948" customWidth="1"/>
    <col min="7426" max="7680" width="9.140625" style="1948"/>
    <col min="7681" max="7681" width="100.7109375" style="1948" customWidth="1"/>
    <col min="7682" max="7936" width="9.140625" style="1948"/>
    <col min="7937" max="7937" width="100.7109375" style="1948" customWidth="1"/>
    <col min="7938" max="8192" width="9.140625" style="1948"/>
    <col min="8193" max="8193" width="100.7109375" style="1948" customWidth="1"/>
    <col min="8194" max="8448" width="9.140625" style="1948"/>
    <col min="8449" max="8449" width="100.7109375" style="1948" customWidth="1"/>
    <col min="8450" max="8704" width="9.140625" style="1948"/>
    <col min="8705" max="8705" width="100.7109375" style="1948" customWidth="1"/>
    <col min="8706" max="8960" width="9.140625" style="1948"/>
    <col min="8961" max="8961" width="100.7109375" style="1948" customWidth="1"/>
    <col min="8962" max="9216" width="9.140625" style="1948"/>
    <col min="9217" max="9217" width="100.7109375" style="1948" customWidth="1"/>
    <col min="9218" max="9472" width="9.140625" style="1948"/>
    <col min="9473" max="9473" width="100.7109375" style="1948" customWidth="1"/>
    <col min="9474" max="9728" width="9.140625" style="1948"/>
    <col min="9729" max="9729" width="100.7109375" style="1948" customWidth="1"/>
    <col min="9730" max="9984" width="9.140625" style="1948"/>
    <col min="9985" max="9985" width="100.7109375" style="1948" customWidth="1"/>
    <col min="9986" max="10240" width="9.140625" style="1948"/>
    <col min="10241" max="10241" width="100.7109375" style="1948" customWidth="1"/>
    <col min="10242" max="10496" width="9.140625" style="1948"/>
    <col min="10497" max="10497" width="100.7109375" style="1948" customWidth="1"/>
    <col min="10498" max="10752" width="9.140625" style="1948"/>
    <col min="10753" max="10753" width="100.7109375" style="1948" customWidth="1"/>
    <col min="10754" max="11008" width="9.140625" style="1948"/>
    <col min="11009" max="11009" width="100.7109375" style="1948" customWidth="1"/>
    <col min="11010" max="11264" width="9.140625" style="1948"/>
    <col min="11265" max="11265" width="100.7109375" style="1948" customWidth="1"/>
    <col min="11266" max="11520" width="9.140625" style="1948"/>
    <col min="11521" max="11521" width="100.7109375" style="1948" customWidth="1"/>
    <col min="11522" max="11776" width="9.140625" style="1948"/>
    <col min="11777" max="11777" width="100.7109375" style="1948" customWidth="1"/>
    <col min="11778" max="12032" width="9.140625" style="1948"/>
    <col min="12033" max="12033" width="100.7109375" style="1948" customWidth="1"/>
    <col min="12034" max="12288" width="9.140625" style="1948"/>
    <col min="12289" max="12289" width="100.7109375" style="1948" customWidth="1"/>
    <col min="12290" max="12544" width="9.140625" style="1948"/>
    <col min="12545" max="12545" width="100.7109375" style="1948" customWidth="1"/>
    <col min="12546" max="12800" width="9.140625" style="1948"/>
    <col min="12801" max="12801" width="100.7109375" style="1948" customWidth="1"/>
    <col min="12802" max="13056" width="9.140625" style="1948"/>
    <col min="13057" max="13057" width="100.7109375" style="1948" customWidth="1"/>
    <col min="13058" max="13312" width="9.140625" style="1948"/>
    <col min="13313" max="13313" width="100.7109375" style="1948" customWidth="1"/>
    <col min="13314" max="13568" width="9.140625" style="1948"/>
    <col min="13569" max="13569" width="100.7109375" style="1948" customWidth="1"/>
    <col min="13570" max="13824" width="9.140625" style="1948"/>
    <col min="13825" max="13825" width="100.7109375" style="1948" customWidth="1"/>
    <col min="13826" max="14080" width="9.140625" style="1948"/>
    <col min="14081" max="14081" width="100.7109375" style="1948" customWidth="1"/>
    <col min="14082" max="14336" width="9.140625" style="1948"/>
    <col min="14337" max="14337" width="100.7109375" style="1948" customWidth="1"/>
    <col min="14338" max="14592" width="9.140625" style="1948"/>
    <col min="14593" max="14593" width="100.7109375" style="1948" customWidth="1"/>
    <col min="14594" max="14848" width="9.140625" style="1948"/>
    <col min="14849" max="14849" width="100.7109375" style="1948" customWidth="1"/>
    <col min="14850" max="15104" width="9.140625" style="1948"/>
    <col min="15105" max="15105" width="100.7109375" style="1948" customWidth="1"/>
    <col min="15106" max="15360" width="9.140625" style="1948"/>
    <col min="15361" max="15361" width="100.7109375" style="1948" customWidth="1"/>
    <col min="15362" max="15616" width="9.140625" style="1948"/>
    <col min="15617" max="15617" width="100.7109375" style="1948" customWidth="1"/>
    <col min="15618" max="15872" width="9.140625" style="1948"/>
    <col min="15873" max="15873" width="100.7109375" style="1948" customWidth="1"/>
    <col min="15874" max="16128" width="9.140625" style="1948"/>
    <col min="16129" max="16129" width="100.7109375" style="1948" customWidth="1"/>
    <col min="16130" max="16384" width="9.140625" style="1948"/>
  </cols>
  <sheetData>
    <row r="1" spans="1:8" ht="30" customHeight="1">
      <c r="A1" s="1946"/>
      <c r="B1" s="1947"/>
      <c r="C1" s="1947"/>
      <c r="D1" s="1947"/>
      <c r="E1" s="1947"/>
      <c r="F1" s="1947"/>
      <c r="G1" s="1947"/>
      <c r="H1" s="1947"/>
    </row>
    <row r="2" spans="1:8" ht="14.25">
      <c r="A2" s="1949" t="s">
        <v>553</v>
      </c>
      <c r="B2" s="1947"/>
      <c r="C2" s="1947"/>
      <c r="D2" s="1947"/>
      <c r="E2" s="1947"/>
      <c r="F2" s="1947"/>
      <c r="G2" s="1947"/>
      <c r="H2" s="1947"/>
    </row>
    <row r="3" spans="1:8" ht="14.25">
      <c r="A3" s="1949" t="s">
        <v>554</v>
      </c>
      <c r="B3" s="1947"/>
      <c r="C3" s="1947"/>
      <c r="D3" s="1947"/>
      <c r="E3" s="1947"/>
      <c r="F3" s="1947"/>
      <c r="G3" s="1947"/>
      <c r="H3" s="1947"/>
    </row>
    <row r="4" spans="1:8" ht="14.25">
      <c r="A4" s="1949" t="s">
        <v>380</v>
      </c>
      <c r="B4" s="1947"/>
      <c r="C4" s="1947"/>
      <c r="D4" s="1947"/>
      <c r="E4" s="1947"/>
      <c r="F4" s="1947"/>
      <c r="G4" s="1947"/>
      <c r="H4" s="1947"/>
    </row>
    <row r="5" spans="1:8" ht="14.25">
      <c r="A5" s="1949" t="s">
        <v>555</v>
      </c>
      <c r="B5" s="1947"/>
      <c r="C5" s="1947"/>
      <c r="D5" s="1947"/>
      <c r="E5" s="1947"/>
      <c r="F5" s="1947"/>
      <c r="G5" s="1947"/>
      <c r="H5" s="1947"/>
    </row>
    <row r="6" spans="1:8" ht="14.25">
      <c r="A6" s="1949"/>
      <c r="B6" s="1947"/>
      <c r="C6" s="1947"/>
      <c r="D6" s="1947"/>
      <c r="E6" s="1947"/>
      <c r="F6" s="1947"/>
      <c r="G6" s="1947"/>
      <c r="H6" s="1947"/>
    </row>
    <row r="7" spans="1:8">
      <c r="A7" s="1946" t="s">
        <v>556</v>
      </c>
      <c r="B7" s="1947"/>
      <c r="C7" s="1947"/>
      <c r="D7" s="1947"/>
      <c r="E7" s="1947"/>
      <c r="F7" s="1947"/>
      <c r="G7" s="1947"/>
      <c r="H7" s="1947"/>
    </row>
    <row r="8" spans="1:8">
      <c r="A8" s="1946" t="s">
        <v>557</v>
      </c>
      <c r="B8" s="1947"/>
      <c r="C8" s="1947"/>
      <c r="D8" s="1947"/>
      <c r="E8" s="1947"/>
      <c r="F8" s="1947"/>
      <c r="G8" s="1947"/>
      <c r="H8" s="1947"/>
    </row>
    <row r="9" spans="1:8">
      <c r="A9" s="1946"/>
      <c r="B9" s="1947"/>
      <c r="C9" s="1947"/>
      <c r="D9" s="1947"/>
      <c r="E9" s="1947"/>
      <c r="F9" s="1947"/>
      <c r="G9" s="1947"/>
      <c r="H9" s="1947"/>
    </row>
    <row r="10" spans="1:8">
      <c r="A10" s="1950" t="s">
        <v>558</v>
      </c>
      <c r="B10" s="1947"/>
      <c r="C10" s="1947"/>
      <c r="D10" s="1947"/>
      <c r="E10" s="1947"/>
      <c r="F10" s="1947"/>
      <c r="G10" s="1947"/>
      <c r="H10" s="1947"/>
    </row>
    <row r="11" spans="1:8">
      <c r="A11" s="1950" t="s">
        <v>559</v>
      </c>
      <c r="B11" s="1947"/>
      <c r="C11" s="1947"/>
      <c r="D11" s="1947"/>
      <c r="E11" s="1947"/>
      <c r="F11" s="1947"/>
      <c r="G11" s="1947"/>
      <c r="H11" s="1947"/>
    </row>
    <row r="12" spans="1:8">
      <c r="A12" s="1950" t="s">
        <v>560</v>
      </c>
      <c r="B12" s="1947"/>
      <c r="C12" s="1947"/>
      <c r="D12" s="1947"/>
      <c r="E12" s="1947"/>
      <c r="F12" s="1947"/>
      <c r="G12" s="1947"/>
      <c r="H12" s="1947"/>
    </row>
    <row r="13" spans="1:8">
      <c r="A13" s="1950" t="s">
        <v>561</v>
      </c>
      <c r="B13" s="1947"/>
      <c r="C13" s="1947"/>
      <c r="D13" s="1947"/>
      <c r="E13" s="1947"/>
      <c r="F13" s="1947"/>
      <c r="G13" s="1947"/>
      <c r="H13" s="1947"/>
    </row>
    <row r="14" spans="1:8">
      <c r="A14" s="1950" t="s">
        <v>562</v>
      </c>
      <c r="B14" s="1947"/>
      <c r="C14" s="1947"/>
      <c r="D14" s="1947"/>
      <c r="E14" s="1947"/>
      <c r="F14" s="1947"/>
      <c r="G14" s="1947"/>
      <c r="H14" s="1947"/>
    </row>
    <row r="15" spans="1:8">
      <c r="A15" s="1950" t="s">
        <v>563</v>
      </c>
      <c r="B15" s="1947"/>
      <c r="C15" s="1947"/>
      <c r="D15" s="1947"/>
      <c r="E15" s="1947"/>
      <c r="F15" s="1947"/>
      <c r="G15" s="1947"/>
      <c r="H15" s="1947"/>
    </row>
    <row r="16" spans="1:8">
      <c r="A16" s="1950"/>
      <c r="B16" s="1947"/>
      <c r="C16" s="1947"/>
      <c r="D16" s="1947"/>
      <c r="E16" s="1947"/>
      <c r="F16" s="1947"/>
      <c r="G16" s="1947"/>
      <c r="H16" s="1947"/>
    </row>
    <row r="17" spans="1:8">
      <c r="A17" s="1950" t="s">
        <v>550</v>
      </c>
      <c r="B17" s="1947"/>
      <c r="C17" s="1947"/>
      <c r="D17" s="1947"/>
      <c r="E17" s="1947"/>
      <c r="F17" s="1947"/>
      <c r="G17" s="1947"/>
      <c r="H17" s="1947"/>
    </row>
    <row r="18" spans="1:8">
      <c r="A18" s="1950"/>
      <c r="B18" s="1947"/>
      <c r="C18" s="1947"/>
      <c r="D18" s="1947"/>
      <c r="E18" s="1947"/>
      <c r="F18" s="1947"/>
      <c r="G18" s="1947"/>
      <c r="H18" s="1947"/>
    </row>
    <row r="19" spans="1:8">
      <c r="A19" s="1950" t="s">
        <v>551</v>
      </c>
      <c r="B19" s="1947"/>
      <c r="C19" s="1947"/>
      <c r="D19" s="1947"/>
      <c r="E19" s="1947"/>
      <c r="F19" s="1947"/>
      <c r="G19" s="1947"/>
      <c r="H19" s="1947"/>
    </row>
    <row r="20" spans="1:8">
      <c r="A20" s="1946"/>
      <c r="B20" s="1947"/>
      <c r="C20" s="1947"/>
      <c r="D20" s="1947"/>
      <c r="E20" s="1947"/>
      <c r="F20" s="1947"/>
      <c r="G20" s="1947"/>
      <c r="H20" s="1947"/>
    </row>
    <row r="21" spans="1:8">
      <c r="A21" s="1951" t="s">
        <v>552</v>
      </c>
      <c r="B21" s="1947"/>
      <c r="C21" s="1947"/>
      <c r="D21" s="1947"/>
      <c r="E21" s="1947"/>
      <c r="F21" s="1947"/>
      <c r="G21" s="1947"/>
      <c r="H21" s="1947"/>
    </row>
    <row r="22" spans="1:8">
      <c r="A22" s="1952"/>
      <c r="B22" s="1952"/>
      <c r="C22" s="1952"/>
      <c r="D22" s="1952"/>
      <c r="E22" s="1952"/>
      <c r="F22" s="1952"/>
      <c r="G22" s="1952"/>
      <c r="H22" s="1952"/>
    </row>
    <row r="23" spans="1:8">
      <c r="A23" s="1953" t="s">
        <v>844</v>
      </c>
      <c r="B23" s="1952"/>
      <c r="C23" s="1952"/>
      <c r="D23" s="1952"/>
      <c r="E23" s="1952"/>
      <c r="F23" s="1952"/>
      <c r="G23" s="1952"/>
      <c r="H23" s="1952"/>
    </row>
    <row r="24" spans="1:8">
      <c r="A24" s="1953" t="s">
        <v>845</v>
      </c>
      <c r="B24" s="1952"/>
      <c r="C24" s="1952"/>
      <c r="D24" s="1952"/>
      <c r="E24" s="1952"/>
      <c r="F24" s="1952"/>
      <c r="G24" s="1952"/>
      <c r="H24" s="1952"/>
    </row>
    <row r="25" spans="1:8">
      <c r="A25" s="1953" t="s">
        <v>846</v>
      </c>
      <c r="B25" s="1952"/>
      <c r="C25" s="1952"/>
      <c r="D25" s="1952"/>
      <c r="E25" s="1952"/>
      <c r="F25" s="1952"/>
      <c r="G25" s="1952"/>
      <c r="H25" s="1952"/>
    </row>
    <row r="26" spans="1:8">
      <c r="A26" s="1953" t="s">
        <v>847</v>
      </c>
      <c r="B26" s="1952"/>
      <c r="C26" s="1952"/>
      <c r="D26" s="1952"/>
      <c r="E26" s="1952"/>
      <c r="F26" s="1952"/>
      <c r="G26" s="1952"/>
      <c r="H26" s="1952"/>
    </row>
    <row r="27" spans="1:8">
      <c r="A27" s="1952"/>
      <c r="B27" s="1952"/>
      <c r="C27" s="1952"/>
      <c r="D27" s="1952"/>
      <c r="E27" s="1952"/>
      <c r="F27" s="1952"/>
      <c r="G27" s="1952"/>
      <c r="H27" s="1952"/>
    </row>
    <row r="28" spans="1:8">
      <c r="A28" s="1952"/>
      <c r="B28" s="1952"/>
      <c r="C28" s="1952"/>
      <c r="D28" s="1952"/>
      <c r="E28" s="1952"/>
      <c r="F28" s="1952"/>
      <c r="G28" s="1952"/>
      <c r="H28" s="1952"/>
    </row>
    <row r="29" spans="1:8">
      <c r="A29" s="1953" t="s">
        <v>839</v>
      </c>
      <c r="B29" s="1952"/>
      <c r="C29" s="1952"/>
      <c r="D29" s="1952"/>
      <c r="E29" s="1952"/>
      <c r="F29" s="1952"/>
      <c r="G29" s="1952"/>
      <c r="H29" s="1952"/>
    </row>
    <row r="30" spans="1:8">
      <c r="A30" s="1953" t="s">
        <v>840</v>
      </c>
      <c r="B30" s="1952"/>
      <c r="C30" s="1952"/>
      <c r="D30" s="1952"/>
      <c r="E30" s="1952"/>
      <c r="F30" s="1952"/>
      <c r="G30" s="1952"/>
      <c r="H30" s="1952"/>
    </row>
    <row r="31" spans="1:8">
      <c r="A31" s="1953" t="s">
        <v>841</v>
      </c>
      <c r="B31" s="1952"/>
      <c r="C31" s="1952"/>
      <c r="D31" s="1952"/>
      <c r="E31" s="1952"/>
      <c r="F31" s="1952"/>
      <c r="G31" s="1952"/>
      <c r="H31" s="1952"/>
    </row>
    <row r="32" spans="1:8">
      <c r="A32" s="1953" t="s">
        <v>842</v>
      </c>
      <c r="B32" s="1952"/>
      <c r="C32" s="1952"/>
      <c r="D32" s="1952"/>
      <c r="E32" s="1952"/>
      <c r="F32" s="1952"/>
      <c r="G32" s="1952"/>
      <c r="H32" s="1952"/>
    </row>
    <row r="33" spans="1:8">
      <c r="A33" s="1953" t="s">
        <v>843</v>
      </c>
      <c r="B33" s="1952"/>
      <c r="C33" s="1952"/>
      <c r="D33" s="1952"/>
      <c r="E33" s="1952"/>
      <c r="F33" s="1952"/>
      <c r="G33" s="1952"/>
      <c r="H33" s="1952"/>
    </row>
    <row r="34" spans="1:8">
      <c r="A34" s="1952"/>
      <c r="B34" s="1952"/>
      <c r="C34" s="1952"/>
      <c r="D34" s="1952"/>
      <c r="E34" s="1952"/>
      <c r="F34" s="1952"/>
      <c r="G34" s="1952"/>
      <c r="H34" s="1952"/>
    </row>
    <row r="35" spans="1:8">
      <c r="A35" s="1953" t="s">
        <v>835</v>
      </c>
      <c r="B35" s="1952"/>
      <c r="C35" s="1952"/>
      <c r="D35" s="1952"/>
      <c r="E35" s="1952"/>
      <c r="F35" s="1952"/>
      <c r="G35" s="1952"/>
      <c r="H35" s="1952"/>
    </row>
    <row r="36" spans="1:8">
      <c r="A36" s="1953" t="s">
        <v>836</v>
      </c>
      <c r="B36" s="1952"/>
      <c r="C36" s="1952"/>
      <c r="D36" s="1952"/>
      <c r="E36" s="1952"/>
      <c r="F36" s="1952"/>
      <c r="G36" s="1952"/>
      <c r="H36" s="1952"/>
    </row>
    <row r="37" spans="1:8">
      <c r="A37" s="1953" t="s">
        <v>837</v>
      </c>
      <c r="B37" s="1952"/>
      <c r="C37" s="1952"/>
      <c r="D37" s="1952"/>
      <c r="E37" s="1952"/>
      <c r="F37" s="1952"/>
      <c r="G37" s="1952"/>
      <c r="H37" s="1952"/>
    </row>
    <row r="38" spans="1:8">
      <c r="A38" s="1953" t="s">
        <v>838</v>
      </c>
      <c r="B38" s="1952"/>
      <c r="C38" s="1952"/>
      <c r="D38" s="1952"/>
      <c r="E38" s="1952"/>
      <c r="F38" s="1952"/>
      <c r="G38" s="1952"/>
      <c r="H38" s="1952"/>
    </row>
    <row r="39" spans="1:8">
      <c r="A39" s="1952"/>
      <c r="B39" s="1952"/>
      <c r="C39" s="1952"/>
      <c r="D39" s="1952"/>
      <c r="E39" s="1952"/>
      <c r="F39" s="1952"/>
      <c r="G39" s="1952"/>
      <c r="H39" s="1952"/>
    </row>
    <row r="40" spans="1:8">
      <c r="A40" s="1953" t="s">
        <v>829</v>
      </c>
      <c r="B40" s="1952"/>
      <c r="C40" s="1952"/>
      <c r="D40" s="1952"/>
      <c r="E40" s="1952"/>
      <c r="F40" s="1952"/>
      <c r="G40" s="1952"/>
      <c r="H40" s="1952"/>
    </row>
    <row r="41" spans="1:8">
      <c r="A41" s="1953" t="s">
        <v>830</v>
      </c>
      <c r="B41" s="1952"/>
      <c r="C41" s="1952"/>
      <c r="D41" s="1952"/>
      <c r="E41" s="1952"/>
      <c r="F41" s="1952"/>
      <c r="G41" s="1952"/>
      <c r="H41" s="1952"/>
    </row>
    <row r="42" spans="1:8">
      <c r="A42" s="1953" t="s">
        <v>831</v>
      </c>
      <c r="B42" s="1952"/>
      <c r="C42" s="1952"/>
      <c r="D42" s="1952"/>
      <c r="E42" s="1952"/>
      <c r="F42" s="1952"/>
      <c r="G42" s="1952"/>
      <c r="H42" s="1952"/>
    </row>
    <row r="43" spans="1:8">
      <c r="A43" s="1953" t="s">
        <v>832</v>
      </c>
      <c r="B43" s="1952"/>
      <c r="C43" s="1952"/>
      <c r="D43" s="1952"/>
      <c r="E43" s="1952"/>
      <c r="F43" s="1952"/>
      <c r="G43" s="1952"/>
      <c r="H43" s="1952"/>
    </row>
    <row r="44" spans="1:8">
      <c r="A44" s="1953" t="s">
        <v>833</v>
      </c>
      <c r="B44" s="1952"/>
      <c r="C44" s="1952"/>
      <c r="D44" s="1952"/>
      <c r="E44" s="1952"/>
      <c r="F44" s="1952"/>
      <c r="G44" s="1952"/>
      <c r="H44" s="1952"/>
    </row>
    <row r="45" spans="1:8">
      <c r="A45" s="1953" t="s">
        <v>834</v>
      </c>
      <c r="B45" s="1952"/>
      <c r="C45" s="1952"/>
      <c r="D45" s="1952"/>
      <c r="E45" s="1952"/>
      <c r="F45" s="1952"/>
      <c r="G45" s="1952"/>
      <c r="H45" s="1952"/>
    </row>
    <row r="46" spans="1:8">
      <c r="A46" s="1952"/>
      <c r="B46" s="1952"/>
      <c r="C46" s="1952"/>
      <c r="D46" s="1952"/>
      <c r="E46" s="1952"/>
      <c r="F46" s="1952"/>
      <c r="G46" s="1952"/>
      <c r="H46" s="1952"/>
    </row>
    <row r="47" spans="1:8" ht="15.75">
      <c r="A47" s="1954" t="s">
        <v>564</v>
      </c>
      <c r="B47" s="1952"/>
      <c r="C47" s="1952"/>
      <c r="D47" s="1952"/>
      <c r="E47" s="1952"/>
      <c r="F47" s="1952"/>
      <c r="G47" s="1952"/>
      <c r="H47" s="1952"/>
    </row>
    <row r="48" spans="1:8">
      <c r="A48" s="1952"/>
      <c r="B48" s="1952"/>
      <c r="C48" s="1952"/>
      <c r="D48" s="1952"/>
      <c r="E48" s="1952"/>
      <c r="F48" s="1952"/>
      <c r="G48" s="1952"/>
      <c r="H48" s="1952"/>
    </row>
    <row r="49" spans="1:8">
      <c r="A49" s="1953" t="s">
        <v>825</v>
      </c>
      <c r="B49" s="1952"/>
      <c r="C49" s="1952"/>
      <c r="D49" s="1952"/>
      <c r="E49" s="1952"/>
      <c r="F49" s="1952"/>
      <c r="G49" s="1952"/>
      <c r="H49" s="1952"/>
    </row>
    <row r="50" spans="1:8">
      <c r="A50" s="1953" t="s">
        <v>826</v>
      </c>
      <c r="B50" s="1952"/>
      <c r="C50" s="1952"/>
      <c r="D50" s="1952"/>
      <c r="E50" s="1952"/>
      <c r="F50" s="1952"/>
      <c r="G50" s="1952"/>
      <c r="H50" s="1952"/>
    </row>
    <row r="51" spans="1:8">
      <c r="A51" s="1953" t="s">
        <v>827</v>
      </c>
      <c r="B51" s="1952"/>
      <c r="C51" s="1952"/>
      <c r="D51" s="1952"/>
      <c r="E51" s="1952"/>
      <c r="F51" s="1952"/>
      <c r="G51" s="1952"/>
      <c r="H51" s="1952"/>
    </row>
    <row r="52" spans="1:8">
      <c r="A52" s="1953" t="s">
        <v>828</v>
      </c>
      <c r="B52" s="1952"/>
      <c r="C52" s="1952"/>
      <c r="D52" s="1952"/>
      <c r="E52" s="1952"/>
      <c r="F52" s="1952"/>
      <c r="G52" s="1952"/>
      <c r="H52" s="1952"/>
    </row>
    <row r="53" spans="1:8">
      <c r="A53" s="1952"/>
      <c r="B53" s="1952"/>
      <c r="C53" s="1952"/>
      <c r="D53" s="1952"/>
      <c r="E53" s="1952"/>
      <c r="F53" s="1952"/>
      <c r="G53" s="1952"/>
      <c r="H53" s="1952"/>
    </row>
    <row r="54" spans="1:8">
      <c r="A54" s="1953" t="s">
        <v>565</v>
      </c>
      <c r="B54" s="1952"/>
      <c r="C54" s="1952"/>
      <c r="D54" s="1952"/>
      <c r="E54" s="1952"/>
      <c r="F54" s="1952"/>
      <c r="G54" s="1952"/>
      <c r="H54" s="1952"/>
    </row>
    <row r="55" spans="1:8">
      <c r="A55" s="1952"/>
      <c r="B55" s="1952"/>
      <c r="C55" s="1952"/>
      <c r="D55" s="1952"/>
      <c r="E55" s="1952"/>
      <c r="F55" s="1952"/>
      <c r="G55" s="1952"/>
      <c r="H55" s="1952"/>
    </row>
    <row r="56" spans="1:8" ht="15.75">
      <c r="A56" s="1954" t="s">
        <v>566</v>
      </c>
      <c r="B56" s="1952"/>
      <c r="C56" s="1952"/>
      <c r="D56" s="1952"/>
      <c r="E56" s="1952"/>
      <c r="F56" s="1952"/>
      <c r="G56" s="1952"/>
      <c r="H56" s="1952"/>
    </row>
    <row r="57" spans="1:8">
      <c r="A57" s="1952"/>
      <c r="B57" s="1952"/>
      <c r="C57" s="1952"/>
      <c r="D57" s="1952"/>
      <c r="E57" s="1952"/>
      <c r="F57" s="1952"/>
      <c r="G57" s="1952"/>
      <c r="H57" s="1952"/>
    </row>
    <row r="58" spans="1:8">
      <c r="A58" s="1953" t="s">
        <v>823</v>
      </c>
      <c r="B58" s="1952"/>
      <c r="C58" s="1952"/>
      <c r="D58" s="1952"/>
      <c r="E58" s="1952"/>
      <c r="F58" s="1952"/>
      <c r="G58" s="1952"/>
      <c r="H58" s="1952"/>
    </row>
    <row r="59" spans="1:8">
      <c r="A59" s="1953" t="s">
        <v>824</v>
      </c>
      <c r="B59" s="1952"/>
      <c r="C59" s="1952"/>
      <c r="D59" s="1952"/>
      <c r="E59" s="1952"/>
      <c r="F59" s="1952"/>
      <c r="G59" s="1952"/>
      <c r="H59" s="1952"/>
    </row>
    <row r="60" spans="1:8">
      <c r="A60" s="1952"/>
      <c r="B60" s="1952"/>
      <c r="C60" s="1952"/>
      <c r="D60" s="1952"/>
      <c r="E60" s="1952"/>
      <c r="F60" s="1952"/>
      <c r="G60" s="1952"/>
      <c r="H60" s="1952"/>
    </row>
    <row r="61" spans="1:8" ht="15.75">
      <c r="A61" s="1954" t="s">
        <v>567</v>
      </c>
      <c r="B61" s="1952"/>
      <c r="C61" s="1952"/>
      <c r="D61" s="1952"/>
      <c r="E61" s="1952"/>
      <c r="F61" s="1952"/>
      <c r="G61" s="1952"/>
      <c r="H61" s="1952"/>
    </row>
    <row r="62" spans="1:8">
      <c r="A62" s="1952"/>
      <c r="B62" s="1952"/>
      <c r="C62" s="1952"/>
      <c r="D62" s="1952"/>
      <c r="E62" s="1952"/>
      <c r="F62" s="1952"/>
      <c r="G62" s="1952"/>
      <c r="H62" s="1952"/>
    </row>
    <row r="63" spans="1:8">
      <c r="A63" s="1953" t="s">
        <v>821</v>
      </c>
      <c r="B63" s="1952"/>
      <c r="C63" s="1952"/>
      <c r="D63" s="1952"/>
      <c r="E63" s="1952"/>
      <c r="F63" s="1952"/>
      <c r="G63" s="1952"/>
      <c r="H63" s="1952"/>
    </row>
    <row r="64" spans="1:8">
      <c r="A64" s="1953" t="s">
        <v>822</v>
      </c>
      <c r="B64" s="1952"/>
      <c r="C64" s="1952"/>
      <c r="D64" s="1952"/>
      <c r="E64" s="1952"/>
      <c r="F64" s="1952"/>
      <c r="G64" s="1952"/>
      <c r="H64" s="1952"/>
    </row>
    <row r="65" spans="1:8">
      <c r="A65" s="1952"/>
      <c r="B65" s="1952"/>
      <c r="C65" s="1952"/>
      <c r="D65" s="1952"/>
      <c r="E65" s="1952"/>
      <c r="F65" s="1952"/>
      <c r="G65" s="1952"/>
      <c r="H65" s="1952"/>
    </row>
    <row r="66" spans="1:8">
      <c r="A66" s="1953" t="s">
        <v>819</v>
      </c>
      <c r="B66" s="1952"/>
      <c r="C66" s="1952"/>
      <c r="D66" s="1952"/>
      <c r="E66" s="1952"/>
      <c r="F66" s="1952"/>
      <c r="G66" s="1952"/>
      <c r="H66" s="1952"/>
    </row>
    <row r="67" spans="1:8">
      <c r="A67" s="1953" t="s">
        <v>820</v>
      </c>
      <c r="B67" s="1952"/>
      <c r="C67" s="1952"/>
      <c r="D67" s="1952"/>
      <c r="E67" s="1952"/>
      <c r="F67" s="1952"/>
      <c r="G67" s="1952"/>
      <c r="H67" s="1952"/>
    </row>
    <row r="68" spans="1:8">
      <c r="A68" s="1952"/>
      <c r="B68" s="1952"/>
      <c r="C68" s="1952"/>
      <c r="D68" s="1952"/>
      <c r="E68" s="1952"/>
      <c r="F68" s="1952"/>
      <c r="G68" s="1952"/>
      <c r="H68" s="1952"/>
    </row>
    <row r="69" spans="1:8">
      <c r="A69" s="1953" t="s">
        <v>817</v>
      </c>
      <c r="B69" s="1952"/>
      <c r="C69" s="1952"/>
      <c r="D69" s="1952"/>
      <c r="E69" s="1952"/>
      <c r="F69" s="1952"/>
      <c r="G69" s="1952"/>
      <c r="H69" s="1952"/>
    </row>
    <row r="70" spans="1:8">
      <c r="A70" s="1953" t="s">
        <v>818</v>
      </c>
      <c r="B70" s="1952"/>
      <c r="C70" s="1952"/>
      <c r="D70" s="1952"/>
      <c r="E70" s="1952"/>
      <c r="F70" s="1952"/>
      <c r="G70" s="1952"/>
      <c r="H70" s="1952"/>
    </row>
    <row r="71" spans="1:8">
      <c r="A71" s="1952"/>
      <c r="B71" s="1952"/>
      <c r="C71" s="1952"/>
      <c r="D71" s="1952"/>
      <c r="E71" s="1952"/>
      <c r="F71" s="1952"/>
      <c r="G71" s="1952"/>
      <c r="H71" s="1952"/>
    </row>
    <row r="72" spans="1:8">
      <c r="A72" s="1953" t="s">
        <v>815</v>
      </c>
      <c r="B72" s="1952"/>
      <c r="C72" s="1952"/>
      <c r="D72" s="1952"/>
      <c r="E72" s="1952"/>
      <c r="F72" s="1952"/>
      <c r="G72" s="1952"/>
      <c r="H72" s="1952"/>
    </row>
    <row r="73" spans="1:8">
      <c r="A73" s="1953" t="s">
        <v>816</v>
      </c>
      <c r="B73" s="1952"/>
      <c r="C73" s="1952"/>
      <c r="D73" s="1952"/>
      <c r="E73" s="1952"/>
      <c r="F73" s="1952"/>
      <c r="G73" s="1952"/>
      <c r="H73" s="1952"/>
    </row>
    <row r="74" spans="1:8">
      <c r="A74" s="1952"/>
      <c r="B74" s="1952"/>
      <c r="C74" s="1952"/>
      <c r="D74" s="1952"/>
      <c r="E74" s="1952"/>
      <c r="F74" s="1952"/>
      <c r="G74" s="1952"/>
      <c r="H74" s="1952"/>
    </row>
    <row r="75" spans="1:8">
      <c r="A75" s="1953" t="s">
        <v>812</v>
      </c>
      <c r="B75" s="1952"/>
      <c r="C75" s="1952"/>
      <c r="D75" s="1952"/>
      <c r="E75" s="1952"/>
      <c r="F75" s="1952"/>
      <c r="G75" s="1952"/>
      <c r="H75" s="1952"/>
    </row>
    <row r="76" spans="1:8">
      <c r="A76" s="1953" t="s">
        <v>813</v>
      </c>
      <c r="B76" s="1952"/>
      <c r="C76" s="1952"/>
      <c r="D76" s="1952"/>
      <c r="E76" s="1952"/>
      <c r="F76" s="1952"/>
      <c r="G76" s="1952"/>
      <c r="H76" s="1952"/>
    </row>
    <row r="77" spans="1:8">
      <c r="A77" s="1953" t="s">
        <v>814</v>
      </c>
      <c r="B77" s="1952"/>
      <c r="C77" s="1952"/>
      <c r="D77" s="1952"/>
      <c r="E77" s="1952"/>
      <c r="F77" s="1952"/>
      <c r="G77" s="1952"/>
      <c r="H77" s="1952"/>
    </row>
    <row r="78" spans="1:8">
      <c r="A78" s="1952"/>
      <c r="B78" s="1952"/>
      <c r="C78" s="1952"/>
      <c r="D78" s="1952"/>
      <c r="E78" s="1952"/>
      <c r="F78" s="1952"/>
      <c r="G78" s="1952"/>
      <c r="H78" s="1952"/>
    </row>
    <row r="79" spans="1:8">
      <c r="A79" s="1953" t="s">
        <v>568</v>
      </c>
      <c r="B79" s="1952"/>
      <c r="C79" s="1952"/>
      <c r="D79" s="1952"/>
      <c r="E79" s="1952"/>
      <c r="F79" s="1952"/>
      <c r="G79" s="1952"/>
      <c r="H79" s="1952"/>
    </row>
    <row r="80" spans="1:8">
      <c r="A80" s="1952"/>
      <c r="B80" s="1952"/>
      <c r="C80" s="1952"/>
      <c r="D80" s="1952"/>
      <c r="E80" s="1952"/>
      <c r="F80" s="1952"/>
      <c r="G80" s="1952"/>
      <c r="H80" s="1952"/>
    </row>
    <row r="81" spans="1:8">
      <c r="A81" s="1953" t="s">
        <v>807</v>
      </c>
      <c r="B81" s="1952"/>
      <c r="C81" s="1952"/>
      <c r="D81" s="1952"/>
      <c r="E81" s="1952"/>
      <c r="F81" s="1952"/>
      <c r="G81" s="1952"/>
      <c r="H81" s="1952"/>
    </row>
    <row r="82" spans="1:8">
      <c r="A82" s="1953" t="s">
        <v>808</v>
      </c>
      <c r="B82" s="1952"/>
      <c r="C82" s="1952"/>
      <c r="D82" s="1952"/>
      <c r="E82" s="1952"/>
      <c r="F82" s="1952"/>
      <c r="G82" s="1952"/>
      <c r="H82" s="1952"/>
    </row>
    <row r="83" spans="1:8">
      <c r="A83" s="1953" t="s">
        <v>809</v>
      </c>
      <c r="B83" s="1952"/>
      <c r="C83" s="1952"/>
      <c r="D83" s="1952"/>
      <c r="E83" s="1952"/>
      <c r="F83" s="1952"/>
      <c r="G83" s="1952"/>
      <c r="H83" s="1952"/>
    </row>
    <row r="84" spans="1:8">
      <c r="A84" s="1953" t="s">
        <v>810</v>
      </c>
      <c r="B84" s="1952"/>
      <c r="C84" s="1952"/>
      <c r="D84" s="1952"/>
      <c r="E84" s="1952"/>
      <c r="F84" s="1952"/>
      <c r="G84" s="1952"/>
      <c r="H84" s="1952"/>
    </row>
    <row r="85" spans="1:8">
      <c r="A85" s="1953" t="s">
        <v>811</v>
      </c>
      <c r="B85" s="1952"/>
      <c r="C85" s="1952"/>
      <c r="D85" s="1952"/>
      <c r="E85" s="1952"/>
      <c r="F85" s="1952"/>
      <c r="G85" s="1952"/>
      <c r="H85" s="1952"/>
    </row>
    <row r="86" spans="1:8">
      <c r="A86" s="1953" t="s">
        <v>694</v>
      </c>
      <c r="B86" s="1952"/>
      <c r="C86" s="1952"/>
      <c r="D86" s="1952"/>
      <c r="E86" s="1952"/>
      <c r="F86" s="1952"/>
      <c r="G86" s="1952"/>
      <c r="H86" s="1952"/>
    </row>
    <row r="87" spans="1:8">
      <c r="A87" s="1952"/>
      <c r="B87" s="1952"/>
      <c r="C87" s="1952"/>
      <c r="D87" s="1952"/>
      <c r="E87" s="1952"/>
      <c r="F87" s="1952"/>
      <c r="G87" s="1952"/>
      <c r="H87" s="1952"/>
    </row>
    <row r="88" spans="1:8">
      <c r="A88" s="1953" t="s">
        <v>800</v>
      </c>
      <c r="B88" s="1952"/>
      <c r="C88" s="1952"/>
      <c r="D88" s="1952"/>
      <c r="E88" s="1952"/>
      <c r="F88" s="1952"/>
      <c r="G88" s="1952"/>
      <c r="H88" s="1952"/>
    </row>
    <row r="89" spans="1:8">
      <c r="A89" s="1953" t="s">
        <v>801</v>
      </c>
      <c r="B89" s="1952"/>
      <c r="C89" s="1952"/>
      <c r="D89" s="1952"/>
      <c r="E89" s="1952"/>
      <c r="F89" s="1952"/>
      <c r="G89" s="1952"/>
      <c r="H89" s="1952"/>
    </row>
    <row r="90" spans="1:8">
      <c r="A90" s="1953" t="s">
        <v>802</v>
      </c>
      <c r="B90" s="1952"/>
      <c r="C90" s="1952"/>
      <c r="D90" s="1952"/>
      <c r="E90" s="1952"/>
      <c r="F90" s="1952"/>
      <c r="G90" s="1952"/>
      <c r="H90" s="1952"/>
    </row>
    <row r="91" spans="1:8">
      <c r="A91" s="1953" t="s">
        <v>803</v>
      </c>
      <c r="B91" s="1952"/>
      <c r="C91" s="1952"/>
      <c r="D91" s="1952"/>
      <c r="E91" s="1952"/>
      <c r="F91" s="1952"/>
      <c r="G91" s="1952"/>
      <c r="H91" s="1952"/>
    </row>
    <row r="92" spans="1:8">
      <c r="A92" s="1953" t="s">
        <v>804</v>
      </c>
      <c r="B92" s="1952"/>
      <c r="C92" s="1952"/>
      <c r="D92" s="1952"/>
      <c r="E92" s="1952"/>
      <c r="F92" s="1952"/>
      <c r="G92" s="1952"/>
      <c r="H92" s="1952"/>
    </row>
    <row r="93" spans="1:8">
      <c r="A93" s="1953" t="s">
        <v>805</v>
      </c>
      <c r="B93" s="1952"/>
      <c r="C93" s="1952"/>
      <c r="D93" s="1952"/>
      <c r="E93" s="1952"/>
      <c r="F93" s="1952"/>
      <c r="G93" s="1952"/>
      <c r="H93" s="1952"/>
    </row>
    <row r="94" spans="1:8">
      <c r="A94" s="1953" t="s">
        <v>806</v>
      </c>
      <c r="B94" s="1952"/>
      <c r="C94" s="1952"/>
      <c r="D94" s="1952"/>
      <c r="E94" s="1952"/>
      <c r="F94" s="1952"/>
      <c r="G94" s="1952"/>
      <c r="H94" s="1952"/>
    </row>
    <row r="95" spans="1:8">
      <c r="A95" s="1952"/>
      <c r="B95" s="1952"/>
      <c r="C95" s="1952"/>
      <c r="D95" s="1952"/>
      <c r="E95" s="1952"/>
      <c r="F95" s="1952"/>
      <c r="G95" s="1952"/>
      <c r="H95" s="1952"/>
    </row>
    <row r="96" spans="1:8">
      <c r="A96" s="1953" t="s">
        <v>798</v>
      </c>
      <c r="B96" s="1952"/>
      <c r="C96" s="1952"/>
      <c r="D96" s="1952"/>
      <c r="E96" s="1952"/>
      <c r="F96" s="1952"/>
      <c r="G96" s="1952"/>
      <c r="H96" s="1952"/>
    </row>
    <row r="97" spans="1:8">
      <c r="A97" s="1953" t="s">
        <v>799</v>
      </c>
      <c r="B97" s="1952"/>
      <c r="C97" s="1952"/>
      <c r="D97" s="1952"/>
      <c r="E97" s="1952"/>
      <c r="F97" s="1952"/>
      <c r="G97" s="1952"/>
      <c r="H97" s="1952"/>
    </row>
    <row r="98" spans="1:8">
      <c r="A98" s="1952"/>
      <c r="B98" s="1952"/>
      <c r="C98" s="1952"/>
      <c r="D98" s="1952"/>
      <c r="E98" s="1952"/>
      <c r="F98" s="1952"/>
      <c r="G98" s="1952"/>
      <c r="H98" s="1952"/>
    </row>
    <row r="99" spans="1:8" ht="15.75">
      <c r="A99" s="1954" t="s">
        <v>569</v>
      </c>
      <c r="B99" s="1952"/>
      <c r="C99" s="1952"/>
      <c r="D99" s="1952"/>
      <c r="E99" s="1952"/>
      <c r="F99" s="1952"/>
      <c r="G99" s="1952"/>
      <c r="H99" s="1952"/>
    </row>
    <row r="100" spans="1:8">
      <c r="A100" s="1952"/>
      <c r="B100" s="1952"/>
      <c r="C100" s="1952"/>
      <c r="D100" s="1952"/>
      <c r="E100" s="1952"/>
      <c r="F100" s="1952"/>
      <c r="G100" s="1952"/>
      <c r="H100" s="1952"/>
    </row>
    <row r="101" spans="1:8">
      <c r="A101" s="1953" t="s">
        <v>789</v>
      </c>
      <c r="B101" s="1952"/>
      <c r="C101" s="1952"/>
      <c r="D101" s="1952"/>
      <c r="E101" s="1952"/>
      <c r="F101" s="1952"/>
      <c r="G101" s="1952"/>
      <c r="H101" s="1952"/>
    </row>
    <row r="102" spans="1:8">
      <c r="A102" s="1953" t="s">
        <v>790</v>
      </c>
      <c r="B102" s="1952"/>
      <c r="C102" s="1952"/>
      <c r="D102" s="1952"/>
      <c r="E102" s="1952"/>
      <c r="F102" s="1952"/>
      <c r="G102" s="1952"/>
      <c r="H102" s="1952"/>
    </row>
    <row r="103" spans="1:8">
      <c r="A103" s="1953" t="s">
        <v>791</v>
      </c>
      <c r="B103" s="1952"/>
      <c r="C103" s="1952"/>
      <c r="D103" s="1952"/>
      <c r="E103" s="1952"/>
      <c r="F103" s="1952"/>
      <c r="G103" s="1952"/>
      <c r="H103" s="1952"/>
    </row>
    <row r="104" spans="1:8">
      <c r="A104" s="1953" t="s">
        <v>792</v>
      </c>
      <c r="B104" s="1952"/>
      <c r="C104" s="1952"/>
      <c r="D104" s="1952"/>
      <c r="E104" s="1952"/>
      <c r="F104" s="1952"/>
      <c r="G104" s="1952"/>
      <c r="H104" s="1952"/>
    </row>
    <row r="105" spans="1:8">
      <c r="A105" s="1953" t="s">
        <v>793</v>
      </c>
      <c r="B105" s="1952"/>
      <c r="C105" s="1952"/>
      <c r="D105" s="1952"/>
      <c r="E105" s="1952"/>
      <c r="F105" s="1952"/>
      <c r="G105" s="1952"/>
      <c r="H105" s="1952"/>
    </row>
    <row r="106" spans="1:8">
      <c r="A106" s="1953" t="s">
        <v>794</v>
      </c>
      <c r="B106" s="1952"/>
      <c r="C106" s="1952"/>
      <c r="D106" s="1952"/>
      <c r="E106" s="1952"/>
      <c r="F106" s="1952"/>
      <c r="G106" s="1952"/>
      <c r="H106" s="1952"/>
    </row>
    <row r="107" spans="1:8">
      <c r="A107" s="1953" t="s">
        <v>795</v>
      </c>
      <c r="B107" s="1952"/>
      <c r="C107" s="1952"/>
      <c r="D107" s="1952"/>
      <c r="E107" s="1952"/>
      <c r="F107" s="1952"/>
      <c r="G107" s="1952"/>
      <c r="H107" s="1952"/>
    </row>
    <row r="108" spans="1:8">
      <c r="A108" s="1953" t="s">
        <v>796</v>
      </c>
      <c r="B108" s="1952"/>
      <c r="C108" s="1952"/>
      <c r="D108" s="1952"/>
      <c r="E108" s="1952"/>
      <c r="F108" s="1952"/>
      <c r="G108" s="1952"/>
      <c r="H108" s="1952"/>
    </row>
    <row r="109" spans="1:8">
      <c r="A109" s="1953" t="s">
        <v>797</v>
      </c>
      <c r="B109" s="1952"/>
      <c r="C109" s="1952"/>
      <c r="D109" s="1952"/>
      <c r="E109" s="1952"/>
      <c r="F109" s="1952"/>
      <c r="G109" s="1952"/>
      <c r="H109" s="1952"/>
    </row>
    <row r="110" spans="1:8">
      <c r="A110" s="1952"/>
      <c r="B110" s="1952"/>
      <c r="C110" s="1952"/>
      <c r="D110" s="1952"/>
      <c r="E110" s="1952"/>
      <c r="F110" s="1952"/>
      <c r="G110" s="1952"/>
      <c r="H110" s="1952"/>
    </row>
    <row r="111" spans="1:8" ht="15.75">
      <c r="A111" s="1955" t="s">
        <v>570</v>
      </c>
      <c r="B111" s="1955"/>
      <c r="C111" s="1955"/>
      <c r="D111" s="1955"/>
      <c r="E111" s="1955"/>
      <c r="F111" s="1955"/>
      <c r="G111" s="1955"/>
      <c r="H111" s="1955"/>
    </row>
    <row r="112" spans="1:8">
      <c r="A112" s="1956" t="s">
        <v>571</v>
      </c>
      <c r="B112" s="1956"/>
      <c r="C112" s="1956"/>
      <c r="D112" s="1956"/>
      <c r="E112" s="1956"/>
      <c r="F112" s="1956"/>
      <c r="G112" s="1956"/>
      <c r="H112" s="1956"/>
    </row>
    <row r="113" spans="1:8">
      <c r="A113" s="1957"/>
      <c r="B113" s="1957"/>
      <c r="C113" s="1957"/>
      <c r="D113" s="1957"/>
      <c r="E113" s="1957"/>
      <c r="F113" s="1957"/>
      <c r="G113" s="1957"/>
      <c r="H113" s="1957"/>
    </row>
    <row r="114" spans="1:8">
      <c r="A114" s="1956" t="s">
        <v>787</v>
      </c>
      <c r="B114" s="1956"/>
      <c r="C114" s="1956"/>
      <c r="D114" s="1956"/>
      <c r="E114" s="1956"/>
      <c r="F114" s="1956"/>
      <c r="G114" s="1956"/>
      <c r="H114" s="1956"/>
    </row>
    <row r="115" spans="1:8">
      <c r="A115" s="1953" t="s">
        <v>788</v>
      </c>
      <c r="B115" s="1953"/>
      <c r="C115" s="1953"/>
      <c r="D115" s="1953"/>
      <c r="E115" s="1953"/>
      <c r="F115" s="1953"/>
      <c r="G115" s="1953"/>
      <c r="H115" s="1953"/>
    </row>
    <row r="116" spans="1:8">
      <c r="A116" s="1957"/>
      <c r="B116" s="1957"/>
      <c r="C116" s="1957"/>
      <c r="D116" s="1957"/>
      <c r="E116" s="1957"/>
      <c r="F116" s="1957"/>
      <c r="G116" s="1957"/>
      <c r="H116" s="1957"/>
    </row>
    <row r="117" spans="1:8">
      <c r="A117" s="1956" t="s">
        <v>780</v>
      </c>
      <c r="B117" s="1956"/>
      <c r="C117" s="1956"/>
      <c r="D117" s="1956"/>
      <c r="E117" s="1956"/>
      <c r="F117" s="1956"/>
      <c r="G117" s="1956"/>
      <c r="H117" s="1956"/>
    </row>
    <row r="118" spans="1:8">
      <c r="A118" s="1953" t="s">
        <v>781</v>
      </c>
      <c r="B118" s="1953"/>
      <c r="C118" s="1953"/>
      <c r="D118" s="1953"/>
      <c r="E118" s="1953"/>
      <c r="F118" s="1953"/>
      <c r="G118" s="1953"/>
      <c r="H118" s="1953"/>
    </row>
    <row r="119" spans="1:8">
      <c r="A119" s="1953" t="s">
        <v>782</v>
      </c>
      <c r="B119" s="1953"/>
      <c r="C119" s="1953"/>
      <c r="D119" s="1953"/>
      <c r="E119" s="1953"/>
      <c r="F119" s="1953"/>
      <c r="G119" s="1953"/>
      <c r="H119" s="1953"/>
    </row>
    <row r="120" spans="1:8">
      <c r="A120" s="1953" t="s">
        <v>783</v>
      </c>
      <c r="B120" s="1953"/>
      <c r="C120" s="1953"/>
      <c r="D120" s="1953"/>
      <c r="E120" s="1953"/>
      <c r="F120" s="1953"/>
      <c r="G120" s="1953"/>
      <c r="H120" s="1953"/>
    </row>
    <row r="121" spans="1:8">
      <c r="A121" s="1953" t="s">
        <v>784</v>
      </c>
      <c r="B121" s="1953"/>
      <c r="C121" s="1953"/>
      <c r="D121" s="1953"/>
      <c r="E121" s="1953"/>
      <c r="F121" s="1953"/>
      <c r="G121" s="1953"/>
      <c r="H121" s="1953"/>
    </row>
    <row r="122" spans="1:8">
      <c r="A122" s="1953" t="s">
        <v>785</v>
      </c>
      <c r="B122" s="1953"/>
      <c r="C122" s="1953"/>
      <c r="D122" s="1953"/>
      <c r="E122" s="1953"/>
      <c r="F122" s="1953"/>
      <c r="G122" s="1953"/>
      <c r="H122" s="1953"/>
    </row>
    <row r="123" spans="1:8">
      <c r="A123" s="1953" t="s">
        <v>786</v>
      </c>
      <c r="B123" s="1953"/>
      <c r="C123" s="1953"/>
      <c r="D123" s="1953"/>
      <c r="E123" s="1953"/>
      <c r="F123" s="1953"/>
      <c r="G123" s="1953"/>
      <c r="H123" s="1953"/>
    </row>
    <row r="124" spans="1:8">
      <c r="A124" s="1958"/>
      <c r="B124" s="1958"/>
      <c r="C124" s="1958"/>
      <c r="D124" s="1958"/>
      <c r="E124" s="1958"/>
      <c r="F124" s="1958"/>
      <c r="G124" s="1958"/>
      <c r="H124" s="1958"/>
    </row>
    <row r="125" spans="1:8">
      <c r="A125" s="1959"/>
      <c r="B125" s="1960" t="s">
        <v>572</v>
      </c>
      <c r="C125" s="1961"/>
      <c r="D125" s="1960" t="s">
        <v>573</v>
      </c>
      <c r="E125" s="1962"/>
      <c r="F125" s="1961"/>
      <c r="G125" s="1960" t="s">
        <v>574</v>
      </c>
      <c r="H125" s="1961"/>
    </row>
    <row r="126" spans="1:8">
      <c r="A126" s="1959" t="s">
        <v>575</v>
      </c>
      <c r="B126" s="1959" t="s">
        <v>266</v>
      </c>
      <c r="C126" s="1959" t="s">
        <v>576</v>
      </c>
      <c r="D126" s="1959" t="s">
        <v>266</v>
      </c>
      <c r="E126" s="1959" t="s">
        <v>577</v>
      </c>
      <c r="F126" s="1959" t="s">
        <v>578</v>
      </c>
      <c r="G126" s="1959" t="s">
        <v>266</v>
      </c>
      <c r="H126" s="1959" t="s">
        <v>579</v>
      </c>
    </row>
    <row r="127" spans="1:8">
      <c r="A127" s="1959" t="s">
        <v>580</v>
      </c>
      <c r="B127" s="1959">
        <v>1175</v>
      </c>
      <c r="C127" s="1963">
        <v>0.37</v>
      </c>
      <c r="D127" s="1959">
        <v>315</v>
      </c>
      <c r="E127" s="1963">
        <v>0.41</v>
      </c>
      <c r="F127" s="1963">
        <v>0.27</v>
      </c>
      <c r="G127" s="1959">
        <v>555</v>
      </c>
      <c r="H127" s="1963">
        <v>0.39</v>
      </c>
    </row>
    <row r="128" spans="1:8">
      <c r="A128" s="1959" t="s">
        <v>581</v>
      </c>
      <c r="B128" s="1959">
        <v>1369</v>
      </c>
      <c r="C128" s="1963">
        <v>0.43</v>
      </c>
      <c r="D128" s="1959">
        <v>357</v>
      </c>
      <c r="E128" s="1963">
        <v>0.47</v>
      </c>
      <c r="F128" s="1963">
        <v>0.26</v>
      </c>
      <c r="G128" s="1959">
        <v>643</v>
      </c>
      <c r="H128" s="1963">
        <v>0.45</v>
      </c>
    </row>
    <row r="129" spans="1:8">
      <c r="A129" s="1959" t="s">
        <v>582</v>
      </c>
      <c r="B129" s="1959">
        <v>53</v>
      </c>
      <c r="C129" s="1963">
        <v>0.02</v>
      </c>
      <c r="D129" s="1959">
        <v>5</v>
      </c>
      <c r="E129" s="1963">
        <v>0.01</v>
      </c>
      <c r="F129" s="1963">
        <v>0.09</v>
      </c>
      <c r="G129" s="1959">
        <v>7</v>
      </c>
      <c r="H129" s="1963">
        <v>0</v>
      </c>
    </row>
    <row r="130" spans="1:8">
      <c r="A130" s="1959" t="s">
        <v>583</v>
      </c>
      <c r="B130" s="1959">
        <v>552</v>
      </c>
      <c r="C130" s="1963">
        <v>0.18</v>
      </c>
      <c r="D130" s="1959">
        <v>87</v>
      </c>
      <c r="E130" s="1963">
        <v>0.11</v>
      </c>
      <c r="F130" s="1963">
        <v>0.16</v>
      </c>
      <c r="G130" s="1959">
        <v>222</v>
      </c>
      <c r="H130" s="1963">
        <v>0.16</v>
      </c>
    </row>
    <row r="131" spans="1:8">
      <c r="A131" s="1959" t="s">
        <v>510</v>
      </c>
      <c r="B131" s="1964">
        <v>3149</v>
      </c>
      <c r="C131" s="1959"/>
      <c r="D131" s="1959">
        <v>764</v>
      </c>
      <c r="E131" s="1959"/>
      <c r="F131" s="1959"/>
      <c r="G131" s="1959">
        <v>1427</v>
      </c>
      <c r="H131" s="1959"/>
    </row>
    <row r="132" spans="1:8">
      <c r="A132" s="1965"/>
      <c r="B132" s="1965"/>
      <c r="C132" s="1965"/>
      <c r="D132" s="1965"/>
      <c r="E132" s="1965"/>
      <c r="F132" s="1965"/>
      <c r="G132" s="1965"/>
      <c r="H132" s="1965"/>
    </row>
    <row r="133" spans="1:8">
      <c r="A133" s="1956" t="s">
        <v>776</v>
      </c>
      <c r="B133" s="1956"/>
      <c r="C133" s="1956"/>
      <c r="D133" s="1956"/>
      <c r="E133" s="1956"/>
      <c r="F133" s="1956"/>
      <c r="G133" s="1956"/>
      <c r="H133" s="1956"/>
    </row>
    <row r="134" spans="1:8">
      <c r="A134" s="1953" t="s">
        <v>777</v>
      </c>
      <c r="B134" s="1953"/>
      <c r="C134" s="1953"/>
      <c r="D134" s="1953"/>
      <c r="E134" s="1953"/>
      <c r="F134" s="1953"/>
      <c r="G134" s="1953"/>
      <c r="H134" s="1953"/>
    </row>
    <row r="135" spans="1:8">
      <c r="A135" s="1953" t="s">
        <v>778</v>
      </c>
      <c r="B135" s="1953"/>
      <c r="C135" s="1953"/>
      <c r="D135" s="1953"/>
      <c r="E135" s="1953"/>
      <c r="F135" s="1953"/>
      <c r="G135" s="1953"/>
      <c r="H135" s="1953"/>
    </row>
    <row r="136" spans="1:8">
      <c r="A136" s="1953" t="s">
        <v>779</v>
      </c>
      <c r="B136" s="1953"/>
      <c r="C136" s="1953"/>
      <c r="D136" s="1953"/>
      <c r="E136" s="1953"/>
      <c r="F136" s="1953"/>
      <c r="G136" s="1953"/>
      <c r="H136" s="1953"/>
    </row>
    <row r="137" spans="1:8">
      <c r="A137" s="1952"/>
      <c r="B137" s="1952"/>
      <c r="C137" s="1952"/>
      <c r="D137" s="1952"/>
      <c r="E137" s="1952"/>
      <c r="F137" s="1952"/>
      <c r="G137" s="1952"/>
      <c r="H137" s="1952"/>
    </row>
    <row r="138" spans="1:8" ht="15.75">
      <c r="A138" s="1954" t="s">
        <v>584</v>
      </c>
      <c r="B138" s="1952"/>
      <c r="C138" s="1952"/>
      <c r="D138" s="1952"/>
      <c r="E138" s="1952"/>
      <c r="F138" s="1952"/>
      <c r="G138" s="1952"/>
      <c r="H138" s="1952"/>
    </row>
    <row r="139" spans="1:8">
      <c r="A139" s="1952"/>
      <c r="B139" s="1952"/>
      <c r="C139" s="1952"/>
      <c r="D139" s="1952"/>
      <c r="E139" s="1952"/>
      <c r="F139" s="1952"/>
      <c r="G139" s="1952"/>
      <c r="H139" s="1952"/>
    </row>
    <row r="140" spans="1:8">
      <c r="A140" s="1953" t="s">
        <v>774</v>
      </c>
      <c r="B140" s="1952"/>
      <c r="C140" s="1952"/>
      <c r="D140" s="1952"/>
      <c r="E140" s="1952"/>
      <c r="F140" s="1952"/>
      <c r="G140" s="1952"/>
      <c r="H140" s="1952"/>
    </row>
    <row r="141" spans="1:8">
      <c r="A141" s="1953" t="s">
        <v>775</v>
      </c>
      <c r="B141" s="1952"/>
      <c r="C141" s="1952"/>
      <c r="D141" s="1952"/>
      <c r="E141" s="1952"/>
      <c r="F141" s="1952"/>
      <c r="G141" s="1952"/>
      <c r="H141" s="1952"/>
    </row>
    <row r="142" spans="1:8">
      <c r="A142" s="1952"/>
      <c r="B142" s="1952"/>
      <c r="C142" s="1952"/>
      <c r="D142" s="1952"/>
      <c r="E142" s="1952"/>
      <c r="F142" s="1952"/>
      <c r="G142" s="1952"/>
      <c r="H142" s="1952"/>
    </row>
    <row r="143" spans="1:8">
      <c r="A143" s="1953" t="s">
        <v>771</v>
      </c>
      <c r="B143" s="1952"/>
      <c r="C143" s="1952"/>
      <c r="D143" s="1952"/>
      <c r="E143" s="1952"/>
      <c r="F143" s="1952"/>
      <c r="G143" s="1952"/>
      <c r="H143" s="1952"/>
    </row>
    <row r="144" spans="1:8">
      <c r="A144" s="1953" t="s">
        <v>772</v>
      </c>
      <c r="B144" s="1952"/>
      <c r="C144" s="1952"/>
      <c r="D144" s="1952"/>
      <c r="E144" s="1952"/>
      <c r="F144" s="1952"/>
      <c r="G144" s="1952"/>
      <c r="H144" s="1952"/>
    </row>
    <row r="145" spans="1:8">
      <c r="A145" s="1953" t="s">
        <v>773</v>
      </c>
      <c r="B145" s="1952"/>
      <c r="C145" s="1952"/>
      <c r="D145" s="1952"/>
      <c r="E145" s="1952"/>
      <c r="F145" s="1952"/>
      <c r="G145" s="1952"/>
      <c r="H145" s="1952"/>
    </row>
    <row r="146" spans="1:8">
      <c r="A146" s="1952"/>
      <c r="B146" s="1952"/>
      <c r="C146" s="1952"/>
      <c r="D146" s="1952"/>
      <c r="E146" s="1952"/>
      <c r="F146" s="1952"/>
      <c r="G146" s="1952"/>
      <c r="H146" s="1952"/>
    </row>
    <row r="147" spans="1:8">
      <c r="A147" s="1953" t="s">
        <v>768</v>
      </c>
      <c r="B147" s="1952"/>
      <c r="C147" s="1952"/>
      <c r="D147" s="1952"/>
      <c r="E147" s="1952"/>
      <c r="F147" s="1952"/>
      <c r="G147" s="1952"/>
      <c r="H147" s="1952"/>
    </row>
    <row r="148" spans="1:8">
      <c r="A148" s="1953" t="s">
        <v>769</v>
      </c>
      <c r="B148" s="1952"/>
      <c r="C148" s="1952"/>
      <c r="D148" s="1952"/>
      <c r="E148" s="1952"/>
      <c r="F148" s="1952"/>
      <c r="G148" s="1952"/>
      <c r="H148" s="1952"/>
    </row>
    <row r="149" spans="1:8">
      <c r="A149" s="1953" t="s">
        <v>770</v>
      </c>
      <c r="B149" s="1952"/>
      <c r="C149" s="1952"/>
      <c r="D149" s="1952"/>
      <c r="E149" s="1952"/>
      <c r="F149" s="1952"/>
      <c r="G149" s="1952"/>
      <c r="H149" s="1952"/>
    </row>
    <row r="150" spans="1:8">
      <c r="A150" s="1952"/>
      <c r="B150" s="1952"/>
      <c r="C150" s="1952"/>
      <c r="D150" s="1952"/>
      <c r="E150" s="1952"/>
      <c r="F150" s="1952"/>
      <c r="G150" s="1952"/>
      <c r="H150" s="1952"/>
    </row>
    <row r="151" spans="1:8">
      <c r="A151" s="1953" t="s">
        <v>765</v>
      </c>
      <c r="B151" s="1952"/>
      <c r="C151" s="1952"/>
      <c r="D151" s="1952"/>
      <c r="E151" s="1952"/>
      <c r="F151" s="1952"/>
      <c r="G151" s="1952"/>
      <c r="H151" s="1952"/>
    </row>
    <row r="152" spans="1:8">
      <c r="A152" s="1953" t="s">
        <v>766</v>
      </c>
      <c r="B152" s="1952"/>
      <c r="C152" s="1952"/>
      <c r="D152" s="1952"/>
      <c r="E152" s="1952"/>
      <c r="F152" s="1952"/>
      <c r="G152" s="1952"/>
      <c r="H152" s="1952"/>
    </row>
    <row r="153" spans="1:8">
      <c r="A153" s="1953" t="s">
        <v>767</v>
      </c>
      <c r="B153" s="1952"/>
      <c r="C153" s="1952"/>
      <c r="D153" s="1952"/>
      <c r="E153" s="1952"/>
      <c r="F153" s="1952"/>
      <c r="G153" s="1952"/>
      <c r="H153" s="1952"/>
    </row>
    <row r="154" spans="1:8">
      <c r="A154" s="1952"/>
      <c r="B154" s="1952"/>
      <c r="C154" s="1952"/>
      <c r="D154" s="1952"/>
      <c r="E154" s="1952"/>
      <c r="F154" s="1952"/>
      <c r="G154" s="1952"/>
      <c r="H154" s="1952"/>
    </row>
    <row r="155" spans="1:8">
      <c r="A155" s="1953" t="s">
        <v>763</v>
      </c>
      <c r="B155" s="1952"/>
      <c r="C155" s="1952"/>
      <c r="D155" s="1952"/>
      <c r="E155" s="1952"/>
      <c r="F155" s="1952"/>
      <c r="G155" s="1952"/>
      <c r="H155" s="1952"/>
    </row>
    <row r="156" spans="1:8">
      <c r="A156" s="1953" t="s">
        <v>764</v>
      </c>
      <c r="B156" s="1952"/>
      <c r="C156" s="1952"/>
      <c r="D156" s="1952"/>
      <c r="E156" s="1952"/>
      <c r="F156" s="1952"/>
      <c r="G156" s="1952"/>
      <c r="H156" s="1952"/>
    </row>
    <row r="157" spans="1:8">
      <c r="A157" s="1952"/>
      <c r="B157" s="1952"/>
      <c r="C157" s="1952"/>
      <c r="D157" s="1952"/>
      <c r="E157" s="1952"/>
      <c r="F157" s="1952"/>
      <c r="G157" s="1952"/>
      <c r="H157" s="1952"/>
    </row>
    <row r="158" spans="1:8" ht="15.75">
      <c r="A158" s="1954" t="s">
        <v>585</v>
      </c>
      <c r="B158" s="1952"/>
      <c r="C158" s="1952"/>
      <c r="D158" s="1952"/>
      <c r="E158" s="1952"/>
      <c r="F158" s="1952"/>
      <c r="G158" s="1952"/>
      <c r="H158" s="1952"/>
    </row>
    <row r="159" spans="1:8">
      <c r="A159" s="1952"/>
      <c r="B159" s="1952"/>
      <c r="C159" s="1952"/>
      <c r="D159" s="1952"/>
      <c r="E159" s="1952"/>
      <c r="F159" s="1952"/>
      <c r="G159" s="1952"/>
      <c r="H159" s="1952"/>
    </row>
    <row r="160" spans="1:8">
      <c r="A160" s="1953" t="s">
        <v>761</v>
      </c>
      <c r="B160" s="1952"/>
      <c r="C160" s="1952"/>
      <c r="D160" s="1952"/>
      <c r="E160" s="1952"/>
      <c r="F160" s="1952"/>
      <c r="G160" s="1952"/>
      <c r="H160" s="1952"/>
    </row>
    <row r="161" spans="1:8">
      <c r="A161" s="1953" t="s">
        <v>762</v>
      </c>
      <c r="B161" s="1952"/>
      <c r="C161" s="1952"/>
      <c r="D161" s="1952"/>
      <c r="E161" s="1952"/>
      <c r="F161" s="1952"/>
      <c r="G161" s="1952"/>
      <c r="H161" s="1952"/>
    </row>
    <row r="162" spans="1:8">
      <c r="A162" s="1952"/>
      <c r="B162" s="1952"/>
      <c r="C162" s="1952"/>
      <c r="D162" s="1952"/>
      <c r="E162" s="1952"/>
      <c r="F162" s="1952"/>
      <c r="G162" s="1952"/>
      <c r="H162" s="1952"/>
    </row>
    <row r="163" spans="1:8">
      <c r="A163" s="1953" t="s">
        <v>759</v>
      </c>
      <c r="B163" s="1952"/>
      <c r="C163" s="1952"/>
      <c r="D163" s="1952"/>
      <c r="E163" s="1952"/>
      <c r="F163" s="1952"/>
      <c r="G163" s="1952"/>
      <c r="H163" s="1952"/>
    </row>
    <row r="164" spans="1:8">
      <c r="A164" s="1953" t="s">
        <v>760</v>
      </c>
      <c r="B164" s="1952"/>
      <c r="C164" s="1952"/>
      <c r="D164" s="1952"/>
      <c r="E164" s="1952"/>
      <c r="F164" s="1952"/>
      <c r="G164" s="1952"/>
      <c r="H164" s="1952"/>
    </row>
    <row r="165" spans="1:8">
      <c r="A165" s="1952"/>
      <c r="B165" s="1952"/>
      <c r="C165" s="1952"/>
      <c r="D165" s="1952"/>
      <c r="E165" s="1952"/>
      <c r="F165" s="1952"/>
      <c r="G165" s="1952"/>
      <c r="H165" s="1952"/>
    </row>
    <row r="166" spans="1:8">
      <c r="A166" s="1953" t="s">
        <v>757</v>
      </c>
      <c r="B166" s="1952"/>
      <c r="C166" s="1952"/>
      <c r="D166" s="1952"/>
      <c r="E166" s="1952"/>
      <c r="F166" s="1952"/>
      <c r="G166" s="1952"/>
      <c r="H166" s="1952"/>
    </row>
    <row r="167" spans="1:8">
      <c r="A167" s="1953" t="s">
        <v>758</v>
      </c>
      <c r="B167" s="1952"/>
      <c r="C167" s="1952"/>
      <c r="D167" s="1952"/>
      <c r="E167" s="1952"/>
      <c r="F167" s="1952"/>
      <c r="G167" s="1952"/>
      <c r="H167" s="1952"/>
    </row>
    <row r="168" spans="1:8">
      <c r="A168" s="1952"/>
      <c r="B168" s="1952"/>
      <c r="C168" s="1952"/>
      <c r="D168" s="1952"/>
      <c r="E168" s="1952"/>
      <c r="F168" s="1952"/>
      <c r="G168" s="1952"/>
      <c r="H168" s="1952"/>
    </row>
    <row r="169" spans="1:8">
      <c r="A169" s="1953" t="s">
        <v>754</v>
      </c>
      <c r="B169" s="1952"/>
      <c r="C169" s="1952"/>
      <c r="D169" s="1952"/>
      <c r="E169" s="1952"/>
      <c r="F169" s="1952"/>
      <c r="G169" s="1952"/>
      <c r="H169" s="1952"/>
    </row>
    <row r="170" spans="1:8">
      <c r="A170" s="1953" t="s">
        <v>755</v>
      </c>
      <c r="B170" s="1952"/>
      <c r="C170" s="1952"/>
      <c r="D170" s="1952"/>
      <c r="E170" s="1952"/>
      <c r="F170" s="1952"/>
      <c r="G170" s="1952"/>
      <c r="H170" s="1952"/>
    </row>
    <row r="171" spans="1:8">
      <c r="A171" s="1953" t="s">
        <v>756</v>
      </c>
      <c r="B171" s="1952"/>
      <c r="C171" s="1952"/>
      <c r="D171" s="1952"/>
      <c r="E171" s="1952"/>
      <c r="F171" s="1952"/>
      <c r="G171" s="1952"/>
      <c r="H171" s="1952"/>
    </row>
    <row r="172" spans="1:8">
      <c r="A172" s="1952"/>
      <c r="B172" s="1952"/>
      <c r="C172" s="1952"/>
      <c r="D172" s="1952"/>
      <c r="E172" s="1952"/>
      <c r="F172" s="1952"/>
      <c r="G172" s="1952"/>
      <c r="H172" s="1952"/>
    </row>
    <row r="173" spans="1:8">
      <c r="A173" s="1952"/>
      <c r="B173" s="1952"/>
      <c r="C173" s="1952"/>
      <c r="D173" s="1952"/>
      <c r="E173" s="1952"/>
      <c r="F173" s="1952"/>
      <c r="G173" s="1952"/>
      <c r="H173" s="1952"/>
    </row>
    <row r="174" spans="1:8">
      <c r="A174" s="1953" t="s">
        <v>586</v>
      </c>
      <c r="B174" s="1952"/>
      <c r="C174" s="1952"/>
      <c r="D174" s="1952"/>
      <c r="E174" s="1952"/>
      <c r="F174" s="1952"/>
      <c r="G174" s="1952"/>
      <c r="H174" s="1952"/>
    </row>
    <row r="175" spans="1:8">
      <c r="A175" s="1952"/>
      <c r="B175" s="1952"/>
      <c r="C175" s="1952"/>
      <c r="D175" s="1952"/>
      <c r="E175" s="1952"/>
      <c r="F175" s="1952"/>
      <c r="G175" s="1952"/>
      <c r="H175" s="1952"/>
    </row>
    <row r="176" spans="1:8" ht="15.75">
      <c r="A176" s="1954" t="s">
        <v>587</v>
      </c>
      <c r="B176" s="1952"/>
      <c r="C176" s="1952"/>
      <c r="D176" s="1952"/>
      <c r="E176" s="1952"/>
      <c r="F176" s="1952"/>
      <c r="G176" s="1952"/>
      <c r="H176" s="1952"/>
    </row>
    <row r="177" spans="1:8">
      <c r="A177" s="1952"/>
      <c r="B177" s="1952"/>
      <c r="C177" s="1952"/>
      <c r="D177" s="1952"/>
      <c r="E177" s="1952"/>
      <c r="F177" s="1952"/>
      <c r="G177" s="1952"/>
      <c r="H177" s="1952"/>
    </row>
    <row r="178" spans="1:8">
      <c r="A178" s="1952"/>
      <c r="B178" s="1952"/>
      <c r="C178" s="1952"/>
      <c r="D178" s="1952"/>
      <c r="E178" s="1952"/>
      <c r="F178" s="1952"/>
      <c r="G178" s="1952"/>
      <c r="H178" s="1952"/>
    </row>
    <row r="179" spans="1:8">
      <c r="A179" s="1952"/>
      <c r="B179" s="1952"/>
      <c r="C179" s="1952"/>
      <c r="D179" s="1952"/>
      <c r="E179" s="1952"/>
      <c r="F179" s="1952"/>
      <c r="G179" s="1952"/>
      <c r="H179" s="1952"/>
    </row>
    <row r="180" spans="1:8">
      <c r="A180" s="1952"/>
      <c r="B180" s="1952"/>
      <c r="C180" s="1952"/>
      <c r="D180" s="1952"/>
      <c r="E180" s="1952"/>
      <c r="F180" s="1952"/>
      <c r="G180" s="1952"/>
      <c r="H180" s="1952"/>
    </row>
    <row r="181" spans="1:8">
      <c r="A181" s="1952"/>
      <c r="B181" s="1952"/>
      <c r="C181" s="1952"/>
      <c r="D181" s="1952"/>
      <c r="E181" s="1952"/>
      <c r="F181" s="1952"/>
      <c r="G181" s="1952"/>
      <c r="H181" s="1952"/>
    </row>
    <row r="182" spans="1:8">
      <c r="A182" s="1952"/>
      <c r="B182" s="1952"/>
      <c r="C182" s="1952"/>
      <c r="D182" s="1952"/>
      <c r="E182" s="1952"/>
      <c r="F182" s="1952"/>
      <c r="G182" s="1952"/>
      <c r="H182" s="1952"/>
    </row>
    <row r="183" spans="1:8">
      <c r="A183" s="1952"/>
      <c r="B183" s="1952"/>
      <c r="C183" s="1952"/>
      <c r="D183" s="1952"/>
      <c r="E183" s="1952"/>
      <c r="F183" s="1952"/>
      <c r="G183" s="1952"/>
      <c r="H183" s="1952"/>
    </row>
    <row r="184" spans="1:8">
      <c r="A184" s="1952"/>
      <c r="B184" s="1952"/>
      <c r="C184" s="1952"/>
      <c r="D184" s="1952"/>
      <c r="E184" s="1952"/>
      <c r="F184" s="1952"/>
      <c r="G184" s="1952"/>
      <c r="H184" s="1952"/>
    </row>
    <row r="185" spans="1:8">
      <c r="A185" s="1952"/>
      <c r="B185" s="1952"/>
      <c r="C185" s="1952"/>
      <c r="D185" s="1952"/>
      <c r="E185" s="1952"/>
      <c r="F185" s="1952"/>
      <c r="G185" s="1952"/>
      <c r="H185" s="1952"/>
    </row>
    <row r="186" spans="1:8">
      <c r="A186" s="1952"/>
      <c r="B186" s="1952"/>
      <c r="C186" s="1952"/>
      <c r="D186" s="1952"/>
      <c r="E186" s="1952"/>
      <c r="F186" s="1952"/>
      <c r="G186" s="1952"/>
      <c r="H186" s="1952"/>
    </row>
    <row r="187" spans="1:8">
      <c r="A187" s="1952"/>
      <c r="B187" s="1952"/>
      <c r="C187" s="1952"/>
      <c r="D187" s="1952"/>
      <c r="E187" s="1952"/>
      <c r="F187" s="1952"/>
      <c r="G187" s="1952"/>
      <c r="H187" s="1952"/>
    </row>
    <row r="188" spans="1:8">
      <c r="A188" s="1952"/>
      <c r="B188" s="1952"/>
      <c r="C188" s="1952"/>
      <c r="D188" s="1952"/>
      <c r="E188" s="1952"/>
      <c r="F188" s="1952"/>
      <c r="G188" s="1952"/>
      <c r="H188" s="1952"/>
    </row>
    <row r="189" spans="1:8">
      <c r="A189" s="1952"/>
      <c r="B189" s="1952"/>
      <c r="C189" s="1952"/>
      <c r="D189" s="1952"/>
      <c r="E189" s="1952"/>
      <c r="F189" s="1952"/>
      <c r="G189" s="1952"/>
      <c r="H189" s="1952"/>
    </row>
    <row r="190" spans="1:8">
      <c r="A190" s="1952"/>
      <c r="B190" s="1952"/>
      <c r="C190" s="1952"/>
      <c r="D190" s="1952"/>
      <c r="E190" s="1952"/>
      <c r="F190" s="1952"/>
      <c r="G190" s="1952"/>
      <c r="H190" s="1952"/>
    </row>
    <row r="191" spans="1:8">
      <c r="A191" s="1952"/>
      <c r="B191" s="1952"/>
      <c r="C191" s="1952"/>
      <c r="D191" s="1952"/>
      <c r="E191" s="1952"/>
      <c r="F191" s="1952"/>
      <c r="G191" s="1952"/>
      <c r="H191" s="1952"/>
    </row>
    <row r="192" spans="1:8">
      <c r="A192" s="1952"/>
      <c r="B192" s="1952"/>
      <c r="C192" s="1952"/>
      <c r="D192" s="1952"/>
      <c r="E192" s="1952"/>
      <c r="F192" s="1952"/>
      <c r="G192" s="1952"/>
      <c r="H192" s="1952"/>
    </row>
    <row r="193" spans="1:8">
      <c r="A193" s="1952"/>
      <c r="B193" s="1952"/>
      <c r="C193" s="1952"/>
      <c r="D193" s="1952"/>
      <c r="E193" s="1952"/>
      <c r="F193" s="1952"/>
      <c r="G193" s="1952"/>
      <c r="H193" s="1952"/>
    </row>
    <row r="194" spans="1:8">
      <c r="A194" s="1952"/>
      <c r="B194" s="1952"/>
      <c r="C194" s="1952"/>
      <c r="D194" s="1952"/>
      <c r="E194" s="1952"/>
      <c r="F194" s="1952"/>
      <c r="G194" s="1952"/>
      <c r="H194" s="1952"/>
    </row>
    <row r="195" spans="1:8">
      <c r="A195" s="1952"/>
      <c r="B195" s="1952"/>
      <c r="C195" s="1952"/>
      <c r="D195" s="1952"/>
      <c r="E195" s="1952"/>
      <c r="F195" s="1952"/>
      <c r="G195" s="1952"/>
      <c r="H195" s="1952"/>
    </row>
    <row r="196" spans="1:8">
      <c r="A196" s="1952"/>
      <c r="B196" s="1952"/>
      <c r="C196" s="1952"/>
      <c r="D196" s="1952"/>
      <c r="E196" s="1952"/>
      <c r="F196" s="1952"/>
      <c r="G196" s="1952"/>
      <c r="H196" s="1952"/>
    </row>
    <row r="197" spans="1:8">
      <c r="A197" s="1952"/>
      <c r="B197" s="1952"/>
      <c r="C197" s="1952"/>
      <c r="D197" s="1952"/>
      <c r="E197" s="1952"/>
      <c r="F197" s="1952"/>
      <c r="G197" s="1952"/>
      <c r="H197" s="1952"/>
    </row>
    <row r="198" spans="1:8">
      <c r="A198" s="1952"/>
      <c r="B198" s="1952"/>
      <c r="C198" s="1952"/>
      <c r="D198" s="1952"/>
      <c r="E198" s="1952"/>
      <c r="F198" s="1952"/>
      <c r="G198" s="1952"/>
      <c r="H198" s="1952"/>
    </row>
    <row r="199" spans="1:8">
      <c r="A199" s="1952"/>
      <c r="B199" s="1952"/>
      <c r="C199" s="1952"/>
      <c r="D199" s="1952"/>
      <c r="E199" s="1952"/>
      <c r="F199" s="1952"/>
      <c r="G199" s="1952"/>
      <c r="H199" s="1952"/>
    </row>
    <row r="200" spans="1:8">
      <c r="A200" s="1952"/>
      <c r="B200" s="1952"/>
      <c r="C200" s="1952"/>
      <c r="D200" s="1952"/>
      <c r="E200" s="1952"/>
      <c r="F200" s="1952"/>
      <c r="G200" s="1952"/>
      <c r="H200" s="1952"/>
    </row>
    <row r="201" spans="1:8">
      <c r="A201" s="1952"/>
      <c r="B201" s="1952"/>
      <c r="C201" s="1952"/>
      <c r="D201" s="1952"/>
      <c r="E201" s="1952"/>
      <c r="F201" s="1952"/>
      <c r="G201" s="1952"/>
      <c r="H201" s="1952"/>
    </row>
    <row r="202" spans="1:8">
      <c r="A202" s="1952"/>
      <c r="B202" s="1952"/>
      <c r="C202" s="1952"/>
      <c r="D202" s="1952"/>
      <c r="E202" s="1952"/>
      <c r="F202" s="1952"/>
      <c r="G202" s="1952"/>
      <c r="H202" s="1952"/>
    </row>
    <row r="203" spans="1:8" ht="15.75">
      <c r="A203" s="1954" t="s">
        <v>588</v>
      </c>
      <c r="B203" s="1952"/>
      <c r="C203" s="1952"/>
      <c r="D203" s="1952"/>
      <c r="E203" s="1952"/>
      <c r="F203" s="1952"/>
      <c r="G203" s="1952"/>
      <c r="H203" s="1952"/>
    </row>
    <row r="204" spans="1:8">
      <c r="A204" s="1952"/>
      <c r="B204" s="1952"/>
      <c r="C204" s="1952"/>
      <c r="D204" s="1952"/>
      <c r="E204" s="1952"/>
      <c r="F204" s="1952"/>
      <c r="G204" s="1952"/>
      <c r="H204" s="1952"/>
    </row>
    <row r="205" spans="1:8">
      <c r="A205" s="1953" t="s">
        <v>749</v>
      </c>
      <c r="B205" s="1952"/>
      <c r="C205" s="1952"/>
      <c r="D205" s="1952"/>
      <c r="E205" s="1952"/>
      <c r="F205" s="1952"/>
      <c r="G205" s="1952"/>
      <c r="H205" s="1952"/>
    </row>
    <row r="206" spans="1:8">
      <c r="A206" s="1953" t="s">
        <v>750</v>
      </c>
      <c r="B206" s="1952"/>
      <c r="C206" s="1952"/>
      <c r="D206" s="1952"/>
      <c r="E206" s="1952"/>
      <c r="F206" s="1952"/>
      <c r="G206" s="1952"/>
      <c r="H206" s="1952"/>
    </row>
    <row r="207" spans="1:8">
      <c r="A207" s="1953" t="s">
        <v>751</v>
      </c>
      <c r="B207" s="1952"/>
      <c r="C207" s="1952"/>
      <c r="D207" s="1952"/>
      <c r="E207" s="1952"/>
      <c r="F207" s="1952"/>
      <c r="G207" s="1952"/>
      <c r="H207" s="1952"/>
    </row>
    <row r="208" spans="1:8">
      <c r="A208" s="1953" t="s">
        <v>752</v>
      </c>
      <c r="B208" s="1952"/>
      <c r="C208" s="1952"/>
      <c r="D208" s="1952"/>
      <c r="E208" s="1952"/>
      <c r="F208" s="1952"/>
      <c r="G208" s="1952"/>
      <c r="H208" s="1952"/>
    </row>
    <row r="209" spans="1:8">
      <c r="A209" s="1953" t="s">
        <v>753</v>
      </c>
      <c r="B209" s="1952"/>
      <c r="C209" s="1952"/>
      <c r="D209" s="1952"/>
      <c r="E209" s="1952"/>
      <c r="F209" s="1952"/>
      <c r="G209" s="1952"/>
      <c r="H209" s="1952"/>
    </row>
    <row r="210" spans="1:8">
      <c r="A210" s="1952"/>
      <c r="B210" s="1952"/>
      <c r="C210" s="1952"/>
      <c r="D210" s="1952"/>
      <c r="E210" s="1952"/>
      <c r="F210" s="1952"/>
      <c r="G210" s="1952"/>
      <c r="H210" s="1952"/>
    </row>
    <row r="211" spans="1:8">
      <c r="A211" s="1953" t="s">
        <v>746</v>
      </c>
      <c r="B211" s="1952"/>
      <c r="C211" s="1952"/>
      <c r="D211" s="1952"/>
      <c r="E211" s="1952"/>
      <c r="F211" s="1952"/>
      <c r="G211" s="1952"/>
      <c r="H211" s="1952"/>
    </row>
    <row r="212" spans="1:8">
      <c r="A212" s="1953" t="s">
        <v>747</v>
      </c>
      <c r="B212" s="1952"/>
      <c r="C212" s="1952"/>
      <c r="D212" s="1952"/>
      <c r="E212" s="1952"/>
      <c r="F212" s="1952"/>
      <c r="G212" s="1952"/>
      <c r="H212" s="1952"/>
    </row>
    <row r="213" spans="1:8">
      <c r="A213" s="1953" t="s">
        <v>748</v>
      </c>
      <c r="B213" s="1952"/>
      <c r="C213" s="1952"/>
      <c r="D213" s="1952"/>
      <c r="E213" s="1952"/>
      <c r="F213" s="1952"/>
      <c r="G213" s="1952"/>
      <c r="H213" s="1952"/>
    </row>
    <row r="214" spans="1:8" ht="15.75">
      <c r="A214" s="1954" t="s">
        <v>589</v>
      </c>
      <c r="B214" s="1952"/>
      <c r="C214" s="1952"/>
      <c r="D214" s="1952"/>
      <c r="E214" s="1952"/>
      <c r="F214" s="1952"/>
      <c r="G214" s="1952"/>
      <c r="H214" s="1952"/>
    </row>
    <row r="215" spans="1:8">
      <c r="A215" s="1952"/>
      <c r="B215" s="1952"/>
      <c r="C215" s="1952"/>
      <c r="D215" s="1952"/>
      <c r="E215" s="1952"/>
      <c r="F215" s="1952"/>
      <c r="G215" s="1952"/>
      <c r="H215" s="1952"/>
    </row>
    <row r="216" spans="1:8">
      <c r="A216" s="1953" t="s">
        <v>744</v>
      </c>
      <c r="B216" s="1952"/>
      <c r="C216" s="1952"/>
      <c r="D216" s="1952"/>
      <c r="E216" s="1952"/>
      <c r="F216" s="1952"/>
      <c r="G216" s="1952"/>
      <c r="H216" s="1952"/>
    </row>
    <row r="217" spans="1:8">
      <c r="A217" s="1953" t="s">
        <v>745</v>
      </c>
      <c r="B217" s="1952"/>
      <c r="C217" s="1952"/>
      <c r="D217" s="1952"/>
      <c r="E217" s="1952"/>
      <c r="F217" s="1952"/>
      <c r="G217" s="1952"/>
      <c r="H217" s="1952"/>
    </row>
    <row r="218" spans="1:8">
      <c r="A218" s="1952"/>
      <c r="B218" s="1952"/>
      <c r="C218" s="1952"/>
      <c r="D218" s="1952"/>
      <c r="E218" s="1952"/>
      <c r="F218" s="1952"/>
      <c r="G218" s="1952"/>
      <c r="H218" s="1952"/>
    </row>
    <row r="219" spans="1:8">
      <c r="A219" s="1953" t="s">
        <v>737</v>
      </c>
      <c r="B219" s="1952"/>
      <c r="C219" s="1952"/>
      <c r="D219" s="1952"/>
      <c r="E219" s="1952"/>
      <c r="F219" s="1952"/>
      <c r="G219" s="1952"/>
      <c r="H219" s="1952"/>
    </row>
    <row r="220" spans="1:8">
      <c r="A220" s="1953" t="s">
        <v>738</v>
      </c>
      <c r="B220" s="1952"/>
      <c r="C220" s="1952"/>
      <c r="D220" s="1952"/>
      <c r="E220" s="1952"/>
      <c r="F220" s="1952"/>
      <c r="G220" s="1952"/>
      <c r="H220" s="1952"/>
    </row>
    <row r="221" spans="1:8">
      <c r="A221" s="1953" t="s">
        <v>739</v>
      </c>
      <c r="B221" s="1952"/>
      <c r="C221" s="1952"/>
      <c r="D221" s="1952"/>
      <c r="E221" s="1952"/>
      <c r="F221" s="1952"/>
      <c r="G221" s="1952"/>
      <c r="H221" s="1952"/>
    </row>
    <row r="222" spans="1:8">
      <c r="A222" s="1953" t="s">
        <v>740</v>
      </c>
      <c r="B222" s="1952"/>
      <c r="C222" s="1952"/>
      <c r="D222" s="1952"/>
      <c r="E222" s="1952"/>
      <c r="F222" s="1952"/>
      <c r="G222" s="1952"/>
      <c r="H222" s="1952"/>
    </row>
    <row r="223" spans="1:8">
      <c r="A223" s="1953" t="s">
        <v>741</v>
      </c>
      <c r="B223" s="1952"/>
      <c r="C223" s="1952"/>
      <c r="D223" s="1952"/>
      <c r="E223" s="1952"/>
      <c r="F223" s="1952"/>
      <c r="G223" s="1952"/>
      <c r="H223" s="1952"/>
    </row>
    <row r="224" spans="1:8">
      <c r="A224" s="1953" t="s">
        <v>742</v>
      </c>
      <c r="B224" s="1952"/>
      <c r="C224" s="1952"/>
      <c r="D224" s="1952"/>
      <c r="E224" s="1952"/>
      <c r="F224" s="1952"/>
      <c r="G224" s="1952"/>
      <c r="H224" s="1952"/>
    </row>
    <row r="225" spans="1:8">
      <c r="A225" s="1953" t="s">
        <v>743</v>
      </c>
      <c r="B225" s="1952"/>
      <c r="C225" s="1952"/>
      <c r="D225" s="1952"/>
      <c r="E225" s="1952"/>
      <c r="F225" s="1952"/>
      <c r="G225" s="1952"/>
      <c r="H225" s="1952"/>
    </row>
    <row r="226" spans="1:8">
      <c r="A226" s="1952"/>
      <c r="B226" s="1952"/>
      <c r="C226" s="1952"/>
      <c r="D226" s="1952"/>
      <c r="E226" s="1952"/>
      <c r="F226" s="1952"/>
      <c r="G226" s="1952"/>
      <c r="H226" s="1952"/>
    </row>
    <row r="227" spans="1:8">
      <c r="A227" s="1953" t="s">
        <v>734</v>
      </c>
      <c r="B227" s="1952"/>
      <c r="C227" s="1952"/>
      <c r="D227" s="1952"/>
      <c r="E227" s="1952"/>
      <c r="F227" s="1952"/>
      <c r="G227" s="1952"/>
      <c r="H227" s="1952"/>
    </row>
    <row r="228" spans="1:8">
      <c r="A228" s="1953" t="s">
        <v>735</v>
      </c>
      <c r="B228" s="1952"/>
      <c r="C228" s="1952"/>
      <c r="D228" s="1952"/>
      <c r="E228" s="1952"/>
      <c r="F228" s="1952"/>
      <c r="G228" s="1952"/>
      <c r="H228" s="1952"/>
    </row>
    <row r="229" spans="1:8">
      <c r="A229" s="1953" t="s">
        <v>736</v>
      </c>
      <c r="B229" s="1952"/>
      <c r="C229" s="1952"/>
      <c r="D229" s="1952"/>
      <c r="E229" s="1952"/>
      <c r="F229" s="1952"/>
      <c r="G229" s="1952"/>
      <c r="H229" s="1952"/>
    </row>
    <row r="230" spans="1:8">
      <c r="A230" s="1952"/>
      <c r="B230" s="1952"/>
      <c r="C230" s="1952"/>
      <c r="D230" s="1952"/>
      <c r="E230" s="1952"/>
      <c r="F230" s="1952"/>
      <c r="G230" s="1952"/>
      <c r="H230" s="1952"/>
    </row>
    <row r="231" spans="1:8">
      <c r="A231" s="1953" t="s">
        <v>729</v>
      </c>
      <c r="B231" s="1952"/>
      <c r="C231" s="1952"/>
      <c r="D231" s="1952"/>
      <c r="E231" s="1952"/>
      <c r="F231" s="1952"/>
      <c r="G231" s="1952"/>
      <c r="H231" s="1952"/>
    </row>
    <row r="232" spans="1:8">
      <c r="A232" s="1953" t="s">
        <v>730</v>
      </c>
      <c r="B232" s="1952"/>
      <c r="C232" s="1952"/>
      <c r="D232" s="1952"/>
      <c r="E232" s="1952"/>
      <c r="F232" s="1952"/>
      <c r="G232" s="1952"/>
      <c r="H232" s="1952"/>
    </row>
    <row r="233" spans="1:8">
      <c r="A233" s="1953" t="s">
        <v>731</v>
      </c>
      <c r="B233" s="1952"/>
      <c r="C233" s="1952"/>
      <c r="D233" s="1952"/>
      <c r="E233" s="1952"/>
      <c r="F233" s="1952"/>
      <c r="G233" s="1952"/>
      <c r="H233" s="1952"/>
    </row>
    <row r="234" spans="1:8">
      <c r="A234" s="1953" t="s">
        <v>732</v>
      </c>
      <c r="B234" s="1952"/>
      <c r="C234" s="1952"/>
      <c r="D234" s="1952"/>
      <c r="E234" s="1952"/>
      <c r="F234" s="1952"/>
      <c r="G234" s="1952"/>
      <c r="H234" s="1952"/>
    </row>
    <row r="235" spans="1:8">
      <c r="A235" s="1953" t="s">
        <v>733</v>
      </c>
      <c r="B235" s="1952"/>
      <c r="C235" s="1952"/>
      <c r="D235" s="1952"/>
      <c r="E235" s="1952"/>
      <c r="F235" s="1952"/>
      <c r="G235" s="1952"/>
      <c r="H235" s="1952"/>
    </row>
    <row r="236" spans="1:8">
      <c r="A236" s="1952"/>
      <c r="B236" s="1952"/>
      <c r="C236" s="1952"/>
      <c r="D236" s="1952"/>
      <c r="E236" s="1952"/>
      <c r="F236" s="1952"/>
      <c r="G236" s="1952"/>
      <c r="H236" s="1952"/>
    </row>
    <row r="237" spans="1:8">
      <c r="A237" s="1953" t="s">
        <v>723</v>
      </c>
      <c r="B237" s="1952"/>
      <c r="C237" s="1952"/>
      <c r="D237" s="1952"/>
      <c r="E237" s="1952"/>
      <c r="F237" s="1952"/>
      <c r="G237" s="1952"/>
      <c r="H237" s="1952"/>
    </row>
    <row r="238" spans="1:8">
      <c r="A238" s="1953" t="s">
        <v>724</v>
      </c>
      <c r="B238" s="1952"/>
      <c r="C238" s="1952"/>
      <c r="D238" s="1952"/>
      <c r="E238" s="1952"/>
      <c r="F238" s="1952"/>
      <c r="G238" s="1952"/>
      <c r="H238" s="1952"/>
    </row>
    <row r="239" spans="1:8">
      <c r="A239" s="1953" t="s">
        <v>725</v>
      </c>
      <c r="B239" s="1952"/>
      <c r="C239" s="1952"/>
      <c r="D239" s="1952"/>
      <c r="E239" s="1952"/>
      <c r="F239" s="1952"/>
      <c r="G239" s="1952"/>
      <c r="H239" s="1952"/>
    </row>
    <row r="240" spans="1:8">
      <c r="A240" s="1953" t="s">
        <v>726</v>
      </c>
      <c r="B240" s="1952"/>
      <c r="C240" s="1952"/>
      <c r="D240" s="1952"/>
      <c r="E240" s="1952"/>
      <c r="F240" s="1952"/>
      <c r="G240" s="1952"/>
      <c r="H240" s="1952"/>
    </row>
    <row r="241" spans="1:8">
      <c r="A241" s="1953" t="s">
        <v>727</v>
      </c>
      <c r="B241" s="1952"/>
      <c r="C241" s="1952"/>
      <c r="D241" s="1952"/>
      <c r="E241" s="1952"/>
      <c r="F241" s="1952"/>
      <c r="G241" s="1952"/>
      <c r="H241" s="1952"/>
    </row>
    <row r="242" spans="1:8">
      <c r="A242" s="1953" t="s">
        <v>728</v>
      </c>
      <c r="B242" s="1952"/>
      <c r="C242" s="1952"/>
      <c r="D242" s="1952"/>
      <c r="E242" s="1952"/>
      <c r="F242" s="1952"/>
      <c r="G242" s="1952"/>
      <c r="H242" s="1952"/>
    </row>
    <row r="243" spans="1:8">
      <c r="A243" s="1952"/>
      <c r="B243" s="1952"/>
      <c r="C243" s="1952"/>
      <c r="D243" s="1952"/>
      <c r="E243" s="1952"/>
      <c r="F243" s="1952"/>
      <c r="G243" s="1952"/>
      <c r="H243" s="1952"/>
    </row>
    <row r="244" spans="1:8">
      <c r="A244" s="1953" t="s">
        <v>713</v>
      </c>
      <c r="B244" s="1952"/>
      <c r="C244" s="1952"/>
      <c r="D244" s="1952"/>
      <c r="E244" s="1952"/>
      <c r="F244" s="1952"/>
      <c r="G244" s="1952"/>
      <c r="H244" s="1952"/>
    </row>
    <row r="245" spans="1:8">
      <c r="A245" s="1953" t="s">
        <v>714</v>
      </c>
      <c r="B245" s="1952"/>
      <c r="C245" s="1952"/>
      <c r="D245" s="1952"/>
      <c r="E245" s="1952"/>
      <c r="F245" s="1952"/>
      <c r="G245" s="1952"/>
      <c r="H245" s="1952"/>
    </row>
    <row r="246" spans="1:8">
      <c r="A246" s="1953" t="s">
        <v>715</v>
      </c>
      <c r="B246" s="1952"/>
      <c r="C246" s="1952"/>
      <c r="D246" s="1952"/>
      <c r="E246" s="1952"/>
      <c r="F246" s="1952"/>
      <c r="G246" s="1952"/>
      <c r="H246" s="1952"/>
    </row>
    <row r="247" spans="1:8">
      <c r="A247" s="1953" t="s">
        <v>716</v>
      </c>
      <c r="B247" s="1952"/>
      <c r="C247" s="1952"/>
      <c r="D247" s="1952"/>
      <c r="E247" s="1952"/>
      <c r="F247" s="1952"/>
      <c r="G247" s="1952"/>
      <c r="H247" s="1952"/>
    </row>
    <row r="248" spans="1:8">
      <c r="A248" s="1953" t="s">
        <v>717</v>
      </c>
      <c r="B248" s="1952"/>
      <c r="C248" s="1952"/>
      <c r="D248" s="1952"/>
      <c r="E248" s="1952"/>
      <c r="F248" s="1952"/>
      <c r="G248" s="1952"/>
      <c r="H248" s="1952"/>
    </row>
    <row r="249" spans="1:8">
      <c r="A249" s="1953" t="s">
        <v>718</v>
      </c>
      <c r="B249" s="1952"/>
      <c r="C249" s="1952"/>
      <c r="D249" s="1952"/>
      <c r="E249" s="1952"/>
      <c r="F249" s="1952"/>
      <c r="G249" s="1952"/>
      <c r="H249" s="1952"/>
    </row>
    <row r="250" spans="1:8">
      <c r="A250" s="1953" t="s">
        <v>719</v>
      </c>
      <c r="B250" s="1952"/>
      <c r="C250" s="1952"/>
      <c r="D250" s="1952"/>
      <c r="E250" s="1952"/>
      <c r="F250" s="1952"/>
      <c r="G250" s="1952"/>
      <c r="H250" s="1952"/>
    </row>
    <row r="251" spans="1:8">
      <c r="A251" s="1953" t="s">
        <v>720</v>
      </c>
      <c r="B251" s="1952"/>
      <c r="C251" s="1952"/>
      <c r="D251" s="1952"/>
      <c r="E251" s="1952"/>
      <c r="F251" s="1952"/>
      <c r="G251" s="1952"/>
      <c r="H251" s="1952"/>
    </row>
    <row r="252" spans="1:8">
      <c r="A252" s="1953" t="s">
        <v>721</v>
      </c>
      <c r="B252" s="1952"/>
      <c r="C252" s="1952"/>
      <c r="D252" s="1952"/>
      <c r="E252" s="1952"/>
      <c r="F252" s="1952"/>
      <c r="G252" s="1952"/>
      <c r="H252" s="1952"/>
    </row>
    <row r="253" spans="1:8">
      <c r="A253" s="1953" t="s">
        <v>722</v>
      </c>
      <c r="B253" s="1952"/>
      <c r="C253" s="1952"/>
      <c r="D253" s="1952"/>
      <c r="E253" s="1952"/>
      <c r="F253" s="1952"/>
      <c r="G253" s="1952"/>
      <c r="H253" s="1952"/>
    </row>
    <row r="254" spans="1:8">
      <c r="A254" s="1952"/>
      <c r="B254" s="1952"/>
      <c r="C254" s="1952"/>
      <c r="D254" s="1952"/>
      <c r="E254" s="1952"/>
      <c r="F254" s="1952"/>
      <c r="G254" s="1952"/>
      <c r="H254" s="1952"/>
    </row>
    <row r="255" spans="1:8">
      <c r="A255" s="1953" t="s">
        <v>711</v>
      </c>
      <c r="B255" s="1952"/>
      <c r="C255" s="1952"/>
      <c r="D255" s="1952"/>
      <c r="E255" s="1952"/>
      <c r="F255" s="1952"/>
      <c r="G255" s="1952"/>
      <c r="H255" s="1952"/>
    </row>
    <row r="256" spans="1:8">
      <c r="A256" s="1953" t="s">
        <v>712</v>
      </c>
      <c r="B256" s="1952"/>
      <c r="C256" s="1952"/>
      <c r="D256" s="1952"/>
      <c r="E256" s="1952"/>
      <c r="F256" s="1952"/>
      <c r="G256" s="1952"/>
      <c r="H256" s="1952"/>
    </row>
    <row r="257" spans="1:8">
      <c r="A257" s="1952"/>
      <c r="B257" s="1952"/>
      <c r="C257" s="1952"/>
      <c r="D257" s="1952"/>
      <c r="E257" s="1952"/>
      <c r="F257" s="1952"/>
      <c r="G257" s="1952"/>
      <c r="H257" s="1952"/>
    </row>
    <row r="258" spans="1:8">
      <c r="A258" s="1953" t="s">
        <v>695</v>
      </c>
      <c r="B258" s="1952"/>
      <c r="C258" s="1952"/>
      <c r="D258" s="1952"/>
      <c r="E258" s="1952"/>
      <c r="F258" s="1952"/>
      <c r="G258" s="1952"/>
      <c r="H258" s="1952"/>
    </row>
    <row r="259" spans="1:8">
      <c r="A259" s="1953" t="s">
        <v>696</v>
      </c>
      <c r="B259" s="1952"/>
      <c r="C259" s="1952"/>
      <c r="D259" s="1952"/>
      <c r="E259" s="1952"/>
      <c r="F259" s="1952"/>
      <c r="G259" s="1952"/>
      <c r="H259" s="1952"/>
    </row>
    <row r="260" spans="1:8">
      <c r="A260" s="1953" t="s">
        <v>697</v>
      </c>
      <c r="B260" s="1952"/>
      <c r="C260" s="1952"/>
      <c r="D260" s="1952"/>
      <c r="E260" s="1952"/>
      <c r="F260" s="1952"/>
      <c r="G260" s="1952"/>
      <c r="H260" s="1952"/>
    </row>
    <row r="261" spans="1:8">
      <c r="A261" s="1953" t="s">
        <v>698</v>
      </c>
      <c r="B261" s="1952"/>
      <c r="C261" s="1952"/>
      <c r="D261" s="1952"/>
      <c r="E261" s="1952"/>
      <c r="F261" s="1952"/>
      <c r="G261" s="1952"/>
      <c r="H261" s="1952"/>
    </row>
    <row r="262" spans="1:8">
      <c r="A262" s="1953" t="s">
        <v>699</v>
      </c>
      <c r="B262" s="1952"/>
      <c r="C262" s="1952"/>
      <c r="D262" s="1952"/>
      <c r="E262" s="1952"/>
      <c r="F262" s="1952"/>
      <c r="G262" s="1952"/>
      <c r="H262" s="1952"/>
    </row>
    <row r="263" spans="1:8">
      <c r="A263" s="1953" t="s">
        <v>700</v>
      </c>
      <c r="B263" s="1952"/>
      <c r="C263" s="1952"/>
      <c r="D263" s="1952"/>
      <c r="E263" s="1952"/>
      <c r="F263" s="1952"/>
      <c r="G263" s="1952"/>
      <c r="H263" s="1952"/>
    </row>
    <row r="264" spans="1:8">
      <c r="A264" s="1953" t="s">
        <v>701</v>
      </c>
      <c r="B264" s="1952"/>
      <c r="C264" s="1952"/>
      <c r="D264" s="1952"/>
      <c r="E264" s="1952"/>
      <c r="F264" s="1952"/>
      <c r="G264" s="1952"/>
      <c r="H264" s="1952"/>
    </row>
    <row r="265" spans="1:8">
      <c r="A265" s="1953" t="s">
        <v>702</v>
      </c>
      <c r="B265" s="1952"/>
      <c r="C265" s="1952"/>
      <c r="D265" s="1952"/>
      <c r="E265" s="1952"/>
      <c r="F265" s="1952"/>
      <c r="G265" s="1952"/>
      <c r="H265" s="1952"/>
    </row>
    <row r="266" spans="1:8">
      <c r="A266" s="1953" t="s">
        <v>703</v>
      </c>
      <c r="B266" s="1952"/>
      <c r="C266" s="1952"/>
      <c r="D266" s="1952"/>
      <c r="E266" s="1952"/>
      <c r="F266" s="1952"/>
      <c r="G266" s="1952"/>
      <c r="H266" s="1952"/>
    </row>
    <row r="267" spans="1:8">
      <c r="A267" s="1953" t="s">
        <v>704</v>
      </c>
      <c r="B267" s="1952"/>
      <c r="C267" s="1952"/>
      <c r="D267" s="1952"/>
      <c r="E267" s="1952"/>
      <c r="F267" s="1952"/>
      <c r="G267" s="1952"/>
      <c r="H267" s="1952"/>
    </row>
    <row r="268" spans="1:8">
      <c r="A268" s="1953" t="s">
        <v>705</v>
      </c>
      <c r="B268" s="1952"/>
      <c r="C268" s="1952"/>
      <c r="D268" s="1952"/>
      <c r="E268" s="1952"/>
      <c r="F268" s="1952"/>
      <c r="G268" s="1952"/>
      <c r="H268" s="1952"/>
    </row>
    <row r="269" spans="1:8">
      <c r="A269" s="1953" t="s">
        <v>706</v>
      </c>
      <c r="B269" s="1952"/>
      <c r="C269" s="1952"/>
      <c r="D269" s="1952"/>
      <c r="E269" s="1952"/>
      <c r="F269" s="1952"/>
      <c r="G269" s="1952"/>
      <c r="H269" s="1952"/>
    </row>
    <row r="270" spans="1:8">
      <c r="A270" s="1953" t="s">
        <v>707</v>
      </c>
      <c r="B270" s="1952"/>
      <c r="C270" s="1952"/>
      <c r="D270" s="1952"/>
      <c r="E270" s="1952"/>
      <c r="F270" s="1952"/>
      <c r="G270" s="1952"/>
      <c r="H270" s="1952"/>
    </row>
    <row r="271" spans="1:8">
      <c r="A271" s="1953" t="s">
        <v>708</v>
      </c>
      <c r="B271" s="1952"/>
      <c r="C271" s="1952"/>
      <c r="D271" s="1952"/>
      <c r="E271" s="1952"/>
      <c r="F271" s="1952"/>
      <c r="G271" s="1952"/>
      <c r="H271" s="1952"/>
    </row>
    <row r="272" spans="1:8">
      <c r="A272" s="1953" t="s">
        <v>709</v>
      </c>
      <c r="B272" s="1952"/>
      <c r="C272" s="1952"/>
      <c r="D272" s="1952"/>
      <c r="E272" s="1952"/>
      <c r="F272" s="1952"/>
      <c r="G272" s="1952"/>
      <c r="H272" s="1952"/>
    </row>
    <row r="273" spans="1:8">
      <c r="A273" s="1953" t="s">
        <v>710</v>
      </c>
      <c r="B273" s="1952"/>
      <c r="C273" s="1952"/>
      <c r="D273" s="1952"/>
      <c r="E273" s="1952"/>
      <c r="F273" s="1952"/>
      <c r="G273" s="1952"/>
      <c r="H273" s="1952"/>
    </row>
    <row r="274" spans="1:8">
      <c r="A274" s="1952"/>
      <c r="B274" s="1952"/>
      <c r="C274" s="1952"/>
      <c r="D274" s="1952"/>
      <c r="E274" s="1952"/>
      <c r="F274" s="1952"/>
      <c r="G274" s="1952"/>
      <c r="H274" s="1952"/>
    </row>
    <row r="275" spans="1:8">
      <c r="A275" s="1953" t="s">
        <v>688</v>
      </c>
      <c r="B275" s="1952"/>
      <c r="C275" s="1952"/>
      <c r="D275" s="1952"/>
      <c r="E275" s="1952"/>
      <c r="F275" s="1952"/>
      <c r="G275" s="1952"/>
      <c r="H275" s="1952"/>
    </row>
    <row r="276" spans="1:8">
      <c r="A276" s="1953" t="s">
        <v>689</v>
      </c>
      <c r="B276" s="1952"/>
      <c r="C276" s="1952"/>
      <c r="D276" s="1952"/>
      <c r="E276" s="1952"/>
      <c r="F276" s="1952"/>
      <c r="G276" s="1952"/>
      <c r="H276" s="1952"/>
    </row>
    <row r="277" spans="1:8">
      <c r="A277" s="1953" t="s">
        <v>690</v>
      </c>
      <c r="B277" s="1952"/>
      <c r="C277" s="1952"/>
      <c r="D277" s="1952"/>
      <c r="E277" s="1952"/>
      <c r="F277" s="1952"/>
      <c r="G277" s="1952"/>
      <c r="H277" s="1952"/>
    </row>
    <row r="278" spans="1:8">
      <c r="A278" s="1953" t="s">
        <v>691</v>
      </c>
      <c r="B278" s="1952"/>
      <c r="C278" s="1952"/>
      <c r="D278" s="1952"/>
      <c r="E278" s="1952"/>
      <c r="F278" s="1952"/>
      <c r="G278" s="1952"/>
      <c r="H278" s="1952"/>
    </row>
    <row r="279" spans="1:8">
      <c r="A279" s="1953" t="s">
        <v>692</v>
      </c>
      <c r="B279" s="1952"/>
      <c r="C279" s="1952"/>
      <c r="D279" s="1952"/>
      <c r="E279" s="1952"/>
      <c r="F279" s="1952"/>
      <c r="G279" s="1952"/>
      <c r="H279" s="1952"/>
    </row>
    <row r="280" spans="1:8">
      <c r="A280" s="1953" t="s">
        <v>693</v>
      </c>
      <c r="B280" s="1952"/>
      <c r="C280" s="1952"/>
      <c r="D280" s="1952"/>
      <c r="E280" s="1952"/>
      <c r="F280" s="1952"/>
      <c r="G280" s="1952"/>
      <c r="H280" s="1952"/>
    </row>
    <row r="281" spans="1:8">
      <c r="A281" s="1953" t="s">
        <v>694</v>
      </c>
      <c r="B281" s="1952"/>
      <c r="C281" s="1952"/>
      <c r="D281" s="1952"/>
      <c r="E281" s="1952"/>
      <c r="F281" s="1952"/>
      <c r="G281" s="1952"/>
      <c r="H281" s="1952"/>
    </row>
    <row r="282" spans="1:8">
      <c r="A282" s="1952"/>
      <c r="B282" s="1952"/>
      <c r="C282" s="1952"/>
      <c r="D282" s="1952"/>
      <c r="E282" s="1952"/>
      <c r="F282" s="1952"/>
      <c r="G282" s="1952"/>
      <c r="H282" s="1952"/>
    </row>
    <row r="283" spans="1:8">
      <c r="A283" s="1953" t="s">
        <v>679</v>
      </c>
      <c r="B283" s="1952"/>
      <c r="C283" s="1952"/>
      <c r="D283" s="1952"/>
      <c r="E283" s="1952"/>
      <c r="F283" s="1952"/>
      <c r="G283" s="1952"/>
      <c r="H283" s="1952"/>
    </row>
    <row r="284" spans="1:8">
      <c r="A284" s="1953" t="s">
        <v>680</v>
      </c>
      <c r="B284" s="1952"/>
      <c r="C284" s="1952"/>
      <c r="D284" s="1952"/>
      <c r="E284" s="1952"/>
      <c r="F284" s="1952"/>
      <c r="G284" s="1952"/>
      <c r="H284" s="1952"/>
    </row>
    <row r="285" spans="1:8">
      <c r="A285" s="1953" t="s">
        <v>681</v>
      </c>
      <c r="B285" s="1952"/>
      <c r="C285" s="1952"/>
      <c r="D285" s="1952"/>
      <c r="E285" s="1952"/>
      <c r="F285" s="1952"/>
      <c r="G285" s="1952"/>
      <c r="H285" s="1952"/>
    </row>
    <row r="286" spans="1:8">
      <c r="A286" s="1953" t="s">
        <v>682</v>
      </c>
      <c r="B286" s="1952"/>
      <c r="C286" s="1952"/>
      <c r="D286" s="1952"/>
      <c r="E286" s="1952"/>
      <c r="F286" s="1952"/>
      <c r="G286" s="1952"/>
      <c r="H286" s="1952"/>
    </row>
    <row r="287" spans="1:8">
      <c r="A287" s="1953" t="s">
        <v>683</v>
      </c>
      <c r="B287" s="1952"/>
      <c r="C287" s="1952"/>
      <c r="D287" s="1952"/>
      <c r="E287" s="1952"/>
      <c r="F287" s="1952"/>
      <c r="G287" s="1952"/>
      <c r="H287" s="1952"/>
    </row>
    <row r="288" spans="1:8">
      <c r="A288" s="1953" t="s">
        <v>684</v>
      </c>
      <c r="B288" s="1952"/>
      <c r="C288" s="1952"/>
      <c r="D288" s="1952"/>
      <c r="E288" s="1952"/>
      <c r="F288" s="1952"/>
      <c r="G288" s="1952"/>
      <c r="H288" s="1952"/>
    </row>
    <row r="289" spans="1:8">
      <c r="A289" s="1953" t="s">
        <v>685</v>
      </c>
      <c r="B289" s="1952"/>
      <c r="C289" s="1952"/>
      <c r="D289" s="1952"/>
      <c r="E289" s="1952"/>
      <c r="F289" s="1952"/>
      <c r="G289" s="1952"/>
      <c r="H289" s="1952"/>
    </row>
    <row r="290" spans="1:8">
      <c r="A290" s="1953" t="s">
        <v>686</v>
      </c>
      <c r="B290" s="1952"/>
      <c r="C290" s="1952"/>
      <c r="D290" s="1952"/>
      <c r="E290" s="1952"/>
      <c r="F290" s="1952"/>
      <c r="G290" s="1952"/>
      <c r="H290" s="1952"/>
    </row>
    <row r="291" spans="1:8">
      <c r="A291" s="1953" t="s">
        <v>687</v>
      </c>
      <c r="B291" s="1952"/>
      <c r="C291" s="1952"/>
      <c r="D291" s="1952"/>
      <c r="E291" s="1952"/>
      <c r="F291" s="1952"/>
      <c r="G291" s="1952"/>
      <c r="H291" s="1952"/>
    </row>
    <row r="292" spans="1:8">
      <c r="A292" s="1952"/>
      <c r="B292" s="1952"/>
      <c r="C292" s="1952"/>
      <c r="D292" s="1952"/>
      <c r="E292" s="1952"/>
      <c r="F292" s="1952"/>
      <c r="G292" s="1952"/>
      <c r="H292" s="1952"/>
    </row>
    <row r="293" spans="1:8">
      <c r="A293" s="1953" t="s">
        <v>672</v>
      </c>
      <c r="B293" s="1952"/>
      <c r="C293" s="1952"/>
      <c r="D293" s="1952"/>
      <c r="E293" s="1952"/>
      <c r="F293" s="1952"/>
      <c r="G293" s="1952"/>
      <c r="H293" s="1952"/>
    </row>
    <row r="294" spans="1:8">
      <c r="A294" s="1953" t="s">
        <v>673</v>
      </c>
      <c r="B294" s="1952"/>
      <c r="C294" s="1952"/>
      <c r="D294" s="1952"/>
      <c r="E294" s="1952"/>
      <c r="F294" s="1952"/>
      <c r="G294" s="1952"/>
      <c r="H294" s="1952"/>
    </row>
    <row r="295" spans="1:8">
      <c r="A295" s="1953" t="s">
        <v>674</v>
      </c>
      <c r="B295" s="1952"/>
      <c r="C295" s="1952"/>
      <c r="D295" s="1952"/>
      <c r="E295" s="1952"/>
      <c r="F295" s="1952"/>
      <c r="G295" s="1952"/>
      <c r="H295" s="1952"/>
    </row>
    <row r="296" spans="1:8">
      <c r="A296" s="1953" t="s">
        <v>675</v>
      </c>
      <c r="B296" s="1952"/>
      <c r="C296" s="1952"/>
      <c r="D296" s="1952"/>
      <c r="E296" s="1952"/>
      <c r="F296" s="1952"/>
      <c r="G296" s="1952"/>
      <c r="H296" s="1952"/>
    </row>
    <row r="297" spans="1:8">
      <c r="A297" s="1953" t="s">
        <v>676</v>
      </c>
      <c r="B297" s="1952"/>
      <c r="C297" s="1952"/>
      <c r="D297" s="1952"/>
      <c r="E297" s="1952"/>
      <c r="F297" s="1952"/>
      <c r="G297" s="1952"/>
      <c r="H297" s="1952"/>
    </row>
    <row r="298" spans="1:8">
      <c r="A298" s="1953" t="s">
        <v>677</v>
      </c>
      <c r="B298" s="1952"/>
      <c r="C298" s="1952"/>
      <c r="D298" s="1952"/>
      <c r="E298" s="1952"/>
      <c r="F298" s="1952"/>
      <c r="G298" s="1952"/>
      <c r="H298" s="1952"/>
    </row>
    <row r="299" spans="1:8">
      <c r="A299" s="1953" t="s">
        <v>678</v>
      </c>
      <c r="B299" s="1952"/>
      <c r="C299" s="1952"/>
      <c r="D299" s="1952"/>
      <c r="E299" s="1952"/>
      <c r="F299" s="1952"/>
      <c r="G299" s="1952"/>
      <c r="H299" s="1952"/>
    </row>
    <row r="300" spans="1:8">
      <c r="A300" s="1952"/>
      <c r="B300" s="1952"/>
      <c r="C300" s="1952"/>
      <c r="D300" s="1952"/>
      <c r="E300" s="1952"/>
      <c r="F300" s="1952"/>
      <c r="G300" s="1952"/>
      <c r="H300" s="1952"/>
    </row>
    <row r="301" spans="1:8">
      <c r="A301" s="1953" t="s">
        <v>669</v>
      </c>
      <c r="B301" s="1952"/>
      <c r="C301" s="1952"/>
      <c r="D301" s="1952"/>
      <c r="E301" s="1952"/>
      <c r="F301" s="1952"/>
      <c r="G301" s="1952"/>
      <c r="H301" s="1952"/>
    </row>
    <row r="302" spans="1:8">
      <c r="A302" s="1953" t="s">
        <v>670</v>
      </c>
      <c r="B302" s="1952"/>
      <c r="C302" s="1952"/>
      <c r="D302" s="1952"/>
      <c r="E302" s="1952"/>
      <c r="F302" s="1952"/>
      <c r="G302" s="1952"/>
      <c r="H302" s="1952"/>
    </row>
    <row r="303" spans="1:8">
      <c r="A303" s="1953" t="s">
        <v>671</v>
      </c>
      <c r="B303" s="1952"/>
      <c r="C303" s="1952"/>
      <c r="D303" s="1952"/>
      <c r="E303" s="1952"/>
      <c r="F303" s="1952"/>
      <c r="G303" s="1952"/>
      <c r="H303" s="1952"/>
    </row>
    <row r="304" spans="1:8">
      <c r="A304" s="1952"/>
      <c r="B304" s="1952"/>
      <c r="C304" s="1952"/>
      <c r="D304" s="1952"/>
      <c r="E304" s="1952"/>
      <c r="F304" s="1952"/>
      <c r="G304" s="1952"/>
      <c r="H304" s="1952"/>
    </row>
    <row r="305" spans="1:8">
      <c r="A305" s="1953" t="s">
        <v>667</v>
      </c>
      <c r="B305" s="1952"/>
      <c r="C305" s="1952"/>
      <c r="D305" s="1952"/>
      <c r="E305" s="1952"/>
      <c r="F305" s="1952"/>
      <c r="G305" s="1952"/>
      <c r="H305" s="1952"/>
    </row>
    <row r="306" spans="1:8">
      <c r="A306" s="1953" t="s">
        <v>668</v>
      </c>
      <c r="B306" s="1952"/>
      <c r="C306" s="1952"/>
      <c r="D306" s="1952"/>
      <c r="E306" s="1952"/>
      <c r="F306" s="1952"/>
      <c r="G306" s="1952"/>
      <c r="H306" s="1952"/>
    </row>
    <row r="307" spans="1:8">
      <c r="A307" s="1952"/>
      <c r="B307" s="1952"/>
      <c r="C307" s="1952"/>
      <c r="D307" s="1952"/>
      <c r="E307" s="1952"/>
      <c r="F307" s="1952"/>
      <c r="G307" s="1952"/>
      <c r="H307" s="1952"/>
    </row>
    <row r="308" spans="1:8">
      <c r="A308" s="1953" t="s">
        <v>654</v>
      </c>
      <c r="B308" s="1952"/>
      <c r="C308" s="1952"/>
      <c r="D308" s="1952"/>
      <c r="E308" s="1952"/>
      <c r="F308" s="1952"/>
      <c r="G308" s="1952"/>
      <c r="H308" s="1952"/>
    </row>
    <row r="309" spans="1:8">
      <c r="A309" s="1953" t="s">
        <v>655</v>
      </c>
      <c r="B309" s="1952"/>
      <c r="C309" s="1952"/>
      <c r="D309" s="1952"/>
      <c r="E309" s="1952"/>
      <c r="F309" s="1952"/>
      <c r="G309" s="1952"/>
      <c r="H309" s="1952"/>
    </row>
    <row r="310" spans="1:8">
      <c r="A310" s="1953" t="s">
        <v>656</v>
      </c>
      <c r="B310" s="1952"/>
      <c r="C310" s="1952"/>
      <c r="D310" s="1952"/>
      <c r="E310" s="1952"/>
      <c r="F310" s="1952"/>
      <c r="G310" s="1952"/>
      <c r="H310" s="1952"/>
    </row>
    <row r="311" spans="1:8">
      <c r="A311" s="1953" t="s">
        <v>657</v>
      </c>
      <c r="B311" s="1952"/>
      <c r="C311" s="1952"/>
      <c r="D311" s="1952"/>
      <c r="E311" s="1952"/>
      <c r="F311" s="1952"/>
      <c r="G311" s="1952"/>
      <c r="H311" s="1952"/>
    </row>
    <row r="312" spans="1:8">
      <c r="A312" s="1953" t="s">
        <v>658</v>
      </c>
      <c r="B312" s="1952"/>
      <c r="C312" s="1952"/>
      <c r="D312" s="1952"/>
      <c r="E312" s="1952"/>
      <c r="F312" s="1952"/>
      <c r="G312" s="1952"/>
      <c r="H312" s="1952"/>
    </row>
    <row r="313" spans="1:8">
      <c r="A313" s="1953" t="s">
        <v>659</v>
      </c>
      <c r="B313" s="1952"/>
      <c r="C313" s="1952"/>
      <c r="D313" s="1952"/>
      <c r="E313" s="1952"/>
      <c r="F313" s="1952"/>
      <c r="G313" s="1952"/>
      <c r="H313" s="1952"/>
    </row>
    <row r="314" spans="1:8">
      <c r="A314" s="1953" t="s">
        <v>660</v>
      </c>
      <c r="B314" s="1952"/>
      <c r="C314" s="1952"/>
      <c r="D314" s="1952"/>
      <c r="E314" s="1952"/>
      <c r="F314" s="1952"/>
      <c r="G314" s="1952"/>
      <c r="H314" s="1952"/>
    </row>
    <row r="315" spans="1:8">
      <c r="A315" s="1953" t="s">
        <v>661</v>
      </c>
      <c r="B315" s="1952"/>
      <c r="C315" s="1952"/>
      <c r="D315" s="1952"/>
      <c r="E315" s="1952"/>
      <c r="F315" s="1952"/>
      <c r="G315" s="1952"/>
      <c r="H315" s="1952"/>
    </row>
    <row r="316" spans="1:8">
      <c r="A316" s="1953" t="s">
        <v>662</v>
      </c>
      <c r="B316" s="1952"/>
      <c r="C316" s="1952"/>
      <c r="D316" s="1952"/>
      <c r="E316" s="1952"/>
      <c r="F316" s="1952"/>
      <c r="G316" s="1952"/>
      <c r="H316" s="1952"/>
    </row>
    <row r="317" spans="1:8">
      <c r="A317" s="1953" t="s">
        <v>663</v>
      </c>
      <c r="B317" s="1952"/>
      <c r="C317" s="1952"/>
      <c r="D317" s="1952"/>
      <c r="E317" s="1952"/>
      <c r="F317" s="1952"/>
      <c r="G317" s="1952"/>
      <c r="H317" s="1952"/>
    </row>
    <row r="318" spans="1:8">
      <c r="A318" s="1953" t="s">
        <v>664</v>
      </c>
      <c r="B318" s="1952"/>
      <c r="C318" s="1952"/>
      <c r="D318" s="1952"/>
      <c r="E318" s="1952"/>
      <c r="F318" s="1952"/>
      <c r="G318" s="1952"/>
      <c r="H318" s="1952"/>
    </row>
    <row r="319" spans="1:8">
      <c r="A319" s="1953" t="s">
        <v>665</v>
      </c>
      <c r="B319" s="1952"/>
      <c r="C319" s="1952"/>
      <c r="D319" s="1952"/>
      <c r="E319" s="1952"/>
      <c r="F319" s="1952"/>
      <c r="G319" s="1952"/>
      <c r="H319" s="1952"/>
    </row>
    <row r="320" spans="1:8">
      <c r="A320" s="1953" t="s">
        <v>666</v>
      </c>
      <c r="B320" s="1952"/>
      <c r="C320" s="1952"/>
      <c r="D320" s="1952"/>
      <c r="E320" s="1952"/>
      <c r="F320" s="1952"/>
      <c r="G320" s="1952"/>
      <c r="H320" s="1952"/>
    </row>
    <row r="321" spans="1:8">
      <c r="A321" s="1952"/>
      <c r="B321" s="1952"/>
      <c r="C321" s="1952"/>
      <c r="D321" s="1952"/>
      <c r="E321" s="1952"/>
      <c r="F321" s="1952"/>
      <c r="G321" s="1952"/>
      <c r="H321" s="1952"/>
    </row>
    <row r="322" spans="1:8">
      <c r="A322" s="1953" t="s">
        <v>646</v>
      </c>
      <c r="B322" s="1952"/>
      <c r="C322" s="1952"/>
      <c r="D322" s="1952"/>
      <c r="E322" s="1952"/>
      <c r="F322" s="1952"/>
      <c r="G322" s="1952"/>
      <c r="H322" s="1952"/>
    </row>
    <row r="323" spans="1:8">
      <c r="A323" s="1953" t="s">
        <v>647</v>
      </c>
      <c r="B323" s="1952"/>
      <c r="C323" s="1952"/>
      <c r="D323" s="1952"/>
      <c r="E323" s="1952"/>
      <c r="F323" s="1952"/>
      <c r="G323" s="1952"/>
      <c r="H323" s="1952"/>
    </row>
    <row r="324" spans="1:8">
      <c r="A324" s="1953" t="s">
        <v>648</v>
      </c>
      <c r="B324" s="1952"/>
      <c r="C324" s="1952"/>
      <c r="D324" s="1952"/>
      <c r="E324" s="1952"/>
      <c r="F324" s="1952"/>
      <c r="G324" s="1952"/>
      <c r="H324" s="1952"/>
    </row>
    <row r="325" spans="1:8">
      <c r="A325" s="1953" t="s">
        <v>649</v>
      </c>
      <c r="B325" s="1952"/>
      <c r="C325" s="1952"/>
      <c r="D325" s="1952"/>
      <c r="E325" s="1952"/>
      <c r="F325" s="1952"/>
      <c r="G325" s="1952"/>
      <c r="H325" s="1952"/>
    </row>
    <row r="326" spans="1:8">
      <c r="A326" s="1953" t="s">
        <v>650</v>
      </c>
      <c r="B326" s="1952"/>
      <c r="C326" s="1952"/>
      <c r="D326" s="1952"/>
      <c r="E326" s="1952"/>
      <c r="F326" s="1952"/>
      <c r="G326" s="1952"/>
      <c r="H326" s="1952"/>
    </row>
    <row r="327" spans="1:8">
      <c r="A327" s="1953" t="s">
        <v>651</v>
      </c>
      <c r="B327" s="1952"/>
      <c r="C327" s="1952"/>
      <c r="D327" s="1952"/>
      <c r="E327" s="1952"/>
      <c r="F327" s="1952"/>
      <c r="G327" s="1952"/>
      <c r="H327" s="1952"/>
    </row>
    <row r="328" spans="1:8">
      <c r="A328" s="1953" t="s">
        <v>652</v>
      </c>
      <c r="B328" s="1952"/>
      <c r="C328" s="1952"/>
      <c r="D328" s="1952"/>
      <c r="E328" s="1952"/>
      <c r="F328" s="1952"/>
      <c r="G328" s="1952"/>
      <c r="H328" s="1952"/>
    </row>
    <row r="329" spans="1:8">
      <c r="A329" s="1953" t="s">
        <v>653</v>
      </c>
      <c r="B329" s="1952"/>
      <c r="C329" s="1952"/>
      <c r="D329" s="1952"/>
      <c r="E329" s="1952"/>
      <c r="F329" s="1952"/>
      <c r="G329" s="1952"/>
      <c r="H329" s="1952"/>
    </row>
    <row r="330" spans="1:8">
      <c r="A330" s="1952"/>
      <c r="B330" s="1952"/>
      <c r="C330" s="1952"/>
      <c r="D330" s="1952"/>
      <c r="E330" s="1952"/>
      <c r="F330" s="1952"/>
      <c r="G330" s="1952"/>
      <c r="H330" s="1952"/>
    </row>
    <row r="331" spans="1:8">
      <c r="A331" s="1953" t="s">
        <v>611</v>
      </c>
      <c r="B331" s="1952"/>
      <c r="C331" s="1952"/>
      <c r="D331" s="1952"/>
      <c r="E331" s="1952"/>
      <c r="F331" s="1952"/>
      <c r="G331" s="1952"/>
      <c r="H331" s="1952"/>
    </row>
    <row r="332" spans="1:8">
      <c r="A332" s="1953" t="s">
        <v>612</v>
      </c>
      <c r="B332" s="1952"/>
      <c r="C332" s="1952"/>
      <c r="D332" s="1952"/>
      <c r="E332" s="1952"/>
      <c r="F332" s="1952"/>
      <c r="G332" s="1952"/>
      <c r="H332" s="1952"/>
    </row>
    <row r="333" spans="1:8">
      <c r="A333" s="1953" t="s">
        <v>613</v>
      </c>
      <c r="B333" s="1952"/>
      <c r="C333" s="1952"/>
      <c r="D333" s="1952"/>
      <c r="E333" s="1952"/>
      <c r="F333" s="1952"/>
      <c r="G333" s="1952"/>
      <c r="H333" s="1952"/>
    </row>
    <row r="334" spans="1:8">
      <c r="A334" s="1953" t="s">
        <v>614</v>
      </c>
      <c r="B334" s="1952"/>
      <c r="C334" s="1952"/>
      <c r="D334" s="1952"/>
      <c r="E334" s="1952"/>
      <c r="F334" s="1952"/>
      <c r="G334" s="1952"/>
      <c r="H334" s="1952"/>
    </row>
    <row r="335" spans="1:8">
      <c r="A335" s="1953" t="s">
        <v>615</v>
      </c>
      <c r="B335" s="1952"/>
      <c r="C335" s="1952"/>
      <c r="D335" s="1952"/>
      <c r="E335" s="1952"/>
      <c r="F335" s="1952"/>
      <c r="G335" s="1952"/>
      <c r="H335" s="1952"/>
    </row>
    <row r="336" spans="1:8">
      <c r="A336" s="1953" t="s">
        <v>616</v>
      </c>
      <c r="B336" s="1952"/>
      <c r="C336" s="1952"/>
      <c r="D336" s="1952"/>
      <c r="E336" s="1952"/>
      <c r="F336" s="1952"/>
      <c r="G336" s="1952"/>
      <c r="H336" s="1952"/>
    </row>
    <row r="337" spans="1:8">
      <c r="A337" s="1953" t="s">
        <v>617</v>
      </c>
      <c r="B337" s="1952"/>
      <c r="C337" s="1952"/>
      <c r="D337" s="1952"/>
      <c r="E337" s="1952"/>
      <c r="F337" s="1952"/>
      <c r="G337" s="1952"/>
      <c r="H337" s="1952"/>
    </row>
    <row r="338" spans="1:8">
      <c r="A338" s="1953" t="s">
        <v>618</v>
      </c>
      <c r="B338" s="1952"/>
      <c r="C338" s="1952"/>
      <c r="D338" s="1952"/>
      <c r="E338" s="1952"/>
      <c r="F338" s="1952"/>
      <c r="G338" s="1952"/>
      <c r="H338" s="1952"/>
    </row>
    <row r="339" spans="1:8">
      <c r="A339" s="1953" t="s">
        <v>619</v>
      </c>
      <c r="B339" s="1952"/>
      <c r="C339" s="1952"/>
      <c r="D339" s="1952"/>
      <c r="E339" s="1952"/>
      <c r="F339" s="1952"/>
      <c r="G339" s="1952"/>
      <c r="H339" s="1952"/>
    </row>
    <row r="340" spans="1:8">
      <c r="A340" s="1953" t="s">
        <v>620</v>
      </c>
      <c r="B340" s="1952"/>
      <c r="C340" s="1952"/>
      <c r="D340" s="1952"/>
      <c r="E340" s="1952"/>
      <c r="F340" s="1952"/>
      <c r="G340" s="1952"/>
      <c r="H340" s="1952"/>
    </row>
    <row r="341" spans="1:8">
      <c r="A341" s="1953" t="s">
        <v>621</v>
      </c>
      <c r="B341" s="1952"/>
      <c r="C341" s="1952"/>
      <c r="D341" s="1952"/>
      <c r="E341" s="1952"/>
      <c r="F341" s="1952"/>
      <c r="G341" s="1952"/>
      <c r="H341" s="1952"/>
    </row>
    <row r="342" spans="1:8">
      <c r="A342" s="1953" t="s">
        <v>622</v>
      </c>
      <c r="B342" s="1952"/>
      <c r="C342" s="1952"/>
      <c r="D342" s="1952"/>
      <c r="E342" s="1952"/>
      <c r="F342" s="1952"/>
      <c r="G342" s="1952"/>
      <c r="H342" s="1952"/>
    </row>
    <row r="343" spans="1:8">
      <c r="A343" s="1953" t="s">
        <v>623</v>
      </c>
      <c r="B343" s="1952"/>
      <c r="C343" s="1952"/>
      <c r="D343" s="1952"/>
      <c r="E343" s="1952"/>
      <c r="F343" s="1952"/>
      <c r="G343" s="1952"/>
      <c r="H343" s="1952"/>
    </row>
    <row r="344" spans="1:8">
      <c r="A344" s="1953" t="s">
        <v>624</v>
      </c>
      <c r="B344" s="1952"/>
      <c r="C344" s="1952"/>
      <c r="D344" s="1952"/>
      <c r="E344" s="1952"/>
      <c r="F344" s="1952"/>
      <c r="G344" s="1952"/>
      <c r="H344" s="1952"/>
    </row>
    <row r="345" spans="1:8">
      <c r="A345" s="1953" t="s">
        <v>625</v>
      </c>
      <c r="B345" s="1952"/>
      <c r="C345" s="1952"/>
      <c r="D345" s="1952"/>
      <c r="E345" s="1952"/>
      <c r="F345" s="1952"/>
      <c r="G345" s="1952"/>
      <c r="H345" s="1952"/>
    </row>
    <row r="346" spans="1:8">
      <c r="A346" s="1953" t="s">
        <v>626</v>
      </c>
      <c r="B346" s="1952"/>
      <c r="C346" s="1952"/>
      <c r="D346" s="1952"/>
      <c r="E346" s="1952"/>
      <c r="F346" s="1952"/>
      <c r="G346" s="1952"/>
      <c r="H346" s="1952"/>
    </row>
    <row r="347" spans="1:8">
      <c r="A347" s="1953" t="s">
        <v>627</v>
      </c>
      <c r="B347" s="1952"/>
      <c r="C347" s="1952"/>
      <c r="D347" s="1952"/>
      <c r="E347" s="1952"/>
      <c r="F347" s="1952"/>
      <c r="G347" s="1952"/>
      <c r="H347" s="1952"/>
    </row>
    <row r="348" spans="1:8">
      <c r="A348" s="1953" t="s">
        <v>628</v>
      </c>
      <c r="B348" s="1952"/>
      <c r="C348" s="1952"/>
      <c r="D348" s="1952"/>
      <c r="E348" s="1952"/>
      <c r="F348" s="1952"/>
      <c r="G348" s="1952"/>
      <c r="H348" s="1952"/>
    </row>
    <row r="349" spans="1:8">
      <c r="A349" s="1953" t="s">
        <v>629</v>
      </c>
      <c r="B349" s="1952"/>
      <c r="C349" s="1952"/>
      <c r="D349" s="1952"/>
      <c r="E349" s="1952"/>
      <c r="F349" s="1952"/>
      <c r="G349" s="1952"/>
      <c r="H349" s="1952"/>
    </row>
    <row r="350" spans="1:8">
      <c r="A350" s="1953" t="s">
        <v>630</v>
      </c>
      <c r="B350" s="1952"/>
      <c r="C350" s="1952"/>
      <c r="D350" s="1952"/>
      <c r="E350" s="1952"/>
      <c r="F350" s="1952"/>
      <c r="G350" s="1952"/>
      <c r="H350" s="1952"/>
    </row>
    <row r="351" spans="1:8">
      <c r="A351" s="1953" t="s">
        <v>631</v>
      </c>
      <c r="B351" s="1952"/>
      <c r="C351" s="1952"/>
      <c r="D351" s="1952"/>
      <c r="E351" s="1952"/>
      <c r="F351" s="1952"/>
      <c r="G351" s="1952"/>
      <c r="H351" s="1952"/>
    </row>
    <row r="352" spans="1:8">
      <c r="A352" s="1953" t="s">
        <v>632</v>
      </c>
      <c r="B352" s="1952"/>
      <c r="C352" s="1952"/>
      <c r="D352" s="1952"/>
      <c r="E352" s="1952"/>
      <c r="F352" s="1952"/>
      <c r="G352" s="1952"/>
      <c r="H352" s="1952"/>
    </row>
    <row r="353" spans="1:8">
      <c r="A353" s="1953" t="s">
        <v>633</v>
      </c>
      <c r="B353" s="1952"/>
      <c r="C353" s="1952"/>
      <c r="D353" s="1952"/>
      <c r="E353" s="1952"/>
      <c r="F353" s="1952"/>
      <c r="G353" s="1952"/>
      <c r="H353" s="1952"/>
    </row>
    <row r="354" spans="1:8">
      <c r="A354" s="1953" t="s">
        <v>634</v>
      </c>
      <c r="B354" s="1952"/>
      <c r="C354" s="1952"/>
      <c r="D354" s="1952"/>
      <c r="E354" s="1952"/>
      <c r="F354" s="1952"/>
      <c r="G354" s="1952"/>
      <c r="H354" s="1952"/>
    </row>
    <row r="355" spans="1:8">
      <c r="A355" s="1953" t="s">
        <v>635</v>
      </c>
      <c r="B355" s="1952"/>
      <c r="C355" s="1952"/>
      <c r="D355" s="1952"/>
      <c r="E355" s="1952"/>
      <c r="F355" s="1952"/>
      <c r="G355" s="1952"/>
      <c r="H355" s="1952"/>
    </row>
    <row r="356" spans="1:8">
      <c r="A356" s="1953" t="s">
        <v>636</v>
      </c>
      <c r="B356" s="1952"/>
      <c r="C356" s="1952"/>
      <c r="D356" s="1952"/>
      <c r="E356" s="1952"/>
      <c r="F356" s="1952"/>
      <c r="G356" s="1952"/>
      <c r="H356" s="1952"/>
    </row>
    <row r="357" spans="1:8">
      <c r="A357" s="1953" t="s">
        <v>637</v>
      </c>
      <c r="B357" s="1952"/>
      <c r="C357" s="1952"/>
      <c r="D357" s="1952"/>
      <c r="E357" s="1952"/>
      <c r="F357" s="1952"/>
      <c r="G357" s="1952"/>
      <c r="H357" s="1952"/>
    </row>
    <row r="358" spans="1:8">
      <c r="A358" s="1953" t="s">
        <v>638</v>
      </c>
      <c r="B358" s="1952"/>
      <c r="C358" s="1952"/>
      <c r="D358" s="1952"/>
      <c r="E358" s="1952"/>
      <c r="F358" s="1952"/>
      <c r="G358" s="1952"/>
      <c r="H358" s="1952"/>
    </row>
    <row r="359" spans="1:8">
      <c r="A359" s="1953" t="s">
        <v>639</v>
      </c>
      <c r="B359" s="1952"/>
      <c r="C359" s="1952"/>
      <c r="D359" s="1952"/>
      <c r="E359" s="1952"/>
      <c r="F359" s="1952"/>
      <c r="G359" s="1952"/>
      <c r="H359" s="1952"/>
    </row>
    <row r="360" spans="1:8">
      <c r="A360" s="1953" t="s">
        <v>640</v>
      </c>
      <c r="B360" s="1952"/>
      <c r="C360" s="1952"/>
      <c r="D360" s="1952"/>
      <c r="E360" s="1952"/>
      <c r="F360" s="1952"/>
      <c r="G360" s="1952"/>
      <c r="H360" s="1952"/>
    </row>
    <row r="361" spans="1:8">
      <c r="A361" s="1953" t="s">
        <v>641</v>
      </c>
      <c r="B361" s="1952"/>
      <c r="C361" s="1952"/>
      <c r="D361" s="1952"/>
      <c r="E361" s="1952"/>
      <c r="F361" s="1952"/>
      <c r="G361" s="1952"/>
      <c r="H361" s="1952"/>
    </row>
    <row r="362" spans="1:8">
      <c r="A362" s="1953" t="s">
        <v>642</v>
      </c>
      <c r="B362" s="1952"/>
      <c r="C362" s="1952"/>
      <c r="D362" s="1952"/>
      <c r="E362" s="1952"/>
      <c r="F362" s="1952"/>
      <c r="G362" s="1952"/>
      <c r="H362" s="1952"/>
    </row>
    <row r="363" spans="1:8">
      <c r="A363" s="1953" t="s">
        <v>643</v>
      </c>
      <c r="B363" s="1952"/>
      <c r="C363" s="1952"/>
      <c r="D363" s="1952"/>
      <c r="E363" s="1952"/>
      <c r="F363" s="1952"/>
      <c r="G363" s="1952"/>
      <c r="H363" s="1952"/>
    </row>
    <row r="364" spans="1:8">
      <c r="A364" s="1953" t="s">
        <v>644</v>
      </c>
      <c r="B364" s="1952"/>
      <c r="C364" s="1952"/>
      <c r="D364" s="1952"/>
      <c r="E364" s="1952"/>
      <c r="F364" s="1952"/>
      <c r="G364" s="1952"/>
      <c r="H364" s="1952"/>
    </row>
    <row r="365" spans="1:8">
      <c r="A365" s="1953" t="s">
        <v>645</v>
      </c>
      <c r="B365" s="1952"/>
      <c r="C365" s="1952"/>
      <c r="D365" s="1952"/>
      <c r="E365" s="1952"/>
      <c r="F365" s="1952"/>
      <c r="G365" s="1952"/>
      <c r="H365" s="1952"/>
    </row>
    <row r="366" spans="1:8">
      <c r="A366" s="1952"/>
      <c r="B366" s="1952"/>
      <c r="C366" s="1952"/>
      <c r="D366" s="1952"/>
      <c r="E366" s="1952"/>
      <c r="F366" s="1952"/>
      <c r="G366" s="1952"/>
      <c r="H366" s="1952"/>
    </row>
    <row r="367" spans="1:8">
      <c r="A367" s="1953" t="s">
        <v>603</v>
      </c>
      <c r="B367" s="1952"/>
      <c r="C367" s="1952"/>
      <c r="D367" s="1952"/>
      <c r="E367" s="1952"/>
      <c r="F367" s="1952"/>
      <c r="G367" s="1952"/>
      <c r="H367" s="1952"/>
    </row>
    <row r="368" spans="1:8">
      <c r="A368" s="1953" t="s">
        <v>607</v>
      </c>
      <c r="B368" s="1952"/>
      <c r="C368" s="1952"/>
      <c r="D368" s="1952"/>
      <c r="E368" s="1952"/>
      <c r="F368" s="1952"/>
      <c r="G368" s="1952"/>
      <c r="H368" s="1952"/>
    </row>
    <row r="369" spans="1:8">
      <c r="A369" s="1953" t="s">
        <v>608</v>
      </c>
      <c r="B369" s="1952"/>
      <c r="C369" s="1952"/>
      <c r="D369" s="1952"/>
      <c r="E369" s="1952"/>
      <c r="F369" s="1952"/>
      <c r="G369" s="1952"/>
      <c r="H369" s="1952"/>
    </row>
    <row r="370" spans="1:8">
      <c r="A370" s="1953" t="s">
        <v>609</v>
      </c>
      <c r="B370" s="1952"/>
      <c r="C370" s="1952"/>
      <c r="D370" s="1952"/>
      <c r="E370" s="1952"/>
      <c r="F370" s="1952"/>
      <c r="G370" s="1952"/>
      <c r="H370" s="1952"/>
    </row>
    <row r="371" spans="1:8">
      <c r="A371" s="1953" t="s">
        <v>610</v>
      </c>
      <c r="B371" s="1952"/>
      <c r="C371" s="1952"/>
      <c r="D371" s="1952"/>
      <c r="E371" s="1952"/>
      <c r="F371" s="1952"/>
      <c r="G371" s="1952"/>
      <c r="H371" s="1952"/>
    </row>
    <row r="372" spans="1:8">
      <c r="A372" s="1952"/>
      <c r="B372" s="1952"/>
      <c r="C372" s="1952"/>
      <c r="D372" s="1952"/>
      <c r="E372" s="1952"/>
      <c r="F372" s="1952"/>
      <c r="G372" s="1952"/>
      <c r="H372" s="1952"/>
    </row>
    <row r="373" spans="1:8">
      <c r="A373" s="1953" t="s">
        <v>603</v>
      </c>
      <c r="B373" s="1952"/>
      <c r="C373" s="1952"/>
      <c r="D373" s="1952"/>
      <c r="E373" s="1952"/>
      <c r="F373" s="1952"/>
      <c r="G373" s="1952"/>
      <c r="H373" s="1952"/>
    </row>
    <row r="374" spans="1:8">
      <c r="A374" s="1953" t="s">
        <v>604</v>
      </c>
      <c r="B374" s="1952"/>
      <c r="C374" s="1952"/>
      <c r="D374" s="1952"/>
      <c r="E374" s="1952"/>
      <c r="F374" s="1952"/>
      <c r="G374" s="1952"/>
      <c r="H374" s="1952"/>
    </row>
    <row r="375" spans="1:8">
      <c r="A375" s="1953" t="s">
        <v>605</v>
      </c>
      <c r="B375" s="1952"/>
      <c r="C375" s="1952"/>
      <c r="D375" s="1952"/>
      <c r="E375" s="1952"/>
      <c r="F375" s="1952"/>
      <c r="G375" s="1952"/>
      <c r="H375" s="1952"/>
    </row>
    <row r="376" spans="1:8">
      <c r="A376" s="1953" t="s">
        <v>606</v>
      </c>
      <c r="B376" s="1952"/>
      <c r="C376" s="1952"/>
      <c r="D376" s="1952"/>
      <c r="E376" s="1952"/>
      <c r="F376" s="1952"/>
      <c r="G376" s="1952"/>
      <c r="H376" s="1952"/>
    </row>
    <row r="377" spans="1:8">
      <c r="A377" s="1952"/>
      <c r="B377" s="1952"/>
      <c r="C377" s="1952"/>
      <c r="D377" s="1952"/>
      <c r="E377" s="1952"/>
      <c r="F377" s="1952"/>
      <c r="G377" s="1952"/>
      <c r="H377" s="1952"/>
    </row>
    <row r="378" spans="1:8">
      <c r="A378" s="1953" t="s">
        <v>597</v>
      </c>
      <c r="B378" s="1952"/>
      <c r="C378" s="1952"/>
      <c r="D378" s="1952"/>
      <c r="E378" s="1952"/>
      <c r="F378" s="1952"/>
      <c r="G378" s="1952"/>
      <c r="H378" s="1952"/>
    </row>
    <row r="379" spans="1:8">
      <c r="A379" s="1953" t="s">
        <v>598</v>
      </c>
      <c r="B379" s="1952"/>
      <c r="C379" s="1952"/>
      <c r="D379" s="1952"/>
      <c r="E379" s="1952"/>
      <c r="F379" s="1952"/>
      <c r="G379" s="1952"/>
      <c r="H379" s="1952"/>
    </row>
    <row r="380" spans="1:8">
      <c r="A380" s="1953" t="s">
        <v>599</v>
      </c>
      <c r="B380" s="1952"/>
      <c r="C380" s="1952"/>
      <c r="D380" s="1952"/>
      <c r="E380" s="1952"/>
      <c r="F380" s="1952"/>
      <c r="G380" s="1952"/>
      <c r="H380" s="1952"/>
    </row>
    <row r="381" spans="1:8">
      <c r="A381" s="1953" t="s">
        <v>600</v>
      </c>
      <c r="B381" s="1952"/>
      <c r="C381" s="1952"/>
      <c r="D381" s="1952"/>
      <c r="E381" s="1952"/>
      <c r="F381" s="1952"/>
      <c r="G381" s="1952"/>
      <c r="H381" s="1952"/>
    </row>
    <row r="382" spans="1:8">
      <c r="A382" s="1953" t="s">
        <v>601</v>
      </c>
      <c r="B382" s="1952"/>
      <c r="C382" s="1952"/>
      <c r="D382" s="1952"/>
      <c r="E382" s="1952"/>
      <c r="F382" s="1952"/>
      <c r="G382" s="1952"/>
      <c r="H382" s="1952"/>
    </row>
    <row r="383" spans="1:8">
      <c r="A383" s="1953" t="s">
        <v>602</v>
      </c>
      <c r="B383" s="1952"/>
      <c r="C383" s="1952"/>
      <c r="D383" s="1952"/>
      <c r="E383" s="1952"/>
      <c r="F383" s="1952"/>
      <c r="G383" s="1952"/>
      <c r="H383" s="1952"/>
    </row>
    <row r="384" spans="1:8">
      <c r="A384" s="1952"/>
      <c r="B384" s="1952"/>
      <c r="C384" s="1952"/>
      <c r="D384" s="1952"/>
      <c r="E384" s="1952"/>
      <c r="F384" s="1952"/>
      <c r="G384" s="1952"/>
      <c r="H384" s="1952"/>
    </row>
    <row r="385" spans="1:8">
      <c r="A385" s="1953" t="s">
        <v>592</v>
      </c>
      <c r="B385" s="1952"/>
      <c r="C385" s="1952"/>
      <c r="D385" s="1952"/>
      <c r="E385" s="1952"/>
      <c r="F385" s="1952"/>
      <c r="G385" s="1952"/>
      <c r="H385" s="1952"/>
    </row>
    <row r="386" spans="1:8">
      <c r="A386" s="1953" t="s">
        <v>593</v>
      </c>
      <c r="B386" s="1952"/>
      <c r="C386" s="1952"/>
      <c r="D386" s="1952"/>
      <c r="E386" s="1952"/>
      <c r="F386" s="1952"/>
      <c r="G386" s="1952"/>
      <c r="H386" s="1952"/>
    </row>
    <row r="387" spans="1:8">
      <c r="A387" s="1953" t="s">
        <v>594</v>
      </c>
      <c r="B387" s="1952"/>
      <c r="C387" s="1952"/>
      <c r="D387" s="1952"/>
      <c r="E387" s="1952"/>
      <c r="F387" s="1952"/>
      <c r="G387" s="1952"/>
      <c r="H387" s="1952"/>
    </row>
    <row r="388" spans="1:8">
      <c r="A388" s="1953" t="s">
        <v>595</v>
      </c>
      <c r="B388" s="1952"/>
      <c r="C388" s="1952"/>
      <c r="D388" s="1952"/>
      <c r="E388" s="1952"/>
      <c r="F388" s="1952"/>
      <c r="G388" s="1952"/>
      <c r="H388" s="1952"/>
    </row>
    <row r="389" spans="1:8">
      <c r="A389" s="1953" t="s">
        <v>596</v>
      </c>
      <c r="B389" s="1952"/>
      <c r="C389" s="1952"/>
      <c r="D389" s="1952"/>
      <c r="E389" s="1952"/>
      <c r="F389" s="1952"/>
      <c r="G389" s="1952"/>
      <c r="H389" s="1952"/>
    </row>
    <row r="390" spans="1:8">
      <c r="A390" s="1952"/>
      <c r="B390" s="1952"/>
      <c r="C390" s="1952"/>
      <c r="D390" s="1952"/>
      <c r="E390" s="1952"/>
      <c r="F390" s="1952"/>
      <c r="G390" s="1952"/>
      <c r="H390" s="1952"/>
    </row>
    <row r="391" spans="1:8">
      <c r="A391" s="1953" t="s">
        <v>590</v>
      </c>
      <c r="B391" s="1952"/>
      <c r="C391" s="1952"/>
      <c r="D391" s="1952"/>
      <c r="E391" s="1952"/>
      <c r="F391" s="1952"/>
      <c r="G391" s="1952"/>
      <c r="H391" s="1952"/>
    </row>
    <row r="392" spans="1:8">
      <c r="A392" s="1953" t="s">
        <v>591</v>
      </c>
      <c r="B392" s="1952"/>
      <c r="C392" s="1952"/>
      <c r="D392" s="1952"/>
      <c r="E392" s="1952"/>
      <c r="F392" s="1952"/>
      <c r="G392" s="1952"/>
      <c r="H392" s="1952"/>
    </row>
    <row r="394" spans="1:8">
      <c r="A394" s="1948" t="s">
        <v>848</v>
      </c>
    </row>
  </sheetData>
  <mergeCells count="12">
    <mergeCell ref="A132:H132"/>
    <mergeCell ref="A133:H133"/>
    <mergeCell ref="B125:C125"/>
    <mergeCell ref="D125:F125"/>
    <mergeCell ref="G125:H125"/>
    <mergeCell ref="A111:H111"/>
    <mergeCell ref="A112:H112"/>
    <mergeCell ref="A113:H113"/>
    <mergeCell ref="A114:H114"/>
    <mergeCell ref="A116:H116"/>
    <mergeCell ref="A117:H117"/>
    <mergeCell ref="A124:H124"/>
  </mergeCells>
  <pageMargins left="0.5" right="0.5" top="0.5" bottom="0.5" header="0.5" footer="0.5"/>
  <pageSetup orientation="portrait" horizontalDpi="300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>
    <tabColor indexed="17"/>
    <pageSetUpPr fitToPage="1"/>
  </sheetPr>
  <dimension ref="A1:BX154"/>
  <sheetViews>
    <sheetView showGridLines="0" zoomScale="80" zoomScaleNormal="80" zoomScaleSheetLayoutView="80" workbookViewId="0">
      <pane xSplit="3" ySplit="7" topLeftCell="AN8" activePane="bottomRight" state="frozen"/>
      <selection activeCell="AN6" sqref="AN6"/>
      <selection pane="topRight" activeCell="AN6" sqref="AN6"/>
      <selection pane="bottomLeft" activeCell="AN6" sqref="AN6"/>
      <selection pane="bottomRight" activeCell="B4" sqref="B4"/>
    </sheetView>
  </sheetViews>
  <sheetFormatPr defaultRowHeight="14.25" customHeight="1" outlineLevelRow="1" outlineLevelCol="1"/>
  <cols>
    <col min="1" max="1" width="1.7109375" style="1467" customWidth="1"/>
    <col min="2" max="2" width="45.7109375" style="1467" customWidth="1"/>
    <col min="3" max="3" width="1.7109375" style="1467" customWidth="1"/>
    <col min="4" max="19" width="11.42578125" style="1467" hidden="1" customWidth="1" outlineLevel="1"/>
    <col min="20" max="20" width="11.42578125" style="1467" hidden="1" customWidth="1" outlineLevel="1" collapsed="1"/>
    <col min="21" max="31" width="11.42578125" style="1467" hidden="1" customWidth="1" outlineLevel="1"/>
    <col min="32" max="32" width="11.42578125" style="1467" hidden="1" customWidth="1" outlineLevel="1" collapsed="1"/>
    <col min="33" max="35" width="11.42578125" style="1467" hidden="1" customWidth="1" outlineLevel="1"/>
    <col min="36" max="36" width="11.42578125" style="1467" hidden="1" customWidth="1" outlineLevel="1" collapsed="1"/>
    <col min="37" max="39" width="11.42578125" style="1467" hidden="1" customWidth="1" outlineLevel="1"/>
    <col min="40" max="40" width="11.42578125" style="1467" customWidth="1" collapsed="1"/>
    <col min="41" max="41" width="11.42578125" style="1467" customWidth="1"/>
    <col min="42" max="42" width="12.5703125" style="1467" customWidth="1"/>
    <col min="43" max="43" width="11.85546875" style="1467" customWidth="1"/>
    <col min="44" max="51" width="11.42578125" style="1467" customWidth="1"/>
    <col min="52" max="52" width="2.140625" style="1467" customWidth="1"/>
    <col min="53" max="56" width="11.42578125" style="1467" hidden="1" customWidth="1" outlineLevel="1"/>
    <col min="57" max="57" width="10" style="1467" hidden="1" customWidth="1" outlineLevel="1"/>
    <col min="58" max="60" width="11.42578125" style="1467" hidden="1" customWidth="1" outlineLevel="1"/>
    <col min="61" max="61" width="11.42578125" style="1467" customWidth="1" collapsed="1"/>
    <col min="62" max="66" width="11.42578125" style="1467" customWidth="1"/>
    <col min="67" max="69" width="0" style="1467" hidden="1" customWidth="1"/>
    <col min="70" max="70" width="9.140625" style="1467"/>
    <col min="71" max="76" width="9.140625" customWidth="1" outlineLevel="1"/>
    <col min="77" max="16384" width="9.140625" style="1467"/>
  </cols>
  <sheetData>
    <row r="1" spans="1:76" ht="67.5" customHeight="1">
      <c r="A1" s="8"/>
      <c r="C1" s="8"/>
      <c r="D1" s="1467" t="str">
        <f>IF(SUM(BS)&lt;&gt;0,"BS BREAK","")</f>
        <v/>
      </c>
      <c r="E1" s="8"/>
      <c r="F1" s="1467" t="str">
        <f>IF(SUM(BS)&lt;&gt;0,"BS BREAK","")</f>
        <v/>
      </c>
      <c r="G1" s="8"/>
      <c r="H1" s="1467" t="str">
        <f>IF(SUM(BS)&lt;&gt;0,"BS BREAK","")</f>
        <v/>
      </c>
      <c r="I1" s="8"/>
      <c r="J1" s="1467" t="str">
        <f>IF(SUM(BS)&lt;&gt;0,"BS BREAK","")</f>
        <v/>
      </c>
      <c r="K1" s="8"/>
      <c r="L1" s="1467" t="str">
        <f>IF(SUM(BS)&lt;&gt;0,"BS BREAK","")</f>
        <v/>
      </c>
      <c r="M1" s="8"/>
      <c r="N1" s="1467" t="str">
        <f>IF(SUM(BS)&lt;&gt;0,"BS BREAK","")</f>
        <v/>
      </c>
      <c r="O1" s="8"/>
      <c r="P1" s="1467" t="str">
        <f>IF(SUM(BS)&lt;&gt;0,"BS BREAK","")</f>
        <v/>
      </c>
      <c r="Q1" s="8"/>
      <c r="R1" s="1467" t="str">
        <f>IF(SUM(BS)&lt;&gt;0,"BS BREAK","")</f>
        <v/>
      </c>
      <c r="S1" s="8"/>
      <c r="T1" s="1467" t="str">
        <f>IF(SUM(BS)&lt;&gt;0,"BS BREAK","")</f>
        <v/>
      </c>
      <c r="U1" s="8"/>
      <c r="V1" s="1467" t="str">
        <f>IF(SUM(BS)&lt;&gt;0,"BS BREAK","")</f>
        <v/>
      </c>
      <c r="W1" s="8"/>
      <c r="X1" s="1467" t="str">
        <f>IF(SUM(BS)&lt;&gt;0,"BS BREAK","")</f>
        <v/>
      </c>
      <c r="Y1" s="8"/>
      <c r="Z1" s="1467" t="str">
        <f>IF(SUM(BS)&lt;&gt;0,"BS BREAK","")</f>
        <v/>
      </c>
      <c r="AA1" s="8"/>
      <c r="AB1" s="1467" t="str">
        <f>IF(SUM(BS)&lt;&gt;0,"BS BREAK","")</f>
        <v/>
      </c>
      <c r="AC1" s="8"/>
      <c r="AD1" s="1467" t="str">
        <f>IF(SUM(BS)&lt;&gt;0,"BS BREAK","")</f>
        <v/>
      </c>
      <c r="AE1" s="8"/>
      <c r="AF1" s="1467" t="str">
        <f>IF(SUM(BS)&lt;&gt;0,"BS BREAK","")</f>
        <v/>
      </c>
      <c r="AG1" s="8"/>
      <c r="AH1" s="1467" t="str">
        <f>IF(SUM(BS)&lt;&gt;0,"BS BREAK","")</f>
        <v/>
      </c>
      <c r="AI1" s="8"/>
      <c r="AJ1" s="1467" t="str">
        <f>IF(SUM(BS)&lt;&gt;0,"BS BREAK","")</f>
        <v/>
      </c>
      <c r="AK1" s="8"/>
      <c r="AL1" s="1467" t="str">
        <f>IF(SUM(BS)&lt;&gt;0,"BS BREAK","")</f>
        <v/>
      </c>
      <c r="AM1" s="8"/>
      <c r="AN1" s="1467" t="str">
        <f>IF(SUM(BS)&lt;&gt;0,"BS BREAK","")</f>
        <v/>
      </c>
      <c r="AO1" s="8"/>
      <c r="AP1" s="1467" t="str">
        <f>IF(SUM(BS)&lt;&gt;0,"BS BREAK","")</f>
        <v/>
      </c>
      <c r="AQ1" s="8"/>
      <c r="AR1" s="1467" t="str">
        <f>IF(SUM(BS)&lt;&gt;0,"BS BREAK","")</f>
        <v/>
      </c>
      <c r="AS1" s="8"/>
      <c r="AT1" s="1467" t="str">
        <f>IF(SUM(BS)&lt;&gt;0,"BS BREAK","")</f>
        <v/>
      </c>
      <c r="AU1" s="8"/>
      <c r="AV1" s="1467" t="str">
        <f>IF(SUM(BS)&lt;&gt;0,"BS BREAK","")</f>
        <v/>
      </c>
      <c r="AW1" s="8"/>
      <c r="AX1" s="1467" t="str">
        <f>IF(SUM(BS)&lt;&gt;0,"BS BREAK","")</f>
        <v/>
      </c>
      <c r="AY1" s="8"/>
      <c r="AZ1" s="1467" t="str">
        <f>IF(SUM(BS)&lt;&gt;0,"BS BREAK","")</f>
        <v/>
      </c>
      <c r="BA1" s="8"/>
      <c r="BB1" s="8"/>
      <c r="BC1" s="1467" t="str">
        <f>IF(SUM(BS)&lt;&gt;0,"BS BREAK","")</f>
        <v/>
      </c>
      <c r="BD1" s="8"/>
      <c r="BE1" s="1467" t="str">
        <f>IF(SUM(BS)&lt;&gt;0,"BS BREAK","")</f>
        <v/>
      </c>
      <c r="BF1" s="8"/>
      <c r="BG1" s="1467" t="str">
        <f>IF(SUM(BS)&lt;&gt;0,"BS BREab","")</f>
        <v/>
      </c>
      <c r="BH1" s="8"/>
      <c r="BI1" s="8"/>
      <c r="BJ1" s="8"/>
      <c r="BK1" s="8" t="str">
        <f>IF(SUM(BS)&lt;&gt;0,"BS BREAK","")</f>
        <v/>
      </c>
      <c r="BL1" s="8"/>
      <c r="BM1" s="8" t="str">
        <f>IF(SUM(BS)&lt;&gt;0,"BS BREAK","")</f>
        <v/>
      </c>
      <c r="BN1" s="8" t="str">
        <f>IF(SUM(BS)&lt;&gt;0,"BS BREAK","")</f>
        <v/>
      </c>
    </row>
    <row r="2" spans="1:76" ht="18" customHeight="1">
      <c r="A2" s="8"/>
      <c r="B2" s="1469" t="s">
        <v>304</v>
      </c>
      <c r="D2" s="8"/>
      <c r="E2" s="8"/>
      <c r="F2" s="8"/>
      <c r="G2" s="11"/>
      <c r="H2" s="8"/>
      <c r="I2" s="8"/>
      <c r="J2" s="8"/>
      <c r="K2" s="11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1396"/>
      <c r="AI2" s="8"/>
      <c r="AJ2" s="1396"/>
      <c r="AK2" s="8"/>
      <c r="AL2" s="8"/>
      <c r="AM2" s="8"/>
      <c r="AN2" s="1708"/>
      <c r="AO2" s="1738"/>
      <c r="AP2" s="1797"/>
      <c r="AQ2" s="1738"/>
      <c r="BI2" s="8"/>
      <c r="BJ2" s="8"/>
      <c r="BK2" s="8"/>
      <c r="BL2" s="8"/>
      <c r="BM2" s="8"/>
      <c r="BN2" s="8"/>
    </row>
    <row r="3" spans="1:76" ht="18" customHeight="1">
      <c r="A3" s="8"/>
      <c r="B3" s="1469"/>
      <c r="D3" s="8"/>
      <c r="E3" s="8"/>
      <c r="F3" s="8"/>
      <c r="G3" s="11"/>
      <c r="H3" s="8"/>
      <c r="I3" s="8"/>
      <c r="J3" s="8"/>
      <c r="K3" s="11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1396"/>
      <c r="AI3" s="8"/>
      <c r="AJ3" s="1396"/>
      <c r="AK3" s="8"/>
      <c r="AL3" s="8"/>
      <c r="AM3" s="8"/>
      <c r="AN3" s="1750"/>
      <c r="AO3" s="1738"/>
      <c r="AP3" s="1797"/>
      <c r="AQ3" s="1738"/>
      <c r="BI3" s="1470"/>
      <c r="BJ3" s="1810"/>
      <c r="BK3" s="1810"/>
      <c r="BL3" s="1810"/>
      <c r="BM3" s="1810"/>
      <c r="BN3" s="1810"/>
    </row>
    <row r="4" spans="1:76" ht="14.25" customHeight="1">
      <c r="A4" s="8"/>
      <c r="B4" s="14"/>
      <c r="C4" s="14"/>
      <c r="D4" s="8"/>
      <c r="E4" s="8"/>
      <c r="F4" s="8"/>
      <c r="G4" s="8"/>
      <c r="H4" s="8"/>
      <c r="I4" s="8"/>
      <c r="J4" s="8"/>
      <c r="K4" s="8"/>
      <c r="L4" s="11"/>
      <c r="M4" s="8"/>
      <c r="N4" s="8"/>
      <c r="O4" s="8"/>
      <c r="P4" s="11"/>
      <c r="Q4" s="11"/>
      <c r="R4" s="11"/>
      <c r="S4" s="11"/>
      <c r="T4" s="11"/>
      <c r="Z4" s="1750"/>
      <c r="AB4" s="1732"/>
      <c r="AC4" s="1732"/>
      <c r="AD4" s="1732"/>
      <c r="AE4" s="1732"/>
      <c r="AF4" s="1732"/>
      <c r="AG4" s="1732"/>
      <c r="AH4" s="1732"/>
      <c r="AI4" s="1732"/>
      <c r="AJ4" s="1735"/>
      <c r="AK4" s="1735"/>
      <c r="AL4" s="1735"/>
      <c r="AM4" s="1735"/>
      <c r="AN4" s="1847"/>
      <c r="AO4" s="1847"/>
      <c r="AP4" s="1847"/>
      <c r="AQ4" s="1847"/>
      <c r="BH4" s="1747"/>
      <c r="BJ4" s="1810"/>
      <c r="BK4" s="1810"/>
      <c r="BL4" s="1810"/>
      <c r="BM4" s="1810"/>
      <c r="BN4" s="1810"/>
    </row>
    <row r="5" spans="1:76" ht="14.25" customHeight="1">
      <c r="A5" s="8"/>
      <c r="B5" s="9" t="s">
        <v>309</v>
      </c>
      <c r="C5" s="10"/>
      <c r="D5" s="238"/>
      <c r="E5" s="238"/>
      <c r="F5" s="238"/>
      <c r="G5" s="61"/>
      <c r="H5" s="238"/>
      <c r="I5" s="238"/>
      <c r="J5" s="238"/>
      <c r="K5" s="61"/>
      <c r="L5" s="61"/>
      <c r="M5" s="238"/>
      <c r="N5" s="238"/>
      <c r="O5" s="238"/>
      <c r="P5" s="238"/>
      <c r="Q5" s="238"/>
      <c r="R5" s="238"/>
      <c r="S5" s="238"/>
      <c r="T5" s="14"/>
      <c r="U5" s="14"/>
      <c r="V5" s="14"/>
      <c r="AK5" s="1738"/>
      <c r="AL5" s="1738"/>
      <c r="AM5" s="1738"/>
      <c r="AN5" s="1602"/>
      <c r="AO5" s="1737"/>
      <c r="AP5" s="1737"/>
      <c r="AQ5" s="1737"/>
      <c r="AR5" s="1818"/>
      <c r="AZ5" s="8"/>
      <c r="BA5" s="11"/>
      <c r="BB5" s="11"/>
      <c r="BC5" s="8"/>
      <c r="BD5" s="8"/>
      <c r="BE5" s="8"/>
      <c r="BF5" s="8"/>
      <c r="BG5" s="8"/>
      <c r="BH5" s="1169"/>
      <c r="BI5" s="1569"/>
      <c r="BJ5" s="1810"/>
      <c r="BK5" s="1810"/>
      <c r="BL5" s="1810"/>
      <c r="BM5" s="1810"/>
      <c r="BN5" s="1810"/>
    </row>
    <row r="6" spans="1:76" ht="14.25" customHeight="1">
      <c r="A6" s="8"/>
      <c r="B6" s="12" t="s">
        <v>50</v>
      </c>
      <c r="C6" s="297"/>
      <c r="D6" s="1541">
        <v>39172</v>
      </c>
      <c r="E6" s="1542">
        <v>39263</v>
      </c>
      <c r="F6" s="1542">
        <v>39355</v>
      </c>
      <c r="G6" s="1543">
        <v>39447</v>
      </c>
      <c r="H6" s="1544">
        <v>39538</v>
      </c>
      <c r="I6" s="1542">
        <v>39629</v>
      </c>
      <c r="J6" s="1542">
        <v>39721</v>
      </c>
      <c r="K6" s="1543">
        <v>39813</v>
      </c>
      <c r="L6" s="1544">
        <v>39903</v>
      </c>
      <c r="M6" s="1495">
        <v>39994</v>
      </c>
      <c r="N6" s="1495">
        <v>40086</v>
      </c>
      <c r="O6" s="1496">
        <v>40178</v>
      </c>
      <c r="P6" s="1494">
        <v>40268</v>
      </c>
      <c r="Q6" s="1495">
        <v>40359</v>
      </c>
      <c r="R6" s="1495">
        <v>40451</v>
      </c>
      <c r="S6" s="1496">
        <v>40543</v>
      </c>
      <c r="T6" s="1494">
        <v>40633</v>
      </c>
      <c r="U6" s="1495">
        <v>40724</v>
      </c>
      <c r="V6" s="1495">
        <v>40816</v>
      </c>
      <c r="W6" s="1496">
        <v>40908</v>
      </c>
      <c r="X6" s="1494">
        <v>40999</v>
      </c>
      <c r="Y6" s="1495">
        <v>41090</v>
      </c>
      <c r="Z6" s="1495">
        <v>41182</v>
      </c>
      <c r="AA6" s="1496">
        <v>41274</v>
      </c>
      <c r="AB6" s="1494">
        <v>41364</v>
      </c>
      <c r="AC6" s="1495">
        <v>41455</v>
      </c>
      <c r="AD6" s="1495">
        <v>41547</v>
      </c>
      <c r="AE6" s="1496">
        <v>41639</v>
      </c>
      <c r="AF6" s="1494">
        <v>41729</v>
      </c>
      <c r="AG6" s="1495">
        <v>41820</v>
      </c>
      <c r="AH6" s="1495">
        <v>41912</v>
      </c>
      <c r="AI6" s="1496">
        <v>42004</v>
      </c>
      <c r="AJ6" s="1654">
        <v>42094</v>
      </c>
      <c r="AK6" s="1655">
        <v>42185</v>
      </c>
      <c r="AL6" s="1655">
        <v>42277</v>
      </c>
      <c r="AM6" s="1680">
        <v>42369</v>
      </c>
      <c r="AN6" s="1718">
        <v>42460</v>
      </c>
      <c r="AO6" s="1719">
        <v>42551</v>
      </c>
      <c r="AP6" s="1719">
        <v>42643</v>
      </c>
      <c r="AQ6" s="1771">
        <v>42735</v>
      </c>
      <c r="AR6" s="1769">
        <v>42825</v>
      </c>
      <c r="AS6" s="1770">
        <v>42916</v>
      </c>
      <c r="AT6" s="1770">
        <v>43008</v>
      </c>
      <c r="AU6" s="1770">
        <v>43100</v>
      </c>
      <c r="AV6" s="1769">
        <v>43190</v>
      </c>
      <c r="AW6" s="1770">
        <v>43281</v>
      </c>
      <c r="AX6" s="1770">
        <v>43373</v>
      </c>
      <c r="AY6" s="1771">
        <v>43465</v>
      </c>
      <c r="AZ6" s="8"/>
      <c r="BA6" s="11"/>
      <c r="BB6" s="11"/>
      <c r="BC6" s="8"/>
      <c r="BD6" s="8"/>
      <c r="BE6" s="8"/>
      <c r="BF6" s="8"/>
      <c r="BG6" s="8"/>
      <c r="BH6" s="8"/>
      <c r="BJ6" s="1810"/>
      <c r="BK6" s="1810"/>
      <c r="BL6" s="1810"/>
      <c r="BM6" s="1810"/>
      <c r="BN6" s="1810"/>
    </row>
    <row r="7" spans="1:76" ht="14.25" customHeight="1">
      <c r="A7" s="8"/>
      <c r="B7" s="15"/>
      <c r="C7" s="238"/>
      <c r="D7" s="335" t="s">
        <v>412</v>
      </c>
      <c r="E7" s="1514" t="s">
        <v>413</v>
      </c>
      <c r="F7" s="1514" t="s">
        <v>414</v>
      </c>
      <c r="G7" s="786" t="s">
        <v>415</v>
      </c>
      <c r="H7" s="335" t="s">
        <v>416</v>
      </c>
      <c r="I7" s="1514" t="s">
        <v>417</v>
      </c>
      <c r="J7" s="1514" t="s">
        <v>418</v>
      </c>
      <c r="K7" s="786" t="s">
        <v>419</v>
      </c>
      <c r="L7" s="335" t="s">
        <v>420</v>
      </c>
      <c r="M7" s="1514" t="s">
        <v>421</v>
      </c>
      <c r="N7" s="1514" t="s">
        <v>422</v>
      </c>
      <c r="O7" s="786" t="s">
        <v>423</v>
      </c>
      <c r="P7" s="335" t="s">
        <v>424</v>
      </c>
      <c r="Q7" s="1514" t="s">
        <v>425</v>
      </c>
      <c r="R7" s="1514" t="s">
        <v>426</v>
      </c>
      <c r="S7" s="786" t="s">
        <v>427</v>
      </c>
      <c r="T7" s="335" t="s">
        <v>428</v>
      </c>
      <c r="U7" s="1514" t="s">
        <v>429</v>
      </c>
      <c r="V7" s="1514" t="s">
        <v>430</v>
      </c>
      <c r="W7" s="786" t="s">
        <v>431</v>
      </c>
      <c r="X7" s="335" t="s">
        <v>432</v>
      </c>
      <c r="Y7" s="1514" t="s">
        <v>433</v>
      </c>
      <c r="Z7" s="1514" t="s">
        <v>490</v>
      </c>
      <c r="AA7" s="786" t="s">
        <v>509</v>
      </c>
      <c r="AB7" s="335" t="s">
        <v>495</v>
      </c>
      <c r="AC7" s="1514" t="s">
        <v>48</v>
      </c>
      <c r="AD7" s="1514" t="s">
        <v>124</v>
      </c>
      <c r="AE7" s="786" t="s">
        <v>264</v>
      </c>
      <c r="AF7" s="335" t="s">
        <v>330</v>
      </c>
      <c r="AG7" s="1514" t="s">
        <v>516</v>
      </c>
      <c r="AH7" s="1514" t="s">
        <v>517</v>
      </c>
      <c r="AI7" s="786" t="s">
        <v>520</v>
      </c>
      <c r="AJ7" s="1599" t="s">
        <v>521</v>
      </c>
      <c r="AK7" s="1600" t="s">
        <v>522</v>
      </c>
      <c r="AL7" s="1600" t="s">
        <v>531</v>
      </c>
      <c r="AM7" s="1672" t="s">
        <v>532</v>
      </c>
      <c r="AN7" s="1709" t="s">
        <v>537</v>
      </c>
      <c r="AO7" s="1710" t="s">
        <v>538</v>
      </c>
      <c r="AP7" s="1710" t="s">
        <v>539</v>
      </c>
      <c r="AQ7" s="1711" t="s">
        <v>540</v>
      </c>
      <c r="AR7" s="1739" t="s">
        <v>542</v>
      </c>
      <c r="AS7" s="1740" t="s">
        <v>543</v>
      </c>
      <c r="AT7" s="1740" t="s">
        <v>545</v>
      </c>
      <c r="AU7" s="1804" t="s">
        <v>547</v>
      </c>
      <c r="AV7" s="1803" t="s">
        <v>523</v>
      </c>
      <c r="AW7" s="1804" t="s">
        <v>524</v>
      </c>
      <c r="AX7" s="1804" t="s">
        <v>525</v>
      </c>
      <c r="AY7" s="1805" t="s">
        <v>526</v>
      </c>
      <c r="AZ7" s="20"/>
      <c r="BA7" s="17" t="s">
        <v>515</v>
      </c>
      <c r="BB7" s="18" t="s">
        <v>514</v>
      </c>
      <c r="BC7" s="18" t="s">
        <v>513</v>
      </c>
      <c r="BD7" s="1503" t="s">
        <v>406</v>
      </c>
      <c r="BE7" s="1671" t="s">
        <v>403</v>
      </c>
      <c r="BF7" s="1672" t="s">
        <v>404</v>
      </c>
      <c r="BG7" s="1672" t="s">
        <v>263</v>
      </c>
      <c r="BH7" s="1803" t="s">
        <v>527</v>
      </c>
      <c r="BI7" s="1803" t="s">
        <v>536</v>
      </c>
      <c r="BJ7" s="1804" t="s">
        <v>541</v>
      </c>
      <c r="BK7" s="1804" t="s">
        <v>548</v>
      </c>
      <c r="BL7" s="1804" t="s">
        <v>529</v>
      </c>
      <c r="BM7" s="1804" t="s">
        <v>530</v>
      </c>
      <c r="BN7" s="1805" t="s">
        <v>546</v>
      </c>
      <c r="BR7" s="1472"/>
    </row>
    <row r="8" spans="1:76" ht="14.25" customHeight="1">
      <c r="A8" s="11"/>
      <c r="B8" s="776" t="s">
        <v>161</v>
      </c>
      <c r="C8" s="58"/>
      <c r="D8" s="749">
        <v>1461</v>
      </c>
      <c r="E8" s="750">
        <v>1538</v>
      </c>
      <c r="F8" s="750">
        <v>1644</v>
      </c>
      <c r="G8" s="751">
        <v>1678</v>
      </c>
      <c r="H8" s="749">
        <v>1519</v>
      </c>
      <c r="I8" s="750">
        <v>1524</v>
      </c>
      <c r="J8" s="750">
        <v>1374</v>
      </c>
      <c r="K8" s="751">
        <v>1026</v>
      </c>
      <c r="L8" s="749">
        <v>645</v>
      </c>
      <c r="M8" s="750">
        <v>823</v>
      </c>
      <c r="N8" s="750">
        <v>984</v>
      </c>
      <c r="O8" s="751">
        <v>1067</v>
      </c>
      <c r="P8" s="749">
        <v>1085</v>
      </c>
      <c r="Q8" s="750">
        <v>1119</v>
      </c>
      <c r="R8" s="750">
        <v>1120</v>
      </c>
      <c r="S8" s="751">
        <v>1078</v>
      </c>
      <c r="T8" s="749">
        <v>1082</v>
      </c>
      <c r="U8" s="750">
        <v>1121</v>
      </c>
      <c r="V8" s="750">
        <f>970+90</f>
        <v>1060</v>
      </c>
      <c r="W8" s="751">
        <v>931</v>
      </c>
      <c r="X8" s="749">
        <f>912+66</f>
        <v>978</v>
      </c>
      <c r="Y8" s="750">
        <f>1022+72</f>
        <v>1094</v>
      </c>
      <c r="Z8" s="750">
        <v>1170</v>
      </c>
      <c r="AA8" s="751">
        <v>1116</v>
      </c>
      <c r="AB8" s="749">
        <v>1085</v>
      </c>
      <c r="AC8" s="750">
        <v>1188</v>
      </c>
      <c r="AD8" s="750">
        <v>1249</v>
      </c>
      <c r="AE8" s="751">
        <v>1293</v>
      </c>
      <c r="AF8" s="749">
        <v>1246</v>
      </c>
      <c r="AG8" s="750">
        <v>1349</v>
      </c>
      <c r="AH8" s="750">
        <v>1515</v>
      </c>
      <c r="AI8" s="751">
        <v>1537</v>
      </c>
      <c r="AJ8" s="749">
        <v>1467</v>
      </c>
      <c r="AK8" s="750">
        <v>1506</v>
      </c>
      <c r="AL8" s="750">
        <v>1522</v>
      </c>
      <c r="AM8" s="750">
        <v>1606</v>
      </c>
      <c r="AN8" s="749">
        <v>2224</v>
      </c>
      <c r="AO8" s="750">
        <v>2365</v>
      </c>
      <c r="AP8" s="750">
        <v>2469</v>
      </c>
      <c r="AQ8" s="750">
        <v>2440</v>
      </c>
      <c r="AR8" s="749">
        <v>2211</v>
      </c>
      <c r="AS8" s="750">
        <v>2202</v>
      </c>
      <c r="AT8" s="750">
        <v>2387</v>
      </c>
      <c r="AU8" s="750">
        <v>2456</v>
      </c>
      <c r="AV8" s="1796">
        <f>'NXP BU-Segment'!AV459</f>
        <v>2325.7800000000002</v>
      </c>
      <c r="AW8" s="1847">
        <f>'NXP BU-Segment'!AW459</f>
        <v>2405.5272</v>
      </c>
      <c r="AX8" s="1847">
        <f>'NXP BU-Segment'!AX459</f>
        <v>2503.7714639999999</v>
      </c>
      <c r="AY8" s="1798">
        <f>'NXP BU-Segment'!AY459</f>
        <v>2465.5820715999998</v>
      </c>
      <c r="AZ8" s="24"/>
      <c r="BA8" s="1501">
        <f>SUM(D8:G8)</f>
        <v>6321</v>
      </c>
      <c r="BB8" s="1501">
        <f>SUM(H8:K8)</f>
        <v>5443</v>
      </c>
      <c r="BC8" s="1501">
        <f>SUM(L8:O8)</f>
        <v>3519</v>
      </c>
      <c r="BD8" s="1501">
        <f>SUM(P8:S8)</f>
        <v>4402</v>
      </c>
      <c r="BE8" s="1692">
        <f>SUM(T8:W8)</f>
        <v>4194</v>
      </c>
      <c r="BF8" s="1694">
        <f>SUM(X8:AA8)</f>
        <v>4358</v>
      </c>
      <c r="BG8" s="1694">
        <f>SUM(AB8:AE8)</f>
        <v>4815</v>
      </c>
      <c r="BH8" s="1791">
        <f>SUM(AF8:AI8)</f>
        <v>5647</v>
      </c>
      <c r="BI8" s="1791">
        <f>SUM(AJ8:AM8)</f>
        <v>6101</v>
      </c>
      <c r="BJ8" s="1846">
        <f>SUM(AN8:AQ8)</f>
        <v>9498</v>
      </c>
      <c r="BK8" s="1846">
        <f>SUM(AR8:AU8)</f>
        <v>9256</v>
      </c>
      <c r="BL8" s="1846">
        <f>SUM(AV8:AY8)</f>
        <v>9700.6607356000004</v>
      </c>
      <c r="BM8" s="1846">
        <f>'NXP BU-Segment'!BM459</f>
        <v>10236.353296964</v>
      </c>
      <c r="BN8" s="1942">
        <f>'NXP BU-Segment'!BN459</f>
        <v>10736.946220764921</v>
      </c>
      <c r="BR8" s="1472"/>
    </row>
    <row r="9" spans="1:76" ht="14.25" customHeight="1">
      <c r="A9" s="11"/>
      <c r="B9" s="451" t="s">
        <v>486</v>
      </c>
      <c r="C9" s="58"/>
      <c r="D9" s="1464"/>
      <c r="E9" s="1443">
        <f t="shared" ref="E9:AU9" si="0">E8/D8-1</f>
        <v>5.2703627652292973E-2</v>
      </c>
      <c r="F9" s="1443">
        <f t="shared" si="0"/>
        <v>6.8920676202860909E-2</v>
      </c>
      <c r="G9" s="1444">
        <f t="shared" si="0"/>
        <v>2.0681265206812682E-2</v>
      </c>
      <c r="H9" s="1471">
        <f t="shared" si="0"/>
        <v>-9.4755661501787825E-2</v>
      </c>
      <c r="I9" s="1443">
        <f t="shared" si="0"/>
        <v>3.2916392363397939E-3</v>
      </c>
      <c r="J9" s="1443">
        <f t="shared" si="0"/>
        <v>-9.8425196850393748E-2</v>
      </c>
      <c r="K9" s="1444">
        <f t="shared" si="0"/>
        <v>-0.25327510917030571</v>
      </c>
      <c r="L9" s="1471">
        <f t="shared" si="0"/>
        <v>-0.37134502923976609</v>
      </c>
      <c r="M9" s="1443">
        <f t="shared" si="0"/>
        <v>0.27596899224806193</v>
      </c>
      <c r="N9" s="1443">
        <f t="shared" si="0"/>
        <v>0.19562575941676785</v>
      </c>
      <c r="O9" s="1444">
        <f t="shared" si="0"/>
        <v>8.4349593495934849E-2</v>
      </c>
      <c r="P9" s="1471">
        <f t="shared" si="0"/>
        <v>1.6869728209934376E-2</v>
      </c>
      <c r="Q9" s="1443">
        <f t="shared" si="0"/>
        <v>3.133640552995387E-2</v>
      </c>
      <c r="R9" s="1443">
        <f t="shared" si="0"/>
        <v>8.9365504915095428E-4</v>
      </c>
      <c r="S9" s="1444">
        <f t="shared" si="0"/>
        <v>-3.7499999999999978E-2</v>
      </c>
      <c r="T9" s="1471">
        <f t="shared" si="0"/>
        <v>3.7105751391466324E-3</v>
      </c>
      <c r="U9" s="1443">
        <f t="shared" si="0"/>
        <v>3.6044362292051657E-2</v>
      </c>
      <c r="V9" s="1443">
        <f t="shared" si="0"/>
        <v>-5.4415700267618217E-2</v>
      </c>
      <c r="W9" s="1444">
        <f t="shared" si="0"/>
        <v>-0.1216981132075472</v>
      </c>
      <c r="X9" s="1471">
        <f t="shared" si="0"/>
        <v>5.0483351235230955E-2</v>
      </c>
      <c r="Y9" s="1443">
        <f t="shared" si="0"/>
        <v>0.11860940695296529</v>
      </c>
      <c r="Z9" s="1443">
        <f t="shared" si="0"/>
        <v>6.9469835466179131E-2</v>
      </c>
      <c r="AA9" s="1444">
        <f t="shared" si="0"/>
        <v>-4.6153846153846101E-2</v>
      </c>
      <c r="AB9" s="1471">
        <f t="shared" si="0"/>
        <v>-2.777777777777779E-2</v>
      </c>
      <c r="AC9" s="1443">
        <f t="shared" si="0"/>
        <v>9.4930875576036966E-2</v>
      </c>
      <c r="AD9" s="1443">
        <f t="shared" si="0"/>
        <v>5.1346801346801252E-2</v>
      </c>
      <c r="AE9" s="1444">
        <f t="shared" si="0"/>
        <v>3.5228182546036768E-2</v>
      </c>
      <c r="AF9" s="1471">
        <f t="shared" si="0"/>
        <v>-3.6349574632637327E-2</v>
      </c>
      <c r="AG9" s="1443">
        <f t="shared" si="0"/>
        <v>8.26645264847512E-2</v>
      </c>
      <c r="AH9" s="1443">
        <f t="shared" si="0"/>
        <v>0.1230541141586361</v>
      </c>
      <c r="AI9" s="1444">
        <f t="shared" si="0"/>
        <v>1.4521452145214608E-2</v>
      </c>
      <c r="AJ9" s="1464">
        <f t="shared" si="0"/>
        <v>-4.5543266102797686E-2</v>
      </c>
      <c r="AK9" s="1435">
        <f t="shared" si="0"/>
        <v>2.6584867075664542E-2</v>
      </c>
      <c r="AL9" s="1443">
        <f t="shared" si="0"/>
        <v>1.0624169986719778E-2</v>
      </c>
      <c r="AM9" s="1690">
        <f t="shared" si="0"/>
        <v>5.5190538764783081E-2</v>
      </c>
      <c r="AN9" s="1464">
        <f t="shared" si="0"/>
        <v>0.38480697384806972</v>
      </c>
      <c r="AO9" s="1688">
        <f t="shared" si="0"/>
        <v>6.3399280575539674E-2</v>
      </c>
      <c r="AP9" s="1762">
        <f t="shared" si="0"/>
        <v>4.3974630021141659E-2</v>
      </c>
      <c r="AQ9" s="1762">
        <f t="shared" si="0"/>
        <v>-1.174564601053063E-2</v>
      </c>
      <c r="AR9" s="1464">
        <f t="shared" si="0"/>
        <v>-9.3852459016393497E-2</v>
      </c>
      <c r="AS9" s="1759">
        <f t="shared" si="0"/>
        <v>-4.070556309362261E-3</v>
      </c>
      <c r="AT9" s="1762">
        <f t="shared" si="0"/>
        <v>8.4014532243415152E-2</v>
      </c>
      <c r="AU9" s="1762">
        <f t="shared" si="0"/>
        <v>2.8906577293674074E-2</v>
      </c>
      <c r="AV9" s="1795">
        <f t="shared" ref="AV9" si="1">AV8/AU8-1</f>
        <v>-5.302117263843642E-2</v>
      </c>
      <c r="AW9" s="1801">
        <f t="shared" ref="AW9" si="2">AW8/AV8-1</f>
        <v>3.4288367773392059E-2</v>
      </c>
      <c r="AX9" s="1801">
        <f t="shared" ref="AX9" si="3">AX8/AW8-1</f>
        <v>4.0841053054814669E-2</v>
      </c>
      <c r="AY9" s="1794">
        <f t="shared" ref="AY9" si="4">AY8/AX8-1</f>
        <v>-1.5252746885687896E-2</v>
      </c>
      <c r="AZ9" s="24"/>
      <c r="BA9" s="1492"/>
      <c r="BB9" s="1492"/>
      <c r="BC9" s="1492"/>
      <c r="BD9" s="1492"/>
      <c r="BE9" s="1685"/>
      <c r="BF9" s="1686"/>
      <c r="BG9" s="1686"/>
      <c r="BH9" s="1768"/>
      <c r="BI9" s="1768"/>
      <c r="BJ9" s="1767"/>
      <c r="BK9" s="1767"/>
      <c r="BL9" s="1767"/>
      <c r="BM9" s="1767"/>
      <c r="BN9" s="1757"/>
      <c r="BR9" s="1472"/>
    </row>
    <row r="10" spans="1:76" ht="14.25" customHeight="1">
      <c r="A10" s="11"/>
      <c r="B10" s="451" t="s">
        <v>488</v>
      </c>
      <c r="C10" s="58"/>
      <c r="D10" s="1522"/>
      <c r="E10" s="1434"/>
      <c r="F10" s="1434"/>
      <c r="G10" s="1436"/>
      <c r="H10" s="1471">
        <f t="shared" ref="H10:AU10" si="5">H8/D8-1</f>
        <v>3.9698836413415428E-2</v>
      </c>
      <c r="I10" s="1443">
        <f t="shared" si="5"/>
        <v>-9.1027308192457301E-3</v>
      </c>
      <c r="J10" s="1443">
        <f t="shared" si="5"/>
        <v>-0.16423357664233573</v>
      </c>
      <c r="K10" s="1444">
        <f t="shared" si="5"/>
        <v>-0.38855780691299169</v>
      </c>
      <c r="L10" s="1471">
        <f t="shared" si="5"/>
        <v>-0.57537853851217902</v>
      </c>
      <c r="M10" s="1443">
        <f t="shared" si="5"/>
        <v>-0.45997375328083989</v>
      </c>
      <c r="N10" s="1443">
        <f t="shared" si="5"/>
        <v>-0.28384279475982532</v>
      </c>
      <c r="O10" s="1444">
        <f t="shared" si="5"/>
        <v>3.9961013645224197E-2</v>
      </c>
      <c r="P10" s="1471">
        <f t="shared" si="5"/>
        <v>0.68217054263565902</v>
      </c>
      <c r="Q10" s="1443">
        <f t="shared" si="5"/>
        <v>0.35965978128797094</v>
      </c>
      <c r="R10" s="1443">
        <f t="shared" si="5"/>
        <v>0.13821138211382111</v>
      </c>
      <c r="S10" s="1444">
        <f t="shared" si="5"/>
        <v>1.0309278350515427E-2</v>
      </c>
      <c r="T10" s="1471">
        <f t="shared" si="5"/>
        <v>-2.7649769585254003E-3</v>
      </c>
      <c r="U10" s="1443">
        <f t="shared" si="5"/>
        <v>1.7873100983021306E-3</v>
      </c>
      <c r="V10" s="1443">
        <f t="shared" si="5"/>
        <v>-5.3571428571428603E-2</v>
      </c>
      <c r="W10" s="1444">
        <f t="shared" si="5"/>
        <v>-0.13636363636363635</v>
      </c>
      <c r="X10" s="1471">
        <f t="shared" si="5"/>
        <v>-9.6118299445471345E-2</v>
      </c>
      <c r="Y10" s="1443">
        <f t="shared" si="5"/>
        <v>-2.408563782337203E-2</v>
      </c>
      <c r="Z10" s="1443">
        <f t="shared" si="5"/>
        <v>0.10377358490566047</v>
      </c>
      <c r="AA10" s="1444">
        <f t="shared" si="5"/>
        <v>0.1987110633727176</v>
      </c>
      <c r="AB10" s="1471">
        <f t="shared" si="5"/>
        <v>0.10940695296523528</v>
      </c>
      <c r="AC10" s="1443">
        <f t="shared" si="5"/>
        <v>8.5923217550274211E-2</v>
      </c>
      <c r="AD10" s="1443">
        <f t="shared" si="5"/>
        <v>6.7521367521367504E-2</v>
      </c>
      <c r="AE10" s="1444">
        <f t="shared" si="5"/>
        <v>0.15860215053763449</v>
      </c>
      <c r="AF10" s="1471">
        <f t="shared" si="5"/>
        <v>0.14838709677419359</v>
      </c>
      <c r="AG10" s="1443">
        <f t="shared" si="5"/>
        <v>0.1355218855218856</v>
      </c>
      <c r="AH10" s="1443">
        <f t="shared" si="5"/>
        <v>0.21297037630104088</v>
      </c>
      <c r="AI10" s="1444">
        <f t="shared" si="5"/>
        <v>0.18870843000773396</v>
      </c>
      <c r="AJ10" s="1522">
        <f t="shared" si="5"/>
        <v>0.17736757624398081</v>
      </c>
      <c r="AK10" s="1434">
        <f t="shared" si="5"/>
        <v>0.11638250555967389</v>
      </c>
      <c r="AL10" s="1443">
        <f t="shared" si="5"/>
        <v>4.6204620462046986E-3</v>
      </c>
      <c r="AM10" s="1690">
        <f t="shared" si="5"/>
        <v>4.4892648015614878E-2</v>
      </c>
      <c r="AN10" s="1695">
        <f t="shared" si="5"/>
        <v>0.51601908657123374</v>
      </c>
      <c r="AO10" s="1721">
        <f t="shared" si="5"/>
        <v>0.57038512616201853</v>
      </c>
      <c r="AP10" s="1762">
        <f t="shared" si="5"/>
        <v>0.62220762155059139</v>
      </c>
      <c r="AQ10" s="1762">
        <f t="shared" si="5"/>
        <v>0.51930261519302623</v>
      </c>
      <c r="AR10" s="1772">
        <f t="shared" si="5"/>
        <v>-5.8453237410072134E-3</v>
      </c>
      <c r="AS10" s="1758">
        <f t="shared" si="5"/>
        <v>-6.892177589852011E-2</v>
      </c>
      <c r="AT10" s="1762">
        <f t="shared" si="5"/>
        <v>-3.3211826650465737E-2</v>
      </c>
      <c r="AU10" s="1762">
        <f t="shared" si="5"/>
        <v>6.5573770491802463E-3</v>
      </c>
      <c r="AV10" s="1764">
        <f t="shared" ref="AV10" si="6">AV8/AR8-1</f>
        <v>5.1913161465400259E-2</v>
      </c>
      <c r="AW10" s="1762">
        <f t="shared" ref="AW10" si="7">AW8/AS8-1</f>
        <v>9.2428337874659316E-2</v>
      </c>
      <c r="AX10" s="1762">
        <f t="shared" ref="AX10" si="8">AX8/AT8-1</f>
        <v>4.8919758692919979E-2</v>
      </c>
      <c r="AY10" s="1763">
        <f t="shared" ref="AY10" si="9">AY8/AU8-1</f>
        <v>3.9014949511400054E-3</v>
      </c>
      <c r="AZ10" s="24"/>
      <c r="BA10" s="1533" t="e">
        <f>BA8/AZ8-1</f>
        <v>#DIV/0!</v>
      </c>
      <c r="BB10" s="1434">
        <f t="shared" ref="BB10" si="10">BB8/BA8-1</f>
        <v>-0.13890207245688968</v>
      </c>
      <c r="BC10" s="1434">
        <f t="shared" ref="BC10" si="11">BC8/BB8-1</f>
        <v>-0.35348153591769249</v>
      </c>
      <c r="BD10" s="1434">
        <f t="shared" ref="BD10" si="12">BD8/BC8-1</f>
        <v>0.25092355782892861</v>
      </c>
      <c r="BE10" s="1695">
        <f t="shared" ref="BE10" si="13">BE8/BD8-1</f>
        <v>-4.725124943207637E-2</v>
      </c>
      <c r="BF10" s="1687">
        <f t="shared" ref="BF10" si="14">BF8/BE8-1</f>
        <v>3.91034811635671E-2</v>
      </c>
      <c r="BG10" s="1687">
        <f t="shared" ref="BG10" si="15">BG8/BF8-1</f>
        <v>0.10486461679669579</v>
      </c>
      <c r="BH10" s="1772">
        <f t="shared" ref="BH10" si="16">BH8/BG8-1</f>
        <v>0.17279335410176522</v>
      </c>
      <c r="BI10" s="1772">
        <f t="shared" ref="BI10" si="17">BI8/BH8-1</f>
        <v>8.0396670798654091E-2</v>
      </c>
      <c r="BJ10" s="1759">
        <f t="shared" ref="BJ10:BL10" si="18">BJ8/BI8-1</f>
        <v>0.55679396820193405</v>
      </c>
      <c r="BK10" s="1759">
        <f>BK8/BJ8-1</f>
        <v>-2.5479048220678036E-2</v>
      </c>
      <c r="BL10" s="1801">
        <f t="shared" si="18"/>
        <v>4.80402696197062E-2</v>
      </c>
      <c r="BM10" s="1801">
        <f t="shared" ref="BM10" si="19">BM8/BL8-1</f>
        <v>5.5222275674283283E-2</v>
      </c>
      <c r="BN10" s="1794">
        <f t="shared" ref="BN10" si="20">BN8/BM8-1</f>
        <v>4.890344337268937E-2</v>
      </c>
      <c r="BO10" s="1758">
        <f t="shared" ref="BO10" si="21">BO8/BN8-1</f>
        <v>-1</v>
      </c>
      <c r="BP10" s="1758" t="e">
        <f t="shared" ref="BP10" si="22">BP8/BO8-1</f>
        <v>#DIV/0!</v>
      </c>
      <c r="BQ10" s="1758" t="e">
        <f t="shared" ref="BQ10" si="23">BQ8/BP8-1</f>
        <v>#DIV/0!</v>
      </c>
      <c r="BR10" s="1472"/>
    </row>
    <row r="11" spans="1:76" ht="6" customHeight="1">
      <c r="A11" s="11"/>
      <c r="B11" s="23"/>
      <c r="C11" s="58"/>
      <c r="D11" s="1493"/>
      <c r="E11" s="1492"/>
      <c r="F11" s="1492"/>
      <c r="G11" s="1433"/>
      <c r="H11" s="1493"/>
      <c r="I11" s="1492"/>
      <c r="J11" s="1492"/>
      <c r="K11" s="1433"/>
      <c r="L11" s="1493"/>
      <c r="M11" s="1492"/>
      <c r="N11" s="1492"/>
      <c r="O11" s="1433"/>
      <c r="P11" s="1493"/>
      <c r="Q11" s="1492"/>
      <c r="R11" s="1492"/>
      <c r="S11" s="1433"/>
      <c r="T11" s="1493"/>
      <c r="U11" s="1492"/>
      <c r="V11" s="1492"/>
      <c r="W11" s="1433"/>
      <c r="X11" s="1493"/>
      <c r="Y11" s="1492"/>
      <c r="Z11" s="1492"/>
      <c r="AA11" s="1433"/>
      <c r="AB11" s="1493"/>
      <c r="AC11" s="1492"/>
      <c r="AD11" s="1492"/>
      <c r="AE11" s="1433"/>
      <c r="AF11" s="1493"/>
      <c r="AG11" s="1492"/>
      <c r="AH11" s="1492"/>
      <c r="AI11" s="1433"/>
      <c r="AJ11" s="1493"/>
      <c r="AK11" s="1492"/>
      <c r="AL11" s="1492"/>
      <c r="AM11" s="1686"/>
      <c r="AN11" s="1685"/>
      <c r="AO11" s="1686"/>
      <c r="AP11" s="1767"/>
      <c r="AQ11" s="1767"/>
      <c r="AR11" s="1768"/>
      <c r="AS11" s="1767"/>
      <c r="AT11" s="1767"/>
      <c r="AU11" s="1767"/>
      <c r="AV11" s="1768"/>
      <c r="AW11" s="1767"/>
      <c r="AX11" s="1767"/>
      <c r="AY11" s="1757"/>
      <c r="AZ11" s="24"/>
      <c r="BA11" s="1492"/>
      <c r="BB11" s="1492"/>
      <c r="BC11" s="1492"/>
      <c r="BD11" s="1492"/>
      <c r="BE11" s="1685"/>
      <c r="BF11" s="1686"/>
      <c r="BG11" s="1686"/>
      <c r="BH11" s="1768"/>
      <c r="BI11" s="1768"/>
      <c r="BJ11" s="1767"/>
      <c r="BK11" s="1767"/>
      <c r="BL11" s="1767"/>
      <c r="BM11" s="1767"/>
      <c r="BN11" s="1757"/>
      <c r="BR11" s="1472"/>
    </row>
    <row r="12" spans="1:76" s="752" customFormat="1" ht="14.25" customHeight="1">
      <c r="B12" s="778" t="s">
        <v>247</v>
      </c>
      <c r="C12" s="1477"/>
      <c r="D12" s="754">
        <v>1014</v>
      </c>
      <c r="E12" s="755">
        <v>1184</v>
      </c>
      <c r="F12" s="755">
        <v>1036</v>
      </c>
      <c r="G12" s="756">
        <v>1042</v>
      </c>
      <c r="H12" s="754">
        <v>963</v>
      </c>
      <c r="I12" s="755">
        <v>1017</v>
      </c>
      <c r="J12" s="755">
        <v>1405</v>
      </c>
      <c r="K12" s="756">
        <v>840</v>
      </c>
      <c r="L12" s="754">
        <v>583</v>
      </c>
      <c r="M12" s="755">
        <v>657</v>
      </c>
      <c r="N12" s="755">
        <v>684</v>
      </c>
      <c r="O12" s="756">
        <v>697</v>
      </c>
      <c r="P12" s="754">
        <v>679</v>
      </c>
      <c r="Q12" s="755">
        <v>673</v>
      </c>
      <c r="R12" s="755">
        <v>644</v>
      </c>
      <c r="S12" s="756">
        <v>583</v>
      </c>
      <c r="T12" s="754">
        <v>576</v>
      </c>
      <c r="U12" s="755">
        <v>598</v>
      </c>
      <c r="V12" s="755">
        <v>572</v>
      </c>
      <c r="W12" s="756">
        <v>542</v>
      </c>
      <c r="X12" s="754">
        <v>554</v>
      </c>
      <c r="Y12" s="755">
        <v>556</v>
      </c>
      <c r="Z12" s="755">
        <v>634</v>
      </c>
      <c r="AA12" s="756">
        <v>626</v>
      </c>
      <c r="AB12" s="754">
        <v>602</v>
      </c>
      <c r="AC12" s="755">
        <v>653</v>
      </c>
      <c r="AD12" s="755">
        <v>679</v>
      </c>
      <c r="AE12" s="756">
        <v>704</v>
      </c>
      <c r="AF12" s="754">
        <v>661</v>
      </c>
      <c r="AG12" s="755">
        <v>711</v>
      </c>
      <c r="AH12" s="755">
        <v>802</v>
      </c>
      <c r="AI12" s="756">
        <v>833</v>
      </c>
      <c r="AJ12" s="754">
        <v>763</v>
      </c>
      <c r="AK12" s="755">
        <v>782</v>
      </c>
      <c r="AL12" s="755">
        <v>782</v>
      </c>
      <c r="AM12" s="755">
        <v>987</v>
      </c>
      <c r="AN12" s="754">
        <v>1627</v>
      </c>
      <c r="AO12" s="755">
        <v>1266</v>
      </c>
      <c r="AP12" s="755">
        <v>1285</v>
      </c>
      <c r="AQ12" s="755">
        <v>1251</v>
      </c>
      <c r="AR12" s="754">
        <v>1132</v>
      </c>
      <c r="AS12" s="755">
        <v>1119</v>
      </c>
      <c r="AT12" s="755">
        <v>1172</v>
      </c>
      <c r="AU12" s="755">
        <v>1214</v>
      </c>
      <c r="AV12" s="760">
        <f t="shared" ref="AV12:AY12" si="24">AV8-AV19</f>
        <v>1067.4400800000003</v>
      </c>
      <c r="AW12" s="1007">
        <f t="shared" si="24"/>
        <v>1097.5988048000002</v>
      </c>
      <c r="AX12" s="1007">
        <f t="shared" si="24"/>
        <v>1135.4292724480001</v>
      </c>
      <c r="AY12" s="1131">
        <f t="shared" si="24"/>
        <v>1116.5658728595999</v>
      </c>
      <c r="AZ12" s="1131"/>
      <c r="BA12" s="758">
        <f>SUM(D12:G12)</f>
        <v>4276</v>
      </c>
      <c r="BB12" s="758">
        <f>SUM(H12:K12)</f>
        <v>4225</v>
      </c>
      <c r="BC12" s="758">
        <f>SUM(L12:O12)</f>
        <v>2621</v>
      </c>
      <c r="BD12" s="758">
        <f>SUM(P12:S12)</f>
        <v>2579</v>
      </c>
      <c r="BE12" s="759">
        <f>SUM(T12:W12)</f>
        <v>2288</v>
      </c>
      <c r="BF12" s="758">
        <f>SUM(X12:AA12)</f>
        <v>2370</v>
      </c>
      <c r="BG12" s="758">
        <f>SUM(AB12:AE12)</f>
        <v>2638</v>
      </c>
      <c r="BH12" s="759">
        <f>SUM(AF12:AI12)</f>
        <v>3007</v>
      </c>
      <c r="BI12" s="759">
        <f>SUM(AJ12:AM12)</f>
        <v>3314</v>
      </c>
      <c r="BJ12" s="758">
        <f>SUM(AN12:AQ12)</f>
        <v>5429</v>
      </c>
      <c r="BK12" s="758">
        <f>SUM(AR12:AU12)</f>
        <v>4637</v>
      </c>
      <c r="BL12" s="758">
        <f>SUM(AV12:AY12)</f>
        <v>4417.0340301076003</v>
      </c>
      <c r="BM12" s="758">
        <f>BM8-BM19</f>
        <v>4593.1529267115138</v>
      </c>
      <c r="BN12" s="757">
        <f>BN8-BN19</f>
        <v>4790.9315552131411</v>
      </c>
      <c r="BR12" s="760"/>
      <c r="BS12"/>
      <c r="BT12"/>
      <c r="BU12"/>
      <c r="BV12"/>
      <c r="BW12"/>
      <c r="BX12"/>
    </row>
    <row r="13" spans="1:76" s="752" customFormat="1" ht="15" customHeight="1">
      <c r="B13" s="778"/>
      <c r="C13" s="1477"/>
      <c r="D13" s="754"/>
      <c r="E13" s="755"/>
      <c r="F13" s="755"/>
      <c r="G13" s="756"/>
      <c r="H13" s="754"/>
      <c r="I13" s="755"/>
      <c r="J13" s="755"/>
      <c r="K13" s="756"/>
      <c r="L13" s="754"/>
      <c r="M13" s="755"/>
      <c r="N13" s="755"/>
      <c r="O13" s="756"/>
      <c r="P13" s="754"/>
      <c r="Q13" s="755"/>
      <c r="R13" s="755"/>
      <c r="S13" s="756"/>
      <c r="T13" s="754"/>
      <c r="U13" s="755"/>
      <c r="V13" s="755"/>
      <c r="W13" s="756"/>
      <c r="X13" s="754"/>
      <c r="Y13" s="755"/>
      <c r="Z13" s="755"/>
      <c r="AA13" s="756"/>
      <c r="AB13" s="754"/>
      <c r="AC13" s="755"/>
      <c r="AD13" s="755"/>
      <c r="AE13" s="756"/>
      <c r="AF13" s="754"/>
      <c r="AG13" s="755"/>
      <c r="AH13" s="755"/>
      <c r="AI13" s="756"/>
      <c r="AJ13" s="754"/>
      <c r="AK13" s="755"/>
      <c r="AL13" s="755"/>
      <c r="AM13" s="755"/>
      <c r="AN13" s="754"/>
      <c r="AO13" s="755"/>
      <c r="AP13" s="755"/>
      <c r="AQ13" s="755"/>
      <c r="AR13" s="754"/>
      <c r="AS13" s="755"/>
      <c r="AT13" s="755"/>
      <c r="AU13" s="755"/>
      <c r="AV13" s="1778">
        <f t="shared" ref="AV13" si="25">AV12/AV8</f>
        <v>0.45896003921265133</v>
      </c>
      <c r="AW13" s="1779">
        <f t="shared" ref="AW13" si="26">AW12/AW8</f>
        <v>0.45628201784623351</v>
      </c>
      <c r="AX13" s="1779">
        <f t="shared" ref="AX13" si="27">AX12/AX8</f>
        <v>0.45348758413998769</v>
      </c>
      <c r="AY13" s="1755">
        <f t="shared" ref="AY13" si="28">AY12/AY8</f>
        <v>0.45286096363242229</v>
      </c>
      <c r="AZ13" s="1131"/>
      <c r="BA13" s="1530">
        <f t="shared" ref="BA13:BI13" si="29">BA12/BA8</f>
        <v>0.67647524125929437</v>
      </c>
      <c r="BB13" s="1530">
        <f t="shared" si="29"/>
        <v>0.776226345765203</v>
      </c>
      <c r="BC13" s="1530">
        <f t="shared" si="29"/>
        <v>0.74481386757601586</v>
      </c>
      <c r="BD13" s="1530">
        <f t="shared" si="29"/>
        <v>0.58587005906406175</v>
      </c>
      <c r="BE13" s="1682">
        <f t="shared" si="29"/>
        <v>0.54554124940391036</v>
      </c>
      <c r="BF13" s="1683">
        <f t="shared" si="29"/>
        <v>0.54382744378155112</v>
      </c>
      <c r="BG13" s="1683">
        <f t="shared" si="29"/>
        <v>0.54787123572170304</v>
      </c>
      <c r="BH13" s="1765">
        <f t="shared" si="29"/>
        <v>0.53249513015760586</v>
      </c>
      <c r="BI13" s="1765">
        <f t="shared" si="29"/>
        <v>0.54318964104245204</v>
      </c>
      <c r="BJ13" s="1815">
        <f>BJ12/BJ8</f>
        <v>0.57159401979364077</v>
      </c>
      <c r="BK13" s="1815">
        <f>BK12/BK8</f>
        <v>0.50097234226447707</v>
      </c>
      <c r="BL13" s="1815">
        <f>BL12/BL8</f>
        <v>0.45533331702836838</v>
      </c>
      <c r="BM13" s="1815">
        <f t="shared" ref="BM13" si="30">BM12/BM8</f>
        <v>0.44870988656417293</v>
      </c>
      <c r="BN13" s="1755">
        <f t="shared" ref="BN13" si="31">BN12/BN8</f>
        <v>0.44620988656417299</v>
      </c>
      <c r="BR13" s="760"/>
      <c r="BS13"/>
      <c r="BT13"/>
      <c r="BU13"/>
      <c r="BV13"/>
      <c r="BW13"/>
      <c r="BX13"/>
    </row>
    <row r="14" spans="1:76" s="752" customFormat="1" ht="7.5" customHeight="1">
      <c r="B14" s="778"/>
      <c r="C14" s="1477"/>
      <c r="D14" s="754"/>
      <c r="E14" s="755"/>
      <c r="F14" s="755"/>
      <c r="G14" s="756"/>
      <c r="H14" s="754"/>
      <c r="I14" s="755"/>
      <c r="J14" s="755"/>
      <c r="K14" s="756"/>
      <c r="L14" s="754"/>
      <c r="M14" s="755"/>
      <c r="N14" s="755"/>
      <c r="O14" s="756"/>
      <c r="P14" s="754"/>
      <c r="Q14" s="755"/>
      <c r="R14" s="755"/>
      <c r="S14" s="756"/>
      <c r="T14" s="754"/>
      <c r="U14" s="755"/>
      <c r="V14" s="755"/>
      <c r="W14" s="756"/>
      <c r="X14" s="754"/>
      <c r="Y14" s="755"/>
      <c r="Z14" s="755"/>
      <c r="AA14" s="756"/>
      <c r="AB14" s="754"/>
      <c r="AC14" s="755"/>
      <c r="AD14" s="755"/>
      <c r="AE14" s="756"/>
      <c r="AF14" s="754"/>
      <c r="AG14" s="755"/>
      <c r="AH14" s="755"/>
      <c r="AI14" s="756"/>
      <c r="AJ14" s="754"/>
      <c r="AK14" s="755"/>
      <c r="AL14" s="755"/>
      <c r="AM14" s="755"/>
      <c r="AN14" s="754"/>
      <c r="AO14" s="755"/>
      <c r="AP14" s="755"/>
      <c r="AQ14" s="755"/>
      <c r="AR14" s="754"/>
      <c r="AS14" s="755"/>
      <c r="AT14" s="755"/>
      <c r="AU14" s="755"/>
      <c r="AV14" s="1778"/>
      <c r="AW14" s="1779"/>
      <c r="AX14" s="1779"/>
      <c r="AY14" s="1755"/>
      <c r="AZ14" s="1131"/>
      <c r="BA14" s="1530"/>
      <c r="BB14" s="1530"/>
      <c r="BC14" s="1530"/>
      <c r="BD14" s="1530"/>
      <c r="BE14" s="1682"/>
      <c r="BF14" s="1683"/>
      <c r="BG14" s="1683"/>
      <c r="BH14" s="1765"/>
      <c r="BI14" s="1765"/>
      <c r="BJ14" s="1815"/>
      <c r="BK14" s="1815"/>
      <c r="BL14" s="1815"/>
      <c r="BM14" s="1815"/>
      <c r="BN14" s="1755"/>
      <c r="BR14" s="760"/>
      <c r="BS14"/>
      <c r="BT14"/>
      <c r="BU14"/>
      <c r="BV14"/>
      <c r="BW14"/>
      <c r="BX14"/>
    </row>
    <row r="15" spans="1:76" s="761" customFormat="1" ht="14.25" hidden="1" customHeight="1" outlineLevel="1">
      <c r="B15" s="776" t="s">
        <v>502</v>
      </c>
      <c r="C15" s="1478"/>
      <c r="D15" s="770"/>
      <c r="E15" s="771"/>
      <c r="F15" s="771"/>
      <c r="G15" s="772"/>
      <c r="H15" s="770"/>
      <c r="I15" s="771"/>
      <c r="J15" s="771"/>
      <c r="K15" s="772"/>
      <c r="L15" s="770"/>
      <c r="M15" s="771"/>
      <c r="N15" s="771"/>
      <c r="O15" s="772"/>
      <c r="P15" s="770"/>
      <c r="Q15" s="771"/>
      <c r="R15" s="771"/>
      <c r="S15" s="772"/>
      <c r="T15" s="770"/>
      <c r="U15" s="771"/>
      <c r="V15" s="771"/>
      <c r="W15" s="772"/>
      <c r="X15" s="770"/>
      <c r="Y15" s="771"/>
      <c r="Z15" s="771"/>
      <c r="AA15" s="772"/>
      <c r="AB15" s="770">
        <v>1</v>
      </c>
      <c r="AC15" s="771">
        <v>3</v>
      </c>
      <c r="AD15" s="771">
        <v>1</v>
      </c>
      <c r="AE15" s="772">
        <v>3</v>
      </c>
      <c r="AF15" s="770">
        <v>3</v>
      </c>
      <c r="AG15" s="771">
        <v>2</v>
      </c>
      <c r="AH15" s="771">
        <v>2</v>
      </c>
      <c r="AI15" s="772">
        <v>3</v>
      </c>
      <c r="AJ15" s="770">
        <v>2</v>
      </c>
      <c r="AK15" s="771">
        <v>3</v>
      </c>
      <c r="AL15" s="771">
        <v>3</v>
      </c>
      <c r="AM15" s="771">
        <v>7</v>
      </c>
      <c r="AN15" s="770">
        <v>15</v>
      </c>
      <c r="AO15" s="771">
        <v>12</v>
      </c>
      <c r="AP15" s="771">
        <v>10</v>
      </c>
      <c r="AQ15" s="771">
        <v>12</v>
      </c>
      <c r="AR15" s="770">
        <v>9</v>
      </c>
      <c r="AS15" s="771">
        <v>7</v>
      </c>
      <c r="AT15" s="771">
        <v>7</v>
      </c>
      <c r="AU15" s="771">
        <v>10</v>
      </c>
      <c r="AV15" s="763">
        <f t="shared" ref="AV15:AY15" si="32">AU15</f>
        <v>10</v>
      </c>
      <c r="AW15" s="764">
        <f t="shared" si="32"/>
        <v>10</v>
      </c>
      <c r="AX15" s="764">
        <f t="shared" si="32"/>
        <v>10</v>
      </c>
      <c r="AY15" s="765">
        <f t="shared" si="32"/>
        <v>10</v>
      </c>
      <c r="AZ15" s="775"/>
      <c r="BA15" s="1076">
        <f>SUM(D15:G15)</f>
        <v>0</v>
      </c>
      <c r="BB15" s="1076">
        <f>SUM(H15:K15)</f>
        <v>0</v>
      </c>
      <c r="BC15" s="1076">
        <f>SUM(L15:O15)</f>
        <v>0</v>
      </c>
      <c r="BD15" s="1076">
        <f>SUM(P15:S15)</f>
        <v>0</v>
      </c>
      <c r="BE15" s="1681">
        <f>SUM(T15:W15)</f>
        <v>0</v>
      </c>
      <c r="BF15" s="1679">
        <f>SUM(X15:AA15)</f>
        <v>0</v>
      </c>
      <c r="BG15" s="1679">
        <f>SUM(AB15:AE15)</f>
        <v>8</v>
      </c>
      <c r="BH15" s="1777">
        <f>SUM(AF15:AI15)</f>
        <v>10</v>
      </c>
      <c r="BI15" s="1777">
        <f>SUM(AJ15:AM15)</f>
        <v>15</v>
      </c>
      <c r="BJ15" s="764">
        <f>SUM(AN15:AQ15)</f>
        <v>49</v>
      </c>
      <c r="BK15" s="764">
        <f>SUM(AR15:AU15)</f>
        <v>33</v>
      </c>
      <c r="BL15" s="764">
        <f>SUM(AV15:AY15)</f>
        <v>40</v>
      </c>
      <c r="BM15" s="764">
        <f>BL15</f>
        <v>40</v>
      </c>
      <c r="BN15" s="765">
        <f>BM15</f>
        <v>40</v>
      </c>
      <c r="BR15" s="766"/>
      <c r="BS15"/>
      <c r="BT15"/>
      <c r="BU15"/>
      <c r="BV15"/>
      <c r="BW15"/>
      <c r="BX15"/>
    </row>
    <row r="16" spans="1:76" s="752" customFormat="1" ht="14.25" hidden="1" customHeight="1" outlineLevel="1">
      <c r="B16" s="779" t="s">
        <v>491</v>
      </c>
      <c r="C16" s="1535"/>
      <c r="D16" s="754">
        <v>0</v>
      </c>
      <c r="E16" s="755">
        <v>0</v>
      </c>
      <c r="F16" s="755">
        <v>0</v>
      </c>
      <c r="G16" s="756">
        <v>0</v>
      </c>
      <c r="H16" s="754">
        <v>0</v>
      </c>
      <c r="I16" s="755">
        <v>0</v>
      </c>
      <c r="J16" s="755">
        <v>0</v>
      </c>
      <c r="K16" s="756">
        <v>0</v>
      </c>
      <c r="L16" s="754">
        <f>4+17+24</f>
        <v>45</v>
      </c>
      <c r="M16" s="755">
        <f>54+6+31</f>
        <v>91</v>
      </c>
      <c r="N16" s="755">
        <f>3-16+61</f>
        <v>48</v>
      </c>
      <c r="O16" s="756">
        <f>8-12+47</f>
        <v>43</v>
      </c>
      <c r="P16" s="754">
        <f>12-4+9</f>
        <v>17</v>
      </c>
      <c r="Q16" s="755">
        <f>3+2+5</f>
        <v>10</v>
      </c>
      <c r="R16" s="755">
        <f>3+7+2</f>
        <v>12</v>
      </c>
      <c r="S16" s="756">
        <f>3+3+7</f>
        <v>13</v>
      </c>
      <c r="T16" s="754">
        <f>3+6+2</f>
        <v>11</v>
      </c>
      <c r="U16" s="755">
        <f>3+4+6</f>
        <v>13</v>
      </c>
      <c r="V16" s="755">
        <f>15+4+5</f>
        <v>24</v>
      </c>
      <c r="W16" s="756">
        <f>6+23+5</f>
        <v>34</v>
      </c>
      <c r="X16" s="754">
        <f>5+2+2</f>
        <v>9</v>
      </c>
      <c r="Y16" s="755">
        <f>9+1+3-46</f>
        <v>-33</v>
      </c>
      <c r="Z16" s="755">
        <f>4+2</f>
        <v>6</v>
      </c>
      <c r="AA16" s="756">
        <f>2+20+2</f>
        <v>24</v>
      </c>
      <c r="AB16" s="754">
        <f>3+2+2+46</f>
        <v>53</v>
      </c>
      <c r="AC16" s="755">
        <f>3-6+5</f>
        <v>2</v>
      </c>
      <c r="AD16" s="755">
        <f>2+7+5</f>
        <v>14</v>
      </c>
      <c r="AE16" s="756">
        <f>6+21+17</f>
        <v>44</v>
      </c>
      <c r="AF16" s="754">
        <f>3+23+3</f>
        <v>29</v>
      </c>
      <c r="AG16" s="755">
        <f>10+3+2</f>
        <v>15</v>
      </c>
      <c r="AH16" s="755">
        <f>5+3+2</f>
        <v>10</v>
      </c>
      <c r="AI16" s="756">
        <f>5+3+1</f>
        <v>9</v>
      </c>
      <c r="AJ16" s="754">
        <f>3+1+1</f>
        <v>5</v>
      </c>
      <c r="AK16" s="755">
        <v>7</v>
      </c>
      <c r="AL16" s="755">
        <f>3+4-2</f>
        <v>5</v>
      </c>
      <c r="AM16" s="755">
        <v>180</v>
      </c>
      <c r="AN16" s="754">
        <f>496+4</f>
        <v>500</v>
      </c>
      <c r="AO16" s="755">
        <f>66+10-4</f>
        <v>72</v>
      </c>
      <c r="AP16" s="755">
        <f>64+3-14</f>
        <v>53</v>
      </c>
      <c r="AQ16" s="755">
        <f>60+1-14</f>
        <v>47</v>
      </c>
      <c r="AR16" s="754">
        <f>59-4+1</f>
        <v>56</v>
      </c>
      <c r="AS16" s="755">
        <f>76+1</f>
        <v>77</v>
      </c>
      <c r="AT16" s="755">
        <f>59+1+1</f>
        <v>61</v>
      </c>
      <c r="AU16" s="755">
        <f>79</f>
        <v>79</v>
      </c>
      <c r="AV16" s="754">
        <v>0</v>
      </c>
      <c r="AW16" s="755">
        <v>0</v>
      </c>
      <c r="AX16" s="755">
        <v>0</v>
      </c>
      <c r="AY16" s="756">
        <v>0</v>
      </c>
      <c r="AZ16" s="1131"/>
      <c r="BA16" s="758">
        <f>SUM(D16:G16)</f>
        <v>0</v>
      </c>
      <c r="BB16" s="758">
        <f>SUM(H16:K16)</f>
        <v>0</v>
      </c>
      <c r="BC16" s="758">
        <f>SUM(L16:O16)</f>
        <v>227</v>
      </c>
      <c r="BD16" s="758">
        <f>SUM(P16:S16)</f>
        <v>52</v>
      </c>
      <c r="BE16" s="759">
        <f>SUM(T16:W16)</f>
        <v>82</v>
      </c>
      <c r="BF16" s="758">
        <f>SUM(X16:AA16)</f>
        <v>6</v>
      </c>
      <c r="BG16" s="758">
        <f>SUM(AB16:AE16)</f>
        <v>113</v>
      </c>
      <c r="BH16" s="759">
        <f>SUM(AF16:AI16)</f>
        <v>63</v>
      </c>
      <c r="BI16" s="759">
        <f>SUM(AJ16:AM16)</f>
        <v>197</v>
      </c>
      <c r="BJ16" s="758">
        <f>SUM(AN16:AQ16)</f>
        <v>672</v>
      </c>
      <c r="BK16" s="758">
        <f>SUM(AR16:AU16)</f>
        <v>273</v>
      </c>
      <c r="BL16" s="758">
        <f>SUM(AV16:AY16)</f>
        <v>0</v>
      </c>
      <c r="BM16" s="758">
        <v>0</v>
      </c>
      <c r="BN16" s="757">
        <v>0</v>
      </c>
      <c r="BR16" s="760"/>
      <c r="BS16"/>
      <c r="BT16"/>
      <c r="BU16"/>
      <c r="BV16"/>
      <c r="BW16"/>
      <c r="BX16"/>
    </row>
    <row r="17" spans="1:76" s="761" customFormat="1" ht="14.25" customHeight="1" collapsed="1">
      <c r="B17" s="776" t="s">
        <v>52</v>
      </c>
      <c r="C17" s="1478"/>
      <c r="D17" s="763">
        <f t="shared" ref="D17:AM17" si="33">D12-D16</f>
        <v>1014</v>
      </c>
      <c r="E17" s="764">
        <f t="shared" si="33"/>
        <v>1184</v>
      </c>
      <c r="F17" s="764">
        <f t="shared" si="33"/>
        <v>1036</v>
      </c>
      <c r="G17" s="765">
        <f t="shared" si="33"/>
        <v>1042</v>
      </c>
      <c r="H17" s="763">
        <f t="shared" si="33"/>
        <v>963</v>
      </c>
      <c r="I17" s="764">
        <f t="shared" si="33"/>
        <v>1017</v>
      </c>
      <c r="J17" s="764">
        <f t="shared" si="33"/>
        <v>1405</v>
      </c>
      <c r="K17" s="765">
        <f t="shared" si="33"/>
        <v>840</v>
      </c>
      <c r="L17" s="763">
        <f t="shared" si="33"/>
        <v>538</v>
      </c>
      <c r="M17" s="764">
        <f t="shared" si="33"/>
        <v>566</v>
      </c>
      <c r="N17" s="764">
        <f t="shared" si="33"/>
        <v>636</v>
      </c>
      <c r="O17" s="765">
        <f t="shared" si="33"/>
        <v>654</v>
      </c>
      <c r="P17" s="763">
        <f t="shared" si="33"/>
        <v>662</v>
      </c>
      <c r="Q17" s="764">
        <f t="shared" si="33"/>
        <v>663</v>
      </c>
      <c r="R17" s="764">
        <f t="shared" si="33"/>
        <v>632</v>
      </c>
      <c r="S17" s="765">
        <f t="shared" si="33"/>
        <v>570</v>
      </c>
      <c r="T17" s="763">
        <f t="shared" si="33"/>
        <v>565</v>
      </c>
      <c r="U17" s="764">
        <f t="shared" si="33"/>
        <v>585</v>
      </c>
      <c r="V17" s="764">
        <f t="shared" si="33"/>
        <v>548</v>
      </c>
      <c r="W17" s="765">
        <f t="shared" si="33"/>
        <v>508</v>
      </c>
      <c r="X17" s="763">
        <f t="shared" si="33"/>
        <v>545</v>
      </c>
      <c r="Y17" s="764">
        <f t="shared" si="33"/>
        <v>589</v>
      </c>
      <c r="Z17" s="764">
        <f t="shared" si="33"/>
        <v>628</v>
      </c>
      <c r="AA17" s="765">
        <f t="shared" si="33"/>
        <v>602</v>
      </c>
      <c r="AB17" s="763">
        <f t="shared" si="33"/>
        <v>549</v>
      </c>
      <c r="AC17" s="764">
        <f t="shared" si="33"/>
        <v>651</v>
      </c>
      <c r="AD17" s="764">
        <f t="shared" si="33"/>
        <v>665</v>
      </c>
      <c r="AE17" s="765">
        <f t="shared" si="33"/>
        <v>660</v>
      </c>
      <c r="AF17" s="763">
        <f t="shared" si="33"/>
        <v>632</v>
      </c>
      <c r="AG17" s="764">
        <f t="shared" si="33"/>
        <v>696</v>
      </c>
      <c r="AH17" s="764">
        <f t="shared" si="33"/>
        <v>792</v>
      </c>
      <c r="AI17" s="765">
        <f t="shared" si="33"/>
        <v>824</v>
      </c>
      <c r="AJ17" s="763">
        <f t="shared" si="33"/>
        <v>758</v>
      </c>
      <c r="AK17" s="764">
        <f t="shared" si="33"/>
        <v>775</v>
      </c>
      <c r="AL17" s="764">
        <f t="shared" si="33"/>
        <v>777</v>
      </c>
      <c r="AM17" s="764">
        <f t="shared" si="33"/>
        <v>807</v>
      </c>
      <c r="AN17" s="763">
        <f t="shared" ref="AN17:AP17" si="34">AN12-AN16</f>
        <v>1127</v>
      </c>
      <c r="AO17" s="764">
        <f t="shared" si="34"/>
        <v>1194</v>
      </c>
      <c r="AP17" s="764">
        <f t="shared" si="34"/>
        <v>1232</v>
      </c>
      <c r="AQ17" s="764">
        <f>AQ12-AQ16</f>
        <v>1204</v>
      </c>
      <c r="AR17" s="763">
        <f>AR12-AR16</f>
        <v>1076</v>
      </c>
      <c r="AS17" s="764">
        <f t="shared" ref="AS17:AT17" si="35">AS12-AS16</f>
        <v>1042</v>
      </c>
      <c r="AT17" s="764">
        <f t="shared" si="35"/>
        <v>1111</v>
      </c>
      <c r="AU17" s="764">
        <f>AU12-AU16</f>
        <v>1135</v>
      </c>
      <c r="AV17" s="763">
        <f t="shared" ref="AV17:AY17" si="36">AV8-AV22</f>
        <v>1067.4400800000003</v>
      </c>
      <c r="AW17" s="764">
        <f t="shared" si="36"/>
        <v>1097.5988048000002</v>
      </c>
      <c r="AX17" s="764">
        <f t="shared" si="36"/>
        <v>1135.4292724480001</v>
      </c>
      <c r="AY17" s="765">
        <f t="shared" si="36"/>
        <v>1116.5658728595999</v>
      </c>
      <c r="AZ17" s="775"/>
      <c r="BA17" s="764">
        <f t="shared" ref="BA17" si="37">BA12-BA16</f>
        <v>4276</v>
      </c>
      <c r="BB17" s="764">
        <f t="shared" ref="BB17" si="38">BB12-BB16</f>
        <v>4225</v>
      </c>
      <c r="BC17" s="764">
        <f t="shared" ref="BC17" si="39">BC12-BC16</f>
        <v>2394</v>
      </c>
      <c r="BD17" s="764">
        <f t="shared" ref="BD17" si="40">BD12-BD16</f>
        <v>2527</v>
      </c>
      <c r="BE17" s="763">
        <f t="shared" ref="BE17" si="41">BE12-BE16</f>
        <v>2206</v>
      </c>
      <c r="BF17" s="764">
        <f t="shared" ref="BF17" si="42">BF12-BF16</f>
        <v>2364</v>
      </c>
      <c r="BG17" s="764">
        <f t="shared" ref="BG17" si="43">BG12-BG16</f>
        <v>2525</v>
      </c>
      <c r="BH17" s="763">
        <f t="shared" ref="BH17" si="44">BH12-BH16</f>
        <v>2944</v>
      </c>
      <c r="BI17" s="763">
        <f t="shared" ref="BI17" si="45">BI12-BI16</f>
        <v>3117</v>
      </c>
      <c r="BJ17" s="764">
        <f t="shared" ref="BJ17:BM17" si="46">BJ12-BJ16</f>
        <v>4757</v>
      </c>
      <c r="BK17" s="764">
        <f>SUM(AR17:AU17)</f>
        <v>4364</v>
      </c>
      <c r="BL17" s="764">
        <f t="shared" si="46"/>
        <v>4417.0340301076003</v>
      </c>
      <c r="BM17" s="764">
        <f t="shared" si="46"/>
        <v>4593.1529267115138</v>
      </c>
      <c r="BN17" s="765">
        <f t="shared" ref="BN17" si="47">BN12-BN16</f>
        <v>4790.9315552131411</v>
      </c>
      <c r="BR17" s="766"/>
      <c r="BS17"/>
      <c r="BT17"/>
      <c r="BU17"/>
      <c r="BV17"/>
      <c r="BW17"/>
      <c r="BX17"/>
    </row>
    <row r="18" spans="1:76" ht="14.25" customHeight="1">
      <c r="A18" s="8"/>
      <c r="B18" s="776"/>
      <c r="C18" s="58"/>
      <c r="D18" s="39"/>
      <c r="E18" s="37"/>
      <c r="F18" s="42"/>
      <c r="G18" s="38"/>
      <c r="H18" s="39"/>
      <c r="I18" s="37"/>
      <c r="J18" s="42"/>
      <c r="K18" s="38"/>
      <c r="L18" s="39"/>
      <c r="M18" s="37"/>
      <c r="N18" s="42"/>
      <c r="O18" s="38"/>
      <c r="P18" s="39"/>
      <c r="Q18" s="37"/>
      <c r="R18" s="42"/>
      <c r="S18" s="38"/>
      <c r="T18" s="39"/>
      <c r="U18" s="37"/>
      <c r="V18" s="42"/>
      <c r="W18" s="38"/>
      <c r="X18" s="39"/>
      <c r="Y18" s="37"/>
      <c r="Z18" s="42"/>
      <c r="AA18" s="38"/>
      <c r="AB18" s="39"/>
      <c r="AC18" s="37"/>
      <c r="AD18" s="42"/>
      <c r="AE18" s="38"/>
      <c r="AF18" s="39"/>
      <c r="AG18" s="37"/>
      <c r="AH18" s="42"/>
      <c r="AI18" s="38"/>
      <c r="AJ18" s="39"/>
      <c r="AK18" s="37"/>
      <c r="AL18" s="42"/>
      <c r="AM18" s="37"/>
      <c r="AN18" s="39"/>
      <c r="AO18" s="37"/>
      <c r="AP18" s="42"/>
      <c r="AQ18" s="37"/>
      <c r="AR18" s="39"/>
      <c r="AS18" s="37"/>
      <c r="AT18" s="42"/>
      <c r="AU18" s="37"/>
      <c r="AV18" s="39"/>
      <c r="AW18" s="37"/>
      <c r="AX18" s="37"/>
      <c r="AY18" s="38"/>
      <c r="AZ18" s="246"/>
      <c r="BA18" s="40"/>
      <c r="BB18" s="40"/>
      <c r="BC18" s="40"/>
      <c r="BD18" s="40"/>
      <c r="BE18" s="50"/>
      <c r="BF18" s="40"/>
      <c r="BG18" s="40"/>
      <c r="BH18" s="50"/>
      <c r="BI18" s="50"/>
      <c r="BJ18" s="40"/>
      <c r="BK18" s="40"/>
      <c r="BL18" s="40"/>
      <c r="BM18" s="40"/>
      <c r="BN18" s="41"/>
      <c r="BR18" s="1472"/>
    </row>
    <row r="19" spans="1:76" s="761" customFormat="1" ht="14.25" customHeight="1">
      <c r="B19" s="780" t="s">
        <v>248</v>
      </c>
      <c r="C19" s="1536"/>
      <c r="D19" s="767">
        <f t="shared" ref="D19:AM19" si="48">D8-D12</f>
        <v>447</v>
      </c>
      <c r="E19" s="768">
        <f t="shared" si="48"/>
        <v>354</v>
      </c>
      <c r="F19" s="768">
        <f t="shared" si="48"/>
        <v>608</v>
      </c>
      <c r="G19" s="769">
        <f t="shared" si="48"/>
        <v>636</v>
      </c>
      <c r="H19" s="767">
        <f t="shared" si="48"/>
        <v>556</v>
      </c>
      <c r="I19" s="768">
        <f t="shared" si="48"/>
        <v>507</v>
      </c>
      <c r="J19" s="768">
        <f t="shared" si="48"/>
        <v>-31</v>
      </c>
      <c r="K19" s="769">
        <f t="shared" si="48"/>
        <v>186</v>
      </c>
      <c r="L19" s="767">
        <f t="shared" si="48"/>
        <v>62</v>
      </c>
      <c r="M19" s="768">
        <f t="shared" si="48"/>
        <v>166</v>
      </c>
      <c r="N19" s="768">
        <f t="shared" si="48"/>
        <v>300</v>
      </c>
      <c r="O19" s="769">
        <f t="shared" si="48"/>
        <v>370</v>
      </c>
      <c r="P19" s="767">
        <f t="shared" si="48"/>
        <v>406</v>
      </c>
      <c r="Q19" s="768">
        <f t="shared" si="48"/>
        <v>446</v>
      </c>
      <c r="R19" s="768">
        <f t="shared" si="48"/>
        <v>476</v>
      </c>
      <c r="S19" s="769">
        <f t="shared" si="48"/>
        <v>495</v>
      </c>
      <c r="T19" s="767">
        <f t="shared" si="48"/>
        <v>506</v>
      </c>
      <c r="U19" s="768">
        <f t="shared" si="48"/>
        <v>523</v>
      </c>
      <c r="V19" s="768">
        <f t="shared" si="48"/>
        <v>488</v>
      </c>
      <c r="W19" s="769">
        <f t="shared" si="48"/>
        <v>389</v>
      </c>
      <c r="X19" s="767">
        <f t="shared" si="48"/>
        <v>424</v>
      </c>
      <c r="Y19" s="768">
        <f t="shared" si="48"/>
        <v>538</v>
      </c>
      <c r="Z19" s="768">
        <f t="shared" si="48"/>
        <v>536</v>
      </c>
      <c r="AA19" s="769">
        <f t="shared" si="48"/>
        <v>490</v>
      </c>
      <c r="AB19" s="767">
        <f t="shared" si="48"/>
        <v>483</v>
      </c>
      <c r="AC19" s="768">
        <f t="shared" si="48"/>
        <v>535</v>
      </c>
      <c r="AD19" s="768">
        <f t="shared" si="48"/>
        <v>570</v>
      </c>
      <c r="AE19" s="769">
        <f t="shared" si="48"/>
        <v>589</v>
      </c>
      <c r="AF19" s="767">
        <f t="shared" si="48"/>
        <v>585</v>
      </c>
      <c r="AG19" s="768">
        <f t="shared" si="48"/>
        <v>638</v>
      </c>
      <c r="AH19" s="768">
        <f t="shared" si="48"/>
        <v>713</v>
      </c>
      <c r="AI19" s="769">
        <f t="shared" si="48"/>
        <v>704</v>
      </c>
      <c r="AJ19" s="767">
        <f t="shared" si="48"/>
        <v>704</v>
      </c>
      <c r="AK19" s="768">
        <f t="shared" si="48"/>
        <v>724</v>
      </c>
      <c r="AL19" s="768">
        <f t="shared" si="48"/>
        <v>740</v>
      </c>
      <c r="AM19" s="768">
        <f t="shared" si="48"/>
        <v>619</v>
      </c>
      <c r="AN19" s="767">
        <f t="shared" ref="AN19:AQ19" si="49">AN8-AN12</f>
        <v>597</v>
      </c>
      <c r="AO19" s="768">
        <f t="shared" si="49"/>
        <v>1099</v>
      </c>
      <c r="AP19" s="768">
        <f t="shared" si="49"/>
        <v>1184</v>
      </c>
      <c r="AQ19" s="768">
        <f t="shared" si="49"/>
        <v>1189</v>
      </c>
      <c r="AR19" s="767">
        <f t="shared" ref="AR19:AU19" si="50">AR8-AR12</f>
        <v>1079</v>
      </c>
      <c r="AS19" s="768">
        <f t="shared" si="50"/>
        <v>1083</v>
      </c>
      <c r="AT19" s="768">
        <f t="shared" si="50"/>
        <v>1215</v>
      </c>
      <c r="AU19" s="768">
        <f t="shared" si="50"/>
        <v>1242</v>
      </c>
      <c r="AV19" s="1726">
        <f t="shared" ref="AV19:AY19" si="51">AV22-AV16</f>
        <v>1258.3399199999999</v>
      </c>
      <c r="AW19" s="1439">
        <f t="shared" si="51"/>
        <v>1307.9283951999998</v>
      </c>
      <c r="AX19" s="1439">
        <f t="shared" si="51"/>
        <v>1368.3421915519998</v>
      </c>
      <c r="AY19" s="1442">
        <f t="shared" si="51"/>
        <v>1349.0161987403999</v>
      </c>
      <c r="AZ19" s="775"/>
      <c r="BA19" s="768">
        <f t="shared" ref="BA19:BI19" si="52">BA8-BA12</f>
        <v>2045</v>
      </c>
      <c r="BB19" s="768">
        <f t="shared" si="52"/>
        <v>1218</v>
      </c>
      <c r="BC19" s="768">
        <f t="shared" si="52"/>
        <v>898</v>
      </c>
      <c r="BD19" s="768">
        <f t="shared" si="52"/>
        <v>1823</v>
      </c>
      <c r="BE19" s="767">
        <f t="shared" si="52"/>
        <v>1906</v>
      </c>
      <c r="BF19" s="768">
        <f t="shared" si="52"/>
        <v>1988</v>
      </c>
      <c r="BG19" s="768">
        <f t="shared" si="52"/>
        <v>2177</v>
      </c>
      <c r="BH19" s="767">
        <f t="shared" si="52"/>
        <v>2640</v>
      </c>
      <c r="BI19" s="767">
        <f t="shared" si="52"/>
        <v>2787</v>
      </c>
      <c r="BJ19" s="768">
        <f>BJ8-BJ12</f>
        <v>4069</v>
      </c>
      <c r="BK19" s="768">
        <f>SUM(AR19:AU19)</f>
        <v>4619</v>
      </c>
      <c r="BL19" s="768">
        <f>SUM(AV19:AY19)</f>
        <v>5283.6267054923992</v>
      </c>
      <c r="BM19" s="768">
        <f t="shared" ref="BM19" si="53">BM22-BM16</f>
        <v>5643.2003702524862</v>
      </c>
      <c r="BN19" s="769">
        <f t="shared" ref="BN19" si="54">BN22-BN16</f>
        <v>5946.0146655517801</v>
      </c>
      <c r="BR19" s="766"/>
      <c r="BS19"/>
      <c r="BT19"/>
      <c r="BU19"/>
      <c r="BV19"/>
      <c r="BW19"/>
      <c r="BX19"/>
    </row>
    <row r="20" spans="1:76" ht="14.25" customHeight="1">
      <c r="A20" s="8"/>
      <c r="B20" s="451" t="s">
        <v>223</v>
      </c>
      <c r="C20" s="1537"/>
      <c r="D20" s="1527">
        <f t="shared" ref="D20:AM20" si="55">D19/D8</f>
        <v>0.3059548254620123</v>
      </c>
      <c r="E20" s="1504">
        <f t="shared" si="55"/>
        <v>0.23016905071521457</v>
      </c>
      <c r="F20" s="1504">
        <f t="shared" si="55"/>
        <v>0.36982968369829683</v>
      </c>
      <c r="G20" s="1526">
        <f t="shared" si="55"/>
        <v>0.37902264600715135</v>
      </c>
      <c r="H20" s="1527">
        <f t="shared" si="55"/>
        <v>0.36603028308097435</v>
      </c>
      <c r="I20" s="1504">
        <f t="shared" si="55"/>
        <v>0.33267716535433073</v>
      </c>
      <c r="J20" s="1504">
        <f t="shared" si="55"/>
        <v>-2.2561863173216887E-2</v>
      </c>
      <c r="K20" s="1526">
        <f t="shared" si="55"/>
        <v>0.18128654970760233</v>
      </c>
      <c r="L20" s="1527">
        <f t="shared" si="55"/>
        <v>9.6124031007751937E-2</v>
      </c>
      <c r="M20" s="1504">
        <f t="shared" si="55"/>
        <v>0.20170109356014582</v>
      </c>
      <c r="N20" s="1504">
        <f t="shared" si="55"/>
        <v>0.3048780487804878</v>
      </c>
      <c r="O20" s="1526">
        <f t="shared" si="55"/>
        <v>0.34676663542642922</v>
      </c>
      <c r="P20" s="1527">
        <f t="shared" si="55"/>
        <v>0.37419354838709679</v>
      </c>
      <c r="Q20" s="1504">
        <f t="shared" si="55"/>
        <v>0.39857015192135836</v>
      </c>
      <c r="R20" s="1504">
        <f t="shared" si="55"/>
        <v>0.42499999999999999</v>
      </c>
      <c r="S20" s="1526">
        <f t="shared" si="55"/>
        <v>0.45918367346938777</v>
      </c>
      <c r="T20" s="1527">
        <f t="shared" si="55"/>
        <v>0.46765249537892789</v>
      </c>
      <c r="U20" s="1504">
        <f t="shared" si="55"/>
        <v>0.46654772524531668</v>
      </c>
      <c r="V20" s="1504">
        <f t="shared" si="55"/>
        <v>0.46037735849056605</v>
      </c>
      <c r="W20" s="1526">
        <f t="shared" si="55"/>
        <v>0.41783029001074112</v>
      </c>
      <c r="X20" s="1527">
        <f t="shared" si="55"/>
        <v>0.43353783231083842</v>
      </c>
      <c r="Y20" s="1504">
        <f t="shared" si="55"/>
        <v>0.49177330895795246</v>
      </c>
      <c r="Z20" s="1504">
        <f t="shared" si="55"/>
        <v>0.4581196581196581</v>
      </c>
      <c r="AA20" s="1526">
        <f t="shared" si="55"/>
        <v>0.43906810035842292</v>
      </c>
      <c r="AB20" s="1527">
        <f t="shared" si="55"/>
        <v>0.44516129032258067</v>
      </c>
      <c r="AC20" s="1504">
        <f t="shared" si="55"/>
        <v>0.45033670033670031</v>
      </c>
      <c r="AD20" s="1504">
        <f t="shared" si="55"/>
        <v>0.45636509207365894</v>
      </c>
      <c r="AE20" s="1526">
        <f t="shared" si="55"/>
        <v>0.45552977571539055</v>
      </c>
      <c r="AF20" s="1527">
        <f t="shared" si="55"/>
        <v>0.4695024077046549</v>
      </c>
      <c r="AG20" s="1504">
        <f t="shared" si="55"/>
        <v>0.47294292068198668</v>
      </c>
      <c r="AH20" s="1504">
        <f t="shared" si="55"/>
        <v>0.47062706270627064</v>
      </c>
      <c r="AI20" s="1526">
        <f t="shared" si="55"/>
        <v>0.45803513337670787</v>
      </c>
      <c r="AJ20" s="1527">
        <f t="shared" si="55"/>
        <v>0.47989093387866394</v>
      </c>
      <c r="AK20" s="1504">
        <f t="shared" si="55"/>
        <v>0.4807436918990704</v>
      </c>
      <c r="AL20" s="1504">
        <f t="shared" si="55"/>
        <v>0.48620236530880423</v>
      </c>
      <c r="AM20" s="1673">
        <f t="shared" si="55"/>
        <v>0.38542963885429637</v>
      </c>
      <c r="AN20" s="1674">
        <f t="shared" ref="AN20:AQ20" si="56">AN19/AN8</f>
        <v>0.26843525179856115</v>
      </c>
      <c r="AO20" s="1673">
        <f t="shared" si="56"/>
        <v>0.46469344608879493</v>
      </c>
      <c r="AP20" s="1741">
        <f t="shared" si="56"/>
        <v>0.4795463750506278</v>
      </c>
      <c r="AQ20" s="1741">
        <f t="shared" si="56"/>
        <v>0.48729508196721311</v>
      </c>
      <c r="AR20" s="1743">
        <f t="shared" ref="AR20:AU20" si="57">AR19/AR8</f>
        <v>0.48801447308909995</v>
      </c>
      <c r="AS20" s="1741">
        <f t="shared" si="57"/>
        <v>0.49182561307901906</v>
      </c>
      <c r="AT20" s="1848">
        <f t="shared" si="57"/>
        <v>0.50900712191034769</v>
      </c>
      <c r="AU20" s="1848">
        <f t="shared" si="57"/>
        <v>0.50570032573289903</v>
      </c>
      <c r="AV20" s="1850">
        <f t="shared" ref="AV20" si="58">AV19/AV8</f>
        <v>0.54103996078734862</v>
      </c>
      <c r="AW20" s="1848">
        <f t="shared" ref="AW20" si="59">AW19/AW8</f>
        <v>0.54371798215376643</v>
      </c>
      <c r="AX20" s="1848">
        <f t="shared" ref="AX20" si="60">AX19/AX8</f>
        <v>0.54651241586001231</v>
      </c>
      <c r="AY20" s="1849">
        <f t="shared" ref="AY20" si="61">AY19/AY8</f>
        <v>0.54713903636757766</v>
      </c>
      <c r="AZ20" s="246"/>
      <c r="BA20" s="1504">
        <f t="shared" ref="BA20:BI20" si="62">BA19/BA8</f>
        <v>0.32352475874070558</v>
      </c>
      <c r="BB20" s="1504">
        <f t="shared" si="62"/>
        <v>0.22377365423479698</v>
      </c>
      <c r="BC20" s="1504">
        <f t="shared" si="62"/>
        <v>0.25518613242398408</v>
      </c>
      <c r="BD20" s="1504">
        <f t="shared" si="62"/>
        <v>0.41412994093593819</v>
      </c>
      <c r="BE20" s="1674">
        <f t="shared" si="62"/>
        <v>0.45445875059608964</v>
      </c>
      <c r="BF20" s="1673">
        <f t="shared" si="62"/>
        <v>0.45617255621844882</v>
      </c>
      <c r="BG20" s="1673">
        <f t="shared" si="62"/>
        <v>0.45212876427829701</v>
      </c>
      <c r="BH20" s="1850">
        <f t="shared" si="62"/>
        <v>0.4675048698423942</v>
      </c>
      <c r="BI20" s="1850">
        <f t="shared" si="62"/>
        <v>0.45681035895754796</v>
      </c>
      <c r="BJ20" s="1848">
        <f>BJ19/BJ8</f>
        <v>0.42840598020635923</v>
      </c>
      <c r="BK20" s="1848">
        <f>BK19/BK8</f>
        <v>0.49902765773552288</v>
      </c>
      <c r="BL20" s="1848">
        <f>BL19/BL8</f>
        <v>0.54466668297163157</v>
      </c>
      <c r="BM20" s="1848">
        <f>BM19/BM8</f>
        <v>0.55129011343582712</v>
      </c>
      <c r="BN20" s="1849">
        <f>BN19/BN8</f>
        <v>0.55379011343582707</v>
      </c>
      <c r="BR20" s="1472"/>
    </row>
    <row r="21" spans="1:76" ht="6" customHeight="1">
      <c r="A21" s="8"/>
      <c r="B21" s="780"/>
      <c r="C21" s="1538"/>
      <c r="D21" s="45"/>
      <c r="E21" s="46"/>
      <c r="F21" s="46"/>
      <c r="G21" s="47"/>
      <c r="H21" s="45"/>
      <c r="I21" s="46"/>
      <c r="J21" s="46"/>
      <c r="K21" s="47"/>
      <c r="L21" s="45"/>
      <c r="M21" s="46"/>
      <c r="N21" s="46"/>
      <c r="O21" s="47"/>
      <c r="P21" s="45"/>
      <c r="Q21" s="46"/>
      <c r="R21" s="46"/>
      <c r="S21" s="47"/>
      <c r="T21" s="45"/>
      <c r="U21" s="46"/>
      <c r="V21" s="46"/>
      <c r="W21" s="47"/>
      <c r="X21" s="45"/>
      <c r="Y21" s="46"/>
      <c r="Z21" s="46"/>
      <c r="AA21" s="47"/>
      <c r="AB21" s="45"/>
      <c r="AC21" s="46"/>
      <c r="AD21" s="46"/>
      <c r="AE21" s="47"/>
      <c r="AF21" s="45"/>
      <c r="AG21" s="46"/>
      <c r="AH21" s="46"/>
      <c r="AI21" s="47"/>
      <c r="AJ21" s="45"/>
      <c r="AK21" s="46"/>
      <c r="AL21" s="46"/>
      <c r="AM21" s="46"/>
      <c r="AN21" s="45"/>
      <c r="AO21" s="46"/>
      <c r="AP21" s="46"/>
      <c r="AQ21" s="46"/>
      <c r="AR21" s="45"/>
      <c r="AS21" s="46"/>
      <c r="AT21" s="46"/>
      <c r="AU21" s="46"/>
      <c r="AV21" s="45"/>
      <c r="AW21" s="46"/>
      <c r="AX21" s="46"/>
      <c r="AY21" s="47"/>
      <c r="AZ21" s="896"/>
      <c r="BA21" s="46"/>
      <c r="BB21" s="46"/>
      <c r="BC21" s="46"/>
      <c r="BD21" s="46"/>
      <c r="BE21" s="45"/>
      <c r="BF21" s="46"/>
      <c r="BG21" s="46"/>
      <c r="BH21" s="45"/>
      <c r="BI21" s="45"/>
      <c r="BJ21" s="46"/>
      <c r="BK21" s="46"/>
      <c r="BL21" s="46"/>
      <c r="BM21" s="46"/>
      <c r="BN21" s="47"/>
      <c r="BR21" s="1472"/>
    </row>
    <row r="22" spans="1:76" s="761" customFormat="1" ht="14.25" hidden="1" customHeight="1" outlineLevel="1">
      <c r="B22" s="780" t="s">
        <v>53</v>
      </c>
      <c r="C22" s="1536"/>
      <c r="D22" s="767">
        <f t="shared" ref="D22:AM22" si="63">D8-D17</f>
        <v>447</v>
      </c>
      <c r="E22" s="768">
        <f t="shared" si="63"/>
        <v>354</v>
      </c>
      <c r="F22" s="768">
        <f t="shared" si="63"/>
        <v>608</v>
      </c>
      <c r="G22" s="769">
        <f t="shared" si="63"/>
        <v>636</v>
      </c>
      <c r="H22" s="767">
        <f t="shared" si="63"/>
        <v>556</v>
      </c>
      <c r="I22" s="768">
        <f t="shared" si="63"/>
        <v>507</v>
      </c>
      <c r="J22" s="768">
        <f t="shared" si="63"/>
        <v>-31</v>
      </c>
      <c r="K22" s="769">
        <f t="shared" si="63"/>
        <v>186</v>
      </c>
      <c r="L22" s="767">
        <f t="shared" si="63"/>
        <v>107</v>
      </c>
      <c r="M22" s="768">
        <f t="shared" si="63"/>
        <v>257</v>
      </c>
      <c r="N22" s="768">
        <f t="shared" si="63"/>
        <v>348</v>
      </c>
      <c r="O22" s="769">
        <f t="shared" si="63"/>
        <v>413</v>
      </c>
      <c r="P22" s="767">
        <f t="shared" si="63"/>
        <v>423</v>
      </c>
      <c r="Q22" s="768">
        <f t="shared" si="63"/>
        <v>456</v>
      </c>
      <c r="R22" s="768">
        <f t="shared" si="63"/>
        <v>488</v>
      </c>
      <c r="S22" s="769">
        <f t="shared" si="63"/>
        <v>508</v>
      </c>
      <c r="T22" s="767">
        <f t="shared" si="63"/>
        <v>517</v>
      </c>
      <c r="U22" s="768">
        <f t="shared" si="63"/>
        <v>536</v>
      </c>
      <c r="V22" s="768">
        <f t="shared" si="63"/>
        <v>512</v>
      </c>
      <c r="W22" s="769">
        <f t="shared" si="63"/>
        <v>423</v>
      </c>
      <c r="X22" s="767">
        <f t="shared" si="63"/>
        <v>433</v>
      </c>
      <c r="Y22" s="768">
        <f t="shared" si="63"/>
        <v>505</v>
      </c>
      <c r="Z22" s="768">
        <f t="shared" si="63"/>
        <v>542</v>
      </c>
      <c r="AA22" s="769">
        <f t="shared" si="63"/>
        <v>514</v>
      </c>
      <c r="AB22" s="767">
        <f t="shared" si="63"/>
        <v>536</v>
      </c>
      <c r="AC22" s="768">
        <f t="shared" si="63"/>
        <v>537</v>
      </c>
      <c r="AD22" s="768">
        <f t="shared" si="63"/>
        <v>584</v>
      </c>
      <c r="AE22" s="769">
        <f t="shared" si="63"/>
        <v>633</v>
      </c>
      <c r="AF22" s="767">
        <f t="shared" si="63"/>
        <v>614</v>
      </c>
      <c r="AG22" s="768">
        <f t="shared" si="63"/>
        <v>653</v>
      </c>
      <c r="AH22" s="768">
        <f t="shared" si="63"/>
        <v>723</v>
      </c>
      <c r="AI22" s="769">
        <f t="shared" si="63"/>
        <v>713</v>
      </c>
      <c r="AJ22" s="767">
        <f t="shared" si="63"/>
        <v>709</v>
      </c>
      <c r="AK22" s="768">
        <f t="shared" si="63"/>
        <v>731</v>
      </c>
      <c r="AL22" s="768">
        <f t="shared" si="63"/>
        <v>745</v>
      </c>
      <c r="AM22" s="768">
        <f t="shared" si="63"/>
        <v>799</v>
      </c>
      <c r="AN22" s="767">
        <f t="shared" ref="AN22:AQ22" si="64">AN8-AN17</f>
        <v>1097</v>
      </c>
      <c r="AO22" s="768">
        <f t="shared" si="64"/>
        <v>1171</v>
      </c>
      <c r="AP22" s="768">
        <f t="shared" si="64"/>
        <v>1237</v>
      </c>
      <c r="AQ22" s="768">
        <f t="shared" si="64"/>
        <v>1236</v>
      </c>
      <c r="AR22" s="767">
        <f>AR8-AR17</f>
        <v>1135</v>
      </c>
      <c r="AS22" s="768">
        <f t="shared" ref="AS22:AU22" si="65">AS8-AS17</f>
        <v>1160</v>
      </c>
      <c r="AT22" s="768">
        <f t="shared" si="65"/>
        <v>1276</v>
      </c>
      <c r="AU22" s="768">
        <f t="shared" si="65"/>
        <v>1321</v>
      </c>
      <c r="AV22" s="1726">
        <f t="shared" ref="AV22:AY22" si="66">AV25-AV15</f>
        <v>1258.3399199999999</v>
      </c>
      <c r="AW22" s="1439">
        <f t="shared" si="66"/>
        <v>1307.9283951999998</v>
      </c>
      <c r="AX22" s="1439">
        <f t="shared" si="66"/>
        <v>1368.3421915519998</v>
      </c>
      <c r="AY22" s="1442">
        <f t="shared" si="66"/>
        <v>1349.0161987403999</v>
      </c>
      <c r="AZ22" s="775"/>
      <c r="BA22" s="768">
        <f t="shared" ref="BA22:BI22" si="67">BA8-BA17</f>
        <v>2045</v>
      </c>
      <c r="BB22" s="768">
        <f t="shared" si="67"/>
        <v>1218</v>
      </c>
      <c r="BC22" s="768">
        <f t="shared" si="67"/>
        <v>1125</v>
      </c>
      <c r="BD22" s="768">
        <f t="shared" si="67"/>
        <v>1875</v>
      </c>
      <c r="BE22" s="767">
        <f t="shared" si="67"/>
        <v>1988</v>
      </c>
      <c r="BF22" s="768">
        <f t="shared" si="67"/>
        <v>1994</v>
      </c>
      <c r="BG22" s="768">
        <f t="shared" si="67"/>
        <v>2290</v>
      </c>
      <c r="BH22" s="767">
        <f t="shared" si="67"/>
        <v>2703</v>
      </c>
      <c r="BI22" s="767">
        <f t="shared" si="67"/>
        <v>2984</v>
      </c>
      <c r="BJ22" s="1439">
        <f>BJ8-BJ17</f>
        <v>4741</v>
      </c>
      <c r="BK22" s="1439">
        <f>SUM(AR22:AU22)</f>
        <v>4892</v>
      </c>
      <c r="BL22" s="1439">
        <f>SUM(AV22:AY22)</f>
        <v>5283.6267054923992</v>
      </c>
      <c r="BM22" s="1439">
        <f t="shared" ref="BM22" si="68">BM25-BM16</f>
        <v>5643.2003702524862</v>
      </c>
      <c r="BN22" s="1442">
        <f t="shared" ref="BN22" si="69">BN25-BN16</f>
        <v>5946.0146655517801</v>
      </c>
      <c r="BR22" s="766"/>
      <c r="BS22"/>
      <c r="BT22"/>
      <c r="BU22"/>
      <c r="BV22"/>
      <c r="BW22"/>
      <c r="BX22"/>
    </row>
    <row r="23" spans="1:76" ht="14.25" hidden="1" customHeight="1" outlineLevel="1">
      <c r="A23" s="8"/>
      <c r="B23" s="451" t="s">
        <v>54</v>
      </c>
      <c r="C23" s="1537"/>
      <c r="D23" s="1527">
        <f t="shared" ref="D23:AM23" si="70">D22/D8</f>
        <v>0.3059548254620123</v>
      </c>
      <c r="E23" s="1504">
        <f t="shared" si="70"/>
        <v>0.23016905071521457</v>
      </c>
      <c r="F23" s="1504">
        <f t="shared" si="70"/>
        <v>0.36982968369829683</v>
      </c>
      <c r="G23" s="1526">
        <f t="shared" si="70"/>
        <v>0.37902264600715135</v>
      </c>
      <c r="H23" s="1527">
        <f t="shared" si="70"/>
        <v>0.36603028308097435</v>
      </c>
      <c r="I23" s="1504">
        <f t="shared" si="70"/>
        <v>0.33267716535433073</v>
      </c>
      <c r="J23" s="1504">
        <f t="shared" si="70"/>
        <v>-2.2561863173216887E-2</v>
      </c>
      <c r="K23" s="1526">
        <f t="shared" si="70"/>
        <v>0.18128654970760233</v>
      </c>
      <c r="L23" s="1527">
        <f t="shared" si="70"/>
        <v>0.16589147286821707</v>
      </c>
      <c r="M23" s="1504">
        <f t="shared" si="70"/>
        <v>0.31227217496962334</v>
      </c>
      <c r="N23" s="1504">
        <f t="shared" si="70"/>
        <v>0.35365853658536583</v>
      </c>
      <c r="O23" s="1526">
        <f t="shared" si="70"/>
        <v>0.38706654170571697</v>
      </c>
      <c r="P23" s="1527">
        <f t="shared" si="70"/>
        <v>0.38986175115207372</v>
      </c>
      <c r="Q23" s="1504">
        <f t="shared" si="70"/>
        <v>0.40750670241286863</v>
      </c>
      <c r="R23" s="1504">
        <f t="shared" si="70"/>
        <v>0.43571428571428572</v>
      </c>
      <c r="S23" s="1526">
        <f t="shared" si="70"/>
        <v>0.4712430426716141</v>
      </c>
      <c r="T23" s="1527">
        <f t="shared" si="70"/>
        <v>0.47781885397412199</v>
      </c>
      <c r="U23" s="1504">
        <f t="shared" si="70"/>
        <v>0.47814451382694023</v>
      </c>
      <c r="V23" s="1504">
        <f t="shared" si="70"/>
        <v>0.48301886792452831</v>
      </c>
      <c r="W23" s="1526">
        <f t="shared" si="70"/>
        <v>0.45435016111707843</v>
      </c>
      <c r="X23" s="1527">
        <f t="shared" si="70"/>
        <v>0.44274028629856849</v>
      </c>
      <c r="Y23" s="1504">
        <f t="shared" si="70"/>
        <v>0.46160877513711152</v>
      </c>
      <c r="Z23" s="1504">
        <f t="shared" si="70"/>
        <v>0.46324786324786327</v>
      </c>
      <c r="AA23" s="1526">
        <f t="shared" si="70"/>
        <v>0.46057347670250898</v>
      </c>
      <c r="AB23" s="1527">
        <f t="shared" si="70"/>
        <v>0.49400921658986174</v>
      </c>
      <c r="AC23" s="1504">
        <f t="shared" si="70"/>
        <v>0.45202020202020204</v>
      </c>
      <c r="AD23" s="1504">
        <f t="shared" si="70"/>
        <v>0.46757405924739792</v>
      </c>
      <c r="AE23" s="1526">
        <f t="shared" si="70"/>
        <v>0.48955916473317868</v>
      </c>
      <c r="AF23" s="1527">
        <f t="shared" si="70"/>
        <v>0.492776886035313</v>
      </c>
      <c r="AG23" s="1504">
        <f t="shared" si="70"/>
        <v>0.48406226834692367</v>
      </c>
      <c r="AH23" s="1504">
        <f t="shared" si="70"/>
        <v>0.47722772277227721</v>
      </c>
      <c r="AI23" s="1526">
        <f t="shared" si="70"/>
        <v>0.46389069616135331</v>
      </c>
      <c r="AJ23" s="1527">
        <f t="shared" si="70"/>
        <v>0.48329925017041581</v>
      </c>
      <c r="AK23" s="1504">
        <f t="shared" si="70"/>
        <v>0.48539176626826031</v>
      </c>
      <c r="AL23" s="1504">
        <f t="shared" si="70"/>
        <v>0.48948751642575561</v>
      </c>
      <c r="AM23" s="1673">
        <f t="shared" si="70"/>
        <v>0.49750933997509339</v>
      </c>
      <c r="AN23" s="1674">
        <f t="shared" ref="AN23:AQ23" si="71">AN22/AN8</f>
        <v>0.49325539568345322</v>
      </c>
      <c r="AO23" s="1673">
        <f t="shared" si="71"/>
        <v>0.49513742071881606</v>
      </c>
      <c r="AP23" s="1741">
        <f t="shared" si="71"/>
        <v>0.50101255569056302</v>
      </c>
      <c r="AQ23" s="1741">
        <f t="shared" si="71"/>
        <v>0.50655737704918036</v>
      </c>
      <c r="AR23" s="1743">
        <f t="shared" ref="AR23:AU23" si="72">AR22/AR8</f>
        <v>0.5133423790140208</v>
      </c>
      <c r="AS23" s="1741">
        <f t="shared" si="72"/>
        <v>0.5267938237965486</v>
      </c>
      <c r="AT23" s="1848">
        <f t="shared" si="72"/>
        <v>0.53456221198156684</v>
      </c>
      <c r="AU23" s="1848">
        <f t="shared" si="72"/>
        <v>0.53786644951140061</v>
      </c>
      <c r="AV23" s="1850">
        <f t="shared" ref="AV23" si="73">AV22/AV8</f>
        <v>0.54103996078734862</v>
      </c>
      <c r="AW23" s="1848">
        <f t="shared" ref="AW23" si="74">AW22/AW8</f>
        <v>0.54371798215376643</v>
      </c>
      <c r="AX23" s="1848">
        <f t="shared" ref="AX23" si="75">AX22/AX8</f>
        <v>0.54651241586001231</v>
      </c>
      <c r="AY23" s="1849">
        <f t="shared" ref="AY23" si="76">AY22/AY8</f>
        <v>0.54713903636757766</v>
      </c>
      <c r="AZ23" s="246"/>
      <c r="BA23" s="1504">
        <f t="shared" ref="BA23:BI23" si="77">BA22/BA8</f>
        <v>0.32352475874070558</v>
      </c>
      <c r="BB23" s="1504">
        <f t="shared" si="77"/>
        <v>0.22377365423479698</v>
      </c>
      <c r="BC23" s="1504">
        <f t="shared" si="77"/>
        <v>0.31969309462915602</v>
      </c>
      <c r="BD23" s="1504">
        <f t="shared" si="77"/>
        <v>0.42594275329395731</v>
      </c>
      <c r="BE23" s="1674">
        <f t="shared" si="77"/>
        <v>0.47401049117787314</v>
      </c>
      <c r="BF23" s="1673">
        <f t="shared" si="77"/>
        <v>0.45754933455713631</v>
      </c>
      <c r="BG23" s="1673">
        <f t="shared" si="77"/>
        <v>0.4755970924195223</v>
      </c>
      <c r="BH23" s="1850">
        <f t="shared" si="77"/>
        <v>0.47866123605454225</v>
      </c>
      <c r="BI23" s="1850">
        <f t="shared" si="77"/>
        <v>0.48910014751680053</v>
      </c>
      <c r="BJ23" s="1848">
        <f>BJ22/BJ8</f>
        <v>0.49915771741419246</v>
      </c>
      <c r="BK23" s="1848">
        <f>BK22/BK8</f>
        <v>0.52852203975799483</v>
      </c>
      <c r="BL23" s="1848">
        <f>BL22/BL8</f>
        <v>0.54466668297163157</v>
      </c>
      <c r="BM23" s="1848">
        <f>BM22/BM8</f>
        <v>0.55129011343582712</v>
      </c>
      <c r="BN23" s="1849">
        <f>BN22/BN8</f>
        <v>0.55379011343582707</v>
      </c>
      <c r="BR23" s="1472"/>
    </row>
    <row r="24" spans="1:76" ht="6" hidden="1" customHeight="1" outlineLevel="1">
      <c r="A24" s="8"/>
      <c r="B24" s="451"/>
      <c r="C24" s="1537"/>
      <c r="D24" s="1527"/>
      <c r="E24" s="1504"/>
      <c r="F24" s="1504"/>
      <c r="G24" s="1526"/>
      <c r="H24" s="1527"/>
      <c r="I24" s="1504"/>
      <c r="J24" s="1504"/>
      <c r="K24" s="1526"/>
      <c r="L24" s="1527"/>
      <c r="M24" s="1504"/>
      <c r="N24" s="1504"/>
      <c r="O24" s="1526"/>
      <c r="P24" s="1527"/>
      <c r="Q24" s="1504"/>
      <c r="R24" s="1504"/>
      <c r="S24" s="1526"/>
      <c r="T24" s="1527"/>
      <c r="U24" s="1504"/>
      <c r="V24" s="1504"/>
      <c r="W24" s="1526"/>
      <c r="X24" s="1527"/>
      <c r="Y24" s="1504"/>
      <c r="Z24" s="1504"/>
      <c r="AA24" s="1526"/>
      <c r="AB24" s="1527"/>
      <c r="AC24" s="1504"/>
      <c r="AD24" s="1504"/>
      <c r="AE24" s="1526"/>
      <c r="AF24" s="1527"/>
      <c r="AG24" s="1504"/>
      <c r="AH24" s="1504"/>
      <c r="AI24" s="1526"/>
      <c r="AJ24" s="1527"/>
      <c r="AK24" s="1504"/>
      <c r="AL24" s="1504"/>
      <c r="AM24" s="1673"/>
      <c r="AN24" s="1674"/>
      <c r="AO24" s="1673"/>
      <c r="AP24" s="1741"/>
      <c r="AQ24" s="1741"/>
      <c r="AR24" s="1743"/>
      <c r="AS24" s="1741"/>
      <c r="AT24" s="1848"/>
      <c r="AU24" s="1848"/>
      <c r="AV24" s="1850"/>
      <c r="AW24" s="1848"/>
      <c r="AX24" s="1848"/>
      <c r="AY24" s="1849"/>
      <c r="AZ24" s="246"/>
      <c r="BA24" s="1504"/>
      <c r="BB24" s="1504"/>
      <c r="BC24" s="1504"/>
      <c r="BD24" s="1504"/>
      <c r="BE24" s="1674"/>
      <c r="BF24" s="1673"/>
      <c r="BG24" s="1673"/>
      <c r="BH24" s="1850"/>
      <c r="BI24" s="1850"/>
      <c r="BJ24" s="1848"/>
      <c r="BK24" s="1848"/>
      <c r="BL24" s="1848"/>
      <c r="BM24" s="1848"/>
      <c r="BN24" s="1849"/>
      <c r="BR24" s="1472"/>
    </row>
    <row r="25" spans="1:76" ht="14.25" customHeight="1" collapsed="1">
      <c r="A25" s="8"/>
      <c r="B25" s="780" t="s">
        <v>45</v>
      </c>
      <c r="C25" s="1538"/>
      <c r="D25" s="767">
        <f t="shared" ref="D25:W25" si="78">+D22+D15</f>
        <v>447</v>
      </c>
      <c r="E25" s="768">
        <f>+E22+E15</f>
        <v>354</v>
      </c>
      <c r="F25" s="768">
        <f>+F22+F15</f>
        <v>608</v>
      </c>
      <c r="G25" s="769">
        <f>+G22+G15</f>
        <v>636</v>
      </c>
      <c r="H25" s="767">
        <f t="shared" si="78"/>
        <v>556</v>
      </c>
      <c r="I25" s="768">
        <f t="shared" si="78"/>
        <v>507</v>
      </c>
      <c r="J25" s="768">
        <f t="shared" si="78"/>
        <v>-31</v>
      </c>
      <c r="K25" s="769">
        <f t="shared" si="78"/>
        <v>186</v>
      </c>
      <c r="L25" s="767">
        <f t="shared" si="78"/>
        <v>107</v>
      </c>
      <c r="M25" s="768">
        <f t="shared" si="78"/>
        <v>257</v>
      </c>
      <c r="N25" s="768">
        <f t="shared" si="78"/>
        <v>348</v>
      </c>
      <c r="O25" s="769">
        <f t="shared" si="78"/>
        <v>413</v>
      </c>
      <c r="P25" s="767">
        <f t="shared" si="78"/>
        <v>423</v>
      </c>
      <c r="Q25" s="768">
        <f t="shared" si="78"/>
        <v>456</v>
      </c>
      <c r="R25" s="768">
        <f t="shared" si="78"/>
        <v>488</v>
      </c>
      <c r="S25" s="769">
        <f t="shared" si="78"/>
        <v>508</v>
      </c>
      <c r="T25" s="767">
        <f t="shared" si="78"/>
        <v>517</v>
      </c>
      <c r="U25" s="768">
        <f t="shared" si="78"/>
        <v>536</v>
      </c>
      <c r="V25" s="768">
        <f t="shared" si="78"/>
        <v>512</v>
      </c>
      <c r="W25" s="769">
        <f t="shared" si="78"/>
        <v>423</v>
      </c>
      <c r="X25" s="767">
        <f>+X22+X15</f>
        <v>433</v>
      </c>
      <c r="Y25" s="768">
        <f>+Y22+Y15</f>
        <v>505</v>
      </c>
      <c r="Z25" s="768">
        <f>+Z22+Z15</f>
        <v>542</v>
      </c>
      <c r="AA25" s="769">
        <f>+AA22+AA15</f>
        <v>514</v>
      </c>
      <c r="AB25" s="767">
        <f t="shared" ref="AB25:AM25" si="79">+AB22+AB15</f>
        <v>537</v>
      </c>
      <c r="AC25" s="768">
        <f t="shared" si="79"/>
        <v>540</v>
      </c>
      <c r="AD25" s="768">
        <f t="shared" si="79"/>
        <v>585</v>
      </c>
      <c r="AE25" s="769">
        <f t="shared" si="79"/>
        <v>636</v>
      </c>
      <c r="AF25" s="767">
        <f t="shared" si="79"/>
        <v>617</v>
      </c>
      <c r="AG25" s="768">
        <f t="shared" si="79"/>
        <v>655</v>
      </c>
      <c r="AH25" s="768">
        <f t="shared" si="79"/>
        <v>725</v>
      </c>
      <c r="AI25" s="769">
        <f t="shared" si="79"/>
        <v>716</v>
      </c>
      <c r="AJ25" s="767">
        <f t="shared" si="79"/>
        <v>711</v>
      </c>
      <c r="AK25" s="768">
        <f t="shared" si="79"/>
        <v>734</v>
      </c>
      <c r="AL25" s="768">
        <f t="shared" si="79"/>
        <v>748</v>
      </c>
      <c r="AM25" s="768">
        <f t="shared" si="79"/>
        <v>806</v>
      </c>
      <c r="AN25" s="767">
        <f t="shared" ref="AN25:AP25" si="80">+AN22+AN15</f>
        <v>1112</v>
      </c>
      <c r="AO25" s="768">
        <f t="shared" si="80"/>
        <v>1183</v>
      </c>
      <c r="AP25" s="768">
        <f t="shared" si="80"/>
        <v>1247</v>
      </c>
      <c r="AQ25" s="768">
        <f>+AQ22+AQ15</f>
        <v>1248</v>
      </c>
      <c r="AR25" s="767">
        <f>+AR22+AR15</f>
        <v>1144</v>
      </c>
      <c r="AS25" s="768">
        <f t="shared" ref="AS25:AT25" si="81">+AS22+AS15</f>
        <v>1167</v>
      </c>
      <c r="AT25" s="768">
        <f t="shared" si="81"/>
        <v>1283</v>
      </c>
      <c r="AU25" s="768">
        <f>+AU22+AU15</f>
        <v>1331</v>
      </c>
      <c r="AV25" s="1547">
        <f>'NXP BU-Segment'!AV510</f>
        <v>1268.3399199999999</v>
      </c>
      <c r="AW25" s="1548">
        <f>'NXP BU-Segment'!AW510</f>
        <v>1317.9283951999998</v>
      </c>
      <c r="AX25" s="1548">
        <f>'NXP BU-Segment'!AX510</f>
        <v>1378.3421915519998</v>
      </c>
      <c r="AY25" s="1549">
        <f>'NXP BU-Segment'!AY510</f>
        <v>1359.0161987403999</v>
      </c>
      <c r="AZ25" s="896"/>
      <c r="BA25" s="768">
        <f t="shared" ref="BA25:BI25" si="82">+BA22+BA15</f>
        <v>2045</v>
      </c>
      <c r="BB25" s="768">
        <f t="shared" si="82"/>
        <v>1218</v>
      </c>
      <c r="BC25" s="768">
        <f t="shared" si="82"/>
        <v>1125</v>
      </c>
      <c r="BD25" s="768">
        <f t="shared" si="82"/>
        <v>1875</v>
      </c>
      <c r="BE25" s="767">
        <f t="shared" si="82"/>
        <v>1988</v>
      </c>
      <c r="BF25" s="768">
        <f t="shared" si="82"/>
        <v>1994</v>
      </c>
      <c r="BG25" s="768">
        <f t="shared" si="82"/>
        <v>2298</v>
      </c>
      <c r="BH25" s="767">
        <f t="shared" si="82"/>
        <v>2713</v>
      </c>
      <c r="BI25" s="767">
        <f t="shared" si="82"/>
        <v>2999</v>
      </c>
      <c r="BJ25" s="768">
        <f t="shared" ref="BJ25" si="83">+BJ22+BJ15</f>
        <v>4790</v>
      </c>
      <c r="BK25" s="768">
        <f>SUM(AR25:AU25)</f>
        <v>4925</v>
      </c>
      <c r="BL25" s="768">
        <f>SUM(AV25:AY25)</f>
        <v>5323.6267054923992</v>
      </c>
      <c r="BM25" s="768">
        <f>BM8*BM26</f>
        <v>5643.2003702524862</v>
      </c>
      <c r="BN25" s="769">
        <f>BN8*BN26</f>
        <v>5946.0146655517801</v>
      </c>
      <c r="BR25" s="1472"/>
    </row>
    <row r="26" spans="1:76" ht="14.25" customHeight="1">
      <c r="A26" s="8"/>
      <c r="B26" s="451" t="s">
        <v>44</v>
      </c>
      <c r="C26" s="1538"/>
      <c r="D26" s="1527">
        <f t="shared" ref="D26:AM26" si="84">+D25/D8</f>
        <v>0.3059548254620123</v>
      </c>
      <c r="E26" s="1504">
        <f t="shared" si="84"/>
        <v>0.23016905071521457</v>
      </c>
      <c r="F26" s="1504">
        <f t="shared" si="84"/>
        <v>0.36982968369829683</v>
      </c>
      <c r="G26" s="1526">
        <f t="shared" si="84"/>
        <v>0.37902264600715135</v>
      </c>
      <c r="H26" s="1527">
        <f t="shared" si="84"/>
        <v>0.36603028308097435</v>
      </c>
      <c r="I26" s="1504">
        <f t="shared" si="84"/>
        <v>0.33267716535433073</v>
      </c>
      <c r="J26" s="1504">
        <f t="shared" si="84"/>
        <v>-2.2561863173216887E-2</v>
      </c>
      <c r="K26" s="1526">
        <f t="shared" si="84"/>
        <v>0.18128654970760233</v>
      </c>
      <c r="L26" s="1527">
        <f t="shared" si="84"/>
        <v>0.16589147286821707</v>
      </c>
      <c r="M26" s="1504">
        <f t="shared" si="84"/>
        <v>0.31227217496962334</v>
      </c>
      <c r="N26" s="1504">
        <f t="shared" si="84"/>
        <v>0.35365853658536583</v>
      </c>
      <c r="O26" s="1526">
        <f t="shared" si="84"/>
        <v>0.38706654170571697</v>
      </c>
      <c r="P26" s="1527">
        <f t="shared" si="84"/>
        <v>0.38986175115207372</v>
      </c>
      <c r="Q26" s="1504">
        <f t="shared" si="84"/>
        <v>0.40750670241286863</v>
      </c>
      <c r="R26" s="1504">
        <f t="shared" si="84"/>
        <v>0.43571428571428572</v>
      </c>
      <c r="S26" s="1526">
        <f t="shared" si="84"/>
        <v>0.4712430426716141</v>
      </c>
      <c r="T26" s="1527">
        <f t="shared" si="84"/>
        <v>0.47781885397412199</v>
      </c>
      <c r="U26" s="1504">
        <f t="shared" si="84"/>
        <v>0.47814451382694023</v>
      </c>
      <c r="V26" s="1504">
        <f t="shared" si="84"/>
        <v>0.48301886792452831</v>
      </c>
      <c r="W26" s="1526">
        <f t="shared" si="84"/>
        <v>0.45435016111707843</v>
      </c>
      <c r="X26" s="1527">
        <f t="shared" si="84"/>
        <v>0.44274028629856849</v>
      </c>
      <c r="Y26" s="1504">
        <f t="shared" si="84"/>
        <v>0.46160877513711152</v>
      </c>
      <c r="Z26" s="1504">
        <f t="shared" si="84"/>
        <v>0.46324786324786327</v>
      </c>
      <c r="AA26" s="1526">
        <f t="shared" si="84"/>
        <v>0.46057347670250898</v>
      </c>
      <c r="AB26" s="1527">
        <f t="shared" si="84"/>
        <v>0.49493087557603688</v>
      </c>
      <c r="AC26" s="1504">
        <f t="shared" si="84"/>
        <v>0.45454545454545453</v>
      </c>
      <c r="AD26" s="1504">
        <f t="shared" si="84"/>
        <v>0.46837469975980783</v>
      </c>
      <c r="AE26" s="1526">
        <f t="shared" si="84"/>
        <v>0.49187935034802782</v>
      </c>
      <c r="AF26" s="1527">
        <f t="shared" si="84"/>
        <v>0.49518459069020865</v>
      </c>
      <c r="AG26" s="1504">
        <f t="shared" si="84"/>
        <v>0.4855448480355819</v>
      </c>
      <c r="AH26" s="1504">
        <f t="shared" si="84"/>
        <v>0.47854785478547857</v>
      </c>
      <c r="AI26" s="1526">
        <f t="shared" si="84"/>
        <v>0.46584255042290174</v>
      </c>
      <c r="AJ26" s="1527">
        <f t="shared" si="84"/>
        <v>0.48466257668711654</v>
      </c>
      <c r="AK26" s="1504">
        <f t="shared" si="84"/>
        <v>0.48738379814077026</v>
      </c>
      <c r="AL26" s="1504">
        <f t="shared" si="84"/>
        <v>0.49145860709592643</v>
      </c>
      <c r="AM26" s="1673">
        <f t="shared" si="84"/>
        <v>0.50186799501867996</v>
      </c>
      <c r="AN26" s="1674">
        <f t="shared" ref="AN26:AQ26" si="85">+AN25/AN8</f>
        <v>0.5</v>
      </c>
      <c r="AO26" s="1673">
        <f t="shared" si="85"/>
        <v>0.50021141649048628</v>
      </c>
      <c r="AP26" s="1741">
        <f t="shared" si="85"/>
        <v>0.50506277845281489</v>
      </c>
      <c r="AQ26" s="1741">
        <f t="shared" si="85"/>
        <v>0.51147540983606554</v>
      </c>
      <c r="AR26" s="1743">
        <f t="shared" ref="AR26:AU26" si="86">+AR25/AR8</f>
        <v>0.51741293532338306</v>
      </c>
      <c r="AS26" s="1741">
        <f t="shared" si="86"/>
        <v>0.52997275204359673</v>
      </c>
      <c r="AT26" s="1848">
        <f t="shared" si="86"/>
        <v>0.53749476330121493</v>
      </c>
      <c r="AU26" s="1848">
        <f t="shared" si="86"/>
        <v>0.54193811074918563</v>
      </c>
      <c r="AV26" s="1850">
        <f t="shared" ref="AV26" si="87">+AV25/AV8</f>
        <v>0.54533959359870654</v>
      </c>
      <c r="AW26" s="1848">
        <f t="shared" ref="AW26" si="88">+AW25/AW8</f>
        <v>0.54787507503552646</v>
      </c>
      <c r="AX26" s="1848">
        <f t="shared" ref="AX26" si="89">+AX25/AX8</f>
        <v>0.55050639060722195</v>
      </c>
      <c r="AY26" s="1849">
        <f t="shared" ref="AY26" si="90">+AY25/AY8</f>
        <v>0.55119487377619036</v>
      </c>
      <c r="AZ26" s="896"/>
      <c r="BA26" s="1504">
        <f t="shared" ref="BA26:BI26" si="91">+BA25/BA8</f>
        <v>0.32352475874070558</v>
      </c>
      <c r="BB26" s="1504">
        <f t="shared" si="91"/>
        <v>0.22377365423479698</v>
      </c>
      <c r="BC26" s="1504">
        <f t="shared" si="91"/>
        <v>0.31969309462915602</v>
      </c>
      <c r="BD26" s="1504">
        <f t="shared" si="91"/>
        <v>0.42594275329395731</v>
      </c>
      <c r="BE26" s="1674">
        <f t="shared" si="91"/>
        <v>0.47401049117787314</v>
      </c>
      <c r="BF26" s="1673">
        <f t="shared" si="91"/>
        <v>0.45754933455713631</v>
      </c>
      <c r="BG26" s="1673">
        <f t="shared" si="91"/>
        <v>0.47725856697819313</v>
      </c>
      <c r="BH26" s="1850">
        <f t="shared" si="91"/>
        <v>0.48043208783424829</v>
      </c>
      <c r="BI26" s="1850">
        <f t="shared" si="91"/>
        <v>0.49155876085887562</v>
      </c>
      <c r="BJ26" s="1848">
        <f>+BJ25/BJ8</f>
        <v>0.50431669825226366</v>
      </c>
      <c r="BK26" s="1848">
        <f>+BK25/BK8</f>
        <v>0.53208729472774419</v>
      </c>
      <c r="BL26" s="1848">
        <f>+BL25/BL8</f>
        <v>0.54879011343582718</v>
      </c>
      <c r="BM26" s="1848">
        <f>BL26+0.25%</f>
        <v>0.55129011343582712</v>
      </c>
      <c r="BN26" s="1849">
        <f>BM26+0.25%</f>
        <v>0.55379011343582707</v>
      </c>
      <c r="BR26" s="1472"/>
    </row>
    <row r="27" spans="1:76" ht="14.25" customHeight="1">
      <c r="A27" s="8"/>
      <c r="B27" s="451"/>
      <c r="C27" s="1538"/>
      <c r="D27" s="45"/>
      <c r="E27" s="46"/>
      <c r="F27" s="46"/>
      <c r="G27" s="47"/>
      <c r="H27" s="45"/>
      <c r="I27" s="46"/>
      <c r="J27" s="46"/>
      <c r="K27" s="47"/>
      <c r="L27" s="45"/>
      <c r="M27" s="46"/>
      <c r="N27" s="46"/>
      <c r="O27" s="47"/>
      <c r="P27" s="45"/>
      <c r="Q27" s="46"/>
      <c r="R27" s="46"/>
      <c r="S27" s="47"/>
      <c r="T27" s="45"/>
      <c r="U27" s="46"/>
      <c r="V27" s="46"/>
      <c r="W27" s="47"/>
      <c r="X27" s="45"/>
      <c r="Y27" s="46"/>
      <c r="Z27" s="46"/>
      <c r="AA27" s="47"/>
      <c r="AB27" s="45"/>
      <c r="AC27" s="46"/>
      <c r="AD27" s="46"/>
      <c r="AE27" s="47"/>
      <c r="AF27" s="45"/>
      <c r="AG27" s="46"/>
      <c r="AH27" s="46"/>
      <c r="AI27" s="47"/>
      <c r="AJ27" s="45"/>
      <c r="AK27" s="46"/>
      <c r="AL27" s="46"/>
      <c r="AM27" s="46"/>
      <c r="AN27" s="45"/>
      <c r="AO27" s="46"/>
      <c r="AP27" s="46"/>
      <c r="AQ27" s="46"/>
      <c r="AR27" s="45"/>
      <c r="AS27" s="46"/>
      <c r="AT27" s="46"/>
      <c r="AU27" s="46"/>
      <c r="AV27" s="1850"/>
      <c r="AW27" s="1848"/>
      <c r="AX27" s="1848"/>
      <c r="AY27" s="1849"/>
      <c r="AZ27" s="896"/>
      <c r="BA27" s="1504"/>
      <c r="BB27" s="1504"/>
      <c r="BC27" s="1504"/>
      <c r="BD27" s="1504"/>
      <c r="BE27" s="1674"/>
      <c r="BF27" s="1673"/>
      <c r="BG27" s="1673"/>
      <c r="BH27" s="1850"/>
      <c r="BI27" s="1850"/>
      <c r="BJ27" s="1848"/>
      <c r="BK27" s="1848"/>
      <c r="BL27" s="1848"/>
      <c r="BM27" s="1848"/>
      <c r="BN27" s="1849"/>
      <c r="BR27" s="1472"/>
    </row>
    <row r="28" spans="1:76" ht="14.25" customHeight="1">
      <c r="A28" s="8"/>
      <c r="B28" s="776" t="s">
        <v>249</v>
      </c>
      <c r="C28" s="1538"/>
      <c r="D28" s="770">
        <v>321</v>
      </c>
      <c r="E28" s="771">
        <v>314</v>
      </c>
      <c r="F28" s="771">
        <v>331</v>
      </c>
      <c r="G28" s="772">
        <v>362</v>
      </c>
      <c r="H28" s="770">
        <v>346</v>
      </c>
      <c r="I28" s="771">
        <v>345</v>
      </c>
      <c r="J28" s="771">
        <v>321</v>
      </c>
      <c r="K28" s="772">
        <v>187</v>
      </c>
      <c r="L28" s="770">
        <v>184</v>
      </c>
      <c r="M28" s="771">
        <v>185</v>
      </c>
      <c r="N28" s="771">
        <v>168</v>
      </c>
      <c r="O28" s="772">
        <v>227</v>
      </c>
      <c r="P28" s="770">
        <v>151</v>
      </c>
      <c r="Q28" s="771">
        <v>133</v>
      </c>
      <c r="R28" s="771">
        <v>146</v>
      </c>
      <c r="S28" s="772">
        <v>138</v>
      </c>
      <c r="T28" s="770">
        <v>154</v>
      </c>
      <c r="U28" s="771">
        <v>165</v>
      </c>
      <c r="V28" s="771">
        <v>165</v>
      </c>
      <c r="W28" s="772">
        <v>151</v>
      </c>
      <c r="X28" s="770">
        <v>148</v>
      </c>
      <c r="Y28" s="771">
        <v>156</v>
      </c>
      <c r="Z28" s="771">
        <v>153</v>
      </c>
      <c r="AA28" s="772">
        <v>171</v>
      </c>
      <c r="AB28" s="770">
        <v>153</v>
      </c>
      <c r="AC28" s="771">
        <v>155</v>
      </c>
      <c r="AD28" s="771">
        <v>163</v>
      </c>
      <c r="AE28" s="772">
        <v>168</v>
      </c>
      <c r="AF28" s="770">
        <v>189</v>
      </c>
      <c r="AG28" s="771">
        <v>180</v>
      </c>
      <c r="AH28" s="771">
        <v>196</v>
      </c>
      <c r="AI28" s="772">
        <v>198</v>
      </c>
      <c r="AJ28" s="1528">
        <v>199</v>
      </c>
      <c r="AK28" s="1529">
        <v>195</v>
      </c>
      <c r="AL28" s="1529">
        <v>178</v>
      </c>
      <c r="AM28" s="771">
        <v>318</v>
      </c>
      <c r="AN28" s="1528">
        <v>403</v>
      </c>
      <c r="AO28" s="1529">
        <v>416</v>
      </c>
      <c r="AP28" s="1529">
        <v>379</v>
      </c>
      <c r="AQ28" s="771">
        <v>362</v>
      </c>
      <c r="AR28" s="1528">
        <v>367</v>
      </c>
      <c r="AS28" s="1529">
        <v>381</v>
      </c>
      <c r="AT28" s="1845">
        <v>392</v>
      </c>
      <c r="AU28" s="771">
        <v>414</v>
      </c>
      <c r="AV28" s="1792">
        <f t="shared" ref="AV28:AY28" si="92">AV33+AV32</f>
        <v>396.57669177524429</v>
      </c>
      <c r="AW28" s="1785">
        <f t="shared" si="92"/>
        <v>401.33598038552498</v>
      </c>
      <c r="AX28" s="1785">
        <f t="shared" si="92"/>
        <v>407.07282480923095</v>
      </c>
      <c r="AY28" s="1786">
        <f t="shared" si="92"/>
        <v>400.86384604837377</v>
      </c>
      <c r="AZ28" s="896"/>
      <c r="BA28" s="764">
        <f>SUM(D28:G28)</f>
        <v>1328</v>
      </c>
      <c r="BB28" s="764">
        <f>SUM(H28:K28)</f>
        <v>1199</v>
      </c>
      <c r="BC28" s="764">
        <f>SUM(L28:O28)</f>
        <v>764</v>
      </c>
      <c r="BD28" s="764">
        <f>SUM(P28:S28)</f>
        <v>568</v>
      </c>
      <c r="BE28" s="763">
        <f>SUM(T28:W28)</f>
        <v>635</v>
      </c>
      <c r="BF28" s="764">
        <f>SUM(X28:AA28)</f>
        <v>628</v>
      </c>
      <c r="BG28" s="764">
        <f>SUM(AB28:AE28)</f>
        <v>639</v>
      </c>
      <c r="BH28" s="763">
        <f>SUM(AF28:AI28)</f>
        <v>763</v>
      </c>
      <c r="BI28" s="763">
        <f>SUM(AJ28:AM28)</f>
        <v>890</v>
      </c>
      <c r="BJ28" s="764">
        <f>SUM(AN28:AQ28)</f>
        <v>1560</v>
      </c>
      <c r="BK28" s="764">
        <f t="shared" ref="BK28:BL28" si="93">BK33+BK32</f>
        <v>1554</v>
      </c>
      <c r="BL28" s="764">
        <f t="shared" si="93"/>
        <v>1605.8493430183739</v>
      </c>
      <c r="BM28" s="764">
        <f t="shared" ref="BM28" si="94">BM33+BM32</f>
        <v>1650.1886705741374</v>
      </c>
      <c r="BN28" s="765">
        <f t="shared" ref="BN28" si="95">BN33+BN32</f>
        <v>1690.5386246769754</v>
      </c>
      <c r="BR28" s="1472"/>
    </row>
    <row r="29" spans="1:76" ht="14.25" customHeight="1">
      <c r="A29" s="8"/>
      <c r="B29" s="451" t="s">
        <v>489</v>
      </c>
      <c r="C29" s="1538"/>
      <c r="D29" s="1527">
        <f t="shared" ref="D29:AM29" si="96">D28/D8</f>
        <v>0.21971252566735114</v>
      </c>
      <c r="E29" s="1504">
        <f t="shared" si="96"/>
        <v>0.20416124837451236</v>
      </c>
      <c r="F29" s="1504">
        <f t="shared" si="96"/>
        <v>0.201338199513382</v>
      </c>
      <c r="G29" s="1526">
        <f t="shared" si="96"/>
        <v>0.21573301549463647</v>
      </c>
      <c r="H29" s="1527">
        <f t="shared" si="96"/>
        <v>0.22778143515470706</v>
      </c>
      <c r="I29" s="1504">
        <f t="shared" si="96"/>
        <v>0.2263779527559055</v>
      </c>
      <c r="J29" s="1504">
        <f t="shared" si="96"/>
        <v>0.23362445414847161</v>
      </c>
      <c r="K29" s="1526">
        <f t="shared" si="96"/>
        <v>0.18226120857699804</v>
      </c>
      <c r="L29" s="1527">
        <f t="shared" si="96"/>
        <v>0.28527131782945736</v>
      </c>
      <c r="M29" s="1504">
        <f t="shared" si="96"/>
        <v>0.22478736330498178</v>
      </c>
      <c r="N29" s="1504">
        <f t="shared" si="96"/>
        <v>0.17073170731707318</v>
      </c>
      <c r="O29" s="1526">
        <f t="shared" si="96"/>
        <v>0.21274601686972822</v>
      </c>
      <c r="P29" s="1527">
        <f t="shared" si="96"/>
        <v>0.1391705069124424</v>
      </c>
      <c r="Q29" s="1504">
        <f t="shared" si="96"/>
        <v>0.11885612153708669</v>
      </c>
      <c r="R29" s="1504">
        <f t="shared" si="96"/>
        <v>0.13035714285714287</v>
      </c>
      <c r="S29" s="1526">
        <f t="shared" si="96"/>
        <v>0.1280148423005566</v>
      </c>
      <c r="T29" s="1527">
        <f t="shared" si="96"/>
        <v>0.14232902033271719</v>
      </c>
      <c r="U29" s="1504">
        <f t="shared" si="96"/>
        <v>0.1471900089206066</v>
      </c>
      <c r="V29" s="1504">
        <f t="shared" si="96"/>
        <v>0.15566037735849056</v>
      </c>
      <c r="W29" s="1526">
        <f t="shared" si="96"/>
        <v>0.16219119226638024</v>
      </c>
      <c r="X29" s="1527">
        <f t="shared" si="96"/>
        <v>0.15132924335378323</v>
      </c>
      <c r="Y29" s="1504">
        <f t="shared" si="96"/>
        <v>0.14259597806215721</v>
      </c>
      <c r="Z29" s="1504">
        <f t="shared" si="96"/>
        <v>0.13076923076923078</v>
      </c>
      <c r="AA29" s="1526">
        <f t="shared" si="96"/>
        <v>0.15322580645161291</v>
      </c>
      <c r="AB29" s="1527">
        <f t="shared" si="96"/>
        <v>0.14101382488479264</v>
      </c>
      <c r="AC29" s="1504">
        <f t="shared" si="96"/>
        <v>0.13047138047138046</v>
      </c>
      <c r="AD29" s="1504">
        <f t="shared" si="96"/>
        <v>0.13050440352281825</v>
      </c>
      <c r="AE29" s="1526">
        <f t="shared" si="96"/>
        <v>0.12993039443155452</v>
      </c>
      <c r="AF29" s="1527">
        <f t="shared" si="96"/>
        <v>0.15168539325842698</v>
      </c>
      <c r="AG29" s="1504">
        <f t="shared" si="96"/>
        <v>0.1334321719792439</v>
      </c>
      <c r="AH29" s="1504">
        <f t="shared" si="96"/>
        <v>0.12937293729372937</v>
      </c>
      <c r="AI29" s="1526">
        <f t="shared" si="96"/>
        <v>0.12882238126219908</v>
      </c>
      <c r="AJ29" s="1527">
        <f t="shared" si="96"/>
        <v>0.1356509884117246</v>
      </c>
      <c r="AK29" s="1504">
        <f t="shared" si="96"/>
        <v>0.12948207171314741</v>
      </c>
      <c r="AL29" s="1504">
        <f t="shared" si="96"/>
        <v>0.11695137976346912</v>
      </c>
      <c r="AM29" s="1673">
        <f t="shared" si="96"/>
        <v>0.19800747198007471</v>
      </c>
      <c r="AN29" s="1674">
        <f t="shared" ref="AN29:AQ29" si="97">AN28/AN8</f>
        <v>0.18120503597122303</v>
      </c>
      <c r="AO29" s="1673">
        <f t="shared" si="97"/>
        <v>0.17589852008456661</v>
      </c>
      <c r="AP29" s="1741">
        <f t="shared" si="97"/>
        <v>0.1535034426893479</v>
      </c>
      <c r="AQ29" s="1741">
        <f t="shared" si="97"/>
        <v>0.14836065573770491</v>
      </c>
      <c r="AR29" s="1743">
        <f t="shared" ref="AR29:AU29" si="98">AR28/AR8</f>
        <v>0.16598824061510628</v>
      </c>
      <c r="AS29" s="1741">
        <f t="shared" si="98"/>
        <v>0.17302452316076294</v>
      </c>
      <c r="AT29" s="1848">
        <f t="shared" si="98"/>
        <v>0.16422287390029325</v>
      </c>
      <c r="AU29" s="1848">
        <f t="shared" si="98"/>
        <v>0.16856677524429967</v>
      </c>
      <c r="AV29" s="1850">
        <f t="shared" ref="AV29" si="99">AV28/AV8</f>
        <v>0.17051341561766128</v>
      </c>
      <c r="AW29" s="1848">
        <f t="shared" ref="AW29" si="100">AW28/AW8</f>
        <v>0.16683909472548261</v>
      </c>
      <c r="AX29" s="1848">
        <f t="shared" ref="AX29" si="101">AX28/AX8</f>
        <v>0.16258385825633445</v>
      </c>
      <c r="AY29" s="1849">
        <f t="shared" ref="AY29" si="102">AY28/AY8</f>
        <v>0.16258385825633442</v>
      </c>
      <c r="AZ29" s="896"/>
      <c r="BA29" s="1504">
        <f t="shared" ref="BA29:BI29" si="103">BA28/BA8</f>
        <v>0.21009333966144597</v>
      </c>
      <c r="BB29" s="1504">
        <f t="shared" si="103"/>
        <v>0.22028293220650377</v>
      </c>
      <c r="BC29" s="1504">
        <f t="shared" si="103"/>
        <v>0.21710713270815574</v>
      </c>
      <c r="BD29" s="1504">
        <f t="shared" si="103"/>
        <v>0.12903225806451613</v>
      </c>
      <c r="BE29" s="1674">
        <f t="shared" si="103"/>
        <v>0.1514067715784454</v>
      </c>
      <c r="BF29" s="1673">
        <f t="shared" si="103"/>
        <v>0.14410279944928867</v>
      </c>
      <c r="BG29" s="1673">
        <f t="shared" si="103"/>
        <v>0.13271028037383178</v>
      </c>
      <c r="BH29" s="1850">
        <f t="shared" si="103"/>
        <v>0.13511599079157074</v>
      </c>
      <c r="BI29" s="1850">
        <f t="shared" si="103"/>
        <v>0.14587772496312079</v>
      </c>
      <c r="BJ29" s="1848">
        <f>BJ28/BJ8</f>
        <v>0.16424510423246999</v>
      </c>
      <c r="BK29" s="1848">
        <f>BK28/BK8</f>
        <v>0.16789109766637855</v>
      </c>
      <c r="BL29" s="1848">
        <f>BL28/BL8</f>
        <v>0.16554020254776489</v>
      </c>
      <c r="BM29" s="1848">
        <f>BM28/BM8</f>
        <v>0.16120864752329003</v>
      </c>
      <c r="BN29" s="1849">
        <f>BN28/BN8</f>
        <v>0.15745060000463876</v>
      </c>
      <c r="BR29" s="1472"/>
    </row>
    <row r="30" spans="1:76" ht="4.5" customHeight="1">
      <c r="A30" s="8"/>
      <c r="B30" s="451"/>
      <c r="C30" s="1538"/>
      <c r="D30" s="45"/>
      <c r="E30" s="46"/>
      <c r="F30" s="46"/>
      <c r="G30" s="47"/>
      <c r="H30" s="45"/>
      <c r="I30" s="46"/>
      <c r="J30" s="46"/>
      <c r="K30" s="47"/>
      <c r="L30" s="45"/>
      <c r="M30" s="46"/>
      <c r="N30" s="46"/>
      <c r="O30" s="47"/>
      <c r="P30" s="45"/>
      <c r="Q30" s="46"/>
      <c r="R30" s="46"/>
      <c r="S30" s="47"/>
      <c r="T30" s="45"/>
      <c r="U30" s="46"/>
      <c r="V30" s="46"/>
      <c r="W30" s="47"/>
      <c r="X30" s="45"/>
      <c r="Y30" s="46"/>
      <c r="Z30" s="46"/>
      <c r="AA30" s="47"/>
      <c r="AB30" s="45"/>
      <c r="AC30" s="46"/>
      <c r="AD30" s="46"/>
      <c r="AE30" s="47"/>
      <c r="AF30" s="45"/>
      <c r="AG30" s="46"/>
      <c r="AH30" s="46"/>
      <c r="AI30" s="47"/>
      <c r="AJ30" s="45"/>
      <c r="AK30" s="46"/>
      <c r="AL30" s="46"/>
      <c r="AM30" s="46"/>
      <c r="AN30" s="45"/>
      <c r="AO30" s="46"/>
      <c r="AP30" s="46"/>
      <c r="AQ30" s="46"/>
      <c r="AR30" s="45"/>
      <c r="AS30" s="46"/>
      <c r="AT30" s="46"/>
      <c r="AU30" s="46"/>
      <c r="AV30" s="1850"/>
      <c r="AW30" s="1848"/>
      <c r="AX30" s="1848"/>
      <c r="AY30" s="1849"/>
      <c r="AZ30" s="896"/>
      <c r="BA30" s="1504"/>
      <c r="BB30" s="1504"/>
      <c r="BC30" s="1504"/>
      <c r="BD30" s="1504"/>
      <c r="BE30" s="1674"/>
      <c r="BF30" s="1673"/>
      <c r="BG30" s="1673"/>
      <c r="BH30" s="1850"/>
      <c r="BI30" s="1850"/>
      <c r="BJ30" s="1848"/>
      <c r="BK30" s="1848"/>
      <c r="BL30" s="1848"/>
      <c r="BM30" s="1848"/>
      <c r="BN30" s="1849"/>
      <c r="BR30" s="1472"/>
    </row>
    <row r="31" spans="1:76" ht="14.25" hidden="1" customHeight="1" outlineLevel="1">
      <c r="A31" s="8"/>
      <c r="B31" s="776" t="s">
        <v>502</v>
      </c>
      <c r="C31" s="58"/>
      <c r="D31" s="27"/>
      <c r="E31" s="28"/>
      <c r="F31" s="28"/>
      <c r="G31" s="29"/>
      <c r="H31" s="27"/>
      <c r="I31" s="28"/>
      <c r="J31" s="28"/>
      <c r="K31" s="29"/>
      <c r="L31" s="27"/>
      <c r="M31" s="28"/>
      <c r="N31" s="28"/>
      <c r="O31" s="29"/>
      <c r="P31" s="27"/>
      <c r="Q31" s="28"/>
      <c r="R31" s="28"/>
      <c r="S31" s="29"/>
      <c r="T31" s="27"/>
      <c r="U31" s="28"/>
      <c r="V31" s="28"/>
      <c r="W31" s="29"/>
      <c r="X31" s="27"/>
      <c r="Y31" s="28"/>
      <c r="Z31" s="28"/>
      <c r="AA31" s="29"/>
      <c r="AB31" s="27">
        <v>3</v>
      </c>
      <c r="AC31" s="28">
        <v>2</v>
      </c>
      <c r="AD31" s="28">
        <v>3</v>
      </c>
      <c r="AE31" s="29">
        <v>5</v>
      </c>
      <c r="AF31" s="27">
        <v>3</v>
      </c>
      <c r="AG31" s="28">
        <v>5</v>
      </c>
      <c r="AH31" s="28">
        <v>5</v>
      </c>
      <c r="AI31" s="29">
        <v>7</v>
      </c>
      <c r="AJ31" s="27">
        <v>8</v>
      </c>
      <c r="AK31" s="28">
        <v>9</v>
      </c>
      <c r="AL31" s="28">
        <v>7</v>
      </c>
      <c r="AM31" s="28">
        <v>21</v>
      </c>
      <c r="AN31" s="27">
        <v>32</v>
      </c>
      <c r="AO31" s="28">
        <v>30</v>
      </c>
      <c r="AP31" s="28">
        <v>29</v>
      </c>
      <c r="AQ31" s="28">
        <v>32</v>
      </c>
      <c r="AR31" s="27">
        <v>29</v>
      </c>
      <c r="AS31" s="28">
        <v>28</v>
      </c>
      <c r="AT31" s="28">
        <v>30</v>
      </c>
      <c r="AU31" s="28">
        <v>35</v>
      </c>
      <c r="AV31" s="763">
        <f>+AU31</f>
        <v>35</v>
      </c>
      <c r="AW31" s="764">
        <f t="shared" ref="AW31" si="104">+AV31</f>
        <v>35</v>
      </c>
      <c r="AX31" s="764">
        <f t="shared" ref="AX31" si="105">+AW31</f>
        <v>35</v>
      </c>
      <c r="AY31" s="765">
        <f t="shared" ref="AY31" si="106">+AX31</f>
        <v>35</v>
      </c>
      <c r="AZ31" s="246"/>
      <c r="BA31" s="1076">
        <f>SUM(D31:G31)</f>
        <v>0</v>
      </c>
      <c r="BB31" s="1076">
        <f>SUM(H31:K31)</f>
        <v>0</v>
      </c>
      <c r="BC31" s="1076">
        <f>SUM(L31:O31)</f>
        <v>0</v>
      </c>
      <c r="BD31" s="1076">
        <f>SUM(P31:S31)</f>
        <v>0</v>
      </c>
      <c r="BE31" s="1681">
        <f>SUM(T31:W31)</f>
        <v>0</v>
      </c>
      <c r="BF31" s="1679">
        <f>SUM(X31:AA31)</f>
        <v>0</v>
      </c>
      <c r="BG31" s="1679">
        <f>SUM(AB31:AE31)</f>
        <v>13</v>
      </c>
      <c r="BH31" s="1777">
        <f>SUM(AF31:AI31)</f>
        <v>20</v>
      </c>
      <c r="BI31" s="1777">
        <f>SUM(AJ31:AM31)</f>
        <v>45</v>
      </c>
      <c r="BJ31" s="764">
        <f>SUM(AN31:AQ31)</f>
        <v>123</v>
      </c>
      <c r="BK31" s="764">
        <f>SUM(AR31:AU31)</f>
        <v>122</v>
      </c>
      <c r="BL31" s="764">
        <f>SUM(AV31:AY31)</f>
        <v>140</v>
      </c>
      <c r="BM31" s="764">
        <f>BL31</f>
        <v>140</v>
      </c>
      <c r="BN31" s="765">
        <f>BM31</f>
        <v>140</v>
      </c>
      <c r="BR31" s="1472"/>
    </row>
    <row r="32" spans="1:76" s="752" customFormat="1" ht="14.25" hidden="1" customHeight="1" outlineLevel="1">
      <c r="B32" s="779" t="s">
        <v>491</v>
      </c>
      <c r="C32" s="1535"/>
      <c r="D32" s="754">
        <v>0</v>
      </c>
      <c r="E32" s="755">
        <v>0</v>
      </c>
      <c r="F32" s="755">
        <v>0</v>
      </c>
      <c r="G32" s="756">
        <v>0</v>
      </c>
      <c r="H32" s="754">
        <v>0</v>
      </c>
      <c r="I32" s="755">
        <v>0</v>
      </c>
      <c r="J32" s="755">
        <v>0</v>
      </c>
      <c r="K32" s="756">
        <v>0</v>
      </c>
      <c r="L32" s="754">
        <f>6+2</f>
        <v>8</v>
      </c>
      <c r="M32" s="755">
        <f>12+2</f>
        <v>14</v>
      </c>
      <c r="N32" s="755">
        <v>2</v>
      </c>
      <c r="O32" s="756">
        <f>41+4</f>
        <v>45</v>
      </c>
      <c r="P32" s="754">
        <f>1+2</f>
        <v>3</v>
      </c>
      <c r="Q32" s="755">
        <f>-2-1</f>
        <v>-3</v>
      </c>
      <c r="R32" s="755">
        <f>1-7</f>
        <v>-6</v>
      </c>
      <c r="S32" s="756">
        <v>0</v>
      </c>
      <c r="T32" s="754">
        <v>0</v>
      </c>
      <c r="U32" s="755">
        <f>3+2</f>
        <v>5</v>
      </c>
      <c r="V32" s="755">
        <v>1</v>
      </c>
      <c r="W32" s="756">
        <v>18</v>
      </c>
      <c r="X32" s="754">
        <v>2</v>
      </c>
      <c r="Y32" s="755">
        <f>-1+6</f>
        <v>5</v>
      </c>
      <c r="Z32" s="755">
        <v>3</v>
      </c>
      <c r="AA32" s="756">
        <f>23+1</f>
        <v>24</v>
      </c>
      <c r="AB32" s="754">
        <v>1</v>
      </c>
      <c r="AC32" s="755">
        <v>1</v>
      </c>
      <c r="AD32" s="755">
        <v>0</v>
      </c>
      <c r="AE32" s="756">
        <f>1-1</f>
        <v>0</v>
      </c>
      <c r="AF32" s="754">
        <f>9+1</f>
        <v>10</v>
      </c>
      <c r="AG32" s="755">
        <v>-4</v>
      </c>
      <c r="AH32" s="755">
        <v>0</v>
      </c>
      <c r="AI32" s="756">
        <v>4</v>
      </c>
      <c r="AJ32" s="1524">
        <v>8</v>
      </c>
      <c r="AK32" s="1525">
        <v>5</v>
      </c>
      <c r="AL32" s="1525">
        <v>-1</v>
      </c>
      <c r="AM32" s="755">
        <v>78</v>
      </c>
      <c r="AN32" s="1524">
        <v>11</v>
      </c>
      <c r="AO32" s="1525">
        <f>32-1</f>
        <v>31</v>
      </c>
      <c r="AP32" s="1525">
        <v>0</v>
      </c>
      <c r="AQ32" s="755">
        <f>-2+1</f>
        <v>-1</v>
      </c>
      <c r="AR32" s="1524">
        <f>-12+1</f>
        <v>-11</v>
      </c>
      <c r="AS32" s="1525">
        <v>0</v>
      </c>
      <c r="AT32" s="1525">
        <v>0</v>
      </c>
      <c r="AU32" s="755">
        <f>1</f>
        <v>1</v>
      </c>
      <c r="AV32" s="754">
        <v>0</v>
      </c>
      <c r="AW32" s="755">
        <v>0</v>
      </c>
      <c r="AX32" s="755">
        <v>0</v>
      </c>
      <c r="AY32" s="756">
        <v>0</v>
      </c>
      <c r="AZ32" s="1131"/>
      <c r="BA32" s="758">
        <f>SUM(D32:G32)</f>
        <v>0</v>
      </c>
      <c r="BB32" s="758">
        <f>SUM(H32:K32)</f>
        <v>0</v>
      </c>
      <c r="BC32" s="758">
        <f>SUM(L32:O32)</f>
        <v>69</v>
      </c>
      <c r="BD32" s="758">
        <f>SUM(P32:S32)</f>
        <v>-6</v>
      </c>
      <c r="BE32" s="759">
        <f>SUM(T32:W32)</f>
        <v>24</v>
      </c>
      <c r="BF32" s="758">
        <f>SUM(X32:AA32)</f>
        <v>34</v>
      </c>
      <c r="BG32" s="758">
        <f>SUM(AB32:AE32)</f>
        <v>2</v>
      </c>
      <c r="BH32" s="759">
        <f>SUM(AF32:AI32)</f>
        <v>10</v>
      </c>
      <c r="BI32" s="759">
        <f>SUM(AJ32:AM32)</f>
        <v>90</v>
      </c>
      <c r="BJ32" s="758">
        <f>SUM(AN32:AQ32)</f>
        <v>41</v>
      </c>
      <c r="BK32" s="758">
        <f>SUM(AR32:AU32)</f>
        <v>-10</v>
      </c>
      <c r="BL32" s="758">
        <f>SUM(AV32:AY32)</f>
        <v>0</v>
      </c>
      <c r="BM32" s="758">
        <v>0</v>
      </c>
      <c r="BN32" s="757">
        <v>0</v>
      </c>
      <c r="BR32" s="760"/>
      <c r="BS32"/>
      <c r="BT32"/>
      <c r="BU32"/>
      <c r="BV32"/>
      <c r="BW32"/>
      <c r="BX32"/>
    </row>
    <row r="33" spans="1:76" s="761" customFormat="1" ht="14.25" customHeight="1" collapsed="1">
      <c r="B33" s="776" t="s">
        <v>55</v>
      </c>
      <c r="C33" s="1478"/>
      <c r="D33" s="763">
        <f t="shared" ref="D33:AS33" si="107">D28-D32</f>
        <v>321</v>
      </c>
      <c r="E33" s="764">
        <f t="shared" si="107"/>
        <v>314</v>
      </c>
      <c r="F33" s="764">
        <f t="shared" si="107"/>
        <v>331</v>
      </c>
      <c r="G33" s="765">
        <f t="shared" si="107"/>
        <v>362</v>
      </c>
      <c r="H33" s="763">
        <f t="shared" si="107"/>
        <v>346</v>
      </c>
      <c r="I33" s="764">
        <f t="shared" si="107"/>
        <v>345</v>
      </c>
      <c r="J33" s="764">
        <f t="shared" si="107"/>
        <v>321</v>
      </c>
      <c r="K33" s="765">
        <f t="shared" si="107"/>
        <v>187</v>
      </c>
      <c r="L33" s="763">
        <f t="shared" si="107"/>
        <v>176</v>
      </c>
      <c r="M33" s="764">
        <f t="shared" si="107"/>
        <v>171</v>
      </c>
      <c r="N33" s="764">
        <f t="shared" si="107"/>
        <v>166</v>
      </c>
      <c r="O33" s="765">
        <f t="shared" si="107"/>
        <v>182</v>
      </c>
      <c r="P33" s="763">
        <f t="shared" si="107"/>
        <v>148</v>
      </c>
      <c r="Q33" s="764">
        <f t="shared" si="107"/>
        <v>136</v>
      </c>
      <c r="R33" s="764">
        <f t="shared" si="107"/>
        <v>152</v>
      </c>
      <c r="S33" s="765">
        <f t="shared" si="107"/>
        <v>138</v>
      </c>
      <c r="T33" s="763">
        <f t="shared" si="107"/>
        <v>154</v>
      </c>
      <c r="U33" s="764">
        <f t="shared" si="107"/>
        <v>160</v>
      </c>
      <c r="V33" s="764">
        <f t="shared" si="107"/>
        <v>164</v>
      </c>
      <c r="W33" s="765">
        <f t="shared" si="107"/>
        <v>133</v>
      </c>
      <c r="X33" s="763">
        <f t="shared" si="107"/>
        <v>146</v>
      </c>
      <c r="Y33" s="764">
        <f t="shared" si="107"/>
        <v>151</v>
      </c>
      <c r="Z33" s="764">
        <f t="shared" si="107"/>
        <v>150</v>
      </c>
      <c r="AA33" s="765">
        <f t="shared" si="107"/>
        <v>147</v>
      </c>
      <c r="AB33" s="763">
        <f t="shared" si="107"/>
        <v>152</v>
      </c>
      <c r="AC33" s="764">
        <f t="shared" si="107"/>
        <v>154</v>
      </c>
      <c r="AD33" s="764">
        <f t="shared" si="107"/>
        <v>163</v>
      </c>
      <c r="AE33" s="765">
        <f t="shared" si="107"/>
        <v>168</v>
      </c>
      <c r="AF33" s="763">
        <f t="shared" si="107"/>
        <v>179</v>
      </c>
      <c r="AG33" s="764">
        <f t="shared" si="107"/>
        <v>184</v>
      </c>
      <c r="AH33" s="764">
        <f t="shared" si="107"/>
        <v>196</v>
      </c>
      <c r="AI33" s="765">
        <f t="shared" si="107"/>
        <v>194</v>
      </c>
      <c r="AJ33" s="763">
        <f t="shared" si="107"/>
        <v>191</v>
      </c>
      <c r="AK33" s="764">
        <f t="shared" si="107"/>
        <v>190</v>
      </c>
      <c r="AL33" s="764">
        <f t="shared" si="107"/>
        <v>179</v>
      </c>
      <c r="AM33" s="764">
        <f t="shared" si="107"/>
        <v>240</v>
      </c>
      <c r="AN33" s="763">
        <f t="shared" si="107"/>
        <v>392</v>
      </c>
      <c r="AO33" s="764">
        <f t="shared" si="107"/>
        <v>385</v>
      </c>
      <c r="AP33" s="764">
        <f t="shared" si="107"/>
        <v>379</v>
      </c>
      <c r="AQ33" s="764">
        <f t="shared" si="107"/>
        <v>363</v>
      </c>
      <c r="AR33" s="763">
        <f t="shared" si="107"/>
        <v>378</v>
      </c>
      <c r="AS33" s="764">
        <f t="shared" si="107"/>
        <v>381</v>
      </c>
      <c r="AT33" s="764">
        <f t="shared" ref="AT33:AU33" si="108">AT28-AT32</f>
        <v>392</v>
      </c>
      <c r="AU33" s="764">
        <f t="shared" si="108"/>
        <v>413</v>
      </c>
      <c r="AV33" s="763">
        <f t="shared" ref="AV33:AY33" si="109">AU33*(1+AV9*AV35)</f>
        <v>396.57669177524429</v>
      </c>
      <c r="AW33" s="764">
        <f t="shared" si="109"/>
        <v>401.33598038552498</v>
      </c>
      <c r="AX33" s="764">
        <f t="shared" si="109"/>
        <v>407.07282480923095</v>
      </c>
      <c r="AY33" s="765">
        <f t="shared" si="109"/>
        <v>400.86384604837377</v>
      </c>
      <c r="AZ33" s="775"/>
      <c r="BA33" s="764">
        <f t="shared" ref="BA33:BJ33" si="110">BA28-BA32</f>
        <v>1328</v>
      </c>
      <c r="BB33" s="764">
        <f t="shared" si="110"/>
        <v>1199</v>
      </c>
      <c r="BC33" s="764">
        <f t="shared" si="110"/>
        <v>695</v>
      </c>
      <c r="BD33" s="764">
        <f t="shared" si="110"/>
        <v>574</v>
      </c>
      <c r="BE33" s="763">
        <f t="shared" si="110"/>
        <v>611</v>
      </c>
      <c r="BF33" s="764">
        <f t="shared" si="110"/>
        <v>594</v>
      </c>
      <c r="BG33" s="764">
        <f t="shared" si="110"/>
        <v>637</v>
      </c>
      <c r="BH33" s="763">
        <f t="shared" si="110"/>
        <v>753</v>
      </c>
      <c r="BI33" s="763">
        <f t="shared" si="110"/>
        <v>800</v>
      </c>
      <c r="BJ33" s="764">
        <f t="shared" si="110"/>
        <v>1519</v>
      </c>
      <c r="BK33" s="764">
        <f>SUM(AR33:AU33)</f>
        <v>1564</v>
      </c>
      <c r="BL33" s="764">
        <f>SUM(AV33:AY33)</f>
        <v>1605.8493430183739</v>
      </c>
      <c r="BM33" s="764">
        <f>BL33*(1+BM10*50%)</f>
        <v>1650.1886705741374</v>
      </c>
      <c r="BN33" s="765">
        <f>BM33*(1+BN10*50%)</f>
        <v>1690.5386246769754</v>
      </c>
      <c r="BR33" s="766"/>
      <c r="BS33"/>
      <c r="BT33"/>
      <c r="BU33"/>
      <c r="BV33"/>
      <c r="BW33"/>
      <c r="BX33"/>
    </row>
    <row r="34" spans="1:76" ht="14.25" customHeight="1">
      <c r="A34" s="8"/>
      <c r="B34" s="451" t="s">
        <v>489</v>
      </c>
      <c r="C34" s="1537"/>
      <c r="D34" s="1527">
        <f t="shared" ref="D34:AY34" si="111">D33/D8</f>
        <v>0.21971252566735114</v>
      </c>
      <c r="E34" s="1504">
        <f t="shared" si="111"/>
        <v>0.20416124837451236</v>
      </c>
      <c r="F34" s="1504">
        <f t="shared" si="111"/>
        <v>0.201338199513382</v>
      </c>
      <c r="G34" s="1526">
        <f t="shared" si="111"/>
        <v>0.21573301549463647</v>
      </c>
      <c r="H34" s="1527">
        <f t="shared" si="111"/>
        <v>0.22778143515470706</v>
      </c>
      <c r="I34" s="1504">
        <f t="shared" si="111"/>
        <v>0.2263779527559055</v>
      </c>
      <c r="J34" s="1504">
        <f t="shared" si="111"/>
        <v>0.23362445414847161</v>
      </c>
      <c r="K34" s="1526">
        <f t="shared" si="111"/>
        <v>0.18226120857699804</v>
      </c>
      <c r="L34" s="1527">
        <f t="shared" si="111"/>
        <v>0.27286821705426356</v>
      </c>
      <c r="M34" s="1504">
        <f t="shared" si="111"/>
        <v>0.2077764277035237</v>
      </c>
      <c r="N34" s="1504">
        <f t="shared" si="111"/>
        <v>0.16869918699186992</v>
      </c>
      <c r="O34" s="1526">
        <f t="shared" si="111"/>
        <v>0.17057169634489222</v>
      </c>
      <c r="P34" s="1527">
        <f t="shared" si="111"/>
        <v>0.13640552995391705</v>
      </c>
      <c r="Q34" s="1504">
        <f t="shared" si="111"/>
        <v>0.12153708668453976</v>
      </c>
      <c r="R34" s="1504">
        <f t="shared" si="111"/>
        <v>0.1357142857142857</v>
      </c>
      <c r="S34" s="1526">
        <f t="shared" si="111"/>
        <v>0.1280148423005566</v>
      </c>
      <c r="T34" s="1527">
        <f t="shared" si="111"/>
        <v>0.14232902033271719</v>
      </c>
      <c r="U34" s="1504">
        <f t="shared" si="111"/>
        <v>0.14272970561998216</v>
      </c>
      <c r="V34" s="1504">
        <f t="shared" si="111"/>
        <v>0.15471698113207547</v>
      </c>
      <c r="W34" s="1526">
        <f t="shared" si="111"/>
        <v>0.14285714285714285</v>
      </c>
      <c r="X34" s="1527">
        <f t="shared" si="111"/>
        <v>0.1492842535787321</v>
      </c>
      <c r="Y34" s="1504">
        <f t="shared" si="111"/>
        <v>0.13802559414990859</v>
      </c>
      <c r="Z34" s="1504">
        <f t="shared" si="111"/>
        <v>0.12820512820512819</v>
      </c>
      <c r="AA34" s="1526">
        <f t="shared" si="111"/>
        <v>0.13172043010752688</v>
      </c>
      <c r="AB34" s="1527">
        <f t="shared" si="111"/>
        <v>0.1400921658986175</v>
      </c>
      <c r="AC34" s="1504">
        <f t="shared" si="111"/>
        <v>0.12962962962962962</v>
      </c>
      <c r="AD34" s="1504">
        <f t="shared" si="111"/>
        <v>0.13050440352281825</v>
      </c>
      <c r="AE34" s="1526">
        <f t="shared" si="111"/>
        <v>0.12993039443155452</v>
      </c>
      <c r="AF34" s="1527">
        <f t="shared" si="111"/>
        <v>0.14365971107544143</v>
      </c>
      <c r="AG34" s="1504">
        <f t="shared" si="111"/>
        <v>0.1363973313565604</v>
      </c>
      <c r="AH34" s="1504">
        <f t="shared" si="111"/>
        <v>0.12937293729372937</v>
      </c>
      <c r="AI34" s="1526">
        <f t="shared" si="111"/>
        <v>0.12621990891346779</v>
      </c>
      <c r="AJ34" s="1527">
        <f t="shared" si="111"/>
        <v>0.1301976823449216</v>
      </c>
      <c r="AK34" s="1504">
        <f t="shared" si="111"/>
        <v>0.12616201859229748</v>
      </c>
      <c r="AL34" s="1504">
        <f t="shared" si="111"/>
        <v>0.1176084099868594</v>
      </c>
      <c r="AM34" s="1673">
        <f t="shared" si="111"/>
        <v>0.149439601494396</v>
      </c>
      <c r="AN34" s="1674">
        <f t="shared" si="111"/>
        <v>0.17625899280575538</v>
      </c>
      <c r="AO34" s="1673">
        <f t="shared" si="111"/>
        <v>0.16279069767441862</v>
      </c>
      <c r="AP34" s="1741">
        <f t="shared" si="111"/>
        <v>0.1535034426893479</v>
      </c>
      <c r="AQ34" s="1741">
        <f t="shared" si="111"/>
        <v>0.1487704918032787</v>
      </c>
      <c r="AR34" s="1743">
        <f t="shared" si="111"/>
        <v>0.17096336499321574</v>
      </c>
      <c r="AS34" s="1741">
        <f t="shared" si="111"/>
        <v>0.17302452316076294</v>
      </c>
      <c r="AT34" s="1848">
        <f t="shared" ref="AT34:AU34" si="112">AT33/AT8</f>
        <v>0.16422287390029325</v>
      </c>
      <c r="AU34" s="1848">
        <f t="shared" si="112"/>
        <v>0.16815960912052116</v>
      </c>
      <c r="AV34" s="1850">
        <f t="shared" si="111"/>
        <v>0.17051341561766128</v>
      </c>
      <c r="AW34" s="1848">
        <f t="shared" si="111"/>
        <v>0.16683909472548261</v>
      </c>
      <c r="AX34" s="1848">
        <f t="shared" si="111"/>
        <v>0.16258385825633445</v>
      </c>
      <c r="AY34" s="1849">
        <f t="shared" si="111"/>
        <v>0.16258385825633442</v>
      </c>
      <c r="AZ34" s="246"/>
      <c r="BA34" s="1504">
        <f t="shared" ref="BA34:BM34" si="113">BA33/BA8</f>
        <v>0.21009333966144597</v>
      </c>
      <c r="BB34" s="1504">
        <f t="shared" si="113"/>
        <v>0.22028293220650377</v>
      </c>
      <c r="BC34" s="1504">
        <f t="shared" si="113"/>
        <v>0.19749928957090082</v>
      </c>
      <c r="BD34" s="1504">
        <f t="shared" si="113"/>
        <v>0.13039527487505678</v>
      </c>
      <c r="BE34" s="1674">
        <f t="shared" si="113"/>
        <v>0.14568431092036241</v>
      </c>
      <c r="BF34" s="1673">
        <f t="shared" si="113"/>
        <v>0.13630105553005967</v>
      </c>
      <c r="BG34" s="1673">
        <f t="shared" si="113"/>
        <v>0.13229491173416408</v>
      </c>
      <c r="BH34" s="1850">
        <f t="shared" si="113"/>
        <v>0.13334513901186471</v>
      </c>
      <c r="BI34" s="1850">
        <f t="shared" si="113"/>
        <v>0.13112604491067037</v>
      </c>
      <c r="BJ34" s="1848">
        <f t="shared" si="113"/>
        <v>0.15992840598020636</v>
      </c>
      <c r="BK34" s="1848">
        <f t="shared" si="113"/>
        <v>0.16897147796024201</v>
      </c>
      <c r="BL34" s="1848">
        <f t="shared" si="113"/>
        <v>0.16554020254776489</v>
      </c>
      <c r="BM34" s="1848">
        <f t="shared" si="113"/>
        <v>0.16120864752329003</v>
      </c>
      <c r="BN34" s="1849">
        <f t="shared" ref="BN34" si="114">BN33/BN8</f>
        <v>0.15745060000463876</v>
      </c>
      <c r="BR34" s="1472"/>
    </row>
    <row r="35" spans="1:76" ht="14.25" customHeight="1">
      <c r="A35" s="8"/>
      <c r="B35" s="451" t="s">
        <v>70</v>
      </c>
      <c r="C35" s="1537"/>
      <c r="D35" s="1743"/>
      <c r="E35" s="1741"/>
      <c r="F35" s="1741"/>
      <c r="G35" s="1742"/>
      <c r="H35" s="1743"/>
      <c r="I35" s="1741"/>
      <c r="J35" s="1741"/>
      <c r="K35" s="1742"/>
      <c r="L35" s="1743"/>
      <c r="M35" s="1741"/>
      <c r="N35" s="1741"/>
      <c r="O35" s="1742"/>
      <c r="P35" s="1743"/>
      <c r="Q35" s="1741"/>
      <c r="R35" s="1741"/>
      <c r="S35" s="1742"/>
      <c r="T35" s="1743"/>
      <c r="U35" s="1741"/>
      <c r="V35" s="1741"/>
      <c r="W35" s="1742"/>
      <c r="X35" s="1743"/>
      <c r="Y35" s="1741"/>
      <c r="Z35" s="1741"/>
      <c r="AA35" s="1742"/>
      <c r="AB35" s="1743"/>
      <c r="AC35" s="1741"/>
      <c r="AD35" s="1741"/>
      <c r="AE35" s="1742"/>
      <c r="AF35" s="1743"/>
      <c r="AG35" s="1741"/>
      <c r="AH35" s="1741"/>
      <c r="AI35" s="1742"/>
      <c r="AJ35" s="1743"/>
      <c r="AK35" s="1741"/>
      <c r="AL35" s="1741"/>
      <c r="AM35" s="1741"/>
      <c r="AN35" s="1743"/>
      <c r="AO35" s="1741"/>
      <c r="AP35" s="1741"/>
      <c r="AQ35" s="1741"/>
      <c r="AR35" s="1743"/>
      <c r="AS35" s="1741"/>
      <c r="AT35" s="1848"/>
      <c r="AU35" s="1848"/>
      <c r="AV35" s="1817">
        <v>0.75</v>
      </c>
      <c r="AW35" s="1852">
        <v>0.35</v>
      </c>
      <c r="AX35" s="1852">
        <v>0.35</v>
      </c>
      <c r="AY35" s="1895">
        <v>1</v>
      </c>
      <c r="AZ35" s="246"/>
      <c r="BA35" s="1741"/>
      <c r="BB35" s="1741"/>
      <c r="BC35" s="1741"/>
      <c r="BD35" s="1741"/>
      <c r="BE35" s="1743"/>
      <c r="BF35" s="1741"/>
      <c r="BG35" s="1741"/>
      <c r="BH35" s="1850"/>
      <c r="BI35" s="1850"/>
      <c r="BJ35" s="1848"/>
      <c r="BK35" s="1848"/>
      <c r="BL35" s="1848"/>
      <c r="BM35" s="1848"/>
      <c r="BN35" s="1849"/>
      <c r="BR35" s="1472"/>
    </row>
    <row r="36" spans="1:76" ht="6.75" customHeight="1">
      <c r="A36" s="8"/>
      <c r="B36" s="451"/>
      <c r="C36" s="1537"/>
      <c r="D36" s="1527"/>
      <c r="E36" s="1504"/>
      <c r="F36" s="1504"/>
      <c r="G36" s="1526"/>
      <c r="H36" s="1527"/>
      <c r="I36" s="1504"/>
      <c r="J36" s="1504"/>
      <c r="K36" s="1526"/>
      <c r="L36" s="1527"/>
      <c r="M36" s="1504"/>
      <c r="N36" s="1504"/>
      <c r="O36" s="1526"/>
      <c r="P36" s="1527"/>
      <c r="Q36" s="1504"/>
      <c r="R36" s="1504"/>
      <c r="S36" s="1526"/>
      <c r="T36" s="1527"/>
      <c r="U36" s="1504"/>
      <c r="V36" s="1504"/>
      <c r="W36" s="1526"/>
      <c r="X36" s="1527"/>
      <c r="Y36" s="1504"/>
      <c r="Z36" s="1504"/>
      <c r="AA36" s="1526"/>
      <c r="AB36" s="1527"/>
      <c r="AC36" s="1504"/>
      <c r="AD36" s="1504"/>
      <c r="AE36" s="1526"/>
      <c r="AF36" s="1527"/>
      <c r="AG36" s="1504"/>
      <c r="AH36" s="1504"/>
      <c r="AI36" s="1526"/>
      <c r="AJ36" s="1527"/>
      <c r="AK36" s="1504"/>
      <c r="AL36" s="1504"/>
      <c r="AM36" s="1673"/>
      <c r="AN36" s="1674"/>
      <c r="AO36" s="1673"/>
      <c r="AP36" s="1741"/>
      <c r="AQ36" s="1741"/>
      <c r="AR36" s="1743"/>
      <c r="AS36" s="1741"/>
      <c r="AT36" s="1848"/>
      <c r="AU36" s="1848"/>
      <c r="AV36" s="1782"/>
      <c r="AW36" s="1783"/>
      <c r="AX36" s="1783"/>
      <c r="AY36" s="1784"/>
      <c r="AZ36" s="246"/>
      <c r="BA36" s="1504"/>
      <c r="BB36" s="1504"/>
      <c r="BC36" s="1504"/>
      <c r="BD36" s="1504"/>
      <c r="BE36" s="1674"/>
      <c r="BF36" s="1673"/>
      <c r="BG36" s="1673"/>
      <c r="BH36" s="1850"/>
      <c r="BI36" s="1850"/>
      <c r="BJ36" s="1848"/>
      <c r="BK36" s="1848"/>
      <c r="BL36" s="1848"/>
      <c r="BM36" s="1848"/>
      <c r="BN36" s="1849"/>
      <c r="BR36" s="1472"/>
    </row>
    <row r="37" spans="1:76" ht="14.25" hidden="1" customHeight="1" outlineLevel="1">
      <c r="A37" s="8"/>
      <c r="B37" s="1326" t="s">
        <v>262</v>
      </c>
      <c r="C37" s="1537"/>
      <c r="D37" s="1531">
        <f t="shared" ref="D37:AS37" si="115">D28-D31-D32</f>
        <v>321</v>
      </c>
      <c r="E37" s="1440">
        <f t="shared" si="115"/>
        <v>314</v>
      </c>
      <c r="F37" s="1440">
        <f t="shared" si="115"/>
        <v>331</v>
      </c>
      <c r="G37" s="1441">
        <f t="shared" si="115"/>
        <v>362</v>
      </c>
      <c r="H37" s="1531">
        <f t="shared" si="115"/>
        <v>346</v>
      </c>
      <c r="I37" s="1440">
        <f t="shared" si="115"/>
        <v>345</v>
      </c>
      <c r="J37" s="1440">
        <f t="shared" si="115"/>
        <v>321</v>
      </c>
      <c r="K37" s="1441">
        <f t="shared" si="115"/>
        <v>187</v>
      </c>
      <c r="L37" s="1531">
        <f t="shared" si="115"/>
        <v>176</v>
      </c>
      <c r="M37" s="1440">
        <f t="shared" si="115"/>
        <v>171</v>
      </c>
      <c r="N37" s="1440">
        <f t="shared" si="115"/>
        <v>166</v>
      </c>
      <c r="O37" s="1441">
        <f t="shared" si="115"/>
        <v>182</v>
      </c>
      <c r="P37" s="1531">
        <f t="shared" si="115"/>
        <v>148</v>
      </c>
      <c r="Q37" s="1440">
        <f t="shared" si="115"/>
        <v>136</v>
      </c>
      <c r="R37" s="1440">
        <f t="shared" si="115"/>
        <v>152</v>
      </c>
      <c r="S37" s="1441">
        <f t="shared" si="115"/>
        <v>138</v>
      </c>
      <c r="T37" s="1531">
        <f t="shared" si="115"/>
        <v>154</v>
      </c>
      <c r="U37" s="1440">
        <f t="shared" si="115"/>
        <v>160</v>
      </c>
      <c r="V37" s="1440">
        <f t="shared" si="115"/>
        <v>164</v>
      </c>
      <c r="W37" s="1441">
        <f t="shared" si="115"/>
        <v>133</v>
      </c>
      <c r="X37" s="1531">
        <f t="shared" si="115"/>
        <v>146</v>
      </c>
      <c r="Y37" s="1440">
        <f t="shared" si="115"/>
        <v>151</v>
      </c>
      <c r="Z37" s="1440">
        <f t="shared" si="115"/>
        <v>150</v>
      </c>
      <c r="AA37" s="1441">
        <f t="shared" si="115"/>
        <v>147</v>
      </c>
      <c r="AB37" s="1531">
        <f t="shared" si="115"/>
        <v>149</v>
      </c>
      <c r="AC37" s="1440">
        <f t="shared" si="115"/>
        <v>152</v>
      </c>
      <c r="AD37" s="1440">
        <f t="shared" si="115"/>
        <v>160</v>
      </c>
      <c r="AE37" s="1441">
        <f t="shared" si="115"/>
        <v>163</v>
      </c>
      <c r="AF37" s="1531">
        <f t="shared" si="115"/>
        <v>176</v>
      </c>
      <c r="AG37" s="1440">
        <f t="shared" si="115"/>
        <v>179</v>
      </c>
      <c r="AH37" s="1440">
        <f t="shared" si="115"/>
        <v>191</v>
      </c>
      <c r="AI37" s="1441">
        <f t="shared" si="115"/>
        <v>187</v>
      </c>
      <c r="AJ37" s="1531">
        <f t="shared" si="115"/>
        <v>183</v>
      </c>
      <c r="AK37" s="1440">
        <f t="shared" si="115"/>
        <v>181</v>
      </c>
      <c r="AL37" s="1440">
        <f t="shared" si="115"/>
        <v>172</v>
      </c>
      <c r="AM37" s="1689">
        <f t="shared" si="115"/>
        <v>219</v>
      </c>
      <c r="AN37" s="1691">
        <f t="shared" si="115"/>
        <v>360</v>
      </c>
      <c r="AO37" s="1689">
        <f t="shared" si="115"/>
        <v>355</v>
      </c>
      <c r="AP37" s="1760">
        <f t="shared" si="115"/>
        <v>350</v>
      </c>
      <c r="AQ37" s="1760">
        <f t="shared" si="115"/>
        <v>331</v>
      </c>
      <c r="AR37" s="1773">
        <f t="shared" si="115"/>
        <v>349</v>
      </c>
      <c r="AS37" s="1760">
        <f t="shared" si="115"/>
        <v>353</v>
      </c>
      <c r="AT37" s="1760">
        <f t="shared" ref="AT37:AU37" si="116">AT28-AT31-AT32</f>
        <v>362</v>
      </c>
      <c r="AU37" s="1760">
        <f t="shared" si="116"/>
        <v>378</v>
      </c>
      <c r="AV37" s="1773">
        <f t="shared" ref="AV37:AY37" si="117">AV33-AV31</f>
        <v>361.57669177524429</v>
      </c>
      <c r="AW37" s="1760">
        <f t="shared" si="117"/>
        <v>366.33598038552498</v>
      </c>
      <c r="AX37" s="1760">
        <f t="shared" si="117"/>
        <v>372.07282480923095</v>
      </c>
      <c r="AY37" s="1761">
        <f t="shared" si="117"/>
        <v>365.86384604837377</v>
      </c>
      <c r="AZ37" s="246"/>
      <c r="BA37" s="764">
        <f>SUM(D37:G37)</f>
        <v>1328</v>
      </c>
      <c r="BB37" s="764">
        <f>SUM(H37:K37)</f>
        <v>1199</v>
      </c>
      <c r="BC37" s="764">
        <f>SUM(L37:O37)</f>
        <v>695</v>
      </c>
      <c r="BD37" s="764">
        <f>SUM(P37:S37)</f>
        <v>574</v>
      </c>
      <c r="BE37" s="763">
        <f>SUM(T37:W37)</f>
        <v>611</v>
      </c>
      <c r="BF37" s="764">
        <f>SUM(X37:AA37)</f>
        <v>594</v>
      </c>
      <c r="BG37" s="764">
        <f>SUM(AB37:AE37)</f>
        <v>624</v>
      </c>
      <c r="BH37" s="763">
        <f>SUM(AF37:AI37)</f>
        <v>733</v>
      </c>
      <c r="BI37" s="763">
        <f>SUM(AJ37:AM37)</f>
        <v>755</v>
      </c>
      <c r="BJ37" s="764">
        <f>SUM(AN37:AQ37)</f>
        <v>1396</v>
      </c>
      <c r="BK37" s="764">
        <f t="shared" ref="BK37:BL37" si="118">BK33-BK31</f>
        <v>1442</v>
      </c>
      <c r="BL37" s="764">
        <f t="shared" si="118"/>
        <v>1465.8493430183739</v>
      </c>
      <c r="BM37" s="764">
        <f t="shared" ref="BM37" si="119">BM33-BM31</f>
        <v>1510.1886705741374</v>
      </c>
      <c r="BN37" s="765">
        <f t="shared" ref="BN37" si="120">BN33-BN31</f>
        <v>1550.5386246769754</v>
      </c>
      <c r="BR37" s="1472"/>
    </row>
    <row r="38" spans="1:76" ht="14.25" hidden="1" customHeight="1" outlineLevel="1">
      <c r="A38" s="8"/>
      <c r="B38" s="451" t="s">
        <v>489</v>
      </c>
      <c r="C38" s="1539"/>
      <c r="D38" s="39"/>
      <c r="E38" s="37"/>
      <c r="F38" s="42"/>
      <c r="G38" s="38"/>
      <c r="H38" s="39"/>
      <c r="I38" s="37"/>
      <c r="J38" s="42"/>
      <c r="K38" s="38"/>
      <c r="L38" s="39"/>
      <c r="M38" s="37"/>
      <c r="N38" s="42"/>
      <c r="O38" s="38"/>
      <c r="P38" s="39"/>
      <c r="Q38" s="37"/>
      <c r="R38" s="42"/>
      <c r="S38" s="38"/>
      <c r="T38" s="39"/>
      <c r="U38" s="37"/>
      <c r="V38" s="42"/>
      <c r="W38" s="38"/>
      <c r="X38" s="39"/>
      <c r="Y38" s="37"/>
      <c r="Z38" s="42"/>
      <c r="AA38" s="38"/>
      <c r="AB38" s="39"/>
      <c r="AC38" s="37"/>
      <c r="AD38" s="42"/>
      <c r="AE38" s="38"/>
      <c r="AF38" s="39"/>
      <c r="AG38" s="37"/>
      <c r="AH38" s="42"/>
      <c r="AI38" s="38"/>
      <c r="AJ38" s="1497">
        <f t="shared" ref="AJ38:AY38" si="121">AJ37/AJ8</f>
        <v>0.12474437627811862</v>
      </c>
      <c r="AK38" s="1530">
        <f t="shared" si="121"/>
        <v>0.1201859229747676</v>
      </c>
      <c r="AL38" s="1530">
        <f t="shared" si="121"/>
        <v>0.11300919842312747</v>
      </c>
      <c r="AM38" s="1530">
        <f t="shared" si="121"/>
        <v>0.13636363636363635</v>
      </c>
      <c r="AN38" s="1682">
        <f t="shared" si="121"/>
        <v>0.16187050359712229</v>
      </c>
      <c r="AO38" s="1683">
        <f t="shared" si="121"/>
        <v>0.15010570824524314</v>
      </c>
      <c r="AP38" s="1754">
        <f t="shared" si="121"/>
        <v>0.14175779667881733</v>
      </c>
      <c r="AQ38" s="1754">
        <f t="shared" si="121"/>
        <v>0.13565573770491804</v>
      </c>
      <c r="AR38" s="1765">
        <f t="shared" si="121"/>
        <v>0.15784712799638173</v>
      </c>
      <c r="AS38" s="1815">
        <f t="shared" si="121"/>
        <v>0.1603088101725704</v>
      </c>
      <c r="AT38" s="1815">
        <f t="shared" ref="AT38:AU38" si="122">AT37/AT8</f>
        <v>0.15165479681608715</v>
      </c>
      <c r="AU38" s="1815">
        <f t="shared" si="122"/>
        <v>0.15390879478827363</v>
      </c>
      <c r="AV38" s="1765">
        <f t="shared" si="121"/>
        <v>0.15546470077790858</v>
      </c>
      <c r="AW38" s="1815">
        <f t="shared" si="121"/>
        <v>0.15228926963932271</v>
      </c>
      <c r="AX38" s="1815">
        <f t="shared" si="121"/>
        <v>0.14860494664110085</v>
      </c>
      <c r="AY38" s="1755">
        <f t="shared" si="121"/>
        <v>0.14838842732619009</v>
      </c>
      <c r="AZ38" s="246"/>
      <c r="BA38" s="1504">
        <f t="shared" ref="BA38:BL38" si="123">BA37/BA8</f>
        <v>0.21009333966144597</v>
      </c>
      <c r="BB38" s="1504">
        <f t="shared" si="123"/>
        <v>0.22028293220650377</v>
      </c>
      <c r="BC38" s="1504">
        <f t="shared" si="123"/>
        <v>0.19749928957090082</v>
      </c>
      <c r="BD38" s="1504">
        <f t="shared" si="123"/>
        <v>0.13039527487505678</v>
      </c>
      <c r="BE38" s="1674">
        <f t="shared" si="123"/>
        <v>0.14568431092036241</v>
      </c>
      <c r="BF38" s="1673">
        <f t="shared" si="123"/>
        <v>0.13630105553005967</v>
      </c>
      <c r="BG38" s="1673">
        <f t="shared" si="123"/>
        <v>0.129595015576324</v>
      </c>
      <c r="BH38" s="1850">
        <f t="shared" si="123"/>
        <v>0.12980343545245263</v>
      </c>
      <c r="BI38" s="1850">
        <f t="shared" si="123"/>
        <v>0.12375020488444517</v>
      </c>
      <c r="BJ38" s="1848">
        <f t="shared" si="123"/>
        <v>0.14697831122341545</v>
      </c>
      <c r="BK38" s="1848">
        <f t="shared" si="123"/>
        <v>0.15579083837510804</v>
      </c>
      <c r="BL38" s="1848">
        <f t="shared" si="123"/>
        <v>0.15110819592307997</v>
      </c>
      <c r="BM38" s="1848">
        <f t="shared" ref="BM38" si="124">BM37/BM8</f>
        <v>0.14753190191491772</v>
      </c>
      <c r="BN38" s="1849">
        <f t="shared" ref="BN38" si="125">BN37/BN8</f>
        <v>0.14441151075883027</v>
      </c>
      <c r="BR38" s="1472"/>
    </row>
    <row r="39" spans="1:76" ht="12" customHeight="1" collapsed="1">
      <c r="A39" s="8"/>
      <c r="B39" s="451"/>
      <c r="C39" s="1539"/>
      <c r="D39" s="39"/>
      <c r="E39" s="37"/>
      <c r="F39" s="42"/>
      <c r="G39" s="38"/>
      <c r="H39" s="39"/>
      <c r="I39" s="37"/>
      <c r="J39" s="42"/>
      <c r="K39" s="38"/>
      <c r="L39" s="39"/>
      <c r="M39" s="37"/>
      <c r="N39" s="42"/>
      <c r="O39" s="38"/>
      <c r="P39" s="39"/>
      <c r="Q39" s="37"/>
      <c r="R39" s="42"/>
      <c r="S39" s="38"/>
      <c r="T39" s="39"/>
      <c r="U39" s="37"/>
      <c r="V39" s="42"/>
      <c r="W39" s="38"/>
      <c r="X39" s="39"/>
      <c r="Y39" s="37"/>
      <c r="Z39" s="42"/>
      <c r="AA39" s="38"/>
      <c r="AB39" s="39"/>
      <c r="AC39" s="37"/>
      <c r="AD39" s="42"/>
      <c r="AE39" s="38"/>
      <c r="AF39" s="39"/>
      <c r="AG39" s="37"/>
      <c r="AH39" s="42"/>
      <c r="AI39" s="38"/>
      <c r="AJ39" s="1595"/>
      <c r="AK39" s="1596"/>
      <c r="AL39" s="1596"/>
      <c r="AM39" s="1596"/>
      <c r="AN39" s="1682"/>
      <c r="AO39" s="1683"/>
      <c r="AP39" s="1754"/>
      <c r="AQ39" s="1754"/>
      <c r="AR39" s="1765"/>
      <c r="AS39" s="1815"/>
      <c r="AT39" s="1815"/>
      <c r="AU39" s="1815"/>
      <c r="AV39" s="1765"/>
      <c r="AW39" s="1815"/>
      <c r="AX39" s="1815"/>
      <c r="AY39" s="1755"/>
      <c r="AZ39" s="246"/>
      <c r="BA39" s="1572"/>
      <c r="BB39" s="1572"/>
      <c r="BC39" s="1572"/>
      <c r="BD39" s="1572"/>
      <c r="BE39" s="1674"/>
      <c r="BF39" s="1673"/>
      <c r="BG39" s="1673"/>
      <c r="BH39" s="1850"/>
      <c r="BI39" s="1850"/>
      <c r="BJ39" s="1848"/>
      <c r="BK39" s="1848"/>
      <c r="BL39" s="1848"/>
      <c r="BM39" s="1848"/>
      <c r="BN39" s="1849"/>
      <c r="BR39" s="1472"/>
    </row>
    <row r="40" spans="1:76" ht="14.25" hidden="1" customHeight="1">
      <c r="A40" s="8"/>
      <c r="B40" s="781"/>
      <c r="C40" s="1539"/>
      <c r="D40" s="39"/>
      <c r="E40" s="37"/>
      <c r="F40" s="42"/>
      <c r="G40" s="38"/>
      <c r="H40" s="39"/>
      <c r="I40" s="37"/>
      <c r="J40" s="42"/>
      <c r="K40" s="38"/>
      <c r="L40" s="39"/>
      <c r="M40" s="37"/>
      <c r="N40" s="42"/>
      <c r="O40" s="38"/>
      <c r="P40" s="39"/>
      <c r="Q40" s="37"/>
      <c r="R40" s="42"/>
      <c r="S40" s="38"/>
      <c r="T40" s="39"/>
      <c r="U40" s="37"/>
      <c r="V40" s="42"/>
      <c r="W40" s="38"/>
      <c r="X40" s="39"/>
      <c r="Y40" s="37"/>
      <c r="Z40" s="42"/>
      <c r="AA40" s="38"/>
      <c r="AB40" s="39"/>
      <c r="AC40" s="37"/>
      <c r="AD40" s="42"/>
      <c r="AE40" s="38"/>
      <c r="AF40" s="39"/>
      <c r="AG40" s="37"/>
      <c r="AH40" s="42"/>
      <c r="AI40" s="38"/>
      <c r="AJ40" s="39"/>
      <c r="AK40" s="37"/>
      <c r="AL40" s="42"/>
      <c r="AM40" s="37"/>
      <c r="AN40" s="39"/>
      <c r="AO40" s="37"/>
      <c r="AP40" s="42"/>
      <c r="AQ40" s="37"/>
      <c r="AR40" s="39"/>
      <c r="AS40" s="37"/>
      <c r="AT40" s="42"/>
      <c r="AU40" s="37"/>
      <c r="AV40" s="39"/>
      <c r="AW40" s="37"/>
      <c r="AX40" s="37"/>
      <c r="AY40" s="38"/>
      <c r="AZ40" s="246"/>
      <c r="BA40" s="1504"/>
      <c r="BB40" s="1504"/>
      <c r="BC40" s="1504"/>
      <c r="BD40" s="1504"/>
      <c r="BE40" s="1674"/>
      <c r="BF40" s="1673"/>
      <c r="BG40" s="1673"/>
      <c r="BH40" s="1850"/>
      <c r="BI40" s="1850"/>
      <c r="BJ40" s="1848"/>
      <c r="BK40" s="1848"/>
      <c r="BL40" s="1848"/>
      <c r="BM40" s="1848"/>
      <c r="BN40" s="1849"/>
      <c r="BR40" s="1472"/>
    </row>
    <row r="41" spans="1:76" ht="14.25" customHeight="1">
      <c r="A41" s="8"/>
      <c r="B41" s="776" t="s">
        <v>250</v>
      </c>
      <c r="C41" s="1539"/>
      <c r="D41" s="770">
        <f>113+277</f>
        <v>390</v>
      </c>
      <c r="E41" s="771">
        <f>111+293</f>
        <v>404</v>
      </c>
      <c r="F41" s="771">
        <f>94+305</f>
        <v>399</v>
      </c>
      <c r="G41" s="772">
        <f>107+314</f>
        <v>421</v>
      </c>
      <c r="H41" s="770">
        <f>107+295</f>
        <v>402</v>
      </c>
      <c r="I41" s="771">
        <f>111+327</f>
        <v>438</v>
      </c>
      <c r="J41" s="771">
        <f>110+706+383</f>
        <v>1199</v>
      </c>
      <c r="K41" s="772">
        <f>72+156+8</f>
        <v>236</v>
      </c>
      <c r="L41" s="770">
        <f>60+169</f>
        <v>229</v>
      </c>
      <c r="M41" s="771">
        <f>57+157</f>
        <v>214</v>
      </c>
      <c r="N41" s="771">
        <f>81+159</f>
        <v>240</v>
      </c>
      <c r="O41" s="772">
        <f>73+296</f>
        <v>369</v>
      </c>
      <c r="P41" s="770">
        <f>65+188</f>
        <v>253</v>
      </c>
      <c r="Q41" s="771">
        <f>64+173</f>
        <v>237</v>
      </c>
      <c r="R41" s="771">
        <f>63+162</f>
        <v>225</v>
      </c>
      <c r="S41" s="772">
        <f>73+178</f>
        <v>251</v>
      </c>
      <c r="T41" s="770">
        <f>65+169</f>
        <v>234</v>
      </c>
      <c r="U41" s="771">
        <f>73+156</f>
        <v>229</v>
      </c>
      <c r="V41" s="771">
        <f>74+145</f>
        <v>219</v>
      </c>
      <c r="W41" s="772">
        <f>73+163</f>
        <v>236</v>
      </c>
      <c r="X41" s="770">
        <v>222</v>
      </c>
      <c r="Y41" s="771">
        <v>231</v>
      </c>
      <c r="Z41" s="771">
        <v>236</v>
      </c>
      <c r="AA41" s="772">
        <v>288</v>
      </c>
      <c r="AB41" s="770">
        <v>222</v>
      </c>
      <c r="AC41" s="771">
        <v>211</v>
      </c>
      <c r="AD41" s="771">
        <v>239</v>
      </c>
      <c r="AE41" s="772">
        <v>224</v>
      </c>
      <c r="AF41" s="770">
        <v>213</v>
      </c>
      <c r="AG41" s="771">
        <v>216</v>
      </c>
      <c r="AH41" s="771">
        <v>211</v>
      </c>
      <c r="AI41" s="772">
        <v>198</v>
      </c>
      <c r="AJ41" s="1528">
        <v>210</v>
      </c>
      <c r="AK41" s="1529">
        <v>198</v>
      </c>
      <c r="AL41" s="1529">
        <v>191</v>
      </c>
      <c r="AM41" s="771">
        <f>413</f>
        <v>413</v>
      </c>
      <c r="AN41" s="1528">
        <v>296</v>
      </c>
      <c r="AO41" s="1529">
        <v>283</v>
      </c>
      <c r="AP41" s="1529">
        <v>270</v>
      </c>
      <c r="AQ41" s="771">
        <v>292</v>
      </c>
      <c r="AR41" s="1528">
        <v>266</v>
      </c>
      <c r="AS41" s="1529">
        <v>263</v>
      </c>
      <c r="AT41" s="1845">
        <v>292</v>
      </c>
      <c r="AU41" s="771">
        <v>269</v>
      </c>
      <c r="AV41" s="1793">
        <f t="shared" ref="AV41:AY41" si="126">AV46+AV45</f>
        <v>214.13220887622148</v>
      </c>
      <c r="AW41" s="1787">
        <f t="shared" si="126"/>
        <v>216.70199425174835</v>
      </c>
      <c r="AX41" s="1787">
        <f t="shared" si="126"/>
        <v>219.79961242726029</v>
      </c>
      <c r="AY41" s="1788">
        <f t="shared" si="126"/>
        <v>216.44706457333498</v>
      </c>
      <c r="AZ41" s="246"/>
      <c r="BA41" s="40">
        <f>SUM(D41:G41)</f>
        <v>1614</v>
      </c>
      <c r="BB41" s="40">
        <f>SUM(H41:K41)</f>
        <v>2275</v>
      </c>
      <c r="BC41" s="40">
        <f>SUM(L41:O41)</f>
        <v>1052</v>
      </c>
      <c r="BD41" s="40">
        <f>SUM(P41:S41)</f>
        <v>966</v>
      </c>
      <c r="BE41" s="1546">
        <f>SUM(T41:W41)</f>
        <v>918</v>
      </c>
      <c r="BF41" s="1523">
        <f>SUM(X41:AA41)</f>
        <v>977</v>
      </c>
      <c r="BG41" s="1523">
        <f>SUM(AB41:AE41)</f>
        <v>896</v>
      </c>
      <c r="BH41" s="1546">
        <f>SUM(AF41:AI41)</f>
        <v>838</v>
      </c>
      <c r="BI41" s="1546">
        <f>SUM(AJ41:AM41)</f>
        <v>1012</v>
      </c>
      <c r="BJ41" s="764">
        <f>SUM(AN41:AQ41)</f>
        <v>1141</v>
      </c>
      <c r="BK41" s="764">
        <f>BK46+BK45</f>
        <v>1090</v>
      </c>
      <c r="BL41" s="764">
        <f t="shared" ref="BL41" si="127">BL46+BL45</f>
        <v>867.08088012856501</v>
      </c>
      <c r="BM41" s="764">
        <f t="shared" ref="BM41" si="128">BM46+BM45</f>
        <v>891.0219698257448</v>
      </c>
      <c r="BN41" s="765">
        <f t="shared" ref="BN41" si="129">BN46+BN45</f>
        <v>912.80899104834248</v>
      </c>
      <c r="BR41" s="1472"/>
    </row>
    <row r="42" spans="1:76" ht="14.25" customHeight="1">
      <c r="A42" s="8"/>
      <c r="B42" s="451" t="s">
        <v>489</v>
      </c>
      <c r="C42" s="1539"/>
      <c r="D42" s="1527">
        <f t="shared" ref="D42:AY42" si="130">D41/D8</f>
        <v>0.26694045174537989</v>
      </c>
      <c r="E42" s="1504">
        <f t="shared" si="130"/>
        <v>0.26267880364109231</v>
      </c>
      <c r="F42" s="1504">
        <f t="shared" si="130"/>
        <v>0.24270072992700731</v>
      </c>
      <c r="G42" s="1526">
        <f t="shared" si="130"/>
        <v>0.25089392133492255</v>
      </c>
      <c r="H42" s="1527">
        <f t="shared" si="130"/>
        <v>0.26464779460171167</v>
      </c>
      <c r="I42" s="1504">
        <f t="shared" si="130"/>
        <v>0.2874015748031496</v>
      </c>
      <c r="J42" s="1504">
        <f t="shared" si="130"/>
        <v>0.87263464337700147</v>
      </c>
      <c r="K42" s="1526">
        <f t="shared" si="130"/>
        <v>0.2300194931773879</v>
      </c>
      <c r="L42" s="1527">
        <f t="shared" si="130"/>
        <v>0.35503875968992249</v>
      </c>
      <c r="M42" s="1504">
        <f t="shared" si="130"/>
        <v>0.2600243013365735</v>
      </c>
      <c r="N42" s="1504">
        <f t="shared" si="130"/>
        <v>0.24390243902439024</v>
      </c>
      <c r="O42" s="1526">
        <f t="shared" si="130"/>
        <v>0.3458294283036551</v>
      </c>
      <c r="P42" s="1527">
        <f t="shared" si="130"/>
        <v>0.23317972350230415</v>
      </c>
      <c r="Q42" s="1504">
        <f t="shared" si="130"/>
        <v>0.21179624664879357</v>
      </c>
      <c r="R42" s="1504">
        <f t="shared" si="130"/>
        <v>0.20089285714285715</v>
      </c>
      <c r="S42" s="1526">
        <f t="shared" si="130"/>
        <v>0.23283858998144713</v>
      </c>
      <c r="T42" s="1527">
        <f t="shared" si="130"/>
        <v>0.21626617375231053</v>
      </c>
      <c r="U42" s="1504">
        <f t="shared" si="130"/>
        <v>0.20428189116859946</v>
      </c>
      <c r="V42" s="1504">
        <f t="shared" si="130"/>
        <v>0.20660377358490567</v>
      </c>
      <c r="W42" s="1526">
        <f t="shared" si="130"/>
        <v>0.25349087003222343</v>
      </c>
      <c r="X42" s="1527">
        <f t="shared" si="130"/>
        <v>0.22699386503067484</v>
      </c>
      <c r="Y42" s="1504">
        <f t="shared" si="130"/>
        <v>0.21115173674588666</v>
      </c>
      <c r="Z42" s="1504">
        <f t="shared" si="130"/>
        <v>0.20170940170940171</v>
      </c>
      <c r="AA42" s="1526">
        <f t="shared" si="130"/>
        <v>0.25806451612903225</v>
      </c>
      <c r="AB42" s="1527">
        <f t="shared" si="130"/>
        <v>0.20460829493087557</v>
      </c>
      <c r="AC42" s="1504">
        <f t="shared" si="130"/>
        <v>0.17760942760942761</v>
      </c>
      <c r="AD42" s="1504">
        <f t="shared" si="130"/>
        <v>0.19135308246597277</v>
      </c>
      <c r="AE42" s="1526">
        <f t="shared" si="130"/>
        <v>0.17324052590873937</v>
      </c>
      <c r="AF42" s="1527">
        <f t="shared" si="130"/>
        <v>0.1709470304975923</v>
      </c>
      <c r="AG42" s="1504">
        <f t="shared" si="130"/>
        <v>0.16011860637509265</v>
      </c>
      <c r="AH42" s="1504">
        <f t="shared" si="130"/>
        <v>0.13927392739273928</v>
      </c>
      <c r="AI42" s="1526">
        <f t="shared" si="130"/>
        <v>0.12882238126219908</v>
      </c>
      <c r="AJ42" s="1527">
        <f t="shared" si="130"/>
        <v>0.14314928425357873</v>
      </c>
      <c r="AK42" s="1504">
        <f t="shared" si="130"/>
        <v>0.13147410358565736</v>
      </c>
      <c r="AL42" s="1504">
        <f t="shared" si="130"/>
        <v>0.12549277266754272</v>
      </c>
      <c r="AM42" s="1673">
        <f t="shared" si="130"/>
        <v>0.25716064757160645</v>
      </c>
      <c r="AN42" s="1674">
        <f t="shared" si="130"/>
        <v>0.13309352517985612</v>
      </c>
      <c r="AO42" s="1673">
        <f t="shared" si="130"/>
        <v>0.11966173361522199</v>
      </c>
      <c r="AP42" s="1741">
        <f t="shared" si="130"/>
        <v>0.10935601458080195</v>
      </c>
      <c r="AQ42" s="1741">
        <f t="shared" si="130"/>
        <v>0.11967213114754098</v>
      </c>
      <c r="AR42" s="1743">
        <f t="shared" si="130"/>
        <v>0.12030755314337403</v>
      </c>
      <c r="AS42" s="1741">
        <f t="shared" si="130"/>
        <v>0.11943687556766576</v>
      </c>
      <c r="AT42" s="1848">
        <f t="shared" ref="AT42:AU42" si="131">AT41/AT8</f>
        <v>0.1223292836196062</v>
      </c>
      <c r="AU42" s="1848">
        <f t="shared" si="131"/>
        <v>0.10952768729641693</v>
      </c>
      <c r="AV42" s="1850">
        <f t="shared" si="130"/>
        <v>9.2068987125274726E-2</v>
      </c>
      <c r="AW42" s="1848">
        <f t="shared" si="130"/>
        <v>9.008503177671337E-2</v>
      </c>
      <c r="AX42" s="1848">
        <f t="shared" si="130"/>
        <v>8.7787410148093409E-2</v>
      </c>
      <c r="AY42" s="1849">
        <f t="shared" si="130"/>
        <v>8.7787410148093409E-2</v>
      </c>
      <c r="AZ42" s="246"/>
      <c r="BA42" s="40">
        <f t="shared" ref="BA42:BL42" si="132">BA41/BA8</f>
        <v>0.25533934504034173</v>
      </c>
      <c r="BB42" s="40">
        <f t="shared" si="132"/>
        <v>0.41796803233510932</v>
      </c>
      <c r="BC42" s="40">
        <f t="shared" si="132"/>
        <v>0.29894856493321964</v>
      </c>
      <c r="BD42" s="40">
        <f t="shared" si="132"/>
        <v>0.21944570649704681</v>
      </c>
      <c r="BE42" s="1678">
        <f t="shared" si="132"/>
        <v>0.21888412017167383</v>
      </c>
      <c r="BF42" s="1677">
        <f t="shared" si="132"/>
        <v>0.22418540614960991</v>
      </c>
      <c r="BG42" s="1677">
        <f t="shared" si="132"/>
        <v>0.18608515057113187</v>
      </c>
      <c r="BH42" s="1752">
        <f t="shared" si="132"/>
        <v>0.14839737913936604</v>
      </c>
      <c r="BI42" s="1752">
        <f t="shared" si="132"/>
        <v>0.16587444681199803</v>
      </c>
      <c r="BJ42" s="1815">
        <f t="shared" si="132"/>
        <v>0.12013055380080016</v>
      </c>
      <c r="BK42" s="1815">
        <f t="shared" si="132"/>
        <v>0.11776145203111495</v>
      </c>
      <c r="BL42" s="1815">
        <f t="shared" si="132"/>
        <v>8.9383692901093381E-2</v>
      </c>
      <c r="BM42" s="1815">
        <f t="shared" ref="BM42" si="133">BM41/BM8</f>
        <v>8.7044862948410837E-2</v>
      </c>
      <c r="BN42" s="1755">
        <f t="shared" ref="BN42" si="134">BN41/BN8</f>
        <v>8.5015699276112439E-2</v>
      </c>
      <c r="BR42" s="1472"/>
    </row>
    <row r="43" spans="1:76" s="761" customFormat="1" ht="3.75" customHeight="1">
      <c r="B43" s="776"/>
      <c r="C43" s="1478"/>
      <c r="D43" s="770"/>
      <c r="E43" s="771"/>
      <c r="F43" s="771"/>
      <c r="G43" s="772"/>
      <c r="H43" s="770"/>
      <c r="I43" s="771"/>
      <c r="J43" s="771"/>
      <c r="K43" s="772"/>
      <c r="L43" s="770"/>
      <c r="M43" s="771"/>
      <c r="N43" s="771"/>
      <c r="O43" s="772"/>
      <c r="P43" s="770"/>
      <c r="Q43" s="771"/>
      <c r="R43" s="771"/>
      <c r="S43" s="772"/>
      <c r="T43" s="770"/>
      <c r="U43" s="771"/>
      <c r="V43" s="771"/>
      <c r="W43" s="772"/>
      <c r="X43" s="770"/>
      <c r="Y43" s="771"/>
      <c r="Z43" s="771"/>
      <c r="AA43" s="772"/>
      <c r="AB43" s="770"/>
      <c r="AC43" s="771"/>
      <c r="AD43" s="771"/>
      <c r="AE43" s="772"/>
      <c r="AF43" s="770"/>
      <c r="AG43" s="771"/>
      <c r="AH43" s="771"/>
      <c r="AI43" s="772"/>
      <c r="AJ43" s="770"/>
      <c r="AK43" s="771"/>
      <c r="AL43" s="771"/>
      <c r="AM43" s="771"/>
      <c r="AN43" s="770"/>
      <c r="AO43" s="771"/>
      <c r="AP43" s="771"/>
      <c r="AQ43" s="771"/>
      <c r="AR43" s="770"/>
      <c r="AS43" s="771"/>
      <c r="AT43" s="771"/>
      <c r="AU43" s="771"/>
      <c r="AV43" s="1473"/>
      <c r="AW43" s="1437"/>
      <c r="AX43" s="1437"/>
      <c r="AY43" s="1438"/>
      <c r="AZ43" s="775"/>
      <c r="BA43" s="764"/>
      <c r="BB43" s="764"/>
      <c r="BC43" s="764"/>
      <c r="BD43" s="764"/>
      <c r="BE43" s="763"/>
      <c r="BF43" s="764"/>
      <c r="BG43" s="764"/>
      <c r="BH43" s="763"/>
      <c r="BI43" s="763"/>
      <c r="BJ43" s="764"/>
      <c r="BK43" s="764"/>
      <c r="BL43" s="764"/>
      <c r="BM43" s="764"/>
      <c r="BN43" s="765"/>
      <c r="BR43" s="766"/>
      <c r="BS43"/>
      <c r="BT43"/>
      <c r="BU43"/>
      <c r="BV43"/>
      <c r="BW43"/>
      <c r="BX43"/>
    </row>
    <row r="44" spans="1:76" ht="14.25" hidden="1" customHeight="1" outlineLevel="1">
      <c r="A44" s="8"/>
      <c r="B44" s="777" t="s">
        <v>502</v>
      </c>
      <c r="C44" s="820"/>
      <c r="D44" s="27"/>
      <c r="E44" s="28"/>
      <c r="F44" s="28"/>
      <c r="G44" s="29"/>
      <c r="H44" s="27"/>
      <c r="I44" s="28"/>
      <c r="J44" s="28"/>
      <c r="K44" s="29"/>
      <c r="L44" s="27"/>
      <c r="M44" s="28"/>
      <c r="N44" s="28"/>
      <c r="O44" s="29"/>
      <c r="P44" s="27"/>
      <c r="Q44" s="28"/>
      <c r="R44" s="28"/>
      <c r="S44" s="29"/>
      <c r="T44" s="27"/>
      <c r="U44" s="28"/>
      <c r="V44" s="28"/>
      <c r="W44" s="29"/>
      <c r="X44" s="27"/>
      <c r="Y44" s="28"/>
      <c r="Z44" s="28"/>
      <c r="AA44" s="29"/>
      <c r="AB44" s="27">
        <v>13</v>
      </c>
      <c r="AC44" s="28">
        <v>15</v>
      </c>
      <c r="AD44" s="28">
        <v>16</v>
      </c>
      <c r="AE44" s="29">
        <v>23</v>
      </c>
      <c r="AF44" s="27">
        <v>22</v>
      </c>
      <c r="AG44" s="28">
        <v>30</v>
      </c>
      <c r="AH44" s="28">
        <v>27</v>
      </c>
      <c r="AI44" s="29">
        <v>24</v>
      </c>
      <c r="AJ44" s="27">
        <v>25</v>
      </c>
      <c r="AK44" s="28">
        <v>24</v>
      </c>
      <c r="AL44" s="28">
        <v>24</v>
      </c>
      <c r="AM44" s="28">
        <v>83</v>
      </c>
      <c r="AN44" s="27">
        <v>52</v>
      </c>
      <c r="AO44" s="28">
        <v>38</v>
      </c>
      <c r="AP44" s="28">
        <v>38</v>
      </c>
      <c r="AQ44" s="28">
        <v>38</v>
      </c>
      <c r="AR44" s="27">
        <v>30</v>
      </c>
      <c r="AS44" s="28">
        <v>32</v>
      </c>
      <c r="AT44" s="28">
        <v>31</v>
      </c>
      <c r="AU44" s="28">
        <v>33</v>
      </c>
      <c r="AV44" s="763">
        <f>+AU44</f>
        <v>33</v>
      </c>
      <c r="AW44" s="764">
        <f t="shared" ref="AW44" si="135">+AV44</f>
        <v>33</v>
      </c>
      <c r="AX44" s="764">
        <f>+AW44</f>
        <v>33</v>
      </c>
      <c r="AY44" s="765">
        <f t="shared" ref="AY44" si="136">+AX44</f>
        <v>33</v>
      </c>
      <c r="AZ44" s="246"/>
      <c r="BA44" s="1076">
        <f>SUM(D44:G44)</f>
        <v>0</v>
      </c>
      <c r="BB44" s="1076">
        <f>SUM(H44:K44)</f>
        <v>0</v>
      </c>
      <c r="BC44" s="1076">
        <f>SUM(L44:O44)</f>
        <v>0</v>
      </c>
      <c r="BD44" s="1076">
        <f>SUM(P44:S44)</f>
        <v>0</v>
      </c>
      <c r="BE44" s="1681">
        <f>SUM(T44:W44)</f>
        <v>0</v>
      </c>
      <c r="BF44" s="1679">
        <f>SUM(X44:AA44)</f>
        <v>0</v>
      </c>
      <c r="BG44" s="1679">
        <f>SUM(AB44:AE44)</f>
        <v>67</v>
      </c>
      <c r="BH44" s="1777">
        <f>SUM(AF44:AI44)</f>
        <v>103</v>
      </c>
      <c r="BI44" s="1777">
        <f>SUM(AJ44:AM44)</f>
        <v>156</v>
      </c>
      <c r="BJ44" s="764">
        <f>SUM(AN44:AQ44)</f>
        <v>166</v>
      </c>
      <c r="BK44" s="764">
        <f>SUM(AR44:AU44)</f>
        <v>126</v>
      </c>
      <c r="BL44" s="764">
        <f>SUM(AV44:AY44)</f>
        <v>132</v>
      </c>
      <c r="BM44" s="764">
        <f>BL44</f>
        <v>132</v>
      </c>
      <c r="BN44" s="765">
        <f>BM44</f>
        <v>132</v>
      </c>
      <c r="BR44" s="1472"/>
    </row>
    <row r="45" spans="1:76" s="817" customFormat="1" ht="14.25" hidden="1" customHeight="1" outlineLevel="1">
      <c r="B45" s="779" t="s">
        <v>491</v>
      </c>
      <c r="C45" s="1535"/>
      <c r="D45" s="754">
        <v>0</v>
      </c>
      <c r="E45" s="755">
        <v>0</v>
      </c>
      <c r="F45" s="755">
        <v>0</v>
      </c>
      <c r="G45" s="756">
        <v>0</v>
      </c>
      <c r="H45" s="754">
        <v>0</v>
      </c>
      <c r="I45" s="755">
        <v>0</v>
      </c>
      <c r="J45" s="755">
        <v>0</v>
      </c>
      <c r="K45" s="756">
        <v>0</v>
      </c>
      <c r="L45" s="754">
        <f>76+12+9</f>
        <v>97</v>
      </c>
      <c r="M45" s="755">
        <f>1+72+7+11</f>
        <v>91</v>
      </c>
      <c r="N45" s="755">
        <f>1-2+81+10-3</f>
        <v>87</v>
      </c>
      <c r="O45" s="756">
        <f>9+73+7+35+69</f>
        <v>193</v>
      </c>
      <c r="P45" s="754">
        <f>-2+71+19+15</f>
        <v>103</v>
      </c>
      <c r="Q45" s="755">
        <f>78+11-10</f>
        <v>79</v>
      </c>
      <c r="R45" s="755">
        <f>66+1+11</f>
        <v>78</v>
      </c>
      <c r="S45" s="756">
        <f>66+12+9</f>
        <v>87</v>
      </c>
      <c r="T45" s="754">
        <f>70+10+6</f>
        <v>86</v>
      </c>
      <c r="U45" s="755">
        <f>69+1+8</f>
        <v>78</v>
      </c>
      <c r="V45" s="755">
        <f>68+2+8</f>
        <v>78</v>
      </c>
      <c r="W45" s="756">
        <f>67+1+17+2+5</f>
        <v>92</v>
      </c>
      <c r="X45" s="754">
        <f>64+6+5</f>
        <v>75</v>
      </c>
      <c r="Y45" s="755">
        <f>64+2+13</f>
        <v>79</v>
      </c>
      <c r="Z45" s="755">
        <f>61+4+10</f>
        <v>75</v>
      </c>
      <c r="AA45" s="756">
        <f>64+55+8</f>
        <v>127</v>
      </c>
      <c r="AB45" s="754">
        <f>64+2+3</f>
        <v>69</v>
      </c>
      <c r="AC45" s="755">
        <f>63-4+4</f>
        <v>63</v>
      </c>
      <c r="AD45" s="755">
        <f>64+16+3</f>
        <v>83</v>
      </c>
      <c r="AE45" s="756">
        <f>41+3+7</f>
        <v>51</v>
      </c>
      <c r="AF45" s="754">
        <f>41+1+8</f>
        <v>50</v>
      </c>
      <c r="AG45" s="755">
        <f>41+2</f>
        <v>43</v>
      </c>
      <c r="AH45" s="755">
        <f>39+1</f>
        <v>40</v>
      </c>
      <c r="AI45" s="756">
        <f>31+3-3</f>
        <v>31</v>
      </c>
      <c r="AJ45" s="754">
        <f>30+9+3</f>
        <v>42</v>
      </c>
      <c r="AK45" s="755">
        <f>31+4+3</f>
        <v>38</v>
      </c>
      <c r="AL45" s="755">
        <v>36</v>
      </c>
      <c r="AM45" s="755">
        <f>147+27+1</f>
        <v>175</v>
      </c>
      <c r="AN45" s="754">
        <f>1+5+5</f>
        <v>11</v>
      </c>
      <c r="AO45" s="755">
        <f>9-2+11+5</f>
        <v>23</v>
      </c>
      <c r="AP45" s="755">
        <f>6+14+5</f>
        <v>25</v>
      </c>
      <c r="AQ45" s="755">
        <f>5+6+37+3</f>
        <v>51</v>
      </c>
      <c r="AR45" s="754">
        <f>6+3+29</f>
        <v>38</v>
      </c>
      <c r="AS45" s="755">
        <f>6+1+35+1</f>
        <v>43</v>
      </c>
      <c r="AT45" s="755">
        <f>4+6+41+23</f>
        <v>74</v>
      </c>
      <c r="AU45" s="755">
        <f>5+31+10</f>
        <v>46</v>
      </c>
      <c r="AV45" s="1333">
        <v>0</v>
      </c>
      <c r="AW45" s="1052">
        <v>0</v>
      </c>
      <c r="AX45" s="1052">
        <v>0</v>
      </c>
      <c r="AY45" s="1053">
        <v>0</v>
      </c>
      <c r="AZ45" s="753"/>
      <c r="BA45" s="758">
        <f>SUM(D45:G45)</f>
        <v>0</v>
      </c>
      <c r="BB45" s="758">
        <f>SUM(H45:K45)</f>
        <v>0</v>
      </c>
      <c r="BC45" s="758">
        <f>SUM(L45:O45)</f>
        <v>468</v>
      </c>
      <c r="BD45" s="758">
        <f>SUM(P45:S45)</f>
        <v>347</v>
      </c>
      <c r="BE45" s="759">
        <f>SUM(T45:W45)</f>
        <v>334</v>
      </c>
      <c r="BF45" s="758">
        <f>SUM(X45:AA45)</f>
        <v>356</v>
      </c>
      <c r="BG45" s="758">
        <f>SUM(AB45:AE45)</f>
        <v>266</v>
      </c>
      <c r="BH45" s="759">
        <f>SUM(AF45:AI45)</f>
        <v>164</v>
      </c>
      <c r="BI45" s="759">
        <f>SUM(AJ45:AM45)</f>
        <v>291</v>
      </c>
      <c r="BJ45" s="758">
        <f>SUM(AN45:AQ45)</f>
        <v>110</v>
      </c>
      <c r="BK45" s="758">
        <f>SUM(AR45:AU45)</f>
        <v>201</v>
      </c>
      <c r="BL45" s="758">
        <f>SUM(AV45:AY45)</f>
        <v>0</v>
      </c>
      <c r="BM45" s="758">
        <v>0</v>
      </c>
      <c r="BN45" s="757">
        <v>0</v>
      </c>
      <c r="BR45" s="818"/>
      <c r="BS45"/>
      <c r="BT45"/>
      <c r="BU45"/>
      <c r="BV45"/>
      <c r="BW45"/>
      <c r="BX45"/>
    </row>
    <row r="46" spans="1:76" s="761" customFormat="1" ht="14.25" customHeight="1" collapsed="1">
      <c r="B46" s="776" t="s">
        <v>492</v>
      </c>
      <c r="C46" s="1478"/>
      <c r="D46" s="763">
        <f t="shared" ref="D46:AS46" si="137">D41-D45</f>
        <v>390</v>
      </c>
      <c r="E46" s="764">
        <f t="shared" si="137"/>
        <v>404</v>
      </c>
      <c r="F46" s="764">
        <f t="shared" si="137"/>
        <v>399</v>
      </c>
      <c r="G46" s="765">
        <f t="shared" si="137"/>
        <v>421</v>
      </c>
      <c r="H46" s="763">
        <f t="shared" si="137"/>
        <v>402</v>
      </c>
      <c r="I46" s="764">
        <f t="shared" si="137"/>
        <v>438</v>
      </c>
      <c r="J46" s="764">
        <f t="shared" si="137"/>
        <v>1199</v>
      </c>
      <c r="K46" s="765">
        <f t="shared" si="137"/>
        <v>236</v>
      </c>
      <c r="L46" s="763">
        <f t="shared" si="137"/>
        <v>132</v>
      </c>
      <c r="M46" s="764">
        <f t="shared" si="137"/>
        <v>123</v>
      </c>
      <c r="N46" s="764">
        <f t="shared" si="137"/>
        <v>153</v>
      </c>
      <c r="O46" s="765">
        <f t="shared" si="137"/>
        <v>176</v>
      </c>
      <c r="P46" s="763">
        <f t="shared" si="137"/>
        <v>150</v>
      </c>
      <c r="Q46" s="764">
        <f t="shared" si="137"/>
        <v>158</v>
      </c>
      <c r="R46" s="764">
        <f t="shared" si="137"/>
        <v>147</v>
      </c>
      <c r="S46" s="765">
        <f t="shared" si="137"/>
        <v>164</v>
      </c>
      <c r="T46" s="763">
        <f t="shared" si="137"/>
        <v>148</v>
      </c>
      <c r="U46" s="764">
        <f t="shared" si="137"/>
        <v>151</v>
      </c>
      <c r="V46" s="764">
        <f t="shared" si="137"/>
        <v>141</v>
      </c>
      <c r="W46" s="765">
        <f t="shared" si="137"/>
        <v>144</v>
      </c>
      <c r="X46" s="763">
        <f t="shared" si="137"/>
        <v>147</v>
      </c>
      <c r="Y46" s="764">
        <f t="shared" si="137"/>
        <v>152</v>
      </c>
      <c r="Z46" s="764">
        <f t="shared" si="137"/>
        <v>161</v>
      </c>
      <c r="AA46" s="765">
        <f t="shared" si="137"/>
        <v>161</v>
      </c>
      <c r="AB46" s="763">
        <f t="shared" si="137"/>
        <v>153</v>
      </c>
      <c r="AC46" s="764">
        <f t="shared" si="137"/>
        <v>148</v>
      </c>
      <c r="AD46" s="764">
        <f t="shared" si="137"/>
        <v>156</v>
      </c>
      <c r="AE46" s="765">
        <f t="shared" si="137"/>
        <v>173</v>
      </c>
      <c r="AF46" s="763">
        <f t="shared" si="137"/>
        <v>163</v>
      </c>
      <c r="AG46" s="764">
        <f t="shared" si="137"/>
        <v>173</v>
      </c>
      <c r="AH46" s="764">
        <f t="shared" si="137"/>
        <v>171</v>
      </c>
      <c r="AI46" s="765">
        <f t="shared" si="137"/>
        <v>167</v>
      </c>
      <c r="AJ46" s="763">
        <f t="shared" si="137"/>
        <v>168</v>
      </c>
      <c r="AK46" s="764">
        <f t="shared" si="137"/>
        <v>160</v>
      </c>
      <c r="AL46" s="764">
        <f t="shared" si="137"/>
        <v>155</v>
      </c>
      <c r="AM46" s="764">
        <f t="shared" si="137"/>
        <v>238</v>
      </c>
      <c r="AN46" s="763">
        <f t="shared" si="137"/>
        <v>285</v>
      </c>
      <c r="AO46" s="764">
        <f t="shared" si="137"/>
        <v>260</v>
      </c>
      <c r="AP46" s="764">
        <f t="shared" si="137"/>
        <v>245</v>
      </c>
      <c r="AQ46" s="764">
        <f t="shared" si="137"/>
        <v>241</v>
      </c>
      <c r="AR46" s="763">
        <f t="shared" si="137"/>
        <v>228</v>
      </c>
      <c r="AS46" s="764">
        <f t="shared" si="137"/>
        <v>220</v>
      </c>
      <c r="AT46" s="764">
        <f t="shared" ref="AT46:AU46" si="138">AT41-AT45</f>
        <v>218</v>
      </c>
      <c r="AU46" s="764">
        <f t="shared" si="138"/>
        <v>223</v>
      </c>
      <c r="AV46" s="763">
        <f t="shared" ref="AV46:AY46" si="139">AU46*(1+AV9*AV48)</f>
        <v>214.13220887622148</v>
      </c>
      <c r="AW46" s="764">
        <f t="shared" si="139"/>
        <v>216.70199425174835</v>
      </c>
      <c r="AX46" s="764">
        <f t="shared" si="139"/>
        <v>219.79961242726029</v>
      </c>
      <c r="AY46" s="765">
        <f t="shared" si="139"/>
        <v>216.44706457333498</v>
      </c>
      <c r="AZ46" s="775"/>
      <c r="BA46" s="764">
        <f t="shared" ref="BA46:BJ46" si="140">BA41-BA45</f>
        <v>1614</v>
      </c>
      <c r="BB46" s="764">
        <f t="shared" si="140"/>
        <v>2275</v>
      </c>
      <c r="BC46" s="764">
        <f t="shared" si="140"/>
        <v>584</v>
      </c>
      <c r="BD46" s="764">
        <f t="shared" si="140"/>
        <v>619</v>
      </c>
      <c r="BE46" s="763">
        <f t="shared" si="140"/>
        <v>584</v>
      </c>
      <c r="BF46" s="764">
        <f t="shared" si="140"/>
        <v>621</v>
      </c>
      <c r="BG46" s="764">
        <f t="shared" si="140"/>
        <v>630</v>
      </c>
      <c r="BH46" s="763">
        <f t="shared" si="140"/>
        <v>674</v>
      </c>
      <c r="BI46" s="763">
        <f t="shared" si="140"/>
        <v>721</v>
      </c>
      <c r="BJ46" s="764">
        <f t="shared" si="140"/>
        <v>1031</v>
      </c>
      <c r="BK46" s="764">
        <f>SUM(AR46:AU46)</f>
        <v>889</v>
      </c>
      <c r="BL46" s="764">
        <f>SUM(AV46:AY46)</f>
        <v>867.08088012856501</v>
      </c>
      <c r="BM46" s="764">
        <f>BL46*(1+BM10*50%)</f>
        <v>891.0219698257448</v>
      </c>
      <c r="BN46" s="765">
        <f>BM46*(1+BN10*50%)</f>
        <v>912.80899104834248</v>
      </c>
      <c r="BR46" s="766"/>
      <c r="BS46"/>
      <c r="BT46"/>
      <c r="BU46"/>
      <c r="BV46"/>
      <c r="BW46"/>
      <c r="BX46"/>
    </row>
    <row r="47" spans="1:76" ht="14.25" customHeight="1">
      <c r="A47" s="8"/>
      <c r="B47" s="451" t="s">
        <v>489</v>
      </c>
      <c r="C47" s="1537"/>
      <c r="D47" s="1527">
        <f t="shared" ref="D47:AY47" si="141">D46/D8</f>
        <v>0.26694045174537989</v>
      </c>
      <c r="E47" s="1504">
        <f t="shared" si="141"/>
        <v>0.26267880364109231</v>
      </c>
      <c r="F47" s="1504">
        <f t="shared" si="141"/>
        <v>0.24270072992700731</v>
      </c>
      <c r="G47" s="1526">
        <f t="shared" si="141"/>
        <v>0.25089392133492255</v>
      </c>
      <c r="H47" s="1527">
        <f t="shared" si="141"/>
        <v>0.26464779460171167</v>
      </c>
      <c r="I47" s="1504">
        <f t="shared" si="141"/>
        <v>0.2874015748031496</v>
      </c>
      <c r="J47" s="1504">
        <f t="shared" si="141"/>
        <v>0.87263464337700147</v>
      </c>
      <c r="K47" s="1526">
        <f t="shared" si="141"/>
        <v>0.2300194931773879</v>
      </c>
      <c r="L47" s="1527">
        <f t="shared" si="141"/>
        <v>0.20465116279069767</v>
      </c>
      <c r="M47" s="1504">
        <f t="shared" si="141"/>
        <v>0.14945321992709598</v>
      </c>
      <c r="N47" s="1504">
        <f t="shared" si="141"/>
        <v>0.15548780487804878</v>
      </c>
      <c r="O47" s="1526">
        <f t="shared" si="141"/>
        <v>0.16494845360824742</v>
      </c>
      <c r="P47" s="1527">
        <f t="shared" si="141"/>
        <v>0.13824884792626729</v>
      </c>
      <c r="Q47" s="1504">
        <f t="shared" si="141"/>
        <v>0.14119749776586238</v>
      </c>
      <c r="R47" s="1504">
        <f t="shared" si="141"/>
        <v>0.13125000000000001</v>
      </c>
      <c r="S47" s="1526">
        <f t="shared" si="141"/>
        <v>0.15213358070500926</v>
      </c>
      <c r="T47" s="1527">
        <f t="shared" si="141"/>
        <v>0.1367837338262477</v>
      </c>
      <c r="U47" s="1504">
        <f t="shared" si="141"/>
        <v>0.13470115967885815</v>
      </c>
      <c r="V47" s="1504">
        <f t="shared" si="141"/>
        <v>0.1330188679245283</v>
      </c>
      <c r="W47" s="1526">
        <f t="shared" si="141"/>
        <v>0.15467239527389903</v>
      </c>
      <c r="X47" s="1527">
        <f t="shared" si="141"/>
        <v>0.15030674846625766</v>
      </c>
      <c r="Y47" s="1504">
        <f t="shared" si="141"/>
        <v>0.13893967093235832</v>
      </c>
      <c r="Z47" s="1504">
        <f t="shared" si="141"/>
        <v>0.13760683760683762</v>
      </c>
      <c r="AA47" s="1526">
        <f t="shared" si="141"/>
        <v>0.1442652329749104</v>
      </c>
      <c r="AB47" s="1527">
        <f t="shared" si="141"/>
        <v>0.14101382488479264</v>
      </c>
      <c r="AC47" s="1504">
        <f t="shared" si="141"/>
        <v>0.12457912457912458</v>
      </c>
      <c r="AD47" s="1504">
        <f t="shared" si="141"/>
        <v>0.12489991993594876</v>
      </c>
      <c r="AE47" s="1526">
        <f t="shared" si="141"/>
        <v>0.13379737045630316</v>
      </c>
      <c r="AF47" s="1527">
        <f t="shared" si="141"/>
        <v>0.13081861958266452</v>
      </c>
      <c r="AG47" s="1504">
        <f t="shared" si="141"/>
        <v>0.12824314306893997</v>
      </c>
      <c r="AH47" s="1504">
        <f t="shared" si="141"/>
        <v>0.11287128712871287</v>
      </c>
      <c r="AI47" s="1526">
        <f t="shared" si="141"/>
        <v>0.10865322055953155</v>
      </c>
      <c r="AJ47" s="1527">
        <f t="shared" si="141"/>
        <v>0.11451942740286299</v>
      </c>
      <c r="AK47" s="1504">
        <f t="shared" si="141"/>
        <v>0.10624169986719788</v>
      </c>
      <c r="AL47" s="1504">
        <f t="shared" si="141"/>
        <v>0.10183968462549277</v>
      </c>
      <c r="AM47" s="1673">
        <f t="shared" si="141"/>
        <v>0.14819427148194272</v>
      </c>
      <c r="AN47" s="1674">
        <f t="shared" si="141"/>
        <v>0.1281474820143885</v>
      </c>
      <c r="AO47" s="1673">
        <f t="shared" si="141"/>
        <v>0.10993657505285412</v>
      </c>
      <c r="AP47" s="1741">
        <f t="shared" si="141"/>
        <v>9.9230457675172135E-2</v>
      </c>
      <c r="AQ47" s="1741">
        <f t="shared" si="141"/>
        <v>9.8770491803278682E-2</v>
      </c>
      <c r="AR47" s="1743">
        <f t="shared" si="141"/>
        <v>0.10312075983717775</v>
      </c>
      <c r="AS47" s="1741">
        <f t="shared" si="141"/>
        <v>9.9909173478655772E-2</v>
      </c>
      <c r="AT47" s="1848">
        <f t="shared" ref="AT47:AU47" si="142">AT46/AT8</f>
        <v>9.1328026811897778E-2</v>
      </c>
      <c r="AU47" s="1848">
        <f t="shared" si="142"/>
        <v>9.0798045602605862E-2</v>
      </c>
      <c r="AV47" s="1850">
        <f t="shared" si="141"/>
        <v>9.2068987125274726E-2</v>
      </c>
      <c r="AW47" s="1848">
        <f t="shared" si="141"/>
        <v>9.008503177671337E-2</v>
      </c>
      <c r="AX47" s="1848">
        <f t="shared" si="141"/>
        <v>8.7787410148093409E-2</v>
      </c>
      <c r="AY47" s="1849">
        <f t="shared" si="141"/>
        <v>8.7787410148093409E-2</v>
      </c>
      <c r="AZ47" s="246"/>
      <c r="BA47" s="1504">
        <f t="shared" ref="BA47:BM47" si="143">BA46/BA8</f>
        <v>0.25533934504034173</v>
      </c>
      <c r="BB47" s="1504">
        <f t="shared" si="143"/>
        <v>0.41796803233510932</v>
      </c>
      <c r="BC47" s="1504">
        <f t="shared" si="143"/>
        <v>0.16595623756749076</v>
      </c>
      <c r="BD47" s="1504">
        <f t="shared" si="143"/>
        <v>0.14061790095411178</v>
      </c>
      <c r="BE47" s="1674">
        <f t="shared" si="143"/>
        <v>0.13924654268001907</v>
      </c>
      <c r="BF47" s="1673">
        <f t="shared" si="143"/>
        <v>0.14249655805415329</v>
      </c>
      <c r="BG47" s="1673">
        <f t="shared" si="143"/>
        <v>0.13084112149532709</v>
      </c>
      <c r="BH47" s="1850">
        <f t="shared" si="143"/>
        <v>0.11935540995218701</v>
      </c>
      <c r="BI47" s="1850">
        <f t="shared" si="143"/>
        <v>0.11817734797574168</v>
      </c>
      <c r="BJ47" s="1848">
        <f t="shared" si="143"/>
        <v>0.10854916824594651</v>
      </c>
      <c r="BK47" s="1848">
        <f t="shared" si="143"/>
        <v>9.6045808124459814E-2</v>
      </c>
      <c r="BL47" s="1848">
        <f t="shared" si="143"/>
        <v>8.9383692901093381E-2</v>
      </c>
      <c r="BM47" s="1848">
        <f t="shared" si="143"/>
        <v>8.7044862948410837E-2</v>
      </c>
      <c r="BN47" s="1849">
        <f t="shared" ref="BN47" si="144">BN46/BN8</f>
        <v>8.5015699276112439E-2</v>
      </c>
      <c r="BR47" s="1472"/>
    </row>
    <row r="48" spans="1:76" ht="14.25" customHeight="1">
      <c r="A48" s="8"/>
      <c r="B48" s="451" t="s">
        <v>70</v>
      </c>
      <c r="C48" s="1537"/>
      <c r="D48" s="1743"/>
      <c r="E48" s="1741"/>
      <c r="F48" s="1741"/>
      <c r="G48" s="1742"/>
      <c r="H48" s="1743"/>
      <c r="I48" s="1741"/>
      <c r="J48" s="1741"/>
      <c r="K48" s="1742"/>
      <c r="L48" s="1743"/>
      <c r="M48" s="1741"/>
      <c r="N48" s="1741"/>
      <c r="O48" s="1742"/>
      <c r="P48" s="1743"/>
      <c r="Q48" s="1741"/>
      <c r="R48" s="1741"/>
      <c r="S48" s="1742"/>
      <c r="T48" s="1743"/>
      <c r="U48" s="1741"/>
      <c r="V48" s="1741"/>
      <c r="W48" s="1742"/>
      <c r="X48" s="1743"/>
      <c r="Y48" s="1741"/>
      <c r="Z48" s="1741"/>
      <c r="AA48" s="1742"/>
      <c r="AB48" s="1743"/>
      <c r="AC48" s="1741"/>
      <c r="AD48" s="1741"/>
      <c r="AE48" s="1742"/>
      <c r="AF48" s="1743"/>
      <c r="AG48" s="1741"/>
      <c r="AH48" s="1741"/>
      <c r="AI48" s="1742"/>
      <c r="AJ48" s="1743"/>
      <c r="AK48" s="1741"/>
      <c r="AL48" s="1741"/>
      <c r="AM48" s="1741"/>
      <c r="AN48" s="1743"/>
      <c r="AO48" s="1741"/>
      <c r="AP48" s="1741"/>
      <c r="AQ48" s="1741"/>
      <c r="AR48" s="1743"/>
      <c r="AS48" s="1741"/>
      <c r="AT48" s="1848"/>
      <c r="AU48" s="1848"/>
      <c r="AV48" s="1817">
        <v>0.75</v>
      </c>
      <c r="AW48" s="1852">
        <v>0.35</v>
      </c>
      <c r="AX48" s="1852">
        <v>0.35</v>
      </c>
      <c r="AY48" s="1895">
        <v>1</v>
      </c>
      <c r="AZ48" s="246"/>
      <c r="BA48" s="1741"/>
      <c r="BB48" s="1741"/>
      <c r="BC48" s="1741"/>
      <c r="BD48" s="1741"/>
      <c r="BE48" s="1743"/>
      <c r="BF48" s="1741"/>
      <c r="BG48" s="1741"/>
      <c r="BH48" s="1850"/>
      <c r="BI48" s="1850"/>
      <c r="BJ48" s="1848"/>
      <c r="BK48" s="1848"/>
      <c r="BL48" s="1848"/>
      <c r="BM48" s="1848"/>
      <c r="BN48" s="1849"/>
      <c r="BR48" s="1472"/>
    </row>
    <row r="49" spans="1:76" ht="3.75" hidden="1" customHeight="1" outlineLevel="1">
      <c r="A49" s="8"/>
      <c r="B49" s="451"/>
      <c r="C49" s="1537"/>
      <c r="D49" s="1527"/>
      <c r="E49" s="1504"/>
      <c r="F49" s="1504"/>
      <c r="G49" s="1526"/>
      <c r="H49" s="1527"/>
      <c r="I49" s="1504"/>
      <c r="J49" s="1504"/>
      <c r="K49" s="1526"/>
      <c r="L49" s="1527"/>
      <c r="M49" s="1504"/>
      <c r="N49" s="1504"/>
      <c r="O49" s="1526"/>
      <c r="P49" s="1527"/>
      <c r="Q49" s="1504"/>
      <c r="R49" s="1504"/>
      <c r="S49" s="1526"/>
      <c r="T49" s="1527"/>
      <c r="U49" s="1504"/>
      <c r="V49" s="1504"/>
      <c r="W49" s="1526"/>
      <c r="X49" s="1527"/>
      <c r="Y49" s="1504"/>
      <c r="Z49" s="1504"/>
      <c r="AA49" s="1526"/>
      <c r="AB49" s="1527"/>
      <c r="AC49" s="1504"/>
      <c r="AD49" s="1504"/>
      <c r="AE49" s="1526"/>
      <c r="AF49" s="1527"/>
      <c r="AG49" s="1504"/>
      <c r="AH49" s="1504"/>
      <c r="AI49" s="1526"/>
      <c r="AJ49" s="1527"/>
      <c r="AK49" s="1504"/>
      <c r="AL49" s="1504"/>
      <c r="AM49" s="1673"/>
      <c r="AN49" s="1674"/>
      <c r="AO49" s="1673"/>
      <c r="AP49" s="1741"/>
      <c r="AQ49" s="1741"/>
      <c r="AR49" s="1743"/>
      <c r="AS49" s="1741"/>
      <c r="AT49" s="1848"/>
      <c r="AU49" s="1848"/>
      <c r="AV49" s="1780"/>
      <c r="AW49" s="1756"/>
      <c r="AX49" s="1756"/>
      <c r="AY49" s="1781"/>
      <c r="AZ49" s="246"/>
      <c r="BA49" s="1504"/>
      <c r="BB49" s="1504"/>
      <c r="BC49" s="1504"/>
      <c r="BD49" s="1504"/>
      <c r="BE49" s="1674"/>
      <c r="BF49" s="1673"/>
      <c r="BG49" s="1673"/>
      <c r="BH49" s="1850"/>
      <c r="BI49" s="1850"/>
      <c r="BJ49" s="1848"/>
      <c r="BK49" s="1848"/>
      <c r="BL49" s="1848"/>
      <c r="BM49" s="1848"/>
      <c r="BN49" s="1849"/>
      <c r="BR49" s="1472"/>
    </row>
    <row r="50" spans="1:76" ht="14.25" hidden="1" customHeight="1" outlineLevel="1">
      <c r="A50" s="8"/>
      <c r="B50" s="1326" t="s">
        <v>261</v>
      </c>
      <c r="C50" s="1537"/>
      <c r="D50" s="1527"/>
      <c r="E50" s="1504"/>
      <c r="F50" s="1504"/>
      <c r="G50" s="1526"/>
      <c r="H50" s="1527"/>
      <c r="I50" s="1504"/>
      <c r="J50" s="1504"/>
      <c r="K50" s="1526"/>
      <c r="L50" s="1531">
        <f t="shared" ref="L50:AS50" si="145">L41-L44-L45</f>
        <v>132</v>
      </c>
      <c r="M50" s="1440">
        <f t="shared" si="145"/>
        <v>123</v>
      </c>
      <c r="N50" s="1440">
        <f t="shared" si="145"/>
        <v>153</v>
      </c>
      <c r="O50" s="1440">
        <f t="shared" si="145"/>
        <v>176</v>
      </c>
      <c r="P50" s="1531">
        <f t="shared" si="145"/>
        <v>150</v>
      </c>
      <c r="Q50" s="1440">
        <f t="shared" si="145"/>
        <v>158</v>
      </c>
      <c r="R50" s="1440">
        <f t="shared" si="145"/>
        <v>147</v>
      </c>
      <c r="S50" s="1440">
        <f t="shared" si="145"/>
        <v>164</v>
      </c>
      <c r="T50" s="1531">
        <f t="shared" si="145"/>
        <v>148</v>
      </c>
      <c r="U50" s="1440">
        <f t="shared" si="145"/>
        <v>151</v>
      </c>
      <c r="V50" s="1440">
        <f t="shared" si="145"/>
        <v>141</v>
      </c>
      <c r="W50" s="1440">
        <f t="shared" si="145"/>
        <v>144</v>
      </c>
      <c r="X50" s="1531">
        <f t="shared" si="145"/>
        <v>147</v>
      </c>
      <c r="Y50" s="1440">
        <f t="shared" si="145"/>
        <v>152</v>
      </c>
      <c r="Z50" s="1440">
        <f t="shared" si="145"/>
        <v>161</v>
      </c>
      <c r="AA50" s="1440">
        <f t="shared" si="145"/>
        <v>161</v>
      </c>
      <c r="AB50" s="1531">
        <f t="shared" si="145"/>
        <v>140</v>
      </c>
      <c r="AC50" s="1440">
        <f t="shared" si="145"/>
        <v>133</v>
      </c>
      <c r="AD50" s="1440">
        <f t="shared" si="145"/>
        <v>140</v>
      </c>
      <c r="AE50" s="1440">
        <f t="shared" si="145"/>
        <v>150</v>
      </c>
      <c r="AF50" s="1531">
        <f t="shared" si="145"/>
        <v>141</v>
      </c>
      <c r="AG50" s="1440">
        <f t="shared" si="145"/>
        <v>143</v>
      </c>
      <c r="AH50" s="1440">
        <f t="shared" si="145"/>
        <v>144</v>
      </c>
      <c r="AI50" s="1440">
        <f t="shared" si="145"/>
        <v>143</v>
      </c>
      <c r="AJ50" s="1531">
        <f t="shared" si="145"/>
        <v>143</v>
      </c>
      <c r="AK50" s="1440">
        <f t="shared" si="145"/>
        <v>136</v>
      </c>
      <c r="AL50" s="1440">
        <f t="shared" si="145"/>
        <v>131</v>
      </c>
      <c r="AM50" s="1440">
        <f t="shared" si="145"/>
        <v>155</v>
      </c>
      <c r="AN50" s="1691">
        <f t="shared" si="145"/>
        <v>233</v>
      </c>
      <c r="AO50" s="1689">
        <f t="shared" si="145"/>
        <v>222</v>
      </c>
      <c r="AP50" s="1760">
        <f t="shared" si="145"/>
        <v>207</v>
      </c>
      <c r="AQ50" s="1760">
        <f t="shared" si="145"/>
        <v>203</v>
      </c>
      <c r="AR50" s="1773">
        <f t="shared" si="145"/>
        <v>198</v>
      </c>
      <c r="AS50" s="1760">
        <f t="shared" si="145"/>
        <v>188</v>
      </c>
      <c r="AT50" s="1760">
        <f t="shared" ref="AT50:AU50" si="146">AT41-AT44-AT45</f>
        <v>187</v>
      </c>
      <c r="AU50" s="1760">
        <f t="shared" si="146"/>
        <v>190</v>
      </c>
      <c r="AV50" s="1773">
        <f t="shared" ref="AV50:AY50" si="147">AV46-AV44</f>
        <v>181.13220887622148</v>
      </c>
      <c r="AW50" s="1760">
        <f t="shared" si="147"/>
        <v>183.70199425174835</v>
      </c>
      <c r="AX50" s="1760">
        <f t="shared" si="147"/>
        <v>186.79961242726029</v>
      </c>
      <c r="AY50" s="1761">
        <f t="shared" si="147"/>
        <v>183.44706457333498</v>
      </c>
      <c r="AZ50" s="246"/>
      <c r="BA50" s="764">
        <f>SUM(D50:G50)</f>
        <v>0</v>
      </c>
      <c r="BB50" s="764">
        <f>SUM(H50:K50)</f>
        <v>0</v>
      </c>
      <c r="BC50" s="764">
        <f>SUM(L50:O50)</f>
        <v>584</v>
      </c>
      <c r="BD50" s="764">
        <f>SUM(P50:S50)</f>
        <v>619</v>
      </c>
      <c r="BE50" s="763">
        <f>SUM(T50:W50)</f>
        <v>584</v>
      </c>
      <c r="BF50" s="764">
        <f>SUM(X50:AA50)</f>
        <v>621</v>
      </c>
      <c r="BG50" s="764">
        <f>SUM(AB50:AE50)</f>
        <v>563</v>
      </c>
      <c r="BH50" s="763">
        <f>SUM(AF50:AI50)</f>
        <v>571</v>
      </c>
      <c r="BI50" s="763">
        <f>SUM(AJ50:AM50)</f>
        <v>565</v>
      </c>
      <c r="BJ50" s="764">
        <f>SUM(AN50:AQ50)</f>
        <v>865</v>
      </c>
      <c r="BK50" s="764">
        <f t="shared" ref="BK50:BL50" si="148">BK46-BK44</f>
        <v>763</v>
      </c>
      <c r="BL50" s="764">
        <f t="shared" si="148"/>
        <v>735.08088012856501</v>
      </c>
      <c r="BM50" s="764">
        <f t="shared" ref="BM50" si="149">BM46-BM44</f>
        <v>759.0219698257448</v>
      </c>
      <c r="BN50" s="765">
        <f t="shared" ref="BN50" si="150">BN46-BN44</f>
        <v>780.80899104834248</v>
      </c>
      <c r="BR50" s="1472"/>
    </row>
    <row r="51" spans="1:76" ht="14.25" customHeight="1" collapsed="1">
      <c r="A51" s="8"/>
      <c r="B51" s="451" t="s">
        <v>489</v>
      </c>
      <c r="C51" s="1539"/>
      <c r="D51" s="39"/>
      <c r="E51" s="37"/>
      <c r="F51" s="42"/>
      <c r="G51" s="38"/>
      <c r="H51" s="39"/>
      <c r="I51" s="37"/>
      <c r="J51" s="42"/>
      <c r="K51" s="38"/>
      <c r="L51" s="39"/>
      <c r="M51" s="37"/>
      <c r="N51" s="42"/>
      <c r="O51" s="38"/>
      <c r="P51" s="39"/>
      <c r="Q51" s="37"/>
      <c r="R51" s="42"/>
      <c r="S51" s="38"/>
      <c r="T51" s="39"/>
      <c r="U51" s="37"/>
      <c r="V51" s="42"/>
      <c r="W51" s="38"/>
      <c r="X51" s="39"/>
      <c r="Y51" s="37"/>
      <c r="Z51" s="42"/>
      <c r="AA51" s="38"/>
      <c r="AB51" s="39"/>
      <c r="AC51" s="37"/>
      <c r="AD51" s="42"/>
      <c r="AE51" s="38"/>
      <c r="AF51" s="39"/>
      <c r="AG51" s="37"/>
      <c r="AH51" s="42"/>
      <c r="AI51" s="38"/>
      <c r="AJ51" s="1497">
        <f t="shared" ref="AJ51:AY51" si="151">AJ50/AJ8</f>
        <v>9.7477845944103608E-2</v>
      </c>
      <c r="AK51" s="1530">
        <f t="shared" si="151"/>
        <v>9.0305444887118197E-2</v>
      </c>
      <c r="AL51" s="1530">
        <f t="shared" si="151"/>
        <v>8.6070959264126154E-2</v>
      </c>
      <c r="AM51" s="1530">
        <f t="shared" si="151"/>
        <v>9.6513075965130757E-2</v>
      </c>
      <c r="AN51" s="1682">
        <f t="shared" si="151"/>
        <v>0.10476618705035971</v>
      </c>
      <c r="AO51" s="1683">
        <f t="shared" si="151"/>
        <v>9.386892177589852E-2</v>
      </c>
      <c r="AP51" s="1754">
        <f t="shared" si="151"/>
        <v>8.3839611178614826E-2</v>
      </c>
      <c r="AQ51" s="1754">
        <f t="shared" si="151"/>
        <v>8.3196721311475416E-2</v>
      </c>
      <c r="AR51" s="1765">
        <f t="shared" si="151"/>
        <v>8.9552238805970144E-2</v>
      </c>
      <c r="AS51" s="1815">
        <f t="shared" si="151"/>
        <v>8.5376930063578563E-2</v>
      </c>
      <c r="AT51" s="1815">
        <f t="shared" ref="AT51:AU51" si="152">AT50/AT8</f>
        <v>7.8341013824884786E-2</v>
      </c>
      <c r="AU51" s="1815">
        <f t="shared" si="152"/>
        <v>7.7361563517915316E-2</v>
      </c>
      <c r="AV51" s="1765">
        <f t="shared" si="151"/>
        <v>7.7880198847793625E-2</v>
      </c>
      <c r="AW51" s="1815">
        <f t="shared" si="151"/>
        <v>7.6366625266905463E-2</v>
      </c>
      <c r="AX51" s="1815">
        <f t="shared" si="151"/>
        <v>7.4607293482301745E-2</v>
      </c>
      <c r="AY51" s="1755">
        <f t="shared" si="151"/>
        <v>7.4403146699671602E-2</v>
      </c>
      <c r="AZ51" s="246"/>
      <c r="BA51" s="1499">
        <f t="shared" ref="BA51:BL51" si="153">BA50/BA8</f>
        <v>0</v>
      </c>
      <c r="BB51" s="1499">
        <f t="shared" si="153"/>
        <v>0</v>
      </c>
      <c r="BC51" s="1499">
        <f t="shared" si="153"/>
        <v>0.16595623756749076</v>
      </c>
      <c r="BD51" s="1499">
        <f t="shared" si="153"/>
        <v>0.14061790095411178</v>
      </c>
      <c r="BE51" s="1678">
        <f t="shared" si="153"/>
        <v>0.13924654268001907</v>
      </c>
      <c r="BF51" s="1677">
        <f t="shared" si="153"/>
        <v>0.14249655805415329</v>
      </c>
      <c r="BG51" s="1677">
        <f t="shared" si="153"/>
        <v>0.11692627206645899</v>
      </c>
      <c r="BH51" s="1752">
        <f t="shared" si="153"/>
        <v>0.10111563662121481</v>
      </c>
      <c r="BI51" s="1752">
        <f t="shared" si="153"/>
        <v>9.2607769218160954E-2</v>
      </c>
      <c r="BJ51" s="1749">
        <f t="shared" si="153"/>
        <v>9.1071804590440092E-2</v>
      </c>
      <c r="BK51" s="1749">
        <f t="shared" si="153"/>
        <v>8.243301642178047E-2</v>
      </c>
      <c r="BL51" s="1749">
        <f t="shared" si="153"/>
        <v>7.5776372369247599E-2</v>
      </c>
      <c r="BM51" s="1749">
        <f t="shared" ref="BM51" si="154">BM50/BM8</f>
        <v>7.4149645660516933E-2</v>
      </c>
      <c r="BN51" s="1751">
        <f t="shared" ref="BN51" si="155">BN50/BN8</f>
        <v>7.2721700844350146E-2</v>
      </c>
      <c r="BR51" s="1472"/>
    </row>
    <row r="52" spans="1:76" ht="15.75" customHeight="1">
      <c r="A52" s="8"/>
      <c r="B52" s="451"/>
      <c r="C52" s="1539"/>
      <c r="D52" s="39"/>
      <c r="E52" s="37"/>
      <c r="F52" s="42"/>
      <c r="G52" s="38"/>
      <c r="H52" s="39"/>
      <c r="I52" s="37"/>
      <c r="J52" s="42"/>
      <c r="K52" s="38"/>
      <c r="L52" s="39"/>
      <c r="M52" s="37"/>
      <c r="N52" s="42"/>
      <c r="O52" s="38"/>
      <c r="P52" s="39"/>
      <c r="Q52" s="37"/>
      <c r="R52" s="42"/>
      <c r="S52" s="38"/>
      <c r="T52" s="39"/>
      <c r="U52" s="37"/>
      <c r="V52" s="42"/>
      <c r="W52" s="38"/>
      <c r="X52" s="39"/>
      <c r="Y52" s="37"/>
      <c r="Z52" s="42"/>
      <c r="AA52" s="38"/>
      <c r="AB52" s="39"/>
      <c r="AC52" s="37"/>
      <c r="AD52" s="42"/>
      <c r="AE52" s="38"/>
      <c r="AF52" s="39"/>
      <c r="AG52" s="37"/>
      <c r="AH52" s="42"/>
      <c r="AI52" s="38"/>
      <c r="AJ52" s="1595"/>
      <c r="AK52" s="1596"/>
      <c r="AL52" s="1596"/>
      <c r="AM52" s="1596"/>
      <c r="AN52" s="1682"/>
      <c r="AO52" s="1683"/>
      <c r="AP52" s="1754"/>
      <c r="AQ52" s="1754"/>
      <c r="AR52" s="1765"/>
      <c r="AS52" s="1815"/>
      <c r="AT52" s="1815"/>
      <c r="AU52" s="1815"/>
      <c r="AV52" s="1765"/>
      <c r="AW52" s="1815"/>
      <c r="AX52" s="1815"/>
      <c r="AY52" s="1755"/>
      <c r="AZ52" s="246"/>
      <c r="BA52" s="1589"/>
      <c r="BB52" s="1589"/>
      <c r="BC52" s="1589"/>
      <c r="BD52" s="1589"/>
      <c r="BE52" s="1678"/>
      <c r="BF52" s="1677"/>
      <c r="BG52" s="1677"/>
      <c r="BH52" s="1752"/>
      <c r="BI52" s="1752"/>
      <c r="BJ52" s="1749"/>
      <c r="BK52" s="1749"/>
      <c r="BL52" s="1749"/>
      <c r="BM52" s="1749"/>
      <c r="BN52" s="1751"/>
      <c r="BR52" s="1472"/>
    </row>
    <row r="53" spans="1:76" ht="14.25" hidden="1" customHeight="1">
      <c r="A53" s="8"/>
      <c r="B53" s="451"/>
      <c r="C53" s="1539"/>
      <c r="D53" s="39"/>
      <c r="E53" s="37"/>
      <c r="F53" s="42"/>
      <c r="G53" s="38"/>
      <c r="H53" s="39"/>
      <c r="I53" s="37"/>
      <c r="J53" s="42"/>
      <c r="K53" s="38"/>
      <c r="L53" s="39"/>
      <c r="M53" s="37"/>
      <c r="N53" s="42"/>
      <c r="O53" s="38"/>
      <c r="P53" s="39"/>
      <c r="Q53" s="37"/>
      <c r="R53" s="42"/>
      <c r="S53" s="38"/>
      <c r="T53" s="39"/>
      <c r="U53" s="37"/>
      <c r="V53" s="42"/>
      <c r="W53" s="38"/>
      <c r="X53" s="39"/>
      <c r="Y53" s="37"/>
      <c r="Z53" s="42"/>
      <c r="AA53" s="38"/>
      <c r="AB53" s="39"/>
      <c r="AC53" s="37"/>
      <c r="AD53" s="42"/>
      <c r="AE53" s="38"/>
      <c r="AF53" s="39"/>
      <c r="AG53" s="37"/>
      <c r="AH53" s="42"/>
      <c r="AI53" s="38"/>
      <c r="AJ53" s="1497"/>
      <c r="AK53" s="1530"/>
      <c r="AL53" s="42"/>
      <c r="AM53" s="37"/>
      <c r="AN53" s="1682"/>
      <c r="AO53" s="1683"/>
      <c r="AP53" s="42"/>
      <c r="AQ53" s="37"/>
      <c r="AR53" s="1765"/>
      <c r="AS53" s="1815"/>
      <c r="AT53" s="42"/>
      <c r="AU53" s="37"/>
      <c r="AV53" s="1765"/>
      <c r="AW53" s="1815"/>
      <c r="AX53" s="1815"/>
      <c r="AY53" s="1755"/>
      <c r="AZ53" s="246"/>
      <c r="BA53" s="1499"/>
      <c r="BB53" s="1499"/>
      <c r="BC53" s="1499"/>
      <c r="BD53" s="1499"/>
      <c r="BE53" s="1678"/>
      <c r="BF53" s="1677"/>
      <c r="BG53" s="1677"/>
      <c r="BH53" s="1752"/>
      <c r="BI53" s="1752"/>
      <c r="BJ53" s="1749"/>
      <c r="BK53" s="1749"/>
      <c r="BL53" s="1749"/>
      <c r="BM53" s="1749"/>
      <c r="BN53" s="1751"/>
      <c r="BR53" s="1472"/>
    </row>
    <row r="54" spans="1:76" s="752" customFormat="1" ht="14.25" customHeight="1">
      <c r="B54" s="778" t="s">
        <v>47</v>
      </c>
      <c r="C54" s="1477"/>
      <c r="D54" s="754">
        <f>34-7</f>
        <v>27</v>
      </c>
      <c r="E54" s="755">
        <f>-19-6</f>
        <v>-25</v>
      </c>
      <c r="F54" s="755">
        <v>-119</v>
      </c>
      <c r="G54" s="756">
        <v>-2</v>
      </c>
      <c r="H54" s="754">
        <f>12-37</f>
        <v>-25</v>
      </c>
      <c r="I54" s="755">
        <f>1+7</f>
        <v>8</v>
      </c>
      <c r="J54" s="755">
        <f>8+378</f>
        <v>386</v>
      </c>
      <c r="K54" s="756">
        <f>5+16</f>
        <v>21</v>
      </c>
      <c r="L54" s="754">
        <v>-6</v>
      </c>
      <c r="M54" s="755">
        <v>-7</v>
      </c>
      <c r="N54" s="755">
        <v>36</v>
      </c>
      <c r="O54" s="756">
        <v>-10</v>
      </c>
      <c r="P54" s="754">
        <v>17</v>
      </c>
      <c r="Q54" s="755">
        <v>0</v>
      </c>
      <c r="R54" s="755">
        <v>-1</v>
      </c>
      <c r="S54" s="756">
        <v>0</v>
      </c>
      <c r="T54" s="754">
        <v>10</v>
      </c>
      <c r="U54" s="755">
        <v>-4</v>
      </c>
      <c r="V54" s="755">
        <v>-5</v>
      </c>
      <c r="W54" s="756">
        <v>-5</v>
      </c>
      <c r="X54" s="754">
        <v>-1</v>
      </c>
      <c r="Y54" s="755">
        <v>-5</v>
      </c>
      <c r="Z54" s="755">
        <v>-21</v>
      </c>
      <c r="AA54" s="756">
        <v>-2</v>
      </c>
      <c r="AB54" s="754">
        <v>-7</v>
      </c>
      <c r="AC54" s="755">
        <v>-1</v>
      </c>
      <c r="AD54" s="755">
        <v>0</v>
      </c>
      <c r="AE54" s="756">
        <v>-1</v>
      </c>
      <c r="AF54" s="754">
        <f>-2+1</f>
        <v>-1</v>
      </c>
      <c r="AG54" s="755">
        <v>-7</v>
      </c>
      <c r="AH54" s="755">
        <v>-1</v>
      </c>
      <c r="AI54" s="756">
        <v>-2</v>
      </c>
      <c r="AJ54" s="754">
        <v>0</v>
      </c>
      <c r="AK54" s="755">
        <v>-1</v>
      </c>
      <c r="AL54" s="755">
        <v>-4</v>
      </c>
      <c r="AM54" s="755">
        <f>-1258+133</f>
        <v>-1125</v>
      </c>
      <c r="AN54" s="754">
        <f>367+2</f>
        <v>369</v>
      </c>
      <c r="AO54" s="755">
        <f>436-10</f>
        <v>426</v>
      </c>
      <c r="AP54" s="755">
        <v>361</v>
      </c>
      <c r="AQ54" s="755">
        <f>-1+363</f>
        <v>362</v>
      </c>
      <c r="AR54" s="754">
        <f>365-1598</f>
        <v>-1233</v>
      </c>
      <c r="AS54" s="755">
        <f>373--16</f>
        <v>389</v>
      </c>
      <c r="AT54" s="755">
        <f>363--5</f>
        <v>368</v>
      </c>
      <c r="AU54" s="755">
        <f>347+2</f>
        <v>349</v>
      </c>
      <c r="AV54" s="754">
        <f t="shared" ref="AV54:AY54" si="156">AV56</f>
        <v>0</v>
      </c>
      <c r="AW54" s="755">
        <f t="shared" si="156"/>
        <v>0</v>
      </c>
      <c r="AX54" s="755">
        <f t="shared" si="156"/>
        <v>0</v>
      </c>
      <c r="AY54" s="756">
        <f t="shared" si="156"/>
        <v>0</v>
      </c>
      <c r="AZ54" s="1131"/>
      <c r="BA54" s="758">
        <f>SUM(D54:G54)</f>
        <v>-119</v>
      </c>
      <c r="BB54" s="758">
        <f>SUM(H54:K54)</f>
        <v>390</v>
      </c>
      <c r="BC54" s="758">
        <f>SUM(L54:O54)</f>
        <v>13</v>
      </c>
      <c r="BD54" s="758">
        <f>SUM(P54:S54)</f>
        <v>16</v>
      </c>
      <c r="BE54" s="759">
        <f>SUM(T54:W54)</f>
        <v>-4</v>
      </c>
      <c r="BF54" s="758">
        <f>SUM(X54:AA54)</f>
        <v>-29</v>
      </c>
      <c r="BG54" s="758">
        <f>SUM(AB54:AE54)</f>
        <v>-9</v>
      </c>
      <c r="BH54" s="759">
        <f>SUM(AF54:AI54)</f>
        <v>-11</v>
      </c>
      <c r="BI54" s="759">
        <f>SUM(AJ54:AM54)</f>
        <v>-1130</v>
      </c>
      <c r="BJ54" s="758">
        <f>SUM(AN54:AQ54)</f>
        <v>1518</v>
      </c>
      <c r="BK54" s="758">
        <f>SUM(AR54:AU54)</f>
        <v>-127</v>
      </c>
      <c r="BL54" s="758">
        <f>SUM(AV54:AY54)</f>
        <v>0</v>
      </c>
      <c r="BM54" s="758">
        <f>BL54</f>
        <v>0</v>
      </c>
      <c r="BN54" s="757">
        <f>BM54</f>
        <v>0</v>
      </c>
      <c r="BR54" s="760"/>
      <c r="BS54"/>
      <c r="BT54"/>
      <c r="BU54"/>
      <c r="BV54"/>
      <c r="BW54"/>
      <c r="BX54"/>
    </row>
    <row r="55" spans="1:76" s="761" customFormat="1" ht="14.25" hidden="1" customHeight="1" outlineLevel="1">
      <c r="B55" s="782"/>
      <c r="C55" s="1540"/>
      <c r="D55" s="770"/>
      <c r="E55" s="771"/>
      <c r="F55" s="771"/>
      <c r="G55" s="772"/>
      <c r="H55" s="770"/>
      <c r="I55" s="771"/>
      <c r="J55" s="771"/>
      <c r="K55" s="772"/>
      <c r="L55" s="770"/>
      <c r="M55" s="771"/>
      <c r="N55" s="771"/>
      <c r="O55" s="772"/>
      <c r="P55" s="770"/>
      <c r="Q55" s="771"/>
      <c r="R55" s="771"/>
      <c r="S55" s="772"/>
      <c r="T55" s="770"/>
      <c r="U55" s="771"/>
      <c r="V55" s="771"/>
      <c r="W55" s="772"/>
      <c r="X55" s="770"/>
      <c r="Y55" s="771"/>
      <c r="Z55" s="771"/>
      <c r="AA55" s="772"/>
      <c r="AB55" s="770"/>
      <c r="AC55" s="771"/>
      <c r="AD55" s="771"/>
      <c r="AE55" s="772"/>
      <c r="AF55" s="770"/>
      <c r="AG55" s="771"/>
      <c r="AH55" s="771"/>
      <c r="AI55" s="772"/>
      <c r="AJ55" s="770"/>
      <c r="AK55" s="771"/>
      <c r="AL55" s="771"/>
      <c r="AM55" s="771"/>
      <c r="AN55" s="770"/>
      <c r="AO55" s="771"/>
      <c r="AP55" s="771"/>
      <c r="AQ55" s="771"/>
      <c r="AR55" s="770"/>
      <c r="AS55" s="771"/>
      <c r="AT55" s="771"/>
      <c r="AU55" s="771"/>
      <c r="AV55" s="770"/>
      <c r="AW55" s="771"/>
      <c r="AX55" s="771"/>
      <c r="AY55" s="772"/>
      <c r="AZ55" s="775"/>
      <c r="BA55" s="764"/>
      <c r="BB55" s="764"/>
      <c r="BC55" s="764"/>
      <c r="BD55" s="764"/>
      <c r="BE55" s="763"/>
      <c r="BF55" s="764"/>
      <c r="BG55" s="764"/>
      <c r="BH55" s="763"/>
      <c r="BI55" s="763"/>
      <c r="BJ55" s="764"/>
      <c r="BK55" s="764"/>
      <c r="BL55" s="764"/>
      <c r="BM55" s="764"/>
      <c r="BN55" s="765"/>
      <c r="BR55" s="766"/>
      <c r="BS55"/>
      <c r="BT55"/>
      <c r="BU55"/>
      <c r="BV55"/>
      <c r="BW55"/>
      <c r="BX55"/>
    </row>
    <row r="56" spans="1:76" s="752" customFormat="1" ht="14.25" hidden="1" customHeight="1" outlineLevel="1">
      <c r="B56" s="779" t="s">
        <v>51</v>
      </c>
      <c r="C56" s="1535"/>
      <c r="D56" s="754">
        <v>0</v>
      </c>
      <c r="E56" s="755">
        <v>0</v>
      </c>
      <c r="F56" s="755">
        <v>0</v>
      </c>
      <c r="G56" s="756">
        <v>0</v>
      </c>
      <c r="H56" s="754">
        <v>0</v>
      </c>
      <c r="I56" s="755">
        <v>0</v>
      </c>
      <c r="J56" s="755">
        <v>0</v>
      </c>
      <c r="K56" s="756">
        <v>0</v>
      </c>
      <c r="L56" s="754">
        <v>-5</v>
      </c>
      <c r="M56" s="755">
        <v>-8</v>
      </c>
      <c r="N56" s="755">
        <f>1+38</f>
        <v>39</v>
      </c>
      <c r="O56" s="756">
        <f>-5-1</f>
        <v>-6</v>
      </c>
      <c r="P56" s="754">
        <v>19</v>
      </c>
      <c r="Q56" s="755">
        <v>3</v>
      </c>
      <c r="R56" s="755">
        <v>-5</v>
      </c>
      <c r="S56" s="756">
        <f>-5+7</f>
        <v>2</v>
      </c>
      <c r="T56" s="754">
        <v>18</v>
      </c>
      <c r="U56" s="755">
        <v>0</v>
      </c>
      <c r="V56" s="755">
        <v>-2</v>
      </c>
      <c r="W56" s="756">
        <v>-3</v>
      </c>
      <c r="X56" s="754">
        <v>0</v>
      </c>
      <c r="Y56" s="755">
        <f>-1-2</f>
        <v>-3</v>
      </c>
      <c r="Z56" s="755">
        <v>-20</v>
      </c>
      <c r="AA56" s="756">
        <v>1</v>
      </c>
      <c r="AB56" s="754">
        <v>0</v>
      </c>
      <c r="AC56" s="755">
        <v>0</v>
      </c>
      <c r="AD56" s="755">
        <v>0</v>
      </c>
      <c r="AE56" s="756">
        <v>0</v>
      </c>
      <c r="AF56" s="754">
        <v>0</v>
      </c>
      <c r="AG56" s="755">
        <f>-7+1</f>
        <v>-6</v>
      </c>
      <c r="AH56" s="755">
        <v>-1</v>
      </c>
      <c r="AI56" s="756">
        <v>1</v>
      </c>
      <c r="AJ56" s="754">
        <v>0</v>
      </c>
      <c r="AK56" s="755">
        <v>0</v>
      </c>
      <c r="AL56" s="755">
        <v>0</v>
      </c>
      <c r="AM56" s="755">
        <f>-1257+133</f>
        <v>-1124</v>
      </c>
      <c r="AN56" s="754">
        <f>367+2</f>
        <v>369</v>
      </c>
      <c r="AO56" s="755">
        <f>436-13+3</f>
        <v>426</v>
      </c>
      <c r="AP56" s="755">
        <f>1+361</f>
        <v>362</v>
      </c>
      <c r="AQ56" s="755">
        <v>363</v>
      </c>
      <c r="AR56" s="754">
        <f>365-1596</f>
        <v>-1231</v>
      </c>
      <c r="AS56" s="755">
        <f>373+15</f>
        <v>388</v>
      </c>
      <c r="AT56" s="755">
        <f>363+6</f>
        <v>369</v>
      </c>
      <c r="AU56" s="755">
        <f>347+2</f>
        <v>349</v>
      </c>
      <c r="AV56" s="754">
        <f>CFS!AV79</f>
        <v>0</v>
      </c>
      <c r="AW56" s="755">
        <f>CFS!AW79</f>
        <v>0</v>
      </c>
      <c r="AX56" s="755">
        <f>CFS!AX79</f>
        <v>0</v>
      </c>
      <c r="AY56" s="756">
        <f>CFS!AY79</f>
        <v>0</v>
      </c>
      <c r="AZ56" s="1131"/>
      <c r="BA56" s="758">
        <f>SUM(D56:G56)</f>
        <v>0</v>
      </c>
      <c r="BB56" s="758">
        <f>SUM(H56:K56)</f>
        <v>0</v>
      </c>
      <c r="BC56" s="758">
        <f>SUM(L56:O56)</f>
        <v>20</v>
      </c>
      <c r="BD56" s="758">
        <f>SUM(P56:S56)</f>
        <v>19</v>
      </c>
      <c r="BE56" s="759">
        <f>SUM(T56:W56)</f>
        <v>13</v>
      </c>
      <c r="BF56" s="758">
        <f>SUM(X56:AA56)</f>
        <v>-22</v>
      </c>
      <c r="BG56" s="758">
        <f>SUM(AB56:AE56)</f>
        <v>0</v>
      </c>
      <c r="BH56" s="759">
        <f>SUM(AF56:AI56)</f>
        <v>-6</v>
      </c>
      <c r="BI56" s="759">
        <f>SUM(AJ56:AM56)</f>
        <v>-1124</v>
      </c>
      <c r="BJ56" s="758">
        <f>SUM(AN56:AQ56)</f>
        <v>1520</v>
      </c>
      <c r="BK56" s="758">
        <f>SUM(AR56:AU56)</f>
        <v>-125</v>
      </c>
      <c r="BL56" s="758">
        <f>SUM(AV56:AY56)</f>
        <v>0</v>
      </c>
      <c r="BM56" s="758">
        <f>BL56</f>
        <v>0</v>
      </c>
      <c r="BN56" s="757">
        <f>BM56</f>
        <v>0</v>
      </c>
      <c r="BR56" s="760"/>
      <c r="BS56"/>
      <c r="BT56"/>
      <c r="BU56"/>
      <c r="BV56"/>
      <c r="BW56"/>
      <c r="BX56"/>
    </row>
    <row r="57" spans="1:76" s="773" customFormat="1" ht="14.25" hidden="1" customHeight="1" outlineLevel="1">
      <c r="B57" s="776" t="s">
        <v>56</v>
      </c>
      <c r="C57" s="1478"/>
      <c r="D57" s="763">
        <f>D54-D56</f>
        <v>27</v>
      </c>
      <c r="E57" s="764">
        <f t="shared" ref="E57:AK57" si="157">E54-E56</f>
        <v>-25</v>
      </c>
      <c r="F57" s="764">
        <f t="shared" si="157"/>
        <v>-119</v>
      </c>
      <c r="G57" s="765">
        <f t="shared" si="157"/>
        <v>-2</v>
      </c>
      <c r="H57" s="763">
        <f t="shared" si="157"/>
        <v>-25</v>
      </c>
      <c r="I57" s="764">
        <f t="shared" si="157"/>
        <v>8</v>
      </c>
      <c r="J57" s="764">
        <f t="shared" si="157"/>
        <v>386</v>
      </c>
      <c r="K57" s="765">
        <f t="shared" si="157"/>
        <v>21</v>
      </c>
      <c r="L57" s="763">
        <f t="shared" si="157"/>
        <v>-1</v>
      </c>
      <c r="M57" s="764">
        <f t="shared" si="157"/>
        <v>1</v>
      </c>
      <c r="N57" s="764">
        <f t="shared" si="157"/>
        <v>-3</v>
      </c>
      <c r="O57" s="765">
        <f t="shared" si="157"/>
        <v>-4</v>
      </c>
      <c r="P57" s="763">
        <f t="shared" si="157"/>
        <v>-2</v>
      </c>
      <c r="Q57" s="764">
        <f t="shared" si="157"/>
        <v>-3</v>
      </c>
      <c r="R57" s="764">
        <f t="shared" si="157"/>
        <v>4</v>
      </c>
      <c r="S57" s="765">
        <f t="shared" si="157"/>
        <v>-2</v>
      </c>
      <c r="T57" s="763">
        <f t="shared" si="157"/>
        <v>-8</v>
      </c>
      <c r="U57" s="764">
        <f t="shared" si="157"/>
        <v>-4</v>
      </c>
      <c r="V57" s="764">
        <f t="shared" si="157"/>
        <v>-3</v>
      </c>
      <c r="W57" s="765">
        <f t="shared" si="157"/>
        <v>-2</v>
      </c>
      <c r="X57" s="763">
        <f t="shared" si="157"/>
        <v>-1</v>
      </c>
      <c r="Y57" s="764">
        <f t="shared" si="157"/>
        <v>-2</v>
      </c>
      <c r="Z57" s="764">
        <f t="shared" si="157"/>
        <v>-1</v>
      </c>
      <c r="AA57" s="765">
        <f t="shared" si="157"/>
        <v>-3</v>
      </c>
      <c r="AB57" s="763">
        <f t="shared" si="157"/>
        <v>-7</v>
      </c>
      <c r="AC57" s="764">
        <f t="shared" si="157"/>
        <v>-1</v>
      </c>
      <c r="AD57" s="764">
        <f t="shared" si="157"/>
        <v>0</v>
      </c>
      <c r="AE57" s="765">
        <f t="shared" si="157"/>
        <v>-1</v>
      </c>
      <c r="AF57" s="763">
        <f t="shared" si="157"/>
        <v>-1</v>
      </c>
      <c r="AG57" s="764">
        <f t="shared" si="157"/>
        <v>-1</v>
      </c>
      <c r="AH57" s="764">
        <f t="shared" si="157"/>
        <v>0</v>
      </c>
      <c r="AI57" s="765">
        <f t="shared" si="157"/>
        <v>-3</v>
      </c>
      <c r="AJ57" s="763">
        <f t="shared" si="157"/>
        <v>0</v>
      </c>
      <c r="AK57" s="764">
        <f t="shared" si="157"/>
        <v>-1</v>
      </c>
      <c r="AL57" s="764">
        <f t="shared" ref="AL57:AO57" si="158">AL54-AL56</f>
        <v>-4</v>
      </c>
      <c r="AM57" s="764">
        <f t="shared" si="158"/>
        <v>-1</v>
      </c>
      <c r="AN57" s="763">
        <f t="shared" si="158"/>
        <v>0</v>
      </c>
      <c r="AO57" s="764">
        <f t="shared" si="158"/>
        <v>0</v>
      </c>
      <c r="AP57" s="764">
        <f t="shared" ref="AP57:AS57" si="159">AP54-AP56</f>
        <v>-1</v>
      </c>
      <c r="AQ57" s="764">
        <f t="shared" si="159"/>
        <v>-1</v>
      </c>
      <c r="AR57" s="763">
        <f t="shared" si="159"/>
        <v>-2</v>
      </c>
      <c r="AS57" s="764">
        <f t="shared" si="159"/>
        <v>1</v>
      </c>
      <c r="AT57" s="764">
        <f t="shared" ref="AT57:AU57" si="160">AT54-AT56</f>
        <v>-1</v>
      </c>
      <c r="AU57" s="764">
        <f t="shared" si="160"/>
        <v>0</v>
      </c>
      <c r="AV57" s="763">
        <f t="shared" ref="AV57:AY57" si="161">AV54-AV56</f>
        <v>0</v>
      </c>
      <c r="AW57" s="764">
        <f t="shared" si="161"/>
        <v>0</v>
      </c>
      <c r="AX57" s="764">
        <f t="shared" si="161"/>
        <v>0</v>
      </c>
      <c r="AY57" s="765">
        <f t="shared" si="161"/>
        <v>0</v>
      </c>
      <c r="AZ57" s="762"/>
      <c r="BA57" s="764">
        <f t="shared" ref="BA57:BI57" si="162">BA54-BA56</f>
        <v>-119</v>
      </c>
      <c r="BB57" s="764">
        <f t="shared" si="162"/>
        <v>390</v>
      </c>
      <c r="BC57" s="764">
        <f t="shared" si="162"/>
        <v>-7</v>
      </c>
      <c r="BD57" s="764">
        <f t="shared" si="162"/>
        <v>-3</v>
      </c>
      <c r="BE57" s="763">
        <f t="shared" si="162"/>
        <v>-17</v>
      </c>
      <c r="BF57" s="764">
        <f t="shared" si="162"/>
        <v>-7</v>
      </c>
      <c r="BG57" s="764">
        <f t="shared" si="162"/>
        <v>-9</v>
      </c>
      <c r="BH57" s="763">
        <f t="shared" si="162"/>
        <v>-5</v>
      </c>
      <c r="BI57" s="763">
        <f t="shared" si="162"/>
        <v>-6</v>
      </c>
      <c r="BJ57" s="764">
        <f t="shared" ref="BJ57:BM57" si="163">BJ54-BJ56</f>
        <v>-2</v>
      </c>
      <c r="BK57" s="764">
        <f t="shared" si="163"/>
        <v>-2</v>
      </c>
      <c r="BL57" s="764">
        <f t="shared" si="163"/>
        <v>0</v>
      </c>
      <c r="BM57" s="764">
        <f t="shared" si="163"/>
        <v>0</v>
      </c>
      <c r="BN57" s="765">
        <f t="shared" ref="BN57" si="164">BN54-BN56</f>
        <v>0</v>
      </c>
      <c r="BR57" s="792"/>
      <c r="BS57"/>
      <c r="BT57"/>
      <c r="BU57"/>
      <c r="BV57"/>
      <c r="BW57"/>
      <c r="BX57"/>
    </row>
    <row r="58" spans="1:76" ht="14.25" hidden="1" customHeight="1" outlineLevel="1">
      <c r="A58" s="8"/>
      <c r="B58" s="776"/>
      <c r="C58" s="58"/>
      <c r="D58" s="39"/>
      <c r="E58" s="37"/>
      <c r="F58" s="37"/>
      <c r="G58" s="38"/>
      <c r="H58" s="39"/>
      <c r="I58" s="37"/>
      <c r="J58" s="37"/>
      <c r="K58" s="38"/>
      <c r="L58" s="39"/>
      <c r="M58" s="37"/>
      <c r="N58" s="37"/>
      <c r="O58" s="38"/>
      <c r="P58" s="39"/>
      <c r="Q58" s="37"/>
      <c r="R58" s="37"/>
      <c r="S58" s="38"/>
      <c r="T58" s="39"/>
      <c r="U58" s="37"/>
      <c r="V58" s="37"/>
      <c r="W58" s="38"/>
      <c r="X58" s="39"/>
      <c r="Y58" s="37"/>
      <c r="Z58" s="37"/>
      <c r="AA58" s="38"/>
      <c r="AB58" s="39"/>
      <c r="AC58" s="37"/>
      <c r="AD58" s="37"/>
      <c r="AE58" s="38"/>
      <c r="AF58" s="39"/>
      <c r="AG58" s="37"/>
      <c r="AH58" s="37"/>
      <c r="AI58" s="38"/>
      <c r="AJ58" s="39"/>
      <c r="AK58" s="37"/>
      <c r="AL58" s="37"/>
      <c r="AM58" s="37"/>
      <c r="AN58" s="39"/>
      <c r="AO58" s="37"/>
      <c r="AP58" s="37"/>
      <c r="AQ58" s="37"/>
      <c r="AR58" s="39"/>
      <c r="AS58" s="37"/>
      <c r="AT58" s="37"/>
      <c r="AU58" s="37"/>
      <c r="AV58" s="39"/>
      <c r="AW58" s="37"/>
      <c r="AX58" s="37"/>
      <c r="AY58" s="38"/>
      <c r="AZ58" s="246"/>
      <c r="BA58" s="37"/>
      <c r="BB58" s="37"/>
      <c r="BC58" s="37"/>
      <c r="BD58" s="37"/>
      <c r="BE58" s="39"/>
      <c r="BF58" s="37"/>
      <c r="BG58" s="37"/>
      <c r="BH58" s="39"/>
      <c r="BI58" s="39"/>
      <c r="BJ58" s="37"/>
      <c r="BK58" s="37"/>
      <c r="BL58" s="37"/>
      <c r="BM58" s="37"/>
      <c r="BN58" s="38"/>
      <c r="BR58" s="1472"/>
    </row>
    <row r="59" spans="1:76" s="761" customFormat="1" ht="14.25" customHeight="1" collapsed="1">
      <c r="B59" s="776" t="s">
        <v>46</v>
      </c>
      <c r="C59" s="1478"/>
      <c r="D59" s="763">
        <f t="shared" ref="D59:AY59" si="165">D28+D41+D54</f>
        <v>738</v>
      </c>
      <c r="E59" s="764">
        <f t="shared" si="165"/>
        <v>693</v>
      </c>
      <c r="F59" s="764">
        <f t="shared" si="165"/>
        <v>611</v>
      </c>
      <c r="G59" s="765">
        <f t="shared" si="165"/>
        <v>781</v>
      </c>
      <c r="H59" s="763">
        <f t="shared" si="165"/>
        <v>723</v>
      </c>
      <c r="I59" s="764">
        <f t="shared" si="165"/>
        <v>791</v>
      </c>
      <c r="J59" s="764">
        <f t="shared" si="165"/>
        <v>1906</v>
      </c>
      <c r="K59" s="765">
        <f t="shared" si="165"/>
        <v>444</v>
      </c>
      <c r="L59" s="763">
        <f t="shared" si="165"/>
        <v>407</v>
      </c>
      <c r="M59" s="764">
        <f t="shared" si="165"/>
        <v>392</v>
      </c>
      <c r="N59" s="764">
        <f t="shared" si="165"/>
        <v>444</v>
      </c>
      <c r="O59" s="765">
        <f t="shared" si="165"/>
        <v>586</v>
      </c>
      <c r="P59" s="763">
        <f t="shared" si="165"/>
        <v>421</v>
      </c>
      <c r="Q59" s="764">
        <f t="shared" si="165"/>
        <v>370</v>
      </c>
      <c r="R59" s="764">
        <f t="shared" si="165"/>
        <v>370</v>
      </c>
      <c r="S59" s="765">
        <f t="shared" si="165"/>
        <v>389</v>
      </c>
      <c r="T59" s="763">
        <f t="shared" si="165"/>
        <v>398</v>
      </c>
      <c r="U59" s="764">
        <f t="shared" si="165"/>
        <v>390</v>
      </c>
      <c r="V59" s="764">
        <f t="shared" si="165"/>
        <v>379</v>
      </c>
      <c r="W59" s="765">
        <f t="shared" si="165"/>
        <v>382</v>
      </c>
      <c r="X59" s="763">
        <f t="shared" si="165"/>
        <v>369</v>
      </c>
      <c r="Y59" s="764">
        <f t="shared" si="165"/>
        <v>382</v>
      </c>
      <c r="Z59" s="764">
        <f t="shared" si="165"/>
        <v>368</v>
      </c>
      <c r="AA59" s="765">
        <f t="shared" si="165"/>
        <v>457</v>
      </c>
      <c r="AB59" s="763">
        <f t="shared" si="165"/>
        <v>368</v>
      </c>
      <c r="AC59" s="764">
        <f t="shared" si="165"/>
        <v>365</v>
      </c>
      <c r="AD59" s="764">
        <f t="shared" si="165"/>
        <v>402</v>
      </c>
      <c r="AE59" s="765">
        <f t="shared" si="165"/>
        <v>391</v>
      </c>
      <c r="AF59" s="763">
        <f t="shared" si="165"/>
        <v>401</v>
      </c>
      <c r="AG59" s="764">
        <f t="shared" si="165"/>
        <v>389</v>
      </c>
      <c r="AH59" s="764">
        <f t="shared" si="165"/>
        <v>406</v>
      </c>
      <c r="AI59" s="765">
        <f t="shared" si="165"/>
        <v>394</v>
      </c>
      <c r="AJ59" s="763">
        <f t="shared" si="165"/>
        <v>409</v>
      </c>
      <c r="AK59" s="764">
        <f t="shared" si="165"/>
        <v>392</v>
      </c>
      <c r="AL59" s="764">
        <f t="shared" si="165"/>
        <v>365</v>
      </c>
      <c r="AM59" s="764">
        <f t="shared" si="165"/>
        <v>-394</v>
      </c>
      <c r="AN59" s="763">
        <f t="shared" si="165"/>
        <v>1068</v>
      </c>
      <c r="AO59" s="764">
        <f t="shared" si="165"/>
        <v>1125</v>
      </c>
      <c r="AP59" s="764">
        <f t="shared" si="165"/>
        <v>1010</v>
      </c>
      <c r="AQ59" s="764">
        <f t="shared" si="165"/>
        <v>1016</v>
      </c>
      <c r="AR59" s="763">
        <f t="shared" si="165"/>
        <v>-600</v>
      </c>
      <c r="AS59" s="764">
        <f t="shared" si="165"/>
        <v>1033</v>
      </c>
      <c r="AT59" s="764">
        <f t="shared" ref="AT59" si="166">AT28+AT41+AT54</f>
        <v>1052</v>
      </c>
      <c r="AU59" s="764">
        <f>AU28+AU41+AU54</f>
        <v>1032</v>
      </c>
      <c r="AV59" s="763">
        <f t="shared" si="165"/>
        <v>610.7089006514658</v>
      </c>
      <c r="AW59" s="764">
        <f t="shared" si="165"/>
        <v>618.03797463727335</v>
      </c>
      <c r="AX59" s="764">
        <f t="shared" si="165"/>
        <v>626.87243723649124</v>
      </c>
      <c r="AY59" s="765">
        <f t="shared" si="165"/>
        <v>617.31091062170879</v>
      </c>
      <c r="AZ59" s="775"/>
      <c r="BA59" s="764">
        <f t="shared" ref="BA59:BM59" si="167">BA28+BA41+BA54</f>
        <v>2823</v>
      </c>
      <c r="BB59" s="764">
        <f t="shared" si="167"/>
        <v>3864</v>
      </c>
      <c r="BC59" s="764">
        <f t="shared" si="167"/>
        <v>1829</v>
      </c>
      <c r="BD59" s="764">
        <f t="shared" si="167"/>
        <v>1550</v>
      </c>
      <c r="BE59" s="763">
        <f t="shared" si="167"/>
        <v>1549</v>
      </c>
      <c r="BF59" s="764">
        <f t="shared" si="167"/>
        <v>1576</v>
      </c>
      <c r="BG59" s="764">
        <f t="shared" si="167"/>
        <v>1526</v>
      </c>
      <c r="BH59" s="763">
        <f t="shared" si="167"/>
        <v>1590</v>
      </c>
      <c r="BI59" s="763">
        <f t="shared" si="167"/>
        <v>772</v>
      </c>
      <c r="BJ59" s="764">
        <f t="shared" si="167"/>
        <v>4219</v>
      </c>
      <c r="BK59" s="764">
        <f t="shared" si="167"/>
        <v>2517</v>
      </c>
      <c r="BL59" s="764">
        <f t="shared" si="167"/>
        <v>2472.9302231469392</v>
      </c>
      <c r="BM59" s="764">
        <f t="shared" si="167"/>
        <v>2541.2106403998823</v>
      </c>
      <c r="BN59" s="765">
        <f t="shared" ref="BN59" si="168">BN28+BN41+BN54</f>
        <v>2603.3476157253181</v>
      </c>
      <c r="BR59" s="766"/>
      <c r="BS59"/>
      <c r="BT59"/>
      <c r="BU59"/>
      <c r="BV59"/>
      <c r="BW59"/>
      <c r="BX59"/>
    </row>
    <row r="60" spans="1:76" s="761" customFormat="1" ht="14.25" customHeight="1">
      <c r="B60" s="1326" t="s">
        <v>23</v>
      </c>
      <c r="C60" s="1478"/>
      <c r="D60" s="763"/>
      <c r="E60" s="764"/>
      <c r="F60" s="764"/>
      <c r="G60" s="765"/>
      <c r="H60" s="763"/>
      <c r="I60" s="764"/>
      <c r="J60" s="764"/>
      <c r="K60" s="765"/>
      <c r="L60" s="763"/>
      <c r="M60" s="764"/>
      <c r="N60" s="764"/>
      <c r="O60" s="765"/>
      <c r="P60" s="763"/>
      <c r="Q60" s="764"/>
      <c r="R60" s="764"/>
      <c r="S60" s="765"/>
      <c r="T60" s="763"/>
      <c r="U60" s="764"/>
      <c r="V60" s="764"/>
      <c r="W60" s="765"/>
      <c r="X60" s="763">
        <f>+X62-X44-X31</f>
        <v>292</v>
      </c>
      <c r="Y60" s="764">
        <f>+Y62-Y44-Y31</f>
        <v>301</v>
      </c>
      <c r="Z60" s="764">
        <f>+Z62-Z44-Z31</f>
        <v>310</v>
      </c>
      <c r="AA60" s="765">
        <f>AA37+AA50</f>
        <v>308</v>
      </c>
      <c r="AB60" s="763">
        <f>+AB62-AB44-AB31</f>
        <v>282</v>
      </c>
      <c r="AC60" s="764">
        <f>+AC62-AC44-AC31</f>
        <v>284</v>
      </c>
      <c r="AD60" s="764">
        <f>+AD62-AD44-AD31</f>
        <v>300</v>
      </c>
      <c r="AE60" s="765">
        <f>AE37+AE50</f>
        <v>313</v>
      </c>
      <c r="AF60" s="763">
        <f t="shared" ref="AF60:AS60" si="169">+AF62-AF44-AF31</f>
        <v>316</v>
      </c>
      <c r="AG60" s="764">
        <f t="shared" si="169"/>
        <v>321</v>
      </c>
      <c r="AH60" s="764">
        <f t="shared" si="169"/>
        <v>335</v>
      </c>
      <c r="AI60" s="765">
        <f t="shared" si="169"/>
        <v>327</v>
      </c>
      <c r="AJ60" s="763">
        <f t="shared" si="169"/>
        <v>326</v>
      </c>
      <c r="AK60" s="764">
        <f t="shared" si="169"/>
        <v>316</v>
      </c>
      <c r="AL60" s="764">
        <f t="shared" si="169"/>
        <v>299</v>
      </c>
      <c r="AM60" s="764">
        <f t="shared" si="169"/>
        <v>373</v>
      </c>
      <c r="AN60" s="763">
        <f t="shared" si="169"/>
        <v>593</v>
      </c>
      <c r="AO60" s="764">
        <f t="shared" si="169"/>
        <v>577</v>
      </c>
      <c r="AP60" s="764">
        <f t="shared" si="169"/>
        <v>556</v>
      </c>
      <c r="AQ60" s="764">
        <f t="shared" si="169"/>
        <v>533</v>
      </c>
      <c r="AR60" s="763">
        <f t="shared" si="169"/>
        <v>545</v>
      </c>
      <c r="AS60" s="764">
        <f t="shared" si="169"/>
        <v>542</v>
      </c>
      <c r="AT60" s="764">
        <f t="shared" ref="AT60:AU60" si="170">+AT62-AT44-AT31</f>
        <v>548</v>
      </c>
      <c r="AU60" s="764">
        <f t="shared" si="170"/>
        <v>568</v>
      </c>
      <c r="AV60" s="763">
        <f t="shared" ref="AV60:AY60" si="171">SUM(AV37,AV50)</f>
        <v>542.7089006514658</v>
      </c>
      <c r="AW60" s="764">
        <f t="shared" si="171"/>
        <v>550.03797463727335</v>
      </c>
      <c r="AX60" s="764">
        <f t="shared" si="171"/>
        <v>558.87243723649124</v>
      </c>
      <c r="AY60" s="765">
        <f t="shared" si="171"/>
        <v>549.31091062170879</v>
      </c>
      <c r="AZ60" s="775"/>
      <c r="BA60" s="764">
        <f>SUM(D60:G60)</f>
        <v>0</v>
      </c>
      <c r="BB60" s="764">
        <f>SUM(H60:K60)</f>
        <v>0</v>
      </c>
      <c r="BC60" s="764">
        <f>SUM(L60:O60)</f>
        <v>0</v>
      </c>
      <c r="BD60" s="764">
        <f>SUM(P60:S60)</f>
        <v>0</v>
      </c>
      <c r="BE60" s="763">
        <f>SUM(T60:W60)</f>
        <v>0</v>
      </c>
      <c r="BF60" s="764">
        <f>SUM(X60:AA60)</f>
        <v>1211</v>
      </c>
      <c r="BG60" s="764">
        <f>SUM(AB60:AE60)</f>
        <v>1179</v>
      </c>
      <c r="BH60" s="763">
        <f>SUM(AF60:AI60)</f>
        <v>1299</v>
      </c>
      <c r="BI60" s="763">
        <f>SUM(AJ60:AM60)</f>
        <v>1314</v>
      </c>
      <c r="BJ60" s="764">
        <f>SUM(AN60:AQ60)</f>
        <v>2259</v>
      </c>
      <c r="BK60" s="764">
        <f>SUM(AR60:AU60)</f>
        <v>2203</v>
      </c>
      <c r="BL60" s="764">
        <f>SUM(AV60:AY60)</f>
        <v>2200.9302231469392</v>
      </c>
      <c r="BM60" s="764">
        <f>SUM(BM37,BM50)</f>
        <v>2269.2106403998823</v>
      </c>
      <c r="BN60" s="765">
        <f>SUM(BN37,BN50)</f>
        <v>2331.3476157253181</v>
      </c>
      <c r="BR60" s="766"/>
      <c r="BS60"/>
      <c r="BT60"/>
      <c r="BU60"/>
      <c r="BV60"/>
      <c r="BW60"/>
      <c r="BX60"/>
    </row>
    <row r="61" spans="1:76" s="761" customFormat="1" ht="14.25" customHeight="1">
      <c r="B61" s="451" t="s">
        <v>489</v>
      </c>
      <c r="C61" s="1478"/>
      <c r="D61" s="763"/>
      <c r="E61" s="764"/>
      <c r="F61" s="764"/>
      <c r="G61" s="765"/>
      <c r="H61" s="763"/>
      <c r="I61" s="764"/>
      <c r="J61" s="764"/>
      <c r="K61" s="765"/>
      <c r="L61" s="763"/>
      <c r="M61" s="764"/>
      <c r="N61" s="764"/>
      <c r="O61" s="765"/>
      <c r="P61" s="763"/>
      <c r="Q61" s="764"/>
      <c r="R61" s="764"/>
      <c r="S61" s="765"/>
      <c r="T61" s="763"/>
      <c r="U61" s="764"/>
      <c r="V61" s="764"/>
      <c r="W61" s="765"/>
      <c r="X61" s="763"/>
      <c r="Y61" s="764"/>
      <c r="Z61" s="764"/>
      <c r="AA61" s="765"/>
      <c r="AB61" s="763"/>
      <c r="AC61" s="764"/>
      <c r="AD61" s="764"/>
      <c r="AE61" s="765"/>
      <c r="AF61" s="763"/>
      <c r="AG61" s="764"/>
      <c r="AH61" s="764"/>
      <c r="AI61" s="765"/>
      <c r="AJ61" s="1527">
        <f t="shared" ref="AJ61:AY61" si="172">AJ60/AJ8</f>
        <v>0.22222222222222221</v>
      </c>
      <c r="AK61" s="1504">
        <f t="shared" si="172"/>
        <v>0.20982735723771581</v>
      </c>
      <c r="AL61" s="1504">
        <f t="shared" si="172"/>
        <v>0.1964520367936925</v>
      </c>
      <c r="AM61" s="1742">
        <f t="shared" si="172"/>
        <v>0.23225404732254049</v>
      </c>
      <c r="AN61" s="1674">
        <f t="shared" si="172"/>
        <v>0.26663669064748202</v>
      </c>
      <c r="AO61" s="1673">
        <f t="shared" si="172"/>
        <v>0.24397463002114164</v>
      </c>
      <c r="AP61" s="1741">
        <f t="shared" si="172"/>
        <v>0.22519238558120697</v>
      </c>
      <c r="AQ61" s="1742">
        <f t="shared" si="172"/>
        <v>0.21844262295081968</v>
      </c>
      <c r="AR61" s="1743">
        <f t="shared" si="172"/>
        <v>0.24649479873360469</v>
      </c>
      <c r="AS61" s="1741">
        <f t="shared" si="172"/>
        <v>0.24613987284287012</v>
      </c>
      <c r="AT61" s="1848">
        <f t="shared" ref="AT61:AU61" si="173">AT60/AT8</f>
        <v>0.22957687473816507</v>
      </c>
      <c r="AU61" s="1849">
        <f t="shared" si="173"/>
        <v>0.23127035830618892</v>
      </c>
      <c r="AV61" s="1850">
        <f t="shared" si="172"/>
        <v>0.23334489962570223</v>
      </c>
      <c r="AW61" s="1848">
        <f t="shared" si="172"/>
        <v>0.22865589490622817</v>
      </c>
      <c r="AX61" s="1848">
        <f t="shared" si="172"/>
        <v>0.2232122401234026</v>
      </c>
      <c r="AY61" s="1849">
        <f t="shared" si="172"/>
        <v>0.22279157402586169</v>
      </c>
      <c r="AZ61" s="775"/>
      <c r="BA61" s="1530">
        <f t="shared" ref="BA61:BM61" si="174">BA60/BA8</f>
        <v>0</v>
      </c>
      <c r="BB61" s="1530">
        <f t="shared" si="174"/>
        <v>0</v>
      </c>
      <c r="BC61" s="1530">
        <f t="shared" si="174"/>
        <v>0</v>
      </c>
      <c r="BD61" s="1530">
        <f t="shared" si="174"/>
        <v>0</v>
      </c>
      <c r="BE61" s="1682">
        <f t="shared" si="174"/>
        <v>0</v>
      </c>
      <c r="BF61" s="1683">
        <f t="shared" si="174"/>
        <v>0.2778797613584213</v>
      </c>
      <c r="BG61" s="1683">
        <f t="shared" si="174"/>
        <v>0.24485981308411214</v>
      </c>
      <c r="BH61" s="1765">
        <f t="shared" si="174"/>
        <v>0.23003364618381442</v>
      </c>
      <c r="BI61" s="1765">
        <f t="shared" si="174"/>
        <v>0.21537452876577609</v>
      </c>
      <c r="BJ61" s="1815">
        <f t="shared" si="174"/>
        <v>0.23783954516740366</v>
      </c>
      <c r="BK61" s="1815">
        <f t="shared" si="174"/>
        <v>0.23800777873811582</v>
      </c>
      <c r="BL61" s="1815">
        <f t="shared" si="174"/>
        <v>0.22688456829232759</v>
      </c>
      <c r="BM61" s="1815">
        <f t="shared" si="174"/>
        <v>0.22168154757543465</v>
      </c>
      <c r="BN61" s="1755">
        <f t="shared" ref="BN61" si="175">BN60/BN8</f>
        <v>0.21713321160318044</v>
      </c>
      <c r="BR61" s="766"/>
      <c r="BS61"/>
      <c r="BT61"/>
      <c r="BU61"/>
      <c r="BV61"/>
      <c r="BW61"/>
      <c r="BX61"/>
    </row>
    <row r="62" spans="1:76" s="761" customFormat="1" ht="14.25" hidden="1" customHeight="1" outlineLevel="1">
      <c r="B62" s="776" t="s">
        <v>57</v>
      </c>
      <c r="C62" s="1478"/>
      <c r="D62" s="763">
        <f t="shared" ref="D62:AY62" si="176">D33+D46+D57</f>
        <v>738</v>
      </c>
      <c r="E62" s="764">
        <f t="shared" si="176"/>
        <v>693</v>
      </c>
      <c r="F62" s="764">
        <f t="shared" si="176"/>
        <v>611</v>
      </c>
      <c r="G62" s="765">
        <f t="shared" si="176"/>
        <v>781</v>
      </c>
      <c r="H62" s="763">
        <f t="shared" si="176"/>
        <v>723</v>
      </c>
      <c r="I62" s="764">
        <f t="shared" si="176"/>
        <v>791</v>
      </c>
      <c r="J62" s="764">
        <f t="shared" si="176"/>
        <v>1906</v>
      </c>
      <c r="K62" s="765">
        <f t="shared" si="176"/>
        <v>444</v>
      </c>
      <c r="L62" s="763">
        <f t="shared" si="176"/>
        <v>307</v>
      </c>
      <c r="M62" s="764">
        <f t="shared" si="176"/>
        <v>295</v>
      </c>
      <c r="N62" s="764">
        <f t="shared" si="176"/>
        <v>316</v>
      </c>
      <c r="O62" s="765">
        <f t="shared" si="176"/>
        <v>354</v>
      </c>
      <c r="P62" s="763">
        <f t="shared" si="176"/>
        <v>296</v>
      </c>
      <c r="Q62" s="764">
        <f t="shared" si="176"/>
        <v>291</v>
      </c>
      <c r="R62" s="764">
        <f t="shared" si="176"/>
        <v>303</v>
      </c>
      <c r="S62" s="765">
        <f t="shared" si="176"/>
        <v>300</v>
      </c>
      <c r="T62" s="763">
        <f t="shared" si="176"/>
        <v>294</v>
      </c>
      <c r="U62" s="764">
        <f t="shared" si="176"/>
        <v>307</v>
      </c>
      <c r="V62" s="764">
        <f t="shared" si="176"/>
        <v>302</v>
      </c>
      <c r="W62" s="765">
        <f t="shared" si="176"/>
        <v>275</v>
      </c>
      <c r="X62" s="763">
        <f t="shared" si="176"/>
        <v>292</v>
      </c>
      <c r="Y62" s="764">
        <f t="shared" si="176"/>
        <v>301</v>
      </c>
      <c r="Z62" s="764">
        <f t="shared" si="176"/>
        <v>310</v>
      </c>
      <c r="AA62" s="765">
        <f t="shared" si="176"/>
        <v>305</v>
      </c>
      <c r="AB62" s="763">
        <f t="shared" si="176"/>
        <v>298</v>
      </c>
      <c r="AC62" s="764">
        <f t="shared" si="176"/>
        <v>301</v>
      </c>
      <c r="AD62" s="764">
        <f t="shared" si="176"/>
        <v>319</v>
      </c>
      <c r="AE62" s="765">
        <f t="shared" si="176"/>
        <v>340</v>
      </c>
      <c r="AF62" s="763">
        <f t="shared" si="176"/>
        <v>341</v>
      </c>
      <c r="AG62" s="764">
        <f t="shared" si="176"/>
        <v>356</v>
      </c>
      <c r="AH62" s="764">
        <f t="shared" si="176"/>
        <v>367</v>
      </c>
      <c r="AI62" s="765">
        <f t="shared" si="176"/>
        <v>358</v>
      </c>
      <c r="AJ62" s="763">
        <f t="shared" si="176"/>
        <v>359</v>
      </c>
      <c r="AK62" s="764">
        <f t="shared" si="176"/>
        <v>349</v>
      </c>
      <c r="AL62" s="764">
        <f t="shared" si="176"/>
        <v>330</v>
      </c>
      <c r="AM62" s="764">
        <f t="shared" si="176"/>
        <v>477</v>
      </c>
      <c r="AN62" s="763">
        <f t="shared" si="176"/>
        <v>677</v>
      </c>
      <c r="AO62" s="764">
        <f t="shared" si="176"/>
        <v>645</v>
      </c>
      <c r="AP62" s="764">
        <f t="shared" si="176"/>
        <v>623</v>
      </c>
      <c r="AQ62" s="764">
        <f t="shared" si="176"/>
        <v>603</v>
      </c>
      <c r="AR62" s="763">
        <f t="shared" si="176"/>
        <v>604</v>
      </c>
      <c r="AS62" s="764">
        <f t="shared" si="176"/>
        <v>602</v>
      </c>
      <c r="AT62" s="764">
        <f t="shared" ref="AT62:AU62" si="177">AT33+AT46+AT57</f>
        <v>609</v>
      </c>
      <c r="AU62" s="764">
        <f t="shared" si="177"/>
        <v>636</v>
      </c>
      <c r="AV62" s="763">
        <f t="shared" si="176"/>
        <v>610.7089006514658</v>
      </c>
      <c r="AW62" s="764">
        <f t="shared" si="176"/>
        <v>618.03797463727335</v>
      </c>
      <c r="AX62" s="764">
        <f t="shared" si="176"/>
        <v>626.87243723649124</v>
      </c>
      <c r="AY62" s="765">
        <f t="shared" si="176"/>
        <v>617.31091062170879</v>
      </c>
      <c r="AZ62" s="775"/>
      <c r="BA62" s="764">
        <f t="shared" ref="BA62:BM62" si="178">BA33+BA46+BA57</f>
        <v>2823</v>
      </c>
      <c r="BB62" s="764">
        <f t="shared" si="178"/>
        <v>3864</v>
      </c>
      <c r="BC62" s="764">
        <f t="shared" si="178"/>
        <v>1272</v>
      </c>
      <c r="BD62" s="764">
        <f t="shared" si="178"/>
        <v>1190</v>
      </c>
      <c r="BE62" s="763">
        <f t="shared" si="178"/>
        <v>1178</v>
      </c>
      <c r="BF62" s="764">
        <f t="shared" si="178"/>
        <v>1208</v>
      </c>
      <c r="BG62" s="764">
        <f t="shared" si="178"/>
        <v>1258</v>
      </c>
      <c r="BH62" s="763">
        <f t="shared" si="178"/>
        <v>1422</v>
      </c>
      <c r="BI62" s="763">
        <f t="shared" si="178"/>
        <v>1515</v>
      </c>
      <c r="BJ62" s="764">
        <f t="shared" si="178"/>
        <v>2548</v>
      </c>
      <c r="BK62" s="764">
        <f t="shared" si="178"/>
        <v>2451</v>
      </c>
      <c r="BL62" s="764">
        <f t="shared" si="178"/>
        <v>2472.9302231469392</v>
      </c>
      <c r="BM62" s="764">
        <f t="shared" si="178"/>
        <v>2541.2106403998823</v>
      </c>
      <c r="BN62" s="765">
        <f t="shared" ref="BN62" si="179">BN33+BN46+BN57</f>
        <v>2603.3476157253181</v>
      </c>
      <c r="BR62" s="766"/>
      <c r="BS62"/>
      <c r="BT62"/>
      <c r="BU62"/>
      <c r="BV62"/>
      <c r="BW62"/>
      <c r="BX62"/>
    </row>
    <row r="63" spans="1:76" s="761" customFormat="1" ht="14.25" hidden="1" customHeight="1" outlineLevel="1">
      <c r="B63" s="776"/>
      <c r="C63" s="1478"/>
      <c r="D63" s="770"/>
      <c r="E63" s="771"/>
      <c r="F63" s="771"/>
      <c r="G63" s="772"/>
      <c r="H63" s="770"/>
      <c r="I63" s="771"/>
      <c r="J63" s="771"/>
      <c r="K63" s="772"/>
      <c r="L63" s="770"/>
      <c r="M63" s="771"/>
      <c r="N63" s="771"/>
      <c r="O63" s="772"/>
      <c r="P63" s="770"/>
      <c r="Q63" s="771"/>
      <c r="R63" s="771"/>
      <c r="S63" s="772"/>
      <c r="T63" s="770"/>
      <c r="U63" s="771"/>
      <c r="V63" s="771"/>
      <c r="W63" s="772"/>
      <c r="X63" s="770"/>
      <c r="Y63" s="771"/>
      <c r="Z63" s="771"/>
      <c r="AA63" s="772"/>
      <c r="AB63" s="770"/>
      <c r="AC63" s="771"/>
      <c r="AD63" s="771"/>
      <c r="AE63" s="772"/>
      <c r="AF63" s="770"/>
      <c r="AG63" s="771"/>
      <c r="AH63" s="771"/>
      <c r="AI63" s="772"/>
      <c r="AJ63" s="770"/>
      <c r="AK63" s="771"/>
      <c r="AL63" s="771"/>
      <c r="AM63" s="771"/>
      <c r="AN63" s="770"/>
      <c r="AO63" s="771"/>
      <c r="AP63" s="771"/>
      <c r="AQ63" s="771"/>
      <c r="AR63" s="770"/>
      <c r="AS63" s="771"/>
      <c r="AT63" s="771"/>
      <c r="AU63" s="771"/>
      <c r="AV63" s="770"/>
      <c r="AW63" s="771"/>
      <c r="AX63" s="771"/>
      <c r="AY63" s="772"/>
      <c r="AZ63" s="775"/>
      <c r="BA63" s="771"/>
      <c r="BB63" s="771"/>
      <c r="BC63" s="771"/>
      <c r="BD63" s="771"/>
      <c r="BE63" s="770"/>
      <c r="BF63" s="771"/>
      <c r="BG63" s="771"/>
      <c r="BH63" s="770"/>
      <c r="BI63" s="770"/>
      <c r="BJ63" s="771"/>
      <c r="BK63" s="771"/>
      <c r="BL63" s="771"/>
      <c r="BM63" s="771"/>
      <c r="BN63" s="772"/>
      <c r="BR63" s="766"/>
      <c r="BS63"/>
      <c r="BT63"/>
      <c r="BU63"/>
      <c r="BV63"/>
      <c r="BW63"/>
      <c r="BX63"/>
    </row>
    <row r="64" spans="1:76" s="761" customFormat="1" ht="14.25" customHeight="1" collapsed="1">
      <c r="B64" s="780" t="s">
        <v>251</v>
      </c>
      <c r="C64" s="1536"/>
      <c r="D64" s="767">
        <f t="shared" ref="D64:AY64" si="180">D19-D59</f>
        <v>-291</v>
      </c>
      <c r="E64" s="768">
        <f t="shared" si="180"/>
        <v>-339</v>
      </c>
      <c r="F64" s="768">
        <f t="shared" si="180"/>
        <v>-3</v>
      </c>
      <c r="G64" s="769">
        <f t="shared" si="180"/>
        <v>-145</v>
      </c>
      <c r="H64" s="767">
        <f t="shared" si="180"/>
        <v>-167</v>
      </c>
      <c r="I64" s="768">
        <f t="shared" si="180"/>
        <v>-284</v>
      </c>
      <c r="J64" s="768">
        <f t="shared" si="180"/>
        <v>-1937</v>
      </c>
      <c r="K64" s="769">
        <f t="shared" si="180"/>
        <v>-258</v>
      </c>
      <c r="L64" s="767">
        <f t="shared" si="180"/>
        <v>-345</v>
      </c>
      <c r="M64" s="768">
        <f t="shared" si="180"/>
        <v>-226</v>
      </c>
      <c r="N64" s="768">
        <f t="shared" si="180"/>
        <v>-144</v>
      </c>
      <c r="O64" s="769">
        <f t="shared" si="180"/>
        <v>-216</v>
      </c>
      <c r="P64" s="767">
        <f t="shared" si="180"/>
        <v>-15</v>
      </c>
      <c r="Q64" s="768">
        <f t="shared" si="180"/>
        <v>76</v>
      </c>
      <c r="R64" s="768">
        <f t="shared" si="180"/>
        <v>106</v>
      </c>
      <c r="S64" s="769">
        <f t="shared" si="180"/>
        <v>106</v>
      </c>
      <c r="T64" s="767">
        <f t="shared" si="180"/>
        <v>108</v>
      </c>
      <c r="U64" s="768">
        <f t="shared" si="180"/>
        <v>133</v>
      </c>
      <c r="V64" s="768">
        <f t="shared" si="180"/>
        <v>109</v>
      </c>
      <c r="W64" s="769">
        <f t="shared" si="180"/>
        <v>7</v>
      </c>
      <c r="X64" s="767">
        <f t="shared" si="180"/>
        <v>55</v>
      </c>
      <c r="Y64" s="768">
        <f t="shared" si="180"/>
        <v>156</v>
      </c>
      <c r="Z64" s="768">
        <f t="shared" si="180"/>
        <v>168</v>
      </c>
      <c r="AA64" s="769">
        <f t="shared" si="180"/>
        <v>33</v>
      </c>
      <c r="AB64" s="767">
        <f t="shared" si="180"/>
        <v>115</v>
      </c>
      <c r="AC64" s="768">
        <f t="shared" si="180"/>
        <v>170</v>
      </c>
      <c r="AD64" s="768">
        <f t="shared" si="180"/>
        <v>168</v>
      </c>
      <c r="AE64" s="769">
        <f t="shared" si="180"/>
        <v>198</v>
      </c>
      <c r="AF64" s="767">
        <f t="shared" si="180"/>
        <v>184</v>
      </c>
      <c r="AG64" s="768">
        <f t="shared" si="180"/>
        <v>249</v>
      </c>
      <c r="AH64" s="768">
        <f t="shared" si="180"/>
        <v>307</v>
      </c>
      <c r="AI64" s="769">
        <f t="shared" si="180"/>
        <v>310</v>
      </c>
      <c r="AJ64" s="767">
        <f t="shared" si="180"/>
        <v>295</v>
      </c>
      <c r="AK64" s="768">
        <f t="shared" si="180"/>
        <v>332</v>
      </c>
      <c r="AL64" s="768">
        <f t="shared" si="180"/>
        <v>375</v>
      </c>
      <c r="AM64" s="768">
        <f t="shared" si="180"/>
        <v>1013</v>
      </c>
      <c r="AN64" s="767">
        <f t="shared" si="180"/>
        <v>-471</v>
      </c>
      <c r="AO64" s="768">
        <f t="shared" si="180"/>
        <v>-26</v>
      </c>
      <c r="AP64" s="768">
        <f t="shared" si="180"/>
        <v>174</v>
      </c>
      <c r="AQ64" s="768">
        <f t="shared" si="180"/>
        <v>173</v>
      </c>
      <c r="AR64" s="767">
        <f t="shared" si="180"/>
        <v>1679</v>
      </c>
      <c r="AS64" s="768">
        <f t="shared" si="180"/>
        <v>50</v>
      </c>
      <c r="AT64" s="768">
        <f t="shared" ref="AT64:AU64" si="181">AT19-AT59</f>
        <v>163</v>
      </c>
      <c r="AU64" s="768">
        <f t="shared" si="181"/>
        <v>210</v>
      </c>
      <c r="AV64" s="767">
        <f t="shared" si="180"/>
        <v>647.6310193485341</v>
      </c>
      <c r="AW64" s="768">
        <f t="shared" si="180"/>
        <v>689.89042056272649</v>
      </c>
      <c r="AX64" s="768">
        <f t="shared" si="180"/>
        <v>741.46975431550857</v>
      </c>
      <c r="AY64" s="769">
        <f t="shared" si="180"/>
        <v>731.7052881186911</v>
      </c>
      <c r="AZ64" s="775"/>
      <c r="BA64" s="768">
        <f t="shared" ref="BA64:BM64" si="182">BA19-BA59</f>
        <v>-778</v>
      </c>
      <c r="BB64" s="768">
        <f t="shared" si="182"/>
        <v>-2646</v>
      </c>
      <c r="BC64" s="768">
        <f t="shared" si="182"/>
        <v>-931</v>
      </c>
      <c r="BD64" s="768">
        <f t="shared" si="182"/>
        <v>273</v>
      </c>
      <c r="BE64" s="767">
        <f t="shared" si="182"/>
        <v>357</v>
      </c>
      <c r="BF64" s="768">
        <f t="shared" si="182"/>
        <v>412</v>
      </c>
      <c r="BG64" s="768">
        <f t="shared" si="182"/>
        <v>651</v>
      </c>
      <c r="BH64" s="767">
        <f t="shared" si="182"/>
        <v>1050</v>
      </c>
      <c r="BI64" s="767">
        <f t="shared" si="182"/>
        <v>2015</v>
      </c>
      <c r="BJ64" s="768">
        <f t="shared" si="182"/>
        <v>-150</v>
      </c>
      <c r="BK64" s="768">
        <f t="shared" si="182"/>
        <v>2102</v>
      </c>
      <c r="BL64" s="768">
        <f t="shared" si="182"/>
        <v>2810.69648234546</v>
      </c>
      <c r="BM64" s="768">
        <f t="shared" si="182"/>
        <v>3101.9897298526039</v>
      </c>
      <c r="BN64" s="769">
        <f t="shared" ref="BN64" si="183">BN19-BN59</f>
        <v>3342.6670498264621</v>
      </c>
      <c r="BR64" s="766"/>
      <c r="BS64"/>
      <c r="BT64"/>
      <c r="BU64"/>
      <c r="BV64"/>
      <c r="BW64"/>
      <c r="BX64"/>
    </row>
    <row r="65" spans="1:76" ht="14.25" customHeight="1">
      <c r="A65" s="8"/>
      <c r="B65" s="451" t="s">
        <v>512</v>
      </c>
      <c r="C65" s="1537"/>
      <c r="D65" s="1527">
        <f t="shared" ref="D65:AY65" si="184">D64/D8</f>
        <v>-0.19917864476386038</v>
      </c>
      <c r="E65" s="1504">
        <f t="shared" si="184"/>
        <v>-0.22041612483745124</v>
      </c>
      <c r="F65" s="1504">
        <f t="shared" si="184"/>
        <v>-1.8248175182481751E-3</v>
      </c>
      <c r="G65" s="1526">
        <f t="shared" si="184"/>
        <v>-8.6412395709177595E-2</v>
      </c>
      <c r="H65" s="1527">
        <f t="shared" si="184"/>
        <v>-0.10994075049374588</v>
      </c>
      <c r="I65" s="1504">
        <f t="shared" si="184"/>
        <v>-0.18635170603674542</v>
      </c>
      <c r="J65" s="1504">
        <f t="shared" si="184"/>
        <v>-1.4097525473071324</v>
      </c>
      <c r="K65" s="1526">
        <f t="shared" si="184"/>
        <v>-0.25146198830409355</v>
      </c>
      <c r="L65" s="1527">
        <f t="shared" si="184"/>
        <v>-0.53488372093023251</v>
      </c>
      <c r="M65" s="1504">
        <f t="shared" si="184"/>
        <v>-0.27460510328068044</v>
      </c>
      <c r="N65" s="1504">
        <f t="shared" si="184"/>
        <v>-0.14634146341463414</v>
      </c>
      <c r="O65" s="1526">
        <f t="shared" si="184"/>
        <v>-0.20243673851921273</v>
      </c>
      <c r="P65" s="1527">
        <f t="shared" si="184"/>
        <v>-1.3824884792626729E-2</v>
      </c>
      <c r="Q65" s="1504">
        <f t="shared" si="184"/>
        <v>6.7917783735478104E-2</v>
      </c>
      <c r="R65" s="1504">
        <f t="shared" si="184"/>
        <v>9.464285714285714E-2</v>
      </c>
      <c r="S65" s="1526">
        <f t="shared" si="184"/>
        <v>9.8330241187384038E-2</v>
      </c>
      <c r="T65" s="1527">
        <f t="shared" si="184"/>
        <v>9.9815157116451017E-2</v>
      </c>
      <c r="U65" s="1504">
        <f t="shared" si="184"/>
        <v>0.11864406779661017</v>
      </c>
      <c r="V65" s="1504">
        <f t="shared" si="184"/>
        <v>0.10283018867924529</v>
      </c>
      <c r="W65" s="1526">
        <f t="shared" si="184"/>
        <v>7.5187969924812026E-3</v>
      </c>
      <c r="X65" s="1527">
        <f t="shared" si="184"/>
        <v>5.6237218813905927E-2</v>
      </c>
      <c r="Y65" s="1504">
        <f t="shared" si="184"/>
        <v>0.14259597806215721</v>
      </c>
      <c r="Z65" s="1504">
        <f t="shared" si="184"/>
        <v>0.14358974358974358</v>
      </c>
      <c r="AA65" s="1526">
        <f t="shared" si="184"/>
        <v>2.9569892473118281E-2</v>
      </c>
      <c r="AB65" s="1527">
        <f t="shared" si="184"/>
        <v>0.10599078341013825</v>
      </c>
      <c r="AC65" s="1504">
        <f t="shared" si="184"/>
        <v>0.14309764309764308</v>
      </c>
      <c r="AD65" s="1504">
        <f t="shared" si="184"/>
        <v>0.13450760608486789</v>
      </c>
      <c r="AE65" s="1526">
        <f t="shared" si="184"/>
        <v>0.1531322505800464</v>
      </c>
      <c r="AF65" s="1527">
        <f t="shared" si="184"/>
        <v>0.1476725521669342</v>
      </c>
      <c r="AG65" s="1504">
        <f t="shared" si="184"/>
        <v>0.18458117123795403</v>
      </c>
      <c r="AH65" s="1504">
        <f t="shared" si="184"/>
        <v>0.20264026402640264</v>
      </c>
      <c r="AI65" s="1526">
        <f t="shared" si="184"/>
        <v>0.20169160702667535</v>
      </c>
      <c r="AJ65" s="1527">
        <f t="shared" si="184"/>
        <v>0.20109066121336061</v>
      </c>
      <c r="AK65" s="1504">
        <f t="shared" si="184"/>
        <v>0.22045152722443559</v>
      </c>
      <c r="AL65" s="1504">
        <f t="shared" si="184"/>
        <v>0.24638633377135349</v>
      </c>
      <c r="AM65" s="1673">
        <f t="shared" si="184"/>
        <v>0.63075965130759648</v>
      </c>
      <c r="AN65" s="1674">
        <f t="shared" si="184"/>
        <v>-0.21178057553956833</v>
      </c>
      <c r="AO65" s="1673">
        <f t="shared" si="184"/>
        <v>-1.0993657505285413E-2</v>
      </c>
      <c r="AP65" s="1741">
        <f t="shared" si="184"/>
        <v>7.0473876063183477E-2</v>
      </c>
      <c r="AQ65" s="1741">
        <f t="shared" si="184"/>
        <v>7.0901639344262302E-2</v>
      </c>
      <c r="AR65" s="1743">
        <f t="shared" si="184"/>
        <v>0.75938489371325191</v>
      </c>
      <c r="AS65" s="1741">
        <f t="shared" si="184"/>
        <v>2.2706630336058128E-2</v>
      </c>
      <c r="AT65" s="1848">
        <f t="shared" ref="AT65:AU65" si="185">AT64/AT8</f>
        <v>6.82865521575199E-2</v>
      </c>
      <c r="AU65" s="1848">
        <f t="shared" si="185"/>
        <v>8.5504885993485338E-2</v>
      </c>
      <c r="AV65" s="1850">
        <f t="shared" si="184"/>
        <v>0.27845755804441263</v>
      </c>
      <c r="AW65" s="1848">
        <f t="shared" si="184"/>
        <v>0.28679385565157045</v>
      </c>
      <c r="AX65" s="1848">
        <f t="shared" si="184"/>
        <v>0.29614114745558445</v>
      </c>
      <c r="AY65" s="1849">
        <f t="shared" si="184"/>
        <v>0.29676776796314985</v>
      </c>
      <c r="AZ65" s="246"/>
      <c r="BA65" s="1504">
        <f t="shared" ref="BA65:BM65" si="186">BA64/BA8</f>
        <v>-0.12308179085587724</v>
      </c>
      <c r="BB65" s="1504">
        <f t="shared" si="186"/>
        <v>-0.48612897299283481</v>
      </c>
      <c r="BC65" s="1504">
        <f t="shared" si="186"/>
        <v>-0.26456379653310602</v>
      </c>
      <c r="BD65" s="1504">
        <f t="shared" si="186"/>
        <v>6.201726487960018E-2</v>
      </c>
      <c r="BE65" s="1674">
        <f t="shared" si="186"/>
        <v>8.5121602288984258E-2</v>
      </c>
      <c r="BF65" s="1673">
        <f t="shared" si="186"/>
        <v>9.4538779256539696E-2</v>
      </c>
      <c r="BG65" s="1673">
        <f t="shared" si="186"/>
        <v>0.135202492211838</v>
      </c>
      <c r="BH65" s="1850">
        <f t="shared" si="186"/>
        <v>0.18593943686913406</v>
      </c>
      <c r="BI65" s="1850">
        <f t="shared" si="186"/>
        <v>0.33027372561875101</v>
      </c>
      <c r="BJ65" s="1848">
        <f t="shared" si="186"/>
        <v>-1.5792798483891344E-2</v>
      </c>
      <c r="BK65" s="1848">
        <f t="shared" si="186"/>
        <v>0.22709593777009507</v>
      </c>
      <c r="BL65" s="1848">
        <f t="shared" si="186"/>
        <v>0.28974278752277322</v>
      </c>
      <c r="BM65" s="1848">
        <f t="shared" si="186"/>
        <v>0.30303660296412621</v>
      </c>
      <c r="BN65" s="1849">
        <f t="shared" ref="BN65" si="187">BN64/BN8</f>
        <v>0.31132381415507582</v>
      </c>
      <c r="BR65" s="1472"/>
    </row>
    <row r="66" spans="1:76" ht="4.5" customHeight="1">
      <c r="A66" s="8"/>
      <c r="B66" s="451"/>
      <c r="C66" s="1537"/>
      <c r="D66" s="1527"/>
      <c r="E66" s="1504"/>
      <c r="F66" s="1504"/>
      <c r="G66" s="1526"/>
      <c r="H66" s="1527"/>
      <c r="I66" s="1504"/>
      <c r="J66" s="1504"/>
      <c r="K66" s="1526"/>
      <c r="L66" s="1527"/>
      <c r="M66" s="1504"/>
      <c r="N66" s="1504"/>
      <c r="O66" s="1526"/>
      <c r="P66" s="1527"/>
      <c r="Q66" s="1504"/>
      <c r="R66" s="1504"/>
      <c r="S66" s="1526"/>
      <c r="T66" s="1527"/>
      <c r="U66" s="1504"/>
      <c r="V66" s="1504"/>
      <c r="W66" s="1526"/>
      <c r="X66" s="1527"/>
      <c r="Y66" s="1504"/>
      <c r="Z66" s="1504"/>
      <c r="AA66" s="1526"/>
      <c r="AB66" s="1527"/>
      <c r="AC66" s="1504"/>
      <c r="AD66" s="1504"/>
      <c r="AE66" s="1526"/>
      <c r="AF66" s="1527"/>
      <c r="AG66" s="1504"/>
      <c r="AH66" s="1504"/>
      <c r="AI66" s="1526"/>
      <c r="AJ66" s="1527"/>
      <c r="AK66" s="1504"/>
      <c r="AL66" s="1504"/>
      <c r="AM66" s="1673"/>
      <c r="AN66" s="1674"/>
      <c r="AO66" s="1673"/>
      <c r="AP66" s="1741"/>
      <c r="AQ66" s="1741"/>
      <c r="AR66" s="1743"/>
      <c r="AS66" s="1741"/>
      <c r="AT66" s="1848"/>
      <c r="AU66" s="1848"/>
      <c r="AV66" s="1850"/>
      <c r="AW66" s="1848"/>
      <c r="AX66" s="1848"/>
      <c r="AY66" s="1849"/>
      <c r="AZ66" s="246"/>
      <c r="BA66" s="1504"/>
      <c r="BB66" s="1504"/>
      <c r="BC66" s="1504"/>
      <c r="BD66" s="1504"/>
      <c r="BE66" s="1674"/>
      <c r="BF66" s="1673"/>
      <c r="BG66" s="1673"/>
      <c r="BH66" s="1850"/>
      <c r="BI66" s="1850"/>
      <c r="BJ66" s="1848"/>
      <c r="BK66" s="1848"/>
      <c r="BL66" s="1848"/>
      <c r="BM66" s="1848"/>
      <c r="BN66" s="1849"/>
      <c r="BR66" s="1472"/>
    </row>
    <row r="67" spans="1:76" ht="14.25" customHeight="1">
      <c r="B67" s="780" t="s">
        <v>42</v>
      </c>
      <c r="D67" s="1472">
        <f t="shared" ref="D67:AK67" si="188">+D70+D138</f>
        <v>-291</v>
      </c>
      <c r="E67" s="1470">
        <f t="shared" si="188"/>
        <v>-339</v>
      </c>
      <c r="F67" s="1470">
        <f t="shared" si="188"/>
        <v>-3</v>
      </c>
      <c r="G67" s="1468">
        <f t="shared" si="188"/>
        <v>-145</v>
      </c>
      <c r="H67" s="1472">
        <f t="shared" si="188"/>
        <v>-167</v>
      </c>
      <c r="I67" s="1470">
        <f t="shared" si="188"/>
        <v>-284</v>
      </c>
      <c r="J67" s="1470">
        <f t="shared" si="188"/>
        <v>-1937</v>
      </c>
      <c r="K67" s="1468">
        <f t="shared" si="188"/>
        <v>-258</v>
      </c>
      <c r="L67" s="1472">
        <f t="shared" si="188"/>
        <v>-200</v>
      </c>
      <c r="M67" s="1470">
        <f t="shared" si="188"/>
        <v>-38</v>
      </c>
      <c r="N67" s="1470">
        <f t="shared" si="188"/>
        <v>32</v>
      </c>
      <c r="O67" s="1468">
        <f t="shared" si="188"/>
        <v>59</v>
      </c>
      <c r="P67" s="1472">
        <f t="shared" si="188"/>
        <v>127</v>
      </c>
      <c r="Q67" s="1470">
        <f t="shared" si="188"/>
        <v>165</v>
      </c>
      <c r="R67" s="1470">
        <f t="shared" si="188"/>
        <v>185</v>
      </c>
      <c r="S67" s="1468">
        <f t="shared" si="188"/>
        <v>208</v>
      </c>
      <c r="T67" s="1472">
        <f t="shared" si="188"/>
        <v>223</v>
      </c>
      <c r="U67" s="1470">
        <f t="shared" si="188"/>
        <v>229</v>
      </c>
      <c r="V67" s="1470">
        <f t="shared" si="188"/>
        <v>210</v>
      </c>
      <c r="W67" s="1468">
        <f t="shared" si="188"/>
        <v>148</v>
      </c>
      <c r="X67" s="1472">
        <f t="shared" si="188"/>
        <v>141</v>
      </c>
      <c r="Y67" s="1470">
        <f t="shared" si="188"/>
        <v>204</v>
      </c>
      <c r="Z67" s="1470">
        <f t="shared" si="188"/>
        <v>232</v>
      </c>
      <c r="AA67" s="1468">
        <f t="shared" si="188"/>
        <v>209</v>
      </c>
      <c r="AB67" s="1472">
        <f t="shared" si="188"/>
        <v>255</v>
      </c>
      <c r="AC67" s="1470">
        <f t="shared" si="188"/>
        <v>256</v>
      </c>
      <c r="AD67" s="1470">
        <f t="shared" si="188"/>
        <v>285</v>
      </c>
      <c r="AE67" s="1468">
        <f t="shared" si="188"/>
        <v>324</v>
      </c>
      <c r="AF67" s="1472">
        <f t="shared" si="188"/>
        <v>301</v>
      </c>
      <c r="AG67" s="1470">
        <f t="shared" si="188"/>
        <v>334</v>
      </c>
      <c r="AH67" s="1470">
        <f t="shared" si="188"/>
        <v>390</v>
      </c>
      <c r="AI67" s="1468">
        <f t="shared" si="188"/>
        <v>389</v>
      </c>
      <c r="AJ67" s="1811">
        <f t="shared" si="188"/>
        <v>385</v>
      </c>
      <c r="AK67" s="1812">
        <f t="shared" si="188"/>
        <v>418</v>
      </c>
      <c r="AL67" s="1813">
        <f>+AL70+AL138</f>
        <v>449</v>
      </c>
      <c r="AM67" s="1812">
        <f t="shared" ref="AM67:AO67" si="189">+AM70+AM138</f>
        <v>433</v>
      </c>
      <c r="AN67" s="1811">
        <f t="shared" si="189"/>
        <v>519</v>
      </c>
      <c r="AO67" s="1812">
        <f t="shared" si="189"/>
        <v>606</v>
      </c>
      <c r="AP67" s="1814">
        <f>+AP70+AP138</f>
        <v>691</v>
      </c>
      <c r="AQ67" s="1813">
        <f>+AQ70+AQ138</f>
        <v>715</v>
      </c>
      <c r="AR67" s="1819">
        <f>+AR70+AR138</f>
        <v>599</v>
      </c>
      <c r="AS67" s="1844">
        <f t="shared" ref="AS67" si="190">+AS70+AS138</f>
        <v>625</v>
      </c>
      <c r="AT67" s="1892">
        <f>+AT70+AT138</f>
        <v>735</v>
      </c>
      <c r="AU67" s="1892">
        <f>+AU70+AU138</f>
        <v>763</v>
      </c>
      <c r="AV67" s="1766">
        <f t="shared" ref="AV67:AY67" si="191">AV25-AV60</f>
        <v>725.6310193485341</v>
      </c>
      <c r="AW67" s="1799">
        <f t="shared" si="191"/>
        <v>767.89042056272649</v>
      </c>
      <c r="AX67" s="1799">
        <f t="shared" si="191"/>
        <v>819.46975431550857</v>
      </c>
      <c r="AY67" s="1776">
        <f t="shared" si="191"/>
        <v>809.7052881186911</v>
      </c>
      <c r="AZ67" s="1468"/>
      <c r="BA67" s="768">
        <f t="shared" ref="BA67:BI67" si="192">+BA70+BA138</f>
        <v>-778</v>
      </c>
      <c r="BB67" s="768">
        <f t="shared" si="192"/>
        <v>-2646</v>
      </c>
      <c r="BC67" s="768">
        <f t="shared" si="192"/>
        <v>-147</v>
      </c>
      <c r="BD67" s="768">
        <f t="shared" si="192"/>
        <v>685</v>
      </c>
      <c r="BE67" s="767">
        <f t="shared" si="192"/>
        <v>810</v>
      </c>
      <c r="BF67" s="768">
        <f t="shared" si="192"/>
        <v>786</v>
      </c>
      <c r="BG67" s="768">
        <f t="shared" si="192"/>
        <v>1120</v>
      </c>
      <c r="BH67" s="767">
        <f t="shared" si="192"/>
        <v>1414</v>
      </c>
      <c r="BI67" s="767">
        <f t="shared" si="192"/>
        <v>1685</v>
      </c>
      <c r="BJ67" s="768">
        <f t="shared" ref="BJ67:BM67" si="193">+BJ70+BJ138</f>
        <v>2531</v>
      </c>
      <c r="BK67" s="768">
        <f t="shared" si="193"/>
        <v>2722</v>
      </c>
      <c r="BL67" s="768">
        <f t="shared" si="193"/>
        <v>3122.69648234546</v>
      </c>
      <c r="BM67" s="768">
        <f t="shared" si="193"/>
        <v>3413.9897298526039</v>
      </c>
      <c r="BN67" s="769">
        <f t="shared" ref="BN67" si="194">+BN70+BN138</f>
        <v>3654.6670498264621</v>
      </c>
      <c r="BR67" s="1472"/>
    </row>
    <row r="68" spans="1:76" ht="14.25" customHeight="1">
      <c r="B68" s="451" t="s">
        <v>43</v>
      </c>
      <c r="C68" s="1537"/>
      <c r="D68" s="1527">
        <f t="shared" ref="D68:AY68" si="195">+D67/D8</f>
        <v>-0.19917864476386038</v>
      </c>
      <c r="E68" s="1504">
        <f t="shared" si="195"/>
        <v>-0.22041612483745124</v>
      </c>
      <c r="F68" s="1504">
        <f t="shared" si="195"/>
        <v>-1.8248175182481751E-3</v>
      </c>
      <c r="G68" s="1526">
        <f t="shared" si="195"/>
        <v>-8.6412395709177595E-2</v>
      </c>
      <c r="H68" s="1527">
        <f t="shared" si="195"/>
        <v>-0.10994075049374588</v>
      </c>
      <c r="I68" s="1504">
        <f t="shared" si="195"/>
        <v>-0.18635170603674542</v>
      </c>
      <c r="J68" s="1504">
        <f t="shared" si="195"/>
        <v>-1.4097525473071324</v>
      </c>
      <c r="K68" s="1526">
        <f t="shared" si="195"/>
        <v>-0.25146198830409355</v>
      </c>
      <c r="L68" s="1527">
        <f t="shared" si="195"/>
        <v>-0.31007751937984496</v>
      </c>
      <c r="M68" s="1504">
        <f t="shared" si="195"/>
        <v>-4.6172539489671933E-2</v>
      </c>
      <c r="N68" s="1504">
        <f t="shared" si="195"/>
        <v>3.2520325203252036E-2</v>
      </c>
      <c r="O68" s="1526">
        <f t="shared" si="195"/>
        <v>5.5295220243673851E-2</v>
      </c>
      <c r="P68" s="1527">
        <f t="shared" si="195"/>
        <v>0.11705069124423963</v>
      </c>
      <c r="Q68" s="1504">
        <f t="shared" si="195"/>
        <v>0.14745308310991956</v>
      </c>
      <c r="R68" s="1504">
        <f t="shared" si="195"/>
        <v>0.16517857142857142</v>
      </c>
      <c r="S68" s="1526">
        <f t="shared" si="195"/>
        <v>0.19294990723562153</v>
      </c>
      <c r="T68" s="1527">
        <f t="shared" si="195"/>
        <v>0.20609981515711645</v>
      </c>
      <c r="U68" s="1504">
        <f t="shared" si="195"/>
        <v>0.20428189116859946</v>
      </c>
      <c r="V68" s="1504">
        <f t="shared" si="195"/>
        <v>0.19811320754716982</v>
      </c>
      <c r="W68" s="1526">
        <f t="shared" si="195"/>
        <v>0.15896885069817401</v>
      </c>
      <c r="X68" s="1527">
        <f t="shared" si="195"/>
        <v>0.14417177914110429</v>
      </c>
      <c r="Y68" s="1504">
        <f t="shared" si="195"/>
        <v>0.18647166361974407</v>
      </c>
      <c r="Z68" s="1504">
        <f t="shared" si="195"/>
        <v>0.19829059829059828</v>
      </c>
      <c r="AA68" s="1526">
        <f t="shared" si="195"/>
        <v>0.18727598566308243</v>
      </c>
      <c r="AB68" s="1527">
        <f t="shared" si="195"/>
        <v>0.23502304147465439</v>
      </c>
      <c r="AC68" s="1504">
        <f t="shared" si="195"/>
        <v>0.21548821548821548</v>
      </c>
      <c r="AD68" s="1504">
        <f t="shared" si="195"/>
        <v>0.22818254603682947</v>
      </c>
      <c r="AE68" s="1526">
        <f t="shared" si="195"/>
        <v>0.25058004640371229</v>
      </c>
      <c r="AF68" s="1527">
        <f t="shared" si="195"/>
        <v>0.24157303370786518</v>
      </c>
      <c r="AG68" s="1504">
        <f t="shared" si="195"/>
        <v>0.24759080800593031</v>
      </c>
      <c r="AH68" s="1504">
        <f t="shared" si="195"/>
        <v>0.25742574257425743</v>
      </c>
      <c r="AI68" s="1526">
        <f t="shared" si="195"/>
        <v>0.25309043591411839</v>
      </c>
      <c r="AJ68" s="1527">
        <f t="shared" si="195"/>
        <v>0.26244035446489433</v>
      </c>
      <c r="AK68" s="1504">
        <f t="shared" si="195"/>
        <v>0.27755644090305442</v>
      </c>
      <c r="AL68" s="1504">
        <f t="shared" si="195"/>
        <v>0.29500657030223393</v>
      </c>
      <c r="AM68" s="1673">
        <f t="shared" si="195"/>
        <v>0.2696139476961395</v>
      </c>
      <c r="AN68" s="1674">
        <f t="shared" si="195"/>
        <v>0.23336330935251798</v>
      </c>
      <c r="AO68" s="1673">
        <f t="shared" si="195"/>
        <v>0.25623678646934461</v>
      </c>
      <c r="AP68" s="1741">
        <f t="shared" si="195"/>
        <v>0.27987039287160792</v>
      </c>
      <c r="AQ68" s="1741">
        <f t="shared" si="195"/>
        <v>0.29303278688524592</v>
      </c>
      <c r="AR68" s="1743">
        <f t="shared" si="195"/>
        <v>0.27091813658977837</v>
      </c>
      <c r="AS68" s="1741">
        <f t="shared" si="195"/>
        <v>0.28383287920072664</v>
      </c>
      <c r="AT68" s="1848">
        <f t="shared" ref="AT68:AU68" si="196">+AT67/AT8</f>
        <v>0.30791788856304986</v>
      </c>
      <c r="AU68" s="1848">
        <f t="shared" si="196"/>
        <v>0.31066775244299677</v>
      </c>
      <c r="AV68" s="1850">
        <f t="shared" si="195"/>
        <v>0.31199469397300433</v>
      </c>
      <c r="AW68" s="1848">
        <f t="shared" si="195"/>
        <v>0.31921918012929829</v>
      </c>
      <c r="AX68" s="1848">
        <f t="shared" si="195"/>
        <v>0.32729415048381932</v>
      </c>
      <c r="AY68" s="1849">
        <f t="shared" si="195"/>
        <v>0.32840329975032867</v>
      </c>
      <c r="AZ68" s="13"/>
      <c r="BA68" s="1504">
        <f t="shared" ref="BA68:BM68" si="197">+BA67/BA8</f>
        <v>-0.12308179085587724</v>
      </c>
      <c r="BB68" s="1504">
        <f t="shared" si="197"/>
        <v>-0.48612897299283481</v>
      </c>
      <c r="BC68" s="1504">
        <f t="shared" si="197"/>
        <v>-4.1773231031543054E-2</v>
      </c>
      <c r="BD68" s="1504">
        <f t="shared" si="197"/>
        <v>0.15561108587005906</v>
      </c>
      <c r="BE68" s="1674">
        <f t="shared" si="197"/>
        <v>0.19313304721030042</v>
      </c>
      <c r="BF68" s="1673">
        <f t="shared" si="197"/>
        <v>0.18035796236805873</v>
      </c>
      <c r="BG68" s="1673">
        <f t="shared" si="197"/>
        <v>0.23260643821391486</v>
      </c>
      <c r="BH68" s="1850">
        <f t="shared" si="197"/>
        <v>0.25039844165043385</v>
      </c>
      <c r="BI68" s="1850">
        <f t="shared" si="197"/>
        <v>0.2761842320930995</v>
      </c>
      <c r="BJ68" s="1848">
        <f t="shared" si="197"/>
        <v>0.26647715308485997</v>
      </c>
      <c r="BK68" s="1848">
        <f t="shared" si="197"/>
        <v>0.29407951598962834</v>
      </c>
      <c r="BL68" s="1848">
        <f t="shared" si="197"/>
        <v>0.32190554514349962</v>
      </c>
      <c r="BM68" s="1848">
        <f t="shared" si="197"/>
        <v>0.33351620746278454</v>
      </c>
      <c r="BN68" s="1849">
        <f t="shared" ref="BN68" si="198">+BN67/BN8</f>
        <v>0.34038235590287758</v>
      </c>
      <c r="BR68" s="1472"/>
    </row>
    <row r="69" spans="1:76" ht="14.25" customHeight="1" outlineLevel="1">
      <c r="A69" s="8"/>
      <c r="B69" s="780"/>
      <c r="C69" s="1538"/>
      <c r="D69" s="45"/>
      <c r="E69" s="46"/>
      <c r="F69" s="46"/>
      <c r="G69" s="47"/>
      <c r="H69" s="45"/>
      <c r="I69" s="46"/>
      <c r="J69" s="46"/>
      <c r="K69" s="47"/>
      <c r="L69" s="45"/>
      <c r="M69" s="46"/>
      <c r="N69" s="46"/>
      <c r="O69" s="47"/>
      <c r="P69" s="45"/>
      <c r="Q69" s="46"/>
      <c r="R69" s="46"/>
      <c r="S69" s="47"/>
      <c r="T69" s="45"/>
      <c r="U69" s="46"/>
      <c r="V69" s="46"/>
      <c r="W69" s="47"/>
      <c r="X69" s="45"/>
      <c r="Y69" s="46"/>
      <c r="Z69" s="46"/>
      <c r="AA69" s="47"/>
      <c r="AB69" s="45"/>
      <c r="AC69" s="46"/>
      <c r="AD69" s="46"/>
      <c r="AE69" s="47"/>
      <c r="AF69" s="45"/>
      <c r="AG69" s="46"/>
      <c r="AH69" s="46"/>
      <c r="AI69" s="47"/>
      <c r="AJ69" s="45"/>
      <c r="AK69" s="46"/>
      <c r="AL69" s="46"/>
      <c r="AM69" s="46"/>
      <c r="AN69" s="45"/>
      <c r="AO69" s="46"/>
      <c r="AP69" s="46"/>
      <c r="AQ69" s="46"/>
      <c r="AR69" s="45"/>
      <c r="AS69" s="46"/>
      <c r="AT69" s="46"/>
      <c r="AU69" s="46"/>
      <c r="AV69" s="45"/>
      <c r="AW69" s="46"/>
      <c r="AX69" s="46"/>
      <c r="AY69" s="47"/>
      <c r="AZ69" s="246"/>
      <c r="BA69" s="46"/>
      <c r="BB69" s="46"/>
      <c r="BC69" s="46"/>
      <c r="BD69" s="46"/>
      <c r="BE69" s="45"/>
      <c r="BF69" s="46"/>
      <c r="BG69" s="46"/>
      <c r="BH69" s="45"/>
      <c r="BI69" s="45"/>
      <c r="BJ69" s="46"/>
      <c r="BK69" s="46"/>
      <c r="BL69" s="46"/>
      <c r="BM69" s="46"/>
      <c r="BN69" s="47"/>
      <c r="BR69" s="1472"/>
    </row>
    <row r="70" spans="1:76" s="761" customFormat="1" ht="14.25" customHeight="1" outlineLevel="1">
      <c r="B70" s="780" t="s">
        <v>58</v>
      </c>
      <c r="C70" s="1536"/>
      <c r="D70" s="767">
        <f t="shared" ref="D70:AY70" si="199">D22-D62</f>
        <v>-291</v>
      </c>
      <c r="E70" s="768">
        <f t="shared" si="199"/>
        <v>-339</v>
      </c>
      <c r="F70" s="768">
        <f t="shared" si="199"/>
        <v>-3</v>
      </c>
      <c r="G70" s="769">
        <f t="shared" si="199"/>
        <v>-145</v>
      </c>
      <c r="H70" s="767">
        <f t="shared" si="199"/>
        <v>-167</v>
      </c>
      <c r="I70" s="768">
        <f t="shared" si="199"/>
        <v>-284</v>
      </c>
      <c r="J70" s="768">
        <f t="shared" si="199"/>
        <v>-1937</v>
      </c>
      <c r="K70" s="769">
        <f t="shared" si="199"/>
        <v>-258</v>
      </c>
      <c r="L70" s="767">
        <f t="shared" si="199"/>
        <v>-200</v>
      </c>
      <c r="M70" s="768">
        <f t="shared" si="199"/>
        <v>-38</v>
      </c>
      <c r="N70" s="768">
        <f t="shared" si="199"/>
        <v>32</v>
      </c>
      <c r="O70" s="769">
        <f t="shared" si="199"/>
        <v>59</v>
      </c>
      <c r="P70" s="767">
        <f t="shared" si="199"/>
        <v>127</v>
      </c>
      <c r="Q70" s="768">
        <f t="shared" si="199"/>
        <v>165</v>
      </c>
      <c r="R70" s="768">
        <f t="shared" si="199"/>
        <v>185</v>
      </c>
      <c r="S70" s="769">
        <f t="shared" si="199"/>
        <v>208</v>
      </c>
      <c r="T70" s="767">
        <f t="shared" si="199"/>
        <v>223</v>
      </c>
      <c r="U70" s="768">
        <f t="shared" si="199"/>
        <v>229</v>
      </c>
      <c r="V70" s="768">
        <f t="shared" si="199"/>
        <v>210</v>
      </c>
      <c r="W70" s="769">
        <f t="shared" si="199"/>
        <v>148</v>
      </c>
      <c r="X70" s="767">
        <f t="shared" si="199"/>
        <v>141</v>
      </c>
      <c r="Y70" s="768">
        <f t="shared" si="199"/>
        <v>204</v>
      </c>
      <c r="Z70" s="768">
        <f t="shared" si="199"/>
        <v>232</v>
      </c>
      <c r="AA70" s="769">
        <f t="shared" si="199"/>
        <v>209</v>
      </c>
      <c r="AB70" s="767">
        <f t="shared" si="199"/>
        <v>238</v>
      </c>
      <c r="AC70" s="768">
        <f t="shared" si="199"/>
        <v>236</v>
      </c>
      <c r="AD70" s="768">
        <f t="shared" si="199"/>
        <v>265</v>
      </c>
      <c r="AE70" s="769">
        <f t="shared" si="199"/>
        <v>293</v>
      </c>
      <c r="AF70" s="767">
        <f t="shared" si="199"/>
        <v>273</v>
      </c>
      <c r="AG70" s="768">
        <f t="shared" si="199"/>
        <v>297</v>
      </c>
      <c r="AH70" s="768">
        <f t="shared" si="199"/>
        <v>356</v>
      </c>
      <c r="AI70" s="769">
        <f t="shared" si="199"/>
        <v>355</v>
      </c>
      <c r="AJ70" s="767">
        <f t="shared" si="199"/>
        <v>350</v>
      </c>
      <c r="AK70" s="768">
        <f t="shared" si="199"/>
        <v>382</v>
      </c>
      <c r="AL70" s="768">
        <f t="shared" si="199"/>
        <v>415</v>
      </c>
      <c r="AM70" s="768">
        <f t="shared" si="199"/>
        <v>322</v>
      </c>
      <c r="AN70" s="767">
        <f t="shared" si="199"/>
        <v>420</v>
      </c>
      <c r="AO70" s="768">
        <f t="shared" si="199"/>
        <v>526</v>
      </c>
      <c r="AP70" s="768">
        <f t="shared" si="199"/>
        <v>614</v>
      </c>
      <c r="AQ70" s="768">
        <f t="shared" si="199"/>
        <v>633</v>
      </c>
      <c r="AR70" s="767">
        <f t="shared" si="199"/>
        <v>531</v>
      </c>
      <c r="AS70" s="768">
        <f t="shared" si="199"/>
        <v>558</v>
      </c>
      <c r="AT70" s="768">
        <f t="shared" ref="AT70:AU70" si="200">AT22-AT62</f>
        <v>667</v>
      </c>
      <c r="AU70" s="768">
        <f t="shared" si="200"/>
        <v>685</v>
      </c>
      <c r="AV70" s="767">
        <f t="shared" si="199"/>
        <v>647.6310193485341</v>
      </c>
      <c r="AW70" s="768">
        <f t="shared" si="199"/>
        <v>689.89042056272649</v>
      </c>
      <c r="AX70" s="768">
        <f t="shared" si="199"/>
        <v>741.46975431550857</v>
      </c>
      <c r="AY70" s="769">
        <f t="shared" si="199"/>
        <v>731.7052881186911</v>
      </c>
      <c r="AZ70" s="775"/>
      <c r="BA70" s="768">
        <f t="shared" ref="BA70:BM70" si="201">BA22-BA62</f>
        <v>-778</v>
      </c>
      <c r="BB70" s="768">
        <f t="shared" si="201"/>
        <v>-2646</v>
      </c>
      <c r="BC70" s="768">
        <f t="shared" si="201"/>
        <v>-147</v>
      </c>
      <c r="BD70" s="768">
        <f t="shared" si="201"/>
        <v>685</v>
      </c>
      <c r="BE70" s="767">
        <f t="shared" si="201"/>
        <v>810</v>
      </c>
      <c r="BF70" s="768">
        <f t="shared" si="201"/>
        <v>786</v>
      </c>
      <c r="BG70" s="768">
        <f t="shared" si="201"/>
        <v>1032</v>
      </c>
      <c r="BH70" s="767">
        <f t="shared" si="201"/>
        <v>1281</v>
      </c>
      <c r="BI70" s="767">
        <f t="shared" si="201"/>
        <v>1469</v>
      </c>
      <c r="BJ70" s="768">
        <f t="shared" si="201"/>
        <v>2193</v>
      </c>
      <c r="BK70" s="768">
        <f t="shared" si="201"/>
        <v>2441</v>
      </c>
      <c r="BL70" s="768">
        <f t="shared" si="201"/>
        <v>2810.69648234546</v>
      </c>
      <c r="BM70" s="768">
        <f t="shared" si="201"/>
        <v>3101.9897298526039</v>
      </c>
      <c r="BN70" s="769">
        <f t="shared" ref="BN70" si="202">BN22-BN62</f>
        <v>3342.6670498264621</v>
      </c>
      <c r="BR70" s="766"/>
      <c r="BS70"/>
      <c r="BT70"/>
      <c r="BU70"/>
      <c r="BV70"/>
      <c r="BW70"/>
      <c r="BX70"/>
    </row>
    <row r="71" spans="1:76" ht="14.25" customHeight="1" outlineLevel="1">
      <c r="A71" s="8"/>
      <c r="B71" s="451" t="s">
        <v>59</v>
      </c>
      <c r="C71" s="1537"/>
      <c r="D71" s="1527">
        <f t="shared" ref="D71:AY71" si="203">D70/D8</f>
        <v>-0.19917864476386038</v>
      </c>
      <c r="E71" s="1504">
        <f t="shared" si="203"/>
        <v>-0.22041612483745124</v>
      </c>
      <c r="F71" s="1504">
        <f t="shared" si="203"/>
        <v>-1.8248175182481751E-3</v>
      </c>
      <c r="G71" s="1526">
        <f t="shared" si="203"/>
        <v>-8.6412395709177595E-2</v>
      </c>
      <c r="H71" s="1527">
        <f t="shared" si="203"/>
        <v>-0.10994075049374588</v>
      </c>
      <c r="I71" s="1504">
        <f t="shared" si="203"/>
        <v>-0.18635170603674542</v>
      </c>
      <c r="J71" s="1504">
        <f t="shared" si="203"/>
        <v>-1.4097525473071324</v>
      </c>
      <c r="K71" s="1526">
        <f t="shared" si="203"/>
        <v>-0.25146198830409355</v>
      </c>
      <c r="L71" s="1527">
        <f t="shared" si="203"/>
        <v>-0.31007751937984496</v>
      </c>
      <c r="M71" s="1504">
        <f t="shared" si="203"/>
        <v>-4.6172539489671933E-2</v>
      </c>
      <c r="N71" s="1504">
        <f t="shared" si="203"/>
        <v>3.2520325203252036E-2</v>
      </c>
      <c r="O71" s="1526">
        <f t="shared" si="203"/>
        <v>5.5295220243673851E-2</v>
      </c>
      <c r="P71" s="1527">
        <f t="shared" si="203"/>
        <v>0.11705069124423963</v>
      </c>
      <c r="Q71" s="1504">
        <f t="shared" si="203"/>
        <v>0.14745308310991956</v>
      </c>
      <c r="R71" s="1504">
        <f t="shared" si="203"/>
        <v>0.16517857142857142</v>
      </c>
      <c r="S71" s="1526">
        <f t="shared" si="203"/>
        <v>0.19294990723562153</v>
      </c>
      <c r="T71" s="1527">
        <f t="shared" si="203"/>
        <v>0.20609981515711645</v>
      </c>
      <c r="U71" s="1504">
        <f t="shared" si="203"/>
        <v>0.20428189116859946</v>
      </c>
      <c r="V71" s="1504">
        <f t="shared" si="203"/>
        <v>0.19811320754716982</v>
      </c>
      <c r="W71" s="1526">
        <f t="shared" si="203"/>
        <v>0.15896885069817401</v>
      </c>
      <c r="X71" s="1527">
        <f t="shared" si="203"/>
        <v>0.14417177914110429</v>
      </c>
      <c r="Y71" s="1504">
        <f t="shared" si="203"/>
        <v>0.18647166361974407</v>
      </c>
      <c r="Z71" s="1504">
        <f t="shared" si="203"/>
        <v>0.19829059829059828</v>
      </c>
      <c r="AA71" s="1526">
        <f t="shared" si="203"/>
        <v>0.18727598566308243</v>
      </c>
      <c r="AB71" s="1527">
        <f t="shared" si="203"/>
        <v>0.21935483870967742</v>
      </c>
      <c r="AC71" s="1504">
        <f t="shared" si="203"/>
        <v>0.19865319865319866</v>
      </c>
      <c r="AD71" s="1504">
        <f t="shared" si="203"/>
        <v>0.21216973578863091</v>
      </c>
      <c r="AE71" s="1526">
        <f t="shared" si="203"/>
        <v>0.2266047950502707</v>
      </c>
      <c r="AF71" s="1527">
        <f t="shared" si="203"/>
        <v>0.21910112359550563</v>
      </c>
      <c r="AG71" s="1504">
        <f t="shared" si="203"/>
        <v>0.22016308376575242</v>
      </c>
      <c r="AH71" s="1504">
        <f t="shared" si="203"/>
        <v>0.23498349834983498</v>
      </c>
      <c r="AI71" s="1526">
        <f t="shared" si="203"/>
        <v>0.23096942094990242</v>
      </c>
      <c r="AJ71" s="1527">
        <f t="shared" si="203"/>
        <v>0.23858214042263123</v>
      </c>
      <c r="AK71" s="1504">
        <f t="shared" si="203"/>
        <v>0.25365205843293492</v>
      </c>
      <c r="AL71" s="1504">
        <f t="shared" si="203"/>
        <v>0.27266754270696453</v>
      </c>
      <c r="AM71" s="1673">
        <f t="shared" si="203"/>
        <v>0.20049813200498132</v>
      </c>
      <c r="AN71" s="1674">
        <f t="shared" si="203"/>
        <v>0.18884892086330934</v>
      </c>
      <c r="AO71" s="1673">
        <f t="shared" si="203"/>
        <v>0.22241014799154335</v>
      </c>
      <c r="AP71" s="1741">
        <f t="shared" si="203"/>
        <v>0.24868367760226812</v>
      </c>
      <c r="AQ71" s="1741">
        <f t="shared" si="203"/>
        <v>0.25942622950819672</v>
      </c>
      <c r="AR71" s="1743">
        <f t="shared" si="203"/>
        <v>0.24016282225237448</v>
      </c>
      <c r="AS71" s="1741">
        <f t="shared" si="203"/>
        <v>0.25340599455040874</v>
      </c>
      <c r="AT71" s="1848">
        <f t="shared" ref="AT71:AU71" si="204">AT70/AT8</f>
        <v>0.27943024717218268</v>
      </c>
      <c r="AU71" s="1848">
        <f t="shared" si="204"/>
        <v>0.27890879478827363</v>
      </c>
      <c r="AV71" s="1850">
        <f t="shared" si="203"/>
        <v>0.27845755804441263</v>
      </c>
      <c r="AW71" s="1848">
        <f t="shared" si="203"/>
        <v>0.28679385565157045</v>
      </c>
      <c r="AX71" s="1848">
        <f t="shared" si="203"/>
        <v>0.29614114745558445</v>
      </c>
      <c r="AY71" s="1849">
        <f t="shared" si="203"/>
        <v>0.29676776796314985</v>
      </c>
      <c r="AZ71" s="246"/>
      <c r="BA71" s="1504">
        <f t="shared" ref="BA71:BM71" si="205">BA70/BA8</f>
        <v>-0.12308179085587724</v>
      </c>
      <c r="BB71" s="1504">
        <f t="shared" si="205"/>
        <v>-0.48612897299283481</v>
      </c>
      <c r="BC71" s="1504">
        <f t="shared" si="205"/>
        <v>-4.1773231031543054E-2</v>
      </c>
      <c r="BD71" s="1504">
        <f t="shared" si="205"/>
        <v>0.15561108587005906</v>
      </c>
      <c r="BE71" s="1674">
        <f t="shared" si="205"/>
        <v>0.19313304721030042</v>
      </c>
      <c r="BF71" s="1673">
        <f t="shared" si="205"/>
        <v>0.18035796236805873</v>
      </c>
      <c r="BG71" s="1673">
        <f t="shared" si="205"/>
        <v>0.21433021806853583</v>
      </c>
      <c r="BH71" s="1850">
        <f t="shared" si="205"/>
        <v>0.22684611298034354</v>
      </c>
      <c r="BI71" s="1850">
        <f t="shared" si="205"/>
        <v>0.2407801999672185</v>
      </c>
      <c r="BJ71" s="1848">
        <f t="shared" si="205"/>
        <v>0.23089071383449147</v>
      </c>
      <c r="BK71" s="1848">
        <f t="shared" si="205"/>
        <v>0.26372082973206568</v>
      </c>
      <c r="BL71" s="1848">
        <f t="shared" si="205"/>
        <v>0.28974278752277322</v>
      </c>
      <c r="BM71" s="1848">
        <f t="shared" si="205"/>
        <v>0.30303660296412621</v>
      </c>
      <c r="BN71" s="1849">
        <f t="shared" ref="BN71" si="206">BN70/BN8</f>
        <v>0.31132381415507582</v>
      </c>
      <c r="BR71" s="1472"/>
    </row>
    <row r="72" spans="1:76" ht="14.25" customHeight="1">
      <c r="A72" s="8"/>
      <c r="B72" s="776"/>
      <c r="C72" s="58"/>
      <c r="D72" s="39"/>
      <c r="E72" s="37"/>
      <c r="F72" s="42"/>
      <c r="G72" s="38"/>
      <c r="H72" s="39"/>
      <c r="I72" s="37"/>
      <c r="J72" s="42"/>
      <c r="K72" s="38"/>
      <c r="L72" s="39"/>
      <c r="M72" s="37"/>
      <c r="N72" s="42"/>
      <c r="O72" s="38"/>
      <c r="P72" s="39"/>
      <c r="Q72" s="37"/>
      <c r="R72" s="42"/>
      <c r="S72" s="38"/>
      <c r="T72" s="39"/>
      <c r="U72" s="37"/>
      <c r="V72" s="42"/>
      <c r="W72" s="38"/>
      <c r="X72" s="39"/>
      <c r="Y72" s="37"/>
      <c r="Z72" s="42"/>
      <c r="AA72" s="38"/>
      <c r="AB72" s="39"/>
      <c r="AC72" s="37"/>
      <c r="AD72" s="42"/>
      <c r="AE72" s="38"/>
      <c r="AF72" s="39"/>
      <c r="AG72" s="37"/>
      <c r="AH72" s="42"/>
      <c r="AI72" s="38"/>
      <c r="AJ72" s="39"/>
      <c r="AK72" s="37"/>
      <c r="AL72" s="42"/>
      <c r="AM72" s="37"/>
      <c r="AN72" s="39"/>
      <c r="AO72" s="37"/>
      <c r="AP72" s="42"/>
      <c r="AQ72" s="37"/>
      <c r="AR72" s="39"/>
      <c r="AS72" s="37"/>
      <c r="AT72" s="42"/>
      <c r="AU72" s="37"/>
      <c r="AV72" s="39"/>
      <c r="AW72" s="37"/>
      <c r="AX72" s="37"/>
      <c r="AY72" s="38"/>
      <c r="AZ72" s="246"/>
      <c r="BA72" s="37"/>
      <c r="BB72" s="37"/>
      <c r="BC72" s="37"/>
      <c r="BD72" s="37"/>
      <c r="BE72" s="39"/>
      <c r="BF72" s="37"/>
      <c r="BG72" s="37"/>
      <c r="BH72" s="39"/>
      <c r="BI72" s="39"/>
      <c r="BJ72" s="37"/>
      <c r="BK72" s="37"/>
      <c r="BL72" s="37"/>
      <c r="BM72" s="37"/>
      <c r="BN72" s="38"/>
      <c r="BR72" s="1472"/>
    </row>
    <row r="73" spans="1:76" s="752" customFormat="1" ht="14.25" customHeight="1">
      <c r="B73" s="778" t="s">
        <v>0</v>
      </c>
      <c r="C73" s="1477"/>
      <c r="D73" s="759">
        <f t="shared" ref="D73:AJ73" si="207">D75+D76</f>
        <v>-92</v>
      </c>
      <c r="E73" s="758">
        <f t="shared" si="207"/>
        <v>-103</v>
      </c>
      <c r="F73" s="758">
        <f t="shared" si="207"/>
        <v>52</v>
      </c>
      <c r="G73" s="757">
        <f t="shared" si="207"/>
        <v>-38</v>
      </c>
      <c r="H73" s="759">
        <f t="shared" si="207"/>
        <v>59</v>
      </c>
      <c r="I73" s="758">
        <f t="shared" si="207"/>
        <v>-174</v>
      </c>
      <c r="J73" s="758">
        <f t="shared" si="207"/>
        <v>-324</v>
      </c>
      <c r="K73" s="757">
        <f t="shared" si="207"/>
        <v>-175</v>
      </c>
      <c r="L73" s="759">
        <f t="shared" si="207"/>
        <v>-309</v>
      </c>
      <c r="M73" s="758">
        <f t="shared" si="207"/>
        <v>582</v>
      </c>
      <c r="N73" s="758">
        <f t="shared" si="207"/>
        <v>570</v>
      </c>
      <c r="O73" s="757">
        <f t="shared" si="207"/>
        <v>-161</v>
      </c>
      <c r="P73" s="759">
        <f t="shared" si="207"/>
        <v>-302</v>
      </c>
      <c r="Q73" s="758">
        <f t="shared" si="207"/>
        <v>-413</v>
      </c>
      <c r="R73" s="758">
        <f t="shared" si="207"/>
        <v>279</v>
      </c>
      <c r="S73" s="757">
        <f t="shared" si="207"/>
        <v>-192</v>
      </c>
      <c r="T73" s="759">
        <f t="shared" si="207"/>
        <v>101</v>
      </c>
      <c r="U73" s="758">
        <f t="shared" si="207"/>
        <v>-19</v>
      </c>
      <c r="V73" s="758">
        <f t="shared" si="207"/>
        <v>-174</v>
      </c>
      <c r="W73" s="757">
        <f t="shared" si="207"/>
        <v>-165</v>
      </c>
      <c r="X73" s="759">
        <f t="shared" si="207"/>
        <v>-73</v>
      </c>
      <c r="Y73" s="758">
        <f t="shared" si="207"/>
        <v>-178</v>
      </c>
      <c r="Z73" s="758">
        <f t="shared" si="207"/>
        <v>-33</v>
      </c>
      <c r="AA73" s="757">
        <f t="shared" si="207"/>
        <v>-153</v>
      </c>
      <c r="AB73" s="759">
        <f t="shared" si="207"/>
        <v>-152</v>
      </c>
      <c r="AC73" s="758">
        <f t="shared" si="207"/>
        <v>-46</v>
      </c>
      <c r="AD73" s="758">
        <f t="shared" si="207"/>
        <v>3</v>
      </c>
      <c r="AE73" s="757">
        <f t="shared" si="207"/>
        <v>-79</v>
      </c>
      <c r="AF73" s="759">
        <f t="shared" si="207"/>
        <v>-45</v>
      </c>
      <c r="AG73" s="758">
        <f t="shared" si="207"/>
        <v>-60</v>
      </c>
      <c r="AH73" s="758">
        <f t="shared" si="207"/>
        <v>-168</v>
      </c>
      <c r="AI73" s="757">
        <f t="shared" si="207"/>
        <v>-137</v>
      </c>
      <c r="AJ73" s="759">
        <f t="shared" si="207"/>
        <v>-373</v>
      </c>
      <c r="AK73" s="758">
        <f>AK75+AK76</f>
        <v>2</v>
      </c>
      <c r="AL73" s="758">
        <f t="shared" ref="AL73:AN73" si="208">AL75+AL76</f>
        <v>25</v>
      </c>
      <c r="AM73" s="758">
        <f t="shared" si="208"/>
        <v>-174</v>
      </c>
      <c r="AN73" s="759">
        <f t="shared" si="208"/>
        <v>-116</v>
      </c>
      <c r="AO73" s="758">
        <f>AO75+AO76</f>
        <v>-126</v>
      </c>
      <c r="AP73" s="758">
        <f t="shared" ref="AP73:AQ73" si="209">AP75+AP76</f>
        <v>-115</v>
      </c>
      <c r="AQ73" s="758">
        <f t="shared" si="209"/>
        <v>-96</v>
      </c>
      <c r="AR73" s="759">
        <f>AR75+AR76</f>
        <v>-136</v>
      </c>
      <c r="AS73" s="758">
        <f>AS75+AS76</f>
        <v>-75</v>
      </c>
      <c r="AT73" s="758">
        <f t="shared" ref="AT73:AU73" si="210">AT75+AT76</f>
        <v>-76</v>
      </c>
      <c r="AU73" s="758">
        <f t="shared" si="210"/>
        <v>-79</v>
      </c>
      <c r="AV73" s="759">
        <f t="shared" ref="AV73:AY73" si="211">AV75+AV76</f>
        <v>-53</v>
      </c>
      <c r="AW73" s="758">
        <f t="shared" si="211"/>
        <v>-51.5</v>
      </c>
      <c r="AX73" s="758">
        <f t="shared" si="211"/>
        <v>-50</v>
      </c>
      <c r="AY73" s="757">
        <f t="shared" si="211"/>
        <v>-49</v>
      </c>
      <c r="AZ73" s="1131"/>
      <c r="BA73" s="758">
        <f t="shared" ref="BA73:BI73" si="212">BA75+BA76</f>
        <v>-181</v>
      </c>
      <c r="BB73" s="758">
        <f t="shared" si="212"/>
        <v>-614</v>
      </c>
      <c r="BC73" s="758">
        <f t="shared" si="212"/>
        <v>682</v>
      </c>
      <c r="BD73" s="758">
        <f t="shared" si="212"/>
        <v>-628</v>
      </c>
      <c r="BE73" s="759">
        <f t="shared" si="212"/>
        <v>-257</v>
      </c>
      <c r="BF73" s="758">
        <f t="shared" si="212"/>
        <v>-437</v>
      </c>
      <c r="BG73" s="758">
        <f t="shared" si="212"/>
        <v>-274</v>
      </c>
      <c r="BH73" s="759">
        <f t="shared" si="212"/>
        <v>-410</v>
      </c>
      <c r="BI73" s="759">
        <f t="shared" si="212"/>
        <v>-520</v>
      </c>
      <c r="BJ73" s="758">
        <f t="shared" ref="BJ73:BM73" si="213">BJ75+BJ76</f>
        <v>-453</v>
      </c>
      <c r="BK73" s="758">
        <f t="shared" si="213"/>
        <v>-366</v>
      </c>
      <c r="BL73" s="758">
        <f t="shared" si="213"/>
        <v>-203.5</v>
      </c>
      <c r="BM73" s="758">
        <f t="shared" si="213"/>
        <v>-199.5</v>
      </c>
      <c r="BN73" s="757">
        <f t="shared" ref="BN73" si="214">BN75+BN76</f>
        <v>-195.5</v>
      </c>
      <c r="BR73" s="760"/>
      <c r="BS73"/>
      <c r="BT73"/>
      <c r="BU73"/>
      <c r="BV73"/>
      <c r="BW73"/>
      <c r="BX73"/>
    </row>
    <row r="74" spans="1:76" s="761" customFormat="1" ht="14.25" hidden="1" customHeight="1" outlineLevel="1">
      <c r="B74" s="776"/>
      <c r="C74" s="1478"/>
      <c r="D74" s="763"/>
      <c r="E74" s="764"/>
      <c r="F74" s="764"/>
      <c r="G74" s="765"/>
      <c r="H74" s="763"/>
      <c r="I74" s="764"/>
      <c r="J74" s="764"/>
      <c r="K74" s="765"/>
      <c r="L74" s="763"/>
      <c r="M74" s="764"/>
      <c r="N74" s="764"/>
      <c r="O74" s="765"/>
      <c r="P74" s="763"/>
      <c r="Q74" s="764"/>
      <c r="R74" s="764"/>
      <c r="S74" s="765"/>
      <c r="T74" s="763"/>
      <c r="U74" s="764"/>
      <c r="V74" s="764"/>
      <c r="W74" s="765"/>
      <c r="X74" s="763"/>
      <c r="Y74" s="764"/>
      <c r="Z74" s="764"/>
      <c r="AA74" s="765"/>
      <c r="AB74" s="763"/>
      <c r="AC74" s="764"/>
      <c r="AD74" s="764"/>
      <c r="AE74" s="765"/>
      <c r="AF74" s="763"/>
      <c r="AG74" s="764"/>
      <c r="AH74" s="764"/>
      <c r="AI74" s="765"/>
      <c r="AJ74" s="763"/>
      <c r="AK74" s="764"/>
      <c r="AL74" s="764"/>
      <c r="AM74" s="764"/>
      <c r="AN74" s="763"/>
      <c r="AO74" s="764"/>
      <c r="AP74" s="764"/>
      <c r="AQ74" s="764"/>
      <c r="AR74" s="763"/>
      <c r="AS74" s="764"/>
      <c r="AT74" s="764"/>
      <c r="AU74" s="764"/>
      <c r="AV74" s="763"/>
      <c r="AW74" s="764"/>
      <c r="AX74" s="764"/>
      <c r="AY74" s="765"/>
      <c r="AZ74" s="775"/>
      <c r="BA74" s="764"/>
      <c r="BB74" s="764"/>
      <c r="BC74" s="764"/>
      <c r="BD74" s="764"/>
      <c r="BE74" s="763"/>
      <c r="BF74" s="764"/>
      <c r="BG74" s="764"/>
      <c r="BH74" s="763"/>
      <c r="BI74" s="763"/>
      <c r="BJ74" s="764"/>
      <c r="BK74" s="764"/>
      <c r="BL74" s="764"/>
      <c r="BM74" s="764"/>
      <c r="BN74" s="765"/>
      <c r="BR74" s="766"/>
      <c r="BS74"/>
      <c r="BT74"/>
      <c r="BU74"/>
      <c r="BV74"/>
      <c r="BW74"/>
      <c r="BX74"/>
    </row>
    <row r="75" spans="1:76" s="761" customFormat="1" ht="14.25" hidden="1" customHeight="1" outlineLevel="1">
      <c r="B75" s="777" t="s">
        <v>310</v>
      </c>
      <c r="C75" s="1540"/>
      <c r="D75" s="770">
        <v>-92</v>
      </c>
      <c r="E75" s="771">
        <v>-103</v>
      </c>
      <c r="F75" s="771">
        <v>52</v>
      </c>
      <c r="G75" s="772">
        <v>-38</v>
      </c>
      <c r="H75" s="770">
        <v>59</v>
      </c>
      <c r="I75" s="771">
        <v>-174</v>
      </c>
      <c r="J75" s="771">
        <v>-324</v>
      </c>
      <c r="K75" s="772">
        <v>-175</v>
      </c>
      <c r="L75" s="770">
        <v>-101</v>
      </c>
      <c r="M75" s="771">
        <v>-93</v>
      </c>
      <c r="N75" s="771">
        <v>-82</v>
      </c>
      <c r="O75" s="772">
        <v>-83</v>
      </c>
      <c r="P75" s="770">
        <v>-80</v>
      </c>
      <c r="Q75" s="771">
        <v>-78</v>
      </c>
      <c r="R75" s="771">
        <v>-80</v>
      </c>
      <c r="S75" s="772">
        <v>-80</v>
      </c>
      <c r="T75" s="770">
        <v>-81</v>
      </c>
      <c r="U75" s="771">
        <v>-79</v>
      </c>
      <c r="V75" s="771">
        <v>-73</v>
      </c>
      <c r="W75" s="772">
        <v>-74</v>
      </c>
      <c r="X75" s="770">
        <v>-76</v>
      </c>
      <c r="Y75" s="771">
        <v>-70</v>
      </c>
      <c r="Z75" s="771">
        <v>-65</v>
      </c>
      <c r="AA75" s="772">
        <v>-55</v>
      </c>
      <c r="AB75" s="770">
        <v>-49</v>
      </c>
      <c r="AC75" s="771">
        <v>-47</v>
      </c>
      <c r="AD75" s="771">
        <v>-44</v>
      </c>
      <c r="AE75" s="772">
        <v>-39</v>
      </c>
      <c r="AF75" s="770">
        <v>-34</v>
      </c>
      <c r="AG75" s="771">
        <v>-34</v>
      </c>
      <c r="AH75" s="771">
        <v>-34</v>
      </c>
      <c r="AI75" s="772">
        <v>-40</v>
      </c>
      <c r="AJ75" s="770">
        <v>-46</v>
      </c>
      <c r="AK75" s="771">
        <v>-45</v>
      </c>
      <c r="AL75" s="771">
        <v>-44</v>
      </c>
      <c r="AM75" s="771">
        <v>-56</v>
      </c>
      <c r="AN75" s="770">
        <v>-93</v>
      </c>
      <c r="AO75" s="771">
        <v>-88</v>
      </c>
      <c r="AP75" s="771">
        <v>-87</v>
      </c>
      <c r="AQ75" s="771">
        <f>-96+17</f>
        <v>-79</v>
      </c>
      <c r="AR75" s="770">
        <v>-75</v>
      </c>
      <c r="AS75" s="771">
        <v>-59</v>
      </c>
      <c r="AT75" s="771">
        <v>-57</v>
      </c>
      <c r="AU75" s="771">
        <v>-55</v>
      </c>
      <c r="AV75" s="1486">
        <f>AU75+2</f>
        <v>-53</v>
      </c>
      <c r="AW75" s="1748">
        <f>AV75+1.5</f>
        <v>-51.5</v>
      </c>
      <c r="AX75" s="1748">
        <f>AW75+1.5</f>
        <v>-50</v>
      </c>
      <c r="AY75" s="1841">
        <f>AX75+1</f>
        <v>-49</v>
      </c>
      <c r="AZ75" s="775"/>
      <c r="BA75" s="764">
        <f>SUM(D75:G75)</f>
        <v>-181</v>
      </c>
      <c r="BB75" s="764">
        <f>SUM(H75:K75)</f>
        <v>-614</v>
      </c>
      <c r="BC75" s="764">
        <f>SUM(L75:O75)</f>
        <v>-359</v>
      </c>
      <c r="BD75" s="764">
        <f>SUM(P75:S75)</f>
        <v>-318</v>
      </c>
      <c r="BE75" s="763">
        <f>SUM(T75:W75)</f>
        <v>-307</v>
      </c>
      <c r="BF75" s="764">
        <f>SUM(X75:AA75)</f>
        <v>-266</v>
      </c>
      <c r="BG75" s="764">
        <f>SUM(AB75:AE75)</f>
        <v>-179</v>
      </c>
      <c r="BH75" s="763">
        <f>SUM(AF75:AI75)</f>
        <v>-142</v>
      </c>
      <c r="BI75" s="763">
        <f>SUM(AJ75:AM75)</f>
        <v>-191</v>
      </c>
      <c r="BJ75" s="764">
        <f>SUM(AN75:AQ75)</f>
        <v>-347</v>
      </c>
      <c r="BK75" s="764">
        <f>SUM(AR75:AU75)</f>
        <v>-246</v>
      </c>
      <c r="BL75" s="764">
        <f>SUM(AV75:AY75)</f>
        <v>-203.5</v>
      </c>
      <c r="BM75" s="764">
        <f>BL75+4</f>
        <v>-199.5</v>
      </c>
      <c r="BN75" s="765">
        <f t="shared" ref="BN75:BQ75" si="215">BM75+4</f>
        <v>-195.5</v>
      </c>
      <c r="BO75" s="764">
        <f t="shared" si="215"/>
        <v>-191.5</v>
      </c>
      <c r="BP75" s="764">
        <f t="shared" si="215"/>
        <v>-187.5</v>
      </c>
      <c r="BQ75" s="764">
        <f t="shared" si="215"/>
        <v>-183.5</v>
      </c>
      <c r="BR75" s="766"/>
      <c r="BS75"/>
      <c r="BT75"/>
      <c r="BU75"/>
      <c r="BV75"/>
      <c r="BW75"/>
      <c r="BX75"/>
    </row>
    <row r="76" spans="1:76" s="752" customFormat="1" ht="17.25" hidden="1" customHeight="1" outlineLevel="1">
      <c r="B76" s="779" t="s">
        <v>491</v>
      </c>
      <c r="C76" s="1535"/>
      <c r="D76" s="754">
        <v>0</v>
      </c>
      <c r="E76" s="755">
        <v>0</v>
      </c>
      <c r="F76" s="755">
        <v>0</v>
      </c>
      <c r="G76" s="756">
        <v>0</v>
      </c>
      <c r="H76" s="754">
        <v>0</v>
      </c>
      <c r="I76" s="755">
        <v>0</v>
      </c>
      <c r="J76" s="755">
        <v>0</v>
      </c>
      <c r="K76" s="756">
        <v>0</v>
      </c>
      <c r="L76" s="754">
        <f>-201-7</f>
        <v>-208</v>
      </c>
      <c r="M76" s="755">
        <f>172+507-4</f>
        <v>675</v>
      </c>
      <c r="N76" s="755">
        <f>142+513-3</f>
        <v>652</v>
      </c>
      <c r="O76" s="756">
        <f>-74-4</f>
        <v>-78</v>
      </c>
      <c r="P76" s="754">
        <f>-222+2-2</f>
        <v>-222</v>
      </c>
      <c r="Q76" s="755">
        <f>-330-5</f>
        <v>-335</v>
      </c>
      <c r="R76" s="755">
        <f>323+55-19</f>
        <v>359</v>
      </c>
      <c r="S76" s="756">
        <f>-102-10</f>
        <v>-112</v>
      </c>
      <c r="T76" s="754">
        <f>190-8</f>
        <v>182</v>
      </c>
      <c r="U76" s="755">
        <f>85-14-11</f>
        <v>60</v>
      </c>
      <c r="V76" s="755">
        <f>-82-11-8</f>
        <v>-101</v>
      </c>
      <c r="W76" s="756">
        <f>-65-7-19</f>
        <v>-91</v>
      </c>
      <c r="X76" s="754">
        <f>53-36-14</f>
        <v>3</v>
      </c>
      <c r="Y76" s="755">
        <f>-104-4</f>
        <v>-108</v>
      </c>
      <c r="Z76" s="755">
        <f>48-11-5</f>
        <v>32</v>
      </c>
      <c r="AA76" s="756">
        <f>31-114-15</f>
        <v>-98</v>
      </c>
      <c r="AB76" s="754">
        <f>-53-37-13</f>
        <v>-103</v>
      </c>
      <c r="AC76" s="755">
        <f>32-23-8</f>
        <v>1</v>
      </c>
      <c r="AD76" s="755">
        <f>52-5</f>
        <v>47</v>
      </c>
      <c r="AE76" s="756">
        <f>31-54-17</f>
        <v>-40</v>
      </c>
      <c r="AF76" s="754">
        <f>-2-3-6</f>
        <v>-11</v>
      </c>
      <c r="AG76" s="755">
        <f>-22-4</f>
        <v>-26</v>
      </c>
      <c r="AH76" s="755">
        <f>-131-3</f>
        <v>-134</v>
      </c>
      <c r="AI76" s="756">
        <f>-91-2-4</f>
        <v>-97</v>
      </c>
      <c r="AJ76" s="754">
        <f>-208-115-4</f>
        <v>-327</v>
      </c>
      <c r="AK76" s="755">
        <f>40+18-11</f>
        <v>47</v>
      </c>
      <c r="AL76" s="755">
        <f>6+67-4</f>
        <v>69</v>
      </c>
      <c r="AM76" s="755">
        <f>-10-31-1-76</f>
        <v>-118</v>
      </c>
      <c r="AN76" s="754">
        <f>-10-9-7+3</f>
        <v>-23</v>
      </c>
      <c r="AO76" s="755">
        <f>3-10-2-23-6</f>
        <v>-38</v>
      </c>
      <c r="AP76" s="755">
        <f>-11-2-6-9</f>
        <v>-28</v>
      </c>
      <c r="AQ76" s="755">
        <f>-9-2-6</f>
        <v>-17</v>
      </c>
      <c r="AR76" s="754">
        <f>-41-10-5-5</f>
        <v>-61</v>
      </c>
      <c r="AS76" s="755">
        <f>-10-3-3</f>
        <v>-16</v>
      </c>
      <c r="AT76" s="755">
        <f>-11-5-3</f>
        <v>-19</v>
      </c>
      <c r="AU76" s="755">
        <f>-10-3-11</f>
        <v>-24</v>
      </c>
      <c r="AV76" s="754">
        <v>0</v>
      </c>
      <c r="AW76" s="755">
        <v>0</v>
      </c>
      <c r="AX76" s="755">
        <v>0</v>
      </c>
      <c r="AY76" s="756">
        <v>0</v>
      </c>
      <c r="AZ76" s="1131"/>
      <c r="BA76" s="758">
        <f>SUM(D76:G76)</f>
        <v>0</v>
      </c>
      <c r="BB76" s="758">
        <f>SUM(H76:K76)</f>
        <v>0</v>
      </c>
      <c r="BC76" s="758">
        <f>SUM(L76:O76)</f>
        <v>1041</v>
      </c>
      <c r="BD76" s="758">
        <f>SUM(P76:S76)</f>
        <v>-310</v>
      </c>
      <c r="BE76" s="759">
        <f>SUM(T76:W76)</f>
        <v>50</v>
      </c>
      <c r="BF76" s="758">
        <f>SUM(X76:AA76)</f>
        <v>-171</v>
      </c>
      <c r="BG76" s="758">
        <f>SUM(AB76:AE76)</f>
        <v>-95</v>
      </c>
      <c r="BH76" s="759">
        <f>SUM(AF76:AI76)</f>
        <v>-268</v>
      </c>
      <c r="BI76" s="759">
        <f>SUM(AJ76:AM76)</f>
        <v>-329</v>
      </c>
      <c r="BJ76" s="1445">
        <f>SUM(AN76:AQ76)</f>
        <v>-106</v>
      </c>
      <c r="BK76" s="1445">
        <f>SUM(AR76:AU76)</f>
        <v>-120</v>
      </c>
      <c r="BL76" s="1445">
        <f>SUM(AV76:AY76)</f>
        <v>0</v>
      </c>
      <c r="BM76" s="1445">
        <f>BL76</f>
        <v>0</v>
      </c>
      <c r="BN76" s="1943">
        <f>BM76</f>
        <v>0</v>
      </c>
      <c r="BR76" s="760"/>
      <c r="BS76"/>
      <c r="BT76"/>
      <c r="BU76"/>
      <c r="BV76"/>
      <c r="BW76"/>
      <c r="BX76"/>
    </row>
    <row r="77" spans="1:76" s="761" customFormat="1" ht="14.25" hidden="1" customHeight="1" outlineLevel="1">
      <c r="B77" s="776" t="s">
        <v>60</v>
      </c>
      <c r="C77" s="1478"/>
      <c r="D77" s="763">
        <f t="shared" ref="D77:AJ77" si="216">+D75</f>
        <v>-92</v>
      </c>
      <c r="E77" s="764">
        <f t="shared" si="216"/>
        <v>-103</v>
      </c>
      <c r="F77" s="764">
        <f t="shared" si="216"/>
        <v>52</v>
      </c>
      <c r="G77" s="765">
        <f t="shared" si="216"/>
        <v>-38</v>
      </c>
      <c r="H77" s="763">
        <f t="shared" si="216"/>
        <v>59</v>
      </c>
      <c r="I77" s="764">
        <f t="shared" si="216"/>
        <v>-174</v>
      </c>
      <c r="J77" s="764">
        <f t="shared" si="216"/>
        <v>-324</v>
      </c>
      <c r="K77" s="765">
        <f t="shared" si="216"/>
        <v>-175</v>
      </c>
      <c r="L77" s="763">
        <f t="shared" si="216"/>
        <v>-101</v>
      </c>
      <c r="M77" s="764">
        <f t="shared" si="216"/>
        <v>-93</v>
      </c>
      <c r="N77" s="764">
        <f t="shared" si="216"/>
        <v>-82</v>
      </c>
      <c r="O77" s="765">
        <f t="shared" si="216"/>
        <v>-83</v>
      </c>
      <c r="P77" s="763">
        <f t="shared" si="216"/>
        <v>-80</v>
      </c>
      <c r="Q77" s="764">
        <f t="shared" si="216"/>
        <v>-78</v>
      </c>
      <c r="R77" s="764">
        <f t="shared" si="216"/>
        <v>-80</v>
      </c>
      <c r="S77" s="765">
        <f t="shared" si="216"/>
        <v>-80</v>
      </c>
      <c r="T77" s="763">
        <f t="shared" si="216"/>
        <v>-81</v>
      </c>
      <c r="U77" s="764">
        <f t="shared" si="216"/>
        <v>-79</v>
      </c>
      <c r="V77" s="764">
        <f t="shared" si="216"/>
        <v>-73</v>
      </c>
      <c r="W77" s="765">
        <f t="shared" si="216"/>
        <v>-74</v>
      </c>
      <c r="X77" s="763">
        <f t="shared" si="216"/>
        <v>-76</v>
      </c>
      <c r="Y77" s="764">
        <f t="shared" si="216"/>
        <v>-70</v>
      </c>
      <c r="Z77" s="764">
        <f t="shared" si="216"/>
        <v>-65</v>
      </c>
      <c r="AA77" s="765">
        <f t="shared" si="216"/>
        <v>-55</v>
      </c>
      <c r="AB77" s="763">
        <f t="shared" si="216"/>
        <v>-49</v>
      </c>
      <c r="AC77" s="764">
        <f t="shared" si="216"/>
        <v>-47</v>
      </c>
      <c r="AD77" s="764">
        <f t="shared" si="216"/>
        <v>-44</v>
      </c>
      <c r="AE77" s="765">
        <f t="shared" si="216"/>
        <v>-39</v>
      </c>
      <c r="AF77" s="763">
        <f t="shared" si="216"/>
        <v>-34</v>
      </c>
      <c r="AG77" s="764">
        <f t="shared" si="216"/>
        <v>-34</v>
      </c>
      <c r="AH77" s="764">
        <f t="shared" si="216"/>
        <v>-34</v>
      </c>
      <c r="AI77" s="765">
        <f t="shared" si="216"/>
        <v>-40</v>
      </c>
      <c r="AJ77" s="763">
        <f t="shared" si="216"/>
        <v>-46</v>
      </c>
      <c r="AK77" s="764">
        <f>+AK75</f>
        <v>-45</v>
      </c>
      <c r="AL77" s="764">
        <f t="shared" ref="AL77:AM77" si="217">+AL75</f>
        <v>-44</v>
      </c>
      <c r="AM77" s="764">
        <f t="shared" si="217"/>
        <v>-56</v>
      </c>
      <c r="AN77" s="763">
        <f>+AN75</f>
        <v>-93</v>
      </c>
      <c r="AO77" s="764">
        <f>+AO75</f>
        <v>-88</v>
      </c>
      <c r="AP77" s="764">
        <f t="shared" ref="AP77:AR77" si="218">+AP75</f>
        <v>-87</v>
      </c>
      <c r="AQ77" s="764">
        <f t="shared" si="218"/>
        <v>-79</v>
      </c>
      <c r="AR77" s="763">
        <f t="shared" si="218"/>
        <v>-75</v>
      </c>
      <c r="AS77" s="764">
        <f>+AS75</f>
        <v>-59</v>
      </c>
      <c r="AT77" s="764">
        <f t="shared" ref="AT77:AU77" si="219">+AT75</f>
        <v>-57</v>
      </c>
      <c r="AU77" s="764">
        <f t="shared" si="219"/>
        <v>-55</v>
      </c>
      <c r="AV77" s="763">
        <f t="shared" ref="AV77:AY77" si="220">+AV75</f>
        <v>-53</v>
      </c>
      <c r="AW77" s="764">
        <f t="shared" si="220"/>
        <v>-51.5</v>
      </c>
      <c r="AX77" s="764">
        <f t="shared" si="220"/>
        <v>-50</v>
      </c>
      <c r="AY77" s="765">
        <f t="shared" si="220"/>
        <v>-49</v>
      </c>
      <c r="AZ77" s="775"/>
      <c r="BA77" s="764">
        <f t="shared" ref="BA77:BI77" si="221">+BA75</f>
        <v>-181</v>
      </c>
      <c r="BB77" s="764">
        <f t="shared" si="221"/>
        <v>-614</v>
      </c>
      <c r="BC77" s="764">
        <f t="shared" si="221"/>
        <v>-359</v>
      </c>
      <c r="BD77" s="764">
        <f t="shared" si="221"/>
        <v>-318</v>
      </c>
      <c r="BE77" s="763">
        <f t="shared" si="221"/>
        <v>-307</v>
      </c>
      <c r="BF77" s="764">
        <f t="shared" si="221"/>
        <v>-266</v>
      </c>
      <c r="BG77" s="764">
        <f t="shared" si="221"/>
        <v>-179</v>
      </c>
      <c r="BH77" s="763">
        <f t="shared" si="221"/>
        <v>-142</v>
      </c>
      <c r="BI77" s="763">
        <f t="shared" si="221"/>
        <v>-191</v>
      </c>
      <c r="BJ77" s="764">
        <f t="shared" ref="BJ77:BM77" si="222">+BJ75</f>
        <v>-347</v>
      </c>
      <c r="BK77" s="764">
        <f t="shared" si="222"/>
        <v>-246</v>
      </c>
      <c r="BL77" s="764">
        <f t="shared" si="222"/>
        <v>-203.5</v>
      </c>
      <c r="BM77" s="764">
        <f t="shared" si="222"/>
        <v>-199.5</v>
      </c>
      <c r="BN77" s="765">
        <f t="shared" ref="BN77" si="223">+BN75</f>
        <v>-195.5</v>
      </c>
      <c r="BR77" s="766"/>
      <c r="BS77"/>
      <c r="BT77"/>
      <c r="BU77"/>
      <c r="BV77"/>
      <c r="BW77"/>
      <c r="BX77"/>
    </row>
    <row r="78" spans="1:76" ht="14.25" hidden="1" customHeight="1" outlineLevel="1">
      <c r="A78" s="8"/>
      <c r="B78" s="782"/>
      <c r="C78" s="820"/>
      <c r="D78" s="39"/>
      <c r="E78" s="37"/>
      <c r="F78" s="42"/>
      <c r="G78" s="38"/>
      <c r="H78" s="39"/>
      <c r="I78" s="37"/>
      <c r="J78" s="42"/>
      <c r="K78" s="38"/>
      <c r="L78" s="39"/>
      <c r="M78" s="37"/>
      <c r="N78" s="42"/>
      <c r="O78" s="38"/>
      <c r="P78" s="39"/>
      <c r="Q78" s="37"/>
      <c r="R78" s="42"/>
      <c r="S78" s="38"/>
      <c r="T78" s="39"/>
      <c r="U78" s="37"/>
      <c r="V78" s="42"/>
      <c r="W78" s="38"/>
      <c r="X78" s="39"/>
      <c r="Y78" s="37"/>
      <c r="Z78" s="42"/>
      <c r="AA78" s="38"/>
      <c r="AB78" s="39"/>
      <c r="AC78" s="37"/>
      <c r="AD78" s="42"/>
      <c r="AE78" s="38"/>
      <c r="AF78" s="39"/>
      <c r="AG78" s="37"/>
      <c r="AH78" s="42"/>
      <c r="AI78" s="38"/>
      <c r="AJ78" s="39"/>
      <c r="AK78" s="37"/>
      <c r="AL78" s="42"/>
      <c r="AM78" s="37"/>
      <c r="AN78" s="39"/>
      <c r="AO78" s="37"/>
      <c r="AP78" s="42"/>
      <c r="AQ78" s="37"/>
      <c r="AR78" s="39"/>
      <c r="AS78" s="37"/>
      <c r="AT78" s="42"/>
      <c r="AU78" s="37"/>
      <c r="AV78" s="1753"/>
      <c r="AW78" s="1746"/>
      <c r="AX78" s="1746"/>
      <c r="AY78" s="1774"/>
      <c r="AZ78" s="246"/>
      <c r="BA78" s="37"/>
      <c r="BB78" s="37"/>
      <c r="BC78" s="37"/>
      <c r="BD78" s="37"/>
      <c r="BE78" s="39"/>
      <c r="BF78" s="37"/>
      <c r="BG78" s="37"/>
      <c r="BH78" s="39"/>
      <c r="BI78" s="39"/>
      <c r="BJ78" s="37"/>
      <c r="BK78" s="37"/>
      <c r="BL78" s="37"/>
      <c r="BM78" s="37"/>
      <c r="BN78" s="38"/>
      <c r="BR78" s="1472"/>
    </row>
    <row r="79" spans="1:76" s="761" customFormat="1" ht="14.25" customHeight="1" collapsed="1">
      <c r="B79" s="780" t="s">
        <v>1</v>
      </c>
      <c r="C79" s="1536"/>
      <c r="D79" s="767">
        <f t="shared" ref="D79:AJ79" si="224">D64+D73</f>
        <v>-383</v>
      </c>
      <c r="E79" s="768">
        <f t="shared" si="224"/>
        <v>-442</v>
      </c>
      <c r="F79" s="768">
        <f t="shared" si="224"/>
        <v>49</v>
      </c>
      <c r="G79" s="769">
        <f t="shared" si="224"/>
        <v>-183</v>
      </c>
      <c r="H79" s="767">
        <f t="shared" si="224"/>
        <v>-108</v>
      </c>
      <c r="I79" s="768">
        <f t="shared" si="224"/>
        <v>-458</v>
      </c>
      <c r="J79" s="768">
        <f t="shared" si="224"/>
        <v>-2261</v>
      </c>
      <c r="K79" s="769">
        <f t="shared" si="224"/>
        <v>-433</v>
      </c>
      <c r="L79" s="767">
        <f t="shared" si="224"/>
        <v>-654</v>
      </c>
      <c r="M79" s="768">
        <f t="shared" si="224"/>
        <v>356</v>
      </c>
      <c r="N79" s="768">
        <f t="shared" si="224"/>
        <v>426</v>
      </c>
      <c r="O79" s="769">
        <f t="shared" si="224"/>
        <v>-377</v>
      </c>
      <c r="P79" s="767">
        <f t="shared" si="224"/>
        <v>-317</v>
      </c>
      <c r="Q79" s="768">
        <f t="shared" si="224"/>
        <v>-337</v>
      </c>
      <c r="R79" s="768">
        <f t="shared" si="224"/>
        <v>385</v>
      </c>
      <c r="S79" s="769">
        <f t="shared" si="224"/>
        <v>-86</v>
      </c>
      <c r="T79" s="767">
        <f t="shared" si="224"/>
        <v>209</v>
      </c>
      <c r="U79" s="768">
        <f t="shared" si="224"/>
        <v>114</v>
      </c>
      <c r="V79" s="768">
        <f t="shared" si="224"/>
        <v>-65</v>
      </c>
      <c r="W79" s="769">
        <f t="shared" si="224"/>
        <v>-158</v>
      </c>
      <c r="X79" s="767">
        <f t="shared" si="224"/>
        <v>-18</v>
      </c>
      <c r="Y79" s="768">
        <f t="shared" si="224"/>
        <v>-22</v>
      </c>
      <c r="Z79" s="768">
        <f t="shared" si="224"/>
        <v>135</v>
      </c>
      <c r="AA79" s="769">
        <f t="shared" si="224"/>
        <v>-120</v>
      </c>
      <c r="AB79" s="767">
        <f t="shared" si="224"/>
        <v>-37</v>
      </c>
      <c r="AC79" s="768">
        <f t="shared" si="224"/>
        <v>124</v>
      </c>
      <c r="AD79" s="768">
        <f t="shared" si="224"/>
        <v>171</v>
      </c>
      <c r="AE79" s="769">
        <f t="shared" si="224"/>
        <v>119</v>
      </c>
      <c r="AF79" s="767">
        <f t="shared" si="224"/>
        <v>139</v>
      </c>
      <c r="AG79" s="768">
        <f t="shared" si="224"/>
        <v>189</v>
      </c>
      <c r="AH79" s="768">
        <f t="shared" si="224"/>
        <v>139</v>
      </c>
      <c r="AI79" s="769">
        <f t="shared" si="224"/>
        <v>173</v>
      </c>
      <c r="AJ79" s="767">
        <f t="shared" si="224"/>
        <v>-78</v>
      </c>
      <c r="AK79" s="768">
        <f>AK64+AK73</f>
        <v>334</v>
      </c>
      <c r="AL79" s="768">
        <f t="shared" ref="AL79:AN79" si="225">AL64+AL73</f>
        <v>400</v>
      </c>
      <c r="AM79" s="768">
        <f t="shared" si="225"/>
        <v>839</v>
      </c>
      <c r="AN79" s="767">
        <f t="shared" si="225"/>
        <v>-587</v>
      </c>
      <c r="AO79" s="768">
        <f>AO64+AO73</f>
        <v>-152</v>
      </c>
      <c r="AP79" s="768">
        <f t="shared" ref="AP79:AQ79" si="226">AP64+AP73</f>
        <v>59</v>
      </c>
      <c r="AQ79" s="768">
        <f t="shared" si="226"/>
        <v>77</v>
      </c>
      <c r="AR79" s="767">
        <f>AR64+AR73</f>
        <v>1543</v>
      </c>
      <c r="AS79" s="768">
        <f>AS64+AS73</f>
        <v>-25</v>
      </c>
      <c r="AT79" s="768">
        <f t="shared" ref="AT79:AU79" si="227">AT64+AT73</f>
        <v>87</v>
      </c>
      <c r="AU79" s="768">
        <f t="shared" si="227"/>
        <v>131</v>
      </c>
      <c r="AV79" s="767">
        <f t="shared" ref="AV79:AY79" si="228">AV64+AV73</f>
        <v>594.6310193485341</v>
      </c>
      <c r="AW79" s="768">
        <f t="shared" si="228"/>
        <v>638.39042056272649</v>
      </c>
      <c r="AX79" s="768">
        <f t="shared" si="228"/>
        <v>691.46975431550857</v>
      </c>
      <c r="AY79" s="769">
        <f t="shared" si="228"/>
        <v>682.7052881186911</v>
      </c>
      <c r="AZ79" s="775"/>
      <c r="BA79" s="768">
        <f t="shared" ref="BA79:BI79" si="229">BA64+BA73</f>
        <v>-959</v>
      </c>
      <c r="BB79" s="768">
        <f t="shared" si="229"/>
        <v>-3260</v>
      </c>
      <c r="BC79" s="768">
        <f t="shared" si="229"/>
        <v>-249</v>
      </c>
      <c r="BD79" s="768">
        <f t="shared" si="229"/>
        <v>-355</v>
      </c>
      <c r="BE79" s="767">
        <f t="shared" si="229"/>
        <v>100</v>
      </c>
      <c r="BF79" s="768">
        <f t="shared" si="229"/>
        <v>-25</v>
      </c>
      <c r="BG79" s="768">
        <f t="shared" si="229"/>
        <v>377</v>
      </c>
      <c r="BH79" s="767">
        <f t="shared" si="229"/>
        <v>640</v>
      </c>
      <c r="BI79" s="767">
        <f t="shared" si="229"/>
        <v>1495</v>
      </c>
      <c r="BJ79" s="768">
        <f t="shared" ref="BJ79:BM79" si="230">BJ64+BJ73</f>
        <v>-603</v>
      </c>
      <c r="BK79" s="768">
        <f t="shared" si="230"/>
        <v>1736</v>
      </c>
      <c r="BL79" s="768">
        <f t="shared" si="230"/>
        <v>2607.19648234546</v>
      </c>
      <c r="BM79" s="768">
        <f t="shared" si="230"/>
        <v>2902.4897298526039</v>
      </c>
      <c r="BN79" s="769">
        <f t="shared" ref="BN79" si="231">BN64+BN73</f>
        <v>3147.1670498264621</v>
      </c>
      <c r="BR79" s="766"/>
      <c r="BS79"/>
      <c r="BT79"/>
      <c r="BU79"/>
      <c r="BV79"/>
      <c r="BW79"/>
      <c r="BX79"/>
    </row>
    <row r="80" spans="1:76" ht="14.25" customHeight="1">
      <c r="A80" s="8"/>
      <c r="B80" s="451" t="s">
        <v>49</v>
      </c>
      <c r="C80" s="1537"/>
      <c r="D80" s="1527">
        <f t="shared" ref="D80:AY80" si="232">D79/D8</f>
        <v>-0.26214921286789872</v>
      </c>
      <c r="E80" s="1504">
        <f t="shared" si="232"/>
        <v>-0.28738621586475943</v>
      </c>
      <c r="F80" s="1504">
        <f t="shared" si="232"/>
        <v>2.9805352798053526E-2</v>
      </c>
      <c r="G80" s="1526">
        <f t="shared" si="232"/>
        <v>-0.10905840286054827</v>
      </c>
      <c r="H80" s="1527">
        <f t="shared" si="232"/>
        <v>-7.1099407504937456E-2</v>
      </c>
      <c r="I80" s="1504">
        <f t="shared" si="232"/>
        <v>-0.3005249343832021</v>
      </c>
      <c r="J80" s="1504">
        <f t="shared" si="232"/>
        <v>-1.6455604075691412</v>
      </c>
      <c r="K80" s="1526">
        <f t="shared" si="232"/>
        <v>-0.42202729044834308</v>
      </c>
      <c r="L80" s="1527">
        <f t="shared" si="232"/>
        <v>-1.0139534883720931</v>
      </c>
      <c r="M80" s="1504">
        <f t="shared" si="232"/>
        <v>0.43256379100850545</v>
      </c>
      <c r="N80" s="1504">
        <f t="shared" si="232"/>
        <v>0.43292682926829268</v>
      </c>
      <c r="O80" s="1526">
        <f t="shared" si="232"/>
        <v>-0.35332708528584816</v>
      </c>
      <c r="P80" s="1527">
        <f t="shared" si="232"/>
        <v>-0.29216589861751152</v>
      </c>
      <c r="Q80" s="1504">
        <f t="shared" si="232"/>
        <v>-0.30116175156389635</v>
      </c>
      <c r="R80" s="1504">
        <f t="shared" si="232"/>
        <v>0.34375</v>
      </c>
      <c r="S80" s="1526">
        <f t="shared" si="232"/>
        <v>-7.9777365491651209E-2</v>
      </c>
      <c r="T80" s="1527">
        <f t="shared" si="232"/>
        <v>0.19316081330868762</v>
      </c>
      <c r="U80" s="1504">
        <f t="shared" si="232"/>
        <v>0.10169491525423729</v>
      </c>
      <c r="V80" s="1504">
        <f t="shared" si="232"/>
        <v>-6.1320754716981132E-2</v>
      </c>
      <c r="W80" s="1526">
        <f t="shared" si="232"/>
        <v>-0.16970998925886144</v>
      </c>
      <c r="X80" s="1527">
        <f t="shared" si="232"/>
        <v>-1.8404907975460124E-2</v>
      </c>
      <c r="Y80" s="1504">
        <f t="shared" si="232"/>
        <v>-2.0109689213893969E-2</v>
      </c>
      <c r="Z80" s="1504">
        <f t="shared" si="232"/>
        <v>0.11538461538461539</v>
      </c>
      <c r="AA80" s="1526">
        <f t="shared" si="232"/>
        <v>-0.10752688172043011</v>
      </c>
      <c r="AB80" s="1527">
        <f t="shared" si="232"/>
        <v>-3.4101382488479264E-2</v>
      </c>
      <c r="AC80" s="1504">
        <f t="shared" si="232"/>
        <v>0.10437710437710437</v>
      </c>
      <c r="AD80" s="1504">
        <f t="shared" si="232"/>
        <v>0.13690952762209768</v>
      </c>
      <c r="AE80" s="1526">
        <f t="shared" si="232"/>
        <v>9.2034029389017794E-2</v>
      </c>
      <c r="AF80" s="1527">
        <f t="shared" si="232"/>
        <v>0.1115569823434992</v>
      </c>
      <c r="AG80" s="1504">
        <f t="shared" si="232"/>
        <v>0.14010378057820608</v>
      </c>
      <c r="AH80" s="1504">
        <f t="shared" si="232"/>
        <v>9.1749174917491752E-2</v>
      </c>
      <c r="AI80" s="1526">
        <f t="shared" si="232"/>
        <v>0.1125569290826285</v>
      </c>
      <c r="AJ80" s="1527">
        <f t="shared" si="232"/>
        <v>-5.3169734151329244E-2</v>
      </c>
      <c r="AK80" s="1504">
        <f t="shared" si="232"/>
        <v>0.22177954847277556</v>
      </c>
      <c r="AL80" s="1504">
        <f t="shared" si="232"/>
        <v>0.26281208935611039</v>
      </c>
      <c r="AM80" s="1673">
        <f t="shared" si="232"/>
        <v>0.52241594022415938</v>
      </c>
      <c r="AN80" s="1674">
        <f t="shared" si="232"/>
        <v>-0.26393884892086333</v>
      </c>
      <c r="AO80" s="1673">
        <f t="shared" si="232"/>
        <v>-6.4270613107822408E-2</v>
      </c>
      <c r="AP80" s="1741">
        <f t="shared" si="232"/>
        <v>2.389631429728635E-2</v>
      </c>
      <c r="AQ80" s="1741">
        <f t="shared" si="232"/>
        <v>3.1557377049180331E-2</v>
      </c>
      <c r="AR80" s="1743">
        <f t="shared" si="232"/>
        <v>0.69787426503844419</v>
      </c>
      <c r="AS80" s="1741">
        <f t="shared" si="232"/>
        <v>-1.1353315168029064E-2</v>
      </c>
      <c r="AT80" s="1848">
        <f t="shared" ref="AT80:AU80" si="233">AT79/AT8</f>
        <v>3.6447423544197735E-2</v>
      </c>
      <c r="AU80" s="1848">
        <f t="shared" si="233"/>
        <v>5.3338762214983716E-2</v>
      </c>
      <c r="AV80" s="1850">
        <f t="shared" si="232"/>
        <v>0.25566950414421574</v>
      </c>
      <c r="AW80" s="1848">
        <f t="shared" si="232"/>
        <v>0.26538482731050661</v>
      </c>
      <c r="AX80" s="1848">
        <f t="shared" si="232"/>
        <v>0.27617127371953648</v>
      </c>
      <c r="AY80" s="1849">
        <f t="shared" si="232"/>
        <v>0.27689416466094779</v>
      </c>
      <c r="AZ80" s="246"/>
      <c r="BA80" s="1504">
        <f t="shared" ref="BA80:BM80" si="234">BA79/BA8</f>
        <v>-0.15171650055370986</v>
      </c>
      <c r="BB80" s="1504">
        <f t="shared" si="234"/>
        <v>-0.59893441117031054</v>
      </c>
      <c r="BC80" s="1504">
        <f t="shared" si="234"/>
        <v>-7.0758738277919869E-2</v>
      </c>
      <c r="BD80" s="1504">
        <f t="shared" si="234"/>
        <v>-8.0645161290322578E-2</v>
      </c>
      <c r="BE80" s="1674">
        <f t="shared" si="234"/>
        <v>2.3843586075345733E-2</v>
      </c>
      <c r="BF80" s="1673">
        <f t="shared" si="234"/>
        <v>-5.7365764111977973E-3</v>
      </c>
      <c r="BG80" s="1673">
        <f t="shared" si="234"/>
        <v>7.8296988577362406E-2</v>
      </c>
      <c r="BH80" s="1850">
        <f t="shared" si="234"/>
        <v>0.11333451390118647</v>
      </c>
      <c r="BI80" s="1850">
        <f t="shared" si="234"/>
        <v>0.24504179642681528</v>
      </c>
      <c r="BJ80" s="1848">
        <f t="shared" si="234"/>
        <v>-6.3487049905243204E-2</v>
      </c>
      <c r="BK80" s="1848">
        <f t="shared" si="234"/>
        <v>0.18755401901469318</v>
      </c>
      <c r="BL80" s="1848">
        <f t="shared" si="234"/>
        <v>0.26876483503617765</v>
      </c>
      <c r="BM80" s="1848">
        <f t="shared" si="234"/>
        <v>0.28354724047219565</v>
      </c>
      <c r="BN80" s="1849">
        <f t="shared" ref="BN80" si="235">BN79/BN8</f>
        <v>0.29311565738682183</v>
      </c>
      <c r="BR80" s="1472"/>
    </row>
    <row r="81" spans="1:76" ht="14.25" hidden="1" customHeight="1" outlineLevel="1">
      <c r="A81" s="8"/>
      <c r="B81" s="780"/>
      <c r="C81" s="1538"/>
      <c r="D81" s="45"/>
      <c r="E81" s="46"/>
      <c r="F81" s="46"/>
      <c r="G81" s="47"/>
      <c r="H81" s="45"/>
      <c r="I81" s="46"/>
      <c r="J81" s="46"/>
      <c r="K81" s="47"/>
      <c r="L81" s="45"/>
      <c r="M81" s="46"/>
      <c r="N81" s="46"/>
      <c r="O81" s="47"/>
      <c r="P81" s="45"/>
      <c r="Q81" s="46"/>
      <c r="R81" s="46"/>
      <c r="S81" s="47"/>
      <c r="T81" s="45"/>
      <c r="U81" s="46"/>
      <c r="V81" s="46"/>
      <c r="W81" s="47"/>
      <c r="X81" s="45"/>
      <c r="Y81" s="46"/>
      <c r="Z81" s="46"/>
      <c r="AA81" s="47"/>
      <c r="AB81" s="45"/>
      <c r="AC81" s="46"/>
      <c r="AD81" s="46"/>
      <c r="AE81" s="47"/>
      <c r="AF81" s="45"/>
      <c r="AG81" s="46"/>
      <c r="AH81" s="46"/>
      <c r="AI81" s="47"/>
      <c r="AJ81" s="45"/>
      <c r="AK81" s="46"/>
      <c r="AL81" s="46"/>
      <c r="AM81" s="46"/>
      <c r="AN81" s="45"/>
      <c r="AO81" s="46"/>
      <c r="AP81" s="46"/>
      <c r="AQ81" s="46"/>
      <c r="AR81" s="45"/>
      <c r="AS81" s="46"/>
      <c r="AT81" s="46"/>
      <c r="AU81" s="46"/>
      <c r="AV81" s="45"/>
      <c r="AW81" s="46"/>
      <c r="AX81" s="46"/>
      <c r="AY81" s="47"/>
      <c r="AZ81" s="246"/>
      <c r="BA81" s="46"/>
      <c r="BB81" s="46"/>
      <c r="BC81" s="46"/>
      <c r="BD81" s="46"/>
      <c r="BE81" s="45"/>
      <c r="BF81" s="46"/>
      <c r="BG81" s="46"/>
      <c r="BH81" s="45"/>
      <c r="BI81" s="45"/>
      <c r="BJ81" s="46"/>
      <c r="BK81" s="46"/>
      <c r="BL81" s="46"/>
      <c r="BM81" s="46"/>
      <c r="BN81" s="47"/>
      <c r="BR81" s="1472"/>
    </row>
    <row r="82" spans="1:76" s="761" customFormat="1" ht="14.25" hidden="1" customHeight="1" outlineLevel="1">
      <c r="B82" s="780" t="s">
        <v>61</v>
      </c>
      <c r="C82" s="1536"/>
      <c r="D82" s="767">
        <f t="shared" ref="D82:AJ82" si="236">D70+D77</f>
        <v>-383</v>
      </c>
      <c r="E82" s="768">
        <f>E70+E77</f>
        <v>-442</v>
      </c>
      <c r="F82" s="768">
        <f>F70+F77</f>
        <v>49</v>
      </c>
      <c r="G82" s="769">
        <f>G70+G77</f>
        <v>-183</v>
      </c>
      <c r="H82" s="767">
        <f t="shared" si="236"/>
        <v>-108</v>
      </c>
      <c r="I82" s="768">
        <f t="shared" si="236"/>
        <v>-458</v>
      </c>
      <c r="J82" s="768">
        <f t="shared" si="236"/>
        <v>-2261</v>
      </c>
      <c r="K82" s="769">
        <f t="shared" si="236"/>
        <v>-433</v>
      </c>
      <c r="L82" s="767">
        <f t="shared" si="236"/>
        <v>-301</v>
      </c>
      <c r="M82" s="768">
        <f t="shared" si="236"/>
        <v>-131</v>
      </c>
      <c r="N82" s="768">
        <f t="shared" si="236"/>
        <v>-50</v>
      </c>
      <c r="O82" s="769">
        <f t="shared" si="236"/>
        <v>-24</v>
      </c>
      <c r="P82" s="767">
        <f t="shared" si="236"/>
        <v>47</v>
      </c>
      <c r="Q82" s="768">
        <f t="shared" si="236"/>
        <v>87</v>
      </c>
      <c r="R82" s="768">
        <f t="shared" si="236"/>
        <v>105</v>
      </c>
      <c r="S82" s="769">
        <f t="shared" si="236"/>
        <v>128</v>
      </c>
      <c r="T82" s="767">
        <f t="shared" si="236"/>
        <v>142</v>
      </c>
      <c r="U82" s="768">
        <f t="shared" si="236"/>
        <v>150</v>
      </c>
      <c r="V82" s="768">
        <f t="shared" si="236"/>
        <v>137</v>
      </c>
      <c r="W82" s="769">
        <f t="shared" si="236"/>
        <v>74</v>
      </c>
      <c r="X82" s="767">
        <f t="shared" si="236"/>
        <v>65</v>
      </c>
      <c r="Y82" s="768">
        <f t="shared" si="236"/>
        <v>134</v>
      </c>
      <c r="Z82" s="768">
        <f t="shared" si="236"/>
        <v>167</v>
      </c>
      <c r="AA82" s="769">
        <f t="shared" si="236"/>
        <v>154</v>
      </c>
      <c r="AB82" s="767">
        <f t="shared" si="236"/>
        <v>189</v>
      </c>
      <c r="AC82" s="768">
        <f t="shared" si="236"/>
        <v>189</v>
      </c>
      <c r="AD82" s="768">
        <f t="shared" si="236"/>
        <v>221</v>
      </c>
      <c r="AE82" s="769">
        <f t="shared" si="236"/>
        <v>254</v>
      </c>
      <c r="AF82" s="767">
        <f t="shared" si="236"/>
        <v>239</v>
      </c>
      <c r="AG82" s="768">
        <f t="shared" si="236"/>
        <v>263</v>
      </c>
      <c r="AH82" s="768">
        <f t="shared" si="236"/>
        <v>322</v>
      </c>
      <c r="AI82" s="769">
        <f t="shared" si="236"/>
        <v>315</v>
      </c>
      <c r="AJ82" s="767">
        <f t="shared" si="236"/>
        <v>304</v>
      </c>
      <c r="AK82" s="768">
        <f>AK70+AK77</f>
        <v>337</v>
      </c>
      <c r="AL82" s="768">
        <f t="shared" ref="AL82:AM82" si="237">AL70+AL77</f>
        <v>371</v>
      </c>
      <c r="AM82" s="768">
        <f t="shared" si="237"/>
        <v>266</v>
      </c>
      <c r="AN82" s="767">
        <f>AN70+AN77</f>
        <v>327</v>
      </c>
      <c r="AO82" s="768">
        <f>AO70+AO77</f>
        <v>438</v>
      </c>
      <c r="AP82" s="768">
        <f t="shared" ref="AP82:AQ82" si="238">AP70+AP77</f>
        <v>527</v>
      </c>
      <c r="AQ82" s="768">
        <f t="shared" si="238"/>
        <v>554</v>
      </c>
      <c r="AR82" s="767">
        <f>AR70+AR77</f>
        <v>456</v>
      </c>
      <c r="AS82" s="768">
        <f>AS70+AS77</f>
        <v>499</v>
      </c>
      <c r="AT82" s="768">
        <f t="shared" ref="AT82:AU82" si="239">AT70+AT77</f>
        <v>610</v>
      </c>
      <c r="AU82" s="768">
        <f t="shared" si="239"/>
        <v>630</v>
      </c>
      <c r="AV82" s="767">
        <f t="shared" ref="AV82:AY82" si="240">AV70+AV77</f>
        <v>594.6310193485341</v>
      </c>
      <c r="AW82" s="768">
        <f t="shared" si="240"/>
        <v>638.39042056272649</v>
      </c>
      <c r="AX82" s="768">
        <f t="shared" si="240"/>
        <v>691.46975431550857</v>
      </c>
      <c r="AY82" s="769">
        <f t="shared" si="240"/>
        <v>682.7052881186911</v>
      </c>
      <c r="AZ82" s="775"/>
      <c r="BA82" s="768">
        <f t="shared" ref="BA82:BI82" si="241">BA70+BA77</f>
        <v>-959</v>
      </c>
      <c r="BB82" s="768">
        <f t="shared" si="241"/>
        <v>-3260</v>
      </c>
      <c r="BC82" s="768">
        <f t="shared" si="241"/>
        <v>-506</v>
      </c>
      <c r="BD82" s="768">
        <f t="shared" si="241"/>
        <v>367</v>
      </c>
      <c r="BE82" s="767">
        <f t="shared" si="241"/>
        <v>503</v>
      </c>
      <c r="BF82" s="768">
        <f t="shared" si="241"/>
        <v>520</v>
      </c>
      <c r="BG82" s="768">
        <f t="shared" si="241"/>
        <v>853</v>
      </c>
      <c r="BH82" s="767">
        <f t="shared" si="241"/>
        <v>1139</v>
      </c>
      <c r="BI82" s="767">
        <f t="shared" si="241"/>
        <v>1278</v>
      </c>
      <c r="BJ82" s="768">
        <f t="shared" ref="BJ82:BM82" si="242">BJ70+BJ77</f>
        <v>1846</v>
      </c>
      <c r="BK82" s="768">
        <f t="shared" si="242"/>
        <v>2195</v>
      </c>
      <c r="BL82" s="768">
        <f t="shared" si="242"/>
        <v>2607.19648234546</v>
      </c>
      <c r="BM82" s="768">
        <f t="shared" si="242"/>
        <v>2902.4897298526039</v>
      </c>
      <c r="BN82" s="769">
        <f t="shared" ref="BN82" si="243">BN70+BN77</f>
        <v>3147.1670498264621</v>
      </c>
      <c r="BR82" s="766"/>
      <c r="BS82"/>
      <c r="BT82"/>
      <c r="BU82"/>
      <c r="BV82"/>
      <c r="BW82"/>
      <c r="BX82"/>
    </row>
    <row r="83" spans="1:76" ht="14.25" hidden="1" customHeight="1" outlineLevel="1">
      <c r="A83" s="8"/>
      <c r="B83" s="451" t="s">
        <v>62</v>
      </c>
      <c r="C83" s="1537"/>
      <c r="D83" s="1527">
        <f t="shared" ref="D83:AY83" si="244">D82/D8</f>
        <v>-0.26214921286789872</v>
      </c>
      <c r="E83" s="1504">
        <f t="shared" si="244"/>
        <v>-0.28738621586475943</v>
      </c>
      <c r="F83" s="1504">
        <f t="shared" si="244"/>
        <v>2.9805352798053526E-2</v>
      </c>
      <c r="G83" s="1526">
        <f t="shared" si="244"/>
        <v>-0.10905840286054827</v>
      </c>
      <c r="H83" s="1527">
        <f t="shared" si="244"/>
        <v>-7.1099407504937456E-2</v>
      </c>
      <c r="I83" s="1504">
        <f t="shared" si="244"/>
        <v>-0.3005249343832021</v>
      </c>
      <c r="J83" s="1504">
        <f t="shared" si="244"/>
        <v>-1.6455604075691412</v>
      </c>
      <c r="K83" s="1526">
        <f t="shared" si="244"/>
        <v>-0.42202729044834308</v>
      </c>
      <c r="L83" s="1527">
        <f t="shared" si="244"/>
        <v>-0.46666666666666667</v>
      </c>
      <c r="M83" s="1504">
        <f t="shared" si="244"/>
        <v>-0.1591737545565006</v>
      </c>
      <c r="N83" s="1504">
        <f t="shared" si="244"/>
        <v>-5.08130081300813E-2</v>
      </c>
      <c r="O83" s="1526">
        <f t="shared" si="244"/>
        <v>-2.2492970946579195E-2</v>
      </c>
      <c r="P83" s="1527">
        <f t="shared" si="244"/>
        <v>4.3317972350230417E-2</v>
      </c>
      <c r="Q83" s="1504">
        <f t="shared" si="244"/>
        <v>7.7747989276139406E-2</v>
      </c>
      <c r="R83" s="1504">
        <f t="shared" si="244"/>
        <v>9.375E-2</v>
      </c>
      <c r="S83" s="1526">
        <f t="shared" si="244"/>
        <v>0.11873840445269017</v>
      </c>
      <c r="T83" s="1527">
        <f t="shared" si="244"/>
        <v>0.13123844731977818</v>
      </c>
      <c r="U83" s="1504">
        <f t="shared" si="244"/>
        <v>0.13380909901873328</v>
      </c>
      <c r="V83" s="1504">
        <f t="shared" si="244"/>
        <v>0.12924528301886792</v>
      </c>
      <c r="W83" s="1526">
        <f t="shared" si="244"/>
        <v>7.9484425349087007E-2</v>
      </c>
      <c r="X83" s="1527">
        <f t="shared" si="244"/>
        <v>6.646216768916155E-2</v>
      </c>
      <c r="Y83" s="1504">
        <f t="shared" si="244"/>
        <v>0.12248628884826325</v>
      </c>
      <c r="Z83" s="1504">
        <f t="shared" si="244"/>
        <v>0.14273504273504273</v>
      </c>
      <c r="AA83" s="1526">
        <f t="shared" si="244"/>
        <v>0.13799283154121864</v>
      </c>
      <c r="AB83" s="1527">
        <f t="shared" si="244"/>
        <v>0.17419354838709677</v>
      </c>
      <c r="AC83" s="1504">
        <f t="shared" si="244"/>
        <v>0.15909090909090909</v>
      </c>
      <c r="AD83" s="1504">
        <f t="shared" si="244"/>
        <v>0.17694155324259409</v>
      </c>
      <c r="AE83" s="1526">
        <f t="shared" si="244"/>
        <v>0.19644238205723125</v>
      </c>
      <c r="AF83" s="1527">
        <f t="shared" si="244"/>
        <v>0.19181380417335472</v>
      </c>
      <c r="AG83" s="1504">
        <f t="shared" si="244"/>
        <v>0.19495922905856189</v>
      </c>
      <c r="AH83" s="1504">
        <f t="shared" si="244"/>
        <v>0.21254125412541255</v>
      </c>
      <c r="AI83" s="1526">
        <f t="shared" si="244"/>
        <v>0.20494469746258945</v>
      </c>
      <c r="AJ83" s="1527">
        <f t="shared" si="244"/>
        <v>0.20722563053851398</v>
      </c>
      <c r="AK83" s="1504">
        <f t="shared" si="244"/>
        <v>0.22377158034528552</v>
      </c>
      <c r="AL83" s="1504">
        <f t="shared" si="244"/>
        <v>0.24375821287779237</v>
      </c>
      <c r="AM83" s="1673">
        <f t="shared" si="244"/>
        <v>0.16562889165628891</v>
      </c>
      <c r="AN83" s="1674">
        <f t="shared" si="244"/>
        <v>0.14703237410071943</v>
      </c>
      <c r="AO83" s="1673">
        <f t="shared" si="244"/>
        <v>0.18520084566596196</v>
      </c>
      <c r="AP83" s="1741">
        <f t="shared" si="244"/>
        <v>0.21344673957067639</v>
      </c>
      <c r="AQ83" s="1741">
        <f t="shared" si="244"/>
        <v>0.22704918032786886</v>
      </c>
      <c r="AR83" s="1743">
        <f t="shared" si="244"/>
        <v>0.2062415196743555</v>
      </c>
      <c r="AS83" s="1741">
        <f t="shared" si="244"/>
        <v>0.22661217075386011</v>
      </c>
      <c r="AT83" s="1848">
        <f t="shared" ref="AT83:AU83" si="245">AT82/AT8</f>
        <v>0.25555090071219105</v>
      </c>
      <c r="AU83" s="1848">
        <f t="shared" si="245"/>
        <v>0.25651465798045603</v>
      </c>
      <c r="AV83" s="1850">
        <f t="shared" si="244"/>
        <v>0.25566950414421574</v>
      </c>
      <c r="AW83" s="1848">
        <f t="shared" si="244"/>
        <v>0.26538482731050661</v>
      </c>
      <c r="AX83" s="1848">
        <f t="shared" si="244"/>
        <v>0.27617127371953648</v>
      </c>
      <c r="AY83" s="1849">
        <f t="shared" si="244"/>
        <v>0.27689416466094779</v>
      </c>
      <c r="AZ83" s="246"/>
      <c r="BA83" s="1504">
        <f t="shared" ref="BA83:BM83" si="246">BA82/BA8</f>
        <v>-0.15171650055370986</v>
      </c>
      <c r="BB83" s="1504">
        <f t="shared" si="246"/>
        <v>-0.59893441117031054</v>
      </c>
      <c r="BC83" s="1504">
        <f t="shared" si="246"/>
        <v>-0.1437908496732026</v>
      </c>
      <c r="BD83" s="1504">
        <f t="shared" si="246"/>
        <v>8.3371194911403906E-2</v>
      </c>
      <c r="BE83" s="1674">
        <f t="shared" si="246"/>
        <v>0.11993323795898903</v>
      </c>
      <c r="BF83" s="1673">
        <f t="shared" si="246"/>
        <v>0.11932078935291418</v>
      </c>
      <c r="BG83" s="1673">
        <f t="shared" si="246"/>
        <v>0.17715472481827621</v>
      </c>
      <c r="BH83" s="1850">
        <f t="shared" si="246"/>
        <v>0.20170001770851781</v>
      </c>
      <c r="BI83" s="1850">
        <f t="shared" si="246"/>
        <v>0.20947385674479593</v>
      </c>
      <c r="BJ83" s="1848">
        <f t="shared" si="246"/>
        <v>0.1943567066750895</v>
      </c>
      <c r="BK83" s="1848">
        <f t="shared" si="246"/>
        <v>0.23714347450302506</v>
      </c>
      <c r="BL83" s="1848">
        <f t="shared" si="246"/>
        <v>0.26876483503617765</v>
      </c>
      <c r="BM83" s="1848">
        <f t="shared" si="246"/>
        <v>0.28354724047219565</v>
      </c>
      <c r="BN83" s="1849">
        <f t="shared" ref="BN83" si="247">BN82/BN8</f>
        <v>0.29311565738682183</v>
      </c>
      <c r="BR83" s="1472"/>
    </row>
    <row r="84" spans="1:76" ht="14.25" customHeight="1" collapsed="1">
      <c r="A84" s="8"/>
      <c r="B84" s="776"/>
      <c r="C84" s="58"/>
      <c r="D84" s="39"/>
      <c r="E84" s="37"/>
      <c r="F84" s="42"/>
      <c r="G84" s="38"/>
      <c r="H84" s="39"/>
      <c r="I84" s="37"/>
      <c r="J84" s="42"/>
      <c r="K84" s="38"/>
      <c r="L84" s="39"/>
      <c r="M84" s="37"/>
      <c r="N84" s="42"/>
      <c r="O84" s="38"/>
      <c r="P84" s="39"/>
      <c r="Q84" s="37"/>
      <c r="R84" s="42"/>
      <c r="S84" s="38"/>
      <c r="T84" s="39"/>
      <c r="U84" s="37"/>
      <c r="V84" s="42"/>
      <c r="W84" s="38"/>
      <c r="X84" s="39"/>
      <c r="Y84" s="37"/>
      <c r="Z84" s="42"/>
      <c r="AA84" s="38"/>
      <c r="AB84" s="39"/>
      <c r="AC84" s="37"/>
      <c r="AD84" s="42"/>
      <c r="AE84" s="38"/>
      <c r="AF84" s="39"/>
      <c r="AG84" s="37"/>
      <c r="AH84" s="42"/>
      <c r="AI84" s="38"/>
      <c r="AJ84" s="39"/>
      <c r="AK84" s="37"/>
      <c r="AL84" s="42"/>
      <c r="AM84" s="37"/>
      <c r="AN84" s="39"/>
      <c r="AO84" s="37"/>
      <c r="AP84" s="42"/>
      <c r="AQ84" s="37"/>
      <c r="AR84" s="39"/>
      <c r="AS84" s="37"/>
      <c r="AT84" s="42"/>
      <c r="AU84" s="37"/>
      <c r="AV84" s="39"/>
      <c r="AW84" s="37"/>
      <c r="AX84" s="37"/>
      <c r="AY84" s="38"/>
      <c r="AZ84" s="246"/>
      <c r="BA84" s="40"/>
      <c r="BB84" s="40"/>
      <c r="BC84" s="40"/>
      <c r="BD84" s="40"/>
      <c r="BE84" s="50"/>
      <c r="BF84" s="40"/>
      <c r="BG84" s="40"/>
      <c r="BH84" s="50"/>
      <c r="BI84" s="50"/>
      <c r="BJ84" s="40"/>
      <c r="BK84" s="40"/>
      <c r="BL84" s="40"/>
      <c r="BM84" s="40"/>
      <c r="BN84" s="41"/>
      <c r="BR84" s="1472"/>
    </row>
    <row r="85" spans="1:76" s="761" customFormat="1" ht="14.25" customHeight="1">
      <c r="B85" s="776" t="s">
        <v>2</v>
      </c>
      <c r="C85" s="1478"/>
      <c r="D85" s="770">
        <v>-41</v>
      </c>
      <c r="E85" s="771">
        <v>-94</v>
      </c>
      <c r="F85" s="771">
        <v>40</v>
      </c>
      <c r="G85" s="772">
        <v>-301</v>
      </c>
      <c r="H85" s="770">
        <v>-46</v>
      </c>
      <c r="I85" s="771">
        <v>-146</v>
      </c>
      <c r="J85" s="771">
        <v>270</v>
      </c>
      <c r="K85" s="772">
        <v>-32</v>
      </c>
      <c r="L85" s="770">
        <v>12</v>
      </c>
      <c r="M85" s="771">
        <v>0</v>
      </c>
      <c r="N85" s="771">
        <v>10</v>
      </c>
      <c r="O85" s="772">
        <v>-12</v>
      </c>
      <c r="P85" s="770">
        <v>5</v>
      </c>
      <c r="Q85" s="771">
        <v>-3</v>
      </c>
      <c r="R85" s="771">
        <v>27</v>
      </c>
      <c r="S85" s="772">
        <v>-5</v>
      </c>
      <c r="T85" s="770">
        <v>-1</v>
      </c>
      <c r="U85" s="771">
        <v>0</v>
      </c>
      <c r="V85" s="771">
        <v>20</v>
      </c>
      <c r="W85" s="772">
        <v>2</v>
      </c>
      <c r="X85" s="770">
        <v>-5</v>
      </c>
      <c r="Y85" s="771">
        <v>7</v>
      </c>
      <c r="Z85" s="771">
        <v>6</v>
      </c>
      <c r="AA85" s="772">
        <v>-7</v>
      </c>
      <c r="AB85" s="770">
        <v>11</v>
      </c>
      <c r="AC85" s="771">
        <v>-2</v>
      </c>
      <c r="AD85" s="771">
        <v>1</v>
      </c>
      <c r="AE85" s="772">
        <v>10</v>
      </c>
      <c r="AF85" s="770">
        <v>15</v>
      </c>
      <c r="AG85" s="771">
        <v>12</v>
      </c>
      <c r="AH85" s="771">
        <v>4</v>
      </c>
      <c r="AI85" s="772">
        <v>9</v>
      </c>
      <c r="AJ85" s="770">
        <v>15</v>
      </c>
      <c r="AK85" s="771">
        <v>14</v>
      </c>
      <c r="AL85" s="771">
        <v>15</v>
      </c>
      <c r="AM85" s="771">
        <v>-148</v>
      </c>
      <c r="AN85" s="770">
        <v>-199</v>
      </c>
      <c r="AO85" s="771">
        <v>-152</v>
      </c>
      <c r="AP85" s="771">
        <v>-44</v>
      </c>
      <c r="AQ85" s="771">
        <v>-64</v>
      </c>
      <c r="AR85" s="770">
        <v>230</v>
      </c>
      <c r="AS85" s="771">
        <v>-54</v>
      </c>
      <c r="AT85" s="771">
        <v>-30</v>
      </c>
      <c r="AU85" s="771">
        <v>-629</v>
      </c>
      <c r="AV85" s="1838">
        <f>AV79*AV86</f>
        <v>59.463101934853412</v>
      </c>
      <c r="AW85" s="1839">
        <f t="shared" ref="AW85:AY85" si="248">AW79*AW86</f>
        <v>63.839042056272653</v>
      </c>
      <c r="AX85" s="1839">
        <f t="shared" si="248"/>
        <v>69.146975431550857</v>
      </c>
      <c r="AY85" s="1840">
        <f t="shared" si="248"/>
        <v>68.270528811869113</v>
      </c>
      <c r="AZ85" s="775"/>
      <c r="BA85" s="764">
        <f>SUM(D85:G85)</f>
        <v>-396</v>
      </c>
      <c r="BB85" s="764">
        <f>SUM(H85:K85)</f>
        <v>46</v>
      </c>
      <c r="BC85" s="764">
        <f>SUM(L85:O85)</f>
        <v>10</v>
      </c>
      <c r="BD85" s="764">
        <f>SUM(P85:S85)</f>
        <v>24</v>
      </c>
      <c r="BE85" s="763">
        <f>SUM(T85:W85)</f>
        <v>21</v>
      </c>
      <c r="BF85" s="764">
        <f>SUM(X85:AA85)</f>
        <v>1</v>
      </c>
      <c r="BG85" s="764">
        <f>SUM(AB85:AE85)</f>
        <v>20</v>
      </c>
      <c r="BH85" s="763">
        <f>SUM(AF85:AI85)</f>
        <v>40</v>
      </c>
      <c r="BI85" s="763">
        <f>SUM(AJ85:AM85)</f>
        <v>-104</v>
      </c>
      <c r="BJ85" s="764">
        <f>SUM(AN85:AQ85)</f>
        <v>-459</v>
      </c>
      <c r="BK85" s="764">
        <f>SUM(AR85:AU85)</f>
        <v>-483</v>
      </c>
      <c r="BL85" s="764">
        <f>SUM(AV85:AY85)</f>
        <v>260.71964823454601</v>
      </c>
      <c r="BM85" s="764">
        <f>BM79*BM86</f>
        <v>348.29876758231245</v>
      </c>
      <c r="BN85" s="765">
        <f>BN79*BN86</f>
        <v>377.66004597917544</v>
      </c>
      <c r="BR85" s="766"/>
      <c r="BS85"/>
      <c r="BT85"/>
      <c r="BU85"/>
      <c r="BV85"/>
      <c r="BW85"/>
      <c r="BX85"/>
    </row>
    <row r="86" spans="1:76" ht="14.25" customHeight="1">
      <c r="A86" s="8"/>
      <c r="B86" s="783" t="s">
        <v>3</v>
      </c>
      <c r="C86" s="1537"/>
      <c r="D86" s="1527">
        <f t="shared" ref="D86:AK86" si="249">D85/D79</f>
        <v>0.10704960835509138</v>
      </c>
      <c r="E86" s="1504">
        <f t="shared" si="249"/>
        <v>0.21266968325791855</v>
      </c>
      <c r="F86" s="1504">
        <f t="shared" si="249"/>
        <v>0.81632653061224492</v>
      </c>
      <c r="G86" s="1526">
        <f t="shared" si="249"/>
        <v>1.644808743169399</v>
      </c>
      <c r="H86" s="1527">
        <f t="shared" si="249"/>
        <v>0.42592592592592593</v>
      </c>
      <c r="I86" s="1504">
        <f t="shared" si="249"/>
        <v>0.31877729257641924</v>
      </c>
      <c r="J86" s="1504">
        <f t="shared" si="249"/>
        <v>-0.11941618752764263</v>
      </c>
      <c r="K86" s="1526">
        <f t="shared" si="249"/>
        <v>7.3903002309468821E-2</v>
      </c>
      <c r="L86" s="1527">
        <f t="shared" si="249"/>
        <v>-1.834862385321101E-2</v>
      </c>
      <c r="M86" s="1504">
        <f t="shared" si="249"/>
        <v>0</v>
      </c>
      <c r="N86" s="1504">
        <f t="shared" si="249"/>
        <v>2.3474178403755867E-2</v>
      </c>
      <c r="O86" s="1526">
        <f t="shared" si="249"/>
        <v>3.1830238726790451E-2</v>
      </c>
      <c r="P86" s="1527">
        <f t="shared" si="249"/>
        <v>-1.5772870662460567E-2</v>
      </c>
      <c r="Q86" s="1504">
        <f t="shared" si="249"/>
        <v>8.9020771513353119E-3</v>
      </c>
      <c r="R86" s="1504">
        <f t="shared" si="249"/>
        <v>7.0129870129870125E-2</v>
      </c>
      <c r="S86" s="1526">
        <f t="shared" si="249"/>
        <v>5.8139534883720929E-2</v>
      </c>
      <c r="T86" s="1527">
        <f t="shared" si="249"/>
        <v>-4.7846889952153108E-3</v>
      </c>
      <c r="U86" s="1504">
        <f t="shared" si="249"/>
        <v>0</v>
      </c>
      <c r="V86" s="1504">
        <f t="shared" si="249"/>
        <v>-0.30769230769230771</v>
      </c>
      <c r="W86" s="1526">
        <f t="shared" si="249"/>
        <v>-1.2658227848101266E-2</v>
      </c>
      <c r="X86" s="1527">
        <f t="shared" si="249"/>
        <v>0.27777777777777779</v>
      </c>
      <c r="Y86" s="1504">
        <f t="shared" si="249"/>
        <v>-0.31818181818181818</v>
      </c>
      <c r="Z86" s="1504">
        <f t="shared" si="249"/>
        <v>4.4444444444444446E-2</v>
      </c>
      <c r="AA86" s="1526">
        <f t="shared" si="249"/>
        <v>5.8333333333333334E-2</v>
      </c>
      <c r="AB86" s="1527">
        <f>AB85/AB79</f>
        <v>-0.29729729729729731</v>
      </c>
      <c r="AC86" s="1504">
        <f t="shared" si="249"/>
        <v>-1.6129032258064516E-2</v>
      </c>
      <c r="AD86" s="1504">
        <f t="shared" si="249"/>
        <v>5.8479532163742687E-3</v>
      </c>
      <c r="AE86" s="1526">
        <f t="shared" si="249"/>
        <v>8.4033613445378158E-2</v>
      </c>
      <c r="AF86" s="1527">
        <f t="shared" si="249"/>
        <v>0.1079136690647482</v>
      </c>
      <c r="AG86" s="1504">
        <f t="shared" si="249"/>
        <v>6.3492063492063489E-2</v>
      </c>
      <c r="AH86" s="1504">
        <f t="shared" si="249"/>
        <v>2.8776978417266189E-2</v>
      </c>
      <c r="AI86" s="1526">
        <f t="shared" si="249"/>
        <v>5.2023121387283239E-2</v>
      </c>
      <c r="AJ86" s="1527">
        <f t="shared" si="249"/>
        <v>-0.19230769230769232</v>
      </c>
      <c r="AK86" s="1504">
        <f t="shared" si="249"/>
        <v>4.1916167664670656E-2</v>
      </c>
      <c r="AL86" s="1504">
        <f t="shared" ref="AL86:AO86" si="250">AL85/AL79</f>
        <v>3.7499999999999999E-2</v>
      </c>
      <c r="AM86" s="1673">
        <f t="shared" si="250"/>
        <v>-0.17640047675804529</v>
      </c>
      <c r="AN86" s="1674">
        <f t="shared" si="250"/>
        <v>0.33901192504258942</v>
      </c>
      <c r="AO86" s="1673">
        <f t="shared" si="250"/>
        <v>1</v>
      </c>
      <c r="AP86" s="1741">
        <f t="shared" ref="AP86:AS86" si="251">AP85/AP79</f>
        <v>-0.74576271186440679</v>
      </c>
      <c r="AQ86" s="1741">
        <f t="shared" si="251"/>
        <v>-0.83116883116883122</v>
      </c>
      <c r="AR86" s="1743">
        <f t="shared" si="251"/>
        <v>0.14906027219701878</v>
      </c>
      <c r="AS86" s="1741">
        <f t="shared" si="251"/>
        <v>2.16</v>
      </c>
      <c r="AT86" s="1848">
        <f t="shared" ref="AT86:AU86" si="252">AT85/AT79</f>
        <v>-0.34482758620689657</v>
      </c>
      <c r="AU86" s="1848">
        <f t="shared" si="252"/>
        <v>-4.8015267175572518</v>
      </c>
      <c r="AV86" s="1753">
        <v>0.1</v>
      </c>
      <c r="AW86" s="1746">
        <v>0.1</v>
      </c>
      <c r="AX86" s="1746">
        <v>0.1</v>
      </c>
      <c r="AY86" s="1774">
        <v>0.1</v>
      </c>
      <c r="AZ86" s="246"/>
      <c r="BA86" s="1504">
        <f t="shared" ref="BA86:BI86" si="253">BA85/BA79</f>
        <v>0.41293013555787278</v>
      </c>
      <c r="BB86" s="1504">
        <f t="shared" si="253"/>
        <v>-1.4110429447852761E-2</v>
      </c>
      <c r="BC86" s="1504">
        <f t="shared" si="253"/>
        <v>-4.0160642570281124E-2</v>
      </c>
      <c r="BD86" s="1504">
        <f t="shared" si="253"/>
        <v>-6.7605633802816895E-2</v>
      </c>
      <c r="BE86" s="1674">
        <f t="shared" si="253"/>
        <v>0.21</v>
      </c>
      <c r="BF86" s="1673">
        <f t="shared" si="253"/>
        <v>-0.04</v>
      </c>
      <c r="BG86" s="1673">
        <f t="shared" si="253"/>
        <v>5.3050397877984087E-2</v>
      </c>
      <c r="BH86" s="1850">
        <f t="shared" si="253"/>
        <v>6.25E-2</v>
      </c>
      <c r="BI86" s="1850">
        <f t="shared" si="253"/>
        <v>-6.9565217391304349E-2</v>
      </c>
      <c r="BJ86" s="1848">
        <f t="shared" ref="BJ86:BL86" si="254">BJ85/BJ79</f>
        <v>0.76119402985074625</v>
      </c>
      <c r="BK86" s="1848">
        <f t="shared" si="254"/>
        <v>-0.27822580645161288</v>
      </c>
      <c r="BL86" s="1848">
        <f t="shared" si="254"/>
        <v>0.1</v>
      </c>
      <c r="BM86" s="1848">
        <v>0.12</v>
      </c>
      <c r="BN86" s="1849">
        <v>0.12</v>
      </c>
      <c r="BR86" s="1472"/>
    </row>
    <row r="87" spans="1:76" ht="14.25" hidden="1" customHeight="1" outlineLevel="1">
      <c r="A87" s="8"/>
      <c r="B87" s="782"/>
      <c r="C87" s="820"/>
      <c r="D87" s="27"/>
      <c r="E87" s="28"/>
      <c r="F87" s="28"/>
      <c r="G87" s="29"/>
      <c r="H87" s="27"/>
      <c r="I87" s="28"/>
      <c r="J87" s="28"/>
      <c r="K87" s="29"/>
      <c r="L87" s="27"/>
      <c r="M87" s="28"/>
      <c r="N87" s="28"/>
      <c r="O87" s="29"/>
      <c r="P87" s="27"/>
      <c r="Q87" s="28"/>
      <c r="R87" s="28"/>
      <c r="S87" s="29"/>
      <c r="T87" s="27"/>
      <c r="U87" s="28"/>
      <c r="V87" s="28"/>
      <c r="W87" s="29"/>
      <c r="X87" s="27"/>
      <c r="Y87" s="28"/>
      <c r="Z87" s="28"/>
      <c r="AA87" s="29"/>
      <c r="AB87" s="27"/>
      <c r="AC87" s="28"/>
      <c r="AD87" s="28"/>
      <c r="AE87" s="29"/>
      <c r="AF87" s="27"/>
      <c r="AG87" s="28"/>
      <c r="AH87" s="28"/>
      <c r="AI87" s="29"/>
      <c r="AJ87" s="27"/>
      <c r="AK87" s="28"/>
      <c r="AL87" s="28"/>
      <c r="AM87" s="28"/>
      <c r="AN87" s="27"/>
      <c r="AO87" s="28"/>
      <c r="AP87" s="28"/>
      <c r="AQ87" s="28"/>
      <c r="AR87" s="27"/>
      <c r="AS87" s="28"/>
      <c r="AT87" s="28"/>
      <c r="AU87" s="28"/>
      <c r="AV87" s="32"/>
      <c r="AW87" s="30"/>
      <c r="AX87" s="30"/>
      <c r="AY87" s="31"/>
      <c r="AZ87" s="246"/>
      <c r="BA87" s="30"/>
      <c r="BB87" s="30"/>
      <c r="BC87" s="30"/>
      <c r="BD87" s="30"/>
      <c r="BE87" s="32"/>
      <c r="BF87" s="30"/>
      <c r="BG87" s="30"/>
      <c r="BH87" s="32"/>
      <c r="BI87" s="32"/>
      <c r="BJ87" s="30"/>
      <c r="BK87" s="30"/>
      <c r="BL87" s="30"/>
      <c r="BM87" s="30"/>
      <c r="BN87" s="31"/>
      <c r="BR87" s="1472"/>
    </row>
    <row r="88" spans="1:76" s="761" customFormat="1" ht="14.25" hidden="1" customHeight="1" outlineLevel="1">
      <c r="B88" s="777" t="s">
        <v>63</v>
      </c>
      <c r="C88" s="1540"/>
      <c r="D88" s="770">
        <v>0</v>
      </c>
      <c r="E88" s="771">
        <v>0</v>
      </c>
      <c r="F88" s="771">
        <v>0</v>
      </c>
      <c r="G88" s="772">
        <v>0</v>
      </c>
      <c r="H88" s="770">
        <v>0</v>
      </c>
      <c r="I88" s="771">
        <v>0</v>
      </c>
      <c r="J88" s="771">
        <v>0</v>
      </c>
      <c r="K88" s="772">
        <v>0</v>
      </c>
      <c r="L88" s="770">
        <v>12</v>
      </c>
      <c r="M88" s="771">
        <v>-24</v>
      </c>
      <c r="N88" s="771">
        <v>5</v>
      </c>
      <c r="O88" s="772">
        <v>-33</v>
      </c>
      <c r="P88" s="770">
        <v>2</v>
      </c>
      <c r="Q88" s="771">
        <v>-4</v>
      </c>
      <c r="R88" s="771">
        <v>23</v>
      </c>
      <c r="S88" s="772">
        <v>-16</v>
      </c>
      <c r="T88" s="770">
        <v>-12</v>
      </c>
      <c r="U88" s="771">
        <v>-7</v>
      </c>
      <c r="V88" s="771">
        <v>19</v>
      </c>
      <c r="W88" s="772">
        <v>-4</v>
      </c>
      <c r="X88" s="770">
        <v>-9</v>
      </c>
      <c r="Y88" s="771">
        <v>2</v>
      </c>
      <c r="Z88" s="771">
        <v>-3</v>
      </c>
      <c r="AA88" s="772">
        <v>-17</v>
      </c>
      <c r="AB88" s="770">
        <v>4</v>
      </c>
      <c r="AC88" s="771">
        <v>-11</v>
      </c>
      <c r="AD88" s="771">
        <v>-4</v>
      </c>
      <c r="AE88" s="772">
        <v>-3</v>
      </c>
      <c r="AF88" s="770">
        <v>11</v>
      </c>
      <c r="AG88" s="771">
        <v>4</v>
      </c>
      <c r="AH88" s="771">
        <v>-1</v>
      </c>
      <c r="AI88" s="772">
        <f>2+3</f>
        <v>5</v>
      </c>
      <c r="AJ88" s="770">
        <f>11+10</f>
        <v>21</v>
      </c>
      <c r="AK88" s="771">
        <f>4+9</f>
        <v>13</v>
      </c>
      <c r="AL88" s="771">
        <v>8</v>
      </c>
      <c r="AM88" s="771">
        <v>-167</v>
      </c>
      <c r="AN88" s="770">
        <v>-213</v>
      </c>
      <c r="AO88" s="771">
        <v>-170</v>
      </c>
      <c r="AP88" s="771">
        <v>-63</v>
      </c>
      <c r="AQ88" s="771">
        <v>-80</v>
      </c>
      <c r="AR88" s="770">
        <f>230-29</f>
        <v>201</v>
      </c>
      <c r="AS88" s="1845">
        <v>-86</v>
      </c>
      <c r="AT88" s="771">
        <v>-53</v>
      </c>
      <c r="AU88" s="771">
        <v>-641</v>
      </c>
      <c r="AV88" s="770">
        <f t="shared" ref="AV88:AY88" si="255">+AV85-AV89</f>
        <v>0</v>
      </c>
      <c r="AW88" s="771">
        <f t="shared" si="255"/>
        <v>0</v>
      </c>
      <c r="AX88" s="771">
        <f t="shared" si="255"/>
        <v>0</v>
      </c>
      <c r="AY88" s="772">
        <f t="shared" si="255"/>
        <v>0</v>
      </c>
      <c r="AZ88" s="775"/>
      <c r="BA88" s="764">
        <f>SUM(D88:G88)</f>
        <v>0</v>
      </c>
      <c r="BB88" s="764">
        <f>SUM(H88:K88)</f>
        <v>0</v>
      </c>
      <c r="BC88" s="764">
        <f>SUM(L88:O88)</f>
        <v>-40</v>
      </c>
      <c r="BD88" s="764">
        <f>SUM(P88:S88)</f>
        <v>5</v>
      </c>
      <c r="BE88" s="763">
        <f>SUM(T88:W88)</f>
        <v>-4</v>
      </c>
      <c r="BF88" s="764">
        <f>SUM(X88:AA88)</f>
        <v>-27</v>
      </c>
      <c r="BG88" s="764">
        <f>SUM(AB88:AE88)</f>
        <v>-14</v>
      </c>
      <c r="BH88" s="763">
        <f>SUM(AF88:AI88)</f>
        <v>19</v>
      </c>
      <c r="BI88" s="763">
        <f>SUM(AJ88:AM88)</f>
        <v>-125</v>
      </c>
      <c r="BJ88" s="764">
        <f>SUM(AN88:AQ88)</f>
        <v>-526</v>
      </c>
      <c r="BK88" s="764">
        <f>+BK85-BK89</f>
        <v>-579</v>
      </c>
      <c r="BL88" s="764">
        <f>+BL85-BL89</f>
        <v>0</v>
      </c>
      <c r="BM88" s="764">
        <f t="shared" ref="BM88" si="256">+BM85-BM89</f>
        <v>0</v>
      </c>
      <c r="BN88" s="765">
        <f t="shared" ref="BN88" si="257">+BN85-BN89</f>
        <v>0</v>
      </c>
      <c r="BR88" s="766"/>
      <c r="BS88"/>
      <c r="BT88"/>
      <c r="BU88"/>
      <c r="BV88"/>
      <c r="BW88"/>
      <c r="BX88"/>
    </row>
    <row r="89" spans="1:76" s="761" customFormat="1" ht="14.25" hidden="1" customHeight="1" outlineLevel="1">
      <c r="B89" s="776" t="s">
        <v>64</v>
      </c>
      <c r="C89" s="1478"/>
      <c r="D89" s="763">
        <f t="shared" ref="D89:AK89" si="258">D85-D88</f>
        <v>-41</v>
      </c>
      <c r="E89" s="764">
        <f t="shared" si="258"/>
        <v>-94</v>
      </c>
      <c r="F89" s="764">
        <f t="shared" si="258"/>
        <v>40</v>
      </c>
      <c r="G89" s="765">
        <f t="shared" si="258"/>
        <v>-301</v>
      </c>
      <c r="H89" s="763">
        <f t="shared" si="258"/>
        <v>-46</v>
      </c>
      <c r="I89" s="764">
        <f t="shared" si="258"/>
        <v>-146</v>
      </c>
      <c r="J89" s="764">
        <f t="shared" si="258"/>
        <v>270</v>
      </c>
      <c r="K89" s="765">
        <f t="shared" si="258"/>
        <v>-32</v>
      </c>
      <c r="L89" s="763">
        <f t="shared" si="258"/>
        <v>0</v>
      </c>
      <c r="M89" s="764">
        <f t="shared" si="258"/>
        <v>24</v>
      </c>
      <c r="N89" s="764">
        <f t="shared" si="258"/>
        <v>5</v>
      </c>
      <c r="O89" s="765">
        <f t="shared" si="258"/>
        <v>21</v>
      </c>
      <c r="P89" s="763">
        <f t="shared" si="258"/>
        <v>3</v>
      </c>
      <c r="Q89" s="764">
        <f t="shared" si="258"/>
        <v>1</v>
      </c>
      <c r="R89" s="764">
        <f t="shared" si="258"/>
        <v>4</v>
      </c>
      <c r="S89" s="765">
        <f t="shared" si="258"/>
        <v>11</v>
      </c>
      <c r="T89" s="763">
        <f t="shared" si="258"/>
        <v>11</v>
      </c>
      <c r="U89" s="764">
        <f t="shared" si="258"/>
        <v>7</v>
      </c>
      <c r="V89" s="764">
        <f t="shared" si="258"/>
        <v>1</v>
      </c>
      <c r="W89" s="765">
        <f t="shared" si="258"/>
        <v>6</v>
      </c>
      <c r="X89" s="763">
        <f t="shared" si="258"/>
        <v>4</v>
      </c>
      <c r="Y89" s="764">
        <f t="shared" si="258"/>
        <v>5</v>
      </c>
      <c r="Z89" s="764">
        <f t="shared" si="258"/>
        <v>9</v>
      </c>
      <c r="AA89" s="765">
        <f t="shared" si="258"/>
        <v>10</v>
      </c>
      <c r="AB89" s="763">
        <f t="shared" si="258"/>
        <v>7</v>
      </c>
      <c r="AC89" s="764">
        <f t="shared" si="258"/>
        <v>9</v>
      </c>
      <c r="AD89" s="764">
        <f t="shared" si="258"/>
        <v>5</v>
      </c>
      <c r="AE89" s="765">
        <f t="shared" si="258"/>
        <v>13</v>
      </c>
      <c r="AF89" s="763">
        <f t="shared" si="258"/>
        <v>4</v>
      </c>
      <c r="AG89" s="764">
        <f t="shared" si="258"/>
        <v>8</v>
      </c>
      <c r="AH89" s="764">
        <f t="shared" si="258"/>
        <v>5</v>
      </c>
      <c r="AI89" s="765">
        <f t="shared" si="258"/>
        <v>4</v>
      </c>
      <c r="AJ89" s="763">
        <f t="shared" si="258"/>
        <v>-6</v>
      </c>
      <c r="AK89" s="764">
        <f t="shared" si="258"/>
        <v>1</v>
      </c>
      <c r="AL89" s="764">
        <f t="shared" ref="AL89:AP89" si="259">AL85-AL88</f>
        <v>7</v>
      </c>
      <c r="AM89" s="764">
        <f t="shared" si="259"/>
        <v>19</v>
      </c>
      <c r="AN89" s="763">
        <f t="shared" si="259"/>
        <v>14</v>
      </c>
      <c r="AO89" s="764">
        <f t="shared" si="259"/>
        <v>18</v>
      </c>
      <c r="AP89" s="764">
        <f t="shared" si="259"/>
        <v>19</v>
      </c>
      <c r="AQ89" s="764">
        <f t="shared" ref="AQ89:AT89" si="260">AQ85-AQ88</f>
        <v>16</v>
      </c>
      <c r="AR89" s="763">
        <f t="shared" si="260"/>
        <v>29</v>
      </c>
      <c r="AS89" s="764">
        <f t="shared" si="260"/>
        <v>32</v>
      </c>
      <c r="AT89" s="764">
        <f t="shared" si="260"/>
        <v>23</v>
      </c>
      <c r="AU89" s="764">
        <f t="shared" ref="AU89" si="261">AU85-AU88</f>
        <v>12</v>
      </c>
      <c r="AV89" s="763">
        <f t="shared" ref="AV89:AY89" si="262">+AV85</f>
        <v>59.463101934853412</v>
      </c>
      <c r="AW89" s="764">
        <f t="shared" si="262"/>
        <v>63.839042056272653</v>
      </c>
      <c r="AX89" s="764">
        <f t="shared" si="262"/>
        <v>69.146975431550857</v>
      </c>
      <c r="AY89" s="765">
        <f t="shared" si="262"/>
        <v>68.270528811869113</v>
      </c>
      <c r="AZ89" s="775"/>
      <c r="BA89" s="764">
        <f>SUM(D89:G89)</f>
        <v>-396</v>
      </c>
      <c r="BB89" s="764">
        <f>SUM(H89:K89)</f>
        <v>46</v>
      </c>
      <c r="BC89" s="764">
        <f>SUM(L89:O89)</f>
        <v>50</v>
      </c>
      <c r="BD89" s="764">
        <f>SUM(P89:S89)</f>
        <v>19</v>
      </c>
      <c r="BE89" s="763">
        <f>SUM(T89:W89)</f>
        <v>25</v>
      </c>
      <c r="BF89" s="764">
        <f>SUM(X89:AA89)</f>
        <v>28</v>
      </c>
      <c r="BG89" s="764">
        <f>SUM(AB89:AE89)</f>
        <v>34</v>
      </c>
      <c r="BH89" s="763">
        <f>SUM(AF89:AI89)</f>
        <v>21</v>
      </c>
      <c r="BI89" s="763">
        <f>SUM(AJ89:AM89)</f>
        <v>21</v>
      </c>
      <c r="BJ89" s="764">
        <f>SUM(AN89:AQ89)</f>
        <v>67</v>
      </c>
      <c r="BK89" s="764">
        <f>SUM(AR89:AU89)</f>
        <v>96</v>
      </c>
      <c r="BL89" s="764">
        <f>SUM(AV89:AY89)</f>
        <v>260.71964823454601</v>
      </c>
      <c r="BM89" s="764">
        <f t="shared" ref="BM89" si="263">+BM85</f>
        <v>348.29876758231245</v>
      </c>
      <c r="BN89" s="765">
        <f t="shared" ref="BN89" si="264">+BN85</f>
        <v>377.66004597917544</v>
      </c>
      <c r="BR89" s="766"/>
      <c r="BS89"/>
      <c r="BT89"/>
      <c r="BU89"/>
      <c r="BV89"/>
      <c r="BW89"/>
      <c r="BX89"/>
    </row>
    <row r="90" spans="1:76" ht="14.25" hidden="1" customHeight="1" outlineLevel="1">
      <c r="A90" s="8"/>
      <c r="B90" s="451" t="s">
        <v>65</v>
      </c>
      <c r="C90" s="1537"/>
      <c r="D90" s="1527">
        <f t="shared" ref="D90:AH90" si="265">D89/D82</f>
        <v>0.10704960835509138</v>
      </c>
      <c r="E90" s="1504">
        <f t="shared" si="265"/>
        <v>0.21266968325791855</v>
      </c>
      <c r="F90" s="1504">
        <f t="shared" si="265"/>
        <v>0.81632653061224492</v>
      </c>
      <c r="G90" s="1526">
        <f t="shared" si="265"/>
        <v>1.644808743169399</v>
      </c>
      <c r="H90" s="1527">
        <f t="shared" si="265"/>
        <v>0.42592592592592593</v>
      </c>
      <c r="I90" s="1504">
        <f t="shared" si="265"/>
        <v>0.31877729257641924</v>
      </c>
      <c r="J90" s="1504">
        <f t="shared" si="265"/>
        <v>-0.11941618752764263</v>
      </c>
      <c r="K90" s="1526">
        <f t="shared" si="265"/>
        <v>7.3903002309468821E-2</v>
      </c>
      <c r="L90" s="1527">
        <f t="shared" si="265"/>
        <v>0</v>
      </c>
      <c r="M90" s="1504">
        <f t="shared" si="265"/>
        <v>-0.18320610687022901</v>
      </c>
      <c r="N90" s="1504">
        <f t="shared" si="265"/>
        <v>-0.1</v>
      </c>
      <c r="O90" s="1526">
        <f t="shared" si="265"/>
        <v>-0.875</v>
      </c>
      <c r="P90" s="1527">
        <f t="shared" si="265"/>
        <v>6.3829787234042548E-2</v>
      </c>
      <c r="Q90" s="1504">
        <f t="shared" si="265"/>
        <v>1.1494252873563218E-2</v>
      </c>
      <c r="R90" s="1504">
        <f t="shared" si="265"/>
        <v>3.8095238095238099E-2</v>
      </c>
      <c r="S90" s="1526">
        <f t="shared" si="265"/>
        <v>8.59375E-2</v>
      </c>
      <c r="T90" s="1527">
        <f t="shared" si="265"/>
        <v>7.746478873239436E-2</v>
      </c>
      <c r="U90" s="1504">
        <f t="shared" si="265"/>
        <v>4.6666666666666669E-2</v>
      </c>
      <c r="V90" s="1504">
        <f t="shared" si="265"/>
        <v>7.2992700729927005E-3</v>
      </c>
      <c r="W90" s="1526">
        <f t="shared" si="265"/>
        <v>8.1081081081081086E-2</v>
      </c>
      <c r="X90" s="1527">
        <f t="shared" si="265"/>
        <v>6.1538461538461542E-2</v>
      </c>
      <c r="Y90" s="1504">
        <f t="shared" si="265"/>
        <v>3.7313432835820892E-2</v>
      </c>
      <c r="Z90" s="1504">
        <f t="shared" si="265"/>
        <v>5.3892215568862277E-2</v>
      </c>
      <c r="AA90" s="1526">
        <f t="shared" si="265"/>
        <v>6.4935064935064929E-2</v>
      </c>
      <c r="AB90" s="1527">
        <f>AB89/AB82</f>
        <v>3.7037037037037035E-2</v>
      </c>
      <c r="AC90" s="1504">
        <f t="shared" si="265"/>
        <v>4.7619047619047616E-2</v>
      </c>
      <c r="AD90" s="1504">
        <f t="shared" si="265"/>
        <v>2.2624434389140271E-2</v>
      </c>
      <c r="AE90" s="1526">
        <f t="shared" si="265"/>
        <v>5.1181102362204724E-2</v>
      </c>
      <c r="AF90" s="1527">
        <f t="shared" si="265"/>
        <v>1.6736401673640166E-2</v>
      </c>
      <c r="AG90" s="1504">
        <f t="shared" si="265"/>
        <v>3.0418250950570342E-2</v>
      </c>
      <c r="AH90" s="1504">
        <f t="shared" si="265"/>
        <v>1.5527950310559006E-2</v>
      </c>
      <c r="AI90" s="1526">
        <f>AI89/AI82</f>
        <v>1.2698412698412698E-2</v>
      </c>
      <c r="AJ90" s="1527">
        <f>AJ89/AJ82</f>
        <v>-1.9736842105263157E-2</v>
      </c>
      <c r="AK90" s="1504">
        <f>AK89/AK82</f>
        <v>2.967359050445104E-3</v>
      </c>
      <c r="AL90" s="1504">
        <f t="shared" ref="AL90" si="266">AL89/AL82</f>
        <v>1.8867924528301886E-2</v>
      </c>
      <c r="AM90" s="1673">
        <f>AM89/AM82</f>
        <v>7.1428571428571425E-2</v>
      </c>
      <c r="AN90" s="1674">
        <f>AN89/AN82</f>
        <v>4.2813455657492352E-2</v>
      </c>
      <c r="AO90" s="1673">
        <f>AO89/AO82</f>
        <v>4.1095890410958902E-2</v>
      </c>
      <c r="AP90" s="1741">
        <f t="shared" ref="AP90" si="267">AP89/AP82</f>
        <v>3.6053130929791274E-2</v>
      </c>
      <c r="AQ90" s="1741">
        <f>AQ89/AQ82</f>
        <v>2.8880866425992781E-2</v>
      </c>
      <c r="AR90" s="1743">
        <f>AR89/AR82</f>
        <v>6.3596491228070179E-2</v>
      </c>
      <c r="AS90" s="1741">
        <f>AS89/AS82</f>
        <v>6.4128256513026047E-2</v>
      </c>
      <c r="AT90" s="1848">
        <f t="shared" ref="AT90" si="268">AT89/AT82</f>
        <v>3.7704918032786888E-2</v>
      </c>
      <c r="AU90" s="1848">
        <f>AU89/AU82</f>
        <v>1.9047619047619049E-2</v>
      </c>
      <c r="AV90" s="1850">
        <f t="shared" ref="AV90:AY90" si="269">AV89/AV82</f>
        <v>0.1</v>
      </c>
      <c r="AW90" s="1848">
        <f t="shared" si="269"/>
        <v>0.1</v>
      </c>
      <c r="AX90" s="1848">
        <f t="shared" si="269"/>
        <v>0.1</v>
      </c>
      <c r="AY90" s="1849">
        <f t="shared" si="269"/>
        <v>0.1</v>
      </c>
      <c r="AZ90" s="246"/>
      <c r="BA90" s="1504">
        <f t="shared" ref="BA90:BI90" si="270">BA89/BA82</f>
        <v>0.41293013555787278</v>
      </c>
      <c r="BB90" s="1504">
        <f t="shared" si="270"/>
        <v>-1.4110429447852761E-2</v>
      </c>
      <c r="BC90" s="1504">
        <f t="shared" si="270"/>
        <v>-9.8814229249011856E-2</v>
      </c>
      <c r="BD90" s="1504">
        <f t="shared" si="270"/>
        <v>5.1771117166212535E-2</v>
      </c>
      <c r="BE90" s="1674">
        <f t="shared" si="270"/>
        <v>4.9701789264413522E-2</v>
      </c>
      <c r="BF90" s="1673">
        <f t="shared" si="270"/>
        <v>5.3846153846153849E-2</v>
      </c>
      <c r="BG90" s="1673">
        <f t="shared" si="270"/>
        <v>3.9859320046893319E-2</v>
      </c>
      <c r="BH90" s="1850">
        <f t="shared" si="270"/>
        <v>1.8437225636523266E-2</v>
      </c>
      <c r="BI90" s="1850">
        <f t="shared" si="270"/>
        <v>1.6431924882629109E-2</v>
      </c>
      <c r="BJ90" s="1848">
        <f t="shared" ref="BJ90:BM90" si="271">BJ89/BJ82</f>
        <v>3.6294691224268691E-2</v>
      </c>
      <c r="BK90" s="1848">
        <f t="shared" si="271"/>
        <v>4.3735763097949888E-2</v>
      </c>
      <c r="BL90" s="1848">
        <f t="shared" si="271"/>
        <v>0.1</v>
      </c>
      <c r="BM90" s="1848">
        <f t="shared" si="271"/>
        <v>0.12</v>
      </c>
      <c r="BN90" s="1849">
        <f t="shared" ref="BN90" si="272">BN89/BN82</f>
        <v>0.12</v>
      </c>
      <c r="BR90" s="1472"/>
    </row>
    <row r="91" spans="1:76" ht="14.25" customHeight="1" collapsed="1">
      <c r="A91" s="8"/>
      <c r="B91" s="776"/>
      <c r="C91" s="58"/>
      <c r="D91" s="39"/>
      <c r="E91" s="37"/>
      <c r="F91" s="37"/>
      <c r="G91" s="38"/>
      <c r="H91" s="39"/>
      <c r="I91" s="37"/>
      <c r="J91" s="37"/>
      <c r="K91" s="38"/>
      <c r="L91" s="39"/>
      <c r="M91" s="37"/>
      <c r="N91" s="37"/>
      <c r="O91" s="38"/>
      <c r="P91" s="39"/>
      <c r="Q91" s="37"/>
      <c r="R91" s="37"/>
      <c r="S91" s="38"/>
      <c r="T91" s="39"/>
      <c r="U91" s="37"/>
      <c r="V91" s="37"/>
      <c r="W91" s="38"/>
      <c r="X91" s="39"/>
      <c r="Y91" s="37"/>
      <c r="Z91" s="37"/>
      <c r="AA91" s="38"/>
      <c r="AB91" s="39"/>
      <c r="AC91" s="37"/>
      <c r="AD91" s="37"/>
      <c r="AE91" s="38"/>
      <c r="AF91" s="39"/>
      <c r="AG91" s="37"/>
      <c r="AH91" s="37"/>
      <c r="AI91" s="38"/>
      <c r="AJ91" s="39"/>
      <c r="AK91" s="37"/>
      <c r="AL91" s="37"/>
      <c r="AM91" s="37"/>
      <c r="AN91" s="39"/>
      <c r="AO91" s="37"/>
      <c r="AP91" s="37"/>
      <c r="AQ91" s="37"/>
      <c r="AR91" s="39"/>
      <c r="AS91" s="37"/>
      <c r="AT91" s="37"/>
      <c r="AU91" s="37"/>
      <c r="AV91" s="1092"/>
      <c r="AW91" s="37"/>
      <c r="AX91" s="37"/>
      <c r="AY91" s="51"/>
      <c r="AZ91" s="246"/>
      <c r="BA91" s="37"/>
      <c r="BB91" s="37"/>
      <c r="BC91" s="37"/>
      <c r="BD91" s="37"/>
      <c r="BE91" s="39"/>
      <c r="BF91" s="37"/>
      <c r="BG91" s="37"/>
      <c r="BH91" s="39"/>
      <c r="BI91" s="39"/>
      <c r="BJ91" s="37"/>
      <c r="BK91" s="37"/>
      <c r="BL91" s="37"/>
      <c r="BM91" s="37"/>
      <c r="BN91" s="38"/>
      <c r="BR91" s="1472"/>
    </row>
    <row r="92" spans="1:76" s="761" customFormat="1" ht="14.25" customHeight="1">
      <c r="B92" s="780" t="s">
        <v>4</v>
      </c>
      <c r="C92" s="1536"/>
      <c r="D92" s="767">
        <f t="shared" ref="D92:AJ92" si="273">D79-D85</f>
        <v>-342</v>
      </c>
      <c r="E92" s="768">
        <f t="shared" si="273"/>
        <v>-348</v>
      </c>
      <c r="F92" s="768">
        <f t="shared" si="273"/>
        <v>9</v>
      </c>
      <c r="G92" s="769">
        <f t="shared" si="273"/>
        <v>118</v>
      </c>
      <c r="H92" s="767">
        <f t="shared" si="273"/>
        <v>-62</v>
      </c>
      <c r="I92" s="768">
        <f t="shared" si="273"/>
        <v>-312</v>
      </c>
      <c r="J92" s="768">
        <f t="shared" si="273"/>
        <v>-2531</v>
      </c>
      <c r="K92" s="769">
        <f t="shared" si="273"/>
        <v>-401</v>
      </c>
      <c r="L92" s="767">
        <f t="shared" si="273"/>
        <v>-666</v>
      </c>
      <c r="M92" s="768">
        <f t="shared" si="273"/>
        <v>356</v>
      </c>
      <c r="N92" s="768">
        <f t="shared" si="273"/>
        <v>416</v>
      </c>
      <c r="O92" s="769">
        <f t="shared" si="273"/>
        <v>-365</v>
      </c>
      <c r="P92" s="767">
        <f t="shared" si="273"/>
        <v>-322</v>
      </c>
      <c r="Q92" s="768">
        <f t="shared" si="273"/>
        <v>-334</v>
      </c>
      <c r="R92" s="768">
        <f t="shared" si="273"/>
        <v>358</v>
      </c>
      <c r="S92" s="769">
        <f t="shared" si="273"/>
        <v>-81</v>
      </c>
      <c r="T92" s="767">
        <f t="shared" si="273"/>
        <v>210</v>
      </c>
      <c r="U92" s="768">
        <f t="shared" si="273"/>
        <v>114</v>
      </c>
      <c r="V92" s="768">
        <f t="shared" si="273"/>
        <v>-85</v>
      </c>
      <c r="W92" s="769">
        <f t="shared" si="273"/>
        <v>-160</v>
      </c>
      <c r="X92" s="767">
        <f t="shared" si="273"/>
        <v>-13</v>
      </c>
      <c r="Y92" s="768">
        <f t="shared" si="273"/>
        <v>-29</v>
      </c>
      <c r="Z92" s="768">
        <f t="shared" si="273"/>
        <v>129</v>
      </c>
      <c r="AA92" s="769">
        <f t="shared" si="273"/>
        <v>-113</v>
      </c>
      <c r="AB92" s="767">
        <f t="shared" si="273"/>
        <v>-48</v>
      </c>
      <c r="AC92" s="768">
        <f t="shared" si="273"/>
        <v>126</v>
      </c>
      <c r="AD92" s="768">
        <f t="shared" si="273"/>
        <v>170</v>
      </c>
      <c r="AE92" s="769">
        <f t="shared" si="273"/>
        <v>109</v>
      </c>
      <c r="AF92" s="767">
        <f t="shared" si="273"/>
        <v>124</v>
      </c>
      <c r="AG92" s="768">
        <f t="shared" si="273"/>
        <v>177</v>
      </c>
      <c r="AH92" s="768">
        <f t="shared" si="273"/>
        <v>135</v>
      </c>
      <c r="AI92" s="769">
        <f t="shared" si="273"/>
        <v>164</v>
      </c>
      <c r="AJ92" s="767">
        <f t="shared" si="273"/>
        <v>-93</v>
      </c>
      <c r="AK92" s="768">
        <f>AK79-AK85</f>
        <v>320</v>
      </c>
      <c r="AL92" s="768">
        <f>AL79-AL85</f>
        <v>385</v>
      </c>
      <c r="AM92" s="768">
        <f t="shared" ref="AM92:AN92" si="274">AM79-AM85</f>
        <v>987</v>
      </c>
      <c r="AN92" s="767">
        <f t="shared" si="274"/>
        <v>-388</v>
      </c>
      <c r="AO92" s="768">
        <f>AO79-AO85</f>
        <v>0</v>
      </c>
      <c r="AP92" s="768">
        <f>AP79-AP85</f>
        <v>103</v>
      </c>
      <c r="AQ92" s="768">
        <f t="shared" ref="AQ92:AR92" si="275">AQ79-AQ85</f>
        <v>141</v>
      </c>
      <c r="AR92" s="767">
        <f t="shared" si="275"/>
        <v>1313</v>
      </c>
      <c r="AS92" s="768">
        <f>AS79-AS85</f>
        <v>29</v>
      </c>
      <c r="AT92" s="768">
        <f>AT79-AT85</f>
        <v>117</v>
      </c>
      <c r="AU92" s="768">
        <f t="shared" ref="AU92" si="276">AU79-AU85</f>
        <v>760</v>
      </c>
      <c r="AV92" s="767">
        <f t="shared" ref="AV92:AY92" si="277">AV79-AV85</f>
        <v>535.1679174136807</v>
      </c>
      <c r="AW92" s="768">
        <f t="shared" si="277"/>
        <v>574.55137850645383</v>
      </c>
      <c r="AX92" s="768">
        <f t="shared" si="277"/>
        <v>622.32277888395765</v>
      </c>
      <c r="AY92" s="769">
        <f t="shared" si="277"/>
        <v>614.434759306822</v>
      </c>
      <c r="AZ92" s="775"/>
      <c r="BA92" s="768">
        <f t="shared" ref="BA92:BI92" si="278">BA79-BA85</f>
        <v>-563</v>
      </c>
      <c r="BB92" s="768">
        <f t="shared" si="278"/>
        <v>-3306</v>
      </c>
      <c r="BC92" s="768">
        <f t="shared" si="278"/>
        <v>-259</v>
      </c>
      <c r="BD92" s="768">
        <f t="shared" si="278"/>
        <v>-379</v>
      </c>
      <c r="BE92" s="767">
        <f t="shared" si="278"/>
        <v>79</v>
      </c>
      <c r="BF92" s="768">
        <f t="shared" si="278"/>
        <v>-26</v>
      </c>
      <c r="BG92" s="768">
        <f t="shared" si="278"/>
        <v>357</v>
      </c>
      <c r="BH92" s="767">
        <f t="shared" si="278"/>
        <v>600</v>
      </c>
      <c r="BI92" s="767">
        <f t="shared" si="278"/>
        <v>1599</v>
      </c>
      <c r="BJ92" s="768">
        <f>BJ79-BJ85</f>
        <v>-144</v>
      </c>
      <c r="BK92" s="768">
        <f t="shared" ref="BK92:BM92" si="279">BK79-BK85</f>
        <v>2219</v>
      </c>
      <c r="BL92" s="768">
        <f t="shared" si="279"/>
        <v>2346.4768341109138</v>
      </c>
      <c r="BM92" s="768">
        <f t="shared" si="279"/>
        <v>2554.1909622702915</v>
      </c>
      <c r="BN92" s="769">
        <f t="shared" ref="BN92" si="280">BN79-BN85</f>
        <v>2769.5070038472868</v>
      </c>
      <c r="BR92" s="766"/>
      <c r="BS92"/>
      <c r="BT92"/>
      <c r="BU92"/>
      <c r="BV92"/>
      <c r="BW92"/>
      <c r="BX92"/>
    </row>
    <row r="93" spans="1:76" ht="14.25" customHeight="1">
      <c r="A93" s="8"/>
      <c r="B93" s="451" t="s">
        <v>39</v>
      </c>
      <c r="C93" s="1537"/>
      <c r="D93" s="1527">
        <f>D92/D$8</f>
        <v>-0.23408624229979466</v>
      </c>
      <c r="E93" s="1504">
        <f t="shared" ref="E93:AM93" si="281">E92/E$8</f>
        <v>-0.22626788036410922</v>
      </c>
      <c r="F93" s="1504">
        <f t="shared" si="281"/>
        <v>5.4744525547445258E-3</v>
      </c>
      <c r="G93" s="1526">
        <f t="shared" si="281"/>
        <v>7.0321811680572111E-2</v>
      </c>
      <c r="H93" s="1527">
        <f t="shared" si="281"/>
        <v>-4.0816326530612242E-2</v>
      </c>
      <c r="I93" s="1504">
        <f t="shared" si="281"/>
        <v>-0.20472440944881889</v>
      </c>
      <c r="J93" s="1504">
        <f t="shared" si="281"/>
        <v>-1.8420669577874818</v>
      </c>
      <c r="K93" s="1526">
        <f t="shared" si="281"/>
        <v>-0.39083820662768032</v>
      </c>
      <c r="L93" s="1527">
        <f t="shared" si="281"/>
        <v>-1.0325581395348837</v>
      </c>
      <c r="M93" s="1504">
        <f t="shared" si="281"/>
        <v>0.43256379100850545</v>
      </c>
      <c r="N93" s="1504">
        <f t="shared" si="281"/>
        <v>0.42276422764227645</v>
      </c>
      <c r="O93" s="1526">
        <f t="shared" si="281"/>
        <v>-0.34208059981255856</v>
      </c>
      <c r="P93" s="1527">
        <f t="shared" si="281"/>
        <v>-0.29677419354838708</v>
      </c>
      <c r="Q93" s="1504">
        <f t="shared" si="281"/>
        <v>-0.29848078641644327</v>
      </c>
      <c r="R93" s="1504">
        <f t="shared" si="281"/>
        <v>0.31964285714285712</v>
      </c>
      <c r="S93" s="1526">
        <f t="shared" si="281"/>
        <v>-7.5139146567718001E-2</v>
      </c>
      <c r="T93" s="1527">
        <f t="shared" si="281"/>
        <v>0.19408502772643252</v>
      </c>
      <c r="U93" s="1504">
        <f t="shared" si="281"/>
        <v>0.10169491525423729</v>
      </c>
      <c r="V93" s="1504">
        <f t="shared" si="281"/>
        <v>-8.0188679245283015E-2</v>
      </c>
      <c r="W93" s="1526">
        <f t="shared" si="281"/>
        <v>-0.17185821697099893</v>
      </c>
      <c r="X93" s="1527">
        <f t="shared" si="281"/>
        <v>-1.3292433537832311E-2</v>
      </c>
      <c r="Y93" s="1504">
        <f t="shared" si="281"/>
        <v>-2.6508226691042046E-2</v>
      </c>
      <c r="Z93" s="1504">
        <f t="shared" si="281"/>
        <v>0.11025641025641025</v>
      </c>
      <c r="AA93" s="1526">
        <f t="shared" si="281"/>
        <v>-0.10125448028673835</v>
      </c>
      <c r="AB93" s="1527">
        <f t="shared" si="281"/>
        <v>-4.423963133640553E-2</v>
      </c>
      <c r="AC93" s="1504">
        <f t="shared" si="281"/>
        <v>0.10606060606060606</v>
      </c>
      <c r="AD93" s="1504">
        <f t="shared" si="281"/>
        <v>0.13610888710968774</v>
      </c>
      <c r="AE93" s="1526">
        <f t="shared" si="281"/>
        <v>8.4300077339520496E-2</v>
      </c>
      <c r="AF93" s="1527">
        <f t="shared" si="281"/>
        <v>9.9518459069020862E-2</v>
      </c>
      <c r="AG93" s="1504">
        <f t="shared" si="281"/>
        <v>0.13120830244625648</v>
      </c>
      <c r="AH93" s="1504">
        <f t="shared" si="281"/>
        <v>8.9108910891089105E-2</v>
      </c>
      <c r="AI93" s="1526">
        <f t="shared" si="281"/>
        <v>0.10670136629798309</v>
      </c>
      <c r="AJ93" s="1527">
        <f t="shared" si="281"/>
        <v>-6.3394683026584867E-2</v>
      </c>
      <c r="AK93" s="1504">
        <f t="shared" si="281"/>
        <v>0.21248339973439576</v>
      </c>
      <c r="AL93" s="1504">
        <f t="shared" si="281"/>
        <v>0.25295663600525625</v>
      </c>
      <c r="AM93" s="1673">
        <f t="shared" si="281"/>
        <v>0.61457036114570363</v>
      </c>
      <c r="AN93" s="1674">
        <f t="shared" ref="AN93:AQ93" si="282">AN92/AN$8</f>
        <v>-0.17446043165467626</v>
      </c>
      <c r="AO93" s="1673">
        <f t="shared" si="282"/>
        <v>0</v>
      </c>
      <c r="AP93" s="1741">
        <f t="shared" si="282"/>
        <v>4.1717294451194813E-2</v>
      </c>
      <c r="AQ93" s="1741">
        <f t="shared" si="282"/>
        <v>5.7786885245901642E-2</v>
      </c>
      <c r="AR93" s="1743">
        <f t="shared" ref="AR93:AU93" si="283">AR92/AR$8</f>
        <v>0.59384893713251918</v>
      </c>
      <c r="AS93" s="1741">
        <f t="shared" si="283"/>
        <v>1.3169845594913715E-2</v>
      </c>
      <c r="AT93" s="1848">
        <f t="shared" si="283"/>
        <v>4.9015500628403853E-2</v>
      </c>
      <c r="AU93" s="1848">
        <f t="shared" si="283"/>
        <v>0.30944625407166126</v>
      </c>
      <c r="AV93" s="1850">
        <f t="shared" ref="AV93:AX93" si="284">AV92/AV$8</f>
        <v>0.23010255372979416</v>
      </c>
      <c r="AW93" s="1848">
        <f t="shared" si="284"/>
        <v>0.23884634457945594</v>
      </c>
      <c r="AX93" s="1848">
        <f t="shared" si="284"/>
        <v>0.2485541463475828</v>
      </c>
      <c r="AY93" s="1849">
        <f>AY92/AY$8</f>
        <v>0.249204748194853</v>
      </c>
      <c r="AZ93" s="246"/>
      <c r="BA93" s="1504">
        <f t="shared" ref="BA93:BM93" si="285">BA92/BA$8</f>
        <v>-8.906818541370036E-2</v>
      </c>
      <c r="BB93" s="1504">
        <f t="shared" si="285"/>
        <v>-0.60738563292302039</v>
      </c>
      <c r="BC93" s="1504">
        <f t="shared" si="285"/>
        <v>-7.3600454674623478E-2</v>
      </c>
      <c r="BD93" s="1504">
        <f t="shared" si="285"/>
        <v>-8.6097228532485234E-2</v>
      </c>
      <c r="BE93" s="1674">
        <f t="shared" si="285"/>
        <v>1.8836432999523128E-2</v>
      </c>
      <c r="BF93" s="1673">
        <f t="shared" si="285"/>
        <v>-5.9660394676457089E-3</v>
      </c>
      <c r="BG93" s="1673">
        <f t="shared" si="285"/>
        <v>7.4143302180685364E-2</v>
      </c>
      <c r="BH93" s="1850">
        <f t="shared" si="285"/>
        <v>0.10625110678236231</v>
      </c>
      <c r="BI93" s="1850">
        <f t="shared" si="285"/>
        <v>0.26208818226520242</v>
      </c>
      <c r="BJ93" s="1848">
        <f t="shared" si="285"/>
        <v>-1.5161086544535692E-2</v>
      </c>
      <c r="BK93" s="1848">
        <f t="shared" si="285"/>
        <v>0.23973638720829732</v>
      </c>
      <c r="BL93" s="1848">
        <f t="shared" si="285"/>
        <v>0.24188835153255989</v>
      </c>
      <c r="BM93" s="1848">
        <f t="shared" si="285"/>
        <v>0.24952157161553215</v>
      </c>
      <c r="BN93" s="1849">
        <f t="shared" ref="BN93" si="286">BN92/BN$8</f>
        <v>0.25794177850040323</v>
      </c>
      <c r="BR93" s="1472"/>
    </row>
    <row r="94" spans="1:76" ht="14.25" customHeight="1">
      <c r="A94" s="8"/>
      <c r="B94" s="451"/>
      <c r="C94" s="1537"/>
      <c r="D94" s="1527"/>
      <c r="E94" s="1504"/>
      <c r="F94" s="1504"/>
      <c r="G94" s="1526"/>
      <c r="H94" s="1527"/>
      <c r="I94" s="1504"/>
      <c r="J94" s="1504"/>
      <c r="K94" s="1526"/>
      <c r="L94" s="1527"/>
      <c r="M94" s="1504"/>
      <c r="N94" s="1504"/>
      <c r="O94" s="1526"/>
      <c r="P94" s="1527"/>
      <c r="Q94" s="1504"/>
      <c r="R94" s="1504"/>
      <c r="S94" s="1526"/>
      <c r="T94" s="1527"/>
      <c r="U94" s="1504"/>
      <c r="V94" s="1504"/>
      <c r="W94" s="1526"/>
      <c r="X94" s="1527"/>
      <c r="Y94" s="1504"/>
      <c r="Z94" s="1504"/>
      <c r="AA94" s="1526"/>
      <c r="AB94" s="1527"/>
      <c r="AC94" s="1504"/>
      <c r="AD94" s="1504"/>
      <c r="AE94" s="1526"/>
      <c r="AF94" s="1527"/>
      <c r="AG94" s="1504"/>
      <c r="AH94" s="1504"/>
      <c r="AI94" s="1526"/>
      <c r="AJ94" s="1527"/>
      <c r="AK94" s="1504"/>
      <c r="AL94" s="1504"/>
      <c r="AM94" s="1673"/>
      <c r="AN94" s="1674"/>
      <c r="AO94" s="1673"/>
      <c r="AP94" s="1741"/>
      <c r="AQ94" s="1741"/>
      <c r="AR94" s="1743"/>
      <c r="AS94" s="1741"/>
      <c r="AT94" s="1848"/>
      <c r="AU94" s="1848"/>
      <c r="AV94" s="1850"/>
      <c r="AW94" s="1848"/>
      <c r="AX94" s="1848"/>
      <c r="AY94" s="1849"/>
      <c r="AZ94" s="246"/>
      <c r="BA94" s="1504"/>
      <c r="BB94" s="1504"/>
      <c r="BC94" s="1504"/>
      <c r="BD94" s="1504"/>
      <c r="BE94" s="1674"/>
      <c r="BF94" s="1673"/>
      <c r="BG94" s="1673"/>
      <c r="BH94" s="1850"/>
      <c r="BI94" s="1850"/>
      <c r="BJ94" s="1848"/>
      <c r="BK94" s="1848"/>
      <c r="BL94" s="1848"/>
      <c r="BM94" s="1848"/>
      <c r="BN94" s="1849"/>
      <c r="BR94" s="1472"/>
    </row>
    <row r="95" spans="1:76" s="761" customFormat="1" ht="14.25" hidden="1" customHeight="1" outlineLevel="1">
      <c r="B95" s="776" t="s">
        <v>66</v>
      </c>
      <c r="C95" s="1478"/>
      <c r="D95" s="763">
        <f t="shared" ref="D95:AY95" si="287">(D16+D32+D45+D56-D76)+D88</f>
        <v>0</v>
      </c>
      <c r="E95" s="764">
        <f t="shared" si="287"/>
        <v>0</v>
      </c>
      <c r="F95" s="764">
        <f t="shared" si="287"/>
        <v>0</v>
      </c>
      <c r="G95" s="765">
        <f t="shared" si="287"/>
        <v>0</v>
      </c>
      <c r="H95" s="763">
        <f t="shared" si="287"/>
        <v>0</v>
      </c>
      <c r="I95" s="764">
        <f t="shared" si="287"/>
        <v>0</v>
      </c>
      <c r="J95" s="764">
        <f t="shared" si="287"/>
        <v>0</v>
      </c>
      <c r="K95" s="765">
        <f t="shared" si="287"/>
        <v>0</v>
      </c>
      <c r="L95" s="763">
        <f t="shared" si="287"/>
        <v>365</v>
      </c>
      <c r="M95" s="764">
        <f t="shared" si="287"/>
        <v>-511</v>
      </c>
      <c r="N95" s="764">
        <f t="shared" si="287"/>
        <v>-471</v>
      </c>
      <c r="O95" s="765">
        <f t="shared" si="287"/>
        <v>320</v>
      </c>
      <c r="P95" s="763">
        <f t="shared" si="287"/>
        <v>366</v>
      </c>
      <c r="Q95" s="764">
        <f t="shared" si="287"/>
        <v>420</v>
      </c>
      <c r="R95" s="764">
        <f t="shared" si="287"/>
        <v>-257</v>
      </c>
      <c r="S95" s="765">
        <f t="shared" si="287"/>
        <v>198</v>
      </c>
      <c r="T95" s="763">
        <f t="shared" si="287"/>
        <v>-79</v>
      </c>
      <c r="U95" s="764">
        <f t="shared" si="287"/>
        <v>29</v>
      </c>
      <c r="V95" s="764">
        <f t="shared" si="287"/>
        <v>221</v>
      </c>
      <c r="W95" s="765">
        <f t="shared" si="287"/>
        <v>228</v>
      </c>
      <c r="X95" s="763">
        <f t="shared" si="287"/>
        <v>74</v>
      </c>
      <c r="Y95" s="764">
        <f t="shared" si="287"/>
        <v>158</v>
      </c>
      <c r="Z95" s="764">
        <f t="shared" si="287"/>
        <v>29</v>
      </c>
      <c r="AA95" s="765">
        <f t="shared" si="287"/>
        <v>257</v>
      </c>
      <c r="AB95" s="763">
        <f t="shared" si="287"/>
        <v>230</v>
      </c>
      <c r="AC95" s="764">
        <f t="shared" si="287"/>
        <v>54</v>
      </c>
      <c r="AD95" s="764">
        <f t="shared" si="287"/>
        <v>46</v>
      </c>
      <c r="AE95" s="765">
        <f t="shared" si="287"/>
        <v>132</v>
      </c>
      <c r="AF95" s="763">
        <f t="shared" si="287"/>
        <v>111</v>
      </c>
      <c r="AG95" s="764">
        <f t="shared" si="287"/>
        <v>78</v>
      </c>
      <c r="AH95" s="764">
        <f t="shared" si="287"/>
        <v>182</v>
      </c>
      <c r="AI95" s="765">
        <f t="shared" si="287"/>
        <v>147</v>
      </c>
      <c r="AJ95" s="763">
        <f t="shared" si="287"/>
        <v>403</v>
      </c>
      <c r="AK95" s="764">
        <f t="shared" si="287"/>
        <v>16</v>
      </c>
      <c r="AL95" s="764">
        <f t="shared" si="287"/>
        <v>-21</v>
      </c>
      <c r="AM95" s="764">
        <f t="shared" si="287"/>
        <v>-740</v>
      </c>
      <c r="AN95" s="763">
        <f t="shared" si="287"/>
        <v>701</v>
      </c>
      <c r="AO95" s="764">
        <f t="shared" si="287"/>
        <v>420</v>
      </c>
      <c r="AP95" s="764">
        <f t="shared" si="287"/>
        <v>405</v>
      </c>
      <c r="AQ95" s="764">
        <f t="shared" si="287"/>
        <v>397</v>
      </c>
      <c r="AR95" s="763">
        <f t="shared" si="287"/>
        <v>-886</v>
      </c>
      <c r="AS95" s="764">
        <f t="shared" si="287"/>
        <v>438</v>
      </c>
      <c r="AT95" s="764">
        <f t="shared" ref="AT95:AU95" si="288">(AT16+AT32+AT45+AT56-AT76)+AT88</f>
        <v>470</v>
      </c>
      <c r="AU95" s="764">
        <f t="shared" si="288"/>
        <v>-142</v>
      </c>
      <c r="AV95" s="763">
        <f t="shared" si="287"/>
        <v>0</v>
      </c>
      <c r="AW95" s="764">
        <f t="shared" si="287"/>
        <v>0</v>
      </c>
      <c r="AX95" s="764">
        <f t="shared" si="287"/>
        <v>0</v>
      </c>
      <c r="AY95" s="765">
        <f t="shared" si="287"/>
        <v>0</v>
      </c>
      <c r="AZ95" s="775"/>
      <c r="BA95" s="764">
        <f t="shared" ref="BA95:BM95" si="289">(BA16+BA32+BA45+BA56-BA76)+BA88</f>
        <v>0</v>
      </c>
      <c r="BB95" s="764">
        <f t="shared" si="289"/>
        <v>0</v>
      </c>
      <c r="BC95" s="764">
        <f t="shared" si="289"/>
        <v>-297</v>
      </c>
      <c r="BD95" s="764">
        <f t="shared" si="289"/>
        <v>727</v>
      </c>
      <c r="BE95" s="763">
        <f t="shared" si="289"/>
        <v>399</v>
      </c>
      <c r="BF95" s="764">
        <f t="shared" si="289"/>
        <v>518</v>
      </c>
      <c r="BG95" s="764">
        <f t="shared" si="289"/>
        <v>462</v>
      </c>
      <c r="BH95" s="763">
        <f t="shared" si="289"/>
        <v>518</v>
      </c>
      <c r="BI95" s="763">
        <f t="shared" si="289"/>
        <v>-342</v>
      </c>
      <c r="BJ95" s="764">
        <f t="shared" si="289"/>
        <v>1923</v>
      </c>
      <c r="BK95" s="764">
        <f t="shared" si="289"/>
        <v>-120</v>
      </c>
      <c r="BL95" s="764">
        <f t="shared" si="289"/>
        <v>0</v>
      </c>
      <c r="BM95" s="764">
        <f t="shared" si="289"/>
        <v>0</v>
      </c>
      <c r="BN95" s="765">
        <f t="shared" ref="BN95" si="290">(BN16+BN32+BN45+BN56-BN76)+BN88</f>
        <v>0</v>
      </c>
      <c r="BR95" s="766"/>
      <c r="BS95"/>
      <c r="BT95"/>
      <c r="BU95"/>
      <c r="BV95"/>
      <c r="BW95"/>
      <c r="BX95"/>
    </row>
    <row r="96" spans="1:76" s="761" customFormat="1" ht="14.25" hidden="1" customHeight="1" outlineLevel="1">
      <c r="B96" s="780" t="s">
        <v>67</v>
      </c>
      <c r="C96" s="1536"/>
      <c r="D96" s="767">
        <f>D82-D89</f>
        <v>-342</v>
      </c>
      <c r="E96" s="768">
        <f t="shared" ref="E96:BM96" si="291">E82-E89</f>
        <v>-348</v>
      </c>
      <c r="F96" s="768">
        <f t="shared" si="291"/>
        <v>9</v>
      </c>
      <c r="G96" s="769">
        <f t="shared" si="291"/>
        <v>118</v>
      </c>
      <c r="H96" s="767">
        <f t="shared" si="291"/>
        <v>-62</v>
      </c>
      <c r="I96" s="768">
        <f t="shared" si="291"/>
        <v>-312</v>
      </c>
      <c r="J96" s="768">
        <f t="shared" si="291"/>
        <v>-2531</v>
      </c>
      <c r="K96" s="769">
        <f t="shared" si="291"/>
        <v>-401</v>
      </c>
      <c r="L96" s="767">
        <f t="shared" si="291"/>
        <v>-301</v>
      </c>
      <c r="M96" s="768">
        <f t="shared" si="291"/>
        <v>-155</v>
      </c>
      <c r="N96" s="768">
        <f t="shared" si="291"/>
        <v>-55</v>
      </c>
      <c r="O96" s="769">
        <f t="shared" si="291"/>
        <v>-45</v>
      </c>
      <c r="P96" s="767">
        <f t="shared" si="291"/>
        <v>44</v>
      </c>
      <c r="Q96" s="768">
        <f t="shared" si="291"/>
        <v>86</v>
      </c>
      <c r="R96" s="768">
        <f t="shared" si="291"/>
        <v>101</v>
      </c>
      <c r="S96" s="769">
        <f t="shared" si="291"/>
        <v>117</v>
      </c>
      <c r="T96" s="767">
        <f t="shared" si="291"/>
        <v>131</v>
      </c>
      <c r="U96" s="768">
        <f t="shared" si="291"/>
        <v>143</v>
      </c>
      <c r="V96" s="768">
        <f t="shared" si="291"/>
        <v>136</v>
      </c>
      <c r="W96" s="769">
        <f t="shared" si="291"/>
        <v>68</v>
      </c>
      <c r="X96" s="767">
        <f t="shared" si="291"/>
        <v>61</v>
      </c>
      <c r="Y96" s="768">
        <f t="shared" si="291"/>
        <v>129</v>
      </c>
      <c r="Z96" s="768">
        <f t="shared" si="291"/>
        <v>158</v>
      </c>
      <c r="AA96" s="769">
        <f t="shared" si="291"/>
        <v>144</v>
      </c>
      <c r="AB96" s="767">
        <f t="shared" si="291"/>
        <v>182</v>
      </c>
      <c r="AC96" s="768">
        <f t="shared" si="291"/>
        <v>180</v>
      </c>
      <c r="AD96" s="768">
        <f t="shared" si="291"/>
        <v>216</v>
      </c>
      <c r="AE96" s="769">
        <f t="shared" si="291"/>
        <v>241</v>
      </c>
      <c r="AF96" s="767">
        <f t="shared" si="291"/>
        <v>235</v>
      </c>
      <c r="AG96" s="768">
        <f t="shared" si="291"/>
        <v>255</v>
      </c>
      <c r="AH96" s="768">
        <f t="shared" si="291"/>
        <v>317</v>
      </c>
      <c r="AI96" s="769">
        <f>AI82-AI89</f>
        <v>311</v>
      </c>
      <c r="AJ96" s="767">
        <f>AJ82-AJ89</f>
        <v>310</v>
      </c>
      <c r="AK96" s="768">
        <f>AK82-AK89</f>
        <v>336</v>
      </c>
      <c r="AL96" s="768">
        <f t="shared" ref="AL96" si="292">AL82-AL89</f>
        <v>364</v>
      </c>
      <c r="AM96" s="768">
        <f t="shared" ref="AM96:AR96" si="293">AM82-AM89</f>
        <v>247</v>
      </c>
      <c r="AN96" s="767">
        <f t="shared" si="293"/>
        <v>313</v>
      </c>
      <c r="AO96" s="768">
        <f t="shared" si="293"/>
        <v>420</v>
      </c>
      <c r="AP96" s="768">
        <f t="shared" si="293"/>
        <v>508</v>
      </c>
      <c r="AQ96" s="768">
        <f t="shared" si="293"/>
        <v>538</v>
      </c>
      <c r="AR96" s="767">
        <f t="shared" si="293"/>
        <v>427</v>
      </c>
      <c r="AS96" s="768">
        <f t="shared" ref="AS96:AU96" si="294">AS82-AS89</f>
        <v>467</v>
      </c>
      <c r="AT96" s="768">
        <f t="shared" si="294"/>
        <v>587</v>
      </c>
      <c r="AU96" s="768">
        <f t="shared" si="294"/>
        <v>618</v>
      </c>
      <c r="AV96" s="767">
        <f t="shared" ref="AV96:AY96" si="295">AV82-AV89</f>
        <v>535.1679174136807</v>
      </c>
      <c r="AW96" s="768">
        <f t="shared" si="295"/>
        <v>574.55137850645383</v>
      </c>
      <c r="AX96" s="768">
        <f t="shared" si="295"/>
        <v>622.32277888395765</v>
      </c>
      <c r="AY96" s="769">
        <f t="shared" si="295"/>
        <v>614.434759306822</v>
      </c>
      <c r="AZ96" s="775"/>
      <c r="BA96" s="768">
        <f t="shared" ref="BA96:BI96" si="296">BA82-BA89</f>
        <v>-563</v>
      </c>
      <c r="BB96" s="768">
        <f t="shared" si="296"/>
        <v>-3306</v>
      </c>
      <c r="BC96" s="768">
        <f t="shared" si="296"/>
        <v>-556</v>
      </c>
      <c r="BD96" s="768">
        <f t="shared" si="296"/>
        <v>348</v>
      </c>
      <c r="BE96" s="767">
        <f t="shared" si="296"/>
        <v>478</v>
      </c>
      <c r="BF96" s="768">
        <f t="shared" si="296"/>
        <v>492</v>
      </c>
      <c r="BG96" s="768">
        <f t="shared" si="296"/>
        <v>819</v>
      </c>
      <c r="BH96" s="767">
        <f t="shared" si="296"/>
        <v>1118</v>
      </c>
      <c r="BI96" s="767">
        <f t="shared" si="296"/>
        <v>1257</v>
      </c>
      <c r="BJ96" s="768">
        <f>BJ82-BJ89</f>
        <v>1779</v>
      </c>
      <c r="BK96" s="768">
        <f>BK82-BK89</f>
        <v>2099</v>
      </c>
      <c r="BL96" s="768">
        <f t="shared" si="291"/>
        <v>2346.4768341109138</v>
      </c>
      <c r="BM96" s="768">
        <f t="shared" si="291"/>
        <v>2554.1909622702915</v>
      </c>
      <c r="BN96" s="769">
        <f t="shared" ref="BN96" si="297">BN82-BN89</f>
        <v>2769.5070038472868</v>
      </c>
      <c r="BR96" s="766"/>
      <c r="BS96"/>
      <c r="BT96"/>
      <c r="BU96"/>
      <c r="BV96"/>
      <c r="BW96"/>
      <c r="BX96"/>
    </row>
    <row r="97" spans="1:76" ht="14.25" hidden="1" customHeight="1" outlineLevel="1">
      <c r="A97" s="8"/>
      <c r="B97" s="451" t="s">
        <v>68</v>
      </c>
      <c r="C97" s="1537"/>
      <c r="D97" s="1527">
        <f t="shared" ref="D97:AY97" si="298">D96/D8</f>
        <v>-0.23408624229979466</v>
      </c>
      <c r="E97" s="1504">
        <f t="shared" si="298"/>
        <v>-0.22626788036410922</v>
      </c>
      <c r="F97" s="1504">
        <f t="shared" si="298"/>
        <v>5.4744525547445258E-3</v>
      </c>
      <c r="G97" s="1526">
        <f t="shared" si="298"/>
        <v>7.0321811680572111E-2</v>
      </c>
      <c r="H97" s="1527">
        <f t="shared" si="298"/>
        <v>-4.0816326530612242E-2</v>
      </c>
      <c r="I97" s="1504">
        <f t="shared" si="298"/>
        <v>-0.20472440944881889</v>
      </c>
      <c r="J97" s="1504">
        <f t="shared" si="298"/>
        <v>-1.8420669577874818</v>
      </c>
      <c r="K97" s="1526">
        <f t="shared" si="298"/>
        <v>-0.39083820662768032</v>
      </c>
      <c r="L97" s="1527">
        <f t="shared" si="298"/>
        <v>-0.46666666666666667</v>
      </c>
      <c r="M97" s="1504">
        <f t="shared" si="298"/>
        <v>-0.18833535844471447</v>
      </c>
      <c r="N97" s="1504">
        <f t="shared" si="298"/>
        <v>-5.589430894308943E-2</v>
      </c>
      <c r="O97" s="1526">
        <f t="shared" si="298"/>
        <v>-4.2174320524835988E-2</v>
      </c>
      <c r="P97" s="1527">
        <f t="shared" si="298"/>
        <v>4.0552995391705073E-2</v>
      </c>
      <c r="Q97" s="1504">
        <f t="shared" si="298"/>
        <v>7.6854334226988383E-2</v>
      </c>
      <c r="R97" s="1504">
        <f t="shared" si="298"/>
        <v>9.0178571428571427E-2</v>
      </c>
      <c r="S97" s="1526">
        <f t="shared" si="298"/>
        <v>0.10853432282003711</v>
      </c>
      <c r="T97" s="1527">
        <f t="shared" si="298"/>
        <v>0.12107208872458411</v>
      </c>
      <c r="U97" s="1504">
        <f t="shared" si="298"/>
        <v>0.12756467439785907</v>
      </c>
      <c r="V97" s="1504">
        <f t="shared" si="298"/>
        <v>0.12830188679245283</v>
      </c>
      <c r="W97" s="1526">
        <f t="shared" si="298"/>
        <v>7.3039742212674549E-2</v>
      </c>
      <c r="X97" s="1527">
        <f t="shared" si="298"/>
        <v>6.2372188139059308E-2</v>
      </c>
      <c r="Y97" s="1504">
        <f t="shared" si="298"/>
        <v>0.11791590493601463</v>
      </c>
      <c r="Z97" s="1504">
        <f t="shared" si="298"/>
        <v>0.13504273504273503</v>
      </c>
      <c r="AA97" s="1526">
        <f t="shared" si="298"/>
        <v>0.12903225806451613</v>
      </c>
      <c r="AB97" s="1527">
        <f t="shared" si="298"/>
        <v>0.16774193548387098</v>
      </c>
      <c r="AC97" s="1504">
        <f t="shared" si="298"/>
        <v>0.15151515151515152</v>
      </c>
      <c r="AD97" s="1504">
        <f t="shared" si="298"/>
        <v>0.17293835068054444</v>
      </c>
      <c r="AE97" s="1526">
        <f t="shared" si="298"/>
        <v>0.18638824439288476</v>
      </c>
      <c r="AF97" s="1527">
        <f t="shared" si="298"/>
        <v>0.18860353130016053</v>
      </c>
      <c r="AG97" s="1504">
        <f t="shared" si="298"/>
        <v>0.18902891030392885</v>
      </c>
      <c r="AH97" s="1504">
        <f t="shared" si="298"/>
        <v>0.20924092409240924</v>
      </c>
      <c r="AI97" s="1526">
        <f t="shared" si="298"/>
        <v>0.20234222511385816</v>
      </c>
      <c r="AJ97" s="1527">
        <f t="shared" si="298"/>
        <v>0.21131561008861621</v>
      </c>
      <c r="AK97" s="1504">
        <f t="shared" si="298"/>
        <v>0.22310756972111553</v>
      </c>
      <c r="AL97" s="1504">
        <f t="shared" si="298"/>
        <v>0.23915900131406045</v>
      </c>
      <c r="AM97" s="1673">
        <f t="shared" si="298"/>
        <v>0.15379825653798257</v>
      </c>
      <c r="AN97" s="1674">
        <f t="shared" si="298"/>
        <v>0.14073741007194246</v>
      </c>
      <c r="AO97" s="1673">
        <f t="shared" si="298"/>
        <v>0.17758985200845667</v>
      </c>
      <c r="AP97" s="1741">
        <f t="shared" si="298"/>
        <v>0.20575131632239774</v>
      </c>
      <c r="AQ97" s="1741">
        <f t="shared" si="298"/>
        <v>0.22049180327868853</v>
      </c>
      <c r="AR97" s="1743">
        <f t="shared" si="298"/>
        <v>0.19312528267752149</v>
      </c>
      <c r="AS97" s="1741">
        <f t="shared" si="298"/>
        <v>0.21207992733878292</v>
      </c>
      <c r="AT97" s="1848">
        <f t="shared" ref="AT97:AU97" si="299">AT96/AT8</f>
        <v>0.24591537494763302</v>
      </c>
      <c r="AU97" s="1848">
        <f t="shared" si="299"/>
        <v>0.25162866449511401</v>
      </c>
      <c r="AV97" s="1850">
        <f t="shared" si="298"/>
        <v>0.23010255372979416</v>
      </c>
      <c r="AW97" s="1848">
        <f t="shared" si="298"/>
        <v>0.23884634457945594</v>
      </c>
      <c r="AX97" s="1848">
        <f t="shared" si="298"/>
        <v>0.2485541463475828</v>
      </c>
      <c r="AY97" s="1849">
        <f t="shared" si="298"/>
        <v>0.249204748194853</v>
      </c>
      <c r="AZ97" s="246"/>
      <c r="BA97" s="1504">
        <f t="shared" ref="BA97:BM97" si="300">BA96/BA8</f>
        <v>-8.906818541370036E-2</v>
      </c>
      <c r="BB97" s="1504">
        <f t="shared" si="300"/>
        <v>-0.60738563292302039</v>
      </c>
      <c r="BC97" s="1504">
        <f t="shared" si="300"/>
        <v>-0.15799943165672065</v>
      </c>
      <c r="BD97" s="1504">
        <f t="shared" si="300"/>
        <v>7.9054975011358469E-2</v>
      </c>
      <c r="BE97" s="1674">
        <f t="shared" si="300"/>
        <v>0.1139723414401526</v>
      </c>
      <c r="BF97" s="1673">
        <f t="shared" si="300"/>
        <v>0.11289582377237264</v>
      </c>
      <c r="BG97" s="1673">
        <f t="shared" si="300"/>
        <v>0.17009345794392525</v>
      </c>
      <c r="BH97" s="1850">
        <f t="shared" si="300"/>
        <v>0.19798122897113513</v>
      </c>
      <c r="BI97" s="1850">
        <f t="shared" si="300"/>
        <v>0.20603179806589084</v>
      </c>
      <c r="BJ97" s="1848">
        <f t="shared" si="300"/>
        <v>0.18730259001895136</v>
      </c>
      <c r="BK97" s="1848">
        <f t="shared" si="300"/>
        <v>0.22677182368193605</v>
      </c>
      <c r="BL97" s="1848">
        <f t="shared" si="300"/>
        <v>0.24188835153255989</v>
      </c>
      <c r="BM97" s="1848">
        <f t="shared" si="300"/>
        <v>0.24952157161553215</v>
      </c>
      <c r="BN97" s="1849">
        <f t="shared" ref="BN97" si="301">BN96/BN8</f>
        <v>0.25794177850040323</v>
      </c>
      <c r="BR97" s="1472"/>
    </row>
    <row r="98" spans="1:76" ht="14.25" hidden="1" customHeight="1" outlineLevel="1">
      <c r="A98" s="8"/>
      <c r="B98" s="451"/>
      <c r="C98" s="1537"/>
      <c r="D98" s="1527"/>
      <c r="E98" s="1504"/>
      <c r="F98" s="1504"/>
      <c r="G98" s="1526"/>
      <c r="H98" s="1527"/>
      <c r="I98" s="1504"/>
      <c r="J98" s="1504"/>
      <c r="K98" s="1526"/>
      <c r="L98" s="1527"/>
      <c r="M98" s="1504"/>
      <c r="N98" s="1504"/>
      <c r="O98" s="1526"/>
      <c r="P98" s="1527"/>
      <c r="Q98" s="1504"/>
      <c r="R98" s="1504"/>
      <c r="S98" s="1526"/>
      <c r="T98" s="1527"/>
      <c r="U98" s="1504"/>
      <c r="V98" s="1504"/>
      <c r="W98" s="1526"/>
      <c r="X98" s="1527"/>
      <c r="Y98" s="1504"/>
      <c r="Z98" s="1504"/>
      <c r="AA98" s="1526"/>
      <c r="AB98" s="1527"/>
      <c r="AC98" s="1504"/>
      <c r="AD98" s="1504"/>
      <c r="AE98" s="1526"/>
      <c r="AF98" s="1527"/>
      <c r="AG98" s="1504"/>
      <c r="AH98" s="1504"/>
      <c r="AI98" s="1526"/>
      <c r="AJ98" s="1527"/>
      <c r="AK98" s="1504"/>
      <c r="AL98" s="1504"/>
      <c r="AM98" s="1673"/>
      <c r="AN98" s="1674"/>
      <c r="AO98" s="1673"/>
      <c r="AP98" s="1741"/>
      <c r="AQ98" s="1741"/>
      <c r="AR98" s="1743"/>
      <c r="AS98" s="1741"/>
      <c r="AT98" s="1848"/>
      <c r="AU98" s="1848"/>
      <c r="AV98" s="1850"/>
      <c r="AW98" s="1848"/>
      <c r="AX98" s="1848"/>
      <c r="AY98" s="1849"/>
      <c r="AZ98" s="246"/>
      <c r="BA98" s="1504"/>
      <c r="BB98" s="1504"/>
      <c r="BC98" s="1504"/>
      <c r="BD98" s="1504"/>
      <c r="BE98" s="1674"/>
      <c r="BF98" s="1673"/>
      <c r="BG98" s="1673"/>
      <c r="BH98" s="1850"/>
      <c r="BI98" s="1850"/>
      <c r="BJ98" s="1848"/>
      <c r="BK98" s="1848"/>
      <c r="BL98" s="1848"/>
      <c r="BM98" s="1848"/>
      <c r="BN98" s="1849"/>
      <c r="BR98" s="1472"/>
    </row>
    <row r="99" spans="1:76" s="761" customFormat="1" ht="14.25" customHeight="1" collapsed="1">
      <c r="B99" s="776" t="s">
        <v>40</v>
      </c>
      <c r="C99" s="1478"/>
      <c r="D99" s="770">
        <v>0</v>
      </c>
      <c r="E99" s="771">
        <v>0</v>
      </c>
      <c r="F99" s="771">
        <v>0</v>
      </c>
      <c r="G99" s="772">
        <v>0</v>
      </c>
      <c r="H99" s="770">
        <v>0</v>
      </c>
      <c r="I99" s="771">
        <v>0</v>
      </c>
      <c r="J99" s="771">
        <v>0</v>
      </c>
      <c r="K99" s="772">
        <v>0</v>
      </c>
      <c r="L99" s="770">
        <v>4</v>
      </c>
      <c r="M99" s="771">
        <v>9</v>
      </c>
      <c r="N99" s="771">
        <v>12</v>
      </c>
      <c r="O99" s="772">
        <v>7</v>
      </c>
      <c r="P99" s="770">
        <v>12</v>
      </c>
      <c r="Q99" s="771">
        <v>13</v>
      </c>
      <c r="R99" s="771">
        <v>23</v>
      </c>
      <c r="S99" s="772">
        <v>11</v>
      </c>
      <c r="T99" s="770">
        <v>13</v>
      </c>
      <c r="U99" s="771">
        <v>-2</v>
      </c>
      <c r="V99" s="771">
        <v>421</v>
      </c>
      <c r="W99" s="772">
        <v>2</v>
      </c>
      <c r="X99" s="770">
        <v>1</v>
      </c>
      <c r="Y99" s="771">
        <v>0</v>
      </c>
      <c r="Z99" s="771">
        <v>0</v>
      </c>
      <c r="AA99" s="772">
        <v>0</v>
      </c>
      <c r="AB99" s="770">
        <v>0</v>
      </c>
      <c r="AC99" s="771">
        <v>0</v>
      </c>
      <c r="AD99" s="771">
        <v>0</v>
      </c>
      <c r="AE99" s="772">
        <v>0</v>
      </c>
      <c r="AF99" s="770">
        <v>0</v>
      </c>
      <c r="AG99" s="771">
        <v>0</v>
      </c>
      <c r="AH99" s="771">
        <v>0</v>
      </c>
      <c r="AI99" s="772">
        <v>0</v>
      </c>
      <c r="AJ99" s="770">
        <v>0</v>
      </c>
      <c r="AK99" s="771">
        <v>0</v>
      </c>
      <c r="AL99" s="771">
        <v>0</v>
      </c>
      <c r="AM99" s="771">
        <v>0</v>
      </c>
      <c r="AN99" s="770">
        <v>0</v>
      </c>
      <c r="AO99" s="771">
        <v>0</v>
      </c>
      <c r="AP99" s="771">
        <v>0</v>
      </c>
      <c r="AQ99" s="771">
        <v>0</v>
      </c>
      <c r="AR99" s="770">
        <v>0</v>
      </c>
      <c r="AS99" s="771">
        <v>0</v>
      </c>
      <c r="AT99" s="771">
        <v>0</v>
      </c>
      <c r="AU99" s="771">
        <v>0</v>
      </c>
      <c r="AV99" s="770">
        <v>0</v>
      </c>
      <c r="AW99" s="771">
        <v>0</v>
      </c>
      <c r="AX99" s="771">
        <v>0</v>
      </c>
      <c r="AY99" s="772">
        <v>0</v>
      </c>
      <c r="AZ99" s="775"/>
      <c r="BA99" s="764">
        <f>SUM(D99:G99)</f>
        <v>0</v>
      </c>
      <c r="BB99" s="764">
        <f>SUM(H99:K99)</f>
        <v>0</v>
      </c>
      <c r="BC99" s="764">
        <f>SUM(L99:O99)</f>
        <v>32</v>
      </c>
      <c r="BD99" s="764">
        <f>SUM(P99:S99)</f>
        <v>59</v>
      </c>
      <c r="BE99" s="763">
        <f>SUM(T99:W99)</f>
        <v>434</v>
      </c>
      <c r="BF99" s="764">
        <f>SUM(X99:AA99)</f>
        <v>1</v>
      </c>
      <c r="BG99" s="764">
        <f>SUM(AB99:AE99)</f>
        <v>0</v>
      </c>
      <c r="BH99" s="763">
        <f>SUM(AF99:AI99)</f>
        <v>0</v>
      </c>
      <c r="BI99" s="763">
        <f>SUM(AJ99:AM99)</f>
        <v>0</v>
      </c>
      <c r="BJ99" s="764">
        <f>SUM(AN99:AQ99)</f>
        <v>0</v>
      </c>
      <c r="BK99" s="764">
        <f t="shared" ref="BK99:BL99" si="302">SUM(AO99:AR99)</f>
        <v>0</v>
      </c>
      <c r="BL99" s="764">
        <f t="shared" si="302"/>
        <v>0</v>
      </c>
      <c r="BM99" s="764">
        <v>0</v>
      </c>
      <c r="BN99" s="765">
        <v>0</v>
      </c>
      <c r="BR99" s="766"/>
      <c r="BS99"/>
      <c r="BT99"/>
      <c r="BU99"/>
      <c r="BV99"/>
      <c r="BW99"/>
      <c r="BX99"/>
    </row>
    <row r="100" spans="1:76" s="761" customFormat="1" ht="14.25" customHeight="1">
      <c r="B100" s="780" t="s">
        <v>252</v>
      </c>
      <c r="C100" s="1536"/>
      <c r="D100" s="767">
        <f t="shared" ref="D100:AK100" si="303">D92+D99-D104</f>
        <v>-342</v>
      </c>
      <c r="E100" s="768">
        <f>E92+E99-E104</f>
        <v>-349</v>
      </c>
      <c r="F100" s="768">
        <f>F92+F99-F104</f>
        <v>3</v>
      </c>
      <c r="G100" s="769">
        <f>G92+G99-G104</f>
        <v>85</v>
      </c>
      <c r="H100" s="767">
        <f t="shared" si="303"/>
        <v>-66</v>
      </c>
      <c r="I100" s="768">
        <f t="shared" si="303"/>
        <v>-319</v>
      </c>
      <c r="J100" s="768">
        <f t="shared" si="303"/>
        <v>-2540</v>
      </c>
      <c r="K100" s="769">
        <f t="shared" si="303"/>
        <v>-649</v>
      </c>
      <c r="L100" s="767">
        <f t="shared" si="303"/>
        <v>-587</v>
      </c>
      <c r="M100" s="768">
        <f t="shared" si="303"/>
        <v>365</v>
      </c>
      <c r="N100" s="768">
        <f t="shared" si="303"/>
        <v>428</v>
      </c>
      <c r="O100" s="769">
        <f t="shared" si="303"/>
        <v>-359</v>
      </c>
      <c r="P100" s="767">
        <f t="shared" si="303"/>
        <v>-336</v>
      </c>
      <c r="Q100" s="768">
        <f t="shared" si="303"/>
        <v>-350</v>
      </c>
      <c r="R100" s="768">
        <f t="shared" si="303"/>
        <v>376</v>
      </c>
      <c r="S100" s="769">
        <f t="shared" si="303"/>
        <v>-96</v>
      </c>
      <c r="T100" s="767">
        <f t="shared" si="303"/>
        <v>201</v>
      </c>
      <c r="U100" s="768">
        <f t="shared" si="303"/>
        <v>97</v>
      </c>
      <c r="V100" s="768">
        <f t="shared" si="303"/>
        <v>311</v>
      </c>
      <c r="W100" s="769">
        <f t="shared" si="303"/>
        <v>-173</v>
      </c>
      <c r="X100" s="767">
        <f t="shared" si="303"/>
        <v>-11</v>
      </c>
      <c r="Y100" s="768">
        <f t="shared" si="303"/>
        <v>-74</v>
      </c>
      <c r="Z100" s="768">
        <f t="shared" si="303"/>
        <v>131</v>
      </c>
      <c r="AA100" s="769">
        <f t="shared" si="303"/>
        <v>-98</v>
      </c>
      <c r="AB100" s="767">
        <f t="shared" si="303"/>
        <v>-1</v>
      </c>
      <c r="AC100" s="768">
        <f t="shared" si="303"/>
        <v>129</v>
      </c>
      <c r="AD100" s="768">
        <f t="shared" si="303"/>
        <v>172</v>
      </c>
      <c r="AE100" s="769">
        <f t="shared" si="303"/>
        <v>115</v>
      </c>
      <c r="AF100" s="767">
        <f t="shared" si="303"/>
        <v>125</v>
      </c>
      <c r="AG100" s="768">
        <f t="shared" si="303"/>
        <v>178</v>
      </c>
      <c r="AH100" s="768">
        <f t="shared" si="303"/>
        <v>138</v>
      </c>
      <c r="AI100" s="769">
        <f t="shared" si="303"/>
        <v>167</v>
      </c>
      <c r="AJ100" s="767">
        <f t="shared" si="303"/>
        <v>-90</v>
      </c>
      <c r="AK100" s="768">
        <f t="shared" si="303"/>
        <v>321</v>
      </c>
      <c r="AL100" s="768">
        <f>AL92+AL99-AL104</f>
        <v>388</v>
      </c>
      <c r="AM100" s="768">
        <f t="shared" ref="AM100:AO100" si="304">AM92+AM99-AM104</f>
        <v>989</v>
      </c>
      <c r="AN100" s="767">
        <f t="shared" si="304"/>
        <v>-387</v>
      </c>
      <c r="AO100" s="768">
        <f t="shared" si="304"/>
        <v>1</v>
      </c>
      <c r="AP100" s="768">
        <f>AP92+AP99-AP104</f>
        <v>108</v>
      </c>
      <c r="AQ100" s="768">
        <f t="shared" ref="AQ100:AS100" si="305">AQ92+AQ99-AQ104</f>
        <v>145</v>
      </c>
      <c r="AR100" s="767">
        <f t="shared" si="305"/>
        <v>1318</v>
      </c>
      <c r="AS100" s="768">
        <f t="shared" si="305"/>
        <v>63</v>
      </c>
      <c r="AT100" s="768">
        <f>AT92+AT99-AT104</f>
        <v>123</v>
      </c>
      <c r="AU100" s="768">
        <f t="shared" ref="AU100" si="306">AU92+AU99-AU104</f>
        <v>768</v>
      </c>
      <c r="AV100" s="767">
        <f t="shared" ref="AV100:AY100" si="307">AV92+AV99-AV104</f>
        <v>535.1679174136807</v>
      </c>
      <c r="AW100" s="768">
        <f t="shared" si="307"/>
        <v>574.55137850645383</v>
      </c>
      <c r="AX100" s="768">
        <f t="shared" si="307"/>
        <v>622.32277888395765</v>
      </c>
      <c r="AY100" s="769">
        <f t="shared" si="307"/>
        <v>614.434759306822</v>
      </c>
      <c r="AZ100" s="775"/>
      <c r="BA100" s="768">
        <f t="shared" ref="BA100:BI100" si="308">BA92+BA99-BA104</f>
        <v>-603</v>
      </c>
      <c r="BB100" s="768">
        <f t="shared" si="308"/>
        <v>-3574</v>
      </c>
      <c r="BC100" s="768">
        <f t="shared" si="308"/>
        <v>-153</v>
      </c>
      <c r="BD100" s="768">
        <f t="shared" si="308"/>
        <v>-406</v>
      </c>
      <c r="BE100" s="767">
        <f t="shared" si="308"/>
        <v>436</v>
      </c>
      <c r="BF100" s="768">
        <f t="shared" si="308"/>
        <v>-52</v>
      </c>
      <c r="BG100" s="768">
        <f t="shared" si="308"/>
        <v>415</v>
      </c>
      <c r="BH100" s="767">
        <f t="shared" si="308"/>
        <v>608</v>
      </c>
      <c r="BI100" s="767">
        <f t="shared" si="308"/>
        <v>1608</v>
      </c>
      <c r="BJ100" s="768">
        <f t="shared" ref="BJ100:BM100" si="309">BJ92+BJ99-BJ104</f>
        <v>-133</v>
      </c>
      <c r="BK100" s="768">
        <f t="shared" si="309"/>
        <v>2272</v>
      </c>
      <c r="BL100" s="768">
        <f t="shared" si="309"/>
        <v>2346.4768341109138</v>
      </c>
      <c r="BM100" s="768">
        <f t="shared" si="309"/>
        <v>2554.1909622702915</v>
      </c>
      <c r="BN100" s="769">
        <f t="shared" ref="BN100" si="310">BN92+BN99-BN104</f>
        <v>2769.5070038472868</v>
      </c>
      <c r="BR100" s="766"/>
      <c r="BS100"/>
      <c r="BT100"/>
      <c r="BU100"/>
      <c r="BV100"/>
      <c r="BW100"/>
      <c r="BX100"/>
    </row>
    <row r="101" spans="1:76" ht="14.25" customHeight="1">
      <c r="A101" s="8"/>
      <c r="B101" s="451" t="s">
        <v>39</v>
      </c>
      <c r="C101" s="1537"/>
      <c r="D101" s="1527">
        <f t="shared" ref="D101:AY101" si="311">D100/D8</f>
        <v>-0.23408624229979466</v>
      </c>
      <c r="E101" s="1504">
        <f t="shared" si="311"/>
        <v>-0.22691807542262679</v>
      </c>
      <c r="F101" s="1504">
        <f t="shared" si="311"/>
        <v>1.8248175182481751E-3</v>
      </c>
      <c r="G101" s="1526">
        <f t="shared" si="311"/>
        <v>5.0655542312276522E-2</v>
      </c>
      <c r="H101" s="1527">
        <f t="shared" si="311"/>
        <v>-4.3449637919684002E-2</v>
      </c>
      <c r="I101" s="1504">
        <f t="shared" si="311"/>
        <v>-0.20931758530183728</v>
      </c>
      <c r="J101" s="1504">
        <f t="shared" si="311"/>
        <v>-1.8486171761280932</v>
      </c>
      <c r="K101" s="1526">
        <f t="shared" si="311"/>
        <v>-0.63255360623781676</v>
      </c>
      <c r="L101" s="1527">
        <f t="shared" si="311"/>
        <v>-0.91007751937984493</v>
      </c>
      <c r="M101" s="1504">
        <f t="shared" si="311"/>
        <v>0.44349939246658565</v>
      </c>
      <c r="N101" s="1504">
        <f t="shared" si="311"/>
        <v>0.43495934959349591</v>
      </c>
      <c r="O101" s="1526">
        <f t="shared" si="311"/>
        <v>-0.33645735707591379</v>
      </c>
      <c r="P101" s="1527">
        <f t="shared" si="311"/>
        <v>-0.30967741935483872</v>
      </c>
      <c r="Q101" s="1504">
        <f t="shared" si="311"/>
        <v>-0.3127792672028597</v>
      </c>
      <c r="R101" s="1504">
        <f t="shared" si="311"/>
        <v>0.33571428571428569</v>
      </c>
      <c r="S101" s="1526">
        <f t="shared" si="311"/>
        <v>-8.9053803339517623E-2</v>
      </c>
      <c r="T101" s="1527">
        <f t="shared" si="311"/>
        <v>0.18576709796672827</v>
      </c>
      <c r="U101" s="1504">
        <f t="shared" si="311"/>
        <v>8.6529884032114188E-2</v>
      </c>
      <c r="V101" s="1504">
        <f t="shared" si="311"/>
        <v>0.29339622641509433</v>
      </c>
      <c r="W101" s="1526">
        <f t="shared" si="311"/>
        <v>-0.1858216970998926</v>
      </c>
      <c r="X101" s="1527">
        <f t="shared" si="311"/>
        <v>-1.1247443762781187E-2</v>
      </c>
      <c r="Y101" s="1504">
        <f t="shared" si="311"/>
        <v>-6.7641681901279713E-2</v>
      </c>
      <c r="Z101" s="1504">
        <f t="shared" si="311"/>
        <v>0.11196581196581197</v>
      </c>
      <c r="AA101" s="1526">
        <f t="shared" si="311"/>
        <v>-8.7813620071684584E-2</v>
      </c>
      <c r="AB101" s="1527">
        <f t="shared" si="311"/>
        <v>-9.2165898617511521E-4</v>
      </c>
      <c r="AC101" s="1504">
        <f t="shared" si="311"/>
        <v>0.10858585858585859</v>
      </c>
      <c r="AD101" s="1504">
        <f t="shared" si="311"/>
        <v>0.13771016813450759</v>
      </c>
      <c r="AE101" s="1526">
        <f t="shared" si="311"/>
        <v>8.8940448569218872E-2</v>
      </c>
      <c r="AF101" s="1527">
        <f t="shared" si="311"/>
        <v>0.10032102728731943</v>
      </c>
      <c r="AG101" s="1504">
        <f t="shared" si="311"/>
        <v>0.13194959229058562</v>
      </c>
      <c r="AH101" s="1504">
        <f t="shared" si="311"/>
        <v>9.1089108910891087E-2</v>
      </c>
      <c r="AI101" s="1526">
        <f t="shared" si="311"/>
        <v>0.10865322055953155</v>
      </c>
      <c r="AJ101" s="1527">
        <f t="shared" si="311"/>
        <v>-6.1349693251533742E-2</v>
      </c>
      <c r="AK101" s="1504">
        <f t="shared" si="311"/>
        <v>0.21314741035856574</v>
      </c>
      <c r="AL101" s="1504">
        <f t="shared" si="311"/>
        <v>0.25492772667542707</v>
      </c>
      <c r="AM101" s="1673">
        <f t="shared" si="311"/>
        <v>0.61581569115815693</v>
      </c>
      <c r="AN101" s="1674">
        <f t="shared" si="311"/>
        <v>-0.17401079136690648</v>
      </c>
      <c r="AO101" s="1673">
        <f t="shared" si="311"/>
        <v>4.2283298097251583E-4</v>
      </c>
      <c r="AP101" s="1741">
        <f t="shared" si="311"/>
        <v>4.374240583232078E-2</v>
      </c>
      <c r="AQ101" s="1741">
        <f t="shared" si="311"/>
        <v>5.9426229508196718E-2</v>
      </c>
      <c r="AR101" s="1743">
        <f t="shared" si="311"/>
        <v>0.59611035730438711</v>
      </c>
      <c r="AS101" s="1741">
        <f t="shared" si="311"/>
        <v>2.8610354223433242E-2</v>
      </c>
      <c r="AT101" s="1848">
        <f t="shared" ref="AT101:AU101" si="312">AT100/AT8</f>
        <v>5.1529116045245078E-2</v>
      </c>
      <c r="AU101" s="1848">
        <f t="shared" si="312"/>
        <v>0.31270358306188922</v>
      </c>
      <c r="AV101" s="1850">
        <f t="shared" si="311"/>
        <v>0.23010255372979416</v>
      </c>
      <c r="AW101" s="1848">
        <f t="shared" si="311"/>
        <v>0.23884634457945594</v>
      </c>
      <c r="AX101" s="1848">
        <f t="shared" si="311"/>
        <v>0.2485541463475828</v>
      </c>
      <c r="AY101" s="1849">
        <f t="shared" si="311"/>
        <v>0.249204748194853</v>
      </c>
      <c r="AZ101" s="246"/>
      <c r="BA101" s="1504">
        <f t="shared" ref="BA101:BM101" si="313">BA100/BA8</f>
        <v>-9.5396298054105363E-2</v>
      </c>
      <c r="BB101" s="1504">
        <f t="shared" si="313"/>
        <v>-0.65662318574315637</v>
      </c>
      <c r="BC101" s="1504">
        <f t="shared" si="313"/>
        <v>-4.3478260869565216E-2</v>
      </c>
      <c r="BD101" s="1504">
        <f t="shared" si="313"/>
        <v>-9.2230804179918219E-2</v>
      </c>
      <c r="BE101" s="1674">
        <f t="shared" si="313"/>
        <v>0.10395803528850739</v>
      </c>
      <c r="BF101" s="1673">
        <f t="shared" si="313"/>
        <v>-1.1932078935291418E-2</v>
      </c>
      <c r="BG101" s="1673">
        <f t="shared" si="313"/>
        <v>8.6188992731048811E-2</v>
      </c>
      <c r="BH101" s="1850">
        <f t="shared" si="313"/>
        <v>0.10766778820612714</v>
      </c>
      <c r="BI101" s="1850">
        <f t="shared" si="313"/>
        <v>0.26356335027044747</v>
      </c>
      <c r="BJ101" s="1848">
        <f t="shared" si="313"/>
        <v>-1.4002947989050326E-2</v>
      </c>
      <c r="BK101" s="1848">
        <f t="shared" si="313"/>
        <v>0.24546240276577355</v>
      </c>
      <c r="BL101" s="1848">
        <f t="shared" si="313"/>
        <v>0.24188835153255989</v>
      </c>
      <c r="BM101" s="1848">
        <f t="shared" si="313"/>
        <v>0.24952157161553215</v>
      </c>
      <c r="BN101" s="1849">
        <f t="shared" ref="BN101" si="314">BN100/BN8</f>
        <v>0.25794177850040323</v>
      </c>
      <c r="BR101" s="1472"/>
    </row>
    <row r="102" spans="1:76" ht="14.25" customHeight="1">
      <c r="A102" s="8"/>
      <c r="B102" s="451"/>
      <c r="C102" s="1537"/>
      <c r="D102" s="1527"/>
      <c r="E102" s="1504"/>
      <c r="F102" s="1504"/>
      <c r="G102" s="1526"/>
      <c r="H102" s="1527"/>
      <c r="I102" s="1504"/>
      <c r="J102" s="1504"/>
      <c r="K102" s="1526"/>
      <c r="L102" s="1527"/>
      <c r="M102" s="1504"/>
      <c r="N102" s="1504"/>
      <c r="O102" s="1526"/>
      <c r="P102" s="1527"/>
      <c r="Q102" s="1504"/>
      <c r="R102" s="1504"/>
      <c r="S102" s="1526"/>
      <c r="T102" s="1527"/>
      <c r="U102" s="1504"/>
      <c r="V102" s="1504"/>
      <c r="W102" s="1526"/>
      <c r="X102" s="1527"/>
      <c r="Y102" s="1504"/>
      <c r="Z102" s="1504"/>
      <c r="AA102" s="1526"/>
      <c r="AB102" s="1527"/>
      <c r="AC102" s="1504"/>
      <c r="AD102" s="1504"/>
      <c r="AE102" s="1526"/>
      <c r="AF102" s="1527"/>
      <c r="AG102" s="1504"/>
      <c r="AH102" s="1504"/>
      <c r="AI102" s="1526"/>
      <c r="AJ102" s="1527"/>
      <c r="AK102" s="1504"/>
      <c r="AL102" s="1504"/>
      <c r="AM102" s="1673"/>
      <c r="AN102" s="1674"/>
      <c r="AO102" s="1673"/>
      <c r="AP102" s="1741"/>
      <c r="AQ102" s="1741"/>
      <c r="AR102" s="1743"/>
      <c r="AS102" s="1741"/>
      <c r="AT102" s="1848"/>
      <c r="AU102" s="1848"/>
      <c r="AV102" s="1850"/>
      <c r="AW102" s="1848"/>
      <c r="AX102" s="1848"/>
      <c r="AY102" s="1849"/>
      <c r="AZ102" s="246"/>
      <c r="BA102" s="1504"/>
      <c r="BB102" s="1504"/>
      <c r="BC102" s="1504"/>
      <c r="BD102" s="1504"/>
      <c r="BE102" s="1674"/>
      <c r="BF102" s="1673"/>
      <c r="BG102" s="1673"/>
      <c r="BH102" s="1850"/>
      <c r="BI102" s="1850"/>
      <c r="BJ102" s="1848"/>
      <c r="BK102" s="1848"/>
      <c r="BL102" s="1848"/>
      <c r="BM102" s="1848"/>
      <c r="BN102" s="1849"/>
      <c r="BR102" s="1472"/>
    </row>
    <row r="103" spans="1:76" ht="14.25" hidden="1" customHeight="1" outlineLevel="1">
      <c r="A103" s="8"/>
      <c r="B103" s="776" t="s">
        <v>311</v>
      </c>
      <c r="C103" s="1537"/>
      <c r="D103" s="763">
        <f>SUM(D104:D105)</f>
        <v>6</v>
      </c>
      <c r="E103" s="764">
        <f t="shared" ref="E103:AH103" si="315">SUM(E104:E105)</f>
        <v>11</v>
      </c>
      <c r="F103" s="764">
        <f t="shared" si="315"/>
        <v>21</v>
      </c>
      <c r="G103" s="765">
        <f t="shared" si="315"/>
        <v>49</v>
      </c>
      <c r="H103" s="763">
        <f t="shared" si="315"/>
        <v>16</v>
      </c>
      <c r="I103" s="764">
        <f t="shared" si="315"/>
        <v>18</v>
      </c>
      <c r="J103" s="764">
        <f t="shared" si="315"/>
        <v>16</v>
      </c>
      <c r="K103" s="765">
        <f t="shared" si="315"/>
        <v>244</v>
      </c>
      <c r="L103" s="763">
        <f t="shared" si="315"/>
        <v>-85</v>
      </c>
      <c r="M103" s="764">
        <f t="shared" si="315"/>
        <v>5</v>
      </c>
      <c r="N103" s="764">
        <f t="shared" si="315"/>
        <v>10</v>
      </c>
      <c r="O103" s="765">
        <f t="shared" si="315"/>
        <v>10</v>
      </c>
      <c r="P103" s="763">
        <f t="shared" si="315"/>
        <v>35</v>
      </c>
      <c r="Q103" s="764">
        <f t="shared" si="315"/>
        <v>41</v>
      </c>
      <c r="R103" s="764">
        <f t="shared" si="315"/>
        <v>12</v>
      </c>
      <c r="S103" s="765">
        <f t="shared" si="315"/>
        <v>48</v>
      </c>
      <c r="T103" s="763">
        <f t="shared" si="315"/>
        <v>36</v>
      </c>
      <c r="U103" s="764">
        <f>SUM(U104:U105)</f>
        <v>28</v>
      </c>
      <c r="V103" s="764">
        <f>SUM(V104:V105)</f>
        <v>35</v>
      </c>
      <c r="W103" s="765">
        <f>SUM(W104:W105)</f>
        <v>24</v>
      </c>
      <c r="X103" s="763">
        <f>SUM(X104:X105)</f>
        <v>12</v>
      </c>
      <c r="Y103" s="764">
        <f>SUM(Y104:Y105)</f>
        <v>61</v>
      </c>
      <c r="Z103" s="764">
        <f t="shared" si="315"/>
        <v>14</v>
      </c>
      <c r="AA103" s="765">
        <f t="shared" si="315"/>
        <v>3</v>
      </c>
      <c r="AB103" s="763">
        <f t="shared" si="315"/>
        <v>-34</v>
      </c>
      <c r="AC103" s="764">
        <f t="shared" si="315"/>
        <v>15</v>
      </c>
      <c r="AD103" s="764">
        <f t="shared" si="315"/>
        <v>15</v>
      </c>
      <c r="AE103" s="765">
        <f t="shared" si="315"/>
        <v>13</v>
      </c>
      <c r="AF103" s="763">
        <f t="shared" si="315"/>
        <v>13</v>
      </c>
      <c r="AG103" s="764">
        <f t="shared" si="315"/>
        <v>18</v>
      </c>
      <c r="AH103" s="764">
        <f t="shared" si="315"/>
        <v>14</v>
      </c>
      <c r="AI103" s="765">
        <f>SUM(AI104:AI105)</f>
        <v>15</v>
      </c>
      <c r="AJ103" s="763">
        <f>SUM(AJ104:AJ105)</f>
        <v>14</v>
      </c>
      <c r="AK103" s="764">
        <f>SUM(AK104:AK105)</f>
        <v>20</v>
      </c>
      <c r="AL103" s="764">
        <f t="shared" ref="AL103" si="316">SUM(AL104:AL105)</f>
        <v>15</v>
      </c>
      <c r="AM103" s="764">
        <f>SUM(AM104:AM105)</f>
        <v>15</v>
      </c>
      <c r="AN103" s="763">
        <f>SUM(AN104:AN105)</f>
        <v>10</v>
      </c>
      <c r="AO103" s="764">
        <f>SUM(AO104:AO105)</f>
        <v>13</v>
      </c>
      <c r="AP103" s="764">
        <f t="shared" ref="AP103" si="317">SUM(AP104:AP105)</f>
        <v>12</v>
      </c>
      <c r="AQ103" s="764">
        <f>SUM(AQ104:AQ105)</f>
        <v>13</v>
      </c>
      <c r="AR103" s="763">
        <f>SUM(AR104:AR105)</f>
        <v>8</v>
      </c>
      <c r="AS103" s="764">
        <f>SUM(AS104:AS105)</f>
        <v>-20</v>
      </c>
      <c r="AT103" s="764">
        <f t="shared" ref="AT103" si="318">SUM(AT104:AT105)</f>
        <v>9</v>
      </c>
      <c r="AU103" s="764">
        <f>SUM(AU104:AU105)</f>
        <v>7</v>
      </c>
      <c r="AV103" s="763">
        <f t="shared" ref="AV103:AY103" si="319">SUM(AV104:AV105)</f>
        <v>15</v>
      </c>
      <c r="AW103" s="764">
        <f t="shared" si="319"/>
        <v>15</v>
      </c>
      <c r="AX103" s="764">
        <f t="shared" si="319"/>
        <v>15</v>
      </c>
      <c r="AY103" s="765">
        <f t="shared" si="319"/>
        <v>15</v>
      </c>
      <c r="AZ103" s="246"/>
      <c r="BA103" s="764">
        <f>SUM(D103:G103)</f>
        <v>87</v>
      </c>
      <c r="BB103" s="764">
        <f>SUM(H103:K103)</f>
        <v>294</v>
      </c>
      <c r="BC103" s="764">
        <f>SUM(L103:O103)</f>
        <v>-60</v>
      </c>
      <c r="BD103" s="764">
        <f>SUM(P103:S103)</f>
        <v>136</v>
      </c>
      <c r="BE103" s="763">
        <f>SUM(T103:W103)</f>
        <v>123</v>
      </c>
      <c r="BF103" s="764">
        <f>SUM(X103:AA103)</f>
        <v>90</v>
      </c>
      <c r="BG103" s="764">
        <f>SUM(AB103:AE103)</f>
        <v>9</v>
      </c>
      <c r="BH103" s="763">
        <f>SUM(AF103:AI103)</f>
        <v>60</v>
      </c>
      <c r="BI103" s="763">
        <f>SUM(AJ103:AM103)</f>
        <v>64</v>
      </c>
      <c r="BJ103" s="764">
        <f>SUM(AN103:AQ103)</f>
        <v>48</v>
      </c>
      <c r="BK103" s="764">
        <f>SUM(AR103:AU103)</f>
        <v>4</v>
      </c>
      <c r="BL103" s="764">
        <f>SUM(AV103:AY103)</f>
        <v>60</v>
      </c>
      <c r="BM103" s="764">
        <f t="shared" ref="BM103" si="320">SUM(BM104:BM105)</f>
        <v>60</v>
      </c>
      <c r="BN103" s="765">
        <f t="shared" ref="BN103" si="321">SUM(BN104:BN105)</f>
        <v>60</v>
      </c>
      <c r="BR103" s="1472"/>
    </row>
    <row r="104" spans="1:76" ht="14.25" hidden="1" customHeight="1" outlineLevel="1">
      <c r="A104" s="8"/>
      <c r="B104" s="782" t="s">
        <v>312</v>
      </c>
      <c r="C104" s="1537"/>
      <c r="D104" s="770">
        <v>0</v>
      </c>
      <c r="E104" s="771">
        <v>1</v>
      </c>
      <c r="F104" s="771">
        <v>6</v>
      </c>
      <c r="G104" s="772">
        <v>33</v>
      </c>
      <c r="H104" s="770">
        <v>4</v>
      </c>
      <c r="I104" s="771">
        <v>7</v>
      </c>
      <c r="J104" s="771">
        <v>9</v>
      </c>
      <c r="K104" s="772">
        <v>248</v>
      </c>
      <c r="L104" s="770">
        <v>-75</v>
      </c>
      <c r="M104" s="771">
        <v>0</v>
      </c>
      <c r="N104" s="771">
        <v>0</v>
      </c>
      <c r="O104" s="772">
        <v>1</v>
      </c>
      <c r="P104" s="770">
        <v>26</v>
      </c>
      <c r="Q104" s="771">
        <v>29</v>
      </c>
      <c r="R104" s="771">
        <v>5</v>
      </c>
      <c r="S104" s="772">
        <v>26</v>
      </c>
      <c r="T104" s="770">
        <v>22</v>
      </c>
      <c r="U104" s="771">
        <v>15</v>
      </c>
      <c r="V104" s="771">
        <v>25</v>
      </c>
      <c r="W104" s="772">
        <v>15</v>
      </c>
      <c r="X104" s="770">
        <v>-1</v>
      </c>
      <c r="Y104" s="771">
        <v>45</v>
      </c>
      <c r="Z104" s="771">
        <v>-2</v>
      </c>
      <c r="AA104" s="772">
        <v>-15</v>
      </c>
      <c r="AB104" s="770">
        <v>-47</v>
      </c>
      <c r="AC104" s="771">
        <v>-3</v>
      </c>
      <c r="AD104" s="771">
        <v>-2</v>
      </c>
      <c r="AE104" s="772">
        <v>-6</v>
      </c>
      <c r="AF104" s="770">
        <v>-1</v>
      </c>
      <c r="AG104" s="771">
        <v>-1</v>
      </c>
      <c r="AH104" s="771">
        <v>-3</v>
      </c>
      <c r="AI104" s="772">
        <v>-3</v>
      </c>
      <c r="AJ104" s="770">
        <v>-3</v>
      </c>
      <c r="AK104" s="771">
        <v>-1</v>
      </c>
      <c r="AL104" s="771">
        <v>-3</v>
      </c>
      <c r="AM104" s="771">
        <v>-2</v>
      </c>
      <c r="AN104" s="770">
        <v>-1</v>
      </c>
      <c r="AO104" s="771">
        <v>-1</v>
      </c>
      <c r="AP104" s="771">
        <v>-5</v>
      </c>
      <c r="AQ104" s="771">
        <v>-4</v>
      </c>
      <c r="AR104" s="770">
        <v>-5</v>
      </c>
      <c r="AS104" s="771">
        <v>-34</v>
      </c>
      <c r="AT104" s="771">
        <v>-6</v>
      </c>
      <c r="AU104" s="771">
        <v>-8</v>
      </c>
      <c r="AV104" s="770">
        <v>0</v>
      </c>
      <c r="AW104" s="771">
        <v>0</v>
      </c>
      <c r="AX104" s="771">
        <v>0</v>
      </c>
      <c r="AY104" s="772">
        <v>0</v>
      </c>
      <c r="AZ104" s="246"/>
      <c r="BA104" s="764">
        <f>SUM(D104:G104)</f>
        <v>40</v>
      </c>
      <c r="BB104" s="764">
        <f>SUM(H104:K104)</f>
        <v>268</v>
      </c>
      <c r="BC104" s="764">
        <f>SUM(L104:O104)</f>
        <v>-74</v>
      </c>
      <c r="BD104" s="764">
        <f>SUM(P104:S104)</f>
        <v>86</v>
      </c>
      <c r="BE104" s="763">
        <f>SUM(T104:W104)</f>
        <v>77</v>
      </c>
      <c r="BF104" s="764">
        <f>SUM(X104:AA104)</f>
        <v>27</v>
      </c>
      <c r="BG104" s="764">
        <f>SUM(AB104:AE104)</f>
        <v>-58</v>
      </c>
      <c r="BH104" s="763">
        <f>SUM(AF104:AI104)</f>
        <v>-8</v>
      </c>
      <c r="BI104" s="763">
        <f>SUM(AJ104:AM104)</f>
        <v>-9</v>
      </c>
      <c r="BJ104" s="764">
        <f>SUM(AN104:AQ104)</f>
        <v>-11</v>
      </c>
      <c r="BK104" s="764">
        <f>SUM(AR104:AU104)</f>
        <v>-53</v>
      </c>
      <c r="BL104" s="764">
        <f>SUM(AV104:AY104)</f>
        <v>0</v>
      </c>
      <c r="BM104" s="764">
        <v>0</v>
      </c>
      <c r="BN104" s="765">
        <v>0</v>
      </c>
      <c r="BR104" s="1472"/>
    </row>
    <row r="105" spans="1:76" ht="14.25" hidden="1" customHeight="1" outlineLevel="1">
      <c r="A105" s="8"/>
      <c r="B105" s="782" t="s">
        <v>313</v>
      </c>
      <c r="C105" s="1537"/>
      <c r="D105" s="770">
        <v>6</v>
      </c>
      <c r="E105" s="771">
        <v>10</v>
      </c>
      <c r="F105" s="771">
        <v>15</v>
      </c>
      <c r="G105" s="772">
        <v>16</v>
      </c>
      <c r="H105" s="770">
        <v>12</v>
      </c>
      <c r="I105" s="771">
        <v>11</v>
      </c>
      <c r="J105" s="771">
        <v>7</v>
      </c>
      <c r="K105" s="772">
        <v>-4</v>
      </c>
      <c r="L105" s="770">
        <v>-10</v>
      </c>
      <c r="M105" s="771">
        <v>5</v>
      </c>
      <c r="N105" s="771">
        <v>10</v>
      </c>
      <c r="O105" s="772">
        <v>9</v>
      </c>
      <c r="P105" s="770">
        <v>9</v>
      </c>
      <c r="Q105" s="771">
        <v>12</v>
      </c>
      <c r="R105" s="771">
        <v>7</v>
      </c>
      <c r="S105" s="772">
        <v>22</v>
      </c>
      <c r="T105" s="770">
        <v>14</v>
      </c>
      <c r="U105" s="771">
        <v>13</v>
      </c>
      <c r="V105" s="771">
        <v>10</v>
      </c>
      <c r="W105" s="772">
        <v>9</v>
      </c>
      <c r="X105" s="770">
        <v>13</v>
      </c>
      <c r="Y105" s="771">
        <v>16</v>
      </c>
      <c r="Z105" s="771">
        <v>16</v>
      </c>
      <c r="AA105" s="772">
        <v>18</v>
      </c>
      <c r="AB105" s="770">
        <v>13</v>
      </c>
      <c r="AC105" s="771">
        <v>18</v>
      </c>
      <c r="AD105" s="771">
        <v>17</v>
      </c>
      <c r="AE105" s="772">
        <v>19</v>
      </c>
      <c r="AF105" s="770">
        <v>14</v>
      </c>
      <c r="AG105" s="771">
        <v>19</v>
      </c>
      <c r="AH105" s="771">
        <v>17</v>
      </c>
      <c r="AI105" s="772">
        <v>18</v>
      </c>
      <c r="AJ105" s="770">
        <v>17</v>
      </c>
      <c r="AK105" s="771">
        <v>21</v>
      </c>
      <c r="AL105" s="771">
        <v>18</v>
      </c>
      <c r="AM105" s="771">
        <v>17</v>
      </c>
      <c r="AN105" s="770">
        <v>11</v>
      </c>
      <c r="AO105" s="771">
        <v>14</v>
      </c>
      <c r="AP105" s="771">
        <v>17</v>
      </c>
      <c r="AQ105" s="771">
        <v>17</v>
      </c>
      <c r="AR105" s="770">
        <v>13</v>
      </c>
      <c r="AS105" s="771">
        <v>14</v>
      </c>
      <c r="AT105" s="771">
        <v>15</v>
      </c>
      <c r="AU105" s="771">
        <v>15</v>
      </c>
      <c r="AV105" s="1472">
        <f t="shared" ref="AV105" si="322">AU105</f>
        <v>15</v>
      </c>
      <c r="AW105" s="1789">
        <f t="shared" ref="AW105" si="323">AV105</f>
        <v>15</v>
      </c>
      <c r="AX105" s="1789">
        <f t="shared" ref="AX105" si="324">AW105</f>
        <v>15</v>
      </c>
      <c r="AY105" s="1790">
        <f t="shared" ref="AY105" si="325">AX105</f>
        <v>15</v>
      </c>
      <c r="AZ105" s="246"/>
      <c r="BA105" s="764">
        <f>SUM(D105:G105)</f>
        <v>47</v>
      </c>
      <c r="BB105" s="764">
        <f>SUM(H105:K105)</f>
        <v>26</v>
      </c>
      <c r="BC105" s="764">
        <f>SUM(L105:O105)</f>
        <v>14</v>
      </c>
      <c r="BD105" s="764">
        <f>SUM(P105:S105)</f>
        <v>50</v>
      </c>
      <c r="BE105" s="763">
        <f>SUM(T105:W105)</f>
        <v>46</v>
      </c>
      <c r="BF105" s="764">
        <f>SUM(X105:AA105)</f>
        <v>63</v>
      </c>
      <c r="BG105" s="764">
        <f>SUM(AB105:AE105)</f>
        <v>67</v>
      </c>
      <c r="BH105" s="763">
        <f>SUM(AF105:AI105)</f>
        <v>68</v>
      </c>
      <c r="BI105" s="763">
        <f>SUM(AJ105:AM105)</f>
        <v>73</v>
      </c>
      <c r="BJ105" s="764">
        <f>SUM(AN105:AQ105)</f>
        <v>59</v>
      </c>
      <c r="BK105" s="764">
        <f>SUM(AR105:AU105)</f>
        <v>57</v>
      </c>
      <c r="BL105" s="764">
        <f>SUM(AV105:AY105)</f>
        <v>60</v>
      </c>
      <c r="BM105" s="764">
        <f t="shared" ref="BM105:BN105" si="326">BL105</f>
        <v>60</v>
      </c>
      <c r="BN105" s="765">
        <f t="shared" si="326"/>
        <v>60</v>
      </c>
      <c r="BR105" s="1472"/>
    </row>
    <row r="106" spans="1:76" ht="14.25" hidden="1" customHeight="1" outlineLevel="1">
      <c r="A106" s="8"/>
      <c r="B106" s="782"/>
      <c r="C106" s="1537"/>
      <c r="D106" s="770"/>
      <c r="E106" s="771"/>
      <c r="F106" s="771"/>
      <c r="G106" s="772"/>
      <c r="H106" s="770"/>
      <c r="I106" s="771"/>
      <c r="J106" s="771"/>
      <c r="K106" s="772"/>
      <c r="L106" s="770"/>
      <c r="M106" s="771"/>
      <c r="N106" s="771"/>
      <c r="O106" s="772"/>
      <c r="P106" s="770"/>
      <c r="Q106" s="771"/>
      <c r="R106" s="771"/>
      <c r="S106" s="772"/>
      <c r="T106" s="770"/>
      <c r="U106" s="771"/>
      <c r="V106" s="771"/>
      <c r="W106" s="772"/>
      <c r="X106" s="770"/>
      <c r="Y106" s="771"/>
      <c r="Z106" s="771"/>
      <c r="AA106" s="772"/>
      <c r="AB106" s="770"/>
      <c r="AC106" s="771"/>
      <c r="AD106" s="771"/>
      <c r="AE106" s="772"/>
      <c r="AF106" s="770"/>
      <c r="AG106" s="771"/>
      <c r="AH106" s="771"/>
      <c r="AI106" s="772"/>
      <c r="AJ106" s="27"/>
      <c r="AK106" s="28"/>
      <c r="AL106" s="771"/>
      <c r="AM106" s="771"/>
      <c r="AN106" s="27"/>
      <c r="AO106" s="28"/>
      <c r="AP106" s="771"/>
      <c r="AQ106" s="771"/>
      <c r="AR106" s="27"/>
      <c r="AS106" s="28"/>
      <c r="AT106" s="771"/>
      <c r="AU106" s="771"/>
      <c r="AV106" s="770"/>
      <c r="AW106" s="771"/>
      <c r="AX106" s="771"/>
      <c r="AY106" s="772"/>
      <c r="AZ106" s="246"/>
      <c r="BA106" s="764"/>
      <c r="BB106" s="764"/>
      <c r="BC106" s="764"/>
      <c r="BD106" s="764"/>
      <c r="BE106" s="763"/>
      <c r="BF106" s="764"/>
      <c r="BG106" s="764"/>
      <c r="BH106" s="763"/>
      <c r="BI106" s="763"/>
      <c r="BJ106" s="764"/>
      <c r="BK106" s="764"/>
      <c r="BL106" s="764"/>
      <c r="BM106" s="764"/>
      <c r="BN106" s="765"/>
      <c r="BR106" s="1472"/>
    </row>
    <row r="107" spans="1:76" ht="14.25" hidden="1" customHeight="1" outlineLevel="1" collapsed="1">
      <c r="A107" s="8"/>
      <c r="B107" s="780" t="s">
        <v>493</v>
      </c>
      <c r="C107" s="1537"/>
      <c r="D107" s="767">
        <f t="shared" ref="D107:AI107" si="327">D100-D105</f>
        <v>-348</v>
      </c>
      <c r="E107" s="768">
        <f t="shared" si="327"/>
        <v>-359</v>
      </c>
      <c r="F107" s="768">
        <f t="shared" si="327"/>
        <v>-12</v>
      </c>
      <c r="G107" s="769">
        <f t="shared" si="327"/>
        <v>69</v>
      </c>
      <c r="H107" s="767">
        <f t="shared" si="327"/>
        <v>-78</v>
      </c>
      <c r="I107" s="768">
        <f t="shared" si="327"/>
        <v>-330</v>
      </c>
      <c r="J107" s="768">
        <f t="shared" si="327"/>
        <v>-2547</v>
      </c>
      <c r="K107" s="769">
        <f t="shared" si="327"/>
        <v>-645</v>
      </c>
      <c r="L107" s="767">
        <f t="shared" si="327"/>
        <v>-577</v>
      </c>
      <c r="M107" s="768">
        <f t="shared" si="327"/>
        <v>360</v>
      </c>
      <c r="N107" s="768">
        <f t="shared" si="327"/>
        <v>418</v>
      </c>
      <c r="O107" s="769">
        <f t="shared" si="327"/>
        <v>-368</v>
      </c>
      <c r="P107" s="767">
        <f t="shared" si="327"/>
        <v>-345</v>
      </c>
      <c r="Q107" s="768">
        <f t="shared" si="327"/>
        <v>-362</v>
      </c>
      <c r="R107" s="768">
        <f t="shared" si="327"/>
        <v>369</v>
      </c>
      <c r="S107" s="769">
        <f t="shared" si="327"/>
        <v>-118</v>
      </c>
      <c r="T107" s="767">
        <f t="shared" si="327"/>
        <v>187</v>
      </c>
      <c r="U107" s="768">
        <f t="shared" si="327"/>
        <v>84</v>
      </c>
      <c r="V107" s="768">
        <f t="shared" si="327"/>
        <v>301</v>
      </c>
      <c r="W107" s="769">
        <f t="shared" si="327"/>
        <v>-182</v>
      </c>
      <c r="X107" s="767">
        <f t="shared" si="327"/>
        <v>-24</v>
      </c>
      <c r="Y107" s="768">
        <f t="shared" si="327"/>
        <v>-90</v>
      </c>
      <c r="Z107" s="768">
        <f t="shared" si="327"/>
        <v>115</v>
      </c>
      <c r="AA107" s="769">
        <f t="shared" si="327"/>
        <v>-116</v>
      </c>
      <c r="AB107" s="767">
        <f t="shared" si="327"/>
        <v>-14</v>
      </c>
      <c r="AC107" s="768">
        <f t="shared" si="327"/>
        <v>111</v>
      </c>
      <c r="AD107" s="768">
        <f t="shared" si="327"/>
        <v>155</v>
      </c>
      <c r="AE107" s="769">
        <f t="shared" si="327"/>
        <v>96</v>
      </c>
      <c r="AF107" s="767">
        <f t="shared" si="327"/>
        <v>111</v>
      </c>
      <c r="AG107" s="768">
        <f t="shared" si="327"/>
        <v>159</v>
      </c>
      <c r="AH107" s="768">
        <f t="shared" si="327"/>
        <v>121</v>
      </c>
      <c r="AI107" s="769">
        <f t="shared" si="327"/>
        <v>149</v>
      </c>
      <c r="AJ107" s="767">
        <f>AJ100-AJ105</f>
        <v>-107</v>
      </c>
      <c r="AK107" s="768">
        <f>AK100-AK105</f>
        <v>300</v>
      </c>
      <c r="AL107" s="768">
        <f>AL100-AL105</f>
        <v>370</v>
      </c>
      <c r="AM107" s="768">
        <f t="shared" ref="AM107" si="328">AM100-AM105</f>
        <v>972</v>
      </c>
      <c r="AN107" s="767">
        <f>AN100-AN105</f>
        <v>-398</v>
      </c>
      <c r="AO107" s="768">
        <f>AO100-AO105</f>
        <v>-13</v>
      </c>
      <c r="AP107" s="768">
        <f>AP100-AP105</f>
        <v>91</v>
      </c>
      <c r="AQ107" s="768">
        <f t="shared" ref="AQ107" si="329">AQ100-AQ105</f>
        <v>128</v>
      </c>
      <c r="AR107" s="767">
        <f>AR100-AR105</f>
        <v>1305</v>
      </c>
      <c r="AS107" s="768">
        <f>AS100-AS105</f>
        <v>49</v>
      </c>
      <c r="AT107" s="768">
        <f>AT100-AT105</f>
        <v>108</v>
      </c>
      <c r="AU107" s="768">
        <f t="shared" ref="AU107" si="330">AU100-AU105</f>
        <v>753</v>
      </c>
      <c r="AV107" s="767">
        <f t="shared" ref="AV107:AY107" si="331">AV100-AV105</f>
        <v>520.1679174136807</v>
      </c>
      <c r="AW107" s="768">
        <f t="shared" si="331"/>
        <v>559.55137850645383</v>
      </c>
      <c r="AX107" s="768">
        <f t="shared" si="331"/>
        <v>607.32277888395765</v>
      </c>
      <c r="AY107" s="769">
        <f t="shared" si="331"/>
        <v>599.434759306822</v>
      </c>
      <c r="AZ107" s="246"/>
      <c r="BA107" s="768">
        <f t="shared" ref="BA107:BI107" si="332">BA100-BA105</f>
        <v>-650</v>
      </c>
      <c r="BB107" s="768">
        <f t="shared" si="332"/>
        <v>-3600</v>
      </c>
      <c r="BC107" s="768">
        <f t="shared" si="332"/>
        <v>-167</v>
      </c>
      <c r="BD107" s="768">
        <f t="shared" si="332"/>
        <v>-456</v>
      </c>
      <c r="BE107" s="767">
        <f t="shared" si="332"/>
        <v>390</v>
      </c>
      <c r="BF107" s="768">
        <f t="shared" si="332"/>
        <v>-115</v>
      </c>
      <c r="BG107" s="768">
        <f t="shared" si="332"/>
        <v>348</v>
      </c>
      <c r="BH107" s="767">
        <f t="shared" si="332"/>
        <v>540</v>
      </c>
      <c r="BI107" s="767">
        <f t="shared" si="332"/>
        <v>1535</v>
      </c>
      <c r="BJ107" s="768">
        <f>BJ100-BJ105</f>
        <v>-192</v>
      </c>
      <c r="BK107" s="768">
        <f t="shared" ref="BK107:BM107" si="333">BK100-BK105</f>
        <v>2215</v>
      </c>
      <c r="BL107" s="768">
        <f t="shared" si="333"/>
        <v>2286.4768341109138</v>
      </c>
      <c r="BM107" s="768">
        <f t="shared" si="333"/>
        <v>2494.1909622702915</v>
      </c>
      <c r="BN107" s="769">
        <f t="shared" ref="BN107" si="334">BN100-BN105</f>
        <v>2709.5070038472868</v>
      </c>
      <c r="BR107" s="1472"/>
    </row>
    <row r="108" spans="1:76" ht="14.25" hidden="1" customHeight="1" outlineLevel="1">
      <c r="A108" s="8"/>
      <c r="B108" s="780" t="s">
        <v>494</v>
      </c>
      <c r="C108" s="1537"/>
      <c r="D108" s="767">
        <f t="shared" ref="D108:AI108" si="335">D96-D105</f>
        <v>-348</v>
      </c>
      <c r="E108" s="768">
        <f t="shared" si="335"/>
        <v>-358</v>
      </c>
      <c r="F108" s="768">
        <f t="shared" si="335"/>
        <v>-6</v>
      </c>
      <c r="G108" s="769">
        <f t="shared" si="335"/>
        <v>102</v>
      </c>
      <c r="H108" s="767">
        <f t="shared" si="335"/>
        <v>-74</v>
      </c>
      <c r="I108" s="768">
        <f t="shared" si="335"/>
        <v>-323</v>
      </c>
      <c r="J108" s="768">
        <f t="shared" si="335"/>
        <v>-2538</v>
      </c>
      <c r="K108" s="769">
        <f t="shared" si="335"/>
        <v>-397</v>
      </c>
      <c r="L108" s="767">
        <f t="shared" si="335"/>
        <v>-291</v>
      </c>
      <c r="M108" s="768">
        <f t="shared" si="335"/>
        <v>-160</v>
      </c>
      <c r="N108" s="768">
        <f t="shared" si="335"/>
        <v>-65</v>
      </c>
      <c r="O108" s="769">
        <f t="shared" si="335"/>
        <v>-54</v>
      </c>
      <c r="P108" s="767">
        <f t="shared" si="335"/>
        <v>35</v>
      </c>
      <c r="Q108" s="768">
        <f t="shared" si="335"/>
        <v>74</v>
      </c>
      <c r="R108" s="768">
        <f t="shared" si="335"/>
        <v>94</v>
      </c>
      <c r="S108" s="769">
        <f t="shared" si="335"/>
        <v>95</v>
      </c>
      <c r="T108" s="767">
        <f t="shared" si="335"/>
        <v>117</v>
      </c>
      <c r="U108" s="768">
        <f t="shared" si="335"/>
        <v>130</v>
      </c>
      <c r="V108" s="768">
        <f t="shared" si="335"/>
        <v>126</v>
      </c>
      <c r="W108" s="769">
        <f t="shared" si="335"/>
        <v>59</v>
      </c>
      <c r="X108" s="767">
        <f t="shared" si="335"/>
        <v>48</v>
      </c>
      <c r="Y108" s="768">
        <f t="shared" si="335"/>
        <v>113</v>
      </c>
      <c r="Z108" s="768">
        <f t="shared" si="335"/>
        <v>142</v>
      </c>
      <c r="AA108" s="769">
        <f t="shared" si="335"/>
        <v>126</v>
      </c>
      <c r="AB108" s="767">
        <f t="shared" si="335"/>
        <v>169</v>
      </c>
      <c r="AC108" s="768">
        <f t="shared" si="335"/>
        <v>162</v>
      </c>
      <c r="AD108" s="768">
        <f t="shared" si="335"/>
        <v>199</v>
      </c>
      <c r="AE108" s="769">
        <f t="shared" si="335"/>
        <v>222</v>
      </c>
      <c r="AF108" s="767">
        <f t="shared" si="335"/>
        <v>221</v>
      </c>
      <c r="AG108" s="768">
        <f t="shared" si="335"/>
        <v>236</v>
      </c>
      <c r="AH108" s="768">
        <f t="shared" si="335"/>
        <v>300</v>
      </c>
      <c r="AI108" s="769">
        <f t="shared" si="335"/>
        <v>293</v>
      </c>
      <c r="AJ108" s="767">
        <f>AJ96-AJ105</f>
        <v>293</v>
      </c>
      <c r="AK108" s="768">
        <f>AK96-AK105</f>
        <v>315</v>
      </c>
      <c r="AL108" s="768">
        <f t="shared" ref="AL108:AM108" si="336">AL96-AL105</f>
        <v>346</v>
      </c>
      <c r="AM108" s="768">
        <f t="shared" si="336"/>
        <v>230</v>
      </c>
      <c r="AN108" s="767">
        <f>AN96-AN105</f>
        <v>302</v>
      </c>
      <c r="AO108" s="768">
        <f>AO96-AO105</f>
        <v>406</v>
      </c>
      <c r="AP108" s="768">
        <f t="shared" ref="AP108:AQ108" si="337">AP96-AP105</f>
        <v>491</v>
      </c>
      <c r="AQ108" s="768">
        <f t="shared" si="337"/>
        <v>521</v>
      </c>
      <c r="AR108" s="767">
        <f>AR96-AR105</f>
        <v>414</v>
      </c>
      <c r="AS108" s="768">
        <f>AS96-AS105</f>
        <v>453</v>
      </c>
      <c r="AT108" s="768">
        <f t="shared" ref="AT108:AU108" si="338">AT96-AT105</f>
        <v>572</v>
      </c>
      <c r="AU108" s="768">
        <f t="shared" si="338"/>
        <v>603</v>
      </c>
      <c r="AV108" s="767">
        <f t="shared" ref="AV108:AY108" si="339">AV96-AV105</f>
        <v>520.1679174136807</v>
      </c>
      <c r="AW108" s="768">
        <f t="shared" si="339"/>
        <v>559.55137850645383</v>
      </c>
      <c r="AX108" s="768">
        <f t="shared" si="339"/>
        <v>607.32277888395765</v>
      </c>
      <c r="AY108" s="769">
        <f t="shared" si="339"/>
        <v>599.434759306822</v>
      </c>
      <c r="AZ108" s="246"/>
      <c r="BA108" s="768">
        <f t="shared" ref="BA108:BI108" si="340">BA96-BA105</f>
        <v>-610</v>
      </c>
      <c r="BB108" s="768">
        <f t="shared" si="340"/>
        <v>-3332</v>
      </c>
      <c r="BC108" s="768">
        <f t="shared" si="340"/>
        <v>-570</v>
      </c>
      <c r="BD108" s="768">
        <f t="shared" si="340"/>
        <v>298</v>
      </c>
      <c r="BE108" s="767">
        <f t="shared" si="340"/>
        <v>432</v>
      </c>
      <c r="BF108" s="768">
        <f t="shared" si="340"/>
        <v>429</v>
      </c>
      <c r="BG108" s="768">
        <f t="shared" si="340"/>
        <v>752</v>
      </c>
      <c r="BH108" s="767">
        <f t="shared" si="340"/>
        <v>1050</v>
      </c>
      <c r="BI108" s="767">
        <f t="shared" si="340"/>
        <v>1184</v>
      </c>
      <c r="BJ108" s="768">
        <f>BJ96-BJ105</f>
        <v>1720</v>
      </c>
      <c r="BK108" s="768">
        <f t="shared" ref="BK108:BM108" si="341">BK96-BK105</f>
        <v>2042</v>
      </c>
      <c r="BL108" s="768">
        <f t="shared" si="341"/>
        <v>2286.4768341109138</v>
      </c>
      <c r="BM108" s="768">
        <f t="shared" si="341"/>
        <v>2494.1909622702915</v>
      </c>
      <c r="BN108" s="769">
        <f t="shared" ref="BN108" si="342">BN96-BN105</f>
        <v>2709.5070038472868</v>
      </c>
      <c r="BR108" s="1472"/>
    </row>
    <row r="109" spans="1:76" ht="14.25" hidden="1" customHeight="1" outlineLevel="1">
      <c r="A109" s="8"/>
      <c r="B109" s="451"/>
      <c r="C109" s="1537"/>
      <c r="D109" s="1498"/>
      <c r="E109" s="1505"/>
      <c r="F109" s="1505"/>
      <c r="G109" s="1491"/>
      <c r="H109" s="1498"/>
      <c r="I109" s="1505"/>
      <c r="J109" s="1505"/>
      <c r="K109" s="1491"/>
      <c r="L109" s="1498"/>
      <c r="M109" s="1505"/>
      <c r="N109" s="1505"/>
      <c r="O109" s="1491"/>
      <c r="P109" s="1498"/>
      <c r="Q109" s="1505"/>
      <c r="R109" s="1505"/>
      <c r="S109" s="1491"/>
      <c r="T109" s="1498"/>
      <c r="U109" s="1505"/>
      <c r="V109" s="1505"/>
      <c r="W109" s="1491"/>
      <c r="X109" s="1498"/>
      <c r="Y109" s="1505"/>
      <c r="Z109" s="1505"/>
      <c r="AA109" s="1491"/>
      <c r="AB109" s="1498"/>
      <c r="AC109" s="1505"/>
      <c r="AD109" s="1505"/>
      <c r="AE109" s="1491"/>
      <c r="AF109" s="1498"/>
      <c r="AG109" s="1505"/>
      <c r="AH109" s="1505"/>
      <c r="AI109" s="1491"/>
      <c r="AJ109" s="1498"/>
      <c r="AK109" s="1505"/>
      <c r="AL109" s="1505"/>
      <c r="AM109" s="1675"/>
      <c r="AN109" s="1676"/>
      <c r="AO109" s="1675"/>
      <c r="AP109" s="1744"/>
      <c r="AQ109" s="1744"/>
      <c r="AR109" s="1745"/>
      <c r="AS109" s="1744"/>
      <c r="AT109" s="1744"/>
      <c r="AU109" s="1744"/>
      <c r="AV109" s="1745"/>
      <c r="AW109" s="1744"/>
      <c r="AX109" s="1744"/>
      <c r="AY109" s="1775"/>
      <c r="AZ109" s="246"/>
      <c r="BA109" s="1505"/>
      <c r="BB109" s="1505"/>
      <c r="BC109" s="1505"/>
      <c r="BD109" s="1505"/>
      <c r="BE109" s="1676"/>
      <c r="BF109" s="1675"/>
      <c r="BG109" s="1675"/>
      <c r="BH109" s="1745"/>
      <c r="BI109" s="1745"/>
      <c r="BJ109" s="1744"/>
      <c r="BK109" s="1744"/>
      <c r="BL109" s="1744"/>
      <c r="BM109" s="1744"/>
      <c r="BN109" s="1491"/>
      <c r="BR109" s="1472"/>
    </row>
    <row r="110" spans="1:76" ht="14.25" customHeight="1" collapsed="1">
      <c r="A110" s="8"/>
      <c r="B110" s="776" t="s">
        <v>253</v>
      </c>
      <c r="C110" s="58"/>
      <c r="D110" s="52">
        <f t="shared" ref="D110:AK110" si="343">D107/D122</f>
        <v>-69.599999999999994</v>
      </c>
      <c r="E110" s="53">
        <f t="shared" si="343"/>
        <v>-71.8</v>
      </c>
      <c r="F110" s="53">
        <f t="shared" si="343"/>
        <v>-2.4</v>
      </c>
      <c r="G110" s="54">
        <f t="shared" si="343"/>
        <v>13.8</v>
      </c>
      <c r="H110" s="52">
        <f t="shared" si="343"/>
        <v>-0.43282836690527715</v>
      </c>
      <c r="I110" s="53">
        <f t="shared" si="343"/>
        <v>-1.8311969369069419</v>
      </c>
      <c r="J110" s="53">
        <f t="shared" si="343"/>
        <v>-14.133510903945396</v>
      </c>
      <c r="K110" s="54">
        <f t="shared" si="343"/>
        <v>-3.5791576494090225</v>
      </c>
      <c r="L110" s="52">
        <f t="shared" si="343"/>
        <v>-2.6805790422388642</v>
      </c>
      <c r="M110" s="53">
        <f t="shared" si="343"/>
        <v>1.6724583279133294</v>
      </c>
      <c r="N110" s="53">
        <f t="shared" si="343"/>
        <v>1.9313493108594504</v>
      </c>
      <c r="O110" s="54">
        <f t="shared" si="343"/>
        <v>-1.7096240685336257</v>
      </c>
      <c r="P110" s="52">
        <f t="shared" si="343"/>
        <v>-1.6027725642502739</v>
      </c>
      <c r="Q110" s="53">
        <f t="shared" si="343"/>
        <v>-1.6817497630684035</v>
      </c>
      <c r="R110" s="53">
        <f t="shared" si="343"/>
        <v>1.5456468469223197</v>
      </c>
      <c r="S110" s="54">
        <f t="shared" si="343"/>
        <v>-0.4715360085675695</v>
      </c>
      <c r="T110" s="52">
        <f t="shared" si="343"/>
        <v>0.72879195912529371</v>
      </c>
      <c r="U110" s="53">
        <f t="shared" si="343"/>
        <v>0.32777545820277593</v>
      </c>
      <c r="V110" s="53">
        <f t="shared" si="343"/>
        <v>1.2121553814061001</v>
      </c>
      <c r="W110" s="54">
        <f t="shared" si="343"/>
        <v>-0.73509810732432368</v>
      </c>
      <c r="X110" s="52">
        <f t="shared" si="343"/>
        <v>-9.6782388831312322E-2</v>
      </c>
      <c r="Y110" s="53">
        <f t="shared" si="343"/>
        <v>-0.36250563897660631</v>
      </c>
      <c r="Z110" s="53">
        <f t="shared" si="343"/>
        <v>0.45443768276298113</v>
      </c>
      <c r="AA110" s="54">
        <f t="shared" si="343"/>
        <v>-0.46679141264763285</v>
      </c>
      <c r="AB110" s="52">
        <f t="shared" si="343"/>
        <v>-5.6074466892032618E-2</v>
      </c>
      <c r="AC110" s="53">
        <f t="shared" si="343"/>
        <v>0.43484222278808299</v>
      </c>
      <c r="AD110" s="53">
        <f t="shared" si="343"/>
        <v>0.6036366185444958</v>
      </c>
      <c r="AE110" s="54">
        <f t="shared" si="343"/>
        <v>0.37476284538690363</v>
      </c>
      <c r="AF110" s="52">
        <f t="shared" si="343"/>
        <v>0.43500922924986379</v>
      </c>
      <c r="AG110" s="53">
        <f t="shared" si="343"/>
        <v>0.63568470038860725</v>
      </c>
      <c r="AH110" s="53">
        <f t="shared" si="343"/>
        <v>0.49077266274589332</v>
      </c>
      <c r="AI110" s="54">
        <f t="shared" si="343"/>
        <v>0.61341863557581067</v>
      </c>
      <c r="AJ110" s="52">
        <f t="shared" si="343"/>
        <v>-0.45899895331079804</v>
      </c>
      <c r="AK110" s="53">
        <f t="shared" si="343"/>
        <v>1.2331064417480517</v>
      </c>
      <c r="AL110" s="53">
        <f t="shared" ref="AL110:AM110" si="344">AL107/AL122</f>
        <v>1.5281552275299228</v>
      </c>
      <c r="AM110" s="53">
        <f t="shared" si="344"/>
        <v>3.5632457796433084</v>
      </c>
      <c r="AN110" s="52">
        <f>AN107/AN122</f>
        <v>-1.1643214463329725</v>
      </c>
      <c r="AO110" s="53">
        <f t="shared" ref="AO110:AQ110" si="345">AO107/AO122</f>
        <v>-3.8089768795103417E-2</v>
      </c>
      <c r="AP110" s="53">
        <f t="shared" si="345"/>
        <v>0.26425449740827317</v>
      </c>
      <c r="AQ110" s="53">
        <f t="shared" si="345"/>
        <v>0.37258474847618661</v>
      </c>
      <c r="AR110" s="52">
        <f>AR107/AR122</f>
        <v>3.7934833479162</v>
      </c>
      <c r="AS110" s="53">
        <f t="shared" ref="AS110:AU110" si="346">AS107/AS122</f>
        <v>0.14203598438183909</v>
      </c>
      <c r="AT110" s="53">
        <f t="shared" si="346"/>
        <v>0.31200166400887475</v>
      </c>
      <c r="AU110" s="53">
        <f t="shared" si="346"/>
        <v>2.168928727792244</v>
      </c>
      <c r="AV110" s="52">
        <f t="shared" ref="AV110:AY110" si="347">AV107/AV122</f>
        <v>1.4982830535914946</v>
      </c>
      <c r="AW110" s="53">
        <f t="shared" si="347"/>
        <v>1.6117225226007956</v>
      </c>
      <c r="AX110" s="53">
        <f t="shared" si="347"/>
        <v>1.7493224729934029</v>
      </c>
      <c r="AY110" s="54">
        <f t="shared" si="347"/>
        <v>1.7266019520555052</v>
      </c>
      <c r="AZ110" s="246"/>
      <c r="BA110" s="53">
        <f t="shared" ref="BA110:BI110" si="348">BA107/BA122</f>
        <v>-130</v>
      </c>
      <c r="BB110" s="53">
        <f t="shared" si="348"/>
        <v>-19.976693857166637</v>
      </c>
      <c r="BC110" s="53">
        <f>BC107/BC122</f>
        <v>-0.68675458084838858</v>
      </c>
      <c r="BD110" s="53">
        <f t="shared" si="348"/>
        <v>-1.9837191471312745</v>
      </c>
      <c r="BE110" s="52">
        <f t="shared" si="348"/>
        <v>1.5464438730092012</v>
      </c>
      <c r="BF110" s="53">
        <f t="shared" si="348"/>
        <v>-0.46100683893623678</v>
      </c>
      <c r="BG110" s="53">
        <f t="shared" si="348"/>
        <v>1.3675589858056807</v>
      </c>
      <c r="BH110" s="52">
        <f t="shared" si="348"/>
        <v>2.1714173122276934</v>
      </c>
      <c r="BI110" s="52">
        <f t="shared" si="348"/>
        <v>6.1938180853435494</v>
      </c>
      <c r="BJ110" s="53">
        <f t="shared" ref="BJ110:BM110" si="349">BJ107/BJ122</f>
        <v>-0.56015871163496322</v>
      </c>
      <c r="BK110" s="53">
        <f t="shared" si="349"/>
        <v>6.4095051659454167</v>
      </c>
      <c r="BL110" s="53">
        <f t="shared" si="349"/>
        <v>6.5859300012411977</v>
      </c>
      <c r="BM110" s="53">
        <f t="shared" si="349"/>
        <v>7.1842263355482281</v>
      </c>
      <c r="BN110" s="54">
        <f t="shared" ref="BN110" si="350">BN107/BN122</f>
        <v>7.8044190953501591</v>
      </c>
      <c r="BR110" s="1472"/>
    </row>
    <row r="111" spans="1:76" ht="14.25" hidden="1" customHeight="1" outlineLevel="1">
      <c r="A111" s="8"/>
      <c r="B111" s="776" t="s">
        <v>246</v>
      </c>
      <c r="C111" s="58"/>
      <c r="D111" s="52"/>
      <c r="E111" s="53"/>
      <c r="F111" s="53"/>
      <c r="G111" s="54"/>
      <c r="H111" s="52"/>
      <c r="I111" s="53"/>
      <c r="J111" s="53"/>
      <c r="K111" s="54"/>
      <c r="L111" s="52"/>
      <c r="M111" s="53"/>
      <c r="N111" s="53"/>
      <c r="O111" s="54"/>
      <c r="P111" s="52"/>
      <c r="Q111" s="53"/>
      <c r="R111" s="53"/>
      <c r="S111" s="54"/>
      <c r="T111" s="52"/>
      <c r="U111" s="53"/>
      <c r="V111" s="53"/>
      <c r="W111" s="54"/>
      <c r="X111" s="52"/>
      <c r="Y111" s="53"/>
      <c r="Z111" s="53"/>
      <c r="AA111" s="54"/>
      <c r="AB111" s="52"/>
      <c r="AC111" s="53"/>
      <c r="AD111" s="53"/>
      <c r="AE111" s="54"/>
      <c r="AF111" s="52"/>
      <c r="AG111" s="53"/>
      <c r="AH111" s="53"/>
      <c r="AI111" s="54"/>
      <c r="AJ111" s="52"/>
      <c r="AK111" s="53"/>
      <c r="AL111" s="53"/>
      <c r="AM111" s="53"/>
      <c r="AN111" s="52"/>
      <c r="AO111" s="53"/>
      <c r="AP111" s="53"/>
      <c r="AQ111" s="53"/>
      <c r="AR111" s="52"/>
      <c r="AS111" s="53"/>
      <c r="AT111" s="53"/>
      <c r="AU111" s="53"/>
      <c r="AV111" s="52"/>
      <c r="AW111" s="53"/>
      <c r="AX111" s="53"/>
      <c r="AY111" s="54"/>
      <c r="AZ111" s="246"/>
      <c r="BA111" s="53"/>
      <c r="BB111" s="53"/>
      <c r="BC111" s="53"/>
      <c r="BD111" s="53"/>
      <c r="BE111" s="52"/>
      <c r="BF111" s="53"/>
      <c r="BG111" s="53"/>
      <c r="BH111" s="52"/>
      <c r="BI111" s="52"/>
      <c r="BJ111" s="53"/>
      <c r="BK111" s="53"/>
      <c r="BL111" s="53"/>
      <c r="BM111" s="53"/>
      <c r="BN111" s="54"/>
      <c r="BR111" s="1472"/>
    </row>
    <row r="112" spans="1:76" ht="14.25" customHeight="1" collapsed="1">
      <c r="B112" s="780" t="s">
        <v>69</v>
      </c>
      <c r="C112" s="1538"/>
      <c r="D112" s="1172">
        <f t="shared" ref="D112:AK112" si="351">D108/D123</f>
        <v>-69.599999999999994</v>
      </c>
      <c r="E112" s="1173">
        <f t="shared" si="351"/>
        <v>-71.599999999999994</v>
      </c>
      <c r="F112" s="1173">
        <f t="shared" si="351"/>
        <v>-1.2</v>
      </c>
      <c r="G112" s="1174">
        <f t="shared" si="351"/>
        <v>20.399999999999999</v>
      </c>
      <c r="H112" s="1172">
        <f t="shared" si="351"/>
        <v>-0.41063204039731421</v>
      </c>
      <c r="I112" s="1173">
        <f t="shared" si="351"/>
        <v>-1.7923533655180066</v>
      </c>
      <c r="J112" s="1173">
        <f t="shared" si="351"/>
        <v>-14.08356916930248</v>
      </c>
      <c r="K112" s="1174">
        <f t="shared" si="351"/>
        <v>-2.2029854059153209</v>
      </c>
      <c r="L112" s="1172">
        <f t="shared" si="351"/>
        <v>-1.3519038150632745</v>
      </c>
      <c r="M112" s="1173">
        <f t="shared" si="351"/>
        <v>-0.74331481240592423</v>
      </c>
      <c r="N112" s="1173">
        <f t="shared" si="351"/>
        <v>-0.30032943829154135</v>
      </c>
      <c r="O112" s="1174">
        <f t="shared" si="351"/>
        <v>-0.25086874918699942</v>
      </c>
      <c r="P112" s="1172">
        <f t="shared" si="351"/>
        <v>0.16260011521379591</v>
      </c>
      <c r="Q112" s="1173">
        <f t="shared" si="351"/>
        <v>0.34378310073773993</v>
      </c>
      <c r="R112" s="1173">
        <f t="shared" si="351"/>
        <v>0.39374201520514374</v>
      </c>
      <c r="S112" s="1174">
        <f t="shared" si="351"/>
        <v>0.3743680076922774</v>
      </c>
      <c r="T112" s="1172">
        <f t="shared" si="351"/>
        <v>0.45598213485379341</v>
      </c>
      <c r="U112" s="1173">
        <f t="shared" si="351"/>
        <v>0.50727154245667705</v>
      </c>
      <c r="V112" s="1173">
        <f t="shared" si="351"/>
        <v>0.50105380363462837</v>
      </c>
      <c r="W112" s="1174">
        <f t="shared" si="351"/>
        <v>0.23608026729087891</v>
      </c>
      <c r="X112" s="1172">
        <f t="shared" si="351"/>
        <v>0.18984037588394426</v>
      </c>
      <c r="Y112" s="1173">
        <f t="shared" si="351"/>
        <v>0.44595815886371437</v>
      </c>
      <c r="Z112" s="1173">
        <f t="shared" si="351"/>
        <v>0.55905511811023623</v>
      </c>
      <c r="AA112" s="1174">
        <f t="shared" si="351"/>
        <v>0.49610400859913611</v>
      </c>
      <c r="AB112" s="1172">
        <f t="shared" si="351"/>
        <v>0.65548337050324834</v>
      </c>
      <c r="AC112" s="1173">
        <f t="shared" si="351"/>
        <v>0.63463459542044542</v>
      </c>
      <c r="AD112" s="1173">
        <f t="shared" si="351"/>
        <v>0.77499152961519147</v>
      </c>
      <c r="AE112" s="1174">
        <f t="shared" si="351"/>
        <v>0.86663907995721468</v>
      </c>
      <c r="AF112" s="1172">
        <f t="shared" si="351"/>
        <v>0.86609945643441355</v>
      </c>
      <c r="AG112" s="1173">
        <f t="shared" si="351"/>
        <v>0.94353200812397053</v>
      </c>
      <c r="AH112" s="1173">
        <f t="shared" si="351"/>
        <v>1.2167917258162644</v>
      </c>
      <c r="AI112" s="1174">
        <f t="shared" si="351"/>
        <v>1.2062527531792788</v>
      </c>
      <c r="AJ112" s="1172">
        <f t="shared" si="351"/>
        <v>1.2041458783689372</v>
      </c>
      <c r="AK112" s="1173">
        <f t="shared" si="351"/>
        <v>1.2947617638354543</v>
      </c>
      <c r="AL112" s="1173">
        <f t="shared" ref="AL112:AO112" si="352">AL108/AL123</f>
        <v>1.4290316452036576</v>
      </c>
      <c r="AM112" s="1173">
        <f t="shared" si="352"/>
        <v>0.84315486555345776</v>
      </c>
      <c r="AN112" s="1172">
        <f t="shared" si="352"/>
        <v>0.86030817264276993</v>
      </c>
      <c r="AO112" s="1173">
        <f t="shared" si="352"/>
        <v>1.1621150493898895</v>
      </c>
      <c r="AP112" s="1173">
        <f t="shared" ref="AP112:AQ112" si="353">AP108/AP123</f>
        <v>1.4258127277743091</v>
      </c>
      <c r="AQ112" s="1173">
        <f t="shared" si="353"/>
        <v>1.5165363590319783</v>
      </c>
      <c r="AR112" s="1172">
        <f>AR108/AR123</f>
        <v>1.20344988968376</v>
      </c>
      <c r="AS112" s="1173">
        <f t="shared" ref="AS112:AU112" si="354">AS108/AS123</f>
        <v>1.3131081821423085</v>
      </c>
      <c r="AT112" s="1173">
        <f t="shared" si="354"/>
        <v>1.6524532575284847</v>
      </c>
      <c r="AU112" s="1173">
        <f t="shared" si="354"/>
        <v>1.7368712122957808</v>
      </c>
      <c r="AV112" s="1172">
        <f t="shared" ref="AV112:AY112" si="355">AV108/AV123</f>
        <v>1.4982830535914946</v>
      </c>
      <c r="AW112" s="1173">
        <f t="shared" si="355"/>
        <v>1.6117225226007956</v>
      </c>
      <c r="AX112" s="1173">
        <f t="shared" si="355"/>
        <v>1.7493224729934029</v>
      </c>
      <c r="AY112" s="1174">
        <f t="shared" si="355"/>
        <v>1.7266019520555052</v>
      </c>
      <c r="AZ112" s="1468"/>
      <c r="BA112" s="1173">
        <f t="shared" ref="BA112:BI112" si="356">BA108/BA123</f>
        <v>-122</v>
      </c>
      <c r="BB112" s="1173">
        <f t="shared" si="356"/>
        <v>-18.48953998113312</v>
      </c>
      <c r="BC112" s="1173">
        <f t="shared" ref="BC112" si="357">BC108/BC123</f>
        <v>-2.3196639336006371</v>
      </c>
      <c r="BD112" s="1173">
        <f t="shared" si="356"/>
        <v>1.2914409534127844</v>
      </c>
      <c r="BE112" s="1172">
        <f t="shared" si="356"/>
        <v>1.7037270014108987</v>
      </c>
      <c r="BF112" s="1173">
        <f t="shared" si="356"/>
        <v>1.6919572869524062</v>
      </c>
      <c r="BG112" s="1173">
        <f t="shared" si="356"/>
        <v>2.9316910145814594</v>
      </c>
      <c r="BH112" s="1172">
        <f t="shared" si="356"/>
        <v>4.2222003293316259</v>
      </c>
      <c r="BI112" s="1172">
        <f t="shared" si="356"/>
        <v>4.7288074838171132</v>
      </c>
      <c r="BJ112" s="1173">
        <f t="shared" ref="BJ112:BM112" si="358">BJ108/BJ123</f>
        <v>4.9556619518249159</v>
      </c>
      <c r="BK112" s="1173">
        <f t="shared" si="358"/>
        <v>5.9088982161898604</v>
      </c>
      <c r="BL112" s="1173">
        <f t="shared" si="358"/>
        <v>6.5859300012411977</v>
      </c>
      <c r="BM112" s="1173">
        <f t="shared" si="358"/>
        <v>7.1842263355482281</v>
      </c>
      <c r="BN112" s="1174">
        <f t="shared" ref="BN112" si="359">BN108/BN123</f>
        <v>7.8044190953501591</v>
      </c>
      <c r="BR112" s="1472"/>
    </row>
    <row r="113" spans="1:76" s="8" customFormat="1" ht="14.25" customHeight="1">
      <c r="B113" s="55" t="s">
        <v>410</v>
      </c>
      <c r="C113" s="61"/>
      <c r="D113" s="102"/>
      <c r="E113" s="103"/>
      <c r="F113" s="103"/>
      <c r="G113" s="104"/>
      <c r="H113" s="102"/>
      <c r="I113" s="103"/>
      <c r="J113" s="103"/>
      <c r="K113" s="104"/>
      <c r="L113" s="102"/>
      <c r="M113" s="103"/>
      <c r="N113" s="103"/>
      <c r="O113" s="104"/>
      <c r="P113" s="102"/>
      <c r="Q113" s="906"/>
      <c r="R113" s="906"/>
      <c r="S113" s="907"/>
      <c r="T113" s="905"/>
      <c r="U113" s="906"/>
      <c r="V113" s="906"/>
      <c r="W113" s="907"/>
      <c r="X113" s="905">
        <f t="shared" ref="X113:AK113" si="360">+X139/X123</f>
        <v>0.18984037588394426</v>
      </c>
      <c r="Y113" s="906">
        <f t="shared" si="360"/>
        <v>0.44595815886371437</v>
      </c>
      <c r="Z113" s="906">
        <f t="shared" si="360"/>
        <v>0.55905511811023623</v>
      </c>
      <c r="AA113" s="907">
        <f t="shared" si="360"/>
        <v>0.49610400859913611</v>
      </c>
      <c r="AB113" s="905">
        <f t="shared" si="360"/>
        <v>0.72141956753611947</v>
      </c>
      <c r="AC113" s="906">
        <f t="shared" si="360"/>
        <v>0.71298454547235235</v>
      </c>
      <c r="AD113" s="906">
        <f t="shared" si="360"/>
        <v>0.85288012555641668</v>
      </c>
      <c r="AE113" s="907">
        <f t="shared" si="360"/>
        <v>0.98765624878006897</v>
      </c>
      <c r="AF113" s="905">
        <f t="shared" si="360"/>
        <v>0.97583151426320802</v>
      </c>
      <c r="AG113" s="906">
        <f t="shared" si="360"/>
        <v>1.0914586365162879</v>
      </c>
      <c r="AH113" s="906">
        <f t="shared" si="360"/>
        <v>1.354694788075441</v>
      </c>
      <c r="AI113" s="907">
        <f t="shared" si="360"/>
        <v>1.3462274753912087</v>
      </c>
      <c r="AJ113" s="905">
        <f t="shared" si="360"/>
        <v>1.3479858297099365</v>
      </c>
      <c r="AK113" s="906">
        <f t="shared" si="360"/>
        <v>1.4427345368452205</v>
      </c>
      <c r="AL113" s="906">
        <f t="shared" ref="AL113:AO113" si="361">+AL139/AL123</f>
        <v>1.5694567201658667</v>
      </c>
      <c r="AM113" s="906">
        <f t="shared" si="361"/>
        <v>1.2500687354509961</v>
      </c>
      <c r="AN113" s="905">
        <f t="shared" si="361"/>
        <v>1.142329725926327</v>
      </c>
      <c r="AO113" s="906">
        <f t="shared" si="361"/>
        <v>1.391103236461789</v>
      </c>
      <c r="AP113" s="906">
        <f t="shared" ref="AP113" si="362">+AP139/AP123</f>
        <v>1.6494126871197712</v>
      </c>
      <c r="AQ113" s="906">
        <f>+AQ139/AQ123</f>
        <v>1.7552234635245354</v>
      </c>
      <c r="AR113" s="905">
        <f>+AR139/AR123</f>
        <v>1.4011179875062134</v>
      </c>
      <c r="AS113" s="906">
        <f t="shared" ref="AS113:AT113" si="363">+AS139/AS123</f>
        <v>1.5073206505827823</v>
      </c>
      <c r="AT113" s="906">
        <f t="shared" si="363"/>
        <v>1.8488987496822207</v>
      </c>
      <c r="AU113" s="906">
        <f>+AU139/AU123</f>
        <v>1.9615411203539417</v>
      </c>
      <c r="AV113" s="905">
        <f t="shared" ref="AV113:AY113" si="364">+AV139/AV123</f>
        <v>1.7229529616496553</v>
      </c>
      <c r="AW113" s="906">
        <f t="shared" si="364"/>
        <v>1.8363924306589565</v>
      </c>
      <c r="AX113" s="906">
        <f t="shared" si="364"/>
        <v>1.9739923810515636</v>
      </c>
      <c r="AY113" s="907">
        <f t="shared" si="364"/>
        <v>1.9512718601136658</v>
      </c>
      <c r="AZ113" s="246"/>
      <c r="BA113" s="53">
        <f t="shared" ref="BA113:BI113" si="365">+BA139/BA123</f>
        <v>0</v>
      </c>
      <c r="BB113" s="53">
        <f t="shared" si="365"/>
        <v>-18.48953998113312</v>
      </c>
      <c r="BC113" s="53">
        <f t="shared" ref="BC113" si="366">+BC139/BC123</f>
        <v>-2.3196639336006371</v>
      </c>
      <c r="BD113" s="53">
        <f t="shared" si="365"/>
        <v>1.2914409534127844</v>
      </c>
      <c r="BE113" s="905">
        <f t="shared" si="365"/>
        <v>1.7037270014108987</v>
      </c>
      <c r="BF113" s="906">
        <f t="shared" si="365"/>
        <v>1.6919572869524062</v>
      </c>
      <c r="BG113" s="906">
        <f t="shared" si="365"/>
        <v>3.2747612396920553</v>
      </c>
      <c r="BH113" s="905">
        <f t="shared" si="365"/>
        <v>4.7570123710469652</v>
      </c>
      <c r="BI113" s="905">
        <f t="shared" si="365"/>
        <v>5.5914953355945594</v>
      </c>
      <c r="BJ113" s="906">
        <f t="shared" ref="BJ113:BM113" si="367">+BJ139/BJ123</f>
        <v>5.9295071493346958</v>
      </c>
      <c r="BK113" s="906">
        <f>+BK139/BK123</f>
        <v>6.722022799318828</v>
      </c>
      <c r="BL113" s="906">
        <f t="shared" si="367"/>
        <v>7.4846096334738412</v>
      </c>
      <c r="BM113" s="906">
        <f t="shared" si="367"/>
        <v>8.0829059677808708</v>
      </c>
      <c r="BN113" s="907">
        <f t="shared" ref="BN113" si="368">+BN139/BN123</f>
        <v>8.7030987275828018</v>
      </c>
      <c r="BO113" s="1802"/>
      <c r="BP113" s="1802"/>
      <c r="BQ113" s="1802"/>
      <c r="BR113" s="1928"/>
      <c r="BS113"/>
      <c r="BT113"/>
      <c r="BU113"/>
      <c r="BV113"/>
      <c r="BW113"/>
      <c r="BX113"/>
    </row>
    <row r="114" spans="1:76" s="8" customFormat="1" ht="14.25" customHeight="1">
      <c r="B114" s="58"/>
      <c r="C114" s="58"/>
      <c r="D114" s="98"/>
      <c r="E114" s="98"/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  <c r="AH114" s="98"/>
      <c r="AI114" s="98"/>
      <c r="AJ114" s="98"/>
      <c r="AK114" s="98"/>
      <c r="AL114" s="53"/>
      <c r="AM114" s="98"/>
      <c r="AN114" s="98"/>
      <c r="AO114" s="98"/>
      <c r="AP114" s="53"/>
      <c r="AQ114" s="98"/>
      <c r="AR114" s="98"/>
      <c r="AS114" s="1816"/>
      <c r="AT114" s="1696"/>
      <c r="AU114" s="1696"/>
      <c r="AV114" s="1693"/>
      <c r="AW114" s="1693"/>
      <c r="AX114" s="1693"/>
      <c r="AY114" s="1693"/>
      <c r="AZ114" s="14"/>
      <c r="BA114" s="53"/>
      <c r="BB114" s="53"/>
      <c r="BC114" s="53"/>
      <c r="BD114" s="53"/>
      <c r="BE114" s="53"/>
      <c r="BF114" s="53"/>
      <c r="BG114" s="53"/>
      <c r="BH114" s="53"/>
      <c r="BI114" s="53"/>
      <c r="BJ114" s="1684"/>
      <c r="BK114" s="1851"/>
      <c r="BL114" s="1851"/>
      <c r="BM114" s="1851"/>
      <c r="BN114" s="1941">
        <f>(BM112/BK112)^(1/2)-1</f>
        <v>0.1026476304070465</v>
      </c>
      <c r="BO114" s="1851"/>
      <c r="BP114" s="1851"/>
      <c r="BQ114" s="1851"/>
      <c r="BR114" s="1851"/>
      <c r="BS114"/>
      <c r="BT114"/>
      <c r="BU114"/>
      <c r="BV114"/>
      <c r="BW114"/>
      <c r="BX114"/>
    </row>
    <row r="115" spans="1:76" s="8" customFormat="1" ht="14.25" customHeight="1">
      <c r="B115" s="58"/>
      <c r="C115" s="5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  <c r="AH115" s="98"/>
      <c r="AI115" s="98"/>
      <c r="AJ115" s="98"/>
      <c r="AK115" s="98"/>
      <c r="AL115" s="53"/>
      <c r="AM115" s="98"/>
      <c r="AN115" s="1693"/>
      <c r="AO115" s="98"/>
      <c r="AP115" s="53"/>
      <c r="AQ115" s="98"/>
      <c r="AR115" s="1693"/>
      <c r="AS115" s="1693"/>
      <c r="AT115" s="1693"/>
      <c r="AU115" s="1693"/>
      <c r="AV115" s="1693"/>
      <c r="AW115" s="1693"/>
      <c r="AX115" s="1693"/>
      <c r="AY115" s="1693"/>
      <c r="AZ115" s="1693"/>
      <c r="BA115" s="1693"/>
      <c r="BB115" s="1693"/>
      <c r="BC115" s="1693"/>
      <c r="BD115" s="1693"/>
      <c r="BE115" s="1693"/>
      <c r="BF115" s="1693"/>
      <c r="BG115" s="1693"/>
      <c r="BH115" s="1693"/>
      <c r="BI115" s="1693"/>
      <c r="BJ115" s="1693"/>
      <c r="BK115" s="1896"/>
      <c r="BL115" s="1896"/>
      <c r="BM115" s="1896">
        <f>127.5/BM112</f>
        <v>17.747213693577276</v>
      </c>
      <c r="BN115" s="1896"/>
      <c r="BS115"/>
      <c r="BT115"/>
      <c r="BU115"/>
      <c r="BV115"/>
      <c r="BW115"/>
      <c r="BX115"/>
    </row>
    <row r="116" spans="1:76" s="8" customFormat="1" ht="14.25" customHeight="1">
      <c r="B116" s="58"/>
      <c r="C116" s="58"/>
      <c r="D116" s="98"/>
      <c r="E116" s="98"/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  <c r="AH116" s="98"/>
      <c r="AI116" s="98"/>
      <c r="AJ116" s="98"/>
      <c r="AK116" s="98"/>
      <c r="AL116" s="53"/>
      <c r="AM116" s="98"/>
      <c r="AN116" s="98"/>
      <c r="AO116" s="98"/>
      <c r="AP116" s="53"/>
      <c r="AQ116" s="98"/>
      <c r="AR116" s="98"/>
      <c r="AS116" s="53"/>
      <c r="AT116" s="53"/>
      <c r="AU116" s="53"/>
      <c r="AV116" s="1475"/>
      <c r="AW116" s="53"/>
      <c r="AX116" s="53"/>
      <c r="AY116" s="53"/>
      <c r="AZ116" s="14"/>
      <c r="BA116" s="53"/>
      <c r="BB116" s="53"/>
      <c r="BC116" s="53"/>
      <c r="BD116" s="53"/>
      <c r="BE116" s="53"/>
      <c r="BF116" s="53"/>
      <c r="BG116" s="53"/>
      <c r="BH116" s="53"/>
      <c r="BI116" s="53"/>
      <c r="BJ116" s="1707"/>
      <c r="BK116" s="1851"/>
      <c r="BL116" s="1851"/>
      <c r="BM116" s="1940">
        <f>127.5*AV123</f>
        <v>44264.939999999995</v>
      </c>
      <c r="BN116" s="1940">
        <f>BM116+BS!AU95</f>
        <v>47282.939999999995</v>
      </c>
      <c r="BS116"/>
      <c r="BT116"/>
      <c r="BU116"/>
      <c r="BV116"/>
      <c r="BW116"/>
      <c r="BX116"/>
    </row>
    <row r="117" spans="1:76" ht="14.25" customHeight="1">
      <c r="A117" s="8"/>
      <c r="B117" s="58"/>
      <c r="C117" s="58"/>
      <c r="D117" s="40"/>
      <c r="E117" s="40"/>
      <c r="F117" s="40"/>
      <c r="G117" s="40"/>
      <c r="H117" s="40"/>
      <c r="I117" s="40"/>
      <c r="J117" s="40"/>
      <c r="K117" s="40"/>
      <c r="L117" s="330"/>
      <c r="M117" s="330"/>
      <c r="N117" s="330"/>
      <c r="O117" s="330"/>
      <c r="P117" s="330"/>
      <c r="Q117" s="330"/>
      <c r="R117" s="330"/>
      <c r="S117" s="330"/>
      <c r="T117" s="330"/>
      <c r="U117" s="330"/>
      <c r="V117" s="330"/>
      <c r="W117" s="330"/>
      <c r="X117" s="330"/>
      <c r="Y117" s="330"/>
      <c r="Z117" s="330"/>
      <c r="AA117" s="330"/>
      <c r="AB117" s="330"/>
      <c r="AC117" s="330"/>
      <c r="AD117" s="330"/>
      <c r="AE117" s="330"/>
      <c r="AF117" s="330"/>
      <c r="AG117" s="40"/>
      <c r="AH117" s="40"/>
      <c r="AI117" s="40"/>
      <c r="AJ117" s="330"/>
      <c r="AK117" s="40"/>
      <c r="AL117" s="40"/>
      <c r="AM117" s="40"/>
      <c r="AN117" s="330"/>
      <c r="AO117" s="40"/>
      <c r="AP117" s="40"/>
      <c r="AQ117" s="40"/>
      <c r="AR117" s="330"/>
      <c r="AS117" s="40"/>
      <c r="AT117" s="40"/>
      <c r="AU117" s="1502"/>
      <c r="AV117" s="40"/>
      <c r="AW117" s="40"/>
      <c r="AX117" s="40"/>
      <c r="AY117" s="1502"/>
      <c r="AZ117" s="14"/>
      <c r="BA117" s="330"/>
      <c r="BB117" s="330"/>
      <c r="BC117" s="330"/>
      <c r="BD117" s="330"/>
      <c r="BE117" s="330"/>
      <c r="BF117" s="330"/>
      <c r="BG117" s="330"/>
      <c r="BH117" s="330"/>
      <c r="BI117" s="330"/>
      <c r="BJ117" s="1693"/>
      <c r="BK117" s="1896"/>
      <c r="BL117" s="1896"/>
      <c r="BM117" s="1896">
        <f>BM70+BM142</f>
        <v>3681.9897298526039</v>
      </c>
      <c r="BN117" s="1896">
        <f>BN116/BM117</f>
        <v>12.841681663759775</v>
      </c>
    </row>
    <row r="118" spans="1:76" ht="14.25" customHeight="1">
      <c r="A118" s="8"/>
      <c r="B118" s="1450" t="s">
        <v>386</v>
      </c>
      <c r="C118" s="902"/>
      <c r="D118" s="17" t="str">
        <f t="shared" ref="D118:AY118" si="369">+D$7</f>
        <v>F1Q07A</v>
      </c>
      <c r="E118" s="18" t="str">
        <f t="shared" si="369"/>
        <v>F2Q07A</v>
      </c>
      <c r="F118" s="18" t="str">
        <f t="shared" si="369"/>
        <v>F3Q07A</v>
      </c>
      <c r="G118" s="19" t="str">
        <f t="shared" si="369"/>
        <v>F4Q07A</v>
      </c>
      <c r="H118" s="17" t="str">
        <f t="shared" si="369"/>
        <v>F1Q08A</v>
      </c>
      <c r="I118" s="18" t="str">
        <f t="shared" si="369"/>
        <v>F2Q08A</v>
      </c>
      <c r="J118" s="18" t="str">
        <f t="shared" si="369"/>
        <v>F3Q08A</v>
      </c>
      <c r="K118" s="19" t="str">
        <f t="shared" si="369"/>
        <v>F4Q08A</v>
      </c>
      <c r="L118" s="17" t="str">
        <f t="shared" si="369"/>
        <v>F1Q09A</v>
      </c>
      <c r="M118" s="18" t="str">
        <f t="shared" si="369"/>
        <v>F2Q09A</v>
      </c>
      <c r="N118" s="18" t="str">
        <f t="shared" si="369"/>
        <v>F3Q09A</v>
      </c>
      <c r="O118" s="19" t="str">
        <f t="shared" si="369"/>
        <v>F4Q09A</v>
      </c>
      <c r="P118" s="17" t="str">
        <f t="shared" si="369"/>
        <v>F1Q10A</v>
      </c>
      <c r="Q118" s="18" t="str">
        <f t="shared" si="369"/>
        <v>F2Q10A</v>
      </c>
      <c r="R118" s="18" t="str">
        <f t="shared" si="369"/>
        <v>F3Q10A</v>
      </c>
      <c r="S118" s="19" t="str">
        <f t="shared" si="369"/>
        <v>F4Q10A</v>
      </c>
      <c r="T118" s="17" t="str">
        <f t="shared" si="369"/>
        <v>F1Q11A</v>
      </c>
      <c r="U118" s="18" t="str">
        <f t="shared" si="369"/>
        <v>F2Q11A</v>
      </c>
      <c r="V118" s="18" t="str">
        <f t="shared" si="369"/>
        <v>F3Q11A</v>
      </c>
      <c r="W118" s="19" t="str">
        <f t="shared" si="369"/>
        <v>F4Q11A</v>
      </c>
      <c r="X118" s="17" t="str">
        <f t="shared" si="369"/>
        <v>F1Q12A</v>
      </c>
      <c r="Y118" s="18" t="str">
        <f t="shared" si="369"/>
        <v>F2Q12A</v>
      </c>
      <c r="Z118" s="18" t="str">
        <f t="shared" si="369"/>
        <v>F3Q12A</v>
      </c>
      <c r="AA118" s="19" t="str">
        <f t="shared" si="369"/>
        <v>F4Q12A</v>
      </c>
      <c r="AB118" s="17" t="str">
        <f t="shared" si="369"/>
        <v>F1Q13A</v>
      </c>
      <c r="AC118" s="18" t="str">
        <f t="shared" si="369"/>
        <v>F2Q13A</v>
      </c>
      <c r="AD118" s="18" t="str">
        <f t="shared" si="369"/>
        <v>F3Q13A</v>
      </c>
      <c r="AE118" s="19" t="str">
        <f t="shared" si="369"/>
        <v>F4Q13A</v>
      </c>
      <c r="AF118" s="17" t="str">
        <f t="shared" si="369"/>
        <v>F1Q14A</v>
      </c>
      <c r="AG118" s="18" t="str">
        <f t="shared" si="369"/>
        <v>F2Q14A</v>
      </c>
      <c r="AH118" s="18" t="str">
        <f t="shared" si="369"/>
        <v>F3Q14A</v>
      </c>
      <c r="AI118" s="19" t="str">
        <f t="shared" si="369"/>
        <v>F4Q14A</v>
      </c>
      <c r="AJ118" s="18" t="str">
        <f t="shared" si="369"/>
        <v>F1Q15A</v>
      </c>
      <c r="AK118" s="18" t="str">
        <f t="shared" si="369"/>
        <v>F2Q15A</v>
      </c>
      <c r="AL118" s="18" t="str">
        <f t="shared" si="369"/>
        <v>F3Q15A</v>
      </c>
      <c r="AM118" s="1489" t="str">
        <f t="shared" si="369"/>
        <v>F4Q15A</v>
      </c>
      <c r="AN118" s="1672" t="str">
        <f t="shared" si="369"/>
        <v>F1Q16A</v>
      </c>
      <c r="AO118" s="1710" t="str">
        <f t="shared" si="369"/>
        <v>F2Q16A</v>
      </c>
      <c r="AP118" s="1740" t="str">
        <f t="shared" si="369"/>
        <v>F3Q16A</v>
      </c>
      <c r="AQ118" s="1805" t="str">
        <f t="shared" si="369"/>
        <v>F4Q16A</v>
      </c>
      <c r="AR118" s="1804" t="str">
        <f t="shared" si="369"/>
        <v>F1Q17A</v>
      </c>
      <c r="AS118" s="1600" t="str">
        <f t="shared" si="369"/>
        <v>F2Q17A</v>
      </c>
      <c r="AT118" s="1600" t="str">
        <f t="shared" si="369"/>
        <v>F3Q17A</v>
      </c>
      <c r="AU118" s="1601" t="str">
        <f t="shared" si="369"/>
        <v>F4Q17A</v>
      </c>
      <c r="AV118" s="1600" t="str">
        <f t="shared" si="369"/>
        <v>F1Q18E</v>
      </c>
      <c r="AW118" s="1503" t="str">
        <f t="shared" si="369"/>
        <v>F2Q18E</v>
      </c>
      <c r="AX118" s="1503" t="str">
        <f t="shared" si="369"/>
        <v>F3Q18E</v>
      </c>
      <c r="AY118" s="1489" t="str">
        <f t="shared" si="369"/>
        <v>F4Q18E</v>
      </c>
      <c r="AZ118" s="20"/>
      <c r="BA118" s="1545" t="str">
        <f t="shared" ref="BA118:BN118" si="370">+BA$7</f>
        <v>FY2007A</v>
      </c>
      <c r="BB118" s="1545" t="str">
        <f t="shared" si="370"/>
        <v>FY2008A</v>
      </c>
      <c r="BC118" s="1545" t="str">
        <f t="shared" si="370"/>
        <v>FY2009A</v>
      </c>
      <c r="BD118" s="1545" t="str">
        <f t="shared" si="370"/>
        <v>FY2010A</v>
      </c>
      <c r="BE118" s="1488" t="str">
        <f t="shared" si="370"/>
        <v>FY2011A</v>
      </c>
      <c r="BF118" s="1503" t="str">
        <f t="shared" si="370"/>
        <v>FY2012A</v>
      </c>
      <c r="BG118" s="1503" t="str">
        <f t="shared" si="370"/>
        <v>FY2013A</v>
      </c>
      <c r="BH118" s="1803" t="str">
        <f t="shared" si="370"/>
        <v>FY2014A</v>
      </c>
      <c r="BI118" s="1804" t="str">
        <f t="shared" si="370"/>
        <v>FY2015A</v>
      </c>
      <c r="BJ118" s="1804" t="str">
        <f t="shared" si="370"/>
        <v>FY2016A</v>
      </c>
      <c r="BK118" s="1804" t="str">
        <f t="shared" si="370"/>
        <v>FY2017A</v>
      </c>
      <c r="BL118" s="1804" t="str">
        <f t="shared" si="370"/>
        <v>FY2018E</v>
      </c>
      <c r="BM118" s="1804" t="str">
        <f t="shared" si="370"/>
        <v>FY2019E</v>
      </c>
      <c r="BN118" s="1804" t="str">
        <f t="shared" si="370"/>
        <v>FY2020E</v>
      </c>
      <c r="BR118" s="1472"/>
    </row>
    <row r="119" spans="1:76" ht="14.25" customHeight="1">
      <c r="A119" s="8"/>
      <c r="B119" s="62" t="s">
        <v>71</v>
      </c>
      <c r="C119" s="63"/>
      <c r="D119" s="64">
        <v>5</v>
      </c>
      <c r="E119" s="65">
        <v>5</v>
      </c>
      <c r="F119" s="65">
        <v>5</v>
      </c>
      <c r="G119" s="66">
        <v>5</v>
      </c>
      <c r="H119" s="64">
        <v>180.21</v>
      </c>
      <c r="I119" s="65">
        <v>180.21</v>
      </c>
      <c r="J119" s="65">
        <v>180.21</v>
      </c>
      <c r="K119" s="66">
        <v>180.21</v>
      </c>
      <c r="L119" s="64">
        <v>215.25200000000001</v>
      </c>
      <c r="M119" s="65">
        <v>215.25200000000001</v>
      </c>
      <c r="N119" s="65">
        <v>215.25200000000001</v>
      </c>
      <c r="O119" s="66">
        <v>215.25200000000001</v>
      </c>
      <c r="P119" s="64">
        <v>215.25200000000001</v>
      </c>
      <c r="Q119" s="65">
        <v>215.25200000000001</v>
      </c>
      <c r="R119" s="65">
        <v>237.29499999999999</v>
      </c>
      <c r="S119" s="66">
        <v>250.24600000000001</v>
      </c>
      <c r="T119" s="64">
        <v>250.40199999999999</v>
      </c>
      <c r="U119" s="65">
        <v>249.95699999999999</v>
      </c>
      <c r="V119" s="65">
        <v>248.31800000000001</v>
      </c>
      <c r="W119" s="66">
        <v>247.58600000000001</v>
      </c>
      <c r="X119" s="64">
        <v>247.97900000000001</v>
      </c>
      <c r="Y119" s="65">
        <v>248.27199999999999</v>
      </c>
      <c r="Z119" s="79">
        <v>247.49799999999999</v>
      </c>
      <c r="AA119" s="815">
        <v>248.505</v>
      </c>
      <c r="AB119" s="64">
        <v>249.66800000000001</v>
      </c>
      <c r="AC119" s="65">
        <v>249.44900000000001</v>
      </c>
      <c r="AD119" s="65">
        <v>248.79400000000001</v>
      </c>
      <c r="AE119" s="815">
        <v>246.84200000000001</v>
      </c>
      <c r="AF119" s="64">
        <v>245.3</v>
      </c>
      <c r="AG119" s="65">
        <v>239.851</v>
      </c>
      <c r="AH119" s="65">
        <v>235.95</v>
      </c>
      <c r="AI119" s="66">
        <v>232.36699999999999</v>
      </c>
      <c r="AJ119" s="64">
        <v>233.11600000000001</v>
      </c>
      <c r="AK119" s="65">
        <v>232.68100000000001</v>
      </c>
      <c r="AL119" s="65">
        <v>231.54499999999999</v>
      </c>
      <c r="AM119" s="66">
        <v>262.76600000000002</v>
      </c>
      <c r="AN119" s="64">
        <v>341.83</v>
      </c>
      <c r="AO119" s="65">
        <v>341.29899999999998</v>
      </c>
      <c r="AP119" s="65">
        <v>335.858</v>
      </c>
      <c r="AQ119" s="66">
        <v>334.76799999999997</v>
      </c>
      <c r="AR119" s="64">
        <v>336.39600000000002</v>
      </c>
      <c r="AS119" s="65">
        <v>337.53699999999998</v>
      </c>
      <c r="AT119" s="65">
        <v>338.58600000000001</v>
      </c>
      <c r="AU119" s="66">
        <v>342.08800000000002</v>
      </c>
      <c r="AV119" s="74">
        <f t="shared" ref="AV119" si="371">AU119+(AV123-AU123)</f>
        <v>342.08800000000002</v>
      </c>
      <c r="AW119" s="74">
        <f t="shared" ref="AW119" si="372">AV119+(AW123-AV123)</f>
        <v>342.08800000000002</v>
      </c>
      <c r="AX119" s="74">
        <f t="shared" ref="AX119" si="373">AW119+(AX123-AW123)</f>
        <v>342.08800000000002</v>
      </c>
      <c r="AY119" s="75">
        <f t="shared" ref="AY119" si="374">AX119+(AY123-AX123)</f>
        <v>342.08800000000002</v>
      </c>
      <c r="AZ119" s="20"/>
      <c r="BA119" s="67">
        <f>AVERAGE(D119:G119)</f>
        <v>5</v>
      </c>
      <c r="BB119" s="67">
        <f>AVERAGE(H119:K119)</f>
        <v>180.21</v>
      </c>
      <c r="BC119" s="67">
        <f t="shared" ref="BC119:BC120" si="375">AVERAGE(AG119:AJ119)</f>
        <v>235.321</v>
      </c>
      <c r="BD119" s="67">
        <f>AVERAGE(P119:S119)</f>
        <v>229.51124999999999</v>
      </c>
      <c r="BE119" s="67">
        <f>AVERAGE(T119:W119)</f>
        <v>249.06575000000001</v>
      </c>
      <c r="BF119" s="67">
        <f>AVERAGE(X119:AA119)</f>
        <v>248.0635</v>
      </c>
      <c r="BG119" s="67">
        <f>AVERAGE(AB119:AE119)</f>
        <v>248.68825000000001</v>
      </c>
      <c r="BH119" s="1175">
        <f>AVERAGE(AF119:AI119)</f>
        <v>238.36699999999999</v>
      </c>
      <c r="BI119" s="67">
        <f>AVERAGE(AJ119:AM119)</f>
        <v>240.02699999999999</v>
      </c>
      <c r="BJ119" s="67">
        <f>AVERAGE(AN119:AQ119)</f>
        <v>338.43874999999997</v>
      </c>
      <c r="BK119" s="67">
        <f>AVERAGE(AR119:AU119)</f>
        <v>338.65174999999999</v>
      </c>
      <c r="BL119" s="67">
        <f>AVERAGE(AV119:AY119)</f>
        <v>342.08800000000002</v>
      </c>
      <c r="BM119" s="67">
        <f>BL119</f>
        <v>342.08800000000002</v>
      </c>
      <c r="BN119" s="67">
        <f>BM119</f>
        <v>342.08800000000002</v>
      </c>
      <c r="BR119" s="1472"/>
    </row>
    <row r="120" spans="1:76" ht="14.25" customHeight="1">
      <c r="A120" s="8"/>
      <c r="B120" s="23" t="s">
        <v>72</v>
      </c>
      <c r="C120" s="24"/>
      <c r="D120" s="68">
        <f t="shared" ref="D120:Y120" si="376">D119</f>
        <v>5</v>
      </c>
      <c r="E120" s="69">
        <f t="shared" si="376"/>
        <v>5</v>
      </c>
      <c r="F120" s="69">
        <f t="shared" si="376"/>
        <v>5</v>
      </c>
      <c r="G120" s="70">
        <f t="shared" si="376"/>
        <v>5</v>
      </c>
      <c r="H120" s="68">
        <f t="shared" si="376"/>
        <v>180.21</v>
      </c>
      <c r="I120" s="69">
        <f t="shared" si="376"/>
        <v>180.21</v>
      </c>
      <c r="J120" s="69">
        <f t="shared" si="376"/>
        <v>180.21</v>
      </c>
      <c r="K120" s="70">
        <f t="shared" si="376"/>
        <v>180.21</v>
      </c>
      <c r="L120" s="68">
        <f t="shared" si="376"/>
        <v>215.25200000000001</v>
      </c>
      <c r="M120" s="69">
        <f t="shared" si="376"/>
        <v>215.25200000000001</v>
      </c>
      <c r="N120" s="69">
        <f t="shared" si="376"/>
        <v>215.25200000000001</v>
      </c>
      <c r="O120" s="70">
        <f t="shared" si="376"/>
        <v>215.25200000000001</v>
      </c>
      <c r="P120" s="68">
        <f t="shared" si="376"/>
        <v>215.25200000000001</v>
      </c>
      <c r="Q120" s="69">
        <f t="shared" si="376"/>
        <v>215.25200000000001</v>
      </c>
      <c r="R120" s="69">
        <f t="shared" si="376"/>
        <v>237.29499999999999</v>
      </c>
      <c r="S120" s="70">
        <f t="shared" si="376"/>
        <v>250.24600000000001</v>
      </c>
      <c r="T120" s="68">
        <f t="shared" si="376"/>
        <v>250.40199999999999</v>
      </c>
      <c r="U120" s="69">
        <f t="shared" si="376"/>
        <v>249.95699999999999</v>
      </c>
      <c r="V120" s="69">
        <f t="shared" si="376"/>
        <v>248.31800000000001</v>
      </c>
      <c r="W120" s="70">
        <f t="shared" si="376"/>
        <v>247.58600000000001</v>
      </c>
      <c r="X120" s="68">
        <f t="shared" si="376"/>
        <v>247.97900000000001</v>
      </c>
      <c r="Y120" s="69">
        <f t="shared" si="376"/>
        <v>248.27199999999999</v>
      </c>
      <c r="Z120" s="30">
        <f>Z123</f>
        <v>254</v>
      </c>
      <c r="AA120" s="31">
        <f>AA123</f>
        <v>253.97900000000001</v>
      </c>
      <c r="AB120" s="68">
        <f t="shared" ref="AB120:AI120" si="377">AB119</f>
        <v>249.66800000000001</v>
      </c>
      <c r="AC120" s="69">
        <f t="shared" si="377"/>
        <v>249.44900000000001</v>
      </c>
      <c r="AD120" s="69">
        <f t="shared" si="377"/>
        <v>248.79400000000001</v>
      </c>
      <c r="AE120" s="31">
        <f t="shared" si="377"/>
        <v>246.84200000000001</v>
      </c>
      <c r="AF120" s="68">
        <f t="shared" si="377"/>
        <v>245.3</v>
      </c>
      <c r="AG120" s="69">
        <f t="shared" si="377"/>
        <v>239.851</v>
      </c>
      <c r="AH120" s="69">
        <f t="shared" si="377"/>
        <v>235.95</v>
      </c>
      <c r="AI120" s="70">
        <f t="shared" si="377"/>
        <v>232.36699999999999</v>
      </c>
      <c r="AJ120" s="68">
        <f>AJ119</f>
        <v>233.11600000000001</v>
      </c>
      <c r="AK120" s="69">
        <f>AK119</f>
        <v>232.68100000000001</v>
      </c>
      <c r="AL120" s="69">
        <v>231.54499999999999</v>
      </c>
      <c r="AM120" s="70">
        <f t="shared" ref="AM120" si="378">AM119</f>
        <v>262.76600000000002</v>
      </c>
      <c r="AN120" s="68">
        <f>AN119</f>
        <v>341.83</v>
      </c>
      <c r="AO120" s="69">
        <f>AO119</f>
        <v>341.29899999999998</v>
      </c>
      <c r="AP120" s="69">
        <v>341.83</v>
      </c>
      <c r="AQ120" s="70">
        <f t="shared" ref="AQ120" si="379">AQ119</f>
        <v>334.76799999999997</v>
      </c>
      <c r="AR120" s="68">
        <f>AR119</f>
        <v>336.39600000000002</v>
      </c>
      <c r="AS120" s="69">
        <f>AS119</f>
        <v>337.53699999999998</v>
      </c>
      <c r="AT120" s="69">
        <f>AT119</f>
        <v>338.58600000000001</v>
      </c>
      <c r="AU120" s="70">
        <f t="shared" ref="AU120" si="380">AU119</f>
        <v>342.08800000000002</v>
      </c>
      <c r="AV120" s="74">
        <f t="shared" ref="AV120" si="381">AU120+(AV123-AU123)</f>
        <v>342.08800000000002</v>
      </c>
      <c r="AW120" s="74">
        <f t="shared" ref="AW120" si="382">AV120+(AW123-AV123)</f>
        <v>342.08800000000002</v>
      </c>
      <c r="AX120" s="74">
        <f t="shared" ref="AX120" si="383">AW120+(AX123-AW123)</f>
        <v>342.08800000000002</v>
      </c>
      <c r="AY120" s="75">
        <f t="shared" ref="AY120" si="384">AX120+(AY123-AX123)</f>
        <v>342.08800000000002</v>
      </c>
      <c r="AZ120" s="20"/>
      <c r="BA120" s="30">
        <f>AVERAGE(D120:G120)</f>
        <v>5</v>
      </c>
      <c r="BB120" s="30">
        <f>AVERAGE(H120:K120)</f>
        <v>180.21</v>
      </c>
      <c r="BC120" s="30">
        <f t="shared" si="375"/>
        <v>235.321</v>
      </c>
      <c r="BD120" s="30">
        <f>AVERAGE(P120:S120)</f>
        <v>229.51124999999999</v>
      </c>
      <c r="BE120" s="30">
        <f>AVERAGE(T120:W120)</f>
        <v>249.06575000000001</v>
      </c>
      <c r="BF120" s="30">
        <f>AVERAGE(X120:AA120)</f>
        <v>251.0575</v>
      </c>
      <c r="BG120" s="30">
        <f>AVERAGE(AB120:AE120)</f>
        <v>248.68825000000001</v>
      </c>
      <c r="BH120" s="32">
        <f>AVERAGE(AF120:AI120)</f>
        <v>238.36699999999999</v>
      </c>
      <c r="BI120" s="30">
        <f>AVERAGE(AJ120:AM120)</f>
        <v>240.02699999999999</v>
      </c>
      <c r="BJ120" s="30">
        <f>AVERAGE(AN120:AQ120)</f>
        <v>339.93174999999997</v>
      </c>
      <c r="BK120" s="30">
        <f>AVERAGE(AR120:AU120)</f>
        <v>338.65174999999999</v>
      </c>
      <c r="BL120" s="30">
        <f>AVERAGE(AV120:AY120)</f>
        <v>342.08800000000002</v>
      </c>
      <c r="BM120" s="30">
        <f t="shared" ref="BM120:BN123" si="385">BL120</f>
        <v>342.08800000000002</v>
      </c>
      <c r="BN120" s="30">
        <f t="shared" si="385"/>
        <v>342.08800000000002</v>
      </c>
      <c r="BR120" s="1472"/>
    </row>
    <row r="121" spans="1:76" ht="14.25" customHeight="1">
      <c r="A121" s="8"/>
      <c r="B121" s="23"/>
      <c r="C121" s="24"/>
      <c r="D121" s="50"/>
      <c r="E121" s="40"/>
      <c r="F121" s="40"/>
      <c r="G121" s="41"/>
      <c r="H121" s="50"/>
      <c r="I121" s="40"/>
      <c r="J121" s="40"/>
      <c r="K121" s="41"/>
      <c r="L121" s="50"/>
      <c r="M121" s="40"/>
      <c r="N121" s="40"/>
      <c r="O121" s="41"/>
      <c r="P121" s="40"/>
      <c r="Q121" s="40"/>
      <c r="R121" s="40"/>
      <c r="S121" s="41"/>
      <c r="T121" s="40"/>
      <c r="U121" s="40"/>
      <c r="V121" s="40"/>
      <c r="W121" s="41"/>
      <c r="X121" s="40"/>
      <c r="Y121" s="40"/>
      <c r="Z121" s="40"/>
      <c r="AA121" s="41"/>
      <c r="AB121" s="40"/>
      <c r="AC121" s="40"/>
      <c r="AD121" s="40"/>
      <c r="AE121" s="41"/>
      <c r="AF121" s="40"/>
      <c r="AG121" s="40"/>
      <c r="AH121" s="40"/>
      <c r="AI121" s="41"/>
      <c r="AJ121" s="40"/>
      <c r="AK121" s="40"/>
      <c r="AL121" s="40"/>
      <c r="AM121" s="41"/>
      <c r="AN121" s="40"/>
      <c r="AO121" s="40"/>
      <c r="AP121" s="40"/>
      <c r="AQ121" s="41"/>
      <c r="AR121" s="40"/>
      <c r="AS121" s="40"/>
      <c r="AT121" s="40"/>
      <c r="AU121" s="41"/>
      <c r="AV121" s="40"/>
      <c r="AW121" s="40"/>
      <c r="AX121" s="40"/>
      <c r="AY121" s="41"/>
      <c r="AZ121" s="20"/>
      <c r="BA121" s="40"/>
      <c r="BB121" s="40"/>
      <c r="BC121" s="40"/>
      <c r="BD121" s="40"/>
      <c r="BE121" s="40"/>
      <c r="BF121" s="40"/>
      <c r="BG121" s="40"/>
      <c r="BH121" s="50"/>
      <c r="BI121" s="40"/>
      <c r="BJ121" s="40"/>
      <c r="BK121" s="40"/>
      <c r="BL121" s="40"/>
      <c r="BM121" s="40"/>
      <c r="BN121" s="40"/>
      <c r="BR121" s="1472"/>
    </row>
    <row r="122" spans="1:76" ht="14.25" customHeight="1">
      <c r="A122" s="8"/>
      <c r="B122" s="23" t="s">
        <v>73</v>
      </c>
      <c r="C122" s="24"/>
      <c r="D122" s="71">
        <v>5</v>
      </c>
      <c r="E122" s="72">
        <v>5</v>
      </c>
      <c r="F122" s="72">
        <v>5</v>
      </c>
      <c r="G122" s="73">
        <v>5</v>
      </c>
      <c r="H122" s="71">
        <v>180.21</v>
      </c>
      <c r="I122" s="72">
        <v>180.21</v>
      </c>
      <c r="J122" s="72">
        <v>180.21</v>
      </c>
      <c r="K122" s="73">
        <v>180.21</v>
      </c>
      <c r="L122" s="71">
        <v>215.25200000000001</v>
      </c>
      <c r="M122" s="72">
        <v>215.25200000000001</v>
      </c>
      <c r="N122" s="72">
        <v>216.429</v>
      </c>
      <c r="O122" s="73">
        <v>215.25200000000001</v>
      </c>
      <c r="P122" s="72">
        <v>215.25200000000001</v>
      </c>
      <c r="Q122" s="72">
        <v>215.25200000000001</v>
      </c>
      <c r="R122" s="72">
        <v>238.73500000000001</v>
      </c>
      <c r="S122" s="29">
        <v>250.24600000000001</v>
      </c>
      <c r="T122" s="72">
        <v>256.589</v>
      </c>
      <c r="U122" s="72">
        <v>256.27300000000002</v>
      </c>
      <c r="V122" s="72">
        <v>248.31800000000001</v>
      </c>
      <c r="W122" s="29">
        <v>247.58600000000001</v>
      </c>
      <c r="X122" s="72">
        <v>247.97900000000001</v>
      </c>
      <c r="Y122" s="72">
        <v>248.27199999999999</v>
      </c>
      <c r="Z122" s="79">
        <v>253.06</v>
      </c>
      <c r="AA122" s="80">
        <v>248.505</v>
      </c>
      <c r="AB122" s="72">
        <v>249.66800000000001</v>
      </c>
      <c r="AC122" s="72">
        <v>255.26499999999999</v>
      </c>
      <c r="AD122" s="72">
        <v>256.77699999999999</v>
      </c>
      <c r="AE122" s="80">
        <v>256.16199999999998</v>
      </c>
      <c r="AF122" s="72">
        <v>255.167</v>
      </c>
      <c r="AG122" s="72">
        <v>250.124</v>
      </c>
      <c r="AH122" s="72">
        <v>246.55</v>
      </c>
      <c r="AI122" s="73">
        <v>242.90100000000001</v>
      </c>
      <c r="AJ122" s="72">
        <v>233.11600000000001</v>
      </c>
      <c r="AK122" s="72">
        <v>243.28800000000001</v>
      </c>
      <c r="AL122" s="72">
        <v>242.12200000000001</v>
      </c>
      <c r="AM122" s="73">
        <v>272.78500000000003</v>
      </c>
      <c r="AN122" s="72">
        <v>341.83</v>
      </c>
      <c r="AO122" s="72">
        <v>341.29899999999998</v>
      </c>
      <c r="AP122" s="72">
        <v>344.36500000000001</v>
      </c>
      <c r="AQ122" s="73">
        <v>343.54599999999999</v>
      </c>
      <c r="AR122" s="72">
        <v>344.01100000000002</v>
      </c>
      <c r="AS122" s="72">
        <v>344.983</v>
      </c>
      <c r="AT122" s="72">
        <v>346.15199999999999</v>
      </c>
      <c r="AU122" s="73">
        <v>347.17599999999999</v>
      </c>
      <c r="AV122" s="1465">
        <f>AU122</f>
        <v>347.17599999999999</v>
      </c>
      <c r="AW122" s="1465">
        <f t="shared" ref="AW122:AY122" si="386">AV122</f>
        <v>347.17599999999999</v>
      </c>
      <c r="AX122" s="1465">
        <f t="shared" si="386"/>
        <v>347.17599999999999</v>
      </c>
      <c r="AY122" s="1465">
        <f t="shared" si="386"/>
        <v>347.17599999999999</v>
      </c>
      <c r="AZ122" s="1532"/>
      <c r="BA122" s="1466">
        <f>AVERAGE(D122:G122)</f>
        <v>5</v>
      </c>
      <c r="BB122" s="1466">
        <f>AVERAGE(H122:K122)</f>
        <v>180.21</v>
      </c>
      <c r="BC122" s="1466">
        <f t="shared" ref="BC122:BC123" si="387">AVERAGE(AG122:AJ122)</f>
        <v>243.17275000000001</v>
      </c>
      <c r="BD122" s="1466">
        <f>AVERAGE(P122:S122)</f>
        <v>229.87125</v>
      </c>
      <c r="BE122" s="1466">
        <f>AVERAGE(T122:W122)</f>
        <v>252.19150000000002</v>
      </c>
      <c r="BF122" s="1466">
        <f>AVERAGE(X122:AA122)</f>
        <v>249.45399999999998</v>
      </c>
      <c r="BG122" s="1466">
        <f>AVERAGE(AB122:AE122)</f>
        <v>254.46800000000002</v>
      </c>
      <c r="BH122" s="1731">
        <f>AVERAGE(AF122:AI122)</f>
        <v>248.68549999999999</v>
      </c>
      <c r="BI122" s="1466">
        <f>AVERAGE(AJ122:AM122)</f>
        <v>247.82775000000004</v>
      </c>
      <c r="BJ122" s="1466">
        <f>AVERAGE(AN122:AQ122)</f>
        <v>342.76</v>
      </c>
      <c r="BK122" s="1466">
        <f>AVERAGE(AR122:AU122)</f>
        <v>345.58049999999997</v>
      </c>
      <c r="BL122" s="1466">
        <f>AVERAGE(AV122:AY122)</f>
        <v>347.17599999999999</v>
      </c>
      <c r="BM122" s="1466">
        <f t="shared" si="385"/>
        <v>347.17599999999999</v>
      </c>
      <c r="BN122" s="1466">
        <f t="shared" si="385"/>
        <v>347.17599999999999</v>
      </c>
      <c r="BR122" s="1472"/>
    </row>
    <row r="123" spans="1:76" ht="14.25" customHeight="1">
      <c r="A123" s="8"/>
      <c r="B123" s="23" t="s">
        <v>74</v>
      </c>
      <c r="C123" s="24"/>
      <c r="D123" s="68">
        <f t="shared" ref="D123:U123" si="388">D122</f>
        <v>5</v>
      </c>
      <c r="E123" s="69">
        <f t="shared" si="388"/>
        <v>5</v>
      </c>
      <c r="F123" s="69">
        <f t="shared" si="388"/>
        <v>5</v>
      </c>
      <c r="G123" s="70">
        <f t="shared" si="388"/>
        <v>5</v>
      </c>
      <c r="H123" s="68">
        <f t="shared" si="388"/>
        <v>180.21</v>
      </c>
      <c r="I123" s="69">
        <f t="shared" si="388"/>
        <v>180.21</v>
      </c>
      <c r="J123" s="69">
        <f t="shared" si="388"/>
        <v>180.21</v>
      </c>
      <c r="K123" s="70">
        <f t="shared" si="388"/>
        <v>180.21</v>
      </c>
      <c r="L123" s="68">
        <f t="shared" si="388"/>
        <v>215.25200000000001</v>
      </c>
      <c r="M123" s="69">
        <f t="shared" si="388"/>
        <v>215.25200000000001</v>
      </c>
      <c r="N123" s="69">
        <f t="shared" si="388"/>
        <v>216.429</v>
      </c>
      <c r="O123" s="70">
        <f t="shared" si="388"/>
        <v>215.25200000000001</v>
      </c>
      <c r="P123" s="68">
        <f t="shared" si="388"/>
        <v>215.25200000000001</v>
      </c>
      <c r="Q123" s="69">
        <f t="shared" si="388"/>
        <v>215.25200000000001</v>
      </c>
      <c r="R123" s="69">
        <f t="shared" si="388"/>
        <v>238.73500000000001</v>
      </c>
      <c r="S123" s="73">
        <v>253.761</v>
      </c>
      <c r="T123" s="68">
        <f t="shared" si="388"/>
        <v>256.589</v>
      </c>
      <c r="U123" s="69">
        <f t="shared" si="388"/>
        <v>256.27300000000002</v>
      </c>
      <c r="V123" s="72">
        <v>251.47</v>
      </c>
      <c r="W123" s="73">
        <v>249.91499999999999</v>
      </c>
      <c r="X123" s="71">
        <v>252.84399999999999</v>
      </c>
      <c r="Y123" s="72">
        <v>253.387</v>
      </c>
      <c r="Z123" s="79">
        <v>254</v>
      </c>
      <c r="AA123" s="80">
        <v>253.97900000000001</v>
      </c>
      <c r="AB123" s="71">
        <v>257.82499999999999</v>
      </c>
      <c r="AC123" s="72">
        <v>255.26499999999999</v>
      </c>
      <c r="AD123" s="72">
        <v>256.77699999999999</v>
      </c>
      <c r="AE123" s="80">
        <v>256.16199999999998</v>
      </c>
      <c r="AF123" s="71">
        <v>255.167</v>
      </c>
      <c r="AG123" s="72">
        <v>250.124</v>
      </c>
      <c r="AH123" s="72">
        <v>246.55</v>
      </c>
      <c r="AI123" s="73">
        <v>242.90100000000001</v>
      </c>
      <c r="AJ123" s="71">
        <v>243.32599999999999</v>
      </c>
      <c r="AK123" s="72">
        <v>243.28800000000001</v>
      </c>
      <c r="AL123" s="72">
        <v>242.12200000000001</v>
      </c>
      <c r="AM123" s="73">
        <v>272.78500000000003</v>
      </c>
      <c r="AN123" s="71">
        <v>351.03699999999998</v>
      </c>
      <c r="AO123" s="72">
        <v>349.363</v>
      </c>
      <c r="AP123" s="72">
        <v>344.36500000000001</v>
      </c>
      <c r="AQ123" s="73">
        <v>343.54599999999999</v>
      </c>
      <c r="AR123" s="71">
        <v>344.01100000000002</v>
      </c>
      <c r="AS123" s="72">
        <v>344.983</v>
      </c>
      <c r="AT123" s="72">
        <f>AT122</f>
        <v>346.15199999999999</v>
      </c>
      <c r="AU123" s="73">
        <f>AU122</f>
        <v>347.17599999999999</v>
      </c>
      <c r="AV123" s="1465">
        <f>AU123</f>
        <v>347.17599999999999</v>
      </c>
      <c r="AW123" s="1465">
        <f t="shared" ref="AW123:AY123" si="389">AV123</f>
        <v>347.17599999999999</v>
      </c>
      <c r="AX123" s="1465">
        <f t="shared" si="389"/>
        <v>347.17599999999999</v>
      </c>
      <c r="AY123" s="1465">
        <f t="shared" si="389"/>
        <v>347.17599999999999</v>
      </c>
      <c r="AZ123" s="1532"/>
      <c r="BA123" s="1466">
        <f>AVERAGE(D123:G123)</f>
        <v>5</v>
      </c>
      <c r="BB123" s="1466">
        <f>AVERAGE(H123:K123)</f>
        <v>180.21</v>
      </c>
      <c r="BC123" s="1466">
        <f t="shared" si="387"/>
        <v>245.72525000000002</v>
      </c>
      <c r="BD123" s="1466">
        <f>AVERAGE(P123:S123)</f>
        <v>230.75</v>
      </c>
      <c r="BE123" s="1466">
        <f>AVERAGE(T123:W123)</f>
        <v>253.56175000000002</v>
      </c>
      <c r="BF123" s="1466">
        <f>AVERAGE(X123:AA123)</f>
        <v>253.55250000000001</v>
      </c>
      <c r="BG123" s="1466">
        <f>AVERAGE(AB123:AE123)</f>
        <v>256.50725</v>
      </c>
      <c r="BH123" s="1731">
        <f>AVERAGE(AF123:AI123)</f>
        <v>248.68549999999999</v>
      </c>
      <c r="BI123" s="1466">
        <f>AVERAGE(AJ123:AM123)</f>
        <v>250.38025000000005</v>
      </c>
      <c r="BJ123" s="1466">
        <f>AVERAGE(AN123:AQ123)</f>
        <v>347.07774999999998</v>
      </c>
      <c r="BK123" s="1466">
        <f>AVERAGE(AR123:AU123)</f>
        <v>345.58049999999997</v>
      </c>
      <c r="BL123" s="1466">
        <f>AVERAGE(AV123:AY123)</f>
        <v>347.17599999999999</v>
      </c>
      <c r="BM123" s="1466">
        <f t="shared" si="385"/>
        <v>347.17599999999999</v>
      </c>
      <c r="BN123" s="1466">
        <f t="shared" si="385"/>
        <v>347.17599999999999</v>
      </c>
      <c r="BR123" s="1472"/>
    </row>
    <row r="124" spans="1:76" ht="14.25" customHeight="1">
      <c r="A124" s="8"/>
      <c r="B124" s="33" t="s">
        <v>75</v>
      </c>
      <c r="C124" s="34"/>
      <c r="D124" s="76">
        <f t="shared" ref="D124:AF124" si="390">D122/D119</f>
        <v>1</v>
      </c>
      <c r="E124" s="77">
        <f t="shared" si="390"/>
        <v>1</v>
      </c>
      <c r="F124" s="77">
        <f t="shared" si="390"/>
        <v>1</v>
      </c>
      <c r="G124" s="78">
        <f t="shared" si="390"/>
        <v>1</v>
      </c>
      <c r="H124" s="76">
        <f t="shared" si="390"/>
        <v>1</v>
      </c>
      <c r="I124" s="77">
        <f t="shared" si="390"/>
        <v>1</v>
      </c>
      <c r="J124" s="77">
        <f t="shared" si="390"/>
        <v>1</v>
      </c>
      <c r="K124" s="78">
        <f t="shared" si="390"/>
        <v>1</v>
      </c>
      <c r="L124" s="76">
        <f t="shared" si="390"/>
        <v>1</v>
      </c>
      <c r="M124" s="77">
        <f t="shared" si="390"/>
        <v>1</v>
      </c>
      <c r="N124" s="77">
        <f t="shared" si="390"/>
        <v>1.0054680095887611</v>
      </c>
      <c r="O124" s="78">
        <f t="shared" si="390"/>
        <v>1</v>
      </c>
      <c r="P124" s="77">
        <f t="shared" si="390"/>
        <v>1</v>
      </c>
      <c r="Q124" s="77">
        <f t="shared" si="390"/>
        <v>1</v>
      </c>
      <c r="R124" s="77">
        <f t="shared" si="390"/>
        <v>1.0060683958785479</v>
      </c>
      <c r="S124" s="78">
        <f t="shared" si="390"/>
        <v>1</v>
      </c>
      <c r="T124" s="77">
        <f t="shared" si="390"/>
        <v>1.0247082691032821</v>
      </c>
      <c r="U124" s="77">
        <f t="shared" si="390"/>
        <v>1.025268346155539</v>
      </c>
      <c r="V124" s="77">
        <f t="shared" si="390"/>
        <v>1</v>
      </c>
      <c r="W124" s="78">
        <f t="shared" si="390"/>
        <v>1</v>
      </c>
      <c r="X124" s="77">
        <f t="shared" si="390"/>
        <v>1</v>
      </c>
      <c r="Y124" s="77">
        <f t="shared" si="390"/>
        <v>1</v>
      </c>
      <c r="Z124" s="77">
        <f t="shared" si="390"/>
        <v>1.0224729088719908</v>
      </c>
      <c r="AA124" s="78">
        <f t="shared" si="390"/>
        <v>1</v>
      </c>
      <c r="AB124" s="77">
        <f t="shared" si="390"/>
        <v>1</v>
      </c>
      <c r="AC124" s="77">
        <f t="shared" si="390"/>
        <v>1.0233153871131975</v>
      </c>
      <c r="AD124" s="77">
        <f>AD122/AD119</f>
        <v>1.0320867866588421</v>
      </c>
      <c r="AE124" s="78">
        <f>AE122/AE119</f>
        <v>1.0377569457385694</v>
      </c>
      <c r="AF124" s="77">
        <f t="shared" si="390"/>
        <v>1.0402242152466368</v>
      </c>
      <c r="AG124" s="77">
        <f t="shared" ref="AG124:AL124" si="391">AG122/AG119</f>
        <v>1.0428307574285702</v>
      </c>
      <c r="AH124" s="77">
        <f t="shared" si="391"/>
        <v>1.0449247721974995</v>
      </c>
      <c r="AI124" s="78">
        <f t="shared" si="391"/>
        <v>1.0453334595704211</v>
      </c>
      <c r="AJ124" s="77">
        <f t="shared" si="391"/>
        <v>1</v>
      </c>
      <c r="AK124" s="77">
        <f t="shared" si="391"/>
        <v>1.0455860169072679</v>
      </c>
      <c r="AL124" s="77">
        <f t="shared" si="391"/>
        <v>1.0456801053790841</v>
      </c>
      <c r="AM124" s="78">
        <f t="shared" ref="AM124:AP124" si="392">AM122/AM119</f>
        <v>1.0381289816795172</v>
      </c>
      <c r="AN124" s="77">
        <f t="shared" si="392"/>
        <v>1</v>
      </c>
      <c r="AO124" s="77">
        <f t="shared" si="392"/>
        <v>1</v>
      </c>
      <c r="AP124" s="77">
        <f t="shared" si="392"/>
        <v>1.0253291569651459</v>
      </c>
      <c r="AQ124" s="78">
        <f t="shared" ref="AQ124:AR124" si="393">AQ122/AQ119</f>
        <v>1.0262211441953832</v>
      </c>
      <c r="AR124" s="77">
        <f t="shared" si="393"/>
        <v>1.0226370111416307</v>
      </c>
      <c r="AS124" s="77">
        <f t="shared" ref="AS124" si="394">AS122/AS119</f>
        <v>1.0220598038141004</v>
      </c>
      <c r="AT124" s="77">
        <f t="shared" ref="AT124:AU124" si="395">AT122/AT119</f>
        <v>1.0223458737218905</v>
      </c>
      <c r="AU124" s="78">
        <f t="shared" si="395"/>
        <v>1.0148733659175415</v>
      </c>
      <c r="AV124" s="77">
        <f t="shared" ref="AV124:AY124" si="396">AV122/AV119</f>
        <v>1.0148733659175415</v>
      </c>
      <c r="AW124" s="77">
        <f t="shared" si="396"/>
        <v>1.0148733659175415</v>
      </c>
      <c r="AX124" s="77">
        <f t="shared" si="396"/>
        <v>1.0148733659175415</v>
      </c>
      <c r="AY124" s="78">
        <f t="shared" si="396"/>
        <v>1.0148733659175415</v>
      </c>
      <c r="AZ124" s="20"/>
      <c r="BA124" s="77">
        <f t="shared" ref="BA124:BI124" si="397">BA122/BA119</f>
        <v>1</v>
      </c>
      <c r="BB124" s="77">
        <f t="shared" si="397"/>
        <v>1</v>
      </c>
      <c r="BC124" s="77">
        <f t="shared" ref="BC124" si="398">BC122/BC119</f>
        <v>1.0333661254201707</v>
      </c>
      <c r="BD124" s="77">
        <f t="shared" si="397"/>
        <v>1.0015685505612471</v>
      </c>
      <c r="BE124" s="77">
        <f t="shared" si="397"/>
        <v>1.0125498989724602</v>
      </c>
      <c r="BF124" s="77">
        <f t="shared" si="397"/>
        <v>1.005605419580067</v>
      </c>
      <c r="BG124" s="77">
        <f t="shared" si="397"/>
        <v>1.0232409452396727</v>
      </c>
      <c r="BH124" s="76">
        <f t="shared" si="397"/>
        <v>1.0432882907449437</v>
      </c>
      <c r="BI124" s="77">
        <f t="shared" si="397"/>
        <v>1.0324994688097591</v>
      </c>
      <c r="BJ124" s="77">
        <f>BJ122/BJ119</f>
        <v>1.0127681892218312</v>
      </c>
      <c r="BK124" s="77">
        <f t="shared" ref="BK124:BM124" si="399">BK122/BK119</f>
        <v>1.0204598086382248</v>
      </c>
      <c r="BL124" s="77">
        <f t="shared" si="399"/>
        <v>1.0148733659175415</v>
      </c>
      <c r="BM124" s="77">
        <f t="shared" si="399"/>
        <v>1.0148733659175415</v>
      </c>
      <c r="BN124" s="77">
        <f t="shared" ref="BN124" si="400">BN122/BN119</f>
        <v>1.0148733659175415</v>
      </c>
      <c r="BR124" s="1472"/>
    </row>
    <row r="125" spans="1:76" ht="14.25" customHeight="1" outlineLevel="1">
      <c r="A125" s="8"/>
      <c r="B125" s="23"/>
      <c r="C125" s="24"/>
      <c r="D125" s="50"/>
      <c r="E125" s="40"/>
      <c r="F125" s="40"/>
      <c r="G125" s="41"/>
      <c r="H125" s="50"/>
      <c r="I125" s="40"/>
      <c r="J125" s="40"/>
      <c r="K125" s="41"/>
      <c r="L125" s="50"/>
      <c r="M125" s="40"/>
      <c r="N125" s="40"/>
      <c r="O125" s="41"/>
      <c r="P125" s="40"/>
      <c r="Q125" s="40"/>
      <c r="R125" s="40"/>
      <c r="S125" s="41"/>
      <c r="T125" s="40"/>
      <c r="U125" s="40"/>
      <c r="V125" s="40"/>
      <c r="W125" s="41"/>
      <c r="X125" s="40"/>
      <c r="Y125" s="40"/>
      <c r="Z125" s="40"/>
      <c r="AA125" s="41"/>
      <c r="AB125" s="40"/>
      <c r="AC125" s="40"/>
      <c r="AD125" s="40"/>
      <c r="AE125" s="41"/>
      <c r="AF125" s="40"/>
      <c r="AG125" s="40"/>
      <c r="AH125" s="40"/>
      <c r="AI125" s="41"/>
      <c r="AJ125" s="40"/>
      <c r="AK125" s="40"/>
      <c r="AL125" s="40"/>
      <c r="AM125" s="41"/>
      <c r="AN125" s="40"/>
      <c r="AO125" s="40"/>
      <c r="AP125" s="40"/>
      <c r="AQ125" s="41"/>
      <c r="AR125" s="40"/>
      <c r="AS125" s="40"/>
      <c r="AT125" s="40"/>
      <c r="AU125" s="41"/>
      <c r="AV125" s="40"/>
      <c r="AW125" s="40"/>
      <c r="AX125" s="40"/>
      <c r="AY125" s="41"/>
      <c r="AZ125" s="20"/>
      <c r="BA125" s="40"/>
      <c r="BB125" s="40"/>
      <c r="BC125" s="40"/>
      <c r="BD125" s="40"/>
      <c r="BE125" s="40"/>
      <c r="BF125" s="40"/>
      <c r="BG125" s="40"/>
      <c r="BH125" s="50"/>
      <c r="BI125" s="40"/>
      <c r="BJ125" s="40"/>
      <c r="BK125" s="40"/>
      <c r="BL125" s="40"/>
      <c r="BM125" s="40"/>
      <c r="BN125" s="40"/>
      <c r="BR125" s="1472"/>
    </row>
    <row r="126" spans="1:76" ht="14.25" customHeight="1" outlineLevel="1">
      <c r="A126" s="8"/>
      <c r="B126" s="23" t="s">
        <v>76</v>
      </c>
      <c r="C126" s="24"/>
      <c r="D126" s="68">
        <f t="shared" ref="D126:Y126" si="401">D122</f>
        <v>5</v>
      </c>
      <c r="E126" s="69">
        <f t="shared" si="401"/>
        <v>5</v>
      </c>
      <c r="F126" s="69">
        <f t="shared" si="401"/>
        <v>5</v>
      </c>
      <c r="G126" s="70">
        <f t="shared" si="401"/>
        <v>5</v>
      </c>
      <c r="H126" s="68">
        <f t="shared" si="401"/>
        <v>180.21</v>
      </c>
      <c r="I126" s="69">
        <f t="shared" si="401"/>
        <v>180.21</v>
      </c>
      <c r="J126" s="69">
        <f t="shared" si="401"/>
        <v>180.21</v>
      </c>
      <c r="K126" s="70">
        <f t="shared" si="401"/>
        <v>180.21</v>
      </c>
      <c r="L126" s="68">
        <f t="shared" si="401"/>
        <v>215.25200000000001</v>
      </c>
      <c r="M126" s="69">
        <f t="shared" si="401"/>
        <v>215.25200000000001</v>
      </c>
      <c r="N126" s="69">
        <f t="shared" si="401"/>
        <v>216.429</v>
      </c>
      <c r="O126" s="70">
        <f t="shared" si="401"/>
        <v>215.25200000000001</v>
      </c>
      <c r="P126" s="69">
        <f t="shared" si="401"/>
        <v>215.25200000000001</v>
      </c>
      <c r="Q126" s="69">
        <f t="shared" si="401"/>
        <v>215.25200000000001</v>
      </c>
      <c r="R126" s="69">
        <f t="shared" si="401"/>
        <v>238.73500000000001</v>
      </c>
      <c r="S126" s="31">
        <f t="shared" si="401"/>
        <v>250.24600000000001</v>
      </c>
      <c r="T126" s="69">
        <f t="shared" si="401"/>
        <v>256.589</v>
      </c>
      <c r="U126" s="69">
        <f t="shared" si="401"/>
        <v>256.27300000000002</v>
      </c>
      <c r="V126" s="69">
        <f t="shared" si="401"/>
        <v>248.31800000000001</v>
      </c>
      <c r="W126" s="31">
        <f t="shared" si="401"/>
        <v>247.58600000000001</v>
      </c>
      <c r="X126" s="69">
        <f t="shared" si="401"/>
        <v>247.97900000000001</v>
      </c>
      <c r="Y126" s="69">
        <f t="shared" si="401"/>
        <v>248.27199999999999</v>
      </c>
      <c r="Z126" s="30">
        <f>+Z122</f>
        <v>253.06</v>
      </c>
      <c r="AA126" s="31">
        <f t="shared" ref="AA126:AF126" si="402">+AA122</f>
        <v>248.505</v>
      </c>
      <c r="AB126" s="32">
        <f t="shared" si="402"/>
        <v>249.66800000000001</v>
      </c>
      <c r="AC126" s="30">
        <f t="shared" si="402"/>
        <v>255.26499999999999</v>
      </c>
      <c r="AD126" s="30">
        <f t="shared" si="402"/>
        <v>256.77699999999999</v>
      </c>
      <c r="AE126" s="31">
        <f>+AE122</f>
        <v>256.16199999999998</v>
      </c>
      <c r="AF126" s="32">
        <f t="shared" si="402"/>
        <v>255.167</v>
      </c>
      <c r="AG126" s="30">
        <f t="shared" ref="AG126:AL126" si="403">+AG122</f>
        <v>250.124</v>
      </c>
      <c r="AH126" s="30">
        <f t="shared" si="403"/>
        <v>246.55</v>
      </c>
      <c r="AI126" s="31">
        <f t="shared" si="403"/>
        <v>242.90100000000001</v>
      </c>
      <c r="AJ126" s="32">
        <f t="shared" si="403"/>
        <v>233.11600000000001</v>
      </c>
      <c r="AK126" s="30">
        <f t="shared" si="403"/>
        <v>243.28800000000001</v>
      </c>
      <c r="AL126" s="30">
        <f t="shared" si="403"/>
        <v>242.12200000000001</v>
      </c>
      <c r="AM126" s="31">
        <f t="shared" ref="AM126:AP126" si="404">+AM122</f>
        <v>272.78500000000003</v>
      </c>
      <c r="AN126" s="32">
        <f t="shared" si="404"/>
        <v>341.83</v>
      </c>
      <c r="AO126" s="30">
        <f t="shared" si="404"/>
        <v>341.29899999999998</v>
      </c>
      <c r="AP126" s="30">
        <f t="shared" si="404"/>
        <v>344.36500000000001</v>
      </c>
      <c r="AQ126" s="31">
        <f t="shared" ref="AQ126:AR126" si="405">+AQ122</f>
        <v>343.54599999999999</v>
      </c>
      <c r="AR126" s="32">
        <f t="shared" si="405"/>
        <v>344.01100000000002</v>
      </c>
      <c r="AS126" s="30">
        <f t="shared" ref="AS126" si="406">+AS122</f>
        <v>344.983</v>
      </c>
      <c r="AT126" s="30">
        <f t="shared" ref="AT126:AU126" si="407">+AT122</f>
        <v>346.15199999999999</v>
      </c>
      <c r="AU126" s="31">
        <f t="shared" si="407"/>
        <v>347.17599999999999</v>
      </c>
      <c r="AV126" s="30">
        <f t="shared" ref="AV126:AY126" si="408">+AV122</f>
        <v>347.17599999999999</v>
      </c>
      <c r="AW126" s="30">
        <f t="shared" si="408"/>
        <v>347.17599999999999</v>
      </c>
      <c r="AX126" s="30">
        <f t="shared" si="408"/>
        <v>347.17599999999999</v>
      </c>
      <c r="AY126" s="31">
        <f t="shared" si="408"/>
        <v>347.17599999999999</v>
      </c>
      <c r="AZ126" s="20"/>
      <c r="BA126" s="74">
        <f>G126</f>
        <v>5</v>
      </c>
      <c r="BB126" s="74">
        <f>K126</f>
        <v>180.21</v>
      </c>
      <c r="BC126" s="74">
        <f>O126</f>
        <v>215.25200000000001</v>
      </c>
      <c r="BD126" s="74">
        <f>S126</f>
        <v>250.24600000000001</v>
      </c>
      <c r="BE126" s="74">
        <f>W126</f>
        <v>247.58600000000001</v>
      </c>
      <c r="BF126" s="74">
        <f>AA126</f>
        <v>248.505</v>
      </c>
      <c r="BG126" s="74">
        <f>AE126</f>
        <v>256.16199999999998</v>
      </c>
      <c r="BH126" s="1094">
        <f>AI126</f>
        <v>242.90100000000001</v>
      </c>
      <c r="BI126" s="74">
        <f>AM126</f>
        <v>272.78500000000003</v>
      </c>
      <c r="BJ126" s="74">
        <f>AQ126</f>
        <v>343.54599999999999</v>
      </c>
      <c r="BK126" s="74">
        <f>BJ126+(CFS!BK42)/'IS Inc FSL'!BK129</f>
        <v>350.6240326096937</v>
      </c>
      <c r="BL126" s="74">
        <f>BK126+(CFS!BL42)/'IS Inc FSL'!BL129</f>
        <v>350.6240326096937</v>
      </c>
      <c r="BM126" s="74">
        <f t="shared" ref="BM126" si="409">+BM122</f>
        <v>347.17599999999999</v>
      </c>
      <c r="BN126" s="74">
        <f t="shared" ref="BN126" si="410">+BN122</f>
        <v>347.17599999999999</v>
      </c>
      <c r="BR126" s="1472"/>
    </row>
    <row r="127" spans="1:76" ht="14.25" customHeight="1" outlineLevel="1">
      <c r="A127" s="8"/>
      <c r="B127" s="23"/>
      <c r="C127" s="24"/>
      <c r="D127" s="71"/>
      <c r="E127" s="72"/>
      <c r="F127" s="72"/>
      <c r="G127" s="73"/>
      <c r="H127" s="71"/>
      <c r="I127" s="72"/>
      <c r="J127" s="72"/>
      <c r="K127" s="73"/>
      <c r="L127" s="71"/>
      <c r="M127" s="72"/>
      <c r="N127" s="72"/>
      <c r="O127" s="73"/>
      <c r="P127" s="72"/>
      <c r="Q127" s="79"/>
      <c r="R127" s="79"/>
      <c r="S127" s="80"/>
      <c r="T127" s="72"/>
      <c r="U127" s="79"/>
      <c r="V127" s="79"/>
      <c r="W127" s="80"/>
      <c r="X127" s="72"/>
      <c r="Y127" s="79"/>
      <c r="Z127" s="79"/>
      <c r="AA127" s="80"/>
      <c r="AB127" s="81"/>
      <c r="AC127" s="79"/>
      <c r="AD127" s="79"/>
      <c r="AE127" s="80"/>
      <c r="AF127" s="81"/>
      <c r="AG127" s="79"/>
      <c r="AH127" s="79"/>
      <c r="AI127" s="80"/>
      <c r="AJ127" s="81"/>
      <c r="AK127" s="79"/>
      <c r="AL127" s="79"/>
      <c r="AM127" s="80"/>
      <c r="AN127" s="81"/>
      <c r="AO127" s="79"/>
      <c r="AP127" s="79"/>
      <c r="AQ127" s="80"/>
      <c r="AR127" s="81"/>
      <c r="AS127" s="79"/>
      <c r="AT127" s="79"/>
      <c r="AU127" s="80"/>
      <c r="AV127" s="79"/>
      <c r="AW127" s="79"/>
      <c r="AX127" s="79"/>
      <c r="AY127" s="80"/>
      <c r="AZ127" s="20"/>
      <c r="BA127" s="40"/>
      <c r="BB127" s="40"/>
      <c r="BC127" s="40"/>
      <c r="BD127" s="40"/>
      <c r="BE127" s="40"/>
      <c r="BF127" s="40"/>
      <c r="BG127" s="40"/>
      <c r="BH127" s="50"/>
      <c r="BI127" s="40"/>
      <c r="BJ127" s="40"/>
      <c r="BK127" s="40"/>
      <c r="BL127" s="40"/>
      <c r="BM127" s="40"/>
      <c r="BN127" s="40"/>
      <c r="BR127" s="1472"/>
    </row>
    <row r="128" spans="1:76" ht="14.25" customHeight="1" outlineLevel="1">
      <c r="A128" s="8"/>
      <c r="B128" s="23" t="s">
        <v>77</v>
      </c>
      <c r="C128" s="24"/>
      <c r="D128" s="71">
        <v>0</v>
      </c>
      <c r="E128" s="72">
        <v>0</v>
      </c>
      <c r="F128" s="72">
        <v>0</v>
      </c>
      <c r="G128" s="73">
        <v>0</v>
      </c>
      <c r="H128" s="71">
        <v>0</v>
      </c>
      <c r="I128" s="72">
        <v>0</v>
      </c>
      <c r="J128" s="72">
        <v>0</v>
      </c>
      <c r="K128" s="73">
        <v>0</v>
      </c>
      <c r="L128" s="71">
        <v>0</v>
      </c>
      <c r="M128" s="72">
        <v>0</v>
      </c>
      <c r="N128" s="72">
        <v>0</v>
      </c>
      <c r="O128" s="73">
        <v>0</v>
      </c>
      <c r="P128" s="72">
        <v>0</v>
      </c>
      <c r="Q128" s="72">
        <v>0</v>
      </c>
      <c r="R128" s="72">
        <v>0</v>
      </c>
      <c r="S128" s="73">
        <v>0</v>
      </c>
      <c r="T128" s="72">
        <v>0</v>
      </c>
      <c r="U128" s="72">
        <v>0</v>
      </c>
      <c r="V128" s="72">
        <v>0</v>
      </c>
      <c r="W128" s="73">
        <v>0</v>
      </c>
      <c r="X128" s="72">
        <v>0</v>
      </c>
      <c r="Y128" s="72">
        <v>0</v>
      </c>
      <c r="Z128" s="72">
        <v>0</v>
      </c>
      <c r="AA128" s="73">
        <v>0</v>
      </c>
      <c r="AB128" s="71">
        <v>0</v>
      </c>
      <c r="AC128" s="72">
        <v>0</v>
      </c>
      <c r="AD128" s="72">
        <v>0</v>
      </c>
      <c r="AE128" s="73">
        <v>0</v>
      </c>
      <c r="AF128" s="71">
        <v>0</v>
      </c>
      <c r="AG128" s="72">
        <v>0</v>
      </c>
      <c r="AH128" s="72">
        <v>0</v>
      </c>
      <c r="AI128" s="73">
        <v>0</v>
      </c>
      <c r="AJ128" s="71">
        <v>0</v>
      </c>
      <c r="AK128" s="72">
        <v>0</v>
      </c>
      <c r="AL128" s="72">
        <v>0</v>
      </c>
      <c r="AM128" s="73">
        <v>0</v>
      </c>
      <c r="AN128" s="71">
        <v>0</v>
      </c>
      <c r="AO128" s="72">
        <v>0</v>
      </c>
      <c r="AP128" s="72">
        <v>0</v>
      </c>
      <c r="AQ128" s="73">
        <v>0</v>
      </c>
      <c r="AR128" s="71">
        <v>0</v>
      </c>
      <c r="AS128" s="72">
        <v>0</v>
      </c>
      <c r="AT128" s="72">
        <v>0</v>
      </c>
      <c r="AU128" s="73">
        <v>0</v>
      </c>
      <c r="AV128" s="72">
        <v>0</v>
      </c>
      <c r="AW128" s="72">
        <v>0</v>
      </c>
      <c r="AX128" s="72">
        <v>0</v>
      </c>
      <c r="AY128" s="73">
        <v>0</v>
      </c>
      <c r="AZ128" s="20"/>
      <c r="BA128" s="30">
        <f>SUM(D128:G128)</f>
        <v>0</v>
      </c>
      <c r="BB128" s="30">
        <f>SUM(H128:K128)</f>
        <v>0</v>
      </c>
      <c r="BC128" s="30">
        <f>SUM(L128:O128)</f>
        <v>0</v>
      </c>
      <c r="BD128" s="30">
        <f>SUM(P128:S128)</f>
        <v>0</v>
      </c>
      <c r="BE128" s="30">
        <f>SUM(T128:W128)</f>
        <v>0</v>
      </c>
      <c r="BF128" s="30">
        <f>SUM(X128:AA128)</f>
        <v>0</v>
      </c>
      <c r="BG128" s="30">
        <f>SUM(AB128:AE128)</f>
        <v>0</v>
      </c>
      <c r="BH128" s="32">
        <f>SUM(AF128:AI128)</f>
        <v>0</v>
      </c>
      <c r="BI128" s="30">
        <f>SUM(AJ128:AM128)</f>
        <v>0</v>
      </c>
      <c r="BJ128" s="30">
        <f>SUM(AN128:AQ128)</f>
        <v>0</v>
      </c>
      <c r="BK128" s="30">
        <v>0</v>
      </c>
      <c r="BL128" s="30">
        <v>0</v>
      </c>
      <c r="BM128" s="30">
        <v>0</v>
      </c>
      <c r="BN128" s="30">
        <v>0</v>
      </c>
      <c r="BR128" s="1472"/>
    </row>
    <row r="129" spans="1:76" ht="14.25" customHeight="1" outlineLevel="1">
      <c r="A129" s="8"/>
      <c r="B129" s="23" t="s">
        <v>78</v>
      </c>
      <c r="C129" s="24"/>
      <c r="D129" s="82"/>
      <c r="E129" s="83"/>
      <c r="F129" s="83"/>
      <c r="G129" s="84"/>
      <c r="H129" s="82"/>
      <c r="I129" s="83"/>
      <c r="J129" s="83"/>
      <c r="K129" s="84"/>
      <c r="L129" s="82"/>
      <c r="M129" s="83"/>
      <c r="N129" s="83"/>
      <c r="O129" s="84"/>
      <c r="P129" s="83"/>
      <c r="Q129" s="83"/>
      <c r="R129" s="85"/>
      <c r="S129" s="86"/>
      <c r="T129" s="319"/>
      <c r="U129" s="328"/>
      <c r="V129" s="328"/>
      <c r="W129" s="407"/>
      <c r="X129" s="328"/>
      <c r="Y129" s="328">
        <v>24.15</v>
      </c>
      <c r="Z129" s="30">
        <f t="shared" ref="Z129:AR129" si="411">Y129*((1+Z130)^(1/4))</f>
        <v>24.732345591389347</v>
      </c>
      <c r="AA129" s="31">
        <f t="shared" si="411"/>
        <v>25.328733683309157</v>
      </c>
      <c r="AB129" s="32">
        <f t="shared" si="411"/>
        <v>25.939502892251184</v>
      </c>
      <c r="AC129" s="30">
        <f t="shared" si="411"/>
        <v>26.564999999999994</v>
      </c>
      <c r="AD129" s="30">
        <f t="shared" si="411"/>
        <v>27.205580150528277</v>
      </c>
      <c r="AE129" s="31">
        <f>AD129*((1+AE130)^(1/4))</f>
        <v>27.861607051640068</v>
      </c>
      <c r="AF129" s="32">
        <f t="shared" si="411"/>
        <v>28.5334531814763</v>
      </c>
      <c r="AG129" s="30">
        <f t="shared" si="411"/>
        <v>29.221499999999992</v>
      </c>
      <c r="AH129" s="30">
        <f t="shared" si="411"/>
        <v>29.926138165581104</v>
      </c>
      <c r="AI129" s="31">
        <f t="shared" si="411"/>
        <v>30.647767756804072</v>
      </c>
      <c r="AJ129" s="32">
        <f t="shared" si="411"/>
        <v>31.386798499623929</v>
      </c>
      <c r="AK129" s="30">
        <f t="shared" si="411"/>
        <v>32.143649999999987</v>
      </c>
      <c r="AL129" s="30">
        <f t="shared" si="411"/>
        <v>32.918751982139213</v>
      </c>
      <c r="AM129" s="31">
        <f t="shared" si="411"/>
        <v>33.712544532484479</v>
      </c>
      <c r="AN129" s="32">
        <f t="shared" si="411"/>
        <v>34.525478349586322</v>
      </c>
      <c r="AO129" s="30">
        <f t="shared" si="411"/>
        <v>35.358014999999988</v>
      </c>
      <c r="AP129" s="30">
        <f t="shared" si="411"/>
        <v>36.210627180353136</v>
      </c>
      <c r="AQ129" s="31">
        <f t="shared" si="411"/>
        <v>37.083798985732926</v>
      </c>
      <c r="AR129" s="32">
        <f t="shared" si="411"/>
        <v>37.978026184544952</v>
      </c>
      <c r="AS129" s="30">
        <f t="shared" ref="AS129:AU129" si="412">AR129*((1+AS130)^(1/4))</f>
        <v>38.893816499999986</v>
      </c>
      <c r="AT129" s="30">
        <f t="shared" si="412"/>
        <v>39.831689898388447</v>
      </c>
      <c r="AU129" s="31">
        <f t="shared" si="412"/>
        <v>40.792178884306217</v>
      </c>
      <c r="AV129" s="30">
        <f t="shared" ref="AV129" si="413">AU129*((1+AV130)^(1/4))</f>
        <v>41.775828802999442</v>
      </c>
      <c r="AW129" s="30">
        <f t="shared" ref="AW129" si="414">AV129*((1+AW130)^(1/4))</f>
        <v>42.783198149999976</v>
      </c>
      <c r="AX129" s="30">
        <f t="shared" ref="AX129" si="415">AW129*((1+AX130)^(1/4))</f>
        <v>43.814858888227285</v>
      </c>
      <c r="AY129" s="31">
        <f t="shared" ref="AY129" si="416">AX129*((1+AY130)^(1/4))</f>
        <v>44.871396772736837</v>
      </c>
      <c r="AZ129" s="20"/>
      <c r="BA129" s="69">
        <f t="shared" ref="BA129:BI129" si="417">AB129</f>
        <v>25.939502892251184</v>
      </c>
      <c r="BB129" s="69">
        <f t="shared" si="417"/>
        <v>26.564999999999994</v>
      </c>
      <c r="BC129" s="69">
        <f t="shared" si="417"/>
        <v>27.205580150528277</v>
      </c>
      <c r="BD129" s="69">
        <f t="shared" si="417"/>
        <v>27.861607051640068</v>
      </c>
      <c r="BE129" s="69">
        <f t="shared" si="417"/>
        <v>28.5334531814763</v>
      </c>
      <c r="BF129" s="69">
        <f t="shared" si="417"/>
        <v>29.221499999999992</v>
      </c>
      <c r="BG129" s="69">
        <f t="shared" si="417"/>
        <v>29.926138165581104</v>
      </c>
      <c r="BH129" s="68">
        <f t="shared" si="417"/>
        <v>30.647767756804072</v>
      </c>
      <c r="BI129" s="69">
        <f t="shared" si="417"/>
        <v>31.386798499623929</v>
      </c>
      <c r="BJ129" s="69">
        <f>AK129</f>
        <v>32.143649999999987</v>
      </c>
      <c r="BK129" s="69">
        <f>BJ129*((1+BK130)^(1/4))</f>
        <v>32.918751982139213</v>
      </c>
      <c r="BL129" s="69">
        <f>BK129*((1+BL130)^(1/4))</f>
        <v>33.712544532484479</v>
      </c>
      <c r="BM129" s="69">
        <f t="shared" ref="BM129:BN129" si="418">BL129*((1+BM130)^(1/4))</f>
        <v>34.525478349586322</v>
      </c>
      <c r="BN129" s="69">
        <f t="shared" si="418"/>
        <v>35.358014999999988</v>
      </c>
      <c r="BR129" s="1472"/>
    </row>
    <row r="130" spans="1:76" ht="14.25" customHeight="1" outlineLevel="1">
      <c r="A130" s="8"/>
      <c r="B130" s="33" t="s">
        <v>79</v>
      </c>
      <c r="C130" s="34"/>
      <c r="D130" s="87"/>
      <c r="E130" s="88"/>
      <c r="F130" s="88"/>
      <c r="G130" s="89"/>
      <c r="H130" s="87"/>
      <c r="I130" s="88"/>
      <c r="J130" s="88"/>
      <c r="K130" s="89"/>
      <c r="L130" s="87"/>
      <c r="M130" s="88"/>
      <c r="N130" s="88"/>
      <c r="O130" s="89"/>
      <c r="P130" s="88"/>
      <c r="Q130" s="90"/>
      <c r="R130" s="90"/>
      <c r="S130" s="91"/>
      <c r="T130" s="35"/>
      <c r="U130" s="35"/>
      <c r="V130" s="35"/>
      <c r="W130" s="36"/>
      <c r="X130" s="35"/>
      <c r="Y130" s="35">
        <v>0.1</v>
      </c>
      <c r="Z130" s="35">
        <v>0.1</v>
      </c>
      <c r="AA130" s="36">
        <v>0.1</v>
      </c>
      <c r="AB130" s="35">
        <v>0.1</v>
      </c>
      <c r="AC130" s="35">
        <v>0.1</v>
      </c>
      <c r="AD130" s="35">
        <v>0.1</v>
      </c>
      <c r="AE130" s="36">
        <v>0.1</v>
      </c>
      <c r="AF130" s="35">
        <v>0.1</v>
      </c>
      <c r="AG130" s="35">
        <v>0.1</v>
      </c>
      <c r="AH130" s="35">
        <v>0.1</v>
      </c>
      <c r="AI130" s="36">
        <v>0.1</v>
      </c>
      <c r="AJ130" s="35">
        <v>0.1</v>
      </c>
      <c r="AK130" s="35">
        <v>0.1</v>
      </c>
      <c r="AL130" s="35">
        <v>0.1</v>
      </c>
      <c r="AM130" s="1490">
        <v>0.1</v>
      </c>
      <c r="AN130" s="1673">
        <v>0.1</v>
      </c>
      <c r="AO130" s="1673">
        <v>0.1</v>
      </c>
      <c r="AP130" s="1741">
        <v>0.1</v>
      </c>
      <c r="AQ130" s="1742">
        <v>0.1</v>
      </c>
      <c r="AR130" s="1741">
        <v>0.1</v>
      </c>
      <c r="AS130" s="1602">
        <v>0.1</v>
      </c>
      <c r="AT130" s="1602">
        <v>0.1</v>
      </c>
      <c r="AU130" s="1849">
        <v>0.1</v>
      </c>
      <c r="AV130" s="1602">
        <v>0.1</v>
      </c>
      <c r="AW130" s="1504">
        <v>0.1</v>
      </c>
      <c r="AX130" s="1504">
        <v>0.1</v>
      </c>
      <c r="AY130" s="1526">
        <v>0.1</v>
      </c>
      <c r="AZ130" s="20"/>
      <c r="BA130" s="1518"/>
      <c r="BB130" s="1518"/>
      <c r="BC130" s="1518"/>
      <c r="BD130" s="1518"/>
      <c r="BE130" s="1518"/>
      <c r="BF130" s="1518"/>
      <c r="BG130" s="1518"/>
      <c r="BH130" s="1809"/>
      <c r="BI130" s="1808"/>
      <c r="BJ130" s="1808"/>
      <c r="BK130" s="1808">
        <v>0.1</v>
      </c>
      <c r="BL130" s="1808">
        <v>0.1</v>
      </c>
      <c r="BM130" s="1808">
        <v>0.1</v>
      </c>
      <c r="BN130" s="1808">
        <v>0.1</v>
      </c>
      <c r="BR130" s="1472"/>
    </row>
    <row r="131" spans="1:76" ht="14.25" customHeight="1" outlineLevel="1">
      <c r="A131" s="8"/>
      <c r="B131" s="23"/>
      <c r="C131" s="24"/>
      <c r="D131" s="50"/>
      <c r="E131" s="40"/>
      <c r="F131" s="40"/>
      <c r="G131" s="41"/>
      <c r="H131" s="50"/>
      <c r="I131" s="40"/>
      <c r="J131" s="40"/>
      <c r="K131" s="41"/>
      <c r="L131" s="50"/>
      <c r="M131" s="40"/>
      <c r="N131" s="40"/>
      <c r="O131" s="41"/>
      <c r="P131" s="40"/>
      <c r="Q131" s="40"/>
      <c r="R131" s="40"/>
      <c r="S131" s="41"/>
      <c r="T131" s="40"/>
      <c r="U131" s="40"/>
      <c r="V131" s="40"/>
      <c r="W131" s="41"/>
      <c r="X131" s="50"/>
      <c r="Y131" s="40"/>
      <c r="Z131" s="40"/>
      <c r="AA131" s="41"/>
      <c r="AB131" s="50"/>
      <c r="AC131" s="40"/>
      <c r="AD131" s="40"/>
      <c r="AE131" s="41"/>
      <c r="AF131" s="50"/>
      <c r="AG131" s="40"/>
      <c r="AH131" s="40"/>
      <c r="AI131" s="41"/>
      <c r="AJ131" s="50"/>
      <c r="AK131" s="40"/>
      <c r="AL131" s="40"/>
      <c r="AM131" s="41"/>
      <c r="AN131" s="50"/>
      <c r="AO131" s="40"/>
      <c r="AP131" s="40"/>
      <c r="AQ131" s="41"/>
      <c r="AR131" s="50"/>
      <c r="AS131" s="40"/>
      <c r="AT131" s="40"/>
      <c r="AU131" s="41"/>
      <c r="AV131" s="40"/>
      <c r="AW131" s="40"/>
      <c r="AX131" s="40"/>
      <c r="AY131" s="41"/>
      <c r="AZ131" s="20"/>
      <c r="BA131" s="40"/>
      <c r="BB131" s="40"/>
      <c r="BC131" s="40"/>
      <c r="BD131" s="40"/>
      <c r="BE131" s="40"/>
      <c r="BF131" s="40"/>
      <c r="BG131" s="40"/>
      <c r="BH131" s="50"/>
      <c r="BI131" s="40"/>
      <c r="BJ131" s="40"/>
      <c r="BK131" s="40"/>
      <c r="BL131" s="40"/>
      <c r="BM131" s="40"/>
      <c r="BN131" s="40"/>
      <c r="BR131" s="1472"/>
    </row>
    <row r="132" spans="1:76" ht="14.25" customHeight="1" outlineLevel="1">
      <c r="A132" s="8"/>
      <c r="B132" s="23" t="s">
        <v>80</v>
      </c>
      <c r="C132" s="24"/>
      <c r="D132" s="94">
        <v>0.255</v>
      </c>
      <c r="E132" s="92">
        <v>0.255</v>
      </c>
      <c r="F132" s="92">
        <v>0.255</v>
      </c>
      <c r="G132" s="93">
        <v>0.255</v>
      </c>
      <c r="H132" s="94">
        <v>0.255</v>
      </c>
      <c r="I132" s="92">
        <v>0.255</v>
      </c>
      <c r="J132" s="92">
        <v>0.255</v>
      </c>
      <c r="K132" s="93">
        <v>0.255</v>
      </c>
      <c r="L132" s="94">
        <v>0.255</v>
      </c>
      <c r="M132" s="92">
        <v>0.255</v>
      </c>
      <c r="N132" s="92">
        <v>0.255</v>
      </c>
      <c r="O132" s="93">
        <v>0.255</v>
      </c>
      <c r="P132" s="92">
        <v>0.255</v>
      </c>
      <c r="Q132" s="92">
        <v>0.255</v>
      </c>
      <c r="R132" s="92">
        <v>0.255</v>
      </c>
      <c r="S132" s="93">
        <v>0.255</v>
      </c>
      <c r="T132" s="92">
        <v>0.255</v>
      </c>
      <c r="U132" s="92">
        <v>0.255</v>
      </c>
      <c r="V132" s="92">
        <v>0.255</v>
      </c>
      <c r="W132" s="93">
        <v>0.255</v>
      </c>
      <c r="X132" s="94">
        <v>0.255</v>
      </c>
      <c r="Y132" s="92">
        <v>0.255</v>
      </c>
      <c r="Z132" s="92">
        <v>0.255</v>
      </c>
      <c r="AA132" s="93">
        <v>0.255</v>
      </c>
      <c r="AB132" s="94">
        <v>0.255</v>
      </c>
      <c r="AC132" s="92">
        <v>0.255</v>
      </c>
      <c r="AD132" s="92">
        <v>0.255</v>
      </c>
      <c r="AE132" s="93">
        <v>0.255</v>
      </c>
      <c r="AF132" s="94">
        <v>0.255</v>
      </c>
      <c r="AG132" s="92">
        <v>0.255</v>
      </c>
      <c r="AH132" s="92">
        <v>0.255</v>
      </c>
      <c r="AI132" s="93">
        <v>0.255</v>
      </c>
      <c r="AJ132" s="94">
        <v>0.255</v>
      </c>
      <c r="AK132" s="92">
        <v>0.255</v>
      </c>
      <c r="AL132" s="92">
        <v>0.255</v>
      </c>
      <c r="AM132" s="1519">
        <v>0.255</v>
      </c>
      <c r="AN132" s="1606">
        <v>0.255</v>
      </c>
      <c r="AO132" s="1604">
        <v>0.255</v>
      </c>
      <c r="AP132" s="1604">
        <v>0.255</v>
      </c>
      <c r="AQ132" s="1605">
        <v>0.255</v>
      </c>
      <c r="AR132" s="1809">
        <v>0.255</v>
      </c>
      <c r="AS132" s="1604">
        <v>0.255</v>
      </c>
      <c r="AT132" s="1604">
        <v>0.255</v>
      </c>
      <c r="AU132" s="1605">
        <v>0.255</v>
      </c>
      <c r="AV132" s="1604">
        <v>0.255</v>
      </c>
      <c r="AW132" s="1518">
        <v>0.255</v>
      </c>
      <c r="AX132" s="1518">
        <v>0.255</v>
      </c>
      <c r="AY132" s="1519">
        <v>0.255</v>
      </c>
      <c r="AZ132" s="20"/>
      <c r="BA132" s="1518">
        <v>0.255</v>
      </c>
      <c r="BB132" s="1518">
        <v>0.255</v>
      </c>
      <c r="BC132" s="1518">
        <v>0.255</v>
      </c>
      <c r="BD132" s="1518">
        <v>0.255</v>
      </c>
      <c r="BE132" s="1518">
        <v>0.255</v>
      </c>
      <c r="BF132" s="1518">
        <v>0.255</v>
      </c>
      <c r="BG132" s="1518">
        <v>0.255</v>
      </c>
      <c r="BH132" s="1809">
        <v>0.255</v>
      </c>
      <c r="BI132" s="1808">
        <v>0.255</v>
      </c>
      <c r="BJ132" s="1808">
        <v>0.255</v>
      </c>
      <c r="BK132" s="1808">
        <v>0.255</v>
      </c>
      <c r="BL132" s="1808">
        <v>0.255</v>
      </c>
      <c r="BM132" s="1808">
        <v>0.255</v>
      </c>
      <c r="BN132" s="1808">
        <v>0.255</v>
      </c>
      <c r="BR132" s="1472"/>
    </row>
    <row r="133" spans="1:76" ht="14.25" customHeight="1">
      <c r="A133" s="8"/>
      <c r="B133" s="100"/>
      <c r="C133" s="101"/>
      <c r="D133" s="102"/>
      <c r="E133" s="103"/>
      <c r="F133" s="103"/>
      <c r="G133" s="104"/>
      <c r="H133" s="102"/>
      <c r="I133" s="103"/>
      <c r="J133" s="103"/>
      <c r="K133" s="104"/>
      <c r="L133" s="102"/>
      <c r="M133" s="103"/>
      <c r="N133" s="103"/>
      <c r="O133" s="104"/>
      <c r="P133" s="103"/>
      <c r="Q133" s="103"/>
      <c r="R133" s="103"/>
      <c r="S133" s="104"/>
      <c r="T133" s="103"/>
      <c r="U133" s="103"/>
      <c r="V133" s="103"/>
      <c r="W133" s="104"/>
      <c r="X133" s="102"/>
      <c r="Y133" s="103"/>
      <c r="Z133" s="103"/>
      <c r="AA133" s="104"/>
      <c r="AB133" s="102"/>
      <c r="AC133" s="103"/>
      <c r="AD133" s="103"/>
      <c r="AE133" s="104"/>
      <c r="AF133" s="102"/>
      <c r="AG133" s="103"/>
      <c r="AH133" s="103"/>
      <c r="AI133" s="104"/>
      <c r="AJ133" s="102"/>
      <c r="AK133" s="103"/>
      <c r="AL133" s="103"/>
      <c r="AM133" s="104"/>
      <c r="AN133" s="102"/>
      <c r="AO133" s="103"/>
      <c r="AP133" s="103"/>
      <c r="AQ133" s="104"/>
      <c r="AR133" s="102"/>
      <c r="AS133" s="103"/>
      <c r="AT133" s="103"/>
      <c r="AU133" s="104"/>
      <c r="AV133" s="103"/>
      <c r="AW133" s="103"/>
      <c r="AX133" s="103"/>
      <c r="AY133" s="104"/>
      <c r="AZ133" s="20"/>
      <c r="BA133" s="103"/>
      <c r="BB133" s="103"/>
      <c r="BC133" s="103"/>
      <c r="BD133" s="103"/>
      <c r="BE133" s="103"/>
      <c r="BF133" s="103"/>
      <c r="BG133" s="103"/>
      <c r="BH133" s="102"/>
      <c r="BI133" s="103"/>
      <c r="BJ133" s="103"/>
      <c r="BK133" s="103"/>
      <c r="BL133" s="103"/>
      <c r="BM133" s="103"/>
      <c r="BN133" s="103"/>
      <c r="BR133" s="1472"/>
    </row>
    <row r="134" spans="1:76" ht="14.25" customHeight="1">
      <c r="A134" s="8"/>
      <c r="B134" s="8"/>
      <c r="C134" s="8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14"/>
      <c r="BB134" s="14"/>
      <c r="BC134" s="14"/>
      <c r="BD134" s="14"/>
      <c r="BE134" s="14"/>
      <c r="BF134" s="14"/>
      <c r="BG134" s="14"/>
      <c r="BH134" s="14"/>
      <c r="BI134" s="14"/>
      <c r="BJ134" s="14"/>
      <c r="BK134" s="14"/>
      <c r="BL134" s="14"/>
      <c r="BM134" s="14"/>
      <c r="BN134" s="14"/>
    </row>
    <row r="135" spans="1:76" ht="14.25" customHeight="1">
      <c r="A135" s="8"/>
      <c r="B135" s="1450" t="s">
        <v>438</v>
      </c>
      <c r="C135" s="902"/>
      <c r="D135" s="1803" t="str">
        <f t="shared" ref="D135:G135" si="419">+D$7</f>
        <v>F1Q07A</v>
      </c>
      <c r="E135" s="1804" t="str">
        <f t="shared" si="419"/>
        <v>F2Q07A</v>
      </c>
      <c r="F135" s="1804" t="str">
        <f t="shared" si="419"/>
        <v>F3Q07A</v>
      </c>
      <c r="G135" s="1805" t="str">
        <f t="shared" si="419"/>
        <v>F4Q07A</v>
      </c>
      <c r="H135" s="17" t="str">
        <f>+H$7</f>
        <v>F1Q08A</v>
      </c>
      <c r="I135" s="18" t="str">
        <f>+I$7</f>
        <v>F2Q08A</v>
      </c>
      <c r="J135" s="18" t="str">
        <f>+J$7</f>
        <v>F3Q08A</v>
      </c>
      <c r="K135" s="19" t="str">
        <f>+K$7</f>
        <v>F4Q08A</v>
      </c>
      <c r="L135" s="17" t="str">
        <f t="shared" ref="L135:AY135" si="420">+L$7</f>
        <v>F1Q09A</v>
      </c>
      <c r="M135" s="18" t="str">
        <f t="shared" si="420"/>
        <v>F2Q09A</v>
      </c>
      <c r="N135" s="18" t="str">
        <f t="shared" si="420"/>
        <v>F3Q09A</v>
      </c>
      <c r="O135" s="19" t="str">
        <f t="shared" si="420"/>
        <v>F4Q09A</v>
      </c>
      <c r="P135" s="17" t="str">
        <f t="shared" si="420"/>
        <v>F1Q10A</v>
      </c>
      <c r="Q135" s="18" t="str">
        <f t="shared" si="420"/>
        <v>F2Q10A</v>
      </c>
      <c r="R135" s="18" t="str">
        <f t="shared" si="420"/>
        <v>F3Q10A</v>
      </c>
      <c r="S135" s="19" t="str">
        <f t="shared" si="420"/>
        <v>F4Q10A</v>
      </c>
      <c r="T135" s="17" t="str">
        <f t="shared" si="420"/>
        <v>F1Q11A</v>
      </c>
      <c r="U135" s="18" t="str">
        <f t="shared" si="420"/>
        <v>F2Q11A</v>
      </c>
      <c r="V135" s="18" t="str">
        <f t="shared" si="420"/>
        <v>F3Q11A</v>
      </c>
      <c r="W135" s="19" t="str">
        <f t="shared" si="420"/>
        <v>F4Q11A</v>
      </c>
      <c r="X135" s="17" t="str">
        <f t="shared" si="420"/>
        <v>F1Q12A</v>
      </c>
      <c r="Y135" s="18" t="str">
        <f t="shared" si="420"/>
        <v>F2Q12A</v>
      </c>
      <c r="Z135" s="18" t="str">
        <f t="shared" si="420"/>
        <v>F3Q12A</v>
      </c>
      <c r="AA135" s="19" t="str">
        <f t="shared" si="420"/>
        <v>F4Q12A</v>
      </c>
      <c r="AB135" s="17" t="str">
        <f t="shared" si="420"/>
        <v>F1Q13A</v>
      </c>
      <c r="AC135" s="18" t="str">
        <f t="shared" si="420"/>
        <v>F2Q13A</v>
      </c>
      <c r="AD135" s="18" t="str">
        <f t="shared" si="420"/>
        <v>F3Q13A</v>
      </c>
      <c r="AE135" s="19" t="str">
        <f t="shared" si="420"/>
        <v>F4Q13A</v>
      </c>
      <c r="AF135" s="17" t="str">
        <f t="shared" si="420"/>
        <v>F1Q14A</v>
      </c>
      <c r="AG135" s="18" t="str">
        <f t="shared" si="420"/>
        <v>F2Q14A</v>
      </c>
      <c r="AH135" s="18" t="str">
        <f t="shared" si="420"/>
        <v>F3Q14A</v>
      </c>
      <c r="AI135" s="18" t="str">
        <f t="shared" si="420"/>
        <v>F4Q14A</v>
      </c>
      <c r="AJ135" s="17" t="str">
        <f t="shared" si="420"/>
        <v>F1Q15A</v>
      </c>
      <c r="AK135" s="18" t="str">
        <f t="shared" si="420"/>
        <v>F2Q15A</v>
      </c>
      <c r="AL135" s="18" t="str">
        <f t="shared" si="420"/>
        <v>F3Q15A</v>
      </c>
      <c r="AM135" s="1503" t="str">
        <f t="shared" si="420"/>
        <v>F4Q15A</v>
      </c>
      <c r="AN135" s="1671" t="str">
        <f t="shared" si="420"/>
        <v>F1Q16A</v>
      </c>
      <c r="AO135" s="1710" t="str">
        <f t="shared" si="420"/>
        <v>F2Q16A</v>
      </c>
      <c r="AP135" s="1740" t="str">
        <f t="shared" si="420"/>
        <v>F3Q16A</v>
      </c>
      <c r="AQ135" s="1804" t="str">
        <f t="shared" si="420"/>
        <v>F4Q16A</v>
      </c>
      <c r="AR135" s="1803" t="str">
        <f t="shared" si="420"/>
        <v>F1Q17A</v>
      </c>
      <c r="AS135" s="18" t="str">
        <f t="shared" si="420"/>
        <v>F2Q17A</v>
      </c>
      <c r="AT135" s="18" t="str">
        <f t="shared" si="420"/>
        <v>F3Q17A</v>
      </c>
      <c r="AU135" s="19" t="str">
        <f t="shared" si="420"/>
        <v>F4Q17A</v>
      </c>
      <c r="AV135" s="1488" t="str">
        <f t="shared" si="420"/>
        <v>F1Q18E</v>
      </c>
      <c r="AW135" s="1503" t="str">
        <f t="shared" si="420"/>
        <v>F2Q18E</v>
      </c>
      <c r="AX135" s="1503" t="str">
        <f t="shared" si="420"/>
        <v>F3Q18E</v>
      </c>
      <c r="AY135" s="1489" t="str">
        <f t="shared" si="420"/>
        <v>F4Q18E</v>
      </c>
      <c r="AZ135" s="20"/>
      <c r="BA135" s="1503" t="str">
        <f t="shared" ref="BA135:BN135" si="421">+BA$7</f>
        <v>FY2007A</v>
      </c>
      <c r="BB135" s="1503" t="str">
        <f t="shared" si="421"/>
        <v>FY2008A</v>
      </c>
      <c r="BC135" s="1503" t="str">
        <f t="shared" si="421"/>
        <v>FY2009A</v>
      </c>
      <c r="BD135" s="1503" t="str">
        <f t="shared" si="421"/>
        <v>FY2010A</v>
      </c>
      <c r="BE135" s="1503" t="str">
        <f t="shared" si="421"/>
        <v>FY2011A</v>
      </c>
      <c r="BF135" s="1503" t="str">
        <f t="shared" si="421"/>
        <v>FY2012A</v>
      </c>
      <c r="BG135" s="1503" t="str">
        <f t="shared" si="421"/>
        <v>FY2013A</v>
      </c>
      <c r="BH135" s="1503" t="str">
        <f t="shared" si="421"/>
        <v>FY2014A</v>
      </c>
      <c r="BI135" s="18" t="str">
        <f t="shared" si="421"/>
        <v>FY2015A</v>
      </c>
      <c r="BJ135" s="18" t="str">
        <f t="shared" si="421"/>
        <v>FY2016A</v>
      </c>
      <c r="BK135" s="1804" t="str">
        <f t="shared" si="421"/>
        <v>FY2017A</v>
      </c>
      <c r="BL135" s="1804" t="str">
        <f t="shared" si="421"/>
        <v>FY2018E</v>
      </c>
      <c r="BM135" s="1804" t="str">
        <f t="shared" si="421"/>
        <v>FY2019E</v>
      </c>
      <c r="BN135" s="1804" t="str">
        <f t="shared" si="421"/>
        <v>FY2020E</v>
      </c>
      <c r="BR135" s="1472"/>
    </row>
    <row r="136" spans="1:76" ht="14.25" customHeight="1">
      <c r="A136" s="8"/>
      <c r="B136" s="22"/>
      <c r="C136" s="14"/>
      <c r="D136" s="58"/>
      <c r="E136" s="58"/>
      <c r="F136" s="58"/>
      <c r="G136" s="58"/>
      <c r="H136" s="23"/>
      <c r="I136" s="58"/>
      <c r="J136" s="58"/>
      <c r="K136" s="24"/>
      <c r="L136" s="22"/>
      <c r="M136" s="14"/>
      <c r="N136" s="14"/>
      <c r="O136" s="246"/>
      <c r="P136" s="22"/>
      <c r="Q136" s="14"/>
      <c r="R136" s="14"/>
      <c r="S136" s="246"/>
      <c r="T136" s="22"/>
      <c r="U136" s="14"/>
      <c r="V136" s="14"/>
      <c r="W136" s="246"/>
      <c r="X136" s="22"/>
      <c r="Y136" s="14"/>
      <c r="Z136" s="14"/>
      <c r="AA136" s="246"/>
      <c r="AB136" s="22"/>
      <c r="AC136" s="14"/>
      <c r="AD136" s="14"/>
      <c r="AE136" s="246"/>
      <c r="AF136" s="22"/>
      <c r="AG136" s="14"/>
      <c r="AH136" s="14"/>
      <c r="AI136" s="246"/>
      <c r="AJ136" s="22"/>
      <c r="AK136" s="14"/>
      <c r="AL136" s="14"/>
      <c r="AM136" s="246"/>
      <c r="AN136" s="22"/>
      <c r="AO136" s="14"/>
      <c r="AP136" s="14"/>
      <c r="AQ136" s="246"/>
      <c r="AR136" s="22"/>
      <c r="AS136" s="14"/>
      <c r="AT136" s="14"/>
      <c r="AU136" s="246"/>
      <c r="AV136" s="22"/>
      <c r="AW136" s="14"/>
      <c r="AX136" s="14"/>
      <c r="AY136" s="246"/>
      <c r="AZ136" s="177"/>
      <c r="BA136" s="14"/>
      <c r="BB136" s="14"/>
      <c r="BC136" s="14"/>
      <c r="BD136" s="14"/>
      <c r="BE136" s="14"/>
      <c r="BF136" s="14"/>
      <c r="BG136" s="14"/>
      <c r="BH136" s="14"/>
      <c r="BI136" s="14"/>
      <c r="BJ136" s="14"/>
      <c r="BK136" s="14"/>
      <c r="BL136" s="14"/>
      <c r="BM136" s="14"/>
      <c r="BN136" s="14"/>
      <c r="BR136" s="1472"/>
    </row>
    <row r="137" spans="1:76" ht="14.25" customHeight="1">
      <c r="A137" s="8"/>
      <c r="B137" s="22" t="s">
        <v>439</v>
      </c>
      <c r="C137" s="14"/>
      <c r="D137" s="58"/>
      <c r="E137" s="58"/>
      <c r="F137" s="58"/>
      <c r="G137" s="58"/>
      <c r="H137" s="903">
        <f t="shared" ref="H137:AU137" si="422">+H108</f>
        <v>-74</v>
      </c>
      <c r="I137" s="895">
        <f t="shared" si="422"/>
        <v>-323</v>
      </c>
      <c r="J137" s="895">
        <f t="shared" si="422"/>
        <v>-2538</v>
      </c>
      <c r="K137" s="896">
        <f t="shared" si="422"/>
        <v>-397</v>
      </c>
      <c r="L137" s="895">
        <f t="shared" si="422"/>
        <v>-291</v>
      </c>
      <c r="M137" s="895">
        <f t="shared" si="422"/>
        <v>-160</v>
      </c>
      <c r="N137" s="895">
        <f t="shared" si="422"/>
        <v>-65</v>
      </c>
      <c r="O137" s="896">
        <f t="shared" si="422"/>
        <v>-54</v>
      </c>
      <c r="P137" s="895">
        <f t="shared" si="422"/>
        <v>35</v>
      </c>
      <c r="Q137" s="895">
        <f t="shared" si="422"/>
        <v>74</v>
      </c>
      <c r="R137" s="895">
        <f t="shared" si="422"/>
        <v>94</v>
      </c>
      <c r="S137" s="896">
        <f t="shared" si="422"/>
        <v>95</v>
      </c>
      <c r="T137" s="895">
        <f t="shared" si="422"/>
        <v>117</v>
      </c>
      <c r="U137" s="895">
        <f t="shared" si="422"/>
        <v>130</v>
      </c>
      <c r="V137" s="895">
        <f t="shared" si="422"/>
        <v>126</v>
      </c>
      <c r="W137" s="896">
        <f t="shared" si="422"/>
        <v>59</v>
      </c>
      <c r="X137" s="895">
        <f t="shared" si="422"/>
        <v>48</v>
      </c>
      <c r="Y137" s="895">
        <f t="shared" si="422"/>
        <v>113</v>
      </c>
      <c r="Z137" s="895">
        <f t="shared" si="422"/>
        <v>142</v>
      </c>
      <c r="AA137" s="896">
        <f t="shared" si="422"/>
        <v>126</v>
      </c>
      <c r="AB137" s="903">
        <f t="shared" si="422"/>
        <v>169</v>
      </c>
      <c r="AC137" s="895">
        <f t="shared" si="422"/>
        <v>162</v>
      </c>
      <c r="AD137" s="895">
        <f t="shared" si="422"/>
        <v>199</v>
      </c>
      <c r="AE137" s="896">
        <f t="shared" si="422"/>
        <v>222</v>
      </c>
      <c r="AF137" s="903">
        <f t="shared" si="422"/>
        <v>221</v>
      </c>
      <c r="AG137" s="895">
        <f t="shared" si="422"/>
        <v>236</v>
      </c>
      <c r="AH137" s="895">
        <f t="shared" si="422"/>
        <v>300</v>
      </c>
      <c r="AI137" s="895">
        <f t="shared" si="422"/>
        <v>293</v>
      </c>
      <c r="AJ137" s="903">
        <f t="shared" si="422"/>
        <v>293</v>
      </c>
      <c r="AK137" s="895">
        <f t="shared" si="422"/>
        <v>315</v>
      </c>
      <c r="AL137" s="895">
        <f t="shared" ref="AL137:AO137" si="423">+AL108</f>
        <v>346</v>
      </c>
      <c r="AM137" s="895">
        <f t="shared" si="423"/>
        <v>230</v>
      </c>
      <c r="AN137" s="903">
        <f t="shared" si="423"/>
        <v>302</v>
      </c>
      <c r="AO137" s="895">
        <f t="shared" si="423"/>
        <v>406</v>
      </c>
      <c r="AP137" s="895">
        <f>+AP108</f>
        <v>491</v>
      </c>
      <c r="AQ137" s="895">
        <f t="shared" ref="AQ137:AS137" si="424">+AQ108</f>
        <v>521</v>
      </c>
      <c r="AR137" s="903">
        <f t="shared" si="424"/>
        <v>414</v>
      </c>
      <c r="AS137" s="895">
        <f t="shared" si="424"/>
        <v>453</v>
      </c>
      <c r="AT137" s="895">
        <f t="shared" si="422"/>
        <v>572</v>
      </c>
      <c r="AU137" s="896">
        <f t="shared" si="422"/>
        <v>603</v>
      </c>
      <c r="AV137" s="903">
        <f t="shared" ref="AV137:AY137" si="425">+AV108</f>
        <v>520.1679174136807</v>
      </c>
      <c r="AW137" s="895">
        <f t="shared" si="425"/>
        <v>559.55137850645383</v>
      </c>
      <c r="AX137" s="895">
        <f t="shared" si="425"/>
        <v>607.32277888395765</v>
      </c>
      <c r="AY137" s="896">
        <f t="shared" si="425"/>
        <v>599.434759306822</v>
      </c>
      <c r="AZ137" s="177"/>
      <c r="BA137" s="895">
        <f>SUM(D137:G137)</f>
        <v>0</v>
      </c>
      <c r="BB137" s="895">
        <f>SUM(H137:K137)</f>
        <v>-3332</v>
      </c>
      <c r="BC137" s="895">
        <f>SUM(L137:O137)</f>
        <v>-570</v>
      </c>
      <c r="BD137" s="895">
        <f>SUM(P137:S137)</f>
        <v>298</v>
      </c>
      <c r="BE137" s="895">
        <f>SUM(T137:W137)</f>
        <v>432</v>
      </c>
      <c r="BF137" s="895">
        <f>SUM(X137:AA137)</f>
        <v>429</v>
      </c>
      <c r="BG137" s="895">
        <f>SUM(AB137:AE137)</f>
        <v>752</v>
      </c>
      <c r="BH137" s="895">
        <f>SUM(AF137:AI137)</f>
        <v>1050</v>
      </c>
      <c r="BI137" s="895">
        <f>SUM(AJ137:AM137)</f>
        <v>1184</v>
      </c>
      <c r="BJ137" s="895">
        <f>SUM(AN137:AQ137)</f>
        <v>1720</v>
      </c>
      <c r="BK137" s="895">
        <f>SUM(AR137:AU137)</f>
        <v>2042</v>
      </c>
      <c r="BL137" s="895">
        <f>SUM(AV137:AY137)</f>
        <v>2286.4768341109143</v>
      </c>
      <c r="BM137" s="895">
        <f t="shared" ref="BM137" si="426">+BM108</f>
        <v>2494.1909622702915</v>
      </c>
      <c r="BN137" s="895">
        <f t="shared" ref="BN137" si="427">+BN108</f>
        <v>2709.5070038472868</v>
      </c>
      <c r="BR137" s="1472"/>
    </row>
    <row r="138" spans="1:76" s="581" customFormat="1" ht="14.25" customHeight="1">
      <c r="B138" s="588" t="s">
        <v>440</v>
      </c>
      <c r="C138" s="825"/>
      <c r="D138" s="897"/>
      <c r="E138" s="897"/>
      <c r="F138" s="897"/>
      <c r="G138" s="897"/>
      <c r="H138" s="1346">
        <v>0</v>
      </c>
      <c r="I138" s="1088">
        <v>0</v>
      </c>
      <c r="J138" s="1088">
        <v>0</v>
      </c>
      <c r="K138" s="1091">
        <v>0</v>
      </c>
      <c r="L138" s="1088">
        <v>0</v>
      </c>
      <c r="M138" s="1088">
        <v>0</v>
      </c>
      <c r="N138" s="1088">
        <v>0</v>
      </c>
      <c r="O138" s="1091">
        <v>0</v>
      </c>
      <c r="P138" s="1088">
        <v>0</v>
      </c>
      <c r="Q138" s="1088">
        <v>0</v>
      </c>
      <c r="R138" s="1088">
        <v>0</v>
      </c>
      <c r="S138" s="1091">
        <v>0</v>
      </c>
      <c r="T138" s="1089">
        <v>0</v>
      </c>
      <c r="U138" s="1089">
        <v>0</v>
      </c>
      <c r="V138" s="1089">
        <v>0</v>
      </c>
      <c r="W138" s="1090">
        <v>0</v>
      </c>
      <c r="X138" s="1089">
        <v>0</v>
      </c>
      <c r="Y138" s="1089">
        <v>0</v>
      </c>
      <c r="Z138" s="1089">
        <v>0</v>
      </c>
      <c r="AA138" s="1089">
        <v>0</v>
      </c>
      <c r="AB138" s="1084">
        <v>17</v>
      </c>
      <c r="AC138" s="1085">
        <v>20</v>
      </c>
      <c r="AD138" s="1085">
        <v>20</v>
      </c>
      <c r="AE138" s="1089">
        <v>31</v>
      </c>
      <c r="AF138" s="1084">
        <f>AF15+AF31+AF44</f>
        <v>28</v>
      </c>
      <c r="AG138" s="1085">
        <v>37</v>
      </c>
      <c r="AH138" s="1085">
        <v>34</v>
      </c>
      <c r="AI138" s="1085">
        <v>34</v>
      </c>
      <c r="AJ138" s="1084">
        <f>AJ15+AJ31+AJ44</f>
        <v>35</v>
      </c>
      <c r="AK138" s="1085">
        <f>AK15+AK31+AK44</f>
        <v>36</v>
      </c>
      <c r="AL138" s="1085">
        <v>34</v>
      </c>
      <c r="AM138" s="1085">
        <v>111</v>
      </c>
      <c r="AN138" s="1084">
        <f>AN15+AN31+AN44</f>
        <v>99</v>
      </c>
      <c r="AO138" s="1085">
        <v>80</v>
      </c>
      <c r="AP138" s="1085">
        <v>77</v>
      </c>
      <c r="AQ138" s="1085">
        <v>82</v>
      </c>
      <c r="AR138" s="1084">
        <v>68</v>
      </c>
      <c r="AS138" s="1085">
        <v>67</v>
      </c>
      <c r="AT138" s="1889">
        <v>68</v>
      </c>
      <c r="AU138" s="1085">
        <v>78</v>
      </c>
      <c r="AV138" s="908">
        <f t="shared" ref="AV138:AY138" si="428">AV15+AV31+AV44</f>
        <v>78</v>
      </c>
      <c r="AW138" s="898">
        <f t="shared" si="428"/>
        <v>78</v>
      </c>
      <c r="AX138" s="898">
        <f t="shared" si="428"/>
        <v>78</v>
      </c>
      <c r="AY138" s="899">
        <f t="shared" si="428"/>
        <v>78</v>
      </c>
      <c r="AZ138" s="1171"/>
      <c r="BA138" s="898">
        <f>SUM(D138:G138)</f>
        <v>0</v>
      </c>
      <c r="BB138" s="898">
        <f>SUM(H138:K138)</f>
        <v>0</v>
      </c>
      <c r="BC138" s="898">
        <f>SUM(L138:O138)</f>
        <v>0</v>
      </c>
      <c r="BD138" s="898">
        <f>SUM(P138:S138)</f>
        <v>0</v>
      </c>
      <c r="BE138" s="898">
        <f>SUM(T138:W138)</f>
        <v>0</v>
      </c>
      <c r="BF138" s="898">
        <f>SUM(X138:AA138)</f>
        <v>0</v>
      </c>
      <c r="BG138" s="898">
        <f>SUM(AB138:AE138)</f>
        <v>88</v>
      </c>
      <c r="BH138" s="898">
        <f>SUM(AF138:AI138)</f>
        <v>133</v>
      </c>
      <c r="BI138" s="898">
        <f>SUM(AJ138:AM138)</f>
        <v>216</v>
      </c>
      <c r="BJ138" s="898">
        <f>SUM(AN138:AQ138)</f>
        <v>338</v>
      </c>
      <c r="BK138" s="898">
        <f>SUM(AR138:AU138)</f>
        <v>281</v>
      </c>
      <c r="BL138" s="898">
        <f>SUM(AV138:AY138)</f>
        <v>312</v>
      </c>
      <c r="BM138" s="898">
        <f>BM15+BM31+BM44</f>
        <v>312</v>
      </c>
      <c r="BN138" s="898">
        <f>BN15+BN31+BN44</f>
        <v>312</v>
      </c>
      <c r="BR138" s="588"/>
      <c r="BS138"/>
      <c r="BT138"/>
      <c r="BU138"/>
      <c r="BV138"/>
      <c r="BW138"/>
      <c r="BX138"/>
    </row>
    <row r="139" spans="1:76" ht="14.25" customHeight="1">
      <c r="A139" s="8"/>
      <c r="B139" s="15" t="s">
        <v>442</v>
      </c>
      <c r="C139" s="238"/>
      <c r="D139" s="61"/>
      <c r="E139" s="61"/>
      <c r="F139" s="61"/>
      <c r="G139" s="61"/>
      <c r="H139" s="55">
        <f>+H138+H137</f>
        <v>-74</v>
      </c>
      <c r="I139" s="61">
        <f>+I138+I137</f>
        <v>-323</v>
      </c>
      <c r="J139" s="61">
        <f>+J138+J137</f>
        <v>-2538</v>
      </c>
      <c r="K139" s="56">
        <f>+K138+K137</f>
        <v>-397</v>
      </c>
      <c r="L139" s="61">
        <f t="shared" ref="L139:AA139" si="429">+L138+L137</f>
        <v>-291</v>
      </c>
      <c r="M139" s="61">
        <f t="shared" si="429"/>
        <v>-160</v>
      </c>
      <c r="N139" s="61">
        <f t="shared" si="429"/>
        <v>-65</v>
      </c>
      <c r="O139" s="56">
        <f t="shared" si="429"/>
        <v>-54</v>
      </c>
      <c r="P139" s="61">
        <f t="shared" si="429"/>
        <v>35</v>
      </c>
      <c r="Q139" s="61">
        <f t="shared" si="429"/>
        <v>74</v>
      </c>
      <c r="R139" s="61">
        <f t="shared" si="429"/>
        <v>94</v>
      </c>
      <c r="S139" s="56">
        <f t="shared" si="429"/>
        <v>95</v>
      </c>
      <c r="T139" s="238">
        <f t="shared" si="429"/>
        <v>117</v>
      </c>
      <c r="U139" s="238">
        <f t="shared" si="429"/>
        <v>130</v>
      </c>
      <c r="V139" s="238">
        <f t="shared" si="429"/>
        <v>126</v>
      </c>
      <c r="W139" s="16">
        <f t="shared" si="429"/>
        <v>59</v>
      </c>
      <c r="X139" s="238">
        <f t="shared" si="429"/>
        <v>48</v>
      </c>
      <c r="Y139" s="238">
        <f t="shared" si="429"/>
        <v>113</v>
      </c>
      <c r="Z139" s="238">
        <f t="shared" si="429"/>
        <v>142</v>
      </c>
      <c r="AA139" s="238">
        <f t="shared" si="429"/>
        <v>126</v>
      </c>
      <c r="AB139" s="904">
        <f>+AB138+AB137</f>
        <v>186</v>
      </c>
      <c r="AC139" s="900">
        <f>+AC138+AC137</f>
        <v>182</v>
      </c>
      <c r="AD139" s="900">
        <f>+SUM(AD137:AD138)</f>
        <v>219</v>
      </c>
      <c r="AE139" s="238">
        <f>+AE138+AE137</f>
        <v>253</v>
      </c>
      <c r="AF139" s="904">
        <f>+SUM(AF137:AF138)</f>
        <v>249</v>
      </c>
      <c r="AG139" s="900">
        <f>+AG138+AG137</f>
        <v>273</v>
      </c>
      <c r="AH139" s="900">
        <f>+SUM(AH137:AH138)</f>
        <v>334</v>
      </c>
      <c r="AI139" s="900">
        <f>+SUM(AI137:AI138)</f>
        <v>327</v>
      </c>
      <c r="AJ139" s="904">
        <f>+SUM(AJ137:AJ138)</f>
        <v>328</v>
      </c>
      <c r="AK139" s="900">
        <f>+AK138+AK137</f>
        <v>351</v>
      </c>
      <c r="AL139" s="900">
        <f>+SUM(AL137:AL138)</f>
        <v>380</v>
      </c>
      <c r="AM139" s="900">
        <f>+SUM(AM137:AM138)</f>
        <v>341</v>
      </c>
      <c r="AN139" s="904">
        <f>+SUM(AN137:AN138)</f>
        <v>401</v>
      </c>
      <c r="AO139" s="900">
        <f>+AO138+AO137</f>
        <v>486</v>
      </c>
      <c r="AP139" s="900">
        <f>+SUM(AP137:AP138)</f>
        <v>568</v>
      </c>
      <c r="AQ139" s="900">
        <f>+SUM(AQ137:AQ138)</f>
        <v>603</v>
      </c>
      <c r="AR139" s="904">
        <f>+SUM(AR137:AR138)</f>
        <v>482</v>
      </c>
      <c r="AS139" s="900">
        <f>+AS138+AS137</f>
        <v>520</v>
      </c>
      <c r="AT139" s="900">
        <f t="shared" ref="AT139:AU139" si="430">+SUM(AT137:AT138)</f>
        <v>640</v>
      </c>
      <c r="AU139" s="901">
        <f t="shared" si="430"/>
        <v>681</v>
      </c>
      <c r="AV139" s="904">
        <f t="shared" ref="AV139:AY139" si="431">+SUM(AV137:AV138)</f>
        <v>598.1679174136807</v>
      </c>
      <c r="AW139" s="900">
        <f t="shared" si="431"/>
        <v>637.55137850645383</v>
      </c>
      <c r="AX139" s="900">
        <f t="shared" si="431"/>
        <v>685.32277888395765</v>
      </c>
      <c r="AY139" s="901">
        <f t="shared" si="431"/>
        <v>677.434759306822</v>
      </c>
      <c r="AZ139" s="177"/>
      <c r="BA139" s="900">
        <f t="shared" ref="BA139:BI139" si="432">+BA137+BA138</f>
        <v>0</v>
      </c>
      <c r="BB139" s="900">
        <f t="shared" si="432"/>
        <v>-3332</v>
      </c>
      <c r="BC139" s="900">
        <f t="shared" si="432"/>
        <v>-570</v>
      </c>
      <c r="BD139" s="900">
        <f t="shared" si="432"/>
        <v>298</v>
      </c>
      <c r="BE139" s="900">
        <f t="shared" si="432"/>
        <v>432</v>
      </c>
      <c r="BF139" s="900">
        <f t="shared" si="432"/>
        <v>429</v>
      </c>
      <c r="BG139" s="900">
        <f t="shared" si="432"/>
        <v>840</v>
      </c>
      <c r="BH139" s="900">
        <f t="shared" si="432"/>
        <v>1183</v>
      </c>
      <c r="BI139" s="900">
        <f t="shared" si="432"/>
        <v>1400</v>
      </c>
      <c r="BJ139" s="900">
        <f t="shared" ref="BJ139:BL139" si="433">+BJ137+BJ138</f>
        <v>2058</v>
      </c>
      <c r="BK139" s="900">
        <f t="shared" si="433"/>
        <v>2323</v>
      </c>
      <c r="BL139" s="900">
        <f t="shared" si="433"/>
        <v>2598.4768341109143</v>
      </c>
      <c r="BM139" s="900">
        <f t="shared" ref="BM139" si="434">+SUM(BM137:BM138)</f>
        <v>2806.1909622702915</v>
      </c>
      <c r="BN139" s="900">
        <f t="shared" ref="BN139" si="435">+SUM(BN137:BN138)</f>
        <v>3021.5070038472868</v>
      </c>
      <c r="BR139" s="1472"/>
    </row>
    <row r="140" spans="1:76" ht="14.25" customHeight="1">
      <c r="A140" s="8"/>
      <c r="B140" s="14"/>
      <c r="C140" s="14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  <c r="S140" s="58"/>
      <c r="T140" s="14"/>
      <c r="U140" s="14"/>
      <c r="V140" s="14"/>
      <c r="W140" s="14"/>
      <c r="X140" s="14"/>
      <c r="Y140" s="14"/>
      <c r="Z140" s="14"/>
      <c r="AA140" s="14"/>
      <c r="AB140" s="895"/>
      <c r="AC140" s="895"/>
      <c r="AD140" s="895"/>
      <c r="AE140" s="14"/>
      <c r="AF140" s="895"/>
      <c r="AG140" s="895"/>
      <c r="AH140" s="895"/>
      <c r="AI140" s="895"/>
      <c r="AJ140" s="895"/>
      <c r="AK140" s="895"/>
      <c r="AL140" s="895"/>
      <c r="AM140" s="895"/>
      <c r="AN140" s="895"/>
      <c r="AO140" s="895"/>
      <c r="AP140" s="895"/>
      <c r="AQ140" s="895"/>
      <c r="AR140" s="895"/>
      <c r="AS140" s="895"/>
      <c r="AT140" s="895"/>
      <c r="AU140" s="895"/>
      <c r="AV140" s="895"/>
      <c r="AW140" s="895"/>
      <c r="AX140" s="895"/>
      <c r="AY140" s="895"/>
      <c r="AZ140" s="58"/>
      <c r="BA140" s="895"/>
      <c r="BB140" s="895"/>
      <c r="BC140" s="895"/>
      <c r="BD140" s="895"/>
      <c r="BE140" s="895"/>
      <c r="BF140" s="895"/>
      <c r="BG140" s="895"/>
      <c r="BH140" s="895"/>
      <c r="BI140" s="895"/>
      <c r="BJ140" s="895"/>
      <c r="BK140" s="895"/>
      <c r="BL140" s="895"/>
      <c r="BM140" s="895"/>
      <c r="BN140" s="895"/>
    </row>
    <row r="141" spans="1:76" ht="14.25" customHeight="1">
      <c r="A141" s="8"/>
      <c r="B141" s="1450" t="s">
        <v>528</v>
      </c>
      <c r="C141" s="1885"/>
      <c r="D141" s="1803" t="str">
        <f t="shared" ref="D141:AI141" si="436">+D$7</f>
        <v>F1Q07A</v>
      </c>
      <c r="E141" s="1804" t="str">
        <f t="shared" si="436"/>
        <v>F2Q07A</v>
      </c>
      <c r="F141" s="1804" t="str">
        <f t="shared" si="436"/>
        <v>F3Q07A</v>
      </c>
      <c r="G141" s="1805" t="str">
        <f t="shared" si="436"/>
        <v>F4Q07A</v>
      </c>
      <c r="H141" s="1803" t="str">
        <f t="shared" si="436"/>
        <v>F1Q08A</v>
      </c>
      <c r="I141" s="1804" t="str">
        <f t="shared" si="436"/>
        <v>F2Q08A</v>
      </c>
      <c r="J141" s="1804" t="str">
        <f t="shared" si="436"/>
        <v>F3Q08A</v>
      </c>
      <c r="K141" s="1805" t="str">
        <f t="shared" si="436"/>
        <v>F4Q08A</v>
      </c>
      <c r="L141" s="1803" t="str">
        <f t="shared" si="436"/>
        <v>F1Q09A</v>
      </c>
      <c r="M141" s="1804" t="str">
        <f t="shared" si="436"/>
        <v>F2Q09A</v>
      </c>
      <c r="N141" s="1804" t="str">
        <f t="shared" si="436"/>
        <v>F3Q09A</v>
      </c>
      <c r="O141" s="1805" t="str">
        <f t="shared" si="436"/>
        <v>F4Q09A</v>
      </c>
      <c r="P141" s="1803" t="str">
        <f t="shared" si="436"/>
        <v>F1Q10A</v>
      </c>
      <c r="Q141" s="1804" t="str">
        <f t="shared" si="436"/>
        <v>F2Q10A</v>
      </c>
      <c r="R141" s="1804" t="str">
        <f t="shared" si="436"/>
        <v>F3Q10A</v>
      </c>
      <c r="S141" s="1805" t="str">
        <f t="shared" si="436"/>
        <v>F4Q10A</v>
      </c>
      <c r="T141" s="1803" t="str">
        <f t="shared" si="436"/>
        <v>F1Q11A</v>
      </c>
      <c r="U141" s="1804" t="str">
        <f t="shared" si="436"/>
        <v>F2Q11A</v>
      </c>
      <c r="V141" s="1804" t="str">
        <f t="shared" si="436"/>
        <v>F3Q11A</v>
      </c>
      <c r="W141" s="1805" t="str">
        <f t="shared" si="436"/>
        <v>F4Q11A</v>
      </c>
      <c r="X141" s="1803" t="str">
        <f t="shared" si="436"/>
        <v>F1Q12A</v>
      </c>
      <c r="Y141" s="1804" t="str">
        <f t="shared" si="436"/>
        <v>F2Q12A</v>
      </c>
      <c r="Z141" s="1804" t="str">
        <f t="shared" si="436"/>
        <v>F3Q12A</v>
      </c>
      <c r="AA141" s="1805" t="str">
        <f t="shared" si="436"/>
        <v>F4Q12A</v>
      </c>
      <c r="AB141" s="1803" t="str">
        <f t="shared" si="436"/>
        <v>F1Q13A</v>
      </c>
      <c r="AC141" s="1804" t="str">
        <f t="shared" si="436"/>
        <v>F2Q13A</v>
      </c>
      <c r="AD141" s="1804" t="str">
        <f t="shared" si="436"/>
        <v>F3Q13A</v>
      </c>
      <c r="AE141" s="1805" t="str">
        <f t="shared" si="436"/>
        <v>F4Q13A</v>
      </c>
      <c r="AF141" s="1803" t="str">
        <f t="shared" si="436"/>
        <v>F1Q14A</v>
      </c>
      <c r="AG141" s="1804" t="str">
        <f t="shared" si="436"/>
        <v>F2Q14A</v>
      </c>
      <c r="AH141" s="1804" t="str">
        <f t="shared" si="436"/>
        <v>F3Q14A</v>
      </c>
      <c r="AI141" s="1805" t="str">
        <f t="shared" si="436"/>
        <v>F4Q14A</v>
      </c>
      <c r="AJ141" s="1769">
        <v>42094</v>
      </c>
      <c r="AK141" s="1770">
        <v>42185</v>
      </c>
      <c r="AL141" s="1770">
        <v>42277</v>
      </c>
      <c r="AM141" s="1771">
        <v>42369</v>
      </c>
      <c r="AN141" s="1769">
        <v>42460</v>
      </c>
      <c r="AO141" s="1770">
        <v>42551</v>
      </c>
      <c r="AP141" s="1770">
        <v>42643</v>
      </c>
      <c r="AQ141" s="1771">
        <v>42735</v>
      </c>
      <c r="AR141" s="1769">
        <f t="shared" ref="AR141:AY141" si="437">AR6</f>
        <v>42825</v>
      </c>
      <c r="AS141" s="1716">
        <f t="shared" si="437"/>
        <v>42916</v>
      </c>
      <c r="AT141" s="1716">
        <f t="shared" si="437"/>
        <v>43008</v>
      </c>
      <c r="AU141" s="1716">
        <f t="shared" si="437"/>
        <v>43100</v>
      </c>
      <c r="AV141" s="1716">
        <f t="shared" si="437"/>
        <v>43190</v>
      </c>
      <c r="AW141" s="1716">
        <f t="shared" si="437"/>
        <v>43281</v>
      </c>
      <c r="AX141" s="1716">
        <f t="shared" si="437"/>
        <v>43373</v>
      </c>
      <c r="AY141" s="1717">
        <f t="shared" si="437"/>
        <v>43465</v>
      </c>
      <c r="AZ141" s="1720"/>
      <c r="BA141" s="1503" t="str">
        <f t="shared" ref="BA141:BI141" si="438">+BA$7</f>
        <v>FY2007A</v>
      </c>
      <c r="BB141" s="1503" t="str">
        <f t="shared" si="438"/>
        <v>FY2008A</v>
      </c>
      <c r="BC141" s="1503" t="str">
        <f t="shared" si="438"/>
        <v>FY2009A</v>
      </c>
      <c r="BD141" s="1503" t="str">
        <f t="shared" si="438"/>
        <v>FY2010A</v>
      </c>
      <c r="BE141" s="1503" t="str">
        <f t="shared" si="438"/>
        <v>FY2011A</v>
      </c>
      <c r="BF141" s="1503" t="str">
        <f t="shared" si="438"/>
        <v>FY2012A</v>
      </c>
      <c r="BG141" s="1503" t="str">
        <f t="shared" si="438"/>
        <v>FY2013A</v>
      </c>
      <c r="BH141" s="1709" t="str">
        <f t="shared" si="438"/>
        <v>FY2014A</v>
      </c>
      <c r="BI141" s="1710" t="str">
        <f t="shared" si="438"/>
        <v>FY2015A</v>
      </c>
      <c r="BJ141" s="1710" t="str">
        <f t="shared" ref="BJ141:BN141" si="439">+BJ$7</f>
        <v>FY2016A</v>
      </c>
      <c r="BK141" s="1804" t="str">
        <f t="shared" si="439"/>
        <v>FY2017A</v>
      </c>
      <c r="BL141" s="1804" t="str">
        <f t="shared" si="439"/>
        <v>FY2018E</v>
      </c>
      <c r="BM141" s="1804" t="str">
        <f t="shared" si="439"/>
        <v>FY2019E</v>
      </c>
      <c r="BN141" s="1804" t="str">
        <f t="shared" si="439"/>
        <v>FY2020E</v>
      </c>
      <c r="BR141" s="1472"/>
    </row>
    <row r="142" spans="1:76" ht="14.25" customHeight="1">
      <c r="A142" s="8"/>
      <c r="B142" s="1447" t="s">
        <v>335</v>
      </c>
      <c r="C142" s="1453"/>
      <c r="D142" s="1884"/>
      <c r="E142" s="142"/>
      <c r="F142" s="142"/>
      <c r="G142" s="232"/>
      <c r="H142" s="1884"/>
      <c r="I142" s="142"/>
      <c r="J142" s="142"/>
      <c r="K142" s="232"/>
      <c r="L142" s="1884"/>
      <c r="M142" s="142"/>
      <c r="N142" s="142"/>
      <c r="O142" s="232"/>
      <c r="P142" s="1884"/>
      <c r="Q142" s="142"/>
      <c r="R142" s="142"/>
      <c r="S142" s="232"/>
      <c r="T142" s="1334"/>
      <c r="U142" s="1448"/>
      <c r="V142" s="1448"/>
      <c r="W142" s="1453"/>
      <c r="X142" s="1334"/>
      <c r="Y142" s="1448"/>
      <c r="Z142" s="1448"/>
      <c r="AA142" s="1453"/>
      <c r="AB142" s="1451"/>
      <c r="AC142" s="1449"/>
      <c r="AD142" s="1449"/>
      <c r="AE142" s="1453"/>
      <c r="AF142" s="1875"/>
      <c r="AG142" s="1870"/>
      <c r="AH142" s="1870"/>
      <c r="AI142" s="1876"/>
      <c r="AJ142" s="1451"/>
      <c r="AK142" s="1449"/>
      <c r="AL142" s="1454"/>
      <c r="AM142" s="1455"/>
      <c r="AN142" s="1451">
        <f>CFS!AN78</f>
        <v>149</v>
      </c>
      <c r="AO142" s="1449">
        <f>CFS!AO78</f>
        <v>165</v>
      </c>
      <c r="AP142" s="1449">
        <v>146</v>
      </c>
      <c r="AQ142" s="1449">
        <v>147</v>
      </c>
      <c r="AR142" s="1451">
        <f>CFS!AR78</f>
        <v>154</v>
      </c>
      <c r="AS142" s="1449">
        <f>CFS!AS78</f>
        <v>155</v>
      </c>
      <c r="AT142" s="1449">
        <f>CFS!AT78</f>
        <v>157</v>
      </c>
      <c r="AU142" s="1703">
        <f>CFS!AU78</f>
        <v>145</v>
      </c>
      <c r="AV142" s="1463">
        <f t="shared" ref="AV142" si="440">AU142</f>
        <v>145</v>
      </c>
      <c r="AW142" s="1461">
        <f t="shared" ref="AW142" si="441">AV142</f>
        <v>145</v>
      </c>
      <c r="AX142" s="1461">
        <f t="shared" ref="AX142" si="442">AW142</f>
        <v>145</v>
      </c>
      <c r="AY142" s="1462">
        <f t="shared" ref="AY142" si="443">AX142</f>
        <v>145</v>
      </c>
      <c r="AZ142" s="24"/>
      <c r="BA142" s="1482">
        <f>SUM(D142:G142)</f>
        <v>0</v>
      </c>
      <c r="BB142" s="1482">
        <f>SUM(H142:K142)</f>
        <v>0</v>
      </c>
      <c r="BC142" s="1482">
        <f>SUM(L142:O142)</f>
        <v>0</v>
      </c>
      <c r="BD142" s="1482">
        <f>SUM(P142:S142)</f>
        <v>0</v>
      </c>
      <c r="BE142" s="1482">
        <f>SUM(T142:W142)</f>
        <v>0</v>
      </c>
      <c r="BF142" s="1482">
        <f>SUM(X142:AA142)</f>
        <v>0</v>
      </c>
      <c r="BG142" s="1482">
        <f>SUM(AB142:AE142)</f>
        <v>0</v>
      </c>
      <c r="BH142" s="1701">
        <f>SUM(AF142:AI142)</f>
        <v>0</v>
      </c>
      <c r="BI142" s="1482">
        <f>SUM(AJ142:AM142)</f>
        <v>0</v>
      </c>
      <c r="BJ142" s="1483">
        <f>SUM(AN142:AQ142)</f>
        <v>607</v>
      </c>
      <c r="BK142" s="1483">
        <f>SUM(AR142:AU142)</f>
        <v>611</v>
      </c>
      <c r="BL142" s="1483">
        <f>SUM(AV142:AY142)</f>
        <v>580</v>
      </c>
      <c r="BM142" s="1483">
        <f t="shared" ref="BM142:BN142" si="444">BL142</f>
        <v>580</v>
      </c>
      <c r="BN142" s="1483">
        <f t="shared" si="444"/>
        <v>580</v>
      </c>
      <c r="BR142" s="1472"/>
    </row>
    <row r="143" spans="1:76" ht="14.25" customHeight="1">
      <c r="A143" s="8"/>
      <c r="B143" s="1447" t="s">
        <v>336</v>
      </c>
      <c r="C143" s="246"/>
      <c r="D143" s="23"/>
      <c r="E143" s="58"/>
      <c r="F143" s="58"/>
      <c r="G143" s="24"/>
      <c r="H143" s="23"/>
      <c r="I143" s="58"/>
      <c r="J143" s="58"/>
      <c r="K143" s="24"/>
      <c r="L143" s="23"/>
      <c r="M143" s="58"/>
      <c r="N143" s="58"/>
      <c r="O143" s="24"/>
      <c r="P143" s="23"/>
      <c r="Q143" s="58"/>
      <c r="R143" s="58"/>
      <c r="S143" s="24"/>
      <c r="T143" s="22"/>
      <c r="U143" s="14"/>
      <c r="V143" s="14"/>
      <c r="W143" s="246"/>
      <c r="X143" s="22"/>
      <c r="Y143" s="14"/>
      <c r="Z143" s="14"/>
      <c r="AA143" s="246"/>
      <c r="AB143" s="903"/>
      <c r="AC143" s="895"/>
      <c r="AD143" s="895"/>
      <c r="AE143" s="246"/>
      <c r="AF143" s="1877"/>
      <c r="AG143" s="1871"/>
      <c r="AH143" s="1871"/>
      <c r="AI143" s="1878"/>
      <c r="AJ143" s="766"/>
      <c r="AK143" s="774"/>
      <c r="AL143" s="1800"/>
      <c r="AM143" s="1868"/>
      <c r="AN143" s="766"/>
      <c r="AO143" s="774"/>
      <c r="AP143" s="1800"/>
      <c r="AQ143" s="1800"/>
      <c r="AR143" s="766"/>
      <c r="AS143" s="1456"/>
      <c r="AT143" s="1456"/>
      <c r="AU143" s="1457"/>
      <c r="AV143" s="1458"/>
      <c r="AW143" s="1456"/>
      <c r="AX143" s="1456"/>
      <c r="AY143" s="1457"/>
      <c r="AZ143" s="24"/>
      <c r="BA143" s="1484"/>
      <c r="BB143" s="1484"/>
      <c r="BC143" s="1484"/>
      <c r="BD143" s="1484"/>
      <c r="BE143" s="1484"/>
      <c r="BF143" s="1484"/>
      <c r="BG143" s="1484"/>
      <c r="BH143" s="1706"/>
      <c r="BI143" s="1484"/>
      <c r="BJ143" s="1484"/>
      <c r="BK143" s="1484"/>
      <c r="BL143" s="1484"/>
      <c r="BM143" s="1484"/>
      <c r="BN143" s="1484"/>
      <c r="BR143" s="1472"/>
    </row>
    <row r="144" spans="1:76" ht="14.25" customHeight="1">
      <c r="A144" s="8"/>
      <c r="B144" s="1447" t="s">
        <v>224</v>
      </c>
      <c r="C144" s="1453"/>
      <c r="D144" s="1884"/>
      <c r="E144" s="142"/>
      <c r="F144" s="142"/>
      <c r="G144" s="232"/>
      <c r="H144" s="1884"/>
      <c r="I144" s="142"/>
      <c r="J144" s="142"/>
      <c r="K144" s="232"/>
      <c r="L144" s="1884"/>
      <c r="M144" s="142"/>
      <c r="N144" s="142"/>
      <c r="O144" s="232"/>
      <c r="P144" s="1884"/>
      <c r="Q144" s="142"/>
      <c r="R144" s="142"/>
      <c r="S144" s="232"/>
      <c r="T144" s="1334"/>
      <c r="U144" s="1448"/>
      <c r="V144" s="1448"/>
      <c r="W144" s="1453"/>
      <c r="X144" s="1334"/>
      <c r="Y144" s="1448"/>
      <c r="Z144" s="1448"/>
      <c r="AA144" s="1453"/>
      <c r="AB144" s="1451"/>
      <c r="AC144" s="1449"/>
      <c r="AD144" s="1449"/>
      <c r="AE144" s="1453"/>
      <c r="AF144" s="1875"/>
      <c r="AG144" s="1870"/>
      <c r="AH144" s="1870"/>
      <c r="AI144" s="1876"/>
      <c r="AJ144" s="1451"/>
      <c r="AK144" s="1449"/>
      <c r="AL144" s="1454"/>
      <c r="AM144" s="1455"/>
      <c r="AN144" s="1451">
        <f>CFS!AN62</f>
        <v>88</v>
      </c>
      <c r="AO144" s="1449">
        <f>-CFS!AO33</f>
        <v>71</v>
      </c>
      <c r="AP144" s="1449">
        <f>-CFS!AP33</f>
        <v>99</v>
      </c>
      <c r="AQ144" s="1703">
        <f>-CFS!AQ33</f>
        <v>131</v>
      </c>
      <c r="AR144" s="1451">
        <f>CFS!AR62</f>
        <v>161</v>
      </c>
      <c r="AS144" s="1449">
        <f>-CFS!AS33</f>
        <v>96</v>
      </c>
      <c r="AT144" s="1449">
        <f>-CFS!AT33</f>
        <v>162</v>
      </c>
      <c r="AU144" s="1703">
        <f>-CFS!AU33</f>
        <v>133</v>
      </c>
      <c r="AV144" s="1451">
        <f>CFS!AV62</f>
        <v>125.94818403908796</v>
      </c>
      <c r="AW144" s="1449">
        <f>CFS!AW62</f>
        <v>130.26674169381107</v>
      </c>
      <c r="AX144" s="1449">
        <f>CFS!AX62</f>
        <v>135.58697260260587</v>
      </c>
      <c r="AY144" s="1703">
        <f>CFS!AY62</f>
        <v>133.51889882850162</v>
      </c>
      <c r="AZ144" s="24"/>
      <c r="BA144" s="1482">
        <f>SUM(D144:G144)</f>
        <v>0</v>
      </c>
      <c r="BB144" s="1482">
        <f>SUM(H144:K144)</f>
        <v>0</v>
      </c>
      <c r="BC144" s="1482">
        <f>SUM(L144:O144)</f>
        <v>0</v>
      </c>
      <c r="BD144" s="1482">
        <f>SUM(P144:S144)</f>
        <v>0</v>
      </c>
      <c r="BE144" s="1482">
        <f>SUM(T144:W144)</f>
        <v>0</v>
      </c>
      <c r="BF144" s="1482">
        <f>SUM(X144:AA144)</f>
        <v>0</v>
      </c>
      <c r="BG144" s="1482">
        <f>SUM(AB144:AE144)</f>
        <v>0</v>
      </c>
      <c r="BH144" s="1701">
        <f>SUM(AF144:AI144)</f>
        <v>0</v>
      </c>
      <c r="BI144" s="1482">
        <f>SUM(AJ144:AM144)</f>
        <v>0</v>
      </c>
      <c r="BJ144" s="1483">
        <f>SUM(AN144:AQ144)</f>
        <v>389</v>
      </c>
      <c r="BK144" s="1483">
        <f>SUM(AR144:AU144)</f>
        <v>552</v>
      </c>
      <c r="BL144" s="1483">
        <f>SUM(AV144:AY144)</f>
        <v>525.32079716400654</v>
      </c>
      <c r="BM144" s="1483">
        <f t="shared" ref="BM144:BN144" si="445">550/4</f>
        <v>137.5</v>
      </c>
      <c r="BN144" s="1483">
        <f t="shared" si="445"/>
        <v>137.5</v>
      </c>
      <c r="BR144" s="1472"/>
    </row>
    <row r="145" spans="1:70" ht="14.25" customHeight="1">
      <c r="A145" s="8"/>
      <c r="B145" s="310"/>
      <c r="C145" s="241"/>
      <c r="D145" s="62"/>
      <c r="E145" s="57"/>
      <c r="F145" s="57"/>
      <c r="G145" s="63"/>
      <c r="H145" s="62"/>
      <c r="I145" s="57"/>
      <c r="J145" s="57"/>
      <c r="K145" s="63"/>
      <c r="L145" s="62"/>
      <c r="M145" s="57"/>
      <c r="N145" s="57"/>
      <c r="O145" s="63"/>
      <c r="P145" s="62"/>
      <c r="Q145" s="57"/>
      <c r="R145" s="57"/>
      <c r="S145" s="63"/>
      <c r="T145" s="310"/>
      <c r="U145" s="314"/>
      <c r="V145" s="314"/>
      <c r="W145" s="241"/>
      <c r="X145" s="310"/>
      <c r="Y145" s="314"/>
      <c r="Z145" s="314"/>
      <c r="AA145" s="241"/>
      <c r="AB145" s="1452"/>
      <c r="AC145" s="1446"/>
      <c r="AD145" s="1446"/>
      <c r="AE145" s="241"/>
      <c r="AF145" s="1873"/>
      <c r="AG145" s="1869"/>
      <c r="AH145" s="1869"/>
      <c r="AI145" s="1874"/>
      <c r="AJ145" s="1452"/>
      <c r="AK145" s="1700"/>
      <c r="AL145" s="1459"/>
      <c r="AM145" s="1460"/>
      <c r="AN145" s="1452"/>
      <c r="AO145" s="1700"/>
      <c r="AP145" s="1459"/>
      <c r="AQ145" s="1460"/>
      <c r="AR145" s="1452"/>
      <c r="AS145" s="1459"/>
      <c r="AT145" s="1459"/>
      <c r="AU145" s="1460"/>
      <c r="AV145" s="1861"/>
      <c r="AW145" s="1459"/>
      <c r="AX145" s="1459"/>
      <c r="AY145" s="1460"/>
      <c r="AZ145" s="24"/>
      <c r="BA145" s="1484"/>
      <c r="BB145" s="1484"/>
      <c r="BC145" s="1484"/>
      <c r="BD145" s="1484"/>
      <c r="BE145" s="1484"/>
      <c r="BF145" s="1484"/>
      <c r="BG145" s="1484"/>
      <c r="BH145" s="1706"/>
      <c r="BI145" s="1484"/>
      <c r="BJ145" s="1722"/>
      <c r="BK145" s="1722"/>
      <c r="BL145" s="1722"/>
      <c r="BM145" s="1722"/>
      <c r="BN145" s="1722"/>
      <c r="BR145" s="1472"/>
    </row>
    <row r="146" spans="1:70" ht="14.25" customHeight="1">
      <c r="A146" s="8"/>
      <c r="B146" s="1886" t="s">
        <v>334</v>
      </c>
      <c r="C146" s="16"/>
      <c r="D146" s="23"/>
      <c r="E146" s="58"/>
      <c r="F146" s="58"/>
      <c r="G146" s="24"/>
      <c r="H146" s="23"/>
      <c r="I146" s="58"/>
      <c r="J146" s="58"/>
      <c r="K146" s="24"/>
      <c r="L146" s="23"/>
      <c r="M146" s="58"/>
      <c r="N146" s="58"/>
      <c r="O146" s="24"/>
      <c r="P146" s="1862">
        <v>215</v>
      </c>
      <c r="Q146" s="1853">
        <v>250</v>
      </c>
      <c r="R146" s="1853">
        <v>277</v>
      </c>
      <c r="S146" s="1865">
        <v>300</v>
      </c>
      <c r="T146" s="1862">
        <v>301</v>
      </c>
      <c r="U146" s="1853">
        <v>303</v>
      </c>
      <c r="V146" s="1853">
        <v>283</v>
      </c>
      <c r="W146" s="1865">
        <v>230</v>
      </c>
      <c r="X146" s="1862">
        <v>214</v>
      </c>
      <c r="Y146" s="1853">
        <v>280</v>
      </c>
      <c r="Z146" s="1853">
        <v>306</v>
      </c>
      <c r="AA146" s="1865">
        <v>290</v>
      </c>
      <c r="AB146" s="1862">
        <v>319</v>
      </c>
      <c r="AC146" s="1853">
        <v>320</v>
      </c>
      <c r="AD146" s="1853">
        <v>350</v>
      </c>
      <c r="AE146" s="1865">
        <v>387</v>
      </c>
      <c r="AF146" s="1879">
        <v>357</v>
      </c>
      <c r="AG146" s="1872">
        <v>391</v>
      </c>
      <c r="AH146" s="1872">
        <v>451</v>
      </c>
      <c r="AI146" s="1880">
        <v>451</v>
      </c>
      <c r="AJ146" s="1862">
        <v>447</v>
      </c>
      <c r="AK146" s="1853">
        <v>482</v>
      </c>
      <c r="AL146" s="1853">
        <v>514</v>
      </c>
      <c r="AM146" s="1865">
        <v>515</v>
      </c>
      <c r="AN146" s="1862">
        <v>632</v>
      </c>
      <c r="AO146" s="1860">
        <v>716</v>
      </c>
      <c r="AP146" s="1853">
        <v>800</v>
      </c>
      <c r="AQ146" s="1865">
        <v>833</v>
      </c>
      <c r="AR146" s="1862">
        <v>707</v>
      </c>
      <c r="AS146" s="1860">
        <v>730</v>
      </c>
      <c r="AT146" s="1860">
        <v>846</v>
      </c>
      <c r="AU146" s="1865">
        <f>AU67+CFS!AU78</f>
        <v>908</v>
      </c>
      <c r="AV146" s="1862">
        <f>AV67+CFS!AV78</f>
        <v>851.85601934853412</v>
      </c>
      <c r="AW146" s="1860">
        <f>AW67+CFS!AW78</f>
        <v>894.10019568487633</v>
      </c>
      <c r="AX146" s="1860">
        <f>AX67+CFS!AX78</f>
        <v>945.90266259909981</v>
      </c>
      <c r="AY146" s="1865">
        <f>AY67+CFS!AY78</f>
        <v>936.64166993982815</v>
      </c>
      <c r="AZ146" s="177"/>
      <c r="BA146" s="1484">
        <f>SUM(D146:G146)</f>
        <v>0</v>
      </c>
      <c r="BB146" s="1484">
        <f>SUM(H146:K146)</f>
        <v>0</v>
      </c>
      <c r="BC146" s="1484">
        <f>SUM(L146:O146)</f>
        <v>0</v>
      </c>
      <c r="BD146" s="1484">
        <f>SUM(P146:S146)</f>
        <v>1042</v>
      </c>
      <c r="BE146" s="1484">
        <f>SUM(T146:W146)</f>
        <v>1117</v>
      </c>
      <c r="BF146" s="1484">
        <f>SUM(X146:AA146)</f>
        <v>1090</v>
      </c>
      <c r="BG146" s="1484">
        <f>SUM(AB146:AE146)</f>
        <v>1376</v>
      </c>
      <c r="BH146" s="1702">
        <f>SUM(AF146:AI146)</f>
        <v>1650</v>
      </c>
      <c r="BI146" s="1699">
        <f>SUM(AJ146:AM146)</f>
        <v>1958</v>
      </c>
      <c r="BJ146" s="1485">
        <f>SUM(AN146:AQ146)</f>
        <v>2981</v>
      </c>
      <c r="BK146" s="1485">
        <f>SUM(AR146:AU146)</f>
        <v>3191</v>
      </c>
      <c r="BL146" s="1485">
        <f>SUM(AV146:AY146)</f>
        <v>3628.5005475723387</v>
      </c>
      <c r="BM146" s="1485">
        <f t="shared" ref="BM146" si="446">BM67+BM142</f>
        <v>3993.9897298526039</v>
      </c>
      <c r="BN146" s="1485">
        <f t="shared" ref="BN146" si="447">BN67+BN142</f>
        <v>4234.6670498264621</v>
      </c>
      <c r="BR146" s="1472"/>
    </row>
    <row r="147" spans="1:70" ht="14.25" customHeight="1">
      <c r="A147" s="8"/>
      <c r="B147" s="1887" t="s">
        <v>544</v>
      </c>
      <c r="C147" s="16"/>
      <c r="D147" s="55"/>
      <c r="E147" s="61"/>
      <c r="F147" s="61"/>
      <c r="G147" s="56"/>
      <c r="H147" s="55"/>
      <c r="I147" s="61"/>
      <c r="J147" s="61"/>
      <c r="K147" s="56"/>
      <c r="L147" s="55"/>
      <c r="M147" s="61"/>
      <c r="N147" s="61"/>
      <c r="O147" s="56"/>
      <c r="P147" s="1863"/>
      <c r="Q147" s="1866"/>
      <c r="R147" s="1866"/>
      <c r="S147" s="1867">
        <v>1042</v>
      </c>
      <c r="T147" s="1863">
        <v>1128</v>
      </c>
      <c r="U147" s="1866">
        <v>1181</v>
      </c>
      <c r="V147" s="1866">
        <v>1187</v>
      </c>
      <c r="W147" s="1867">
        <v>1117</v>
      </c>
      <c r="X147" s="1863">
        <v>1030</v>
      </c>
      <c r="Y147" s="1866">
        <v>1007</v>
      </c>
      <c r="Z147" s="1866">
        <v>1030</v>
      </c>
      <c r="AA147" s="1867">
        <v>1090</v>
      </c>
      <c r="AB147" s="1863">
        <v>1195</v>
      </c>
      <c r="AC147" s="1866">
        <v>1235</v>
      </c>
      <c r="AD147" s="1866">
        <v>1279</v>
      </c>
      <c r="AE147" s="1867">
        <v>1376</v>
      </c>
      <c r="AF147" s="1881">
        <v>1414</v>
      </c>
      <c r="AG147" s="1882">
        <v>1485</v>
      </c>
      <c r="AH147" s="1882">
        <v>1586</v>
      </c>
      <c r="AI147" s="1883">
        <v>1650</v>
      </c>
      <c r="AJ147" s="1863">
        <v>1740</v>
      </c>
      <c r="AK147" s="1866">
        <v>1831</v>
      </c>
      <c r="AL147" s="1866">
        <v>1894</v>
      </c>
      <c r="AM147" s="1867">
        <v>1958</v>
      </c>
      <c r="AN147" s="1863">
        <v>2143</v>
      </c>
      <c r="AO147" s="1864">
        <v>2377</v>
      </c>
      <c r="AP147" s="1866">
        <v>2663</v>
      </c>
      <c r="AQ147" s="1867">
        <v>2981</v>
      </c>
      <c r="AR147" s="1863">
        <v>3056</v>
      </c>
      <c r="AS147" s="1864">
        <v>3070</v>
      </c>
      <c r="AT147" s="1864">
        <v>3116</v>
      </c>
      <c r="AU147" s="1867">
        <f t="shared" ref="AU147:AY147" si="448">SUM(AR146:AU146)</f>
        <v>3191</v>
      </c>
      <c r="AV147" s="1863">
        <f t="shared" si="448"/>
        <v>3335.8560193485341</v>
      </c>
      <c r="AW147" s="1864">
        <f t="shared" si="448"/>
        <v>3499.9562150334104</v>
      </c>
      <c r="AX147" s="1864">
        <f t="shared" si="448"/>
        <v>3599.8588776325105</v>
      </c>
      <c r="AY147" s="1867">
        <f t="shared" si="448"/>
        <v>3628.5005475723387</v>
      </c>
      <c r="AZ147" s="58"/>
      <c r="BA147" s="1484"/>
      <c r="BB147" s="1484"/>
      <c r="BC147" s="1484"/>
      <c r="BD147" s="1484"/>
      <c r="BE147" s="1484"/>
      <c r="BF147" s="1484"/>
      <c r="BG147" s="1484"/>
      <c r="BH147" s="1484"/>
      <c r="BI147" s="1484"/>
      <c r="BJ147" s="1484"/>
      <c r="BK147" s="1484"/>
      <c r="BL147" s="1484"/>
      <c r="BM147" s="1484"/>
      <c r="BN147" s="1484"/>
    </row>
    <row r="148" spans="1:70" ht="14.25" customHeight="1">
      <c r="A148" s="8"/>
      <c r="B148" s="8"/>
      <c r="C148" s="8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43"/>
      <c r="BI148" s="843"/>
      <c r="BJ148" s="843"/>
      <c r="BK148" s="1750"/>
      <c r="BL148" s="1750"/>
      <c r="BM148" s="1750"/>
      <c r="BN148" s="1750"/>
    </row>
    <row r="149" spans="1:70" ht="14.25" customHeight="1">
      <c r="AJ149" s="1888"/>
      <c r="AK149" s="1888"/>
      <c r="AL149" s="1888"/>
      <c r="AM149" s="1888"/>
      <c r="AN149" s="1888"/>
      <c r="AO149" s="1888"/>
      <c r="AP149" s="1888"/>
      <c r="AQ149" s="1888"/>
    </row>
    <row r="154" spans="1:70" customFormat="1" ht="14.25" customHeight="1"/>
  </sheetData>
  <pageMargins left="0" right="0" top="0" bottom="0" header="0" footer="0"/>
  <pageSetup paperSize="5" scale="38" orientation="landscape" r:id="rId1"/>
  <headerFooter alignWithMargins="0"/>
  <rowBreaks count="1" manualBreakCount="1">
    <brk id="123" max="16383" man="1"/>
  </rowBreaks>
  <colBreaks count="1" manualBreakCount="1">
    <brk id="65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  <pageSetUpPr fitToPage="1"/>
  </sheetPr>
  <dimension ref="A1:BV121"/>
  <sheetViews>
    <sheetView showGridLines="0" zoomScale="80" zoomScaleNormal="80" workbookViewId="0">
      <pane xSplit="3" ySplit="9" topLeftCell="V10" activePane="bottomRight" state="frozen"/>
      <selection activeCell="AR1" sqref="AR1:AU1048576"/>
      <selection pane="topRight" activeCell="AR1" sqref="AR1:AU1048576"/>
      <selection pane="bottomLeft" activeCell="AR1" sqref="AR1:AU1048576"/>
      <selection pane="bottomRight" activeCell="B6" sqref="B6"/>
    </sheetView>
  </sheetViews>
  <sheetFormatPr defaultRowHeight="14.25" customHeight="1" outlineLevelRow="1" outlineLevelCol="1"/>
  <cols>
    <col min="1" max="1" width="1.7109375" customWidth="1"/>
    <col min="2" max="2" width="46" customWidth="1"/>
    <col min="3" max="3" width="1.7109375" customWidth="1"/>
    <col min="4" max="23" width="11.42578125" hidden="1" customWidth="1" outlineLevel="1"/>
    <col min="24" max="24" width="11.42578125" hidden="1" customWidth="1" outlineLevel="1" collapsed="1"/>
    <col min="25" max="35" width="11.42578125" hidden="1" customWidth="1" outlineLevel="1"/>
    <col min="36" max="36" width="11.42578125" hidden="1" customWidth="1" outlineLevel="1" collapsed="1"/>
    <col min="37" max="39" width="11.42578125" hidden="1" customWidth="1" outlineLevel="1"/>
    <col min="40" max="40" width="12.85546875" customWidth="1" collapsed="1"/>
    <col min="41" max="43" width="12.85546875" customWidth="1"/>
    <col min="44" max="51" width="12.85546875" style="1476" customWidth="1"/>
    <col min="52" max="52" width="2.7109375" customWidth="1"/>
    <col min="53" max="60" width="11.42578125" hidden="1" customWidth="1" outlineLevel="1"/>
    <col min="61" max="61" width="11.42578125" customWidth="1" collapsed="1"/>
    <col min="62" max="62" width="11.42578125" customWidth="1"/>
    <col min="63" max="65" width="11.42578125" style="1476" customWidth="1"/>
    <col min="66" max="66" width="12.28515625" style="1476" customWidth="1"/>
    <col min="68" max="68" width="42.85546875" hidden="1" customWidth="1" outlineLevel="1"/>
    <col min="69" max="73" width="0" hidden="1" customWidth="1" outlineLevel="1"/>
    <col min="74" max="74" width="9.140625" collapsed="1"/>
  </cols>
  <sheetData>
    <row r="1" spans="1:74" ht="67.5" customHeight="1">
      <c r="A1" s="1"/>
      <c r="B1" s="321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1"/>
      <c r="AW1" s="1"/>
      <c r="AX1" s="1"/>
      <c r="AY1" s="1"/>
      <c r="AZ1" s="2" t="str">
        <f>IF(SUM(BS)&lt;&gt;0,"BS BREAK","")</f>
        <v/>
      </c>
      <c r="BA1" s="1" t="s">
        <v>156</v>
      </c>
      <c r="BB1" s="1"/>
      <c r="BC1" s="2" t="str">
        <f>IF(SUM(BS)&lt;&gt;0,"BS BREAK","")</f>
        <v/>
      </c>
      <c r="BD1" s="1"/>
      <c r="BE1" s="2" t="str">
        <f>IF(SUM(BS)&lt;&gt;0,"BS BREAK","")</f>
        <v/>
      </c>
      <c r="BF1" s="1"/>
      <c r="BG1" s="2" t="str">
        <f>IF(SUM(BS)&lt;&gt;0,"BS BREAK","")</f>
        <v/>
      </c>
      <c r="BH1" s="1"/>
      <c r="BI1" s="1"/>
      <c r="BJ1" s="1"/>
      <c r="BK1" s="1" t="str">
        <f>IF(SUM(BS)&lt;&gt;0,"BS BREAK","")</f>
        <v/>
      </c>
      <c r="BL1" s="1"/>
      <c r="BM1" s="1" t="str">
        <f>IF(SUM(BS)&lt;&gt;0,"BS BREAK","")</f>
        <v/>
      </c>
      <c r="BN1" s="1" t="str">
        <f>IF(SUM(BS)&lt;&gt;0,"BS BREAK","")</f>
        <v/>
      </c>
      <c r="BO1" s="1"/>
      <c r="BV1" s="1"/>
    </row>
    <row r="2" spans="1:74" ht="18" customHeight="1">
      <c r="A2" s="1"/>
      <c r="B2" s="4" t="s">
        <v>304</v>
      </c>
      <c r="C2" s="4"/>
      <c r="D2" s="1"/>
      <c r="E2" s="1"/>
      <c r="F2" s="1"/>
      <c r="G2" s="5"/>
      <c r="H2" s="1"/>
      <c r="I2" s="1"/>
      <c r="J2" s="1"/>
      <c r="K2" s="5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5"/>
      <c r="BB2" s="5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V2" s="1"/>
    </row>
    <row r="3" spans="1:74" ht="14.25" customHeight="1">
      <c r="A3" s="1"/>
      <c r="B3" s="1"/>
      <c r="C3" s="1"/>
      <c r="D3" s="1"/>
      <c r="E3" s="1"/>
      <c r="F3" s="1"/>
      <c r="G3" s="5"/>
      <c r="H3" s="1"/>
      <c r="I3" s="1"/>
      <c r="J3" s="1"/>
      <c r="K3" s="5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6"/>
      <c r="AS3" s="1698"/>
      <c r="AT3" s="1"/>
      <c r="AU3" s="1"/>
      <c r="AV3" s="1"/>
      <c r="AW3" s="1"/>
      <c r="AX3" s="1"/>
      <c r="AY3" s="1"/>
      <c r="AZ3" s="1"/>
      <c r="BA3" s="5"/>
      <c r="BB3" s="5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V3" s="1"/>
    </row>
    <row r="4" spans="1:74" ht="14.25" customHeight="1">
      <c r="A4" s="1"/>
      <c r="B4" s="1"/>
      <c r="C4" s="1"/>
      <c r="D4" s="1"/>
      <c r="E4" s="1"/>
      <c r="F4" s="1"/>
      <c r="G4" s="5"/>
      <c r="H4" s="1"/>
      <c r="I4" s="1"/>
      <c r="J4" s="1"/>
      <c r="K4" s="5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6"/>
      <c r="AS4" s="6"/>
      <c r="AT4" s="1"/>
      <c r="AU4" s="1"/>
      <c r="AV4" s="1"/>
      <c r="AW4" s="1"/>
      <c r="AX4" s="1"/>
      <c r="AY4" s="1"/>
      <c r="AZ4" s="1"/>
      <c r="BA4" s="5"/>
      <c r="BB4" s="5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V4" s="1"/>
    </row>
    <row r="5" spans="1:74" ht="14.25" customHeight="1">
      <c r="A5" s="1"/>
      <c r="B5" s="1"/>
      <c r="C5" s="1"/>
      <c r="D5" s="1"/>
      <c r="E5" s="1"/>
      <c r="F5" s="1"/>
      <c r="G5" s="5"/>
      <c r="H5" s="1"/>
      <c r="I5" s="1"/>
      <c r="J5" s="1"/>
      <c r="K5" s="5"/>
      <c r="L5" s="1"/>
      <c r="M5" s="1"/>
      <c r="N5" s="1"/>
      <c r="O5" s="1"/>
      <c r="P5" s="1"/>
      <c r="Q5" s="1"/>
      <c r="R5" s="1"/>
      <c r="S5" s="1"/>
      <c r="T5" s="1"/>
      <c r="U5" s="336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6"/>
      <c r="AO5" s="6"/>
      <c r="AP5" s="6"/>
      <c r="AQ5" s="6"/>
      <c r="AT5" s="1"/>
      <c r="AU5" s="1"/>
      <c r="AV5" s="1"/>
      <c r="AW5" s="1"/>
      <c r="AX5" s="1"/>
      <c r="AY5" s="1"/>
      <c r="AZ5" s="1"/>
      <c r="BA5" s="5"/>
      <c r="BB5" s="5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V5" s="1"/>
    </row>
    <row r="6" spans="1:74" ht="14.25" customHeight="1">
      <c r="A6" s="1"/>
      <c r="B6" s="7"/>
      <c r="C6" s="7"/>
      <c r="D6" s="1"/>
      <c r="E6" s="1"/>
      <c r="F6" s="1"/>
      <c r="G6" s="5"/>
      <c r="H6" s="1"/>
      <c r="I6" s="1"/>
      <c r="J6" s="1"/>
      <c r="K6" s="323"/>
      <c r="L6" s="1"/>
      <c r="M6" s="1"/>
      <c r="N6" s="1"/>
      <c r="O6" s="1"/>
      <c r="P6" s="1"/>
      <c r="Q6" s="1"/>
      <c r="R6" s="1"/>
      <c r="S6" s="1"/>
      <c r="T6" s="1"/>
      <c r="U6" s="1"/>
      <c r="V6" s="6"/>
      <c r="W6" s="6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6"/>
      <c r="AO6" s="6"/>
      <c r="AP6" s="6"/>
      <c r="AQ6" s="6"/>
      <c r="AT6" s="1"/>
      <c r="AU6" s="1"/>
      <c r="AV6" s="1"/>
      <c r="AW6" s="1"/>
      <c r="AX6" s="1"/>
      <c r="AY6" s="1"/>
      <c r="AZ6" s="1"/>
      <c r="BA6" s="5"/>
      <c r="BB6" s="5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V6" s="1"/>
    </row>
    <row r="7" spans="1:74" ht="14.25" customHeight="1">
      <c r="A7" s="8"/>
      <c r="B7" s="9" t="s">
        <v>308</v>
      </c>
      <c r="C7" s="10"/>
      <c r="D7" s="8"/>
      <c r="E7" s="8"/>
      <c r="F7" s="8"/>
      <c r="G7" s="11"/>
      <c r="H7" s="8"/>
      <c r="I7" s="8"/>
      <c r="J7" s="8"/>
      <c r="K7" s="11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313"/>
      <c r="AS7" s="8"/>
      <c r="AT7" s="8"/>
      <c r="AU7" s="8"/>
      <c r="AV7" s="8"/>
      <c r="AW7" s="8"/>
      <c r="AX7" s="8"/>
      <c r="AY7" s="8"/>
      <c r="AZ7" s="8"/>
      <c r="BA7" s="11"/>
      <c r="BB7" s="11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V7" s="8"/>
    </row>
    <row r="8" spans="1:74" ht="14.25" customHeight="1">
      <c r="A8" s="8"/>
      <c r="B8" s="12" t="s">
        <v>50</v>
      </c>
      <c r="C8" s="13"/>
      <c r="D8" s="490">
        <v>39172</v>
      </c>
      <c r="E8" s="491">
        <v>39263</v>
      </c>
      <c r="F8" s="491">
        <v>39355</v>
      </c>
      <c r="G8" s="492">
        <v>39447</v>
      </c>
      <c r="H8" s="490">
        <v>39538</v>
      </c>
      <c r="I8" s="491">
        <v>39629</v>
      </c>
      <c r="J8" s="491">
        <v>39721</v>
      </c>
      <c r="K8" s="492">
        <v>39813</v>
      </c>
      <c r="L8" s="490">
        <v>39903</v>
      </c>
      <c r="M8" s="491">
        <v>39994</v>
      </c>
      <c r="N8" s="491">
        <v>40086</v>
      </c>
      <c r="O8" s="492">
        <v>40178</v>
      </c>
      <c r="P8" s="490">
        <v>40268</v>
      </c>
      <c r="Q8" s="491">
        <v>40359</v>
      </c>
      <c r="R8" s="491">
        <v>40451</v>
      </c>
      <c r="S8" s="492">
        <v>40543</v>
      </c>
      <c r="T8" s="490">
        <v>40633</v>
      </c>
      <c r="U8" s="491">
        <v>40724</v>
      </c>
      <c r="V8" s="491">
        <v>40816</v>
      </c>
      <c r="W8" s="492">
        <v>40908</v>
      </c>
      <c r="X8" s="491">
        <v>40999</v>
      </c>
      <c r="Y8" s="491">
        <v>41090</v>
      </c>
      <c r="Z8" s="491">
        <v>41182</v>
      </c>
      <c r="AA8" s="492">
        <v>41274</v>
      </c>
      <c r="AB8" s="490">
        <v>41364</v>
      </c>
      <c r="AC8" s="491">
        <v>41455</v>
      </c>
      <c r="AD8" s="491">
        <v>41547</v>
      </c>
      <c r="AE8" s="492">
        <v>41639</v>
      </c>
      <c r="AF8" s="490">
        <v>41729</v>
      </c>
      <c r="AG8" s="491">
        <v>41820</v>
      </c>
      <c r="AH8" s="491">
        <v>41912</v>
      </c>
      <c r="AI8" s="492">
        <v>42004</v>
      </c>
      <c r="AJ8" s="1494">
        <v>42094</v>
      </c>
      <c r="AK8" s="1495">
        <v>42185</v>
      </c>
      <c r="AL8" s="1495">
        <v>42277</v>
      </c>
      <c r="AM8" s="1496">
        <v>42369</v>
      </c>
      <c r="AN8" s="490">
        <v>42460</v>
      </c>
      <c r="AO8" s="491">
        <v>42551</v>
      </c>
      <c r="AP8" s="491">
        <v>42643</v>
      </c>
      <c r="AQ8" s="492">
        <v>42735</v>
      </c>
      <c r="AR8" s="490">
        <v>42825</v>
      </c>
      <c r="AS8" s="491">
        <v>42916</v>
      </c>
      <c r="AT8" s="491">
        <v>43008</v>
      </c>
      <c r="AU8" s="492">
        <v>43100</v>
      </c>
      <c r="AV8" s="490">
        <v>43190</v>
      </c>
      <c r="AW8" s="491">
        <v>43281</v>
      </c>
      <c r="AX8" s="491">
        <v>43373</v>
      </c>
      <c r="AY8" s="492">
        <v>43465</v>
      </c>
      <c r="AZ8" s="22"/>
      <c r="BA8" s="11"/>
      <c r="BB8" s="11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V8" s="8"/>
    </row>
    <row r="9" spans="1:74" ht="14.25" customHeight="1">
      <c r="A9" s="8"/>
      <c r="B9" s="12"/>
      <c r="C9" s="13"/>
      <c r="D9" s="17" t="s">
        <v>412</v>
      </c>
      <c r="E9" s="18" t="s">
        <v>413</v>
      </c>
      <c r="F9" s="18" t="s">
        <v>414</v>
      </c>
      <c r="G9" s="19" t="s">
        <v>415</v>
      </c>
      <c r="H9" s="17" t="s">
        <v>416</v>
      </c>
      <c r="I9" s="18" t="s">
        <v>417</v>
      </c>
      <c r="J9" s="18" t="s">
        <v>418</v>
      </c>
      <c r="K9" s="19" t="s">
        <v>419</v>
      </c>
      <c r="L9" s="17" t="s">
        <v>420</v>
      </c>
      <c r="M9" s="18" t="s">
        <v>421</v>
      </c>
      <c r="N9" s="18" t="s">
        <v>422</v>
      </c>
      <c r="O9" s="19" t="s">
        <v>423</v>
      </c>
      <c r="P9" s="17" t="s">
        <v>424</v>
      </c>
      <c r="Q9" s="18" t="s">
        <v>425</v>
      </c>
      <c r="R9" s="18" t="s">
        <v>426</v>
      </c>
      <c r="S9" s="19" t="s">
        <v>427</v>
      </c>
      <c r="T9" s="17" t="s">
        <v>428</v>
      </c>
      <c r="U9" s="18" t="s">
        <v>429</v>
      </c>
      <c r="V9" s="18" t="s">
        <v>430</v>
      </c>
      <c r="W9" s="19" t="s">
        <v>431</v>
      </c>
      <c r="X9" s="18" t="s">
        <v>432</v>
      </c>
      <c r="Y9" s="18" t="s">
        <v>433</v>
      </c>
      <c r="Z9" s="18" t="s">
        <v>490</v>
      </c>
      <c r="AA9" s="19" t="s">
        <v>509</v>
      </c>
      <c r="AB9" s="17" t="s">
        <v>495</v>
      </c>
      <c r="AC9" s="18" t="s">
        <v>48</v>
      </c>
      <c r="AD9" s="18" t="s">
        <v>124</v>
      </c>
      <c r="AE9" s="19" t="s">
        <v>264</v>
      </c>
      <c r="AF9" s="17" t="s">
        <v>330</v>
      </c>
      <c r="AG9" s="18" t="s">
        <v>516</v>
      </c>
      <c r="AH9" s="18" t="s">
        <v>517</v>
      </c>
      <c r="AI9" s="19" t="s">
        <v>520</v>
      </c>
      <c r="AJ9" s="1488" t="str">
        <f>'IS Inc FSL'!AJ7</f>
        <v>F1Q15A</v>
      </c>
      <c r="AK9" s="1503" t="str">
        <f>'IS Inc FSL'!AK7</f>
        <v>F2Q15A</v>
      </c>
      <c r="AL9" s="1503" t="str">
        <f>'IS Inc FSL'!AL7</f>
        <v>F3Q15A</v>
      </c>
      <c r="AM9" s="1489" t="str">
        <f>'IS Inc FSL'!AM7</f>
        <v>F4Q15A</v>
      </c>
      <c r="AN9" s="17" t="str">
        <f>'IS Inc FSL'!AN7</f>
        <v>F1Q16A</v>
      </c>
      <c r="AO9" s="18" t="str">
        <f>'IS Inc FSL'!AO7</f>
        <v>F2Q16A</v>
      </c>
      <c r="AP9" s="18" t="str">
        <f>'IS Inc FSL'!AP7</f>
        <v>F3Q16A</v>
      </c>
      <c r="AQ9" s="19" t="str">
        <f>'IS Inc FSL'!AQ7</f>
        <v>F4Q16A</v>
      </c>
      <c r="AR9" s="17" t="str">
        <f>'IS Inc FSL'!AR7</f>
        <v>F1Q17A</v>
      </c>
      <c r="AS9" s="18" t="str">
        <f>'IS Inc FSL'!AS7</f>
        <v>F2Q17A</v>
      </c>
      <c r="AT9" s="18" t="str">
        <f>'IS Inc FSL'!AT7</f>
        <v>F3Q17A</v>
      </c>
      <c r="AU9" s="19" t="str">
        <f>'IS Inc FSL'!AU7</f>
        <v>F4Q17A</v>
      </c>
      <c r="AV9" s="1488" t="s">
        <v>523</v>
      </c>
      <c r="AW9" s="1503" t="s">
        <v>524</v>
      </c>
      <c r="AX9" s="1503" t="s">
        <v>525</v>
      </c>
      <c r="AY9" s="1489" t="s">
        <v>526</v>
      </c>
      <c r="AZ9" s="20"/>
      <c r="BA9" s="21" t="s">
        <v>515</v>
      </c>
      <c r="BB9" s="21" t="s">
        <v>514</v>
      </c>
      <c r="BC9" s="21" t="s">
        <v>513</v>
      </c>
      <c r="BD9" s="17" t="s">
        <v>406</v>
      </c>
      <c r="BE9" s="1803" t="str">
        <f>'IS Inc FSL'!BE7</f>
        <v>FY2011A</v>
      </c>
      <c r="BF9" s="1804" t="str">
        <f>'IS Inc FSL'!BF7</f>
        <v>FY2012A</v>
      </c>
      <c r="BG9" s="1804" t="str">
        <f>'IS Inc FSL'!BG7</f>
        <v>FY2013A</v>
      </c>
      <c r="BH9" s="1804" t="str">
        <f>'IS Inc FSL'!BH7</f>
        <v>FY2014A</v>
      </c>
      <c r="BI9" s="1804" t="str">
        <f>'IS Inc FSL'!BI7</f>
        <v>FY2015A</v>
      </c>
      <c r="BJ9" s="1804" t="str">
        <f>'IS Inc FSL'!BJ7</f>
        <v>FY2016A</v>
      </c>
      <c r="BK9" s="1804" t="str">
        <f>'IS Inc FSL'!BK7</f>
        <v>FY2017A</v>
      </c>
      <c r="BL9" s="1804" t="str">
        <f>'IS Inc FSL'!BL7</f>
        <v>FY2018E</v>
      </c>
      <c r="BM9" s="1804" t="str">
        <f>'IS Inc FSL'!BM7</f>
        <v>FY2019E</v>
      </c>
      <c r="BN9" s="1804" t="str">
        <f>'IS Inc FSL'!BN7</f>
        <v>FY2020E</v>
      </c>
      <c r="BO9" s="22"/>
      <c r="BV9" s="11"/>
    </row>
    <row r="10" spans="1:74" ht="14.25" customHeight="1">
      <c r="A10" s="8"/>
      <c r="B10" s="109" t="s">
        <v>144</v>
      </c>
      <c r="C10" s="110"/>
      <c r="D10" s="113"/>
      <c r="E10" s="111"/>
      <c r="F10" s="111"/>
      <c r="G10" s="112"/>
      <c r="H10" s="113"/>
      <c r="I10" s="111"/>
      <c r="J10" s="111"/>
      <c r="K10" s="112"/>
      <c r="L10" s="113"/>
      <c r="M10" s="111"/>
      <c r="N10" s="111"/>
      <c r="O10" s="112"/>
      <c r="P10" s="113"/>
      <c r="Q10" s="111"/>
      <c r="R10" s="40"/>
      <c r="S10" s="111"/>
      <c r="T10" s="113"/>
      <c r="U10" s="111"/>
      <c r="V10" s="111"/>
      <c r="W10" s="112"/>
      <c r="X10" s="111"/>
      <c r="Y10" s="111"/>
      <c r="Z10" s="111"/>
      <c r="AA10" s="112"/>
      <c r="AB10" s="113"/>
      <c r="AC10" s="111"/>
      <c r="AD10" s="111"/>
      <c r="AE10" s="112"/>
      <c r="AF10" s="113"/>
      <c r="AG10" s="111"/>
      <c r="AH10" s="111"/>
      <c r="AI10" s="111"/>
      <c r="AJ10" s="113"/>
      <c r="AK10" s="111"/>
      <c r="AL10" s="111"/>
      <c r="AM10" s="112"/>
      <c r="AN10" s="1138"/>
      <c r="AO10" s="114"/>
      <c r="AP10" s="114"/>
      <c r="AQ10" s="1336"/>
      <c r="AR10" s="1138"/>
      <c r="AS10" s="114"/>
      <c r="AT10" s="114"/>
      <c r="AU10" s="1336"/>
      <c r="AV10" s="1138"/>
      <c r="AW10" s="114"/>
      <c r="AX10" s="114"/>
      <c r="AY10" s="1336"/>
      <c r="AZ10" s="20"/>
      <c r="BA10" s="114"/>
      <c r="BB10" s="114"/>
      <c r="BC10" s="114"/>
      <c r="BD10" s="114"/>
      <c r="BE10" s="113"/>
      <c r="BF10" s="111"/>
      <c r="BG10" s="111"/>
      <c r="BH10" s="111"/>
      <c r="BI10" s="111"/>
      <c r="BJ10" s="111"/>
      <c r="BK10" s="111"/>
      <c r="BL10" s="111"/>
      <c r="BM10" s="111"/>
      <c r="BN10" s="111"/>
      <c r="BO10" s="22"/>
      <c r="BV10" s="11"/>
    </row>
    <row r="11" spans="1:74" ht="14.25" customHeight="1">
      <c r="A11" s="8"/>
      <c r="B11" s="25" t="s">
        <v>145</v>
      </c>
      <c r="C11" s="26"/>
      <c r="D11" s="50">
        <v>826</v>
      </c>
      <c r="E11" s="40">
        <v>691</v>
      </c>
      <c r="F11" s="40">
        <v>963</v>
      </c>
      <c r="G11" s="41">
        <v>1041</v>
      </c>
      <c r="H11" s="50">
        <v>519</v>
      </c>
      <c r="I11" s="40">
        <v>660</v>
      </c>
      <c r="J11" s="40">
        <v>1535</v>
      </c>
      <c r="K11" s="41">
        <v>1796</v>
      </c>
      <c r="L11" s="50">
        <v>1699</v>
      </c>
      <c r="M11" s="40">
        <v>1358</v>
      </c>
      <c r="N11" s="40">
        <v>1041</v>
      </c>
      <c r="O11" s="41">
        <v>1026</v>
      </c>
      <c r="P11" s="40">
        <v>855</v>
      </c>
      <c r="Q11" s="40">
        <v>826</v>
      </c>
      <c r="R11" s="40">
        <v>947</v>
      </c>
      <c r="S11" s="40">
        <v>898</v>
      </c>
      <c r="T11" s="50">
        <v>879</v>
      </c>
      <c r="U11" s="40">
        <v>859</v>
      </c>
      <c r="V11" s="40">
        <v>865</v>
      </c>
      <c r="W11" s="41">
        <v>743</v>
      </c>
      <c r="X11" s="50">
        <v>782</v>
      </c>
      <c r="Y11" s="40">
        <v>837</v>
      </c>
      <c r="Z11" s="40">
        <v>702</v>
      </c>
      <c r="AA11" s="41">
        <v>617</v>
      </c>
      <c r="AB11" s="50">
        <v>595</v>
      </c>
      <c r="AC11" s="40">
        <v>569</v>
      </c>
      <c r="AD11" s="40">
        <v>941</v>
      </c>
      <c r="AE11" s="41">
        <v>670</v>
      </c>
      <c r="AF11" s="50">
        <v>720</v>
      </c>
      <c r="AG11" s="40">
        <v>661</v>
      </c>
      <c r="AH11" s="40">
        <v>594</v>
      </c>
      <c r="AI11" s="41">
        <v>1185</v>
      </c>
      <c r="AJ11" s="50">
        <v>1355</v>
      </c>
      <c r="AK11" s="40">
        <v>2435</v>
      </c>
      <c r="AL11" s="40">
        <v>2492</v>
      </c>
      <c r="AM11" s="41">
        <v>1614</v>
      </c>
      <c r="AN11" s="50">
        <v>1488</v>
      </c>
      <c r="AO11" s="40">
        <v>1335</v>
      </c>
      <c r="AP11" s="40">
        <v>1569</v>
      </c>
      <c r="AQ11" s="41">
        <v>1894</v>
      </c>
      <c r="AR11" s="50">
        <v>2238</v>
      </c>
      <c r="AS11" s="40">
        <v>2642</v>
      </c>
      <c r="AT11" s="40">
        <v>3065</v>
      </c>
      <c r="AU11" s="41">
        <v>3547</v>
      </c>
      <c r="AV11" s="1403">
        <f>AU11+CFS!AV53</f>
        <v>4194.6587333745929</v>
      </c>
      <c r="AW11" s="1401">
        <f>AV11+CFS!AW53</f>
        <v>4805.9125053093858</v>
      </c>
      <c r="AX11" s="1401">
        <f>AW11+CFS!AX53</f>
        <v>5453.0583230743287</v>
      </c>
      <c r="AY11" s="1402">
        <f>AX11+CFS!AY53</f>
        <v>6144.9133425871196</v>
      </c>
      <c r="AZ11" s="20"/>
      <c r="BA11" s="98">
        <f t="shared" ref="BA11:BA16" si="0">G11</f>
        <v>1041</v>
      </c>
      <c r="BB11" s="98">
        <f t="shared" ref="BB11:BB16" si="1">K11</f>
        <v>1796</v>
      </c>
      <c r="BC11" s="98">
        <f t="shared" ref="BC11:BC16" si="2">O11</f>
        <v>1026</v>
      </c>
      <c r="BD11" s="98">
        <f t="shared" ref="BD11:BD16" si="3">S11</f>
        <v>898</v>
      </c>
      <c r="BE11" s="97">
        <f t="shared" ref="BE11:BE16" si="4">W11</f>
        <v>743</v>
      </c>
      <c r="BF11" s="98">
        <f t="shared" ref="BF11:BF16" si="5">AA11</f>
        <v>617</v>
      </c>
      <c r="BG11" s="98">
        <f t="shared" ref="BG11:BG16" si="6">AE11</f>
        <v>670</v>
      </c>
      <c r="BH11" s="98">
        <f t="shared" ref="BH11:BH16" si="7">AI11</f>
        <v>1185</v>
      </c>
      <c r="BI11" s="98">
        <f t="shared" ref="BI11:BI16" si="8">AM11</f>
        <v>1614</v>
      </c>
      <c r="BJ11" s="98">
        <f t="shared" ref="BJ11:BJ16" si="9">AQ11</f>
        <v>1894</v>
      </c>
      <c r="BK11" s="98">
        <f>AU11</f>
        <v>3547</v>
      </c>
      <c r="BL11" s="98">
        <f t="shared" ref="BL11:BL16" si="10">AY11</f>
        <v>6144.9133425871196</v>
      </c>
      <c r="BM11" s="98">
        <f>BL11+CFS!BM53</f>
        <v>8987.2571609383012</v>
      </c>
      <c r="BN11" s="98">
        <f>BM11+CFS!BN53</f>
        <v>11984.679652378612</v>
      </c>
      <c r="BO11" s="22"/>
      <c r="BV11" s="11"/>
    </row>
    <row r="12" spans="1:74" ht="14.25" customHeight="1">
      <c r="A12" s="8"/>
      <c r="B12" s="25" t="s">
        <v>146</v>
      </c>
      <c r="C12" s="26"/>
      <c r="D12" s="71">
        <v>787</v>
      </c>
      <c r="E12" s="72">
        <v>849</v>
      </c>
      <c r="F12" s="72">
        <v>887</v>
      </c>
      <c r="G12" s="73">
        <v>764</v>
      </c>
      <c r="H12" s="71">
        <v>815</v>
      </c>
      <c r="I12" s="72">
        <v>858</v>
      </c>
      <c r="J12" s="72">
        <v>801</v>
      </c>
      <c r="K12" s="73">
        <v>517</v>
      </c>
      <c r="L12" s="71">
        <v>402</v>
      </c>
      <c r="M12" s="72">
        <v>462</v>
      </c>
      <c r="N12" s="72">
        <v>507</v>
      </c>
      <c r="O12" s="73">
        <v>448</v>
      </c>
      <c r="P12" s="72">
        <v>536</v>
      </c>
      <c r="Q12" s="72">
        <v>525</v>
      </c>
      <c r="R12" s="72">
        <v>497</v>
      </c>
      <c r="S12" s="72">
        <v>438</v>
      </c>
      <c r="T12" s="71">
        <v>463</v>
      </c>
      <c r="U12" s="72">
        <v>470</v>
      </c>
      <c r="V12" s="72">
        <v>446</v>
      </c>
      <c r="W12" s="73">
        <v>479</v>
      </c>
      <c r="X12" s="71">
        <f>410+23</f>
        <v>433</v>
      </c>
      <c r="Y12" s="72">
        <f>451+16</f>
        <v>467</v>
      </c>
      <c r="Z12" s="72">
        <f>470+15</f>
        <v>485</v>
      </c>
      <c r="AA12" s="73">
        <f>459+51</f>
        <v>510</v>
      </c>
      <c r="AB12" s="71">
        <v>464</v>
      </c>
      <c r="AC12" s="72">
        <f>495+49</f>
        <v>544</v>
      </c>
      <c r="AD12" s="72">
        <f>530+52</f>
        <v>582</v>
      </c>
      <c r="AE12" s="73">
        <f>501+41</f>
        <v>542</v>
      </c>
      <c r="AF12" s="71">
        <f>556+34</f>
        <v>590</v>
      </c>
      <c r="AG12" s="72">
        <f>631+38</f>
        <v>669</v>
      </c>
      <c r="AH12" s="72">
        <f>692+36</f>
        <v>728</v>
      </c>
      <c r="AI12" s="73">
        <f>546+47</f>
        <v>593</v>
      </c>
      <c r="AJ12" s="71">
        <v>539</v>
      </c>
      <c r="AK12" s="72">
        <v>533</v>
      </c>
      <c r="AL12" s="72">
        <f>611+46</f>
        <v>657</v>
      </c>
      <c r="AM12" s="73">
        <f>1047+83</f>
        <v>1130</v>
      </c>
      <c r="AN12" s="71">
        <v>1054</v>
      </c>
      <c r="AO12" s="72">
        <v>1085</v>
      </c>
      <c r="AP12" s="72">
        <v>1157</v>
      </c>
      <c r="AQ12" s="73">
        <v>1033</v>
      </c>
      <c r="AR12" s="71">
        <v>983</v>
      </c>
      <c r="AS12" s="72">
        <v>915</v>
      </c>
      <c r="AT12" s="72">
        <v>915</v>
      </c>
      <c r="AU12" s="73">
        <v>879</v>
      </c>
      <c r="AV12" s="68">
        <f t="shared" ref="AV12:AY12" si="11">AV47/360*AV52*4</f>
        <v>852.78600000000006</v>
      </c>
      <c r="AW12" s="69">
        <f t="shared" si="11"/>
        <v>882.02663999999993</v>
      </c>
      <c r="AX12" s="69">
        <f t="shared" si="11"/>
        <v>918.04953679999994</v>
      </c>
      <c r="AY12" s="70">
        <f t="shared" si="11"/>
        <v>904.04675958666655</v>
      </c>
      <c r="AZ12" s="115"/>
      <c r="BA12" s="69">
        <f t="shared" si="0"/>
        <v>764</v>
      </c>
      <c r="BB12" s="69">
        <f t="shared" si="1"/>
        <v>517</v>
      </c>
      <c r="BC12" s="69">
        <f t="shared" si="2"/>
        <v>448</v>
      </c>
      <c r="BD12" s="69">
        <f t="shared" si="3"/>
        <v>438</v>
      </c>
      <c r="BE12" s="68">
        <f t="shared" si="4"/>
        <v>479</v>
      </c>
      <c r="BF12" s="69">
        <f t="shared" si="5"/>
        <v>510</v>
      </c>
      <c r="BG12" s="69">
        <f t="shared" si="6"/>
        <v>542</v>
      </c>
      <c r="BH12" s="69">
        <f t="shared" si="7"/>
        <v>593</v>
      </c>
      <c r="BI12" s="69">
        <f t="shared" si="8"/>
        <v>1130</v>
      </c>
      <c r="BJ12" s="69">
        <f t="shared" si="9"/>
        <v>1033</v>
      </c>
      <c r="BK12" s="69">
        <f t="shared" ref="BK12:BK16" si="12">AU12</f>
        <v>879</v>
      </c>
      <c r="BL12" s="69">
        <f t="shared" si="10"/>
        <v>904.04675958666655</v>
      </c>
      <c r="BM12" s="69">
        <f>BM52*BM47/360</f>
        <v>1018.5693772380001</v>
      </c>
      <c r="BN12" s="69">
        <f>BN52*BN47/360</f>
        <v>1069.4978460999</v>
      </c>
      <c r="BO12" s="22"/>
      <c r="BV12" s="11"/>
    </row>
    <row r="13" spans="1:74" ht="14.25" customHeight="1">
      <c r="A13" s="8"/>
      <c r="B13" s="25" t="s">
        <v>314</v>
      </c>
      <c r="C13" s="26"/>
      <c r="D13" s="71">
        <v>0</v>
      </c>
      <c r="E13" s="72">
        <v>0</v>
      </c>
      <c r="F13" s="72">
        <v>0</v>
      </c>
      <c r="G13" s="73">
        <v>130</v>
      </c>
      <c r="H13" s="71">
        <v>139</v>
      </c>
      <c r="I13" s="72">
        <v>0</v>
      </c>
      <c r="J13" s="72">
        <v>0</v>
      </c>
      <c r="K13" s="73">
        <v>0</v>
      </c>
      <c r="L13" s="71">
        <v>0</v>
      </c>
      <c r="M13" s="72">
        <v>0</v>
      </c>
      <c r="N13" s="72">
        <v>0</v>
      </c>
      <c r="O13" s="73">
        <v>144</v>
      </c>
      <c r="P13" s="72">
        <v>46</v>
      </c>
      <c r="Q13" s="72">
        <v>47</v>
      </c>
      <c r="R13" s="72">
        <v>47</v>
      </c>
      <c r="S13" s="72">
        <v>48</v>
      </c>
      <c r="T13" s="71">
        <v>45</v>
      </c>
      <c r="U13" s="72">
        <v>45</v>
      </c>
      <c r="V13" s="72">
        <v>45</v>
      </c>
      <c r="W13" s="73">
        <v>39</v>
      </c>
      <c r="X13" s="71">
        <v>38</v>
      </c>
      <c r="Y13" s="72">
        <v>17</v>
      </c>
      <c r="Z13" s="72">
        <v>8</v>
      </c>
      <c r="AA13" s="73">
        <v>10</v>
      </c>
      <c r="AB13" s="71">
        <v>10</v>
      </c>
      <c r="AC13" s="72">
        <v>10</v>
      </c>
      <c r="AD13" s="72">
        <v>9</v>
      </c>
      <c r="AE13" s="73">
        <v>13</v>
      </c>
      <c r="AF13" s="71">
        <v>11</v>
      </c>
      <c r="AG13" s="72">
        <v>6</v>
      </c>
      <c r="AH13" s="72">
        <v>6</v>
      </c>
      <c r="AI13" s="73">
        <v>0</v>
      </c>
      <c r="AJ13" s="71">
        <v>59</v>
      </c>
      <c r="AK13" s="72">
        <v>361</v>
      </c>
      <c r="AL13" s="72">
        <v>356</v>
      </c>
      <c r="AM13" s="73">
        <v>15</v>
      </c>
      <c r="AN13" s="71">
        <v>8</v>
      </c>
      <c r="AO13" s="72">
        <v>1101</v>
      </c>
      <c r="AP13" s="72">
        <v>1092</v>
      </c>
      <c r="AQ13" s="73">
        <v>1104</v>
      </c>
      <c r="AR13" s="71">
        <v>0</v>
      </c>
      <c r="AS13" s="72">
        <v>0</v>
      </c>
      <c r="AT13" s="72">
        <v>0</v>
      </c>
      <c r="AU13" s="73">
        <v>0</v>
      </c>
      <c r="AV13" s="68">
        <f t="shared" ref="AV13:AV14" si="13">AU13</f>
        <v>0</v>
      </c>
      <c r="AW13" s="69">
        <f t="shared" ref="AW13:AW14" si="14">AV13</f>
        <v>0</v>
      </c>
      <c r="AX13" s="69">
        <f t="shared" ref="AX13:AX14" si="15">AW13</f>
        <v>0</v>
      </c>
      <c r="AY13" s="70">
        <f t="shared" ref="AY13:AY14" si="16">AX13</f>
        <v>0</v>
      </c>
      <c r="AZ13" s="115"/>
      <c r="BA13" s="69">
        <f>G13</f>
        <v>130</v>
      </c>
      <c r="BB13" s="69">
        <f>K13</f>
        <v>0</v>
      </c>
      <c r="BC13" s="69">
        <f>O13</f>
        <v>144</v>
      </c>
      <c r="BD13" s="69">
        <f>S13</f>
        <v>48</v>
      </c>
      <c r="BE13" s="68">
        <f>W13</f>
        <v>39</v>
      </c>
      <c r="BF13" s="69">
        <f>AA13</f>
        <v>10</v>
      </c>
      <c r="BG13" s="69">
        <f>AE13</f>
        <v>13</v>
      </c>
      <c r="BH13" s="69">
        <f t="shared" si="7"/>
        <v>0</v>
      </c>
      <c r="BI13" s="69">
        <f t="shared" si="8"/>
        <v>15</v>
      </c>
      <c r="BJ13" s="69">
        <f t="shared" si="9"/>
        <v>1104</v>
      </c>
      <c r="BK13" s="69">
        <f t="shared" si="12"/>
        <v>0</v>
      </c>
      <c r="BL13" s="69">
        <f t="shared" si="10"/>
        <v>0</v>
      </c>
      <c r="BM13" s="69">
        <f t="shared" ref="BM13:BN14" si="17">BL13</f>
        <v>0</v>
      </c>
      <c r="BN13" s="69">
        <f t="shared" si="17"/>
        <v>0</v>
      </c>
      <c r="BO13" s="22"/>
      <c r="BV13" s="11"/>
    </row>
    <row r="14" spans="1:74" ht="14.25" customHeight="1">
      <c r="A14" s="8"/>
      <c r="B14" s="25" t="s">
        <v>319</v>
      </c>
      <c r="C14" s="26"/>
      <c r="D14" s="71">
        <v>0</v>
      </c>
      <c r="E14" s="72">
        <v>0</v>
      </c>
      <c r="F14" s="72">
        <v>0</v>
      </c>
      <c r="G14" s="73">
        <v>0</v>
      </c>
      <c r="H14" s="71">
        <v>0</v>
      </c>
      <c r="I14" s="72">
        <v>0</v>
      </c>
      <c r="J14" s="72">
        <v>0</v>
      </c>
      <c r="K14" s="73">
        <v>33</v>
      </c>
      <c r="L14" s="71">
        <v>0</v>
      </c>
      <c r="M14" s="72">
        <v>0</v>
      </c>
      <c r="N14" s="72">
        <v>0</v>
      </c>
      <c r="O14" s="73">
        <v>0</v>
      </c>
      <c r="P14" s="72">
        <v>0</v>
      </c>
      <c r="Q14" s="72">
        <v>0</v>
      </c>
      <c r="R14" s="72">
        <v>0</v>
      </c>
      <c r="S14" s="72">
        <v>0</v>
      </c>
      <c r="T14" s="71">
        <v>0</v>
      </c>
      <c r="U14" s="72">
        <v>0</v>
      </c>
      <c r="V14" s="72">
        <v>0</v>
      </c>
      <c r="W14" s="73">
        <v>0</v>
      </c>
      <c r="X14" s="71">
        <v>0</v>
      </c>
      <c r="Y14" s="72">
        <v>0</v>
      </c>
      <c r="Z14" s="72">
        <v>0</v>
      </c>
      <c r="AA14" s="73">
        <v>0</v>
      </c>
      <c r="AB14" s="71">
        <v>0</v>
      </c>
      <c r="AC14" s="72">
        <v>0</v>
      </c>
      <c r="AD14" s="72">
        <v>0</v>
      </c>
      <c r="AE14" s="73">
        <v>0</v>
      </c>
      <c r="AF14" s="71">
        <v>0</v>
      </c>
      <c r="AG14" s="72">
        <v>0</v>
      </c>
      <c r="AH14" s="72">
        <v>0</v>
      </c>
      <c r="AI14" s="73">
        <v>0</v>
      </c>
      <c r="AJ14" s="71">
        <v>0</v>
      </c>
      <c r="AK14" s="72">
        <v>0</v>
      </c>
      <c r="AL14" s="72">
        <v>0</v>
      </c>
      <c r="AM14" s="73">
        <v>0</v>
      </c>
      <c r="AN14" s="71">
        <v>0</v>
      </c>
      <c r="AO14" s="72">
        <v>0</v>
      </c>
      <c r="AP14" s="72">
        <v>0</v>
      </c>
      <c r="AQ14" s="73">
        <v>0</v>
      </c>
      <c r="AR14" s="71">
        <v>0</v>
      </c>
      <c r="AS14" s="72">
        <v>0</v>
      </c>
      <c r="AT14" s="72">
        <v>0</v>
      </c>
      <c r="AU14" s="73">
        <v>0</v>
      </c>
      <c r="AV14" s="68">
        <f t="shared" si="13"/>
        <v>0</v>
      </c>
      <c r="AW14" s="69">
        <f t="shared" si="14"/>
        <v>0</v>
      </c>
      <c r="AX14" s="69">
        <f t="shared" si="15"/>
        <v>0</v>
      </c>
      <c r="AY14" s="70">
        <f t="shared" si="16"/>
        <v>0</v>
      </c>
      <c r="AZ14" s="115"/>
      <c r="BA14" s="69">
        <f>G14</f>
        <v>0</v>
      </c>
      <c r="BB14" s="69">
        <f>K14</f>
        <v>33</v>
      </c>
      <c r="BC14" s="69">
        <f>O14</f>
        <v>0</v>
      </c>
      <c r="BD14" s="69">
        <f>S14</f>
        <v>0</v>
      </c>
      <c r="BE14" s="68">
        <f>W14</f>
        <v>0</v>
      </c>
      <c r="BF14" s="69">
        <f>AA14</f>
        <v>0</v>
      </c>
      <c r="BG14" s="69">
        <f>AE14</f>
        <v>0</v>
      </c>
      <c r="BH14" s="69">
        <f t="shared" si="7"/>
        <v>0</v>
      </c>
      <c r="BI14" s="69">
        <f t="shared" si="8"/>
        <v>0</v>
      </c>
      <c r="BJ14" s="69">
        <f t="shared" si="9"/>
        <v>0</v>
      </c>
      <c r="BK14" s="69">
        <f t="shared" si="12"/>
        <v>0</v>
      </c>
      <c r="BL14" s="69">
        <f t="shared" si="10"/>
        <v>0</v>
      </c>
      <c r="BM14" s="69">
        <f t="shared" si="17"/>
        <v>0</v>
      </c>
      <c r="BN14" s="69">
        <f t="shared" si="17"/>
        <v>0</v>
      </c>
      <c r="BO14" s="22"/>
      <c r="BV14" s="11"/>
    </row>
    <row r="15" spans="1:74" ht="14.25" customHeight="1">
      <c r="A15" s="8"/>
      <c r="B15" s="25" t="s">
        <v>192</v>
      </c>
      <c r="C15" s="26"/>
      <c r="D15" s="71">
        <v>854</v>
      </c>
      <c r="E15" s="72">
        <v>828</v>
      </c>
      <c r="F15" s="72">
        <v>874</v>
      </c>
      <c r="G15" s="73">
        <v>958</v>
      </c>
      <c r="H15" s="71">
        <v>1039</v>
      </c>
      <c r="I15" s="72">
        <v>1009</v>
      </c>
      <c r="J15" s="72">
        <v>729</v>
      </c>
      <c r="K15" s="73">
        <v>630</v>
      </c>
      <c r="L15" s="71">
        <v>564</v>
      </c>
      <c r="M15" s="72">
        <v>586</v>
      </c>
      <c r="N15" s="72">
        <v>577</v>
      </c>
      <c r="O15" s="73">
        <v>522</v>
      </c>
      <c r="P15" s="72">
        <v>459</v>
      </c>
      <c r="Q15" s="72">
        <v>451</v>
      </c>
      <c r="R15" s="72">
        <v>486</v>
      </c>
      <c r="S15" s="72">
        <v>513</v>
      </c>
      <c r="T15" s="71">
        <v>537</v>
      </c>
      <c r="U15" s="72">
        <v>571</v>
      </c>
      <c r="V15" s="72">
        <v>610</v>
      </c>
      <c r="W15" s="73">
        <v>618</v>
      </c>
      <c r="X15" s="71">
        <v>619</v>
      </c>
      <c r="Y15" s="72">
        <v>644</v>
      </c>
      <c r="Z15" s="72">
        <v>671</v>
      </c>
      <c r="AA15" s="73">
        <v>715</v>
      </c>
      <c r="AB15" s="71">
        <v>730</v>
      </c>
      <c r="AC15" s="72">
        <v>742</v>
      </c>
      <c r="AD15" s="72">
        <v>754</v>
      </c>
      <c r="AE15" s="73">
        <v>740</v>
      </c>
      <c r="AF15" s="71">
        <v>740</v>
      </c>
      <c r="AG15" s="72">
        <v>751</v>
      </c>
      <c r="AH15" s="72">
        <v>748</v>
      </c>
      <c r="AI15" s="73">
        <v>755</v>
      </c>
      <c r="AJ15" s="71">
        <v>772</v>
      </c>
      <c r="AK15" s="72">
        <v>756</v>
      </c>
      <c r="AL15" s="72">
        <v>751</v>
      </c>
      <c r="AM15" s="73">
        <v>1879</v>
      </c>
      <c r="AN15" s="71">
        <v>1452</v>
      </c>
      <c r="AO15" s="72">
        <v>1167</v>
      </c>
      <c r="AP15" s="72">
        <v>1141</v>
      </c>
      <c r="AQ15" s="73">
        <v>1113</v>
      </c>
      <c r="AR15" s="71">
        <v>1144</v>
      </c>
      <c r="AS15" s="72">
        <v>1178</v>
      </c>
      <c r="AT15" s="72">
        <v>1205</v>
      </c>
      <c r="AU15" s="73">
        <v>1236</v>
      </c>
      <c r="AV15" s="68">
        <f t="shared" ref="AV15:AY15" si="18">AV49/360*AV53*4</f>
        <v>1067.4400800000003</v>
      </c>
      <c r="AW15" s="69">
        <f t="shared" si="18"/>
        <v>1097.5988048000002</v>
      </c>
      <c r="AX15" s="69">
        <f t="shared" si="18"/>
        <v>1135.4292724480001</v>
      </c>
      <c r="AY15" s="70">
        <f t="shared" si="18"/>
        <v>1116.5658728595999</v>
      </c>
      <c r="AZ15" s="115"/>
      <c r="BA15" s="69">
        <f t="shared" si="0"/>
        <v>958</v>
      </c>
      <c r="BB15" s="69">
        <f t="shared" si="1"/>
        <v>630</v>
      </c>
      <c r="BC15" s="69">
        <f t="shared" si="2"/>
        <v>522</v>
      </c>
      <c r="BD15" s="69">
        <f t="shared" si="3"/>
        <v>513</v>
      </c>
      <c r="BE15" s="68">
        <f t="shared" si="4"/>
        <v>618</v>
      </c>
      <c r="BF15" s="69">
        <f t="shared" si="5"/>
        <v>715</v>
      </c>
      <c r="BG15" s="69">
        <f t="shared" si="6"/>
        <v>740</v>
      </c>
      <c r="BH15" s="69">
        <f t="shared" si="7"/>
        <v>755</v>
      </c>
      <c r="BI15" s="69">
        <f t="shared" si="8"/>
        <v>1879</v>
      </c>
      <c r="BJ15" s="69">
        <f t="shared" si="9"/>
        <v>1113</v>
      </c>
      <c r="BK15" s="69">
        <f t="shared" si="12"/>
        <v>1236</v>
      </c>
      <c r="BL15" s="69">
        <f t="shared" si="10"/>
        <v>1116.5658728595999</v>
      </c>
      <c r="BM15" s="69">
        <f>BM49*BM53/360</f>
        <v>1082.7347311568085</v>
      </c>
      <c r="BN15" s="69">
        <f>BN49*BN53/360</f>
        <v>1134.3462644669128</v>
      </c>
      <c r="BO15" s="22"/>
      <c r="BV15" s="11"/>
    </row>
    <row r="16" spans="1:74" ht="14.25" customHeight="1">
      <c r="A16" s="8"/>
      <c r="B16" s="116" t="s">
        <v>283</v>
      </c>
      <c r="C16" s="117"/>
      <c r="D16" s="71">
        <v>156</v>
      </c>
      <c r="E16" s="72">
        <v>174</v>
      </c>
      <c r="F16" s="72">
        <v>210</v>
      </c>
      <c r="G16" s="73">
        <v>237</v>
      </c>
      <c r="H16" s="71">
        <v>308</v>
      </c>
      <c r="I16" s="72">
        <v>299</v>
      </c>
      <c r="J16" s="72">
        <v>240</v>
      </c>
      <c r="K16" s="73">
        <v>212</v>
      </c>
      <c r="L16" s="71">
        <f>89+216</f>
        <v>305</v>
      </c>
      <c r="M16" s="72">
        <f>103+194</f>
        <v>297</v>
      </c>
      <c r="N16" s="72">
        <f>115+142</f>
        <v>257</v>
      </c>
      <c r="O16" s="73">
        <f>103+270</f>
        <v>373</v>
      </c>
      <c r="P16" s="72">
        <f>209+99</f>
        <v>308</v>
      </c>
      <c r="Q16" s="72">
        <f>101+159</f>
        <v>260</v>
      </c>
      <c r="R16" s="72">
        <f>109+137</f>
        <v>246</v>
      </c>
      <c r="S16" s="72">
        <f>110+129</f>
        <v>239</v>
      </c>
      <c r="T16" s="71">
        <f>129+102</f>
        <v>231</v>
      </c>
      <c r="U16" s="72">
        <f>122+92</f>
        <v>214</v>
      </c>
      <c r="V16" s="72">
        <v>111</v>
      </c>
      <c r="W16" s="73">
        <v>87</v>
      </c>
      <c r="X16" s="71">
        <v>117</v>
      </c>
      <c r="Y16" s="72">
        <v>96</v>
      </c>
      <c r="Z16" s="72">
        <v>105</v>
      </c>
      <c r="AA16" s="73">
        <v>102</v>
      </c>
      <c r="AB16" s="71">
        <f>109+48</f>
        <v>157</v>
      </c>
      <c r="AC16" s="72">
        <v>132</v>
      </c>
      <c r="AD16" s="72">
        <v>127</v>
      </c>
      <c r="AE16" s="73">
        <v>127</v>
      </c>
      <c r="AF16" s="71">
        <v>126</v>
      </c>
      <c r="AG16" s="72">
        <v>129</v>
      </c>
      <c r="AH16" s="72">
        <v>107</v>
      </c>
      <c r="AI16" s="73">
        <v>107</v>
      </c>
      <c r="AJ16" s="71">
        <f>123+46</f>
        <v>169</v>
      </c>
      <c r="AK16" s="72">
        <f>131+41</f>
        <v>172</v>
      </c>
      <c r="AL16" s="72">
        <v>143</v>
      </c>
      <c r="AM16" s="73">
        <v>174</v>
      </c>
      <c r="AN16" s="71">
        <v>243</v>
      </c>
      <c r="AO16" s="72">
        <v>251</v>
      </c>
      <c r="AP16" s="72">
        <v>244</v>
      </c>
      <c r="AQ16" s="73">
        <v>254</v>
      </c>
      <c r="AR16" s="71">
        <v>317</v>
      </c>
      <c r="AS16" s="72">
        <v>336</v>
      </c>
      <c r="AT16" s="72">
        <v>321</v>
      </c>
      <c r="AU16" s="73">
        <v>382</v>
      </c>
      <c r="AV16" s="68">
        <f t="shared" ref="AV16" si="19">AU16</f>
        <v>382</v>
      </c>
      <c r="AW16" s="69">
        <f t="shared" ref="AW16" si="20">AV16</f>
        <v>382</v>
      </c>
      <c r="AX16" s="69">
        <f t="shared" ref="AX16" si="21">AW16</f>
        <v>382</v>
      </c>
      <c r="AY16" s="70">
        <f t="shared" ref="AY16" si="22">AX16</f>
        <v>382</v>
      </c>
      <c r="AZ16" s="115"/>
      <c r="BA16" s="118">
        <f t="shared" si="0"/>
        <v>237</v>
      </c>
      <c r="BB16" s="118">
        <f t="shared" si="1"/>
        <v>212</v>
      </c>
      <c r="BC16" s="118">
        <f t="shared" si="2"/>
        <v>373</v>
      </c>
      <c r="BD16" s="118">
        <f t="shared" si="3"/>
        <v>239</v>
      </c>
      <c r="BE16" s="793">
        <f t="shared" si="4"/>
        <v>87</v>
      </c>
      <c r="BF16" s="118">
        <f t="shared" si="5"/>
        <v>102</v>
      </c>
      <c r="BG16" s="118">
        <f t="shared" si="6"/>
        <v>127</v>
      </c>
      <c r="BH16" s="118">
        <f t="shared" si="7"/>
        <v>107</v>
      </c>
      <c r="BI16" s="118">
        <f t="shared" si="8"/>
        <v>174</v>
      </c>
      <c r="BJ16" s="118">
        <f t="shared" si="9"/>
        <v>254</v>
      </c>
      <c r="BK16" s="118">
        <f t="shared" si="12"/>
        <v>382</v>
      </c>
      <c r="BL16" s="118">
        <f t="shared" si="10"/>
        <v>382</v>
      </c>
      <c r="BM16" s="118">
        <f>BL16</f>
        <v>382</v>
      </c>
      <c r="BN16" s="118">
        <f>BM16</f>
        <v>382</v>
      </c>
      <c r="BO16" s="22"/>
      <c r="BV16" s="11"/>
    </row>
    <row r="17" spans="1:74" ht="14.25" customHeight="1">
      <c r="A17" s="8"/>
      <c r="B17" s="119" t="s">
        <v>147</v>
      </c>
      <c r="C17" s="120"/>
      <c r="D17" s="123">
        <f t="shared" ref="D17:AE17" si="23">SUM(D11:D16)</f>
        <v>2623</v>
      </c>
      <c r="E17" s="121">
        <f t="shared" si="23"/>
        <v>2542</v>
      </c>
      <c r="F17" s="121">
        <f t="shared" si="23"/>
        <v>2934</v>
      </c>
      <c r="G17" s="122">
        <f t="shared" si="23"/>
        <v>3130</v>
      </c>
      <c r="H17" s="123">
        <f t="shared" si="23"/>
        <v>2820</v>
      </c>
      <c r="I17" s="121">
        <f t="shared" si="23"/>
        <v>2826</v>
      </c>
      <c r="J17" s="121">
        <f t="shared" si="23"/>
        <v>3305</v>
      </c>
      <c r="K17" s="122">
        <f t="shared" si="23"/>
        <v>3188</v>
      </c>
      <c r="L17" s="123">
        <f t="shared" si="23"/>
        <v>2970</v>
      </c>
      <c r="M17" s="121">
        <f t="shared" si="23"/>
        <v>2703</v>
      </c>
      <c r="N17" s="121">
        <f t="shared" si="23"/>
        <v>2382</v>
      </c>
      <c r="O17" s="122">
        <f t="shared" si="23"/>
        <v>2513</v>
      </c>
      <c r="P17" s="121">
        <f t="shared" si="23"/>
        <v>2204</v>
      </c>
      <c r="Q17" s="121">
        <f t="shared" si="23"/>
        <v>2109</v>
      </c>
      <c r="R17" s="121">
        <f t="shared" si="23"/>
        <v>2223</v>
      </c>
      <c r="S17" s="122">
        <f t="shared" si="23"/>
        <v>2136</v>
      </c>
      <c r="T17" s="123">
        <f t="shared" si="23"/>
        <v>2155</v>
      </c>
      <c r="U17" s="121">
        <f t="shared" si="23"/>
        <v>2159</v>
      </c>
      <c r="V17" s="121">
        <f t="shared" si="23"/>
        <v>2077</v>
      </c>
      <c r="W17" s="122">
        <f t="shared" si="23"/>
        <v>1966</v>
      </c>
      <c r="X17" s="123">
        <f t="shared" si="23"/>
        <v>1989</v>
      </c>
      <c r="Y17" s="121">
        <f t="shared" si="23"/>
        <v>2061</v>
      </c>
      <c r="Z17" s="121">
        <f t="shared" si="23"/>
        <v>1971</v>
      </c>
      <c r="AA17" s="122">
        <f t="shared" si="23"/>
        <v>1954</v>
      </c>
      <c r="AB17" s="123">
        <f t="shared" si="23"/>
        <v>1956</v>
      </c>
      <c r="AC17" s="121">
        <f t="shared" si="23"/>
        <v>1997</v>
      </c>
      <c r="AD17" s="121">
        <f t="shared" si="23"/>
        <v>2413</v>
      </c>
      <c r="AE17" s="122">
        <f t="shared" si="23"/>
        <v>2092</v>
      </c>
      <c r="AF17" s="123">
        <f t="shared" ref="AF17:AK17" si="24">SUM(AF11:AF16)</f>
        <v>2187</v>
      </c>
      <c r="AG17" s="121">
        <f t="shared" si="24"/>
        <v>2216</v>
      </c>
      <c r="AH17" s="121">
        <f t="shared" si="24"/>
        <v>2183</v>
      </c>
      <c r="AI17" s="122">
        <f t="shared" si="24"/>
        <v>2640</v>
      </c>
      <c r="AJ17" s="123">
        <f t="shared" si="24"/>
        <v>2894</v>
      </c>
      <c r="AK17" s="121">
        <f t="shared" si="24"/>
        <v>4257</v>
      </c>
      <c r="AL17" s="121">
        <f t="shared" ref="AL17:AO17" si="25">SUM(AL11:AL16)</f>
        <v>4399</v>
      </c>
      <c r="AM17" s="122">
        <f t="shared" si="25"/>
        <v>4812</v>
      </c>
      <c r="AN17" s="123">
        <f t="shared" si="25"/>
        <v>4245</v>
      </c>
      <c r="AO17" s="121">
        <f t="shared" si="25"/>
        <v>4939</v>
      </c>
      <c r="AP17" s="121">
        <f t="shared" ref="AP17:AS17" si="26">SUM(AP11:AP16)</f>
        <v>5203</v>
      </c>
      <c r="AQ17" s="122">
        <f t="shared" si="26"/>
        <v>5398</v>
      </c>
      <c r="AR17" s="123">
        <f t="shared" si="26"/>
        <v>4682</v>
      </c>
      <c r="AS17" s="121">
        <f t="shared" si="26"/>
        <v>5071</v>
      </c>
      <c r="AT17" s="121">
        <f t="shared" ref="AT17:AU17" si="27">SUM(AT11:AT16)</f>
        <v>5506</v>
      </c>
      <c r="AU17" s="122">
        <f t="shared" si="27"/>
        <v>6044</v>
      </c>
      <c r="AV17" s="123">
        <f t="shared" ref="AV17:AY17" si="28">SUM(AV11:AV16)</f>
        <v>6496.8848133745933</v>
      </c>
      <c r="AW17" s="121">
        <f t="shared" si="28"/>
        <v>7167.5379501093857</v>
      </c>
      <c r="AX17" s="121">
        <f t="shared" si="28"/>
        <v>7888.5371323223289</v>
      </c>
      <c r="AY17" s="122">
        <f t="shared" si="28"/>
        <v>8547.5259750333862</v>
      </c>
      <c r="AZ17" s="115"/>
      <c r="BA17" s="124">
        <f t="shared" ref="BA17:BM17" si="29">SUM(BA11:BA16)</f>
        <v>3130</v>
      </c>
      <c r="BB17" s="124">
        <f t="shared" si="29"/>
        <v>3188</v>
      </c>
      <c r="BC17" s="124">
        <f t="shared" si="29"/>
        <v>2513</v>
      </c>
      <c r="BD17" s="124">
        <f t="shared" si="29"/>
        <v>2136</v>
      </c>
      <c r="BE17" s="139">
        <f t="shared" si="29"/>
        <v>1966</v>
      </c>
      <c r="BF17" s="124">
        <f t="shared" si="29"/>
        <v>1954</v>
      </c>
      <c r="BG17" s="124">
        <f t="shared" si="29"/>
        <v>2092</v>
      </c>
      <c r="BH17" s="124">
        <f t="shared" si="29"/>
        <v>2640</v>
      </c>
      <c r="BI17" s="124">
        <f t="shared" si="29"/>
        <v>4812</v>
      </c>
      <c r="BJ17" s="124">
        <f t="shared" si="29"/>
        <v>5398</v>
      </c>
      <c r="BK17" s="124">
        <f t="shared" ref="BK17:BL17" si="30">SUM(BK11:BK16)</f>
        <v>6044</v>
      </c>
      <c r="BL17" s="124">
        <f t="shared" si="30"/>
        <v>8547.5259750333862</v>
      </c>
      <c r="BM17" s="124">
        <f t="shared" si="29"/>
        <v>11470.56126933311</v>
      </c>
      <c r="BN17" s="124">
        <f t="shared" ref="BN17" si="31">SUM(BN11:BN16)</f>
        <v>14570.523762945424</v>
      </c>
      <c r="BO17" s="22"/>
      <c r="BV17" s="11"/>
    </row>
    <row r="18" spans="1:74" ht="14.25" customHeight="1">
      <c r="A18" s="8"/>
      <c r="B18" s="23"/>
      <c r="C18" s="24"/>
      <c r="D18" s="71"/>
      <c r="E18" s="72"/>
      <c r="F18" s="72"/>
      <c r="G18" s="73"/>
      <c r="H18" s="71"/>
      <c r="I18" s="72"/>
      <c r="J18" s="72"/>
      <c r="K18" s="73"/>
      <c r="L18" s="71"/>
      <c r="M18" s="72"/>
      <c r="N18" s="72"/>
      <c r="O18" s="73"/>
      <c r="P18" s="72"/>
      <c r="Q18" s="72"/>
      <c r="R18" s="126"/>
      <c r="S18" s="126"/>
      <c r="T18" s="127"/>
      <c r="U18" s="72"/>
      <c r="V18" s="72"/>
      <c r="W18" s="128"/>
      <c r="X18" s="127"/>
      <c r="Y18" s="72"/>
      <c r="Z18" s="126"/>
      <c r="AA18" s="128"/>
      <c r="AB18" s="127"/>
      <c r="AC18" s="72"/>
      <c r="AD18" s="126"/>
      <c r="AE18" s="128"/>
      <c r="AF18" s="127"/>
      <c r="AG18" s="72"/>
      <c r="AH18" s="126"/>
      <c r="AI18" s="128"/>
      <c r="AJ18" s="127"/>
      <c r="AK18" s="72"/>
      <c r="AL18" s="126"/>
      <c r="AM18" s="128"/>
      <c r="AN18" s="127"/>
      <c r="AO18" s="72"/>
      <c r="AP18" s="126"/>
      <c r="AQ18" s="128"/>
      <c r="AR18" s="127"/>
      <c r="AS18" s="72"/>
      <c r="AT18" s="126"/>
      <c r="AU18" s="128"/>
      <c r="AV18" s="127"/>
      <c r="AW18" s="126"/>
      <c r="AX18" s="126"/>
      <c r="AY18" s="128"/>
      <c r="AZ18" s="115"/>
      <c r="BA18" s="72"/>
      <c r="BB18" s="72"/>
      <c r="BC18" s="72"/>
      <c r="BD18" s="72"/>
      <c r="BE18" s="71"/>
      <c r="BF18" s="72"/>
      <c r="BG18" s="72"/>
      <c r="BH18" s="72"/>
      <c r="BI18" s="72"/>
      <c r="BJ18" s="72"/>
      <c r="BK18" s="72"/>
      <c r="BL18" s="72"/>
      <c r="BM18" s="72"/>
      <c r="BN18" s="72"/>
      <c r="BO18" s="22"/>
      <c r="BV18" s="11"/>
    </row>
    <row r="19" spans="1:74" ht="14.25" customHeight="1">
      <c r="A19" s="8"/>
      <c r="B19" s="25" t="s">
        <v>284</v>
      </c>
      <c r="C19" s="26"/>
      <c r="D19" s="71">
        <v>2916</v>
      </c>
      <c r="E19" s="72">
        <v>2826</v>
      </c>
      <c r="F19" s="72">
        <v>2814</v>
      </c>
      <c r="G19" s="73">
        <v>2500</v>
      </c>
      <c r="H19" s="71">
        <v>2540</v>
      </c>
      <c r="I19" s="72">
        <v>2490</v>
      </c>
      <c r="J19" s="72">
        <v>1968</v>
      </c>
      <c r="K19" s="73">
        <v>1807</v>
      </c>
      <c r="L19" s="71">
        <v>1627</v>
      </c>
      <c r="M19" s="72">
        <v>1502</v>
      </c>
      <c r="N19" s="72">
        <v>1434</v>
      </c>
      <c r="O19" s="73">
        <v>1328</v>
      </c>
      <c r="P19" s="72">
        <v>1227</v>
      </c>
      <c r="Q19" s="72">
        <v>1163</v>
      </c>
      <c r="R19" s="72">
        <v>1175</v>
      </c>
      <c r="S19" s="72">
        <v>1164</v>
      </c>
      <c r="T19" s="71">
        <v>1148</v>
      </c>
      <c r="U19" s="72">
        <v>1156</v>
      </c>
      <c r="V19" s="72">
        <v>1107</v>
      </c>
      <c r="W19" s="73">
        <v>1063</v>
      </c>
      <c r="X19" s="71">
        <v>1049</v>
      </c>
      <c r="Y19" s="72">
        <v>1044</v>
      </c>
      <c r="Z19" s="72">
        <v>1086</v>
      </c>
      <c r="AA19" s="73">
        <v>1070</v>
      </c>
      <c r="AB19" s="71">
        <v>1039</v>
      </c>
      <c r="AC19" s="72">
        <v>1030</v>
      </c>
      <c r="AD19" s="72">
        <v>1032</v>
      </c>
      <c r="AE19" s="73">
        <v>1048</v>
      </c>
      <c r="AF19" s="71">
        <v>1045</v>
      </c>
      <c r="AG19" s="72">
        <v>1079</v>
      </c>
      <c r="AH19" s="72">
        <v>1087</v>
      </c>
      <c r="AI19" s="73">
        <v>1123</v>
      </c>
      <c r="AJ19" s="71">
        <v>1107</v>
      </c>
      <c r="AK19" s="72">
        <v>1078</v>
      </c>
      <c r="AL19" s="72">
        <v>1097</v>
      </c>
      <c r="AM19" s="73">
        <v>2922</v>
      </c>
      <c r="AN19" s="71">
        <v>2848</v>
      </c>
      <c r="AO19" s="72">
        <v>2403</v>
      </c>
      <c r="AP19" s="72">
        <v>2366</v>
      </c>
      <c r="AQ19" s="73">
        <v>2352</v>
      </c>
      <c r="AR19" s="71">
        <v>2279</v>
      </c>
      <c r="AS19" s="72">
        <v>2306</v>
      </c>
      <c r="AT19" s="72">
        <v>2288</v>
      </c>
      <c r="AU19" s="73">
        <v>2295</v>
      </c>
      <c r="AV19" s="1406">
        <f>CFS!AV69</f>
        <v>2294.7231840390882</v>
      </c>
      <c r="AW19" s="1404">
        <f>CFS!AW69</f>
        <v>2298.7801506107494</v>
      </c>
      <c r="AX19" s="1404">
        <f>CFS!AX69</f>
        <v>2307.934214929764</v>
      </c>
      <c r="AY19" s="1405">
        <f>CFS!AY69</f>
        <v>2314.5167319371285</v>
      </c>
      <c r="AZ19" s="115"/>
      <c r="BA19" s="69">
        <f>G19</f>
        <v>2500</v>
      </c>
      <c r="BB19" s="69">
        <f>K19</f>
        <v>1807</v>
      </c>
      <c r="BC19" s="69">
        <f>O19</f>
        <v>1328</v>
      </c>
      <c r="BD19" s="69">
        <f>S19</f>
        <v>1164</v>
      </c>
      <c r="BE19" s="68">
        <f>W19</f>
        <v>1063</v>
      </c>
      <c r="BF19" s="69">
        <f>AA19</f>
        <v>1070</v>
      </c>
      <c r="BG19" s="69">
        <f>AE19</f>
        <v>1048</v>
      </c>
      <c r="BH19" s="69">
        <f>AI19</f>
        <v>1123</v>
      </c>
      <c r="BI19" s="69">
        <f>AM19</f>
        <v>2922</v>
      </c>
      <c r="BJ19" s="69">
        <f>AQ19</f>
        <v>2352</v>
      </c>
      <c r="BK19" s="69">
        <f t="shared" ref="BK19:BK23" si="32">AU19</f>
        <v>2295</v>
      </c>
      <c r="BL19" s="69">
        <f>AY19</f>
        <v>2314.5167319371285</v>
      </c>
      <c r="BM19" s="69">
        <f>CFS!BM69</f>
        <v>2293.7457034902504</v>
      </c>
      <c r="BN19" s="69">
        <f>CFS!BN69</f>
        <v>2299.7593031115721</v>
      </c>
      <c r="BO19" s="22"/>
      <c r="BV19" s="11"/>
    </row>
    <row r="20" spans="1:74" ht="14.25" customHeight="1">
      <c r="A20" s="8"/>
      <c r="B20" s="25" t="s">
        <v>272</v>
      </c>
      <c r="C20" s="26"/>
      <c r="D20" s="71">
        <v>4069</v>
      </c>
      <c r="E20" s="72">
        <v>3881</v>
      </c>
      <c r="F20" s="72">
        <v>3828</v>
      </c>
      <c r="G20" s="73">
        <v>3844</v>
      </c>
      <c r="H20" s="71">
        <v>4021</v>
      </c>
      <c r="I20" s="72">
        <v>3814</v>
      </c>
      <c r="J20" s="72">
        <v>2637</v>
      </c>
      <c r="K20" s="73">
        <v>2384</v>
      </c>
      <c r="L20" s="71">
        <v>2070</v>
      </c>
      <c r="M20" s="72">
        <v>2064</v>
      </c>
      <c r="N20" s="72">
        <v>2043</v>
      </c>
      <c r="O20" s="73">
        <v>1886</v>
      </c>
      <c r="P20" s="72">
        <v>1724</v>
      </c>
      <c r="Q20" s="72">
        <v>1536</v>
      </c>
      <c r="R20" s="72">
        <v>1585</v>
      </c>
      <c r="S20" s="72">
        <v>1486</v>
      </c>
      <c r="T20" s="71">
        <v>1466</v>
      </c>
      <c r="U20" s="72">
        <v>1426</v>
      </c>
      <c r="V20" s="72">
        <v>1274</v>
      </c>
      <c r="W20" s="73">
        <v>1171</v>
      </c>
      <c r="X20" s="71">
        <v>1173</v>
      </c>
      <c r="Y20" s="72">
        <v>1061</v>
      </c>
      <c r="Z20" s="72">
        <v>1017</v>
      </c>
      <c r="AA20" s="73">
        <v>965</v>
      </c>
      <c r="AB20" s="71">
        <v>888</v>
      </c>
      <c r="AC20" s="72">
        <v>841</v>
      </c>
      <c r="AD20" s="72">
        <v>792</v>
      </c>
      <c r="AE20" s="73">
        <v>755</v>
      </c>
      <c r="AF20" s="71">
        <v>707</v>
      </c>
      <c r="AG20" s="72">
        <v>658</v>
      </c>
      <c r="AH20" s="72">
        <v>586</v>
      </c>
      <c r="AI20" s="73">
        <v>573</v>
      </c>
      <c r="AJ20" s="71">
        <v>558</v>
      </c>
      <c r="AK20" s="72">
        <v>496</v>
      </c>
      <c r="AL20" s="72">
        <v>465</v>
      </c>
      <c r="AM20" s="73">
        <v>8790</v>
      </c>
      <c r="AN20" s="71">
        <v>8446</v>
      </c>
      <c r="AO20" s="72">
        <v>7847</v>
      </c>
      <c r="AP20" s="72">
        <v>7656</v>
      </c>
      <c r="AQ20" s="73">
        <v>7343</v>
      </c>
      <c r="AR20" s="71">
        <v>6983</v>
      </c>
      <c r="AS20" s="72">
        <v>6590</v>
      </c>
      <c r="AT20" s="72">
        <v>6250</v>
      </c>
      <c r="AU20" s="73">
        <v>5863</v>
      </c>
      <c r="AV20" s="1406">
        <f>AU20-CFS!AV36-CFS!AV79</f>
        <v>5873</v>
      </c>
      <c r="AW20" s="1404">
        <f>AV20-CFS!AW36-CFS!AW79</f>
        <v>5883</v>
      </c>
      <c r="AX20" s="1404">
        <f>AW20-CFS!AX36-CFS!AX79</f>
        <v>5893</v>
      </c>
      <c r="AY20" s="1405">
        <f>AX20-CFS!AY36-CFS!AY79</f>
        <v>5903</v>
      </c>
      <c r="AZ20" s="115"/>
      <c r="BA20" s="69">
        <f>G20</f>
        <v>3844</v>
      </c>
      <c r="BB20" s="69">
        <f>K20</f>
        <v>2384</v>
      </c>
      <c r="BC20" s="69">
        <f>O20</f>
        <v>1886</v>
      </c>
      <c r="BD20" s="69">
        <f>S20</f>
        <v>1486</v>
      </c>
      <c r="BE20" s="68">
        <f>W20</f>
        <v>1171</v>
      </c>
      <c r="BF20" s="69">
        <f>AA20</f>
        <v>965</v>
      </c>
      <c r="BG20" s="69">
        <f>AE20</f>
        <v>755</v>
      </c>
      <c r="BH20" s="69">
        <f>AI20</f>
        <v>573</v>
      </c>
      <c r="BI20" s="69">
        <f>AM20</f>
        <v>8790</v>
      </c>
      <c r="BJ20" s="69">
        <f>AQ20</f>
        <v>7343</v>
      </c>
      <c r="BK20" s="69">
        <f t="shared" si="32"/>
        <v>5863</v>
      </c>
      <c r="BL20" s="69">
        <f>AY20</f>
        <v>5903</v>
      </c>
      <c r="BM20" s="69">
        <f>BL20-CFS!BM36-CFS!BM79</f>
        <v>5943</v>
      </c>
      <c r="BN20" s="69">
        <f>BM20-CFS!BN36-CFS!BN79</f>
        <v>5983</v>
      </c>
      <c r="BO20" s="22"/>
      <c r="BV20" s="11"/>
    </row>
    <row r="21" spans="1:74" ht="14.25" customHeight="1">
      <c r="A21" s="8"/>
      <c r="B21" s="25" t="s">
        <v>315</v>
      </c>
      <c r="C21" s="26"/>
      <c r="D21" s="71">
        <v>2879</v>
      </c>
      <c r="E21" s="72">
        <v>3014</v>
      </c>
      <c r="F21" s="72">
        <v>3155</v>
      </c>
      <c r="G21" s="73">
        <v>3716</v>
      </c>
      <c r="H21" s="71">
        <v>4026</v>
      </c>
      <c r="I21" s="72">
        <v>3994</v>
      </c>
      <c r="J21" s="72">
        <v>2637</v>
      </c>
      <c r="K21" s="73">
        <v>2661</v>
      </c>
      <c r="L21" s="71">
        <v>2328</v>
      </c>
      <c r="M21" s="72">
        <v>2427</v>
      </c>
      <c r="N21" s="72">
        <v>2514</v>
      </c>
      <c r="O21" s="73">
        <v>2392</v>
      </c>
      <c r="P21" s="72">
        <v>2282</v>
      </c>
      <c r="Q21" s="72">
        <v>2129</v>
      </c>
      <c r="R21" s="72">
        <v>2334</v>
      </c>
      <c r="S21" s="72">
        <v>2299</v>
      </c>
      <c r="T21" s="71">
        <v>2409</v>
      </c>
      <c r="U21" s="72">
        <v>2468</v>
      </c>
      <c r="V21" s="72">
        <v>2316</v>
      </c>
      <c r="W21" s="73">
        <v>2231</v>
      </c>
      <c r="X21" s="71">
        <v>2288</v>
      </c>
      <c r="Y21" s="72">
        <v>2186</v>
      </c>
      <c r="Z21" s="72">
        <v>2241</v>
      </c>
      <c r="AA21" s="73">
        <v>2277</v>
      </c>
      <c r="AB21" s="71">
        <v>2221</v>
      </c>
      <c r="AC21" s="72">
        <v>2253</v>
      </c>
      <c r="AD21" s="72">
        <v>2318</v>
      </c>
      <c r="AE21" s="73">
        <v>2358</v>
      </c>
      <c r="AF21" s="71">
        <v>2354</v>
      </c>
      <c r="AG21" s="72">
        <v>2337</v>
      </c>
      <c r="AH21" s="72">
        <v>2210</v>
      </c>
      <c r="AI21" s="73">
        <v>2121</v>
      </c>
      <c r="AJ21" s="71">
        <v>1954</v>
      </c>
      <c r="AK21" s="72">
        <v>1825</v>
      </c>
      <c r="AL21" s="72">
        <v>1838</v>
      </c>
      <c r="AM21" s="73">
        <v>9228</v>
      </c>
      <c r="AN21" s="71">
        <v>9239</v>
      </c>
      <c r="AO21" s="72">
        <v>8873</v>
      </c>
      <c r="AP21" s="72">
        <v>8910</v>
      </c>
      <c r="AQ21" s="73">
        <v>8843</v>
      </c>
      <c r="AR21" s="71">
        <v>8854</v>
      </c>
      <c r="AS21" s="72">
        <v>8876</v>
      </c>
      <c r="AT21" s="72">
        <v>8887</v>
      </c>
      <c r="AU21" s="73">
        <v>8866</v>
      </c>
      <c r="AV21" s="68">
        <f t="shared" ref="AV21:AV23" si="33">AU21</f>
        <v>8866</v>
      </c>
      <c r="AW21" s="69">
        <f t="shared" ref="AW21:AW23" si="34">AV21</f>
        <v>8866</v>
      </c>
      <c r="AX21" s="69">
        <f t="shared" ref="AX21:AX23" si="35">AW21</f>
        <v>8866</v>
      </c>
      <c r="AY21" s="70">
        <f t="shared" ref="AY21:AY23" si="36">AX21</f>
        <v>8866</v>
      </c>
      <c r="AZ21" s="115"/>
      <c r="BA21" s="69">
        <f>G21</f>
        <v>3716</v>
      </c>
      <c r="BB21" s="69">
        <f>K21</f>
        <v>2661</v>
      </c>
      <c r="BC21" s="69">
        <f>O21</f>
        <v>2392</v>
      </c>
      <c r="BD21" s="69">
        <f>S21</f>
        <v>2299</v>
      </c>
      <c r="BE21" s="68">
        <f>W21</f>
        <v>2231</v>
      </c>
      <c r="BF21" s="69">
        <f>AA21</f>
        <v>2277</v>
      </c>
      <c r="BG21" s="69">
        <f>AE21</f>
        <v>2358</v>
      </c>
      <c r="BH21" s="69">
        <f>AI21</f>
        <v>2121</v>
      </c>
      <c r="BI21" s="69">
        <f>AM21</f>
        <v>9228</v>
      </c>
      <c r="BJ21" s="69">
        <f>AQ21</f>
        <v>8843</v>
      </c>
      <c r="BK21" s="69">
        <f t="shared" si="32"/>
        <v>8866</v>
      </c>
      <c r="BL21" s="69">
        <f>AY21</f>
        <v>8866</v>
      </c>
      <c r="BM21" s="69">
        <f t="shared" ref="BM21:BN23" si="37">BL21</f>
        <v>8866</v>
      </c>
      <c r="BN21" s="69">
        <f t="shared" si="37"/>
        <v>8866</v>
      </c>
      <c r="BO21" s="22"/>
      <c r="BV21" s="11"/>
    </row>
    <row r="22" spans="1:74" ht="14.25" customHeight="1">
      <c r="A22" s="8"/>
      <c r="B22" s="25" t="s">
        <v>293</v>
      </c>
      <c r="C22" s="26"/>
      <c r="D22" s="71">
        <v>0</v>
      </c>
      <c r="E22" s="72">
        <v>0</v>
      </c>
      <c r="F22" s="72">
        <v>0</v>
      </c>
      <c r="G22" s="73">
        <v>0</v>
      </c>
      <c r="H22" s="71">
        <v>0</v>
      </c>
      <c r="I22" s="72">
        <v>0</v>
      </c>
      <c r="J22" s="72">
        <v>0</v>
      </c>
      <c r="K22" s="73">
        <v>0</v>
      </c>
      <c r="L22" s="71">
        <v>0</v>
      </c>
      <c r="M22" s="72">
        <v>0</v>
      </c>
      <c r="N22" s="72">
        <v>0</v>
      </c>
      <c r="O22" s="73">
        <v>0</v>
      </c>
      <c r="P22" s="72">
        <v>0</v>
      </c>
      <c r="Q22" s="72">
        <v>0</v>
      </c>
      <c r="R22" s="72">
        <v>0</v>
      </c>
      <c r="S22" s="72">
        <v>0</v>
      </c>
      <c r="T22" s="71">
        <v>0</v>
      </c>
      <c r="U22" s="72">
        <v>0</v>
      </c>
      <c r="V22" s="72">
        <v>0</v>
      </c>
      <c r="W22" s="73">
        <v>0</v>
      </c>
      <c r="X22" s="71">
        <v>0</v>
      </c>
      <c r="Y22" s="72">
        <v>0</v>
      </c>
      <c r="Z22" s="72">
        <v>0</v>
      </c>
      <c r="AA22" s="73">
        <v>0</v>
      </c>
      <c r="AB22" s="71">
        <v>0</v>
      </c>
      <c r="AC22" s="72">
        <v>0</v>
      </c>
      <c r="AD22" s="72">
        <v>0</v>
      </c>
      <c r="AE22" s="73">
        <v>0</v>
      </c>
      <c r="AF22" s="71">
        <v>0</v>
      </c>
      <c r="AG22" s="72">
        <v>0</v>
      </c>
      <c r="AH22" s="72">
        <v>0</v>
      </c>
      <c r="AI22" s="73">
        <v>0</v>
      </c>
      <c r="AJ22" s="71">
        <v>0</v>
      </c>
      <c r="AK22" s="72">
        <v>0</v>
      </c>
      <c r="AL22" s="72">
        <v>0</v>
      </c>
      <c r="AM22" s="73">
        <v>0</v>
      </c>
      <c r="AN22" s="71">
        <v>0</v>
      </c>
      <c r="AO22" s="72">
        <v>0</v>
      </c>
      <c r="AP22" s="72">
        <v>0</v>
      </c>
      <c r="AQ22" s="73">
        <v>0</v>
      </c>
      <c r="AR22" s="71">
        <v>0</v>
      </c>
      <c r="AS22" s="72">
        <v>0</v>
      </c>
      <c r="AT22" s="72">
        <v>0</v>
      </c>
      <c r="AU22" s="73">
        <v>0</v>
      </c>
      <c r="AV22" s="68">
        <f t="shared" si="33"/>
        <v>0</v>
      </c>
      <c r="AW22" s="69">
        <f t="shared" si="34"/>
        <v>0</v>
      </c>
      <c r="AX22" s="69">
        <f t="shared" si="35"/>
        <v>0</v>
      </c>
      <c r="AY22" s="70">
        <f t="shared" si="36"/>
        <v>0</v>
      </c>
      <c r="AZ22" s="115"/>
      <c r="BA22" s="69">
        <f>G22</f>
        <v>0</v>
      </c>
      <c r="BB22" s="69">
        <f>K22</f>
        <v>0</v>
      </c>
      <c r="BC22" s="69">
        <f>O22</f>
        <v>0</v>
      </c>
      <c r="BD22" s="69">
        <f>S22</f>
        <v>0</v>
      </c>
      <c r="BE22" s="68">
        <f>W22</f>
        <v>0</v>
      </c>
      <c r="BF22" s="69">
        <f>AA22</f>
        <v>0</v>
      </c>
      <c r="BG22" s="69">
        <f>AE22</f>
        <v>0</v>
      </c>
      <c r="BH22" s="69">
        <f>AI22</f>
        <v>0</v>
      </c>
      <c r="BI22" s="69">
        <f>AM22</f>
        <v>0</v>
      </c>
      <c r="BJ22" s="69">
        <f>AQ22</f>
        <v>0</v>
      </c>
      <c r="BK22" s="69">
        <f t="shared" si="32"/>
        <v>0</v>
      </c>
      <c r="BL22" s="69">
        <f>AY22</f>
        <v>0</v>
      </c>
      <c r="BM22" s="69">
        <f>BL22</f>
        <v>0</v>
      </c>
      <c r="BN22" s="69">
        <f>BM22</f>
        <v>0</v>
      </c>
      <c r="BO22" s="22"/>
      <c r="BV22" s="11"/>
    </row>
    <row r="23" spans="1:74" ht="14.25" customHeight="1">
      <c r="A23" s="8"/>
      <c r="B23" s="25" t="s">
        <v>273</v>
      </c>
      <c r="C23" s="26"/>
      <c r="D23" s="71">
        <f>60+16+288</f>
        <v>364</v>
      </c>
      <c r="E23" s="72">
        <f>66+8+378</f>
        <v>452</v>
      </c>
      <c r="F23" s="72">
        <f>87+73+371</f>
        <v>531</v>
      </c>
      <c r="G23" s="73">
        <f>76+64+486</f>
        <v>626</v>
      </c>
      <c r="H23" s="71">
        <f>73+72+534</f>
        <v>679</v>
      </c>
      <c r="I23" s="72">
        <f>70+58+637</f>
        <v>765</v>
      </c>
      <c r="J23" s="72">
        <f>646+62+184</f>
        <v>892</v>
      </c>
      <c r="K23" s="73">
        <f>158+18+469</f>
        <v>645</v>
      </c>
      <c r="L23" s="71">
        <f>49+18+305+202</f>
        <v>574</v>
      </c>
      <c r="M23" s="72">
        <f>48+20+314+278</f>
        <v>660</v>
      </c>
      <c r="N23" s="72">
        <f>48+21+313+356</f>
        <v>738</v>
      </c>
      <c r="O23" s="73">
        <f>43+35+297+85</f>
        <v>460</v>
      </c>
      <c r="P23" s="72">
        <f>194+35+281+126</f>
        <v>636</v>
      </c>
      <c r="Q23" s="72">
        <f>166+36+258+159</f>
        <v>619</v>
      </c>
      <c r="R23" s="72">
        <f>159+20+275+140</f>
        <v>594</v>
      </c>
      <c r="S23" s="73">
        <f>132+19+266+135</f>
        <v>552</v>
      </c>
      <c r="T23" s="72">
        <f>156+110+19+290</f>
        <v>575</v>
      </c>
      <c r="U23" s="72">
        <f>95+19+302+173</f>
        <v>589</v>
      </c>
      <c r="V23" s="72">
        <f>71+18+151</f>
        <v>240</v>
      </c>
      <c r="W23" s="73">
        <f>37+17+127</f>
        <v>181</v>
      </c>
      <c r="X23" s="72">
        <f>38+145</f>
        <v>183</v>
      </c>
      <c r="Y23" s="72">
        <f>39+145</f>
        <v>184</v>
      </c>
      <c r="Z23" s="72">
        <f>144+42</f>
        <v>186</v>
      </c>
      <c r="AA23" s="73">
        <f>128+45</f>
        <v>173</v>
      </c>
      <c r="AB23" s="72">
        <f>131+46</f>
        <v>177</v>
      </c>
      <c r="AC23" s="72">
        <f>47+128</f>
        <v>175</v>
      </c>
      <c r="AD23" s="72">
        <f>50+139</f>
        <v>189</v>
      </c>
      <c r="AE23" s="73">
        <f>144+52</f>
        <v>196</v>
      </c>
      <c r="AF23" s="72">
        <f>143+53</f>
        <v>196</v>
      </c>
      <c r="AG23" s="72">
        <f>56+150</f>
        <v>206</v>
      </c>
      <c r="AH23" s="72">
        <f>141+59</f>
        <v>200</v>
      </c>
      <c r="AI23" s="73">
        <f>365+71</f>
        <v>436</v>
      </c>
      <c r="AJ23" s="72">
        <f>479+73</f>
        <v>552</v>
      </c>
      <c r="AK23" s="72">
        <f>75+462</f>
        <v>537</v>
      </c>
      <c r="AL23" s="72">
        <f>78+373</f>
        <v>451</v>
      </c>
      <c r="AM23" s="73">
        <v>602</v>
      </c>
      <c r="AN23" s="72">
        <v>595</v>
      </c>
      <c r="AO23" s="72">
        <v>519</v>
      </c>
      <c r="AP23" s="72">
        <v>657</v>
      </c>
      <c r="AQ23" s="73">
        <v>628</v>
      </c>
      <c r="AR23" s="72">
        <v>816</v>
      </c>
      <c r="AS23" s="72">
        <v>785</v>
      </c>
      <c r="AT23" s="72">
        <v>862</v>
      </c>
      <c r="AU23" s="73">
        <v>981</v>
      </c>
      <c r="AV23" s="68">
        <f t="shared" si="33"/>
        <v>981</v>
      </c>
      <c r="AW23" s="69">
        <f t="shared" si="34"/>
        <v>981</v>
      </c>
      <c r="AX23" s="69">
        <f t="shared" si="35"/>
        <v>981</v>
      </c>
      <c r="AY23" s="70">
        <f t="shared" si="36"/>
        <v>981</v>
      </c>
      <c r="AZ23" s="115"/>
      <c r="BA23" s="69">
        <f>G23</f>
        <v>626</v>
      </c>
      <c r="BB23" s="69">
        <f>K23</f>
        <v>645</v>
      </c>
      <c r="BC23" s="69">
        <f>O23</f>
        <v>460</v>
      </c>
      <c r="BD23" s="69">
        <f>S23</f>
        <v>552</v>
      </c>
      <c r="BE23" s="68">
        <f>W23</f>
        <v>181</v>
      </c>
      <c r="BF23" s="69">
        <f>AA23</f>
        <v>173</v>
      </c>
      <c r="BG23" s="69">
        <f>AE23</f>
        <v>196</v>
      </c>
      <c r="BH23" s="69">
        <f>AI23</f>
        <v>436</v>
      </c>
      <c r="BI23" s="69">
        <f>AM23</f>
        <v>602</v>
      </c>
      <c r="BJ23" s="69">
        <f>AQ23</f>
        <v>628</v>
      </c>
      <c r="BK23" s="69">
        <f t="shared" si="32"/>
        <v>981</v>
      </c>
      <c r="BL23" s="69">
        <f>AY23</f>
        <v>981</v>
      </c>
      <c r="BM23" s="69">
        <f t="shared" si="37"/>
        <v>981</v>
      </c>
      <c r="BN23" s="69">
        <f t="shared" si="37"/>
        <v>981</v>
      </c>
      <c r="BO23" s="22"/>
      <c r="BV23" s="11"/>
    </row>
    <row r="24" spans="1:74" ht="14.25" customHeight="1">
      <c r="A24" s="8"/>
      <c r="B24" s="129" t="s">
        <v>148</v>
      </c>
      <c r="C24" s="130"/>
      <c r="D24" s="133">
        <f t="shared" ref="D24:AE24" si="38">SUM(D19:D23)+D17</f>
        <v>12851</v>
      </c>
      <c r="E24" s="131">
        <f t="shared" si="38"/>
        <v>12715</v>
      </c>
      <c r="F24" s="131">
        <f t="shared" si="38"/>
        <v>13262</v>
      </c>
      <c r="G24" s="132">
        <f t="shared" si="38"/>
        <v>13816</v>
      </c>
      <c r="H24" s="133">
        <f t="shared" si="38"/>
        <v>14086</v>
      </c>
      <c r="I24" s="131">
        <f t="shared" si="38"/>
        <v>13889</v>
      </c>
      <c r="J24" s="131">
        <f t="shared" si="38"/>
        <v>11439</v>
      </c>
      <c r="K24" s="132">
        <f t="shared" si="38"/>
        <v>10685</v>
      </c>
      <c r="L24" s="133">
        <f t="shared" si="38"/>
        <v>9569</v>
      </c>
      <c r="M24" s="131">
        <f t="shared" si="38"/>
        <v>9356</v>
      </c>
      <c r="N24" s="131">
        <f t="shared" si="38"/>
        <v>9111</v>
      </c>
      <c r="O24" s="132">
        <f t="shared" si="38"/>
        <v>8579</v>
      </c>
      <c r="P24" s="131">
        <f t="shared" si="38"/>
        <v>8073</v>
      </c>
      <c r="Q24" s="131">
        <f t="shared" si="38"/>
        <v>7556</v>
      </c>
      <c r="R24" s="131">
        <f t="shared" si="38"/>
        <v>7911</v>
      </c>
      <c r="S24" s="132">
        <f t="shared" si="38"/>
        <v>7637</v>
      </c>
      <c r="T24" s="133">
        <f t="shared" si="38"/>
        <v>7753</v>
      </c>
      <c r="U24" s="131">
        <f t="shared" si="38"/>
        <v>7798</v>
      </c>
      <c r="V24" s="131">
        <f t="shared" si="38"/>
        <v>7014</v>
      </c>
      <c r="W24" s="132">
        <f t="shared" si="38"/>
        <v>6612</v>
      </c>
      <c r="X24" s="133">
        <f t="shared" si="38"/>
        <v>6682</v>
      </c>
      <c r="Y24" s="131">
        <f t="shared" si="38"/>
        <v>6536</v>
      </c>
      <c r="Z24" s="131">
        <f t="shared" si="38"/>
        <v>6501</v>
      </c>
      <c r="AA24" s="132">
        <f t="shared" si="38"/>
        <v>6439</v>
      </c>
      <c r="AB24" s="133">
        <f t="shared" si="38"/>
        <v>6281</v>
      </c>
      <c r="AC24" s="131">
        <f t="shared" si="38"/>
        <v>6296</v>
      </c>
      <c r="AD24" s="131">
        <f t="shared" si="38"/>
        <v>6744</v>
      </c>
      <c r="AE24" s="132">
        <f t="shared" si="38"/>
        <v>6449</v>
      </c>
      <c r="AF24" s="133">
        <f t="shared" ref="AF24:AK24" si="39">SUM(AF19:AF23)+AF17</f>
        <v>6489</v>
      </c>
      <c r="AG24" s="131">
        <f t="shared" si="39"/>
        <v>6496</v>
      </c>
      <c r="AH24" s="131">
        <f t="shared" si="39"/>
        <v>6266</v>
      </c>
      <c r="AI24" s="132">
        <f t="shared" si="39"/>
        <v>6893</v>
      </c>
      <c r="AJ24" s="133">
        <f t="shared" si="39"/>
        <v>7065</v>
      </c>
      <c r="AK24" s="131">
        <f t="shared" si="39"/>
        <v>8193</v>
      </c>
      <c r="AL24" s="131">
        <f t="shared" ref="AL24" si="40">SUM(AL19:AL23)+AL17</f>
        <v>8250</v>
      </c>
      <c r="AM24" s="132">
        <f t="shared" ref="AM24" si="41">SUM(AM19:AM23)+AM17</f>
        <v>26354</v>
      </c>
      <c r="AN24" s="133">
        <f t="shared" ref="AN24" si="42">SUM(AN19:AN23)+AN17</f>
        <v>25373</v>
      </c>
      <c r="AO24" s="131">
        <f t="shared" ref="AO24:AR24" si="43">SUM(AO19:AO23)+AO17</f>
        <v>24581</v>
      </c>
      <c r="AP24" s="131">
        <f t="shared" si="43"/>
        <v>24792</v>
      </c>
      <c r="AQ24" s="132">
        <f t="shared" si="43"/>
        <v>24564</v>
      </c>
      <c r="AR24" s="133">
        <f t="shared" si="43"/>
        <v>23614</v>
      </c>
      <c r="AS24" s="131">
        <f t="shared" ref="AS24:AU24" si="44">SUM(AS19:AS23)+AS17</f>
        <v>23628</v>
      </c>
      <c r="AT24" s="131">
        <f t="shared" si="44"/>
        <v>23793</v>
      </c>
      <c r="AU24" s="132">
        <f t="shared" si="44"/>
        <v>24049</v>
      </c>
      <c r="AV24" s="133">
        <f t="shared" ref="AV24:AY24" si="45">SUM(AV19:AV23)+AV17</f>
        <v>24511.607997413681</v>
      </c>
      <c r="AW24" s="131">
        <f t="shared" si="45"/>
        <v>25196.318100720135</v>
      </c>
      <c r="AX24" s="131">
        <f t="shared" si="45"/>
        <v>25936.471347252096</v>
      </c>
      <c r="AY24" s="132">
        <f t="shared" si="45"/>
        <v>26612.042706970515</v>
      </c>
      <c r="AZ24" s="115"/>
      <c r="BA24" s="131">
        <f t="shared" ref="BA24:BM24" si="46">SUM(BA19:BA23)+BA17</f>
        <v>13816</v>
      </c>
      <c r="BB24" s="131">
        <f t="shared" si="46"/>
        <v>10685</v>
      </c>
      <c r="BC24" s="131">
        <f t="shared" si="46"/>
        <v>8579</v>
      </c>
      <c r="BD24" s="131">
        <f t="shared" si="46"/>
        <v>7637</v>
      </c>
      <c r="BE24" s="133">
        <f t="shared" si="46"/>
        <v>6612</v>
      </c>
      <c r="BF24" s="131">
        <f t="shared" si="46"/>
        <v>6439</v>
      </c>
      <c r="BG24" s="131">
        <f t="shared" si="46"/>
        <v>6449</v>
      </c>
      <c r="BH24" s="131">
        <f t="shared" si="46"/>
        <v>6893</v>
      </c>
      <c r="BI24" s="131">
        <f t="shared" si="46"/>
        <v>26354</v>
      </c>
      <c r="BJ24" s="131">
        <f t="shared" si="46"/>
        <v>24564</v>
      </c>
      <c r="BK24" s="131">
        <f t="shared" ref="BK24:BL24" si="47">SUM(BK19:BK23)+BK17</f>
        <v>24049</v>
      </c>
      <c r="BL24" s="131">
        <f t="shared" si="47"/>
        <v>26612.042706970515</v>
      </c>
      <c r="BM24" s="131">
        <f t="shared" si="46"/>
        <v>29554.30697282336</v>
      </c>
      <c r="BN24" s="131">
        <f t="shared" ref="BN24" si="48">SUM(BN19:BN23)+BN17</f>
        <v>32700.283066056996</v>
      </c>
      <c r="BO24" s="22"/>
      <c r="BV24" s="11"/>
    </row>
    <row r="25" spans="1:74" ht="14.25" customHeight="1">
      <c r="A25" s="8"/>
      <c r="B25" s="23"/>
      <c r="C25" s="24"/>
      <c r="D25" s="71"/>
      <c r="E25" s="72"/>
      <c r="F25" s="72"/>
      <c r="G25" s="73"/>
      <c r="H25" s="71"/>
      <c r="I25" s="72"/>
      <c r="J25" s="72"/>
      <c r="K25" s="73"/>
      <c r="L25" s="71"/>
      <c r="M25" s="72"/>
      <c r="N25" s="72"/>
      <c r="O25" s="73"/>
      <c r="P25" s="72"/>
      <c r="Q25" s="72"/>
      <c r="R25" s="72"/>
      <c r="S25" s="72"/>
      <c r="T25" s="71"/>
      <c r="U25" s="72"/>
      <c r="V25" s="72"/>
      <c r="W25" s="73"/>
      <c r="X25" s="71"/>
      <c r="Y25" s="72"/>
      <c r="Z25" s="72"/>
      <c r="AA25" s="73"/>
      <c r="AB25" s="71"/>
      <c r="AC25" s="72"/>
      <c r="AD25" s="72"/>
      <c r="AE25" s="73"/>
      <c r="AF25" s="71"/>
      <c r="AG25" s="72"/>
      <c r="AH25" s="72"/>
      <c r="AI25" s="73"/>
      <c r="AJ25" s="71"/>
      <c r="AK25" s="72"/>
      <c r="AL25" s="72"/>
      <c r="AM25" s="73"/>
      <c r="AN25" s="71"/>
      <c r="AO25" s="72"/>
      <c r="AP25" s="72"/>
      <c r="AQ25" s="73"/>
      <c r="AR25" s="71"/>
      <c r="AS25" s="72"/>
      <c r="AT25" s="72"/>
      <c r="AU25" s="73"/>
      <c r="AV25" s="71"/>
      <c r="AW25" s="72"/>
      <c r="AX25" s="72"/>
      <c r="AY25" s="73"/>
      <c r="AZ25" s="115"/>
      <c r="BA25" s="64"/>
      <c r="BB25" s="65"/>
      <c r="BC25" s="65"/>
      <c r="BD25" s="65"/>
      <c r="BE25" s="64"/>
      <c r="BF25" s="65"/>
      <c r="BG25" s="65"/>
      <c r="BH25" s="65"/>
      <c r="BI25" s="65"/>
      <c r="BJ25" s="65"/>
      <c r="BK25" s="65"/>
      <c r="BL25" s="65"/>
      <c r="BM25" s="65"/>
      <c r="BN25" s="65"/>
      <c r="BO25" s="22"/>
      <c r="BV25" s="11"/>
    </row>
    <row r="26" spans="1:74" ht="14.25" customHeight="1">
      <c r="A26" s="8"/>
      <c r="B26" s="109" t="s">
        <v>149</v>
      </c>
      <c r="C26" s="110"/>
      <c r="D26" s="71"/>
      <c r="E26" s="72"/>
      <c r="F26" s="72"/>
      <c r="G26" s="73"/>
      <c r="H26" s="71"/>
      <c r="I26" s="72"/>
      <c r="J26" s="72"/>
      <c r="K26" s="73"/>
      <c r="L26" s="71"/>
      <c r="M26" s="72"/>
      <c r="N26" s="72"/>
      <c r="O26" s="73"/>
      <c r="P26" s="72"/>
      <c r="Q26" s="72"/>
      <c r="R26" s="72"/>
      <c r="S26" s="72"/>
      <c r="T26" s="71"/>
      <c r="U26" s="72"/>
      <c r="V26" s="72"/>
      <c r="W26" s="73"/>
      <c r="X26" s="71"/>
      <c r="Y26" s="72"/>
      <c r="Z26" s="72"/>
      <c r="AA26" s="73"/>
      <c r="AB26" s="71"/>
      <c r="AC26" s="72"/>
      <c r="AD26" s="72"/>
      <c r="AE26" s="73"/>
      <c r="AF26" s="71"/>
      <c r="AG26" s="72"/>
      <c r="AH26" s="72"/>
      <c r="AI26" s="73"/>
      <c r="AJ26" s="71"/>
      <c r="AK26" s="72"/>
      <c r="AL26" s="72"/>
      <c r="AM26" s="73"/>
      <c r="AN26" s="71"/>
      <c r="AO26" s="72"/>
      <c r="AP26" s="72"/>
      <c r="AQ26" s="73"/>
      <c r="AR26" s="71"/>
      <c r="AS26" s="72"/>
      <c r="AT26" s="72"/>
      <c r="AU26" s="73"/>
      <c r="AV26" s="71"/>
      <c r="AW26" s="72"/>
      <c r="AX26" s="72"/>
      <c r="AY26" s="73"/>
      <c r="AZ26" s="115"/>
      <c r="BA26" s="71"/>
      <c r="BB26" s="72"/>
      <c r="BC26" s="72"/>
      <c r="BD26" s="72"/>
      <c r="BE26" s="71"/>
      <c r="BF26" s="72"/>
      <c r="BG26" s="72"/>
      <c r="BH26" s="72"/>
      <c r="BI26" s="72"/>
      <c r="BJ26" s="72"/>
      <c r="BK26" s="72"/>
      <c r="BL26" s="72"/>
      <c r="BM26" s="72"/>
      <c r="BN26" s="72"/>
      <c r="BO26" s="22"/>
      <c r="BV26" s="11"/>
    </row>
    <row r="27" spans="1:74" ht="14.25" customHeight="1">
      <c r="A27" s="8"/>
      <c r="B27" s="25" t="s">
        <v>150</v>
      </c>
      <c r="C27" s="26"/>
      <c r="D27" s="71">
        <v>610</v>
      </c>
      <c r="E27" s="72">
        <v>798</v>
      </c>
      <c r="F27" s="72">
        <v>879</v>
      </c>
      <c r="G27" s="73">
        <v>1001</v>
      </c>
      <c r="H27" s="71">
        <v>874</v>
      </c>
      <c r="I27" s="72">
        <v>856</v>
      </c>
      <c r="J27" s="72">
        <v>739</v>
      </c>
      <c r="K27" s="73">
        <v>619</v>
      </c>
      <c r="L27" s="71">
        <v>410</v>
      </c>
      <c r="M27" s="72">
        <v>457</v>
      </c>
      <c r="N27" s="72">
        <v>483</v>
      </c>
      <c r="O27" s="73">
        <v>556</v>
      </c>
      <c r="P27" s="72">
        <v>539</v>
      </c>
      <c r="Q27" s="72">
        <v>591</v>
      </c>
      <c r="R27" s="72">
        <v>589</v>
      </c>
      <c r="S27" s="73">
        <v>593</v>
      </c>
      <c r="T27" s="71">
        <v>539</v>
      </c>
      <c r="U27" s="72">
        <v>561</v>
      </c>
      <c r="V27" s="72">
        <v>532</v>
      </c>
      <c r="W27" s="73">
        <v>455</v>
      </c>
      <c r="X27" s="71">
        <v>462</v>
      </c>
      <c r="Y27" s="72">
        <v>524</v>
      </c>
      <c r="Z27" s="72">
        <v>549</v>
      </c>
      <c r="AA27" s="73">
        <v>562</v>
      </c>
      <c r="AB27" s="71">
        <v>513</v>
      </c>
      <c r="AC27" s="72">
        <v>521</v>
      </c>
      <c r="AD27" s="72">
        <v>545</v>
      </c>
      <c r="AE27" s="73">
        <v>544</v>
      </c>
      <c r="AF27" s="71">
        <v>558</v>
      </c>
      <c r="AG27" s="72">
        <v>627</v>
      </c>
      <c r="AH27" s="72">
        <v>670</v>
      </c>
      <c r="AI27" s="73">
        <v>729</v>
      </c>
      <c r="AJ27" s="71">
        <v>755</v>
      </c>
      <c r="AK27" s="72">
        <v>739</v>
      </c>
      <c r="AL27" s="72">
        <v>736</v>
      </c>
      <c r="AM27" s="73">
        <v>1014</v>
      </c>
      <c r="AN27" s="71">
        <v>948</v>
      </c>
      <c r="AO27" s="72">
        <v>873</v>
      </c>
      <c r="AP27" s="72">
        <v>889</v>
      </c>
      <c r="AQ27" s="73">
        <f>129+973</f>
        <v>1102</v>
      </c>
      <c r="AR27" s="71">
        <f>95+975</f>
        <v>1070</v>
      </c>
      <c r="AS27" s="72">
        <f>1068+87</f>
        <v>1155</v>
      </c>
      <c r="AT27" s="72">
        <f>1052+79</f>
        <v>1131</v>
      </c>
      <c r="AU27" s="73">
        <f>1146+74</f>
        <v>1220</v>
      </c>
      <c r="AV27" s="68">
        <f t="shared" ref="AV27:AY27" si="49">AV50/360*AV53*4</f>
        <v>1067.4400800000003</v>
      </c>
      <c r="AW27" s="69">
        <f t="shared" si="49"/>
        <v>1097.5988048000002</v>
      </c>
      <c r="AX27" s="69">
        <f t="shared" si="49"/>
        <v>1135.4292724480001</v>
      </c>
      <c r="AY27" s="70">
        <f t="shared" si="49"/>
        <v>1116.5658728595999</v>
      </c>
      <c r="AZ27" s="115"/>
      <c r="BA27" s="68">
        <f>G27</f>
        <v>1001</v>
      </c>
      <c r="BB27" s="69">
        <f>K27</f>
        <v>619</v>
      </c>
      <c r="BC27" s="69">
        <f>O27</f>
        <v>556</v>
      </c>
      <c r="BD27" s="69">
        <f>S27</f>
        <v>593</v>
      </c>
      <c r="BE27" s="68">
        <f>W27</f>
        <v>455</v>
      </c>
      <c r="BF27" s="69">
        <f>AA27</f>
        <v>562</v>
      </c>
      <c r="BG27" s="69">
        <f>AE27</f>
        <v>544</v>
      </c>
      <c r="BH27" s="69">
        <f>AI27</f>
        <v>729</v>
      </c>
      <c r="BI27" s="69">
        <f>AM27</f>
        <v>1014</v>
      </c>
      <c r="BJ27" s="69">
        <f>AQ27</f>
        <v>1102</v>
      </c>
      <c r="BK27" s="69">
        <f t="shared" ref="BK27:BK31" si="50">AU27</f>
        <v>1220</v>
      </c>
      <c r="BL27" s="69">
        <f>AY27</f>
        <v>1116.5658728595999</v>
      </c>
      <c r="BM27" s="69">
        <f>BM50/360*BM53</f>
        <v>1184.6391764421551</v>
      </c>
      <c r="BN27" s="69">
        <f>BN50/360*BN53</f>
        <v>1241.108265828505</v>
      </c>
      <c r="BO27" s="22"/>
      <c r="BV27" s="11"/>
    </row>
    <row r="28" spans="1:74" ht="14.25" customHeight="1">
      <c r="A28" s="8"/>
      <c r="B28" s="25" t="s">
        <v>316</v>
      </c>
      <c r="C28" s="26"/>
      <c r="D28" s="72">
        <v>0</v>
      </c>
      <c r="E28" s="72">
        <v>0</v>
      </c>
      <c r="F28" s="72">
        <v>0</v>
      </c>
      <c r="G28" s="73">
        <v>0</v>
      </c>
      <c r="H28" s="72">
        <v>0</v>
      </c>
      <c r="I28" s="72">
        <v>0</v>
      </c>
      <c r="J28" s="72">
        <v>0</v>
      </c>
      <c r="K28" s="73">
        <v>0</v>
      </c>
      <c r="L28" s="72">
        <v>0</v>
      </c>
      <c r="M28" s="72">
        <v>0</v>
      </c>
      <c r="N28" s="72">
        <v>0</v>
      </c>
      <c r="O28" s="73">
        <v>2</v>
      </c>
      <c r="P28" s="72">
        <v>29</v>
      </c>
      <c r="Q28" s="72">
        <v>26</v>
      </c>
      <c r="R28" s="72">
        <v>29</v>
      </c>
      <c r="S28" s="72">
        <v>21</v>
      </c>
      <c r="T28" s="71">
        <v>21</v>
      </c>
      <c r="U28" s="72">
        <v>21</v>
      </c>
      <c r="V28" s="72">
        <v>21</v>
      </c>
      <c r="W28" s="73">
        <v>21</v>
      </c>
      <c r="X28" s="71">
        <v>22</v>
      </c>
      <c r="Y28" s="72">
        <v>5</v>
      </c>
      <c r="Z28" s="72">
        <v>3</v>
      </c>
      <c r="AA28" s="73">
        <v>0</v>
      </c>
      <c r="AB28" s="71">
        <v>0</v>
      </c>
      <c r="AC28" s="72">
        <v>0</v>
      </c>
      <c r="AD28" s="72">
        <v>0</v>
      </c>
      <c r="AE28" s="73">
        <v>1</v>
      </c>
      <c r="AF28" s="71">
        <v>1</v>
      </c>
      <c r="AG28" s="72">
        <v>0</v>
      </c>
      <c r="AH28" s="72">
        <v>0</v>
      </c>
      <c r="AI28" s="73">
        <v>0</v>
      </c>
      <c r="AJ28" s="71">
        <v>6</v>
      </c>
      <c r="AK28" s="72">
        <v>6</v>
      </c>
      <c r="AL28" s="72">
        <v>8</v>
      </c>
      <c r="AM28" s="73">
        <v>0</v>
      </c>
      <c r="AN28" s="71">
        <v>0</v>
      </c>
      <c r="AO28" s="72">
        <v>155</v>
      </c>
      <c r="AP28" s="72">
        <v>182</v>
      </c>
      <c r="AQ28" s="73">
        <v>198</v>
      </c>
      <c r="AR28" s="71">
        <v>0</v>
      </c>
      <c r="AS28" s="72">
        <v>0</v>
      </c>
      <c r="AT28" s="72">
        <v>0</v>
      </c>
      <c r="AU28" s="73">
        <v>0</v>
      </c>
      <c r="AV28" s="68">
        <f t="shared" ref="AV28:AV31" si="51">AU28</f>
        <v>0</v>
      </c>
      <c r="AW28" s="69">
        <f t="shared" ref="AW28:AW31" si="52">AV28</f>
        <v>0</v>
      </c>
      <c r="AX28" s="69">
        <f t="shared" ref="AX28:AX31" si="53">AW28</f>
        <v>0</v>
      </c>
      <c r="AY28" s="70">
        <f t="shared" ref="AY28:AY31" si="54">AX28</f>
        <v>0</v>
      </c>
      <c r="AZ28" s="115"/>
      <c r="BA28" s="68">
        <f>G28</f>
        <v>0</v>
      </c>
      <c r="BB28" s="69">
        <f>K28</f>
        <v>0</v>
      </c>
      <c r="BC28" s="69">
        <f>O28</f>
        <v>2</v>
      </c>
      <c r="BD28" s="69">
        <f>S28</f>
        <v>21</v>
      </c>
      <c r="BE28" s="68">
        <f>W28</f>
        <v>21</v>
      </c>
      <c r="BF28" s="69">
        <f>AA28</f>
        <v>0</v>
      </c>
      <c r="BG28" s="69">
        <f>AE28</f>
        <v>1</v>
      </c>
      <c r="BH28" s="69">
        <f>AI28</f>
        <v>0</v>
      </c>
      <c r="BI28" s="69">
        <f>AM28</f>
        <v>0</v>
      </c>
      <c r="BJ28" s="69">
        <f>AQ28</f>
        <v>198</v>
      </c>
      <c r="BK28" s="69">
        <f t="shared" si="50"/>
        <v>0</v>
      </c>
      <c r="BL28" s="69">
        <f>AY28</f>
        <v>0</v>
      </c>
      <c r="BM28" s="69">
        <f t="shared" ref="BM28:BN31" si="55">BL28</f>
        <v>0</v>
      </c>
      <c r="BN28" s="69">
        <f t="shared" si="55"/>
        <v>0</v>
      </c>
      <c r="BO28" s="22"/>
      <c r="BV28" s="11"/>
    </row>
    <row r="29" spans="1:74" ht="14.25" customHeight="1">
      <c r="A29" s="8"/>
      <c r="B29" s="25" t="s">
        <v>294</v>
      </c>
      <c r="C29" s="26"/>
      <c r="D29" s="72">
        <v>715</v>
      </c>
      <c r="E29" s="72">
        <v>812</v>
      </c>
      <c r="F29" s="72">
        <v>1023</v>
      </c>
      <c r="G29" s="73">
        <v>935</v>
      </c>
      <c r="H29" s="72">
        <v>973</v>
      </c>
      <c r="I29" s="72">
        <v>751</v>
      </c>
      <c r="J29" s="72">
        <v>1374</v>
      </c>
      <c r="K29" s="73">
        <v>983</v>
      </c>
      <c r="L29" s="72">
        <v>919</v>
      </c>
      <c r="M29" s="72">
        <v>682</v>
      </c>
      <c r="N29" s="72">
        <v>807</v>
      </c>
      <c r="O29" s="73">
        <v>666</v>
      </c>
      <c r="P29" s="72">
        <v>641</v>
      </c>
      <c r="Q29" s="72">
        <v>520</v>
      </c>
      <c r="R29" s="72">
        <v>524</v>
      </c>
      <c r="S29" s="72">
        <v>461</v>
      </c>
      <c r="T29" s="71">
        <f>445+59</f>
        <v>504</v>
      </c>
      <c r="U29" s="72">
        <f>404+36</f>
        <v>440</v>
      </c>
      <c r="V29" s="72">
        <v>422</v>
      </c>
      <c r="W29" s="73">
        <v>332</v>
      </c>
      <c r="X29" s="71">
        <v>359</v>
      </c>
      <c r="Y29" s="72">
        <v>524</v>
      </c>
      <c r="Z29" s="72">
        <v>513</v>
      </c>
      <c r="AA29" s="73">
        <v>627</v>
      </c>
      <c r="AB29" s="71">
        <v>599</v>
      </c>
      <c r="AC29" s="72">
        <v>610</v>
      </c>
      <c r="AD29" s="72">
        <v>595</v>
      </c>
      <c r="AE29" s="73">
        <v>608</v>
      </c>
      <c r="AF29" s="71">
        <v>639</v>
      </c>
      <c r="AG29" s="72">
        <v>622</v>
      </c>
      <c r="AH29" s="72">
        <v>577</v>
      </c>
      <c r="AI29" s="73">
        <v>571</v>
      </c>
      <c r="AJ29" s="71">
        <v>532</v>
      </c>
      <c r="AK29" s="72">
        <v>542</v>
      </c>
      <c r="AL29" s="72">
        <v>501</v>
      </c>
      <c r="AM29" s="73">
        <f>781+197</f>
        <v>978</v>
      </c>
      <c r="AN29" s="71">
        <f>821+193</f>
        <v>1014</v>
      </c>
      <c r="AO29" s="72">
        <f>193+749</f>
        <v>942</v>
      </c>
      <c r="AP29" s="72">
        <f>159+712</f>
        <v>871</v>
      </c>
      <c r="AQ29" s="73">
        <v>712</v>
      </c>
      <c r="AR29" s="71">
        <v>984</v>
      </c>
      <c r="AS29" s="72">
        <v>801</v>
      </c>
      <c r="AT29" s="72">
        <v>818</v>
      </c>
      <c r="AU29" s="73">
        <v>747</v>
      </c>
      <c r="AV29" s="68">
        <f t="shared" si="51"/>
        <v>747</v>
      </c>
      <c r="AW29" s="69">
        <f t="shared" si="52"/>
        <v>747</v>
      </c>
      <c r="AX29" s="69">
        <f t="shared" si="53"/>
        <v>747</v>
      </c>
      <c r="AY29" s="70">
        <f t="shared" si="54"/>
        <v>747</v>
      </c>
      <c r="AZ29" s="115"/>
      <c r="BA29" s="68">
        <f>G29</f>
        <v>935</v>
      </c>
      <c r="BB29" s="69">
        <f>K29</f>
        <v>983</v>
      </c>
      <c r="BC29" s="69">
        <f>O29</f>
        <v>666</v>
      </c>
      <c r="BD29" s="69">
        <f>S29</f>
        <v>461</v>
      </c>
      <c r="BE29" s="68">
        <f>W29</f>
        <v>332</v>
      </c>
      <c r="BF29" s="69">
        <f>AA29</f>
        <v>627</v>
      </c>
      <c r="BG29" s="69">
        <f>AE29</f>
        <v>608</v>
      </c>
      <c r="BH29" s="69">
        <f>AI29</f>
        <v>571</v>
      </c>
      <c r="BI29" s="69">
        <f>AM29</f>
        <v>978</v>
      </c>
      <c r="BJ29" s="69">
        <f>AQ29</f>
        <v>712</v>
      </c>
      <c r="BK29" s="69">
        <f t="shared" si="50"/>
        <v>747</v>
      </c>
      <c r="BL29" s="69">
        <f>AY29</f>
        <v>747</v>
      </c>
      <c r="BM29" s="69">
        <f>BL29</f>
        <v>747</v>
      </c>
      <c r="BN29" s="69">
        <f>BM29</f>
        <v>747</v>
      </c>
      <c r="BO29" s="22"/>
      <c r="BV29" s="11"/>
    </row>
    <row r="30" spans="1:74" ht="14.25" customHeight="1">
      <c r="A30" s="8"/>
      <c r="B30" s="25" t="s">
        <v>317</v>
      </c>
      <c r="C30" s="26"/>
      <c r="D30" s="72">
        <v>76</v>
      </c>
      <c r="E30" s="72">
        <v>70</v>
      </c>
      <c r="F30" s="72">
        <v>56</v>
      </c>
      <c r="G30" s="73">
        <v>40</v>
      </c>
      <c r="H30" s="72">
        <v>47</v>
      </c>
      <c r="I30" s="72">
        <v>50</v>
      </c>
      <c r="J30" s="72">
        <v>367</v>
      </c>
      <c r="K30" s="73">
        <v>129</v>
      </c>
      <c r="L30" s="72">
        <v>96</v>
      </c>
      <c r="M30" s="72">
        <v>92</v>
      </c>
      <c r="N30" s="72">
        <v>78</v>
      </c>
      <c r="O30" s="73">
        <v>268</v>
      </c>
      <c r="P30" s="72">
        <v>197</v>
      </c>
      <c r="Q30" s="72">
        <v>185</v>
      </c>
      <c r="R30" s="72">
        <v>132</v>
      </c>
      <c r="S30" s="72">
        <v>95</v>
      </c>
      <c r="T30" s="71">
        <v>67</v>
      </c>
      <c r="U30" s="72">
        <v>71</v>
      </c>
      <c r="V30" s="72">
        <v>120</v>
      </c>
      <c r="W30" s="73">
        <v>130</v>
      </c>
      <c r="X30" s="71">
        <v>123</v>
      </c>
      <c r="Y30" s="72">
        <v>0</v>
      </c>
      <c r="Z30" s="72">
        <v>0</v>
      </c>
      <c r="AA30" s="73">
        <v>0</v>
      </c>
      <c r="AB30" s="71">
        <v>0</v>
      </c>
      <c r="AC30" s="72">
        <v>50</v>
      </c>
      <c r="AD30" s="72">
        <v>465</v>
      </c>
      <c r="AE30" s="73">
        <v>40</v>
      </c>
      <c r="AF30" s="71">
        <v>37</v>
      </c>
      <c r="AG30" s="72">
        <v>37</v>
      </c>
      <c r="AH30" s="72">
        <v>18</v>
      </c>
      <c r="AI30" s="73">
        <v>20</v>
      </c>
      <c r="AJ30" s="71">
        <v>32</v>
      </c>
      <c r="AK30" s="72">
        <v>33</v>
      </c>
      <c r="AL30" s="72">
        <v>532</v>
      </c>
      <c r="AM30" s="73">
        <v>556</v>
      </c>
      <c r="AN30" s="71">
        <v>736</v>
      </c>
      <c r="AO30" s="72">
        <v>622</v>
      </c>
      <c r="AP30" s="72">
        <v>621</v>
      </c>
      <c r="AQ30" s="73">
        <v>421</v>
      </c>
      <c r="AR30" s="71">
        <v>11</v>
      </c>
      <c r="AS30" s="72">
        <v>758</v>
      </c>
      <c r="AT30" s="72">
        <v>754</v>
      </c>
      <c r="AU30" s="73">
        <v>751</v>
      </c>
      <c r="AV30" s="68">
        <f t="shared" si="51"/>
        <v>751</v>
      </c>
      <c r="AW30" s="69">
        <f t="shared" si="52"/>
        <v>751</v>
      </c>
      <c r="AX30" s="69">
        <f t="shared" si="53"/>
        <v>751</v>
      </c>
      <c r="AY30" s="70">
        <f t="shared" si="54"/>
        <v>751</v>
      </c>
      <c r="AZ30" s="115"/>
      <c r="BA30" s="68">
        <f>G30</f>
        <v>40</v>
      </c>
      <c r="BB30" s="69">
        <f>K30</f>
        <v>129</v>
      </c>
      <c r="BC30" s="69">
        <f>O30</f>
        <v>268</v>
      </c>
      <c r="BD30" s="69">
        <f>S30</f>
        <v>95</v>
      </c>
      <c r="BE30" s="68">
        <f>W30</f>
        <v>130</v>
      </c>
      <c r="BF30" s="69">
        <f>AA30</f>
        <v>0</v>
      </c>
      <c r="BG30" s="69">
        <f>AE30</f>
        <v>40</v>
      </c>
      <c r="BH30" s="69">
        <f>AI30</f>
        <v>20</v>
      </c>
      <c r="BI30" s="69">
        <f>AM30</f>
        <v>556</v>
      </c>
      <c r="BJ30" s="69">
        <f>AQ30</f>
        <v>421</v>
      </c>
      <c r="BK30" s="69">
        <f t="shared" si="50"/>
        <v>751</v>
      </c>
      <c r="BL30" s="69">
        <f>AY30</f>
        <v>751</v>
      </c>
      <c r="BM30" s="69">
        <f t="shared" si="55"/>
        <v>751</v>
      </c>
      <c r="BN30" s="69">
        <f t="shared" si="55"/>
        <v>751</v>
      </c>
      <c r="BO30" s="22"/>
      <c r="BV30" s="11"/>
    </row>
    <row r="31" spans="1:74" ht="14.25" customHeight="1">
      <c r="A31" s="14"/>
      <c r="B31" s="25" t="s">
        <v>282</v>
      </c>
      <c r="C31" s="26"/>
      <c r="D31" s="72">
        <v>181</v>
      </c>
      <c r="E31" s="72">
        <v>46</v>
      </c>
      <c r="F31" s="72">
        <v>44</v>
      </c>
      <c r="G31" s="73">
        <v>73</v>
      </c>
      <c r="H31" s="72">
        <v>89</v>
      </c>
      <c r="I31" s="72">
        <v>93</v>
      </c>
      <c r="J31" s="72">
        <v>51</v>
      </c>
      <c r="K31" s="73">
        <v>120</v>
      </c>
      <c r="L31" s="72">
        <f>114+50</f>
        <v>164</v>
      </c>
      <c r="M31" s="72">
        <f>175+58</f>
        <v>233</v>
      </c>
      <c r="N31" s="72">
        <f>106+58</f>
        <v>164</v>
      </c>
      <c r="O31" s="73">
        <f>87+64</f>
        <v>151</v>
      </c>
      <c r="P31" s="72">
        <f>86+65</f>
        <v>151</v>
      </c>
      <c r="Q31" s="72">
        <f>39+71</f>
        <v>110</v>
      </c>
      <c r="R31" s="72">
        <f>47+67</f>
        <v>114</v>
      </c>
      <c r="S31" s="72">
        <f>60+95</f>
        <v>155</v>
      </c>
      <c r="T31" s="71">
        <v>115</v>
      </c>
      <c r="U31" s="72">
        <v>101</v>
      </c>
      <c r="V31" s="72">
        <v>86</v>
      </c>
      <c r="W31" s="73">
        <v>59</v>
      </c>
      <c r="X31" s="71">
        <v>56</v>
      </c>
      <c r="Y31" s="72">
        <v>0</v>
      </c>
      <c r="Z31" s="72">
        <v>0</v>
      </c>
      <c r="AA31" s="73">
        <v>0</v>
      </c>
      <c r="AB31" s="71">
        <v>0</v>
      </c>
      <c r="AC31" s="72">
        <v>0</v>
      </c>
      <c r="AD31" s="72">
        <v>0</v>
      </c>
      <c r="AE31" s="73">
        <v>0</v>
      </c>
      <c r="AF31" s="71">
        <v>0</v>
      </c>
      <c r="AG31" s="72">
        <v>0</v>
      </c>
      <c r="AH31" s="72">
        <v>0</v>
      </c>
      <c r="AI31" s="73">
        <v>0</v>
      </c>
      <c r="AJ31" s="71">
        <v>0</v>
      </c>
      <c r="AK31" s="72">
        <v>0</v>
      </c>
      <c r="AL31" s="72">
        <v>0</v>
      </c>
      <c r="AM31" s="73">
        <v>0</v>
      </c>
      <c r="AN31" s="71">
        <v>0</v>
      </c>
      <c r="AO31" s="72">
        <v>0</v>
      </c>
      <c r="AP31" s="72">
        <v>0</v>
      </c>
      <c r="AQ31" s="73">
        <v>0</v>
      </c>
      <c r="AR31" s="71">
        <v>0</v>
      </c>
      <c r="AS31" s="72">
        <v>0</v>
      </c>
      <c r="AT31" s="72">
        <v>0</v>
      </c>
      <c r="AU31" s="73">
        <v>0</v>
      </c>
      <c r="AV31" s="68">
        <f t="shared" si="51"/>
        <v>0</v>
      </c>
      <c r="AW31" s="69">
        <f t="shared" si="52"/>
        <v>0</v>
      </c>
      <c r="AX31" s="69">
        <f t="shared" si="53"/>
        <v>0</v>
      </c>
      <c r="AY31" s="70">
        <f t="shared" si="54"/>
        <v>0</v>
      </c>
      <c r="AZ31" s="115"/>
      <c r="BA31" s="793">
        <f>G31</f>
        <v>73</v>
      </c>
      <c r="BB31" s="118">
        <f>K31</f>
        <v>120</v>
      </c>
      <c r="BC31" s="118">
        <f>O31</f>
        <v>151</v>
      </c>
      <c r="BD31" s="118">
        <f>S31</f>
        <v>155</v>
      </c>
      <c r="BE31" s="793">
        <f>W31</f>
        <v>59</v>
      </c>
      <c r="BF31" s="118">
        <f>AA31</f>
        <v>0</v>
      </c>
      <c r="BG31" s="118">
        <f>AE31</f>
        <v>0</v>
      </c>
      <c r="BH31" s="118">
        <f>AI31</f>
        <v>0</v>
      </c>
      <c r="BI31" s="118">
        <f>AM31</f>
        <v>0</v>
      </c>
      <c r="BJ31" s="118">
        <f>AQ31</f>
        <v>0</v>
      </c>
      <c r="BK31" s="118">
        <f t="shared" si="50"/>
        <v>0</v>
      </c>
      <c r="BL31" s="118">
        <f>AY31</f>
        <v>0</v>
      </c>
      <c r="BM31" s="118">
        <f t="shared" si="55"/>
        <v>0</v>
      </c>
      <c r="BN31" s="118">
        <f t="shared" si="55"/>
        <v>0</v>
      </c>
      <c r="BO31" s="22"/>
      <c r="BV31" s="11"/>
    </row>
    <row r="32" spans="1:74" ht="14.25" customHeight="1">
      <c r="A32" s="8"/>
      <c r="B32" s="134" t="s">
        <v>151</v>
      </c>
      <c r="C32" s="135"/>
      <c r="D32" s="139">
        <f t="shared" ref="D32:AE32" si="56">SUM(D27:D31)</f>
        <v>1582</v>
      </c>
      <c r="E32" s="124">
        <f t="shared" si="56"/>
        <v>1726</v>
      </c>
      <c r="F32" s="124">
        <f t="shared" si="56"/>
        <v>2002</v>
      </c>
      <c r="G32" s="125">
        <f t="shared" si="56"/>
        <v>2049</v>
      </c>
      <c r="H32" s="139">
        <f t="shared" si="56"/>
        <v>1983</v>
      </c>
      <c r="I32" s="124">
        <f t="shared" si="56"/>
        <v>1750</v>
      </c>
      <c r="J32" s="124">
        <f t="shared" si="56"/>
        <v>2531</v>
      </c>
      <c r="K32" s="125">
        <f t="shared" si="56"/>
        <v>1851</v>
      </c>
      <c r="L32" s="139">
        <f t="shared" si="56"/>
        <v>1589</v>
      </c>
      <c r="M32" s="124">
        <f t="shared" si="56"/>
        <v>1464</v>
      </c>
      <c r="N32" s="124">
        <f t="shared" si="56"/>
        <v>1532</v>
      </c>
      <c r="O32" s="125">
        <f t="shared" si="56"/>
        <v>1643</v>
      </c>
      <c r="P32" s="124">
        <f t="shared" si="56"/>
        <v>1557</v>
      </c>
      <c r="Q32" s="124">
        <f t="shared" si="56"/>
        <v>1432</v>
      </c>
      <c r="R32" s="124">
        <f t="shared" si="56"/>
        <v>1388</v>
      </c>
      <c r="S32" s="125">
        <f t="shared" si="56"/>
        <v>1325</v>
      </c>
      <c r="T32" s="139">
        <f t="shared" si="56"/>
        <v>1246</v>
      </c>
      <c r="U32" s="121">
        <f t="shared" si="56"/>
        <v>1194</v>
      </c>
      <c r="V32" s="121">
        <f t="shared" si="56"/>
        <v>1181</v>
      </c>
      <c r="W32" s="122">
        <f t="shared" si="56"/>
        <v>997</v>
      </c>
      <c r="X32" s="123">
        <f t="shared" si="56"/>
        <v>1022</v>
      </c>
      <c r="Y32" s="121">
        <f t="shared" si="56"/>
        <v>1053</v>
      </c>
      <c r="Z32" s="121">
        <f t="shared" si="56"/>
        <v>1065</v>
      </c>
      <c r="AA32" s="122">
        <f t="shared" si="56"/>
        <v>1189</v>
      </c>
      <c r="AB32" s="123">
        <f t="shared" si="56"/>
        <v>1112</v>
      </c>
      <c r="AC32" s="121">
        <f t="shared" si="56"/>
        <v>1181</v>
      </c>
      <c r="AD32" s="121">
        <f t="shared" si="56"/>
        <v>1605</v>
      </c>
      <c r="AE32" s="122">
        <f t="shared" si="56"/>
        <v>1193</v>
      </c>
      <c r="AF32" s="123">
        <f t="shared" ref="AF32:AK32" si="57">SUM(AF27:AF31)</f>
        <v>1235</v>
      </c>
      <c r="AG32" s="121">
        <f t="shared" si="57"/>
        <v>1286</v>
      </c>
      <c r="AH32" s="121">
        <f t="shared" si="57"/>
        <v>1265</v>
      </c>
      <c r="AI32" s="122">
        <f t="shared" si="57"/>
        <v>1320</v>
      </c>
      <c r="AJ32" s="123">
        <f t="shared" si="57"/>
        <v>1325</v>
      </c>
      <c r="AK32" s="121">
        <f t="shared" si="57"/>
        <v>1320</v>
      </c>
      <c r="AL32" s="121">
        <f t="shared" ref="AL32:AO32" si="58">SUM(AL27:AL31)</f>
        <v>1777</v>
      </c>
      <c r="AM32" s="122">
        <f t="shared" si="58"/>
        <v>2548</v>
      </c>
      <c r="AN32" s="123">
        <f t="shared" si="58"/>
        <v>2698</v>
      </c>
      <c r="AO32" s="121">
        <f t="shared" si="58"/>
        <v>2592</v>
      </c>
      <c r="AP32" s="121">
        <f t="shared" ref="AP32:AS32" si="59">SUM(AP27:AP31)</f>
        <v>2563</v>
      </c>
      <c r="AQ32" s="122">
        <f t="shared" si="59"/>
        <v>2433</v>
      </c>
      <c r="AR32" s="123">
        <f t="shared" si="59"/>
        <v>2065</v>
      </c>
      <c r="AS32" s="121">
        <f t="shared" si="59"/>
        <v>2714</v>
      </c>
      <c r="AT32" s="121">
        <f t="shared" ref="AT32:AU32" si="60">SUM(AT27:AT31)</f>
        <v>2703</v>
      </c>
      <c r="AU32" s="122">
        <f t="shared" si="60"/>
        <v>2718</v>
      </c>
      <c r="AV32" s="123">
        <f t="shared" ref="AV32:AY32" si="61">SUM(AV27:AV31)</f>
        <v>2565.4400800000003</v>
      </c>
      <c r="AW32" s="121">
        <f t="shared" si="61"/>
        <v>2595.5988047999999</v>
      </c>
      <c r="AX32" s="121">
        <f t="shared" si="61"/>
        <v>2633.4292724480001</v>
      </c>
      <c r="AY32" s="122">
        <f t="shared" si="61"/>
        <v>2614.5658728595999</v>
      </c>
      <c r="AZ32" s="115"/>
      <c r="BA32" s="124">
        <f t="shared" ref="BA32:BM32" si="62">SUM(BA27:BA31)</f>
        <v>2049</v>
      </c>
      <c r="BB32" s="124">
        <f t="shared" si="62"/>
        <v>1851</v>
      </c>
      <c r="BC32" s="124">
        <f t="shared" si="62"/>
        <v>1643</v>
      </c>
      <c r="BD32" s="124">
        <f t="shared" si="62"/>
        <v>1325</v>
      </c>
      <c r="BE32" s="123">
        <f t="shared" si="62"/>
        <v>997</v>
      </c>
      <c r="BF32" s="121">
        <f t="shared" si="62"/>
        <v>1189</v>
      </c>
      <c r="BG32" s="121">
        <f t="shared" si="62"/>
        <v>1193</v>
      </c>
      <c r="BH32" s="121">
        <f t="shared" si="62"/>
        <v>1320</v>
      </c>
      <c r="BI32" s="121">
        <f t="shared" si="62"/>
        <v>2548</v>
      </c>
      <c r="BJ32" s="121">
        <f t="shared" si="62"/>
        <v>2433</v>
      </c>
      <c r="BK32" s="121">
        <f t="shared" ref="BK32:BL32" si="63">SUM(BK27:BK31)</f>
        <v>2718</v>
      </c>
      <c r="BL32" s="121">
        <f t="shared" si="63"/>
        <v>2614.5658728595999</v>
      </c>
      <c r="BM32" s="121">
        <f t="shared" si="62"/>
        <v>2682.6391764421551</v>
      </c>
      <c r="BN32" s="121">
        <f t="shared" ref="BN32" si="64">SUM(BN27:BN31)</f>
        <v>2739.108265828505</v>
      </c>
      <c r="BO32" s="22"/>
      <c r="BV32" s="8"/>
    </row>
    <row r="33" spans="1:74" ht="14.25" customHeight="1">
      <c r="A33" s="8"/>
      <c r="B33" s="23"/>
      <c r="C33" s="24"/>
      <c r="D33" s="71"/>
      <c r="E33" s="72"/>
      <c r="F33" s="72"/>
      <c r="G33" s="73"/>
      <c r="H33" s="71"/>
      <c r="I33" s="72"/>
      <c r="J33" s="72"/>
      <c r="K33" s="73"/>
      <c r="L33" s="71"/>
      <c r="M33" s="72"/>
      <c r="N33" s="72"/>
      <c r="O33" s="73"/>
      <c r="P33" s="72"/>
      <c r="Q33" s="72"/>
      <c r="R33" s="72"/>
      <c r="S33" s="72"/>
      <c r="T33" s="71"/>
      <c r="U33" s="72"/>
      <c r="V33" s="72"/>
      <c r="W33" s="73"/>
      <c r="X33" s="71"/>
      <c r="Y33" s="72"/>
      <c r="Z33" s="72"/>
      <c r="AA33" s="73"/>
      <c r="AB33" s="71"/>
      <c r="AC33" s="72"/>
      <c r="AD33" s="72"/>
      <c r="AE33" s="73"/>
      <c r="AF33" s="71"/>
      <c r="AG33" s="72"/>
      <c r="AH33" s="72"/>
      <c r="AI33" s="73"/>
      <c r="AJ33" s="71"/>
      <c r="AK33" s="72"/>
      <c r="AL33" s="72"/>
      <c r="AM33" s="73"/>
      <c r="AN33" s="71"/>
      <c r="AO33" s="72"/>
      <c r="AP33" s="72"/>
      <c r="AQ33" s="73"/>
      <c r="AR33" s="71"/>
      <c r="AS33" s="72"/>
      <c r="AT33" s="72"/>
      <c r="AU33" s="73"/>
      <c r="AV33" s="71"/>
      <c r="AW33" s="72"/>
      <c r="AX33" s="72"/>
      <c r="AY33" s="73"/>
      <c r="AZ33" s="115"/>
      <c r="BA33" s="72"/>
      <c r="BB33" s="72"/>
      <c r="BC33" s="72"/>
      <c r="BD33" s="72"/>
      <c r="BE33" s="71"/>
      <c r="BF33" s="72"/>
      <c r="BG33" s="72"/>
      <c r="BH33" s="72"/>
      <c r="BI33" s="72"/>
      <c r="BJ33" s="72"/>
      <c r="BK33" s="72"/>
      <c r="BL33" s="72"/>
      <c r="BM33" s="72"/>
      <c r="BN33" s="72"/>
      <c r="BO33" s="22"/>
      <c r="BV33" s="8"/>
    </row>
    <row r="34" spans="1:74" ht="14.25" customHeight="1">
      <c r="A34" s="8"/>
      <c r="B34" s="25" t="s">
        <v>407</v>
      </c>
      <c r="C34" s="26"/>
      <c r="D34" s="71">
        <v>5877</v>
      </c>
      <c r="E34" s="72">
        <v>5883</v>
      </c>
      <c r="F34" s="72">
        <v>5984</v>
      </c>
      <c r="G34" s="73">
        <v>6078</v>
      </c>
      <c r="H34" s="71">
        <v>6242</v>
      </c>
      <c r="I34" s="72">
        <v>6679</v>
      </c>
      <c r="J34" s="72">
        <v>6063</v>
      </c>
      <c r="K34" s="73">
        <v>6367</v>
      </c>
      <c r="L34" s="71">
        <v>6475</v>
      </c>
      <c r="M34" s="72">
        <v>6050</v>
      </c>
      <c r="N34" s="72">
        <v>5313</v>
      </c>
      <c r="O34" s="73">
        <v>5283</v>
      </c>
      <c r="P34" s="72">
        <v>5177</v>
      </c>
      <c r="Q34" s="72">
        <v>5056</v>
      </c>
      <c r="R34" s="72">
        <v>4649</v>
      </c>
      <c r="S34" s="73">
        <v>4551</v>
      </c>
      <c r="T34" s="72">
        <v>4633</v>
      </c>
      <c r="U34" s="72">
        <v>4706</v>
      </c>
      <c r="V34" s="72">
        <v>3821</v>
      </c>
      <c r="W34" s="73">
        <v>3799</v>
      </c>
      <c r="X34" s="72">
        <v>3829</v>
      </c>
      <c r="Y34" s="72">
        <v>3819</v>
      </c>
      <c r="Z34" s="72">
        <v>3582</v>
      </c>
      <c r="AA34" s="73">
        <f>3185+307</f>
        <v>3492</v>
      </c>
      <c r="AB34" s="72">
        <f>291+3149</f>
        <v>3440</v>
      </c>
      <c r="AC34" s="72">
        <v>3331</v>
      </c>
      <c r="AD34" s="72">
        <v>3232</v>
      </c>
      <c r="AE34" s="73">
        <v>3281</v>
      </c>
      <c r="AF34" s="72">
        <v>3546</v>
      </c>
      <c r="AG34" s="72">
        <v>3543</v>
      </c>
      <c r="AH34" s="72">
        <v>3790</v>
      </c>
      <c r="AI34" s="73">
        <v>3979</v>
      </c>
      <c r="AJ34" s="72">
        <v>4012</v>
      </c>
      <c r="AK34" s="72">
        <v>5014</v>
      </c>
      <c r="AL34" s="72">
        <v>4518</v>
      </c>
      <c r="AM34" s="73">
        <v>8656</v>
      </c>
      <c r="AN34" s="72">
        <v>8270</v>
      </c>
      <c r="AO34" s="72">
        <v>8272</v>
      </c>
      <c r="AP34" s="72">
        <v>8761</v>
      </c>
      <c r="AQ34" s="73">
        <v>8766</v>
      </c>
      <c r="AR34" s="72">
        <v>6498</v>
      </c>
      <c r="AS34" s="72">
        <v>5790</v>
      </c>
      <c r="AT34" s="72">
        <v>5802</v>
      </c>
      <c r="AU34" s="73">
        <v>5814</v>
      </c>
      <c r="AV34" s="68">
        <f t="shared" ref="AV34:AV37" si="65">AU34</f>
        <v>5814</v>
      </c>
      <c r="AW34" s="69">
        <f t="shared" ref="AW34:AW37" si="66">AV34</f>
        <v>5814</v>
      </c>
      <c r="AX34" s="69">
        <f t="shared" ref="AX34:AX37" si="67">AW34</f>
        <v>5814</v>
      </c>
      <c r="AY34" s="70">
        <f t="shared" ref="AY34:AY37" si="68">AX34</f>
        <v>5814</v>
      </c>
      <c r="AZ34" s="115"/>
      <c r="BA34" s="69">
        <f>G34</f>
        <v>6078</v>
      </c>
      <c r="BB34" s="69">
        <f>K34</f>
        <v>6367</v>
      </c>
      <c r="BC34" s="69">
        <f>O34</f>
        <v>5283</v>
      </c>
      <c r="BD34" s="69">
        <f>S34</f>
        <v>4551</v>
      </c>
      <c r="BE34" s="68">
        <f>W34</f>
        <v>3799</v>
      </c>
      <c r="BF34" s="69">
        <f>AA34</f>
        <v>3492</v>
      </c>
      <c r="BG34" s="69">
        <f>AE34</f>
        <v>3281</v>
      </c>
      <c r="BH34" s="69">
        <f>AI34</f>
        <v>3979</v>
      </c>
      <c r="BI34" s="69">
        <f>AM34</f>
        <v>8656</v>
      </c>
      <c r="BJ34" s="69">
        <f>AQ34</f>
        <v>8766</v>
      </c>
      <c r="BK34" s="69">
        <f t="shared" ref="BK34:BK37" si="69">AU34</f>
        <v>5814</v>
      </c>
      <c r="BL34" s="69">
        <f>AY34</f>
        <v>5814</v>
      </c>
      <c r="BM34" s="69">
        <f>+BL34</f>
        <v>5814</v>
      </c>
      <c r="BN34" s="69">
        <f>+BM34</f>
        <v>5814</v>
      </c>
      <c r="BO34" s="22"/>
      <c r="BV34" s="8"/>
    </row>
    <row r="35" spans="1:74" ht="14.25" customHeight="1">
      <c r="A35" s="8"/>
      <c r="B35" s="25" t="s">
        <v>318</v>
      </c>
      <c r="C35" s="26"/>
      <c r="D35" s="71">
        <v>513</v>
      </c>
      <c r="E35" s="72">
        <v>512</v>
      </c>
      <c r="F35" s="72">
        <v>535</v>
      </c>
      <c r="G35" s="73">
        <v>798</v>
      </c>
      <c r="H35" s="71">
        <v>789</v>
      </c>
      <c r="I35" s="72">
        <v>745</v>
      </c>
      <c r="J35" s="72">
        <v>800</v>
      </c>
      <c r="K35" s="73">
        <v>1072</v>
      </c>
      <c r="L35" s="71">
        <v>769</v>
      </c>
      <c r="M35" s="72">
        <v>781</v>
      </c>
      <c r="N35" s="72">
        <v>805</v>
      </c>
      <c r="O35" s="73">
        <v>423</v>
      </c>
      <c r="P35" s="72">
        <v>373</v>
      </c>
      <c r="Q35" s="72">
        <v>355</v>
      </c>
      <c r="R35" s="72">
        <v>432</v>
      </c>
      <c r="S35" s="72">
        <v>415</v>
      </c>
      <c r="T35" s="71">
        <v>370</v>
      </c>
      <c r="U35" s="72">
        <v>366</v>
      </c>
      <c r="V35" s="72">
        <v>348</v>
      </c>
      <c r="W35" s="73">
        <v>347</v>
      </c>
      <c r="X35" s="71">
        <v>342</v>
      </c>
      <c r="Y35" s="72">
        <v>0</v>
      </c>
      <c r="Z35" s="72">
        <v>0</v>
      </c>
      <c r="AA35" s="73">
        <v>0</v>
      </c>
      <c r="AB35" s="71">
        <v>0</v>
      </c>
      <c r="AC35" s="72">
        <v>0</v>
      </c>
      <c r="AD35" s="72">
        <v>0</v>
      </c>
      <c r="AE35" s="73">
        <v>0</v>
      </c>
      <c r="AF35" s="71">
        <v>0</v>
      </c>
      <c r="AG35" s="72">
        <v>0</v>
      </c>
      <c r="AH35" s="72">
        <v>0</v>
      </c>
      <c r="AI35" s="73">
        <v>0</v>
      </c>
      <c r="AJ35" s="71">
        <v>0</v>
      </c>
      <c r="AK35" s="72">
        <v>0</v>
      </c>
      <c r="AL35" s="72">
        <v>0</v>
      </c>
      <c r="AM35" s="73">
        <v>0</v>
      </c>
      <c r="AN35" s="71">
        <v>0</v>
      </c>
      <c r="AO35" s="72">
        <v>0</v>
      </c>
      <c r="AP35" s="72">
        <v>0</v>
      </c>
      <c r="AQ35" s="73">
        <v>0</v>
      </c>
      <c r="AR35" s="71">
        <v>0</v>
      </c>
      <c r="AS35" s="72">
        <v>0</v>
      </c>
      <c r="AT35" s="72">
        <v>0</v>
      </c>
      <c r="AU35" s="73">
        <v>0</v>
      </c>
      <c r="AV35" s="68">
        <f t="shared" si="65"/>
        <v>0</v>
      </c>
      <c r="AW35" s="69">
        <f t="shared" si="66"/>
        <v>0</v>
      </c>
      <c r="AX35" s="69">
        <f t="shared" si="67"/>
        <v>0</v>
      </c>
      <c r="AY35" s="70">
        <f t="shared" si="68"/>
        <v>0</v>
      </c>
      <c r="AZ35" s="115"/>
      <c r="BA35" s="69">
        <f>G35</f>
        <v>798</v>
      </c>
      <c r="BB35" s="69">
        <f>K35</f>
        <v>1072</v>
      </c>
      <c r="BC35" s="69">
        <f>O35</f>
        <v>423</v>
      </c>
      <c r="BD35" s="69">
        <f>S35</f>
        <v>415</v>
      </c>
      <c r="BE35" s="68">
        <f>W35</f>
        <v>347</v>
      </c>
      <c r="BF35" s="69">
        <f>AA35</f>
        <v>0</v>
      </c>
      <c r="BG35" s="69">
        <f>AE35</f>
        <v>0</v>
      </c>
      <c r="BH35" s="69">
        <f>AI35</f>
        <v>0</v>
      </c>
      <c r="BI35" s="69">
        <f>AM35</f>
        <v>0</v>
      </c>
      <c r="BJ35" s="69">
        <f>AQ35</f>
        <v>0</v>
      </c>
      <c r="BK35" s="69">
        <f t="shared" si="69"/>
        <v>0</v>
      </c>
      <c r="BL35" s="69">
        <f>AY35</f>
        <v>0</v>
      </c>
      <c r="BM35" s="69">
        <f t="shared" ref="BM35:BN37" si="70">BL35</f>
        <v>0</v>
      </c>
      <c r="BN35" s="69">
        <f t="shared" si="70"/>
        <v>0</v>
      </c>
      <c r="BO35" s="22"/>
      <c r="BV35" s="8"/>
    </row>
    <row r="36" spans="1:74" ht="14.25" customHeight="1">
      <c r="A36" s="8"/>
      <c r="B36" s="25" t="s">
        <v>274</v>
      </c>
      <c r="C36" s="26"/>
      <c r="D36" s="71">
        <v>131</v>
      </c>
      <c r="E36" s="72">
        <v>146</v>
      </c>
      <c r="F36" s="72">
        <v>169</v>
      </c>
      <c r="G36" s="73">
        <v>106</v>
      </c>
      <c r="H36" s="71">
        <v>122</v>
      </c>
      <c r="I36" s="72">
        <v>113</v>
      </c>
      <c r="J36" s="72">
        <v>102</v>
      </c>
      <c r="K36" s="73">
        <v>107</v>
      </c>
      <c r="L36" s="71">
        <f>102+27</f>
        <v>129</v>
      </c>
      <c r="M36" s="72">
        <f>105+29</f>
        <v>134</v>
      </c>
      <c r="N36" s="72">
        <f>105+30</f>
        <v>135</v>
      </c>
      <c r="O36" s="73">
        <f>30+159</f>
        <v>189</v>
      </c>
      <c r="P36" s="72">
        <f>29+152</f>
        <v>181</v>
      </c>
      <c r="Q36" s="72">
        <f>111+25</f>
        <v>136</v>
      </c>
      <c r="R36" s="72">
        <f>26+111</f>
        <v>137</v>
      </c>
      <c r="S36" s="72">
        <f>20+107</f>
        <v>127</v>
      </c>
      <c r="T36" s="71">
        <f>22+105</f>
        <v>127</v>
      </c>
      <c r="U36" s="72">
        <f>21+100</f>
        <v>121</v>
      </c>
      <c r="V36" s="72">
        <v>104</v>
      </c>
      <c r="W36" s="73">
        <v>112</v>
      </c>
      <c r="X36" s="71">
        <v>135</v>
      </c>
      <c r="Y36" s="72">
        <v>447</v>
      </c>
      <c r="Z36" s="72">
        <v>450</v>
      </c>
      <c r="AA36" s="73">
        <v>474</v>
      </c>
      <c r="AB36" s="71">
        <v>454</v>
      </c>
      <c r="AC36" s="72">
        <v>451</v>
      </c>
      <c r="AD36" s="72">
        <v>469</v>
      </c>
      <c r="AE36" s="73">
        <v>429</v>
      </c>
      <c r="AF36" s="71">
        <v>425</v>
      </c>
      <c r="AG36" s="72">
        <v>413</v>
      </c>
      <c r="AH36" s="72">
        <v>380</v>
      </c>
      <c r="AI36" s="73">
        <v>793</v>
      </c>
      <c r="AJ36" s="71">
        <v>993</v>
      </c>
      <c r="AK36" s="72">
        <v>958</v>
      </c>
      <c r="AL36" s="72">
        <v>798</v>
      </c>
      <c r="AM36" s="73">
        <f>43+2293+1011</f>
        <v>3347</v>
      </c>
      <c r="AN36" s="71">
        <f>31+2044+839</f>
        <v>2914</v>
      </c>
      <c r="AO36" s="72">
        <f>30+1867+751</f>
        <v>2648</v>
      </c>
      <c r="AP36" s="72">
        <f>28+1810+876</f>
        <v>2714</v>
      </c>
      <c r="AQ36" s="73">
        <f>22+1720+862</f>
        <v>2604</v>
      </c>
      <c r="AR36" s="71">
        <f>22+1489+917</f>
        <v>2428</v>
      </c>
      <c r="AS36" s="72">
        <f>18+1379+895</f>
        <v>2292</v>
      </c>
      <c r="AT36" s="72">
        <f>20+1325+954</f>
        <v>2299</v>
      </c>
      <c r="AU36" s="73">
        <f>15+701+1085</f>
        <v>1801</v>
      </c>
      <c r="AV36" s="68">
        <f t="shared" si="65"/>
        <v>1801</v>
      </c>
      <c r="AW36" s="69">
        <f t="shared" si="66"/>
        <v>1801</v>
      </c>
      <c r="AX36" s="69">
        <f t="shared" si="67"/>
        <v>1801</v>
      </c>
      <c r="AY36" s="70">
        <f t="shared" si="68"/>
        <v>1801</v>
      </c>
      <c r="AZ36" s="115"/>
      <c r="BA36" s="69">
        <f>G36</f>
        <v>106</v>
      </c>
      <c r="BB36" s="69">
        <f>K36</f>
        <v>107</v>
      </c>
      <c r="BC36" s="69">
        <f>O36</f>
        <v>189</v>
      </c>
      <c r="BD36" s="69">
        <f>S36</f>
        <v>127</v>
      </c>
      <c r="BE36" s="68">
        <f>W36</f>
        <v>112</v>
      </c>
      <c r="BF36" s="69">
        <f>AA36</f>
        <v>474</v>
      </c>
      <c r="BG36" s="69">
        <f>AE36</f>
        <v>429</v>
      </c>
      <c r="BH36" s="69">
        <f>AI36</f>
        <v>793</v>
      </c>
      <c r="BI36" s="69">
        <f>AM36</f>
        <v>3347</v>
      </c>
      <c r="BJ36" s="69">
        <f>AQ36</f>
        <v>2604</v>
      </c>
      <c r="BK36" s="69">
        <f t="shared" si="69"/>
        <v>1801</v>
      </c>
      <c r="BL36" s="69">
        <f>AY36</f>
        <v>1801</v>
      </c>
      <c r="BM36" s="69">
        <f t="shared" si="70"/>
        <v>1801</v>
      </c>
      <c r="BN36" s="69">
        <f t="shared" si="70"/>
        <v>1801</v>
      </c>
      <c r="BO36" s="22"/>
      <c r="BV36" s="8"/>
    </row>
    <row r="37" spans="1:74" ht="14.25" customHeight="1">
      <c r="A37" s="8"/>
      <c r="B37" s="25" t="s">
        <v>333</v>
      </c>
      <c r="C37" s="26"/>
      <c r="D37" s="71">
        <v>216</v>
      </c>
      <c r="E37" s="72">
        <v>226</v>
      </c>
      <c r="F37" s="72">
        <v>241</v>
      </c>
      <c r="G37" s="73">
        <v>257</v>
      </c>
      <c r="H37" s="71">
        <v>269</v>
      </c>
      <c r="I37" s="72">
        <v>260</v>
      </c>
      <c r="J37" s="72">
        <v>217</v>
      </c>
      <c r="K37" s="73">
        <v>213</v>
      </c>
      <c r="L37" s="71">
        <v>174</v>
      </c>
      <c r="M37" s="72">
        <v>179</v>
      </c>
      <c r="N37" s="72">
        <v>189</v>
      </c>
      <c r="O37" s="73">
        <v>198</v>
      </c>
      <c r="P37" s="72">
        <v>207</v>
      </c>
      <c r="Q37" s="72">
        <v>219</v>
      </c>
      <c r="R37" s="72">
        <v>226</v>
      </c>
      <c r="S37" s="72">
        <v>233</v>
      </c>
      <c r="T37" s="71">
        <v>246</v>
      </c>
      <c r="U37" s="72">
        <v>193</v>
      </c>
      <c r="V37" s="72">
        <v>203</v>
      </c>
      <c r="W37" s="73">
        <v>212</v>
      </c>
      <c r="X37" s="71">
        <v>186</v>
      </c>
      <c r="Y37" s="72">
        <v>201</v>
      </c>
      <c r="Z37" s="72">
        <v>217</v>
      </c>
      <c r="AA37" s="73">
        <v>235</v>
      </c>
      <c r="AB37" s="71">
        <v>248</v>
      </c>
      <c r="AC37" s="72">
        <v>219</v>
      </c>
      <c r="AD37" s="72">
        <v>236</v>
      </c>
      <c r="AE37" s="73">
        <v>245</v>
      </c>
      <c r="AF37" s="71">
        <v>259</v>
      </c>
      <c r="AG37" s="72">
        <v>228</v>
      </c>
      <c r="AH37" s="72">
        <v>245</v>
      </c>
      <c r="AI37" s="73">
        <v>263</v>
      </c>
      <c r="AJ37" s="71">
        <v>280</v>
      </c>
      <c r="AK37" s="72">
        <v>250</v>
      </c>
      <c r="AL37" s="72">
        <v>268</v>
      </c>
      <c r="AM37" s="73">
        <v>288</v>
      </c>
      <c r="AN37" s="71">
        <v>299</v>
      </c>
      <c r="AO37" s="72">
        <v>188</v>
      </c>
      <c r="AP37" s="72">
        <v>204</v>
      </c>
      <c r="AQ37" s="73">
        <v>221</v>
      </c>
      <c r="AR37" s="71">
        <v>234</v>
      </c>
      <c r="AS37" s="72">
        <v>248</v>
      </c>
      <c r="AT37" s="72">
        <v>174</v>
      </c>
      <c r="AU37" s="73">
        <v>189</v>
      </c>
      <c r="AV37" s="68">
        <f t="shared" si="65"/>
        <v>189</v>
      </c>
      <c r="AW37" s="69">
        <f t="shared" si="66"/>
        <v>189</v>
      </c>
      <c r="AX37" s="69">
        <f t="shared" si="67"/>
        <v>189</v>
      </c>
      <c r="AY37" s="70">
        <f t="shared" si="68"/>
        <v>189</v>
      </c>
      <c r="AZ37" s="115"/>
      <c r="BA37" s="69">
        <f>G37</f>
        <v>257</v>
      </c>
      <c r="BB37" s="69">
        <f>K37</f>
        <v>213</v>
      </c>
      <c r="BC37" s="69">
        <f>O37</f>
        <v>198</v>
      </c>
      <c r="BD37" s="69">
        <f>S37</f>
        <v>233</v>
      </c>
      <c r="BE37" s="68">
        <f>W37</f>
        <v>212</v>
      </c>
      <c r="BF37" s="69">
        <f>AA37</f>
        <v>235</v>
      </c>
      <c r="BG37" s="69">
        <f>AE37</f>
        <v>245</v>
      </c>
      <c r="BH37" s="69">
        <f>AI37</f>
        <v>263</v>
      </c>
      <c r="BI37" s="69">
        <f>AM37</f>
        <v>288</v>
      </c>
      <c r="BJ37" s="69">
        <f>AQ37</f>
        <v>221</v>
      </c>
      <c r="BK37" s="69">
        <f t="shared" si="69"/>
        <v>189</v>
      </c>
      <c r="BL37" s="69">
        <f>AY37</f>
        <v>189</v>
      </c>
      <c r="BM37" s="69">
        <f t="shared" si="70"/>
        <v>189</v>
      </c>
      <c r="BN37" s="69">
        <f t="shared" si="70"/>
        <v>189</v>
      </c>
      <c r="BO37" s="22"/>
      <c r="BV37" s="8"/>
    </row>
    <row r="38" spans="1:74" ht="14.25" customHeight="1">
      <c r="A38" s="8"/>
      <c r="B38" s="23"/>
      <c r="C38" s="24"/>
      <c r="D38" s="71"/>
      <c r="E38" s="72"/>
      <c r="F38" s="72"/>
      <c r="G38" s="73"/>
      <c r="H38" s="71"/>
      <c r="I38" s="72"/>
      <c r="J38" s="72"/>
      <c r="K38" s="73"/>
      <c r="L38" s="71"/>
      <c r="M38" s="72"/>
      <c r="N38" s="72"/>
      <c r="O38" s="73"/>
      <c r="P38" s="72"/>
      <c r="Q38" s="72"/>
      <c r="R38" s="72"/>
      <c r="S38" s="72"/>
      <c r="T38" s="71"/>
      <c r="U38" s="72"/>
      <c r="V38" s="72"/>
      <c r="W38" s="73"/>
      <c r="X38" s="71"/>
      <c r="Y38" s="72"/>
      <c r="Z38" s="72"/>
      <c r="AA38" s="73"/>
      <c r="AB38" s="71"/>
      <c r="AC38" s="72"/>
      <c r="AD38" s="72"/>
      <c r="AE38" s="73"/>
      <c r="AF38" s="71"/>
      <c r="AG38" s="72"/>
      <c r="AH38" s="72"/>
      <c r="AI38" s="73"/>
      <c r="AJ38" s="71"/>
      <c r="AK38" s="72"/>
      <c r="AL38" s="72"/>
      <c r="AM38" s="73"/>
      <c r="AN38" s="71"/>
      <c r="AO38" s="72"/>
      <c r="AP38" s="72"/>
      <c r="AQ38" s="73"/>
      <c r="AR38" s="71"/>
      <c r="AS38" s="72"/>
      <c r="AT38" s="72"/>
      <c r="AU38" s="73"/>
      <c r="AV38" s="71"/>
      <c r="AW38" s="72"/>
      <c r="AX38" s="72"/>
      <c r="AY38" s="73"/>
      <c r="AZ38" s="115"/>
      <c r="BA38" s="72"/>
      <c r="BB38" s="72"/>
      <c r="BC38" s="72"/>
      <c r="BD38" s="72"/>
      <c r="BE38" s="71"/>
      <c r="BF38" s="72"/>
      <c r="BG38" s="72"/>
      <c r="BH38" s="72"/>
      <c r="BI38" s="72"/>
      <c r="BJ38" s="69"/>
      <c r="BK38" s="69"/>
      <c r="BL38" s="69"/>
      <c r="BM38" s="69"/>
      <c r="BN38" s="69"/>
      <c r="BO38" s="22"/>
      <c r="BV38" s="8"/>
    </row>
    <row r="39" spans="1:74" ht="14.25" customHeight="1">
      <c r="A39" s="8"/>
      <c r="B39" s="134" t="s">
        <v>152</v>
      </c>
      <c r="C39" s="135"/>
      <c r="D39" s="138">
        <v>4532</v>
      </c>
      <c r="E39" s="136">
        <v>4222</v>
      </c>
      <c r="F39" s="136">
        <v>4331</v>
      </c>
      <c r="G39" s="137">
        <v>4528</v>
      </c>
      <c r="H39" s="138">
        <v>4681</v>
      </c>
      <c r="I39" s="136">
        <v>4342</v>
      </c>
      <c r="J39" s="136">
        <v>1726</v>
      </c>
      <c r="K39" s="137">
        <v>1075</v>
      </c>
      <c r="L39" s="138">
        <v>433</v>
      </c>
      <c r="M39" s="136">
        <v>748</v>
      </c>
      <c r="N39" s="136">
        <v>1137</v>
      </c>
      <c r="O39" s="137">
        <v>843</v>
      </c>
      <c r="P39" s="136">
        <v>578</v>
      </c>
      <c r="Q39" s="136">
        <v>358</v>
      </c>
      <c r="R39" s="136">
        <v>1079</v>
      </c>
      <c r="S39" s="136">
        <v>986</v>
      </c>
      <c r="T39" s="138">
        <v>1131</v>
      </c>
      <c r="U39" s="136">
        <v>1218</v>
      </c>
      <c r="V39" s="136">
        <v>1357</v>
      </c>
      <c r="W39" s="137">
        <v>1145</v>
      </c>
      <c r="X39" s="138">
        <v>1168</v>
      </c>
      <c r="Y39" s="136">
        <v>1016</v>
      </c>
      <c r="Z39" s="136">
        <v>1187</v>
      </c>
      <c r="AA39" s="137">
        <v>1049</v>
      </c>
      <c r="AB39" s="138">
        <v>1027</v>
      </c>
      <c r="AC39" s="136">
        <v>1114</v>
      </c>
      <c r="AD39" s="136">
        <v>1202</v>
      </c>
      <c r="AE39" s="137">
        <v>1301</v>
      </c>
      <c r="AF39" s="138">
        <v>1024</v>
      </c>
      <c r="AG39" s="136">
        <v>1026</v>
      </c>
      <c r="AH39" s="136">
        <v>586</v>
      </c>
      <c r="AI39" s="137">
        <v>538</v>
      </c>
      <c r="AJ39" s="138">
        <v>455</v>
      </c>
      <c r="AK39" s="136">
        <v>651</v>
      </c>
      <c r="AL39" s="136">
        <v>889</v>
      </c>
      <c r="AM39" s="137">
        <v>11515</v>
      </c>
      <c r="AN39" s="138">
        <v>11192</v>
      </c>
      <c r="AO39" s="136">
        <v>10881</v>
      </c>
      <c r="AP39" s="136">
        <v>10550</v>
      </c>
      <c r="AQ39" s="137">
        <v>10540</v>
      </c>
      <c r="AR39" s="138">
        <v>12389</v>
      </c>
      <c r="AS39" s="136">
        <v>12584</v>
      </c>
      <c r="AT39" s="136">
        <v>12815</v>
      </c>
      <c r="AU39" s="137">
        <v>13527</v>
      </c>
      <c r="AV39" s="139">
        <f t="shared" ref="AV39:AY39" si="71">AV66</f>
        <v>14142.167917413681</v>
      </c>
      <c r="AW39" s="124">
        <f t="shared" si="71"/>
        <v>14796.719295920135</v>
      </c>
      <c r="AX39" s="124">
        <f t="shared" si="71"/>
        <v>15499.042074804092</v>
      </c>
      <c r="AY39" s="125">
        <f t="shared" si="71"/>
        <v>16193.476834110916</v>
      </c>
      <c r="AZ39" s="115"/>
      <c r="BA39" s="69">
        <f>G39</f>
        <v>4528</v>
      </c>
      <c r="BB39" s="69">
        <f>K39</f>
        <v>1075</v>
      </c>
      <c r="BC39" s="69">
        <f>O39</f>
        <v>843</v>
      </c>
      <c r="BD39" s="69">
        <f>S39</f>
        <v>986</v>
      </c>
      <c r="BE39" s="68">
        <f>W39</f>
        <v>1145</v>
      </c>
      <c r="BF39" s="69">
        <f>AA39</f>
        <v>1049</v>
      </c>
      <c r="BG39" s="69">
        <f>AE39</f>
        <v>1301</v>
      </c>
      <c r="BH39" s="69">
        <f>AI39</f>
        <v>538</v>
      </c>
      <c r="BI39" s="69">
        <f>AM39</f>
        <v>11515</v>
      </c>
      <c r="BJ39" s="69">
        <f>AQ39</f>
        <v>10540</v>
      </c>
      <c r="BK39" s="69">
        <f>AU39</f>
        <v>13527</v>
      </c>
      <c r="BL39" s="69">
        <f>AY39</f>
        <v>16193.476834110916</v>
      </c>
      <c r="BM39" s="69">
        <f>BM66</f>
        <v>19067.667796381207</v>
      </c>
      <c r="BN39" s="69">
        <f>BN66</f>
        <v>22157.174800228495</v>
      </c>
      <c r="BO39" s="22"/>
      <c r="BV39" s="8"/>
    </row>
    <row r="40" spans="1:74" ht="14.25" customHeight="1">
      <c r="A40" s="8"/>
      <c r="B40" s="55"/>
      <c r="C40" s="24"/>
      <c r="D40" s="71"/>
      <c r="E40" s="72"/>
      <c r="F40" s="72"/>
      <c r="G40" s="72"/>
      <c r="H40" s="71"/>
      <c r="I40" s="72"/>
      <c r="J40" s="72"/>
      <c r="K40" s="72"/>
      <c r="L40" s="71"/>
      <c r="M40" s="72"/>
      <c r="N40" s="72"/>
      <c r="O40" s="72"/>
      <c r="P40" s="71"/>
      <c r="Q40" s="72"/>
      <c r="R40" s="72"/>
      <c r="S40" s="72"/>
      <c r="T40" s="71"/>
      <c r="U40" s="72"/>
      <c r="V40" s="72"/>
      <c r="W40" s="73"/>
      <c r="X40" s="71"/>
      <c r="Y40" s="72"/>
      <c r="Z40" s="72"/>
      <c r="AA40" s="73"/>
      <c r="AB40" s="71"/>
      <c r="AC40" s="72"/>
      <c r="AD40" s="72"/>
      <c r="AE40" s="73"/>
      <c r="AF40" s="71"/>
      <c r="AG40" s="72"/>
      <c r="AH40" s="72"/>
      <c r="AI40" s="73"/>
      <c r="AJ40" s="71"/>
      <c r="AK40" s="72"/>
      <c r="AL40" s="72"/>
      <c r="AM40" s="73"/>
      <c r="AN40" s="71"/>
      <c r="AO40" s="72"/>
      <c r="AP40" s="72"/>
      <c r="AQ40" s="73"/>
      <c r="AR40" s="71"/>
      <c r="AS40" s="72"/>
      <c r="AT40" s="72"/>
      <c r="AU40" s="170"/>
      <c r="AV40" s="312"/>
      <c r="AW40" s="1335"/>
      <c r="AX40" s="1335"/>
      <c r="AY40" s="170"/>
      <c r="AZ40" s="115"/>
      <c r="BA40" s="72"/>
      <c r="BB40" s="72"/>
      <c r="BC40" s="72"/>
      <c r="BD40" s="72"/>
      <c r="BE40" s="312"/>
      <c r="BF40" s="1335"/>
      <c r="BG40" s="1335"/>
      <c r="BH40" s="1335"/>
      <c r="BI40" s="1335"/>
      <c r="BJ40" s="1335"/>
      <c r="BK40" s="1335"/>
      <c r="BL40" s="1335"/>
      <c r="BM40" s="1335"/>
      <c r="BN40" s="1335"/>
      <c r="BO40" s="22"/>
      <c r="BV40" s="8"/>
    </row>
    <row r="41" spans="1:74" ht="14.25" customHeight="1">
      <c r="A41" s="8"/>
      <c r="B41" s="140" t="s">
        <v>153</v>
      </c>
      <c r="C41" s="141"/>
      <c r="D41" s="133">
        <f>D39+D32+SUM(D34:D37)</f>
        <v>12851</v>
      </c>
      <c r="E41" s="131">
        <f t="shared" ref="E41:AF41" si="72">E39+E32+SUM(E34:E37)</f>
        <v>12715</v>
      </c>
      <c r="F41" s="131">
        <f t="shared" si="72"/>
        <v>13262</v>
      </c>
      <c r="G41" s="132">
        <f t="shared" si="72"/>
        <v>13816</v>
      </c>
      <c r="H41" s="133">
        <f t="shared" si="72"/>
        <v>14086</v>
      </c>
      <c r="I41" s="131">
        <f t="shared" si="72"/>
        <v>13889</v>
      </c>
      <c r="J41" s="131">
        <f t="shared" si="72"/>
        <v>11439</v>
      </c>
      <c r="K41" s="132">
        <f t="shared" si="72"/>
        <v>10685</v>
      </c>
      <c r="L41" s="133">
        <f t="shared" si="72"/>
        <v>9569</v>
      </c>
      <c r="M41" s="131">
        <f t="shared" si="72"/>
        <v>9356</v>
      </c>
      <c r="N41" s="131">
        <f t="shared" si="72"/>
        <v>9111</v>
      </c>
      <c r="O41" s="132">
        <f t="shared" si="72"/>
        <v>8579</v>
      </c>
      <c r="P41" s="131">
        <f t="shared" si="72"/>
        <v>8073</v>
      </c>
      <c r="Q41" s="131">
        <f t="shared" si="72"/>
        <v>7556</v>
      </c>
      <c r="R41" s="131">
        <f t="shared" si="72"/>
        <v>7911</v>
      </c>
      <c r="S41" s="132">
        <f t="shared" si="72"/>
        <v>7637</v>
      </c>
      <c r="T41" s="133">
        <f t="shared" si="72"/>
        <v>7753</v>
      </c>
      <c r="U41" s="131">
        <f>U39+U32+SUM(U34:U37)</f>
        <v>7798</v>
      </c>
      <c r="V41" s="131">
        <f>V39+V32+SUM(V34:V37)</f>
        <v>7014</v>
      </c>
      <c r="W41" s="132">
        <f>W39+W32+SUM(W34:W37)</f>
        <v>6612</v>
      </c>
      <c r="X41" s="133">
        <f>X39+X32+SUM(X34:X37)</f>
        <v>6682</v>
      </c>
      <c r="Y41" s="131">
        <f>Y39+Y32+SUM(Y34:Y37)</f>
        <v>6536</v>
      </c>
      <c r="Z41" s="131">
        <f t="shared" si="72"/>
        <v>6501</v>
      </c>
      <c r="AA41" s="132">
        <f>AA39+AA32+SUM(AA34:AA37)</f>
        <v>6439</v>
      </c>
      <c r="AB41" s="133">
        <f t="shared" si="72"/>
        <v>6281</v>
      </c>
      <c r="AC41" s="131">
        <f>AC39+AC32+SUM(AC34:AC37)</f>
        <v>6296</v>
      </c>
      <c r="AD41" s="131">
        <f>AD39+AD32+SUM(AD34:AD37)</f>
        <v>6744</v>
      </c>
      <c r="AE41" s="132">
        <f>AE39+AE32+SUM(AE34:AE37)</f>
        <v>6449</v>
      </c>
      <c r="AF41" s="133">
        <f t="shared" si="72"/>
        <v>6489</v>
      </c>
      <c r="AG41" s="131">
        <f t="shared" ref="AG41:AL41" si="73">AG39+AG32+SUM(AG34:AG37)</f>
        <v>6496</v>
      </c>
      <c r="AH41" s="131">
        <f t="shared" si="73"/>
        <v>6266</v>
      </c>
      <c r="AI41" s="132">
        <f t="shared" si="73"/>
        <v>6893</v>
      </c>
      <c r="AJ41" s="133">
        <f t="shared" si="73"/>
        <v>7065</v>
      </c>
      <c r="AK41" s="131">
        <f t="shared" si="73"/>
        <v>8193</v>
      </c>
      <c r="AL41" s="131">
        <f t="shared" si="73"/>
        <v>8250</v>
      </c>
      <c r="AM41" s="132">
        <f t="shared" ref="AM41:AP41" si="74">AM39+AM32+SUM(AM34:AM37)</f>
        <v>26354</v>
      </c>
      <c r="AN41" s="133">
        <f t="shared" si="74"/>
        <v>25373</v>
      </c>
      <c r="AO41" s="131">
        <f t="shared" si="74"/>
        <v>24581</v>
      </c>
      <c r="AP41" s="131">
        <f t="shared" si="74"/>
        <v>24792</v>
      </c>
      <c r="AQ41" s="132">
        <f t="shared" ref="AQ41:AT41" si="75">AQ39+AQ32+SUM(AQ34:AQ37)</f>
        <v>24564</v>
      </c>
      <c r="AR41" s="133">
        <f t="shared" si="75"/>
        <v>23614</v>
      </c>
      <c r="AS41" s="131">
        <f t="shared" si="75"/>
        <v>23628</v>
      </c>
      <c r="AT41" s="131">
        <f t="shared" si="75"/>
        <v>23793</v>
      </c>
      <c r="AU41" s="132">
        <f t="shared" ref="AU41" si="76">AU39+AU32+SUM(AU34:AU37)</f>
        <v>24049</v>
      </c>
      <c r="AV41" s="133">
        <f t="shared" ref="AV41:AY41" si="77">AV39+AV32+SUM(AV34:AV37)</f>
        <v>24511.607997413681</v>
      </c>
      <c r="AW41" s="131">
        <f t="shared" si="77"/>
        <v>25196.318100720135</v>
      </c>
      <c r="AX41" s="131">
        <f t="shared" si="77"/>
        <v>25936.471347252093</v>
      </c>
      <c r="AY41" s="132">
        <f t="shared" si="77"/>
        <v>26612.042706970515</v>
      </c>
      <c r="AZ41" s="115"/>
      <c r="BA41" s="131">
        <f t="shared" ref="BA41:BM41" si="78">BA39+BA32+SUM(BA34:BA37)</f>
        <v>13816</v>
      </c>
      <c r="BB41" s="131">
        <f t="shared" si="78"/>
        <v>10685</v>
      </c>
      <c r="BC41" s="131">
        <f t="shared" si="78"/>
        <v>8579</v>
      </c>
      <c r="BD41" s="131">
        <f t="shared" si="78"/>
        <v>7637</v>
      </c>
      <c r="BE41" s="133">
        <f t="shared" si="78"/>
        <v>6612</v>
      </c>
      <c r="BF41" s="131">
        <f t="shared" si="78"/>
        <v>6439</v>
      </c>
      <c r="BG41" s="131">
        <f t="shared" si="78"/>
        <v>6449</v>
      </c>
      <c r="BH41" s="131">
        <f t="shared" si="78"/>
        <v>6893</v>
      </c>
      <c r="BI41" s="131">
        <f>BI39+BI32+SUM(BI34:BI37)</f>
        <v>26354</v>
      </c>
      <c r="BJ41" s="131">
        <f>BJ39+BJ32+SUM(BJ34:BJ37)</f>
        <v>24564</v>
      </c>
      <c r="BK41" s="131">
        <f>BK39+BK32+SUM(BK34:BK37)</f>
        <v>24049</v>
      </c>
      <c r="BL41" s="131">
        <f>BL39+BL32+SUM(BL34:BL37)</f>
        <v>26612.042706970515</v>
      </c>
      <c r="BM41" s="131">
        <f t="shared" si="78"/>
        <v>29554.30697282336</v>
      </c>
      <c r="BN41" s="131">
        <f t="shared" ref="BN41" si="79">BN39+BN32+SUM(BN34:BN37)</f>
        <v>32700.283066057</v>
      </c>
      <c r="BO41" s="22"/>
      <c r="BV41" s="8"/>
    </row>
    <row r="42" spans="1:74" ht="14.25" customHeight="1">
      <c r="A42" s="8"/>
      <c r="B42" s="142"/>
      <c r="C42" s="58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59"/>
      <c r="Q42" s="111"/>
      <c r="R42" s="59"/>
      <c r="S42" s="59"/>
      <c r="T42" s="59"/>
      <c r="U42" s="111"/>
      <c r="V42" s="111"/>
      <c r="W42" s="59"/>
      <c r="X42" s="59"/>
      <c r="Y42" s="111"/>
      <c r="Z42" s="59"/>
      <c r="AA42" s="143"/>
      <c r="AB42" s="143"/>
      <c r="AC42" s="111"/>
      <c r="AD42" s="59"/>
      <c r="AE42" s="143"/>
      <c r="AF42" s="143"/>
      <c r="AG42" s="111"/>
      <c r="AH42" s="59"/>
      <c r="AI42" s="143"/>
      <c r="AJ42" s="143"/>
      <c r="AK42" s="111"/>
      <c r="AL42" s="59"/>
      <c r="AM42" s="143"/>
      <c r="AN42" s="143"/>
      <c r="AO42" s="111"/>
      <c r="AP42" s="59"/>
      <c r="AQ42" s="143"/>
      <c r="AR42" s="143"/>
      <c r="AS42" s="59"/>
      <c r="AT42" s="59"/>
      <c r="AU42" s="143"/>
      <c r="AV42" s="143"/>
      <c r="AW42" s="59"/>
      <c r="AX42" s="59"/>
      <c r="AY42" s="143"/>
      <c r="AZ42" s="14"/>
      <c r="BA42" s="111"/>
      <c r="BB42" s="111"/>
      <c r="BC42" s="111"/>
      <c r="BD42" s="111"/>
      <c r="BE42" s="111"/>
      <c r="BF42" s="111"/>
      <c r="BG42" s="111"/>
      <c r="BH42" s="111"/>
      <c r="BI42" s="111"/>
      <c r="BJ42" s="111"/>
      <c r="BK42" s="111"/>
      <c r="BL42" s="111"/>
      <c r="BM42" s="111"/>
      <c r="BN42" s="111"/>
      <c r="BO42" s="8"/>
      <c r="BV42" s="8"/>
    </row>
    <row r="43" spans="1:74" ht="14.25" customHeight="1">
      <c r="A43" s="8"/>
      <c r="B43" s="144" t="s">
        <v>154</v>
      </c>
      <c r="C43" s="145"/>
      <c r="D43" s="148">
        <f t="shared" ref="D43:AH43" si="80">IF(ROUND(D41,4)=ROUND(D24,4),0,D41-D24)</f>
        <v>0</v>
      </c>
      <c r="E43" s="146">
        <f t="shared" si="80"/>
        <v>0</v>
      </c>
      <c r="F43" s="146">
        <f t="shared" si="80"/>
        <v>0</v>
      </c>
      <c r="G43" s="147">
        <f t="shared" si="80"/>
        <v>0</v>
      </c>
      <c r="H43" s="148">
        <f t="shared" si="80"/>
        <v>0</v>
      </c>
      <c r="I43" s="146">
        <f t="shared" si="80"/>
        <v>0</v>
      </c>
      <c r="J43" s="146">
        <f t="shared" si="80"/>
        <v>0</v>
      </c>
      <c r="K43" s="147">
        <f t="shared" si="80"/>
        <v>0</v>
      </c>
      <c r="L43" s="148">
        <f t="shared" si="80"/>
        <v>0</v>
      </c>
      <c r="M43" s="146">
        <f t="shared" si="80"/>
        <v>0</v>
      </c>
      <c r="N43" s="146">
        <f t="shared" si="80"/>
        <v>0</v>
      </c>
      <c r="O43" s="147">
        <f t="shared" si="80"/>
        <v>0</v>
      </c>
      <c r="P43" s="146">
        <f t="shared" si="80"/>
        <v>0</v>
      </c>
      <c r="Q43" s="146">
        <f t="shared" si="80"/>
        <v>0</v>
      </c>
      <c r="R43" s="146">
        <f t="shared" si="80"/>
        <v>0</v>
      </c>
      <c r="S43" s="146">
        <f t="shared" si="80"/>
        <v>0</v>
      </c>
      <c r="T43" s="148">
        <f t="shared" si="80"/>
        <v>0</v>
      </c>
      <c r="U43" s="146">
        <f t="shared" si="80"/>
        <v>0</v>
      </c>
      <c r="V43" s="146">
        <f t="shared" si="80"/>
        <v>0</v>
      </c>
      <c r="W43" s="147">
        <f t="shared" si="80"/>
        <v>0</v>
      </c>
      <c r="X43" s="148">
        <f t="shared" si="80"/>
        <v>0</v>
      </c>
      <c r="Y43" s="146">
        <f t="shared" si="80"/>
        <v>0</v>
      </c>
      <c r="Z43" s="146">
        <f t="shared" si="80"/>
        <v>0</v>
      </c>
      <c r="AA43" s="147">
        <f t="shared" si="80"/>
        <v>0</v>
      </c>
      <c r="AB43" s="148">
        <f t="shared" si="80"/>
        <v>0</v>
      </c>
      <c r="AC43" s="146">
        <f>IF(ROUND(AC41,4)=ROUND(AC24,4),0,AC41-AC24)</f>
        <v>0</v>
      </c>
      <c r="AD43" s="146">
        <f>IF(ROUND(AD41,4)=ROUND(AD24,4),0,AD41-AD24)</f>
        <v>0</v>
      </c>
      <c r="AE43" s="147">
        <f>IF(ROUND(AE41,4)=ROUND(AE24,4),0,AE41-AE24)</f>
        <v>0</v>
      </c>
      <c r="AF43" s="148">
        <f t="shared" si="80"/>
        <v>0</v>
      </c>
      <c r="AG43" s="146">
        <f>IF(ROUND(AG41,4)=ROUND(AG24,4),0,AG41-AG24)</f>
        <v>0</v>
      </c>
      <c r="AH43" s="146">
        <f t="shared" si="80"/>
        <v>0</v>
      </c>
      <c r="AI43" s="147">
        <f>IF(ROUND(AI41,4)=ROUND(AI24,4),0,AI41-AI24)</f>
        <v>0</v>
      </c>
      <c r="AJ43" s="148">
        <f>IF(ROUND(AJ41,4)=ROUND(AJ24,4),0,AJ41-AJ24)</f>
        <v>0</v>
      </c>
      <c r="AK43" s="146">
        <f>IF(ROUND(AK41,4)=ROUND(AK24,4),0,AK41-AK24)</f>
        <v>0</v>
      </c>
      <c r="AL43" s="146">
        <f t="shared" ref="AL43" si="81">IF(ROUND(AL41,4)=ROUND(AL24,4),0,AL41-AL24)</f>
        <v>0</v>
      </c>
      <c r="AM43" s="147">
        <f>IF(ROUND(AM41,4)=ROUND(AM24,4),0,AM41-AM24)</f>
        <v>0</v>
      </c>
      <c r="AN43" s="148">
        <f>IF(ROUND(AN41,4)=ROUND(AN24,4),0,AN41-AN24)</f>
        <v>0</v>
      </c>
      <c r="AO43" s="146">
        <f>IF(ROUND(AO41,4)=ROUND(AO24,4),0,AO41-AO24)</f>
        <v>0</v>
      </c>
      <c r="AP43" s="146">
        <f t="shared" ref="AP43" si="82">IF(ROUND(AP41,4)=ROUND(AP24,4),0,AP41-AP24)</f>
        <v>0</v>
      </c>
      <c r="AQ43" s="147">
        <f>IF(ROUND(AQ41,4)=ROUND(AQ24,4),0,AQ41-AQ24)</f>
        <v>0</v>
      </c>
      <c r="AR43" s="148">
        <f>IF(ROUND(AR41,4)=ROUND(AR24,4),0,AR41-AR24)</f>
        <v>0</v>
      </c>
      <c r="AS43" s="146">
        <f t="shared" ref="AS43:AU43" si="83">IF(ROUND(AS41,4)=ROUND(AS24,4),0,AS41-AS24)</f>
        <v>0</v>
      </c>
      <c r="AT43" s="146">
        <f t="shared" si="83"/>
        <v>0</v>
      </c>
      <c r="AU43" s="147">
        <f t="shared" si="83"/>
        <v>0</v>
      </c>
      <c r="AV43" s="148">
        <f t="shared" ref="AV43:AY43" si="84">IF(ROUND(AV41,4)=ROUND(AV24,4),0,AV41-AV24)</f>
        <v>0</v>
      </c>
      <c r="AW43" s="146">
        <f t="shared" si="84"/>
        <v>0</v>
      </c>
      <c r="AX43" s="146">
        <f t="shared" si="84"/>
        <v>0</v>
      </c>
      <c r="AY43" s="147">
        <f t="shared" si="84"/>
        <v>0</v>
      </c>
      <c r="AZ43" s="20"/>
      <c r="BA43" s="146">
        <f t="shared" ref="BA43:BM43" si="85">IF(ROUND(BA41,4)=ROUND(BA24,4),0,BA41-BA24)</f>
        <v>0</v>
      </c>
      <c r="BB43" s="146">
        <f t="shared" si="85"/>
        <v>0</v>
      </c>
      <c r="BC43" s="146">
        <f t="shared" si="85"/>
        <v>0</v>
      </c>
      <c r="BD43" s="146">
        <f t="shared" si="85"/>
        <v>0</v>
      </c>
      <c r="BE43" s="146">
        <f t="shared" si="85"/>
        <v>0</v>
      </c>
      <c r="BF43" s="146">
        <f t="shared" si="85"/>
        <v>0</v>
      </c>
      <c r="BG43" s="146">
        <f t="shared" si="85"/>
        <v>0</v>
      </c>
      <c r="BH43" s="146">
        <f t="shared" si="85"/>
        <v>0</v>
      </c>
      <c r="BI43" s="146">
        <f>IF(ROUND(BI41,4)=ROUND(BI24,4),0,BI41-BI24)</f>
        <v>0</v>
      </c>
      <c r="BJ43" s="146">
        <f>IF(ROUND(BJ41,4)=ROUND(BJ24,4),0,BJ41-BJ24)</f>
        <v>0</v>
      </c>
      <c r="BK43" s="146">
        <f>IF(ROUND(BK41,4)=ROUND(BK24,4),0,BK41-BK24)</f>
        <v>0</v>
      </c>
      <c r="BL43" s="146">
        <f>IF(ROUND(BL41,4)=ROUND(BL24,4),0,BL41-BL24)</f>
        <v>0</v>
      </c>
      <c r="BM43" s="146">
        <f t="shared" si="85"/>
        <v>0</v>
      </c>
      <c r="BN43" s="146">
        <f t="shared" ref="BN43" si="86">IF(ROUND(BN41,4)=ROUND(BN24,4),0,BN41-BN24)</f>
        <v>0</v>
      </c>
      <c r="BO43" s="22"/>
      <c r="BV43" s="8"/>
    </row>
    <row r="44" spans="1:74" ht="14.25" customHeight="1">
      <c r="A44" s="8"/>
      <c r="B44" s="57"/>
      <c r="C44" s="58"/>
      <c r="D44" s="787"/>
      <c r="E44" s="787"/>
      <c r="F44" s="787"/>
      <c r="G44" s="787"/>
      <c r="H44" s="787"/>
      <c r="I44" s="787"/>
      <c r="J44" s="787"/>
      <c r="K44" s="787"/>
      <c r="L44" s="787"/>
      <c r="M44" s="787"/>
      <c r="N44" s="787"/>
      <c r="O44" s="787"/>
      <c r="P44" s="787"/>
      <c r="Q44" s="787"/>
      <c r="R44" s="787"/>
      <c r="S44" s="787"/>
      <c r="T44" s="787"/>
      <c r="U44" s="787"/>
      <c r="V44" s="787"/>
      <c r="W44" s="787"/>
      <c r="X44" s="787"/>
      <c r="Y44" s="787"/>
      <c r="Z44" s="787"/>
      <c r="AA44" s="150"/>
      <c r="AB44" s="149"/>
      <c r="AC44" s="149"/>
      <c r="AD44" s="149"/>
      <c r="AE44" s="150"/>
      <c r="AF44" s="149"/>
      <c r="AG44" s="149"/>
      <c r="AH44" s="149"/>
      <c r="AI44" s="150"/>
      <c r="AJ44" s="149"/>
      <c r="AK44" s="149"/>
      <c r="AL44" s="149"/>
      <c r="AM44" s="150"/>
      <c r="AN44" s="149"/>
      <c r="AO44" s="149"/>
      <c r="AP44" s="149"/>
      <c r="AQ44" s="150"/>
      <c r="AR44" s="149"/>
      <c r="AS44" s="149"/>
      <c r="AT44" s="149"/>
      <c r="AU44" s="150"/>
      <c r="AV44" s="149"/>
      <c r="AW44" s="149"/>
      <c r="AX44" s="149"/>
      <c r="AY44" s="150"/>
      <c r="AZ44" s="14"/>
      <c r="BA44" s="111"/>
      <c r="BB44" s="111"/>
      <c r="BC44" s="111"/>
      <c r="BD44" s="111"/>
      <c r="BE44" s="60"/>
      <c r="BF44" s="151"/>
      <c r="BG44" s="151"/>
      <c r="BH44" s="151"/>
      <c r="BI44" s="151"/>
      <c r="BJ44" s="151"/>
      <c r="BK44" s="151"/>
      <c r="BL44" s="151"/>
      <c r="BM44" s="151"/>
      <c r="BN44" s="151"/>
      <c r="BO44" s="8"/>
      <c r="BV44" s="8"/>
    </row>
    <row r="45" spans="1:74" ht="14.25" customHeight="1">
      <c r="A45" s="8"/>
      <c r="B45" s="61"/>
      <c r="C45" s="58"/>
      <c r="D45" s="59"/>
      <c r="E45" s="59"/>
      <c r="F45" s="59"/>
      <c r="G45" s="59"/>
      <c r="H45" s="59"/>
      <c r="I45" s="59"/>
      <c r="J45" s="59"/>
      <c r="K45" s="59"/>
      <c r="L45" s="331"/>
      <c r="M45" s="331"/>
      <c r="N45" s="331"/>
      <c r="O45" s="331"/>
      <c r="P45" s="331"/>
      <c r="Q45" s="331"/>
      <c r="R45" s="331"/>
      <c r="S45" s="331"/>
      <c r="T45" s="331"/>
      <c r="U45" s="331"/>
      <c r="V45" s="331"/>
      <c r="W45" s="331"/>
      <c r="X45" s="331"/>
      <c r="Y45" s="331"/>
      <c r="Z45" s="59"/>
      <c r="AA45" s="59"/>
      <c r="AB45" s="59"/>
      <c r="AC45" s="59"/>
      <c r="AD45" s="59"/>
      <c r="AE45" s="59"/>
      <c r="AF45" s="59"/>
      <c r="AG45" s="59"/>
      <c r="AH45" s="59"/>
      <c r="AI45" s="152"/>
      <c r="AJ45" s="59"/>
      <c r="AK45" s="59"/>
      <c r="AL45" s="59"/>
      <c r="AM45" s="152"/>
      <c r="AN45" s="59"/>
      <c r="AO45" s="59"/>
      <c r="AP45" s="59"/>
      <c r="AQ45" s="152"/>
      <c r="AR45" s="59"/>
      <c r="AS45" s="59"/>
      <c r="AT45" s="59"/>
      <c r="AU45" s="152"/>
      <c r="AV45" s="59"/>
      <c r="AW45" s="59"/>
      <c r="AX45" s="59"/>
      <c r="AY45" s="152"/>
      <c r="AZ45" s="14"/>
      <c r="BA45" s="111"/>
      <c r="BB45" s="111"/>
      <c r="BC45" s="111"/>
      <c r="BD45" s="111"/>
      <c r="BE45" s="111"/>
      <c r="BF45" s="111"/>
      <c r="BG45" s="111"/>
      <c r="BH45" s="111"/>
      <c r="BI45" s="111"/>
      <c r="BJ45" s="111"/>
      <c r="BK45" s="111"/>
      <c r="BL45" s="111"/>
      <c r="BM45" s="111"/>
      <c r="BN45" s="111"/>
      <c r="BO45" s="8"/>
      <c r="BV45" s="8"/>
    </row>
    <row r="46" spans="1:74" ht="14.25" customHeight="1">
      <c r="A46" s="8"/>
      <c r="B46" s="153" t="s">
        <v>155</v>
      </c>
      <c r="C46" s="154"/>
      <c r="D46" s="17" t="str">
        <f t="shared" ref="D46:S46" si="87">D9</f>
        <v>F1Q07A</v>
      </c>
      <c r="E46" s="18" t="str">
        <f t="shared" si="87"/>
        <v>F2Q07A</v>
      </c>
      <c r="F46" s="1709" t="str">
        <f t="shared" si="87"/>
        <v>F3Q07A</v>
      </c>
      <c r="G46" s="1711" t="str">
        <f t="shared" si="87"/>
        <v>F4Q07A</v>
      </c>
      <c r="H46" s="1709" t="str">
        <f t="shared" si="87"/>
        <v>F1Q08A</v>
      </c>
      <c r="I46" s="1710" t="str">
        <f t="shared" si="87"/>
        <v>F2Q08A</v>
      </c>
      <c r="J46" s="1710" t="str">
        <f t="shared" si="87"/>
        <v>F3Q08A</v>
      </c>
      <c r="K46" s="1711" t="str">
        <f t="shared" si="87"/>
        <v>F4Q08A</v>
      </c>
      <c r="L46" s="1709" t="str">
        <f t="shared" si="87"/>
        <v>F1Q09A</v>
      </c>
      <c r="M46" s="1710" t="str">
        <f t="shared" si="87"/>
        <v>F2Q09A</v>
      </c>
      <c r="N46" s="1710" t="str">
        <f t="shared" si="87"/>
        <v>F3Q09A</v>
      </c>
      <c r="O46" s="1711" t="str">
        <f t="shared" si="87"/>
        <v>F4Q09A</v>
      </c>
      <c r="P46" s="1709" t="str">
        <f t="shared" si="87"/>
        <v>F1Q10A</v>
      </c>
      <c r="Q46" s="1710" t="str">
        <f t="shared" si="87"/>
        <v>F2Q10A</v>
      </c>
      <c r="R46" s="1710" t="str">
        <f t="shared" si="87"/>
        <v>F3Q10A</v>
      </c>
      <c r="S46" s="1711" t="str">
        <f t="shared" si="87"/>
        <v>F4Q10A</v>
      </c>
      <c r="T46" s="1709" t="str">
        <f t="shared" ref="T46:AI46" si="88">T9</f>
        <v>F1Q11A</v>
      </c>
      <c r="U46" s="1710" t="str">
        <f t="shared" si="88"/>
        <v>F2Q11A</v>
      </c>
      <c r="V46" s="1710" t="str">
        <f>V9</f>
        <v>F3Q11A</v>
      </c>
      <c r="W46" s="1711" t="str">
        <f>W9</f>
        <v>F4Q11A</v>
      </c>
      <c r="X46" s="1709" t="str">
        <f>X9</f>
        <v>F1Q12A</v>
      </c>
      <c r="Y46" s="1710" t="str">
        <f>Y9</f>
        <v>F2Q12A</v>
      </c>
      <c r="Z46" s="1710" t="str">
        <f t="shared" si="88"/>
        <v>F3Q12A</v>
      </c>
      <c r="AA46" s="1711" t="str">
        <f t="shared" si="88"/>
        <v>F4Q12A</v>
      </c>
      <c r="AB46" s="1709" t="str">
        <f t="shared" si="88"/>
        <v>F1Q13A</v>
      </c>
      <c r="AC46" s="1710" t="str">
        <f t="shared" si="88"/>
        <v>F2Q13A</v>
      </c>
      <c r="AD46" s="1710" t="str">
        <f t="shared" si="88"/>
        <v>F3Q13A</v>
      </c>
      <c r="AE46" s="1711" t="str">
        <f t="shared" si="88"/>
        <v>F4Q13A</v>
      </c>
      <c r="AF46" s="1709" t="str">
        <f t="shared" si="88"/>
        <v>F1Q14A</v>
      </c>
      <c r="AG46" s="1710" t="str">
        <f t="shared" si="88"/>
        <v>F2Q14A</v>
      </c>
      <c r="AH46" s="1710" t="str">
        <f t="shared" si="88"/>
        <v>F3Q14A</v>
      </c>
      <c r="AI46" s="1711" t="str">
        <f t="shared" si="88"/>
        <v>F4Q14A</v>
      </c>
      <c r="AJ46" s="1709" t="str">
        <f t="shared" ref="AJ46:AM46" si="89">AJ9</f>
        <v>F1Q15A</v>
      </c>
      <c r="AK46" s="1710" t="str">
        <f t="shared" si="89"/>
        <v>F2Q15A</v>
      </c>
      <c r="AL46" s="1710" t="str">
        <f t="shared" si="89"/>
        <v>F3Q15A</v>
      </c>
      <c r="AM46" s="1711" t="str">
        <f t="shared" si="89"/>
        <v>F4Q15A</v>
      </c>
      <c r="AN46" s="1709" t="str">
        <f t="shared" ref="AN46:AQ46" si="90">AN9</f>
        <v>F1Q16A</v>
      </c>
      <c r="AO46" s="1710" t="str">
        <f t="shared" si="90"/>
        <v>F2Q16A</v>
      </c>
      <c r="AP46" s="1740" t="str">
        <f t="shared" si="90"/>
        <v>F3Q16A</v>
      </c>
      <c r="AQ46" s="1805" t="str">
        <f t="shared" si="90"/>
        <v>F4Q16A</v>
      </c>
      <c r="AR46" s="1709" t="str">
        <f t="shared" ref="AR46:AU46" si="91">AR9</f>
        <v>F1Q17A</v>
      </c>
      <c r="AS46" s="1710" t="str">
        <f t="shared" si="91"/>
        <v>F2Q17A</v>
      </c>
      <c r="AT46" s="1710" t="str">
        <f t="shared" si="91"/>
        <v>F3Q17A</v>
      </c>
      <c r="AU46" s="1711" t="str">
        <f t="shared" si="91"/>
        <v>F4Q17A</v>
      </c>
      <c r="AV46" s="1709" t="str">
        <f t="shared" ref="AV46:AY46" si="92">AV9</f>
        <v>F1Q18E</v>
      </c>
      <c r="AW46" s="1710" t="str">
        <f t="shared" si="92"/>
        <v>F2Q18E</v>
      </c>
      <c r="AX46" s="1710" t="str">
        <f t="shared" si="92"/>
        <v>F3Q18E</v>
      </c>
      <c r="AY46" s="1711" t="str">
        <f t="shared" si="92"/>
        <v>F4Q18E</v>
      </c>
      <c r="AZ46" s="246"/>
      <c r="BA46" s="155" t="str">
        <f>BA9</f>
        <v>FY2007A</v>
      </c>
      <c r="BB46" s="155" t="str">
        <f>BB9</f>
        <v>FY2008A</v>
      </c>
      <c r="BC46" s="155" t="str">
        <f t="shared" ref="BC46:BM46" si="93">BC9</f>
        <v>FY2009A</v>
      </c>
      <c r="BD46" s="155" t="str">
        <f t="shared" si="93"/>
        <v>FY2010A</v>
      </c>
      <c r="BE46" s="335" t="str">
        <f t="shared" si="93"/>
        <v>FY2011A</v>
      </c>
      <c r="BF46" s="1503" t="str">
        <f t="shared" si="93"/>
        <v>FY2012A</v>
      </c>
      <c r="BG46" s="1503" t="str">
        <f t="shared" si="93"/>
        <v>FY2013A</v>
      </c>
      <c r="BH46" s="18" t="str">
        <f t="shared" si="93"/>
        <v>FY2014A</v>
      </c>
      <c r="BI46" s="18" t="str">
        <f>BI9</f>
        <v>FY2015A</v>
      </c>
      <c r="BJ46" s="1503" t="str">
        <f>BJ9</f>
        <v>FY2016A</v>
      </c>
      <c r="BK46" s="1804" t="str">
        <f>BK9</f>
        <v>FY2017A</v>
      </c>
      <c r="BL46" s="1804" t="str">
        <f>BL9</f>
        <v>FY2018E</v>
      </c>
      <c r="BM46" s="1804" t="str">
        <f t="shared" si="93"/>
        <v>FY2019E</v>
      </c>
      <c r="BN46" s="1804" t="str">
        <f t="shared" ref="BN46" si="94">BN9</f>
        <v>FY2020E</v>
      </c>
      <c r="BO46" s="22"/>
      <c r="BV46" s="8"/>
    </row>
    <row r="47" spans="1:74" ht="14.25" customHeight="1">
      <c r="A47" s="8"/>
      <c r="B47" s="23" t="s">
        <v>157</v>
      </c>
      <c r="C47" s="24"/>
      <c r="D47" s="68">
        <f t="shared" ref="D47:Z47" si="95">D12/(D52*4)*365</f>
        <v>49.153832991101986</v>
      </c>
      <c r="E47" s="69">
        <f t="shared" si="95"/>
        <v>50.371423927178157</v>
      </c>
      <c r="F47" s="68">
        <f t="shared" si="95"/>
        <v>49.23281630170316</v>
      </c>
      <c r="G47" s="70">
        <f t="shared" si="95"/>
        <v>41.546483909415969</v>
      </c>
      <c r="H47" s="68">
        <f t="shared" si="95"/>
        <v>48.959019091507571</v>
      </c>
      <c r="I47" s="69">
        <f t="shared" si="95"/>
        <v>51.373031496062993</v>
      </c>
      <c r="J47" s="69">
        <f t="shared" si="95"/>
        <v>53.195960698689952</v>
      </c>
      <c r="K47" s="70">
        <f t="shared" si="95"/>
        <v>45.980750487329438</v>
      </c>
      <c r="L47" s="68">
        <f t="shared" si="95"/>
        <v>56.872093023255815</v>
      </c>
      <c r="M47" s="69">
        <f t="shared" si="95"/>
        <v>51.224179829890652</v>
      </c>
      <c r="N47" s="69">
        <f t="shared" si="95"/>
        <v>47.016006097560975</v>
      </c>
      <c r="O47" s="70">
        <f t="shared" si="95"/>
        <v>38.313027179006561</v>
      </c>
      <c r="P47" s="68">
        <f t="shared" si="95"/>
        <v>45.078341013824883</v>
      </c>
      <c r="Q47" s="69">
        <f t="shared" si="95"/>
        <v>42.811662198391417</v>
      </c>
      <c r="R47" s="69">
        <f t="shared" si="95"/>
        <v>40.4921875</v>
      </c>
      <c r="S47" s="70">
        <f t="shared" si="95"/>
        <v>37.07560296846011</v>
      </c>
      <c r="T47" s="68">
        <f t="shared" si="95"/>
        <v>39.046903881700551</v>
      </c>
      <c r="U47" s="69">
        <f t="shared" si="95"/>
        <v>38.258251561106157</v>
      </c>
      <c r="V47" s="69">
        <f t="shared" si="95"/>
        <v>38.393867924528301</v>
      </c>
      <c r="W47" s="70">
        <f t="shared" si="95"/>
        <v>46.948174006444681</v>
      </c>
      <c r="X47" s="68">
        <f t="shared" si="95"/>
        <v>40.400051124744373</v>
      </c>
      <c r="Y47" s="69">
        <f t="shared" si="95"/>
        <v>38.952239488117002</v>
      </c>
      <c r="Z47" s="69">
        <f t="shared" si="95"/>
        <v>37.825854700854705</v>
      </c>
      <c r="AA47" s="70">
        <f t="shared" ref="AA47:AF47" si="96">AA12/(AA52*4)*365</f>
        <v>41.700268817204297</v>
      </c>
      <c r="AB47" s="68">
        <f t="shared" si="96"/>
        <v>39.023041474654377</v>
      </c>
      <c r="AC47" s="69">
        <f t="shared" si="96"/>
        <v>41.784511784511785</v>
      </c>
      <c r="AD47" s="69">
        <f t="shared" si="96"/>
        <v>42.520016012810245</v>
      </c>
      <c r="AE47" s="70">
        <f t="shared" si="96"/>
        <v>38.25019334880124</v>
      </c>
      <c r="AF47" s="68">
        <f t="shared" si="96"/>
        <v>43.208266452648473</v>
      </c>
      <c r="AG47" s="69">
        <f t="shared" ref="AG47:AL47" si="97">AG12/(AG52*4)*365</f>
        <v>45.252965159377318</v>
      </c>
      <c r="AH47" s="69">
        <f t="shared" si="97"/>
        <v>43.848184818481847</v>
      </c>
      <c r="AI47" s="164">
        <f t="shared" si="97"/>
        <v>35.205757970071566</v>
      </c>
      <c r="AJ47" s="68">
        <f t="shared" si="97"/>
        <v>33.526755282890257</v>
      </c>
      <c r="AK47" s="69">
        <f t="shared" si="97"/>
        <v>32.294986719787516</v>
      </c>
      <c r="AL47" s="69">
        <f t="shared" si="97"/>
        <v>39.389783180026278</v>
      </c>
      <c r="AM47" s="164">
        <f t="shared" ref="AM47:AP47" si="98">AM12/(AM52*4)*365</f>
        <v>64.204545454545453</v>
      </c>
      <c r="AN47" s="68">
        <f t="shared" si="98"/>
        <v>43.245278776978417</v>
      </c>
      <c r="AO47" s="69">
        <f t="shared" si="98"/>
        <v>41.863107822410143</v>
      </c>
      <c r="AP47" s="69">
        <f t="shared" si="98"/>
        <v>42.760733090319967</v>
      </c>
      <c r="AQ47" s="164">
        <f t="shared" ref="AQ47:AT47" si="99">AQ12/(AQ52*4)*365</f>
        <v>38.631659836065573</v>
      </c>
      <c r="AR47" s="68">
        <f t="shared" si="99"/>
        <v>40.569312528267751</v>
      </c>
      <c r="AS47" s="69">
        <f t="shared" si="99"/>
        <v>37.917234332425068</v>
      </c>
      <c r="AT47" s="69">
        <f t="shared" si="99"/>
        <v>34.978529534981149</v>
      </c>
      <c r="AU47" s="164">
        <f t="shared" ref="AU47" si="100">AU12/(AU52*4)*365</f>
        <v>32.658285830618894</v>
      </c>
      <c r="AV47" s="1410">
        <v>33</v>
      </c>
      <c r="AW47" s="1411">
        <f t="shared" ref="AW47" si="101">AV47</f>
        <v>33</v>
      </c>
      <c r="AX47" s="1411">
        <f t="shared" ref="AX47" si="102">AW47</f>
        <v>33</v>
      </c>
      <c r="AY47" s="1412">
        <f t="shared" ref="AY47" si="103">AX47</f>
        <v>33</v>
      </c>
      <c r="AZ47" s="896"/>
      <c r="BA47" s="156">
        <f t="shared" ref="BA47:BH47" si="104">BA12/BA52*365</f>
        <v>44.116437272583454</v>
      </c>
      <c r="BB47" s="156">
        <f t="shared" si="104"/>
        <v>34.669300018372219</v>
      </c>
      <c r="BC47" s="156">
        <f t="shared" si="104"/>
        <v>46.467746518897421</v>
      </c>
      <c r="BD47" s="156">
        <f t="shared" si="104"/>
        <v>36.317582916855976</v>
      </c>
      <c r="BE47" s="156">
        <f t="shared" si="104"/>
        <v>41.686933714830708</v>
      </c>
      <c r="BF47" s="69">
        <f t="shared" si="104"/>
        <v>42.714547957778798</v>
      </c>
      <c r="BG47" s="69">
        <f t="shared" si="104"/>
        <v>41.086188992731046</v>
      </c>
      <c r="BH47" s="69">
        <f t="shared" si="104"/>
        <v>38.329201345847352</v>
      </c>
      <c r="BI47" s="69">
        <f>BI12/BI52*365</f>
        <v>67.603671529257497</v>
      </c>
      <c r="BJ47" s="69">
        <f>BJ12/BJ52*365</f>
        <v>39.697304695725414</v>
      </c>
      <c r="BK47" s="69">
        <f>BK12/BK52*365</f>
        <v>34.662381158167676</v>
      </c>
      <c r="BL47" s="69">
        <f>BL12/BL52*365</f>
        <v>34.015937289525638</v>
      </c>
      <c r="BM47" s="69">
        <v>36</v>
      </c>
      <c r="BN47" s="69">
        <v>36</v>
      </c>
      <c r="BO47" s="22"/>
      <c r="BV47" s="8"/>
    </row>
    <row r="48" spans="1:74" ht="14.25" customHeight="1">
      <c r="A48" s="8"/>
      <c r="B48" s="23" t="s">
        <v>158</v>
      </c>
      <c r="C48" s="24"/>
      <c r="D48" s="68">
        <f t="shared" ref="D48:AH48" si="105">365/D49</f>
        <v>4.7624623619939781</v>
      </c>
      <c r="E48" s="69">
        <f t="shared" si="105"/>
        <v>5.7355205181292135</v>
      </c>
      <c r="F48" s="68">
        <f t="shared" si="105"/>
        <v>4.7544446400281641</v>
      </c>
      <c r="G48" s="70">
        <f t="shared" si="105"/>
        <v>4.3626832457730167</v>
      </c>
      <c r="H48" s="68">
        <f t="shared" si="105"/>
        <v>3.7175961670668118</v>
      </c>
      <c r="I48" s="69">
        <f t="shared" si="105"/>
        <v>4.0427907078055743</v>
      </c>
      <c r="J48" s="69">
        <f t="shared" si="105"/>
        <v>7.7303697674068053</v>
      </c>
      <c r="K48" s="70">
        <f t="shared" si="105"/>
        <v>5.3479853479853476</v>
      </c>
      <c r="L48" s="68">
        <f t="shared" si="105"/>
        <v>4.1461109812173644</v>
      </c>
      <c r="M48" s="69">
        <f t="shared" si="105"/>
        <v>4.4969620822863146</v>
      </c>
      <c r="N48" s="69">
        <f t="shared" si="105"/>
        <v>4.7547945988153959</v>
      </c>
      <c r="O48" s="70">
        <f t="shared" si="105"/>
        <v>5.3556692349795796</v>
      </c>
      <c r="P48" s="68">
        <f t="shared" si="105"/>
        <v>5.933467404055639</v>
      </c>
      <c r="Q48" s="69">
        <f t="shared" si="105"/>
        <v>5.9853561073073278</v>
      </c>
      <c r="R48" s="69">
        <f t="shared" si="105"/>
        <v>5.3149730927508703</v>
      </c>
      <c r="S48" s="70">
        <f t="shared" si="105"/>
        <v>4.558297453034295</v>
      </c>
      <c r="T48" s="68">
        <f t="shared" ref="T48:AY48" si="106">365/T49</f>
        <v>4.3022898888820684</v>
      </c>
      <c r="U48" s="69">
        <f t="shared" si="105"/>
        <v>4.2006504878658992</v>
      </c>
      <c r="V48" s="69">
        <f t="shared" si="105"/>
        <v>3.7611241217798592</v>
      </c>
      <c r="W48" s="70">
        <f t="shared" si="105"/>
        <v>3.5177282264660903</v>
      </c>
      <c r="X48" s="68">
        <f t="shared" si="106"/>
        <v>3.5898027658932348</v>
      </c>
      <c r="Y48" s="69">
        <f t="shared" si="105"/>
        <v>3.4629035560712582</v>
      </c>
      <c r="Z48" s="69">
        <f t="shared" si="105"/>
        <v>3.7898167406364123</v>
      </c>
      <c r="AA48" s="70">
        <f t="shared" si="105"/>
        <v>3.5117190501805884</v>
      </c>
      <c r="AB48" s="68">
        <f t="shared" si="106"/>
        <v>3.3076923076923075</v>
      </c>
      <c r="AC48" s="69">
        <f t="shared" si="105"/>
        <v>3.5298865554930248</v>
      </c>
      <c r="AD48" s="69">
        <f t="shared" si="105"/>
        <v>3.6120179555192817</v>
      </c>
      <c r="AE48" s="70">
        <f t="shared" si="105"/>
        <v>3.8158598158598163</v>
      </c>
      <c r="AF48" s="68">
        <f t="shared" si="106"/>
        <v>3.5827888327888324</v>
      </c>
      <c r="AG48" s="69">
        <f t="shared" si="105"/>
        <v>3.7973544431600352</v>
      </c>
      <c r="AH48" s="69">
        <f t="shared" si="105"/>
        <v>4.3005523887876835</v>
      </c>
      <c r="AI48" s="70">
        <f t="shared" si="106"/>
        <v>4.4253693326541015</v>
      </c>
      <c r="AJ48" s="68">
        <f t="shared" si="106"/>
        <v>3.9382508683026822</v>
      </c>
      <c r="AK48" s="69">
        <f t="shared" si="106"/>
        <v>4.1489330775045064</v>
      </c>
      <c r="AL48" s="69">
        <f t="shared" si="106"/>
        <v>4.176555801056467</v>
      </c>
      <c r="AM48" s="70">
        <f t="shared" si="106"/>
        <v>2.1068899168952391</v>
      </c>
      <c r="AN48" s="68">
        <f t="shared" si="106"/>
        <v>3.1132125450307266</v>
      </c>
      <c r="AO48" s="69">
        <f t="shared" si="106"/>
        <v>5.6641901371978483</v>
      </c>
      <c r="AP48" s="69">
        <f t="shared" si="106"/>
        <v>4.5171962130770194</v>
      </c>
      <c r="AQ48" s="70">
        <f t="shared" si="106"/>
        <v>4.508308403187109</v>
      </c>
      <c r="AR48" s="68">
        <f t="shared" si="106"/>
        <v>3.7725735802658877</v>
      </c>
      <c r="AS48" s="69">
        <f t="shared" si="106"/>
        <v>3.5887796414112203</v>
      </c>
      <c r="AT48" s="69">
        <f t="shared" si="106"/>
        <v>3.901144498654872</v>
      </c>
      <c r="AU48" s="70">
        <f t="shared" si="106"/>
        <v>3.9395960027027992</v>
      </c>
      <c r="AV48" s="68">
        <f t="shared" si="106"/>
        <v>4.0555555555555554</v>
      </c>
      <c r="AW48" s="69">
        <f t="shared" si="106"/>
        <v>4.0555555555555554</v>
      </c>
      <c r="AX48" s="69">
        <f t="shared" si="106"/>
        <v>4.0555555555555554</v>
      </c>
      <c r="AY48" s="70">
        <f t="shared" si="106"/>
        <v>4.0555555555555554</v>
      </c>
      <c r="AZ48" s="896"/>
      <c r="BA48" s="69">
        <f>365/BA49</f>
        <v>4.463465553235908</v>
      </c>
      <c r="BB48" s="69">
        <f>365/BB49</f>
        <v>6.7063492063492065</v>
      </c>
      <c r="BC48" s="69">
        <f t="shared" ref="BC48:BL48" si="107">365/BC49</f>
        <v>5.021072796934865</v>
      </c>
      <c r="BD48" s="69">
        <f t="shared" si="107"/>
        <v>5.0272904483430798</v>
      </c>
      <c r="BE48" s="69">
        <f t="shared" si="107"/>
        <v>3.7022653721682852</v>
      </c>
      <c r="BF48" s="69">
        <f t="shared" si="107"/>
        <v>3.3146853146853146</v>
      </c>
      <c r="BG48" s="69">
        <f t="shared" si="107"/>
        <v>3.5648648648648651</v>
      </c>
      <c r="BH48" s="69">
        <f t="shared" si="107"/>
        <v>3.9827814569536422</v>
      </c>
      <c r="BI48" s="69">
        <f t="shared" si="107"/>
        <v>1.7637040979244281</v>
      </c>
      <c r="BJ48" s="69">
        <f t="shared" si="107"/>
        <v>5.0899802336028754</v>
      </c>
      <c r="BK48" s="69">
        <f t="shared" si="107"/>
        <v>3.5477281553398061</v>
      </c>
      <c r="BL48" s="69">
        <f t="shared" si="107"/>
        <v>3.9200858064000497</v>
      </c>
      <c r="BM48" s="69">
        <f>365/BM49</f>
        <v>4.2941176470588234</v>
      </c>
      <c r="BN48" s="69">
        <f>365/BN49</f>
        <v>4.2941176470588234</v>
      </c>
      <c r="BO48" s="22"/>
      <c r="BV48" s="8"/>
    </row>
    <row r="49" spans="1:74" ht="14.25" customHeight="1">
      <c r="A49" s="8"/>
      <c r="B49" s="23" t="s">
        <v>159</v>
      </c>
      <c r="C49" s="24"/>
      <c r="D49" s="68">
        <f t="shared" ref="D49:Z49" si="108">(D15/D53)*91</f>
        <v>76.641025641025635</v>
      </c>
      <c r="E49" s="69">
        <f t="shared" si="108"/>
        <v>63.638513513513516</v>
      </c>
      <c r="F49" s="68">
        <f t="shared" si="108"/>
        <v>76.770270270270274</v>
      </c>
      <c r="G49" s="70">
        <f t="shared" si="108"/>
        <v>83.664107485604603</v>
      </c>
      <c r="H49" s="68">
        <f t="shared" si="108"/>
        <v>98.181723779854622</v>
      </c>
      <c r="I49" s="69">
        <f t="shared" si="108"/>
        <v>90.284169124877081</v>
      </c>
      <c r="J49" s="69">
        <f t="shared" si="108"/>
        <v>47.216370106761559</v>
      </c>
      <c r="K49" s="70">
        <f t="shared" si="108"/>
        <v>68.25</v>
      </c>
      <c r="L49" s="68">
        <f t="shared" si="108"/>
        <v>88.034305317324183</v>
      </c>
      <c r="M49" s="69">
        <f t="shared" si="108"/>
        <v>81.165905631659058</v>
      </c>
      <c r="N49" s="69">
        <f t="shared" si="108"/>
        <v>76.764619883040936</v>
      </c>
      <c r="O49" s="70">
        <f t="shared" si="108"/>
        <v>68.152080344332859</v>
      </c>
      <c r="P49" s="68">
        <f t="shared" si="108"/>
        <v>61.515463917525778</v>
      </c>
      <c r="Q49" s="69">
        <f t="shared" si="108"/>
        <v>60.982169390787512</v>
      </c>
      <c r="R49" s="69">
        <f t="shared" si="108"/>
        <v>68.673913043478265</v>
      </c>
      <c r="S49" s="70">
        <f t="shared" si="108"/>
        <v>80.073756432246995</v>
      </c>
      <c r="T49" s="68">
        <f t="shared" si="108"/>
        <v>84.838541666666657</v>
      </c>
      <c r="U49" s="69">
        <f t="shared" si="108"/>
        <v>86.891304347826093</v>
      </c>
      <c r="V49" s="69">
        <f t="shared" si="108"/>
        <v>97.045454545454547</v>
      </c>
      <c r="W49" s="70">
        <f t="shared" si="108"/>
        <v>103.76014760147602</v>
      </c>
      <c r="X49" s="68">
        <f t="shared" si="108"/>
        <v>101.67689530685919</v>
      </c>
      <c r="Y49" s="69">
        <f t="shared" si="108"/>
        <v>105.40287769784172</v>
      </c>
      <c r="Z49" s="69">
        <f t="shared" si="108"/>
        <v>96.310725552050485</v>
      </c>
      <c r="AA49" s="70">
        <f t="shared" ref="AA49:AF49" si="109">(AA15/AA53)*91</f>
        <v>103.93769968051119</v>
      </c>
      <c r="AB49" s="68">
        <f t="shared" si="109"/>
        <v>110.34883720930233</v>
      </c>
      <c r="AC49" s="69">
        <f t="shared" si="109"/>
        <v>103.40275650842266</v>
      </c>
      <c r="AD49" s="69">
        <f t="shared" si="109"/>
        <v>101.05154639175258</v>
      </c>
      <c r="AE49" s="70">
        <f t="shared" si="109"/>
        <v>95.653409090909079</v>
      </c>
      <c r="AF49" s="68">
        <f t="shared" si="109"/>
        <v>101.87594553706506</v>
      </c>
      <c r="AG49" s="69">
        <f t="shared" ref="AG49:AL49" si="110">(AG15/AG53)*91</f>
        <v>96.119549929676523</v>
      </c>
      <c r="AH49" s="69">
        <f t="shared" si="110"/>
        <v>84.872817955112211</v>
      </c>
      <c r="AI49" s="70">
        <f t="shared" si="110"/>
        <v>82.47899159663865</v>
      </c>
      <c r="AJ49" s="68">
        <f t="shared" si="110"/>
        <v>92.680738786279676</v>
      </c>
      <c r="AK49" s="69">
        <f t="shared" si="110"/>
        <v>87.974424552429667</v>
      </c>
      <c r="AL49" s="69">
        <f t="shared" si="110"/>
        <v>87.392583120204606</v>
      </c>
      <c r="AM49" s="70">
        <f t="shared" ref="AM49:AP49" si="111">(AM15/AM53)*91</f>
        <v>173.24113475177305</v>
      </c>
      <c r="AN49" s="68">
        <f t="shared" si="111"/>
        <v>117.24223602484473</v>
      </c>
      <c r="AO49" s="69">
        <f t="shared" si="111"/>
        <v>64.439927184466029</v>
      </c>
      <c r="AP49" s="69">
        <f t="shared" si="111"/>
        <v>80.802334630350188</v>
      </c>
      <c r="AQ49" s="70">
        <f t="shared" ref="AQ49:AT49" si="112">(AQ15/AQ53)*91</f>
        <v>80.961630695443645</v>
      </c>
      <c r="AR49" s="68">
        <f t="shared" si="112"/>
        <v>96.750929368029745</v>
      </c>
      <c r="AS49" s="69">
        <f t="shared" si="112"/>
        <v>101.70588235294117</v>
      </c>
      <c r="AT49" s="69">
        <f t="shared" si="112"/>
        <v>93.562286689419793</v>
      </c>
      <c r="AU49" s="70">
        <f t="shared" ref="AU49" si="113">(AU15/AU53)*91</f>
        <v>92.649093904448094</v>
      </c>
      <c r="AV49" s="1400">
        <v>90</v>
      </c>
      <c r="AW49" s="1398">
        <f t="shared" ref="AW49:AY49" si="114">AV49</f>
        <v>90</v>
      </c>
      <c r="AX49" s="1398">
        <f t="shared" si="114"/>
        <v>90</v>
      </c>
      <c r="AY49" s="1399">
        <f t="shared" si="114"/>
        <v>90</v>
      </c>
      <c r="AZ49" s="896"/>
      <c r="BA49" s="69">
        <f t="shared" ref="BA49:BH49" si="115">(BA15/BA53)*365</f>
        <v>81.775023386342383</v>
      </c>
      <c r="BB49" s="69">
        <f t="shared" si="115"/>
        <v>54.426035502958577</v>
      </c>
      <c r="BC49" s="69">
        <f t="shared" si="115"/>
        <v>72.693628386112181</v>
      </c>
      <c r="BD49" s="69">
        <f t="shared" si="115"/>
        <v>72.603722373012801</v>
      </c>
      <c r="BE49" s="69">
        <f t="shared" si="115"/>
        <v>98.588286713286706</v>
      </c>
      <c r="BF49" s="69">
        <f t="shared" si="115"/>
        <v>110.11603375527426</v>
      </c>
      <c r="BG49" s="69">
        <f t="shared" si="115"/>
        <v>102.38817285822593</v>
      </c>
      <c r="BH49" s="69">
        <f t="shared" si="115"/>
        <v>91.644496175590291</v>
      </c>
      <c r="BI49" s="69">
        <f>(BI15/BI53)*365</f>
        <v>206.95081472540735</v>
      </c>
      <c r="BJ49" s="69">
        <f>(BJ15/BJ53)*365</f>
        <v>71.709512266934595</v>
      </c>
      <c r="BK49" s="69">
        <f>(BK15/BK53)*365</f>
        <v>102.88274186133064</v>
      </c>
      <c r="BL49" s="69">
        <f>(BL15/BL53)*365</f>
        <v>93.110206772538007</v>
      </c>
      <c r="BM49" s="69">
        <v>85</v>
      </c>
      <c r="BN49" s="69">
        <v>85</v>
      </c>
      <c r="BO49" s="22"/>
      <c r="BV49" s="8"/>
    </row>
    <row r="50" spans="1:74" ht="14.25" customHeight="1">
      <c r="A50" s="8"/>
      <c r="B50" s="23" t="s">
        <v>160</v>
      </c>
      <c r="C50" s="24"/>
      <c r="D50" s="68">
        <f t="shared" ref="D50:Z50" si="116">(D27/D53)*91</f>
        <v>54.743589743589737</v>
      </c>
      <c r="E50" s="69">
        <f t="shared" si="116"/>
        <v>61.332770270270274</v>
      </c>
      <c r="F50" s="68">
        <f t="shared" si="116"/>
        <v>77.209459459459467</v>
      </c>
      <c r="G50" s="70">
        <f t="shared" si="116"/>
        <v>87.4193857965451</v>
      </c>
      <c r="H50" s="68">
        <f t="shared" si="116"/>
        <v>82.589823468328134</v>
      </c>
      <c r="I50" s="69">
        <f t="shared" si="116"/>
        <v>76.593903638151417</v>
      </c>
      <c r="J50" s="69">
        <f t="shared" si="116"/>
        <v>47.864056939501786</v>
      </c>
      <c r="K50" s="70">
        <f t="shared" si="116"/>
        <v>67.058333333333337</v>
      </c>
      <c r="L50" s="68">
        <f t="shared" si="116"/>
        <v>63.996569468267587</v>
      </c>
      <c r="M50" s="69">
        <f t="shared" si="116"/>
        <v>63.298325722983257</v>
      </c>
      <c r="N50" s="69">
        <f t="shared" si="116"/>
        <v>64.258771929824562</v>
      </c>
      <c r="O50" s="70">
        <f t="shared" si="116"/>
        <v>72.59110473457676</v>
      </c>
      <c r="P50" s="68">
        <f t="shared" si="116"/>
        <v>72.237113402061851</v>
      </c>
      <c r="Q50" s="69">
        <f t="shared" si="116"/>
        <v>79.912332838038637</v>
      </c>
      <c r="R50" s="69">
        <f t="shared" si="116"/>
        <v>83.228260869565219</v>
      </c>
      <c r="S50" s="70">
        <f t="shared" si="116"/>
        <v>92.560891938250435</v>
      </c>
      <c r="T50" s="68">
        <f t="shared" si="116"/>
        <v>85.154513888888886</v>
      </c>
      <c r="U50" s="69">
        <f t="shared" si="116"/>
        <v>85.369565217391312</v>
      </c>
      <c r="V50" s="69">
        <f t="shared" si="116"/>
        <v>84.63636363636364</v>
      </c>
      <c r="W50" s="70">
        <f t="shared" si="116"/>
        <v>76.392988929889299</v>
      </c>
      <c r="X50" s="68">
        <f t="shared" si="116"/>
        <v>75.888086642599276</v>
      </c>
      <c r="Y50" s="69">
        <f t="shared" si="116"/>
        <v>85.762589928057551</v>
      </c>
      <c r="Z50" s="69">
        <f t="shared" si="116"/>
        <v>78.799684542586746</v>
      </c>
      <c r="AA50" s="70">
        <f t="shared" ref="AA50:AF50" si="117">(AA27/AA53)*91</f>
        <v>81.696485623003198</v>
      </c>
      <c r="AB50" s="68">
        <f t="shared" si="117"/>
        <v>77.54651162790698</v>
      </c>
      <c r="AC50" s="69">
        <f t="shared" si="117"/>
        <v>72.604900459418076</v>
      </c>
      <c r="AD50" s="69">
        <f t="shared" si="117"/>
        <v>73.041237113402062</v>
      </c>
      <c r="AE50" s="70">
        <f t="shared" si="117"/>
        <v>70.318181818181813</v>
      </c>
      <c r="AF50" s="68">
        <f t="shared" si="117"/>
        <v>76.819969742813925</v>
      </c>
      <c r="AG50" s="69">
        <f t="shared" ref="AG50:AL50" si="118">(AG27/AG53)*91</f>
        <v>80.248945147679322</v>
      </c>
      <c r="AH50" s="69">
        <f t="shared" si="118"/>
        <v>76.022443890274317</v>
      </c>
      <c r="AI50" s="70">
        <f t="shared" si="118"/>
        <v>79.638655462184872</v>
      </c>
      <c r="AJ50" s="68">
        <f t="shared" si="118"/>
        <v>90.639841688654357</v>
      </c>
      <c r="AK50" s="69">
        <f t="shared" si="118"/>
        <v>85.996163682864449</v>
      </c>
      <c r="AL50" s="69">
        <f t="shared" si="118"/>
        <v>85.647058823529406</v>
      </c>
      <c r="AM50" s="70">
        <f t="shared" ref="AM50:AP50" si="119">(AM27/AM53)*91</f>
        <v>93.489361702127667</v>
      </c>
      <c r="AN50" s="68">
        <f t="shared" si="119"/>
        <v>76.546583850931668</v>
      </c>
      <c r="AO50" s="69">
        <f t="shared" si="119"/>
        <v>48.20570388349514</v>
      </c>
      <c r="AP50" s="69">
        <f t="shared" si="119"/>
        <v>62.956420233463035</v>
      </c>
      <c r="AQ50" s="70">
        <f t="shared" ref="AQ50:AT50" si="120">(AQ27/AQ53)*91</f>
        <v>80.161470823341332</v>
      </c>
      <c r="AR50" s="68">
        <f t="shared" si="120"/>
        <v>90.492565055762086</v>
      </c>
      <c r="AS50" s="69">
        <f t="shared" si="120"/>
        <v>99.720113851992423</v>
      </c>
      <c r="AT50" s="69">
        <f t="shared" si="120"/>
        <v>87.816552901023883</v>
      </c>
      <c r="AU50" s="70">
        <f t="shared" ref="AU50" si="121">(AU27/AU53)*91</f>
        <v>91.449752883031294</v>
      </c>
      <c r="AV50" s="1400">
        <v>90</v>
      </c>
      <c r="AW50" s="1398">
        <f t="shared" ref="AW50" si="122">AV50</f>
        <v>90</v>
      </c>
      <c r="AX50" s="1398">
        <f t="shared" ref="AX50" si="123">AW50</f>
        <v>90</v>
      </c>
      <c r="AY50" s="1399">
        <f t="shared" ref="AY50" si="124">AX50</f>
        <v>90</v>
      </c>
      <c r="AZ50" s="896"/>
      <c r="BA50" s="69">
        <f t="shared" ref="BA50:BH50" si="125">(BA27/BA53)*365</f>
        <v>85.445509822263801</v>
      </c>
      <c r="BB50" s="69">
        <f t="shared" si="125"/>
        <v>53.47573964497041</v>
      </c>
      <c r="BC50" s="69">
        <f t="shared" si="125"/>
        <v>77.428462418924084</v>
      </c>
      <c r="BD50" s="69">
        <f t="shared" si="125"/>
        <v>83.925940286932928</v>
      </c>
      <c r="BE50" s="69">
        <f t="shared" si="125"/>
        <v>72.585227272727266</v>
      </c>
      <c r="BF50" s="69">
        <f t="shared" si="125"/>
        <v>86.552742616033754</v>
      </c>
      <c r="BG50" s="69">
        <f t="shared" si="125"/>
        <v>75.269143290371488</v>
      </c>
      <c r="BH50" s="69">
        <f t="shared" si="125"/>
        <v>88.488526770867978</v>
      </c>
      <c r="BI50" s="69">
        <f>(BI27/BI53)*365</f>
        <v>111.68074834037418</v>
      </c>
      <c r="BJ50" s="69">
        <f>(BJ27/BJ53)*365</f>
        <v>71.000792918384477</v>
      </c>
      <c r="BK50" s="69">
        <f>(BK27/BK53)*365</f>
        <v>101.55092643270501</v>
      </c>
      <c r="BL50" s="69">
        <f>(BL27/BL53)*365</f>
        <v>93.110206772538007</v>
      </c>
      <c r="BM50" s="69">
        <v>93</v>
      </c>
      <c r="BN50" s="69">
        <v>93</v>
      </c>
      <c r="BO50" s="22"/>
      <c r="BV50" s="8"/>
    </row>
    <row r="51" spans="1:74" ht="14.25" customHeight="1">
      <c r="A51" s="8"/>
      <c r="B51" s="23"/>
      <c r="C51" s="24"/>
      <c r="D51" s="113"/>
      <c r="E51" s="111"/>
      <c r="F51" s="113"/>
      <c r="G51" s="112"/>
      <c r="H51" s="113"/>
      <c r="I51" s="111"/>
      <c r="J51" s="111"/>
      <c r="K51" s="112"/>
      <c r="L51" s="113"/>
      <c r="M51" s="111"/>
      <c r="N51" s="111"/>
      <c r="O51" s="112"/>
      <c r="P51" s="113"/>
      <c r="Q51" s="111"/>
      <c r="R51" s="111"/>
      <c r="S51" s="111"/>
      <c r="T51" s="113"/>
      <c r="U51" s="111"/>
      <c r="V51" s="111"/>
      <c r="W51" s="112"/>
      <c r="X51" s="113"/>
      <c r="Y51" s="111"/>
      <c r="Z51" s="111"/>
      <c r="AA51" s="112"/>
      <c r="AB51" s="113"/>
      <c r="AC51" s="111"/>
      <c r="AD51" s="111"/>
      <c r="AE51" s="112"/>
      <c r="AF51" s="113"/>
      <c r="AG51" s="111"/>
      <c r="AH51" s="111"/>
      <c r="AI51" s="112"/>
      <c r="AJ51" s="113"/>
      <c r="AK51" s="111"/>
      <c r="AL51" s="111"/>
      <c r="AM51" s="112"/>
      <c r="AN51" s="113"/>
      <c r="AO51" s="111"/>
      <c r="AP51" s="111"/>
      <c r="AQ51" s="112"/>
      <c r="AR51" s="113"/>
      <c r="AS51" s="111"/>
      <c r="AT51" s="111"/>
      <c r="AU51" s="112"/>
      <c r="AV51" s="113"/>
      <c r="AW51" s="111"/>
      <c r="AX51" s="111"/>
      <c r="AY51" s="112"/>
      <c r="AZ51" s="246"/>
      <c r="BA51" s="111"/>
      <c r="BB51" s="111"/>
      <c r="BC51" s="111"/>
      <c r="BD51" s="111"/>
      <c r="BE51" s="111"/>
      <c r="BF51" s="111"/>
      <c r="BG51" s="111"/>
      <c r="BH51" s="111"/>
      <c r="BI51" s="111"/>
      <c r="BJ51" s="111"/>
      <c r="BK51" s="111"/>
      <c r="BL51" s="111"/>
      <c r="BM51" s="111"/>
      <c r="BN51" s="111"/>
      <c r="BO51" s="22"/>
      <c r="BV51" s="8"/>
    </row>
    <row r="52" spans="1:74" ht="14.25" customHeight="1">
      <c r="A52" s="8"/>
      <c r="B52" s="23" t="s">
        <v>161</v>
      </c>
      <c r="C52" s="24"/>
      <c r="D52" s="1406">
        <f>'IS Inc FSL'!D8</f>
        <v>1461</v>
      </c>
      <c r="E52" s="1404">
        <f>'IS Inc FSL'!E8</f>
        <v>1538</v>
      </c>
      <c r="F52" s="1406">
        <f>'IS Inc FSL'!F8</f>
        <v>1644</v>
      </c>
      <c r="G52" s="1405">
        <f>'IS Inc FSL'!G8</f>
        <v>1678</v>
      </c>
      <c r="H52" s="1406">
        <f>'IS Inc FSL'!H8</f>
        <v>1519</v>
      </c>
      <c r="I52" s="1404">
        <f>'IS Inc FSL'!I8</f>
        <v>1524</v>
      </c>
      <c r="J52" s="1404">
        <f>'IS Inc FSL'!J8</f>
        <v>1374</v>
      </c>
      <c r="K52" s="1405">
        <f>'IS Inc FSL'!K8</f>
        <v>1026</v>
      </c>
      <c r="L52" s="1406">
        <f>'IS Inc FSL'!L8</f>
        <v>645</v>
      </c>
      <c r="M52" s="1404">
        <f>'IS Inc FSL'!M8</f>
        <v>823</v>
      </c>
      <c r="N52" s="1404">
        <f>'IS Inc FSL'!N8</f>
        <v>984</v>
      </c>
      <c r="O52" s="1405">
        <f>'IS Inc FSL'!O8</f>
        <v>1067</v>
      </c>
      <c r="P52" s="1406">
        <f>'IS Inc FSL'!P8</f>
        <v>1085</v>
      </c>
      <c r="Q52" s="1404">
        <f>'IS Inc FSL'!Q8</f>
        <v>1119</v>
      </c>
      <c r="R52" s="1404">
        <f>'IS Inc FSL'!R8</f>
        <v>1120</v>
      </c>
      <c r="S52" s="1405">
        <f>'IS Inc FSL'!S8</f>
        <v>1078</v>
      </c>
      <c r="T52" s="1406">
        <f>'IS Inc FSL'!T8</f>
        <v>1082</v>
      </c>
      <c r="U52" s="1404">
        <f>'IS Inc FSL'!U8</f>
        <v>1121</v>
      </c>
      <c r="V52" s="1404">
        <f>'IS Inc FSL'!V8</f>
        <v>1060</v>
      </c>
      <c r="W52" s="1405">
        <f>'IS Inc FSL'!W8</f>
        <v>931</v>
      </c>
      <c r="X52" s="1406">
        <f>'IS Inc FSL'!X8</f>
        <v>978</v>
      </c>
      <c r="Y52" s="1404">
        <f>'IS Inc FSL'!Y8</f>
        <v>1094</v>
      </c>
      <c r="Z52" s="1404">
        <f>'IS Inc FSL'!Z8</f>
        <v>1170</v>
      </c>
      <c r="AA52" s="1405">
        <f>'IS Inc FSL'!AA8</f>
        <v>1116</v>
      </c>
      <c r="AB52" s="1406">
        <f>'IS Inc FSL'!AB8</f>
        <v>1085</v>
      </c>
      <c r="AC52" s="1404">
        <f>'IS Inc FSL'!AC8</f>
        <v>1188</v>
      </c>
      <c r="AD52" s="1404">
        <f>'IS Inc FSL'!AD8</f>
        <v>1249</v>
      </c>
      <c r="AE52" s="1405">
        <f>'IS Inc FSL'!AE8</f>
        <v>1293</v>
      </c>
      <c r="AF52" s="1406">
        <f>'IS Inc FSL'!AF8</f>
        <v>1246</v>
      </c>
      <c r="AG52" s="1404">
        <f>'IS Inc FSL'!AG8</f>
        <v>1349</v>
      </c>
      <c r="AH52" s="1404">
        <f>'IS Inc FSL'!AH8</f>
        <v>1515</v>
      </c>
      <c r="AI52" s="1405">
        <f>'IS Inc FSL'!AI8</f>
        <v>1537</v>
      </c>
      <c r="AJ52" s="1406">
        <f>'IS Inc FSL'!AJ8</f>
        <v>1467</v>
      </c>
      <c r="AK52" s="1404">
        <f>'IS Inc FSL'!AK8</f>
        <v>1506</v>
      </c>
      <c r="AL52" s="1404">
        <f>'IS Inc FSL'!AL8</f>
        <v>1522</v>
      </c>
      <c r="AM52" s="1405">
        <f>'IS Inc FSL'!AM8</f>
        <v>1606</v>
      </c>
      <c r="AN52" s="1406">
        <f>'IS Inc FSL'!AN8</f>
        <v>2224</v>
      </c>
      <c r="AO52" s="1404">
        <f>'IS Inc FSL'!AO8</f>
        <v>2365</v>
      </c>
      <c r="AP52" s="1404">
        <f>'IS Inc FSL'!AP8</f>
        <v>2469</v>
      </c>
      <c r="AQ52" s="1405">
        <f>'IS Inc FSL'!AQ8</f>
        <v>2440</v>
      </c>
      <c r="AR52" s="1406">
        <f>'IS Inc FSL'!AR8</f>
        <v>2211</v>
      </c>
      <c r="AS52" s="1404">
        <f>'IS Inc FSL'!AS8</f>
        <v>2202</v>
      </c>
      <c r="AT52" s="1404">
        <f>'IS Inc FSL'!AT8</f>
        <v>2387</v>
      </c>
      <c r="AU52" s="1405">
        <f>'IS Inc FSL'!AU8</f>
        <v>2456</v>
      </c>
      <c r="AV52" s="1406">
        <f>'IS Inc FSL'!AV8</f>
        <v>2325.7800000000002</v>
      </c>
      <c r="AW52" s="1404">
        <f>'IS Inc FSL'!AW8</f>
        <v>2405.5272</v>
      </c>
      <c r="AX52" s="1404">
        <f>'IS Inc FSL'!AX8</f>
        <v>2503.7714639999999</v>
      </c>
      <c r="AY52" s="1405">
        <f>'IS Inc FSL'!AY8</f>
        <v>2465.5820715999998</v>
      </c>
      <c r="AZ52" s="246"/>
      <c r="BA52" s="161">
        <v>6321</v>
      </c>
      <c r="BB52" s="161">
        <v>5443</v>
      </c>
      <c r="BC52" s="161">
        <v>3519</v>
      </c>
      <c r="BD52" s="161">
        <v>4402</v>
      </c>
      <c r="BE52" s="161">
        <v>4194</v>
      </c>
      <c r="BF52" s="161">
        <v>4358</v>
      </c>
      <c r="BG52" s="1404">
        <v>4815</v>
      </c>
      <c r="BH52" s="1404">
        <v>5647</v>
      </c>
      <c r="BI52" s="1404">
        <v>6101</v>
      </c>
      <c r="BJ52" s="1404">
        <v>9498</v>
      </c>
      <c r="BK52" s="1404">
        <v>9256</v>
      </c>
      <c r="BL52" s="1404">
        <v>9700.6607356000004</v>
      </c>
      <c r="BM52" s="1404">
        <v>10185.69377238</v>
      </c>
      <c r="BN52" s="1404">
        <v>10694.978460999</v>
      </c>
      <c r="BO52" s="22"/>
      <c r="BV52" s="8"/>
    </row>
    <row r="53" spans="1:74" ht="14.25" customHeight="1">
      <c r="A53" s="8"/>
      <c r="B53" s="55" t="s">
        <v>162</v>
      </c>
      <c r="C53" s="56"/>
      <c r="D53" s="1407">
        <v>1014</v>
      </c>
      <c r="E53" s="1408">
        <v>1184</v>
      </c>
      <c r="F53" s="1407">
        <v>1036</v>
      </c>
      <c r="G53" s="1409">
        <v>1042</v>
      </c>
      <c r="H53" s="1407">
        <v>963</v>
      </c>
      <c r="I53" s="1408">
        <v>1017</v>
      </c>
      <c r="J53" s="1408">
        <v>1405</v>
      </c>
      <c r="K53" s="1409">
        <v>840</v>
      </c>
      <c r="L53" s="1407">
        <v>583</v>
      </c>
      <c r="M53" s="1408">
        <v>657</v>
      </c>
      <c r="N53" s="1408">
        <v>684</v>
      </c>
      <c r="O53" s="1409">
        <v>697</v>
      </c>
      <c r="P53" s="1407">
        <v>679</v>
      </c>
      <c r="Q53" s="1408">
        <v>673</v>
      </c>
      <c r="R53" s="1408">
        <v>644</v>
      </c>
      <c r="S53" s="1409">
        <v>583</v>
      </c>
      <c r="T53" s="1407">
        <v>576</v>
      </c>
      <c r="U53" s="1408">
        <v>598</v>
      </c>
      <c r="V53" s="1408">
        <v>572</v>
      </c>
      <c r="W53" s="1409">
        <v>542</v>
      </c>
      <c r="X53" s="1407">
        <v>554</v>
      </c>
      <c r="Y53" s="1408">
        <v>556</v>
      </c>
      <c r="Z53" s="1408">
        <v>634</v>
      </c>
      <c r="AA53" s="1409">
        <v>626</v>
      </c>
      <c r="AB53" s="1407">
        <v>602</v>
      </c>
      <c r="AC53" s="1408">
        <v>653</v>
      </c>
      <c r="AD53" s="1408">
        <v>679</v>
      </c>
      <c r="AE53" s="1409">
        <v>704</v>
      </c>
      <c r="AF53" s="1407">
        <v>661</v>
      </c>
      <c r="AG53" s="1408">
        <v>711</v>
      </c>
      <c r="AH53" s="1408">
        <v>802</v>
      </c>
      <c r="AI53" s="1409">
        <v>833</v>
      </c>
      <c r="AJ53" s="1407">
        <f>'IS Inc FSL'!AJ17</f>
        <v>758</v>
      </c>
      <c r="AK53" s="1408">
        <v>782</v>
      </c>
      <c r="AL53" s="1408">
        <f>'IS Inc FSL'!AL12</f>
        <v>782</v>
      </c>
      <c r="AM53" s="1409">
        <f>'IS Inc FSL'!AM12</f>
        <v>987</v>
      </c>
      <c r="AN53" s="1407">
        <f>'IS Inc FSL'!AN17</f>
        <v>1127</v>
      </c>
      <c r="AO53" s="1408">
        <v>1648</v>
      </c>
      <c r="AP53" s="1408">
        <f>'IS Inc FSL'!AP12</f>
        <v>1285</v>
      </c>
      <c r="AQ53" s="1409">
        <f>'IS Inc FSL'!AQ12</f>
        <v>1251</v>
      </c>
      <c r="AR53" s="1407">
        <f>'IS Inc FSL'!AR17</f>
        <v>1076</v>
      </c>
      <c r="AS53" s="1408">
        <v>1054</v>
      </c>
      <c r="AT53" s="1408">
        <f>'IS Inc FSL'!AT12</f>
        <v>1172</v>
      </c>
      <c r="AU53" s="1409">
        <f>'IS Inc FSL'!AU12</f>
        <v>1214</v>
      </c>
      <c r="AV53" s="1407">
        <f>'IS Inc FSL'!AV17</f>
        <v>1067.4400800000003</v>
      </c>
      <c r="AW53" s="1408">
        <f>'IS Inc FSL'!AW17</f>
        <v>1097.5988048000002</v>
      </c>
      <c r="AX53" s="1408">
        <f>'IS Inc FSL'!AX17</f>
        <v>1135.4292724480001</v>
      </c>
      <c r="AY53" s="1409">
        <f>'IS Inc FSL'!AY17</f>
        <v>1116.5658728595999</v>
      </c>
      <c r="AZ53" s="246"/>
      <c r="BA53" s="162">
        <v>4276</v>
      </c>
      <c r="BB53" s="162">
        <v>4225</v>
      </c>
      <c r="BC53" s="162">
        <v>2621</v>
      </c>
      <c r="BD53" s="162">
        <v>2579</v>
      </c>
      <c r="BE53" s="162">
        <v>2288</v>
      </c>
      <c r="BF53" s="162">
        <v>2370</v>
      </c>
      <c r="BG53" s="1408">
        <v>2638</v>
      </c>
      <c r="BH53" s="1408">
        <v>3007</v>
      </c>
      <c r="BI53" s="1408">
        <v>3314</v>
      </c>
      <c r="BJ53" s="1408">
        <v>5665.1480000000001</v>
      </c>
      <c r="BK53" s="1408">
        <v>4384.9920000000002</v>
      </c>
      <c r="BL53" s="1408">
        <v>4377.0340301076003</v>
      </c>
      <c r="BM53" s="1408">
        <v>4585.7000378406001</v>
      </c>
      <c r="BN53" s="1408">
        <v>4804.2900612716312</v>
      </c>
      <c r="BO53" s="22"/>
      <c r="BV53" s="8"/>
    </row>
    <row r="54" spans="1:74" ht="14.25" customHeight="1">
      <c r="A54" s="8"/>
      <c r="B54" s="58"/>
      <c r="C54" s="58"/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G54" s="58"/>
      <c r="AH54" s="58"/>
      <c r="AI54" s="58"/>
      <c r="AJ54" s="58"/>
      <c r="AK54" s="58"/>
      <c r="AL54" s="58"/>
      <c r="AM54" s="58"/>
      <c r="AN54" s="58"/>
      <c r="AO54" s="58"/>
      <c r="AP54" s="58"/>
      <c r="AQ54" s="58"/>
      <c r="AR54" s="58"/>
      <c r="AS54" s="58"/>
      <c r="AT54" s="58"/>
      <c r="AU54" s="58"/>
      <c r="AV54" s="58"/>
      <c r="AW54" s="58"/>
      <c r="AX54" s="58"/>
      <c r="AY54" s="58"/>
      <c r="AZ54" s="14"/>
      <c r="BA54" s="58"/>
      <c r="BB54" s="58"/>
      <c r="BC54" s="58"/>
      <c r="BD54" s="58"/>
      <c r="BE54" s="58"/>
      <c r="BF54" s="58"/>
      <c r="BG54" s="58"/>
      <c r="BH54" s="58"/>
      <c r="BI54" s="58"/>
      <c r="BJ54" s="58"/>
      <c r="BK54" s="58"/>
      <c r="BL54" s="58"/>
      <c r="BM54" s="58"/>
      <c r="BN54" s="58"/>
      <c r="BO54" s="8"/>
      <c r="BV54" s="8"/>
    </row>
    <row r="55" spans="1:74" ht="14.25" customHeight="1">
      <c r="A55" s="8"/>
      <c r="B55" s="61"/>
      <c r="C55" s="58"/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69"/>
      <c r="U55" s="58"/>
      <c r="V55" s="58"/>
      <c r="W55" s="58"/>
      <c r="X55" s="69"/>
      <c r="Y55" s="58"/>
      <c r="Z55" s="58"/>
      <c r="AA55" s="61"/>
      <c r="AB55" s="58"/>
      <c r="AC55" s="58"/>
      <c r="AD55" s="58"/>
      <c r="AE55" s="61"/>
      <c r="AF55" s="58"/>
      <c r="AG55" s="58"/>
      <c r="AH55" s="58"/>
      <c r="AI55" s="61"/>
      <c r="AJ55" s="58"/>
      <c r="AK55" s="58"/>
      <c r="AL55" s="58"/>
      <c r="AM55" s="61"/>
      <c r="AN55" s="58"/>
      <c r="AO55" s="58"/>
      <c r="AP55" s="58"/>
      <c r="AQ55" s="61"/>
      <c r="AR55" s="58"/>
      <c r="AS55" s="58"/>
      <c r="AT55" s="58"/>
      <c r="AU55" s="61"/>
      <c r="AV55" s="58"/>
      <c r="AW55" s="58"/>
      <c r="AX55" s="58"/>
      <c r="AY55" s="61"/>
      <c r="AZ55" s="14"/>
      <c r="BA55" s="58"/>
      <c r="BB55" s="58"/>
      <c r="BC55" s="58"/>
      <c r="BD55" s="58"/>
      <c r="BE55" s="58"/>
      <c r="BF55" s="58"/>
      <c r="BG55" s="58"/>
      <c r="BH55" s="58"/>
      <c r="BI55" s="58"/>
      <c r="BJ55" s="58"/>
      <c r="BK55" s="58"/>
      <c r="BL55" s="58"/>
      <c r="BM55" s="58"/>
      <c r="BN55" s="58"/>
      <c r="BO55" s="8"/>
      <c r="BV55" s="8"/>
    </row>
    <row r="56" spans="1:74" ht="14.25" customHeight="1">
      <c r="A56" s="8"/>
      <c r="B56" s="153" t="s">
        <v>163</v>
      </c>
      <c r="C56" s="154"/>
      <c r="D56" s="17" t="str">
        <f t="shared" ref="D56:S56" si="126">D46</f>
        <v>F1Q07A</v>
      </c>
      <c r="E56" s="18" t="str">
        <f t="shared" si="126"/>
        <v>F2Q07A</v>
      </c>
      <c r="F56" s="18" t="str">
        <f t="shared" si="126"/>
        <v>F3Q07A</v>
      </c>
      <c r="G56" s="19" t="str">
        <f t="shared" si="126"/>
        <v>F4Q07A</v>
      </c>
      <c r="H56" s="17" t="str">
        <f t="shared" si="126"/>
        <v>F1Q08A</v>
      </c>
      <c r="I56" s="18" t="str">
        <f t="shared" si="126"/>
        <v>F2Q08A</v>
      </c>
      <c r="J56" s="18" t="str">
        <f t="shared" si="126"/>
        <v>F3Q08A</v>
      </c>
      <c r="K56" s="19" t="str">
        <f t="shared" si="126"/>
        <v>F4Q08A</v>
      </c>
      <c r="L56" s="17" t="str">
        <f t="shared" si="126"/>
        <v>F1Q09A</v>
      </c>
      <c r="M56" s="18" t="str">
        <f t="shared" si="126"/>
        <v>F2Q09A</v>
      </c>
      <c r="N56" s="18" t="str">
        <f t="shared" si="126"/>
        <v>F3Q09A</v>
      </c>
      <c r="O56" s="19" t="str">
        <f t="shared" si="126"/>
        <v>F4Q09A</v>
      </c>
      <c r="P56" s="17" t="str">
        <f t="shared" si="126"/>
        <v>F1Q10A</v>
      </c>
      <c r="Q56" s="18" t="str">
        <f t="shared" si="126"/>
        <v>F2Q10A</v>
      </c>
      <c r="R56" s="18" t="str">
        <f t="shared" si="126"/>
        <v>F3Q10A</v>
      </c>
      <c r="S56" s="18" t="str">
        <f t="shared" si="126"/>
        <v>F4Q10A</v>
      </c>
      <c r="T56" s="17" t="str">
        <f t="shared" ref="T56:AI56" si="127">T46</f>
        <v>F1Q11A</v>
      </c>
      <c r="U56" s="18" t="str">
        <f t="shared" si="127"/>
        <v>F2Q11A</v>
      </c>
      <c r="V56" s="18" t="str">
        <f>V46</f>
        <v>F3Q11A</v>
      </c>
      <c r="W56" s="19" t="str">
        <f>W46</f>
        <v>F4Q11A</v>
      </c>
      <c r="X56" s="17" t="str">
        <f>X46</f>
        <v>F1Q12A</v>
      </c>
      <c r="Y56" s="18" t="str">
        <f>Y46</f>
        <v>F2Q12A</v>
      </c>
      <c r="Z56" s="18" t="str">
        <f t="shared" si="127"/>
        <v>F3Q12A</v>
      </c>
      <c r="AA56" s="19" t="str">
        <f t="shared" si="127"/>
        <v>F4Q12A</v>
      </c>
      <c r="AB56" s="17" t="str">
        <f t="shared" si="127"/>
        <v>F1Q13A</v>
      </c>
      <c r="AC56" s="18" t="str">
        <f t="shared" si="127"/>
        <v>F2Q13A</v>
      </c>
      <c r="AD56" s="18" t="str">
        <f t="shared" si="127"/>
        <v>F3Q13A</v>
      </c>
      <c r="AE56" s="19" t="str">
        <f t="shared" si="127"/>
        <v>F4Q13A</v>
      </c>
      <c r="AF56" s="17" t="str">
        <f t="shared" si="127"/>
        <v>F1Q14A</v>
      </c>
      <c r="AG56" s="18" t="str">
        <f t="shared" si="127"/>
        <v>F2Q14A</v>
      </c>
      <c r="AH56" s="18" t="str">
        <f t="shared" si="127"/>
        <v>F3Q14A</v>
      </c>
      <c r="AI56" s="19" t="str">
        <f t="shared" si="127"/>
        <v>F4Q14A</v>
      </c>
      <c r="AJ56" s="17" t="str">
        <f>AJ46</f>
        <v>F1Q15A</v>
      </c>
      <c r="AK56" s="18" t="str">
        <f>AK46</f>
        <v>F2Q15A</v>
      </c>
      <c r="AL56" s="18" t="str">
        <f t="shared" ref="AL56:AM56" si="128">AL46</f>
        <v>F3Q15A</v>
      </c>
      <c r="AM56" s="1489" t="str">
        <f t="shared" si="128"/>
        <v>F4Q15A</v>
      </c>
      <c r="AN56" s="1671" t="str">
        <f>AN46</f>
        <v>F1Q16A</v>
      </c>
      <c r="AO56" s="1710" t="str">
        <f>AO46</f>
        <v>F2Q16A</v>
      </c>
      <c r="AP56" s="1740" t="str">
        <f t="shared" ref="AP56:AQ56" si="129">AP46</f>
        <v>F3Q16A</v>
      </c>
      <c r="AQ56" s="1805" t="str">
        <f t="shared" si="129"/>
        <v>F4Q16A</v>
      </c>
      <c r="AR56" s="17" t="str">
        <f t="shared" ref="AR56:AU56" si="130">AR46</f>
        <v>F1Q17A</v>
      </c>
      <c r="AS56" s="18" t="str">
        <f t="shared" si="130"/>
        <v>F2Q17A</v>
      </c>
      <c r="AT56" s="18" t="str">
        <f t="shared" si="130"/>
        <v>F3Q17A</v>
      </c>
      <c r="AU56" s="19" t="str">
        <f t="shared" si="130"/>
        <v>F4Q17A</v>
      </c>
      <c r="AV56" s="1488" t="str">
        <f t="shared" ref="AV56:AY56" si="131">AV46</f>
        <v>F1Q18E</v>
      </c>
      <c r="AW56" s="1503" t="str">
        <f t="shared" si="131"/>
        <v>F2Q18E</v>
      </c>
      <c r="AX56" s="1503" t="str">
        <f t="shared" si="131"/>
        <v>F3Q18E</v>
      </c>
      <c r="AY56" s="1489" t="str">
        <f t="shared" si="131"/>
        <v>F4Q18E</v>
      </c>
      <c r="AZ56" s="20"/>
      <c r="BA56" s="155" t="str">
        <f>BA46</f>
        <v>FY2007A</v>
      </c>
      <c r="BB56" s="155" t="str">
        <f>BB46</f>
        <v>FY2008A</v>
      </c>
      <c r="BC56" s="155" t="str">
        <f t="shared" ref="BC56:BM56" si="132">BC46</f>
        <v>FY2009A</v>
      </c>
      <c r="BD56" s="155" t="str">
        <f t="shared" si="132"/>
        <v>FY2010A</v>
      </c>
      <c r="BE56" s="335" t="str">
        <f t="shared" si="132"/>
        <v>FY2011A</v>
      </c>
      <c r="BF56" s="18" t="str">
        <f t="shared" si="132"/>
        <v>FY2012A</v>
      </c>
      <c r="BG56" s="17" t="str">
        <f t="shared" si="132"/>
        <v>FY2013A</v>
      </c>
      <c r="BH56" s="18" t="str">
        <f t="shared" si="132"/>
        <v>FY2014A</v>
      </c>
      <c r="BI56" s="18" t="str">
        <f>BI46</f>
        <v>FY2015A</v>
      </c>
      <c r="BJ56" s="18" t="str">
        <f>BJ46</f>
        <v>FY2016A</v>
      </c>
      <c r="BK56" s="1804" t="str">
        <f>BK46</f>
        <v>FY2017A</v>
      </c>
      <c r="BL56" s="1804" t="str">
        <f>BL46</f>
        <v>FY2018E</v>
      </c>
      <c r="BM56" s="1804" t="str">
        <f t="shared" si="132"/>
        <v>FY2019E</v>
      </c>
      <c r="BN56" s="1804" t="str">
        <f t="shared" ref="BN56" si="133">BN46</f>
        <v>FY2020E</v>
      </c>
      <c r="BO56" s="22"/>
      <c r="BV56" s="8"/>
    </row>
    <row r="57" spans="1:74" ht="14.25" customHeight="1">
      <c r="A57" s="8"/>
      <c r="B57" s="322" t="s">
        <v>164</v>
      </c>
      <c r="C57" s="163"/>
      <c r="D57" s="64">
        <v>0</v>
      </c>
      <c r="E57" s="65">
        <v>0</v>
      </c>
      <c r="F57" s="65">
        <v>0</v>
      </c>
      <c r="G57" s="66">
        <v>0</v>
      </c>
      <c r="H57" s="64">
        <v>0</v>
      </c>
      <c r="I57" s="65">
        <v>0</v>
      </c>
      <c r="J57" s="65">
        <v>0</v>
      </c>
      <c r="K57" s="66">
        <v>0</v>
      </c>
      <c r="L57" s="64">
        <v>0</v>
      </c>
      <c r="M57" s="65">
        <v>0</v>
      </c>
      <c r="N57" s="65">
        <v>0</v>
      </c>
      <c r="O57" s="66">
        <v>0</v>
      </c>
      <c r="P57" s="65">
        <v>0</v>
      </c>
      <c r="Q57" s="65">
        <v>0</v>
      </c>
      <c r="R57" s="65">
        <v>0</v>
      </c>
      <c r="S57" s="65">
        <v>0</v>
      </c>
      <c r="T57" s="64">
        <v>0</v>
      </c>
      <c r="U57" s="65">
        <v>0</v>
      </c>
      <c r="V57" s="65">
        <v>0</v>
      </c>
      <c r="W57" s="66">
        <v>0</v>
      </c>
      <c r="X57" s="64">
        <v>0</v>
      </c>
      <c r="Y57" s="65">
        <v>0</v>
      </c>
      <c r="Z57" s="65">
        <v>0</v>
      </c>
      <c r="AA57" s="164">
        <v>0</v>
      </c>
      <c r="AB57" s="64">
        <v>0</v>
      </c>
      <c r="AC57" s="65">
        <v>0</v>
      </c>
      <c r="AD57" s="65">
        <v>0</v>
      </c>
      <c r="AE57" s="164">
        <v>0</v>
      </c>
      <c r="AF57" s="64">
        <v>0</v>
      </c>
      <c r="AG57" s="65">
        <v>0</v>
      </c>
      <c r="AH57" s="65">
        <v>0</v>
      </c>
      <c r="AI57" s="66">
        <v>0</v>
      </c>
      <c r="AJ57" s="64">
        <v>0</v>
      </c>
      <c r="AK57" s="65">
        <v>0</v>
      </c>
      <c r="AL57" s="69">
        <f t="shared" ref="AL57:AM57" si="134">AK57</f>
        <v>0</v>
      </c>
      <c r="AM57" s="164">
        <f t="shared" si="134"/>
        <v>0</v>
      </c>
      <c r="AN57" s="64">
        <v>0</v>
      </c>
      <c r="AO57" s="69">
        <f t="shared" ref="AO57:AQ57" si="135">AN57</f>
        <v>0</v>
      </c>
      <c r="AP57" s="69">
        <f t="shared" si="135"/>
        <v>0</v>
      </c>
      <c r="AQ57" s="164">
        <f t="shared" si="135"/>
        <v>0</v>
      </c>
      <c r="AR57" s="69">
        <f t="shared" ref="AR57" si="136">AQ57</f>
        <v>0</v>
      </c>
      <c r="AS57" s="69">
        <f t="shared" ref="AS57" si="137">AR57</f>
        <v>0</v>
      </c>
      <c r="AT57" s="69">
        <f t="shared" ref="AT57" si="138">AS57</f>
        <v>0</v>
      </c>
      <c r="AU57" s="164">
        <f t="shared" ref="AU57" si="139">AT57</f>
        <v>0</v>
      </c>
      <c r="AV57" s="69">
        <f t="shared" ref="AV57" si="140">AU57</f>
        <v>0</v>
      </c>
      <c r="AW57" s="69">
        <f t="shared" ref="AW57" si="141">AV57</f>
        <v>0</v>
      </c>
      <c r="AX57" s="69">
        <f t="shared" ref="AX57" si="142">AW57</f>
        <v>0</v>
      </c>
      <c r="AY57" s="164">
        <f t="shared" ref="AY57" si="143">AX57</f>
        <v>0</v>
      </c>
      <c r="AZ57" s="20"/>
      <c r="BA57" s="156">
        <f>G57</f>
        <v>0</v>
      </c>
      <c r="BB57" s="156">
        <f>K57</f>
        <v>0</v>
      </c>
      <c r="BC57" s="156">
        <f>O57</f>
        <v>0</v>
      </c>
      <c r="BD57" s="156">
        <f>S57</f>
        <v>0</v>
      </c>
      <c r="BE57" s="156">
        <f>W57</f>
        <v>0</v>
      </c>
      <c r="BF57" s="69">
        <f>AA57</f>
        <v>0</v>
      </c>
      <c r="BG57" s="69">
        <f>AE57</f>
        <v>0</v>
      </c>
      <c r="BH57" s="69">
        <f>AI57</f>
        <v>0</v>
      </c>
      <c r="BI57" s="69">
        <f>AM57</f>
        <v>0</v>
      </c>
      <c r="BJ57" s="69">
        <f>AQ57</f>
        <v>0</v>
      </c>
      <c r="BK57" s="69">
        <f t="shared" ref="BK57:BK60" si="144">AU57</f>
        <v>0</v>
      </c>
      <c r="BL57" s="69">
        <f>AY57</f>
        <v>0</v>
      </c>
      <c r="BM57" s="69">
        <f>BL57</f>
        <v>0</v>
      </c>
      <c r="BN57" s="69">
        <f>BM57</f>
        <v>0</v>
      </c>
      <c r="BO57" s="22"/>
      <c r="BV57" s="8"/>
    </row>
    <row r="58" spans="1:74" ht="14.25" customHeight="1">
      <c r="A58" s="8"/>
      <c r="B58" s="95" t="s">
        <v>165</v>
      </c>
      <c r="C58" s="96"/>
      <c r="D58" s="71">
        <v>0</v>
      </c>
      <c r="E58" s="72">
        <v>0</v>
      </c>
      <c r="F58" s="72">
        <v>0</v>
      </c>
      <c r="G58" s="73">
        <v>0</v>
      </c>
      <c r="H58" s="71">
        <v>6839</v>
      </c>
      <c r="I58" s="72">
        <v>6806</v>
      </c>
      <c r="J58" s="72">
        <v>6355</v>
      </c>
      <c r="K58" s="73">
        <v>5569</v>
      </c>
      <c r="L58" s="71">
        <v>5575</v>
      </c>
      <c r="M58" s="72">
        <v>5584</v>
      </c>
      <c r="N58" s="72">
        <v>0</v>
      </c>
      <c r="O58" s="73">
        <v>0</v>
      </c>
      <c r="P58" s="72">
        <v>0</v>
      </c>
      <c r="Q58" s="72">
        <v>0</v>
      </c>
      <c r="R58" s="72">
        <v>0</v>
      </c>
      <c r="S58" s="72">
        <v>0</v>
      </c>
      <c r="T58" s="71">
        <v>0</v>
      </c>
      <c r="U58" s="72">
        <v>0</v>
      </c>
      <c r="V58" s="72">
        <v>0</v>
      </c>
      <c r="W58" s="73">
        <v>0</v>
      </c>
      <c r="X58" s="71">
        <v>0</v>
      </c>
      <c r="Y58" s="72">
        <v>0</v>
      </c>
      <c r="Z58" s="72">
        <v>0</v>
      </c>
      <c r="AA58" s="70">
        <v>0</v>
      </c>
      <c r="AB58" s="71">
        <v>0</v>
      </c>
      <c r="AC58" s="72">
        <v>0</v>
      </c>
      <c r="AD58" s="72">
        <v>0</v>
      </c>
      <c r="AE58" s="70">
        <v>0</v>
      </c>
      <c r="AF58" s="71">
        <v>0</v>
      </c>
      <c r="AG58" s="72">
        <v>0</v>
      </c>
      <c r="AH58" s="72">
        <v>0</v>
      </c>
      <c r="AI58" s="73">
        <v>0</v>
      </c>
      <c r="AJ58" s="71">
        <v>0</v>
      </c>
      <c r="AK58" s="72">
        <v>0</v>
      </c>
      <c r="AL58" s="1404">
        <f>AK58+CFS!AL42</f>
        <v>8</v>
      </c>
      <c r="AM58" s="1405">
        <f>AL58+CFS!AM42</f>
        <v>26</v>
      </c>
      <c r="AN58" s="71">
        <v>0</v>
      </c>
      <c r="AO58" s="1404">
        <f>AN58+CFS!AO42</f>
        <v>27</v>
      </c>
      <c r="AP58" s="1404">
        <f>AO58+CFS!AP42</f>
        <v>45</v>
      </c>
      <c r="AQ58" s="1405">
        <f>AP58+CFS!AQ42</f>
        <v>70</v>
      </c>
      <c r="AR58" s="1404">
        <f>AQ58+CFS!AR42</f>
        <v>106</v>
      </c>
      <c r="AS58" s="1404">
        <f>AR58+CFS!AS42</f>
        <v>138</v>
      </c>
      <c r="AT58" s="1404">
        <f>AS58+CFS!AT42</f>
        <v>174</v>
      </c>
      <c r="AU58" s="1405">
        <f>AT58+CFS!AU42</f>
        <v>303</v>
      </c>
      <c r="AV58" s="1404">
        <f>AU58+CFS!AV42</f>
        <v>303</v>
      </c>
      <c r="AW58" s="1404">
        <f>AV58+CFS!AW42</f>
        <v>303</v>
      </c>
      <c r="AX58" s="1404">
        <f>AW58+CFS!AX42</f>
        <v>303</v>
      </c>
      <c r="AY58" s="1405">
        <f>AX58+CFS!AY42</f>
        <v>303</v>
      </c>
      <c r="AZ58" s="20"/>
      <c r="BA58" s="69">
        <f>G58</f>
        <v>0</v>
      </c>
      <c r="BB58" s="69">
        <f>K58</f>
        <v>5569</v>
      </c>
      <c r="BC58" s="69">
        <f>O58</f>
        <v>0</v>
      </c>
      <c r="BD58" s="69">
        <f>S58</f>
        <v>0</v>
      </c>
      <c r="BE58" s="69">
        <f>W58</f>
        <v>0</v>
      </c>
      <c r="BF58" s="69">
        <f>AA58</f>
        <v>0</v>
      </c>
      <c r="BG58" s="69">
        <f>AE58</f>
        <v>0</v>
      </c>
      <c r="BH58" s="69">
        <f>AI58</f>
        <v>0</v>
      </c>
      <c r="BI58" s="69">
        <f>AM58</f>
        <v>26</v>
      </c>
      <c r="BJ58" s="69">
        <f>AQ58</f>
        <v>70</v>
      </c>
      <c r="BK58" s="69">
        <f t="shared" si="144"/>
        <v>303</v>
      </c>
      <c r="BL58" s="69">
        <f>AY58</f>
        <v>303</v>
      </c>
      <c r="BM58" s="69">
        <f>BL58+CFS!BM42</f>
        <v>303</v>
      </c>
      <c r="BN58" s="69">
        <f>BM58+CFS!BN42</f>
        <v>303</v>
      </c>
      <c r="BO58" s="22"/>
      <c r="BV58" s="8"/>
    </row>
    <row r="59" spans="1:74" ht="14.25" customHeight="1">
      <c r="A59" s="8"/>
      <c r="B59" s="95" t="s">
        <v>166</v>
      </c>
      <c r="C59" s="96"/>
      <c r="D59" s="71">
        <v>4532</v>
      </c>
      <c r="E59" s="72">
        <v>4222</v>
      </c>
      <c r="F59" s="72">
        <v>4331</v>
      </c>
      <c r="G59" s="73">
        <v>4528</v>
      </c>
      <c r="H59" s="71">
        <v>0</v>
      </c>
      <c r="I59" s="72">
        <v>0</v>
      </c>
      <c r="J59" s="72">
        <v>0</v>
      </c>
      <c r="K59" s="73">
        <v>0</v>
      </c>
      <c r="L59" s="71">
        <v>0</v>
      </c>
      <c r="M59" s="72">
        <v>0</v>
      </c>
      <c r="N59" s="72">
        <v>0</v>
      </c>
      <c r="O59" s="73">
        <v>0</v>
      </c>
      <c r="P59" s="72">
        <v>0</v>
      </c>
      <c r="Q59" s="72">
        <v>0</v>
      </c>
      <c r="R59" s="72">
        <v>0</v>
      </c>
      <c r="S59" s="72">
        <v>0</v>
      </c>
      <c r="T59" s="71">
        <v>0</v>
      </c>
      <c r="U59" s="72">
        <v>0</v>
      </c>
      <c r="V59" s="72">
        <v>0</v>
      </c>
      <c r="W59" s="73">
        <v>0</v>
      </c>
      <c r="X59" s="71">
        <v>0</v>
      </c>
      <c r="Y59" s="72">
        <v>0</v>
      </c>
      <c r="Z59" s="72">
        <v>0</v>
      </c>
      <c r="AA59" s="73">
        <v>0</v>
      </c>
      <c r="AB59" s="71">
        <v>0</v>
      </c>
      <c r="AC59" s="72">
        <v>0</v>
      </c>
      <c r="AD59" s="72">
        <v>0</v>
      </c>
      <c r="AE59" s="73">
        <v>0</v>
      </c>
      <c r="AF59" s="71">
        <v>0</v>
      </c>
      <c r="AG59" s="72">
        <v>0</v>
      </c>
      <c r="AH59" s="72">
        <v>0</v>
      </c>
      <c r="AI59" s="73">
        <v>0</v>
      </c>
      <c r="AJ59" s="71">
        <v>0</v>
      </c>
      <c r="AK59" s="72">
        <v>0</v>
      </c>
      <c r="AL59" s="158">
        <f>55</f>
        <v>55</v>
      </c>
      <c r="AM59" s="157">
        <f>9668+46</f>
        <v>9714</v>
      </c>
      <c r="AN59" s="158">
        <v>11192</v>
      </c>
      <c r="AO59" s="158">
        <f>AN59+147</f>
        <v>11339</v>
      </c>
      <c r="AP59" s="158">
        <f>AO59+528</f>
        <v>11867</v>
      </c>
      <c r="AQ59" s="157">
        <v>11743</v>
      </c>
      <c r="AR59" s="158">
        <v>9484</v>
      </c>
      <c r="AS59" s="158">
        <f>AR59+88</f>
        <v>9572</v>
      </c>
      <c r="AT59" s="158">
        <f>AS59+167</f>
        <v>9739</v>
      </c>
      <c r="AU59" s="157">
        <f>AT59+555</f>
        <v>10294</v>
      </c>
      <c r="AV59" s="158">
        <f t="shared" ref="AV59:AY59" si="145">AU59</f>
        <v>10294</v>
      </c>
      <c r="AW59" s="158">
        <f t="shared" si="145"/>
        <v>10294</v>
      </c>
      <c r="AX59" s="158">
        <f t="shared" si="145"/>
        <v>10294</v>
      </c>
      <c r="AY59" s="158">
        <f t="shared" si="145"/>
        <v>10294</v>
      </c>
      <c r="AZ59" s="20"/>
      <c r="BA59" s="69">
        <f>G59</f>
        <v>4528</v>
      </c>
      <c r="BB59" s="69">
        <f>K59</f>
        <v>0</v>
      </c>
      <c r="BC59" s="69">
        <f>O59</f>
        <v>0</v>
      </c>
      <c r="BD59" s="69">
        <f>S59</f>
        <v>0</v>
      </c>
      <c r="BE59" s="69">
        <f>W59</f>
        <v>0</v>
      </c>
      <c r="BF59" s="69">
        <f>AA59</f>
        <v>0</v>
      </c>
      <c r="BG59" s="69">
        <f>AE59</f>
        <v>0</v>
      </c>
      <c r="BH59" s="69">
        <f>AI59</f>
        <v>0</v>
      </c>
      <c r="BI59" s="69">
        <f>AM59</f>
        <v>9714</v>
      </c>
      <c r="BJ59" s="69">
        <f>AQ59</f>
        <v>11743</v>
      </c>
      <c r="BK59" s="69">
        <f t="shared" si="144"/>
        <v>10294</v>
      </c>
      <c r="BL59" s="69">
        <f>AY59</f>
        <v>10294</v>
      </c>
      <c r="BM59" s="69">
        <f>BL59</f>
        <v>10294</v>
      </c>
      <c r="BN59" s="69">
        <f>BM59</f>
        <v>10294</v>
      </c>
      <c r="BO59" s="22"/>
      <c r="BV59" s="8"/>
    </row>
    <row r="60" spans="1:74" ht="14.25" customHeight="1">
      <c r="A60" s="8"/>
      <c r="B60" s="95" t="s">
        <v>167</v>
      </c>
      <c r="C60" s="96"/>
      <c r="D60" s="71">
        <v>0</v>
      </c>
      <c r="E60" s="72">
        <v>0</v>
      </c>
      <c r="F60" s="72">
        <v>0</v>
      </c>
      <c r="G60" s="73">
        <v>0</v>
      </c>
      <c r="H60" s="71">
        <v>0</v>
      </c>
      <c r="I60" s="72">
        <v>0</v>
      </c>
      <c r="J60" s="72">
        <v>0</v>
      </c>
      <c r="K60" s="73">
        <v>0</v>
      </c>
      <c r="L60" s="71">
        <v>0</v>
      </c>
      <c r="M60" s="72">
        <v>0</v>
      </c>
      <c r="N60" s="72">
        <v>0</v>
      </c>
      <c r="O60" s="73">
        <v>0</v>
      </c>
      <c r="P60" s="72">
        <v>0</v>
      </c>
      <c r="Q60" s="72">
        <v>0</v>
      </c>
      <c r="R60" s="72">
        <v>0</v>
      </c>
      <c r="S60" s="72">
        <v>0</v>
      </c>
      <c r="T60" s="71">
        <v>0</v>
      </c>
      <c r="U60" s="72">
        <v>0</v>
      </c>
      <c r="V60" s="72">
        <v>0</v>
      </c>
      <c r="W60" s="73">
        <v>0</v>
      </c>
      <c r="X60" s="71">
        <v>0</v>
      </c>
      <c r="Y60" s="72">
        <v>0</v>
      </c>
      <c r="Z60" s="72">
        <v>0</v>
      </c>
      <c r="AA60" s="70">
        <v>0</v>
      </c>
      <c r="AB60" s="71">
        <v>0</v>
      </c>
      <c r="AC60" s="72">
        <v>0</v>
      </c>
      <c r="AD60" s="72">
        <v>0</v>
      </c>
      <c r="AE60" s="70">
        <v>0</v>
      </c>
      <c r="AF60" s="71">
        <v>0</v>
      </c>
      <c r="AG60" s="72">
        <v>0</v>
      </c>
      <c r="AH60" s="72">
        <v>0</v>
      </c>
      <c r="AI60" s="73">
        <v>0</v>
      </c>
      <c r="AJ60" s="71">
        <v>0</v>
      </c>
      <c r="AK60" s="72">
        <v>0</v>
      </c>
      <c r="AL60" s="1404">
        <f>AK60+CFS!AL15</f>
        <v>34</v>
      </c>
      <c r="AM60" s="1405">
        <f>AL60+CFS!AM15</f>
        <v>145</v>
      </c>
      <c r="AN60" s="71">
        <v>0</v>
      </c>
      <c r="AO60" s="1404">
        <f>AN60+CFS!AO15</f>
        <v>80</v>
      </c>
      <c r="AP60" s="1404">
        <v>5</v>
      </c>
      <c r="AQ60" s="1405">
        <f>AP60+CFS!AQ15</f>
        <v>87</v>
      </c>
      <c r="AR60" s="1404">
        <f>AQ60+CFS!AR15</f>
        <v>155</v>
      </c>
      <c r="AS60" s="1404">
        <f>AR60+CFS!AS15</f>
        <v>222</v>
      </c>
      <c r="AT60" s="1404">
        <f>AS60+CFS!AT15</f>
        <v>290</v>
      </c>
      <c r="AU60" s="1405">
        <f>AT60+CFS!AU15</f>
        <v>368</v>
      </c>
      <c r="AV60" s="1404">
        <f>AU60+CFS!AV15</f>
        <v>446</v>
      </c>
      <c r="AW60" s="1404">
        <f>AV60+CFS!AW15</f>
        <v>524</v>
      </c>
      <c r="AX60" s="1404">
        <f>AW60+CFS!AX15</f>
        <v>602</v>
      </c>
      <c r="AY60" s="1405">
        <f>AX60+CFS!AY15</f>
        <v>680</v>
      </c>
      <c r="AZ60" s="20"/>
      <c r="BA60" s="69">
        <f>G60</f>
        <v>0</v>
      </c>
      <c r="BB60" s="69">
        <f>K60</f>
        <v>0</v>
      </c>
      <c r="BC60" s="69">
        <f>O60</f>
        <v>0</v>
      </c>
      <c r="BD60" s="69">
        <f>S60</f>
        <v>0</v>
      </c>
      <c r="BE60" s="69">
        <f>W60</f>
        <v>0</v>
      </c>
      <c r="BF60" s="69">
        <f>AA60</f>
        <v>0</v>
      </c>
      <c r="BG60" s="69">
        <f>AE60</f>
        <v>0</v>
      </c>
      <c r="BH60" s="69">
        <f>AI60</f>
        <v>0</v>
      </c>
      <c r="BI60" s="69">
        <f>AM60</f>
        <v>145</v>
      </c>
      <c r="BJ60" s="69">
        <f>AQ60</f>
        <v>87</v>
      </c>
      <c r="BK60" s="69">
        <f t="shared" si="144"/>
        <v>368</v>
      </c>
      <c r="BL60" s="69">
        <f>AY60</f>
        <v>680</v>
      </c>
      <c r="BM60" s="69">
        <f>BL60+CFS!BM15</f>
        <v>992</v>
      </c>
      <c r="BN60" s="69">
        <f>BM60+CFS!BN15</f>
        <v>1304</v>
      </c>
      <c r="BO60" s="22"/>
      <c r="BV60" s="8"/>
    </row>
    <row r="61" spans="1:74" ht="14.25" customHeight="1">
      <c r="A61" s="8"/>
      <c r="B61" s="165" t="s">
        <v>168</v>
      </c>
      <c r="C61" s="166"/>
      <c r="D61" s="169">
        <f t="shared" ref="D61:Y61" si="146">SUM(D57:D60)</f>
        <v>4532</v>
      </c>
      <c r="E61" s="167">
        <f t="shared" si="146"/>
        <v>4222</v>
      </c>
      <c r="F61" s="167">
        <f t="shared" si="146"/>
        <v>4331</v>
      </c>
      <c r="G61" s="168">
        <f t="shared" si="146"/>
        <v>4528</v>
      </c>
      <c r="H61" s="169">
        <f t="shared" si="146"/>
        <v>6839</v>
      </c>
      <c r="I61" s="167">
        <f t="shared" si="146"/>
        <v>6806</v>
      </c>
      <c r="J61" s="167">
        <f t="shared" si="146"/>
        <v>6355</v>
      </c>
      <c r="K61" s="168">
        <f t="shared" si="146"/>
        <v>5569</v>
      </c>
      <c r="L61" s="169">
        <f t="shared" si="146"/>
        <v>5575</v>
      </c>
      <c r="M61" s="167">
        <f t="shared" si="146"/>
        <v>5584</v>
      </c>
      <c r="N61" s="167">
        <f t="shared" si="146"/>
        <v>0</v>
      </c>
      <c r="O61" s="168">
        <f t="shared" si="146"/>
        <v>0</v>
      </c>
      <c r="P61" s="167">
        <f t="shared" si="146"/>
        <v>0</v>
      </c>
      <c r="Q61" s="167">
        <f t="shared" si="146"/>
        <v>0</v>
      </c>
      <c r="R61" s="167">
        <f t="shared" si="146"/>
        <v>0</v>
      </c>
      <c r="S61" s="167">
        <f t="shared" si="146"/>
        <v>0</v>
      </c>
      <c r="T61" s="169">
        <f>SUM(T57:T60)</f>
        <v>0</v>
      </c>
      <c r="U61" s="167">
        <f t="shared" si="146"/>
        <v>0</v>
      </c>
      <c r="V61" s="167">
        <f t="shared" si="146"/>
        <v>0</v>
      </c>
      <c r="W61" s="168">
        <f t="shared" si="146"/>
        <v>0</v>
      </c>
      <c r="X61" s="169">
        <f>SUM(X57:X60)</f>
        <v>0</v>
      </c>
      <c r="Y61" s="167">
        <f t="shared" si="146"/>
        <v>0</v>
      </c>
      <c r="Z61" s="167">
        <f>SUM(Z57:Z60)</f>
        <v>0</v>
      </c>
      <c r="AA61" s="168">
        <f>SUM(AA57:AA60)</f>
        <v>0</v>
      </c>
      <c r="AB61" s="169">
        <v>0</v>
      </c>
      <c r="AC61" s="167">
        <v>0</v>
      </c>
      <c r="AD61" s="167">
        <f>SUM(AD57:AD60)</f>
        <v>0</v>
      </c>
      <c r="AE61" s="168">
        <f>SUM(AE57:AE60)</f>
        <v>0</v>
      </c>
      <c r="AF61" s="169">
        <f>SUM(AF57:AF60)</f>
        <v>0</v>
      </c>
      <c r="AG61" s="167">
        <v>0</v>
      </c>
      <c r="AH61" s="167">
        <f>SUM(AH57:AH60)</f>
        <v>0</v>
      </c>
      <c r="AI61" s="168">
        <f>SUM(AI57:AI60)</f>
        <v>0</v>
      </c>
      <c r="AJ61" s="169">
        <f>SUM(AJ57:AJ60)</f>
        <v>0</v>
      </c>
      <c r="AK61" s="167">
        <v>0</v>
      </c>
      <c r="AL61" s="167">
        <f t="shared" ref="AL61:AM61" si="147">SUM(AL57:AL60)</f>
        <v>97</v>
      </c>
      <c r="AM61" s="168">
        <f t="shared" si="147"/>
        <v>9885</v>
      </c>
      <c r="AN61" s="169">
        <f>SUM(AN57:AN60)</f>
        <v>11192</v>
      </c>
      <c r="AO61" s="167">
        <f t="shared" ref="AO61:AQ61" si="148">SUM(AO57:AO60)</f>
        <v>11446</v>
      </c>
      <c r="AP61" s="167">
        <f t="shared" si="148"/>
        <v>11917</v>
      </c>
      <c r="AQ61" s="168">
        <f t="shared" si="148"/>
        <v>11900</v>
      </c>
      <c r="AR61" s="167">
        <f t="shared" ref="AR61:AU61" si="149">SUM(AR57:AR60)</f>
        <v>9745</v>
      </c>
      <c r="AS61" s="167">
        <f t="shared" si="149"/>
        <v>9932</v>
      </c>
      <c r="AT61" s="167">
        <f t="shared" si="149"/>
        <v>10203</v>
      </c>
      <c r="AU61" s="168">
        <f t="shared" si="149"/>
        <v>10965</v>
      </c>
      <c r="AV61" s="167">
        <f t="shared" ref="AV61:AY61" si="150">SUM(AV57:AV60)</f>
        <v>11043</v>
      </c>
      <c r="AW61" s="167">
        <f t="shared" si="150"/>
        <v>11121</v>
      </c>
      <c r="AX61" s="167">
        <f t="shared" si="150"/>
        <v>11199</v>
      </c>
      <c r="AY61" s="168">
        <f t="shared" si="150"/>
        <v>11277</v>
      </c>
      <c r="AZ61" s="20"/>
      <c r="BA61" s="167">
        <f t="shared" ref="BA61:BJ61" si="151">SUM(BA57:BA60)</f>
        <v>4528</v>
      </c>
      <c r="BB61" s="167">
        <f t="shared" si="151"/>
        <v>5569</v>
      </c>
      <c r="BC61" s="167">
        <f t="shared" si="151"/>
        <v>0</v>
      </c>
      <c r="BD61" s="167">
        <f t="shared" si="151"/>
        <v>0</v>
      </c>
      <c r="BE61" s="167">
        <f t="shared" si="151"/>
        <v>0</v>
      </c>
      <c r="BF61" s="167">
        <f t="shared" si="151"/>
        <v>0</v>
      </c>
      <c r="BG61" s="167">
        <f t="shared" si="151"/>
        <v>0</v>
      </c>
      <c r="BH61" s="167">
        <f t="shared" si="151"/>
        <v>0</v>
      </c>
      <c r="BI61" s="167">
        <f t="shared" si="151"/>
        <v>9885</v>
      </c>
      <c r="BJ61" s="167">
        <f t="shared" si="151"/>
        <v>11900</v>
      </c>
      <c r="BK61" s="167">
        <f t="shared" ref="BK61:BL61" si="152">SUM(BK57:BK60)</f>
        <v>10965</v>
      </c>
      <c r="BL61" s="167">
        <f t="shared" si="152"/>
        <v>11277</v>
      </c>
      <c r="BM61" s="167">
        <f>SUM(BM57:BM60)</f>
        <v>11589</v>
      </c>
      <c r="BN61" s="167">
        <f>SUM(BN57:BN60)</f>
        <v>11901</v>
      </c>
      <c r="BO61" s="22"/>
      <c r="BV61" s="8"/>
    </row>
    <row r="62" spans="1:74" ht="14.25" customHeight="1">
      <c r="A62" s="8"/>
      <c r="B62" s="25"/>
      <c r="C62" s="26"/>
      <c r="D62" s="68"/>
      <c r="E62" s="69"/>
      <c r="F62" s="69"/>
      <c r="G62" s="70"/>
      <c r="H62" s="68"/>
      <c r="I62" s="69"/>
      <c r="J62" s="69"/>
      <c r="K62" s="70"/>
      <c r="L62" s="68"/>
      <c r="M62" s="69"/>
      <c r="N62" s="69"/>
      <c r="O62" s="70"/>
      <c r="P62" s="69"/>
      <c r="Q62" s="69"/>
      <c r="R62" s="69"/>
      <c r="S62" s="69"/>
      <c r="T62" s="68"/>
      <c r="U62" s="69"/>
      <c r="V62" s="69"/>
      <c r="W62" s="70"/>
      <c r="X62" s="68"/>
      <c r="Y62" s="69"/>
      <c r="Z62" s="69"/>
      <c r="AA62" s="70"/>
      <c r="AB62" s="68"/>
      <c r="AC62" s="69"/>
      <c r="AD62" s="69"/>
      <c r="AE62" s="70"/>
      <c r="AF62" s="68"/>
      <c r="AG62" s="69"/>
      <c r="AH62" s="69"/>
      <c r="AI62" s="70"/>
      <c r="AJ62" s="68"/>
      <c r="AK62" s="69"/>
      <c r="AL62" s="69"/>
      <c r="AM62" s="70"/>
      <c r="AN62" s="68"/>
      <c r="AO62" s="69"/>
      <c r="AP62" s="69"/>
      <c r="AQ62" s="70"/>
      <c r="AR62" s="69"/>
      <c r="AS62" s="69"/>
      <c r="AT62" s="69"/>
      <c r="AU62" s="70"/>
      <c r="AV62" s="69"/>
      <c r="AW62" s="69"/>
      <c r="AX62" s="69"/>
      <c r="AY62" s="70"/>
      <c r="AZ62" s="20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BN62" s="69"/>
      <c r="BO62" s="22"/>
      <c r="BV62" s="8"/>
    </row>
    <row r="63" spans="1:74" ht="14.25" customHeight="1">
      <c r="A63" s="8"/>
      <c r="B63" s="95" t="s">
        <v>169</v>
      </c>
      <c r="C63" s="96"/>
      <c r="D63" s="71">
        <v>0</v>
      </c>
      <c r="E63" s="72">
        <v>0</v>
      </c>
      <c r="F63" s="72">
        <v>0</v>
      </c>
      <c r="G63" s="73">
        <v>0</v>
      </c>
      <c r="H63" s="71">
        <v>0</v>
      </c>
      <c r="I63" s="72">
        <v>0</v>
      </c>
      <c r="J63" s="72">
        <v>0</v>
      </c>
      <c r="K63" s="73">
        <v>0</v>
      </c>
      <c r="L63" s="71">
        <v>0</v>
      </c>
      <c r="M63" s="72">
        <v>0</v>
      </c>
      <c r="N63" s="72">
        <v>0</v>
      </c>
      <c r="O63" s="73">
        <v>0</v>
      </c>
      <c r="P63" s="72">
        <v>0</v>
      </c>
      <c r="Q63" s="72">
        <v>0</v>
      </c>
      <c r="R63" s="72">
        <v>0</v>
      </c>
      <c r="S63" s="72">
        <v>0</v>
      </c>
      <c r="T63" s="71">
        <v>0</v>
      </c>
      <c r="U63" s="72">
        <v>0</v>
      </c>
      <c r="V63" s="72">
        <v>0</v>
      </c>
      <c r="W63" s="73">
        <v>0</v>
      </c>
      <c r="X63" s="71">
        <v>0</v>
      </c>
      <c r="Y63" s="72">
        <v>0</v>
      </c>
      <c r="Z63" s="72">
        <v>0</v>
      </c>
      <c r="AA63" s="73">
        <v>0</v>
      </c>
      <c r="AB63" s="71">
        <v>0</v>
      </c>
      <c r="AC63" s="72">
        <v>0</v>
      </c>
      <c r="AD63" s="72">
        <v>0</v>
      </c>
      <c r="AE63" s="73">
        <v>0</v>
      </c>
      <c r="AF63" s="71">
        <v>0</v>
      </c>
      <c r="AG63" s="72">
        <v>0</v>
      </c>
      <c r="AH63" s="72">
        <v>0</v>
      </c>
      <c r="AI63" s="73">
        <v>0</v>
      </c>
      <c r="AJ63" s="71">
        <v>0</v>
      </c>
      <c r="AK63" s="72">
        <v>0</v>
      </c>
      <c r="AL63" s="69">
        <f t="shared" ref="AL63:AM63" si="153">AK63</f>
        <v>0</v>
      </c>
      <c r="AM63" s="70">
        <f t="shared" si="153"/>
        <v>0</v>
      </c>
      <c r="AN63" s="71">
        <v>0</v>
      </c>
      <c r="AO63" s="69">
        <f t="shared" ref="AO63:AQ63" si="154">AN63</f>
        <v>0</v>
      </c>
      <c r="AP63" s="69">
        <f t="shared" si="154"/>
        <v>0</v>
      </c>
      <c r="AQ63" s="70">
        <f t="shared" si="154"/>
        <v>0</v>
      </c>
      <c r="AR63" s="69">
        <f t="shared" ref="AR63" si="155">AQ63</f>
        <v>0</v>
      </c>
      <c r="AS63" s="69">
        <f t="shared" ref="AS63" si="156">AR63</f>
        <v>0</v>
      </c>
      <c r="AT63" s="69">
        <f t="shared" ref="AT63" si="157">AS63</f>
        <v>0</v>
      </c>
      <c r="AU63" s="70">
        <f t="shared" ref="AU63" si="158">AT63</f>
        <v>0</v>
      </c>
      <c r="AV63" s="69">
        <f t="shared" ref="AV63" si="159">AU63</f>
        <v>0</v>
      </c>
      <c r="AW63" s="69">
        <f t="shared" ref="AW63" si="160">AV63</f>
        <v>0</v>
      </c>
      <c r="AX63" s="69">
        <f t="shared" ref="AX63" si="161">AW63</f>
        <v>0</v>
      </c>
      <c r="AY63" s="70">
        <f t="shared" ref="AY63" si="162">AX63</f>
        <v>0</v>
      </c>
      <c r="AZ63" s="20"/>
      <c r="BA63" s="69">
        <f>G63</f>
        <v>0</v>
      </c>
      <c r="BB63" s="69">
        <f>K63</f>
        <v>0</v>
      </c>
      <c r="BC63" s="69">
        <f>O63</f>
        <v>0</v>
      </c>
      <c r="BD63" s="69">
        <f>S63</f>
        <v>0</v>
      </c>
      <c r="BE63" s="69">
        <f>W63</f>
        <v>0</v>
      </c>
      <c r="BF63" s="69">
        <f>AA63</f>
        <v>0</v>
      </c>
      <c r="BG63" s="69">
        <f>AE63</f>
        <v>0</v>
      </c>
      <c r="BH63" s="69">
        <f>AI63</f>
        <v>0</v>
      </c>
      <c r="BI63" s="69">
        <f>AM63</f>
        <v>0</v>
      </c>
      <c r="BJ63" s="69">
        <f>AQ63</f>
        <v>0</v>
      </c>
      <c r="BK63" s="69">
        <f t="shared" ref="BK63:BK65" si="163">AU63</f>
        <v>0</v>
      </c>
      <c r="BL63" s="69">
        <f>AY63</f>
        <v>0</v>
      </c>
      <c r="BM63" s="69">
        <f>BL63</f>
        <v>0</v>
      </c>
      <c r="BN63" s="69">
        <f>BM63</f>
        <v>0</v>
      </c>
      <c r="BO63" s="22"/>
      <c r="BV63" s="8"/>
    </row>
    <row r="64" spans="1:74" ht="14.25" customHeight="1">
      <c r="A64" s="8"/>
      <c r="B64" s="95" t="s">
        <v>170</v>
      </c>
      <c r="C64" s="96"/>
      <c r="D64" s="71">
        <v>0</v>
      </c>
      <c r="E64" s="72">
        <v>0</v>
      </c>
      <c r="F64" s="72">
        <v>0</v>
      </c>
      <c r="G64" s="73">
        <v>0</v>
      </c>
      <c r="H64" s="71">
        <v>-1835</v>
      </c>
      <c r="I64" s="72">
        <v>-2151</v>
      </c>
      <c r="J64" s="72">
        <v>-4577</v>
      </c>
      <c r="K64" s="73">
        <v>-5044</v>
      </c>
      <c r="L64" s="71">
        <f>-5602-60</f>
        <v>-5662</v>
      </c>
      <c r="M64" s="72">
        <f>-5263-101</f>
        <v>-5364</v>
      </c>
      <c r="N64" s="72">
        <v>0</v>
      </c>
      <c r="O64" s="73">
        <v>0</v>
      </c>
      <c r="P64" s="72">
        <v>0</v>
      </c>
      <c r="Q64" s="72">
        <v>0</v>
      </c>
      <c r="R64" s="72">
        <v>0</v>
      </c>
      <c r="S64" s="72">
        <v>0</v>
      </c>
      <c r="T64" s="71">
        <v>0</v>
      </c>
      <c r="U64" s="72">
        <v>0</v>
      </c>
      <c r="V64" s="72">
        <v>0</v>
      </c>
      <c r="W64" s="73">
        <v>0</v>
      </c>
      <c r="X64" s="71">
        <v>0</v>
      </c>
      <c r="Y64" s="72">
        <v>0</v>
      </c>
      <c r="Z64" s="72">
        <v>0</v>
      </c>
      <c r="AA64" s="73">
        <v>0</v>
      </c>
      <c r="AB64" s="71">
        <v>0</v>
      </c>
      <c r="AC64" s="72">
        <v>0</v>
      </c>
      <c r="AD64" s="72">
        <v>0</v>
      </c>
      <c r="AE64" s="73">
        <v>0</v>
      </c>
      <c r="AF64" s="71">
        <v>0</v>
      </c>
      <c r="AG64" s="72">
        <v>0</v>
      </c>
      <c r="AH64" s="72">
        <v>0</v>
      </c>
      <c r="AI64" s="73">
        <v>0</v>
      </c>
      <c r="AJ64" s="71">
        <v>0</v>
      </c>
      <c r="AK64" s="72">
        <v>0</v>
      </c>
      <c r="AL64" s="1404">
        <v>385</v>
      </c>
      <c r="AM64" s="1405">
        <v>1372</v>
      </c>
      <c r="AN64" s="71">
        <v>0</v>
      </c>
      <c r="AO64" s="1404">
        <f>AN64+'IS Inc FSL'!AO100-AO63</f>
        <v>1</v>
      </c>
      <c r="AP64" s="1404">
        <f>AO64+'IS Inc FSL'!AP100-AP63</f>
        <v>109</v>
      </c>
      <c r="AQ64" s="1405">
        <f>AP64+'IS Inc FSL'!AQ100-AQ63</f>
        <v>254</v>
      </c>
      <c r="AR64" s="1404">
        <f>AQ64+'IS Inc FSL'!AR100-AR63</f>
        <v>1572</v>
      </c>
      <c r="AS64" s="1404">
        <f>AR64+'IS Inc FSL'!AS100-AS63</f>
        <v>1635</v>
      </c>
      <c r="AT64" s="1404">
        <f>AS64+'IS Inc FSL'!AT100-AT63</f>
        <v>1758</v>
      </c>
      <c r="AU64" s="1405">
        <f>AT64+'IS Inc FSL'!AU100-AU63</f>
        <v>2526</v>
      </c>
      <c r="AV64" s="1404">
        <f>AU64+'IS Inc FSL'!AV100-AV63</f>
        <v>3061.1679174136807</v>
      </c>
      <c r="AW64" s="1404">
        <f>AV64+'IS Inc FSL'!AW100-AW63</f>
        <v>3635.7192959201348</v>
      </c>
      <c r="AX64" s="1404">
        <f>AW64+'IS Inc FSL'!AX100-AX63</f>
        <v>4258.0420748040924</v>
      </c>
      <c r="AY64" s="1404">
        <f>AX64+'IS Inc FSL'!AY100-AY63</f>
        <v>4872.4768341109148</v>
      </c>
      <c r="AZ64" s="20"/>
      <c r="BA64" s="69">
        <f>G64</f>
        <v>0</v>
      </c>
      <c r="BB64" s="69">
        <f>K64</f>
        <v>-5044</v>
      </c>
      <c r="BC64" s="69">
        <f>O64</f>
        <v>0</v>
      </c>
      <c r="BD64" s="69">
        <f>S64</f>
        <v>0</v>
      </c>
      <c r="BE64" s="69">
        <f>W64</f>
        <v>0</v>
      </c>
      <c r="BF64" s="69">
        <f>AA64</f>
        <v>0</v>
      </c>
      <c r="BG64" s="69">
        <f>AE64</f>
        <v>0</v>
      </c>
      <c r="BH64" s="69">
        <f>AI64</f>
        <v>0</v>
      </c>
      <c r="BI64" s="69">
        <f>AM64</f>
        <v>1372</v>
      </c>
      <c r="BJ64" s="69">
        <f>AQ64</f>
        <v>254</v>
      </c>
      <c r="BK64" s="69">
        <f t="shared" si="163"/>
        <v>2526</v>
      </c>
      <c r="BL64" s="69">
        <f>AY64</f>
        <v>4872.4768341109148</v>
      </c>
      <c r="BM64" s="69">
        <f>BL64+'IS Inc FSL'!BM92-BM63</f>
        <v>7426.6677963812062</v>
      </c>
      <c r="BN64" s="69">
        <f>BM64+'IS Inc FSL'!BN92-BN63</f>
        <v>10196.174800228493</v>
      </c>
      <c r="BO64" s="22"/>
      <c r="BV64" s="8"/>
    </row>
    <row r="65" spans="1:74" ht="14.25" customHeight="1">
      <c r="A65" s="8"/>
      <c r="B65" s="95" t="s">
        <v>171</v>
      </c>
      <c r="C65" s="96"/>
      <c r="D65" s="71">
        <v>0</v>
      </c>
      <c r="E65" s="72">
        <v>0</v>
      </c>
      <c r="F65" s="72">
        <v>0</v>
      </c>
      <c r="G65" s="170">
        <v>0</v>
      </c>
      <c r="H65" s="71">
        <v>-323</v>
      </c>
      <c r="I65" s="72">
        <f>-322+9</f>
        <v>-313</v>
      </c>
      <c r="J65" s="72">
        <v>-52</v>
      </c>
      <c r="K65" s="170">
        <v>550</v>
      </c>
      <c r="L65" s="71">
        <v>520</v>
      </c>
      <c r="M65" s="72">
        <v>528</v>
      </c>
      <c r="N65" s="72">
        <v>1137</v>
      </c>
      <c r="O65" s="170">
        <v>843</v>
      </c>
      <c r="P65" s="72">
        <v>578</v>
      </c>
      <c r="Q65" s="72">
        <f>358</f>
        <v>358</v>
      </c>
      <c r="R65" s="72">
        <v>1079</v>
      </c>
      <c r="S65" s="72">
        <v>986</v>
      </c>
      <c r="T65" s="312">
        <v>1131</v>
      </c>
      <c r="U65" s="72">
        <v>1218</v>
      </c>
      <c r="V65" s="72">
        <v>1357</v>
      </c>
      <c r="W65" s="73">
        <v>1145</v>
      </c>
      <c r="X65" s="312">
        <v>1168</v>
      </c>
      <c r="Y65" s="72">
        <v>1016</v>
      </c>
      <c r="Z65" s="72">
        <f>51+6088-77-5218+343</f>
        <v>1187</v>
      </c>
      <c r="AA65" s="170">
        <f>51+6090-58-5334+300</f>
        <v>1049</v>
      </c>
      <c r="AB65" s="312">
        <v>1027</v>
      </c>
      <c r="AC65" s="72">
        <v>1114</v>
      </c>
      <c r="AD65" s="72">
        <v>1202</v>
      </c>
      <c r="AE65" s="170">
        <v>1301</v>
      </c>
      <c r="AF65" s="312">
        <v>1024</v>
      </c>
      <c r="AG65" s="1335">
        <v>1026</v>
      </c>
      <c r="AH65" s="72">
        <v>586</v>
      </c>
      <c r="AI65" s="170">
        <v>538</v>
      </c>
      <c r="AJ65" s="312">
        <v>455</v>
      </c>
      <c r="AK65" s="1335">
        <v>651</v>
      </c>
      <c r="AL65" s="1404">
        <f>AK65+CFS!AL16+CFS!AL37+CFS!AL43+CFS!AL48+CFS!AL44+CFS!AL19+CFS!AL24+CFS!AL27+CFS!AL28+CFS!AL35+CFS!AL49</f>
        <v>407</v>
      </c>
      <c r="AM65" s="1405">
        <f>AL65+CFS!AM16+CFS!AM37+CFS!AM43+CFS!AM48+CFS!AM44+CFS!AM19+CFS!AM24+CFS!AM27+CFS!AM28+CFS!AM35+CFS!AM49</f>
        <v>258</v>
      </c>
      <c r="AN65" s="312">
        <v>0</v>
      </c>
      <c r="AO65" s="1404">
        <f>AN65+CFS!AO16+CFS!AO37+CFS!AO43+CFS!AO48+CFS!AO44+CFS!AO19+CFS!AO24+CFS!AO27+CFS!AO28+CFS!AO35+CFS!AO49</f>
        <v>-566</v>
      </c>
      <c r="AP65" s="1404">
        <f>AO65+CFS!AP16+CFS!AP37+CFS!AP43+CFS!AP48+CFS!AP44+CFS!AP19+CFS!AP24+CFS!AP27+CFS!AP28+CFS!AP35+CFS!AP49</f>
        <v>-1476</v>
      </c>
      <c r="AQ65" s="1409">
        <f>AP65+CFS!AQ16+CFS!AQ37+CFS!AQ43+CFS!AQ48+CFS!AQ44+CFS!AQ19+CFS!AQ24+CFS!AQ27+CFS!AQ28+CFS!AQ35+CFS!AQ49</f>
        <v>-1614</v>
      </c>
      <c r="AR65" s="1404">
        <f>AQ65+CFS!AR16+CFS!AR37+CFS!AR43+CFS!AR48+CFS!AR44+CFS!AR19+CFS!AR24+CFS!AR27+CFS!AR28+CFS!AR35+CFS!AR49</f>
        <v>1072</v>
      </c>
      <c r="AS65" s="1404">
        <f>AR65+CFS!AS16+CFS!AS37+CFS!AS43+CFS!AS48+CFS!AS44+CFS!AS19+CFS!AS24+CFS!AS27+CFS!AS28+CFS!AS35+CFS!AS49</f>
        <v>1017</v>
      </c>
      <c r="AT65" s="1404">
        <f>AS65+CFS!AT16+CFS!AT37+CFS!AT43+CFS!AT48+CFS!AT44+CFS!AT19+CFS!AT24+CFS!AT27+CFS!AT28+CFS!AT35+CFS!AT49</f>
        <v>854</v>
      </c>
      <c r="AU65" s="1409">
        <f>AT65+CFS!AU16+CFS!AU37+CFS!AU43+CFS!AU48+CFS!AU44+CFS!AU19+CFS!AU24+CFS!AU27+CFS!AU28+CFS!AU35+CFS!AU49</f>
        <v>36</v>
      </c>
      <c r="AV65" s="1404">
        <f>AU65+CFS!AV16+CFS!AV37+CFS!AV43+CFS!AV48+CFS!AV44+CFS!AV19+CFS!AV24+CFS!AV27+CFS!AV28+CFS!AV35+CFS!AV49</f>
        <v>38</v>
      </c>
      <c r="AW65" s="1404">
        <f>AV65+CFS!AW16+CFS!AW37+CFS!AW43+CFS!AW48+CFS!AW44+CFS!AW19+CFS!AW24+CFS!AW27+CFS!AW28+CFS!AW35+CFS!AW49</f>
        <v>40</v>
      </c>
      <c r="AX65" s="1404">
        <f>AW65+CFS!AX16+CFS!AX37+CFS!AX43+CFS!AX48+CFS!AX44+CFS!AX19+CFS!AX24+CFS!AX27+CFS!AX28+CFS!AX35+CFS!AX49</f>
        <v>42</v>
      </c>
      <c r="AY65" s="1405">
        <f>AX65+CFS!AY16+CFS!AY37+CFS!AY43+CFS!AY48+CFS!AY44+CFS!AY19+CFS!AY24+CFS!AY27+CFS!AY28+CFS!AY35+CFS!AY49</f>
        <v>44</v>
      </c>
      <c r="AZ65" s="20"/>
      <c r="BA65" s="69">
        <f>G65</f>
        <v>0</v>
      </c>
      <c r="BB65" s="69">
        <f>K65</f>
        <v>550</v>
      </c>
      <c r="BC65" s="69">
        <f>O65</f>
        <v>843</v>
      </c>
      <c r="BD65" s="69">
        <f>S65</f>
        <v>986</v>
      </c>
      <c r="BE65" s="69">
        <f>W65</f>
        <v>1145</v>
      </c>
      <c r="BF65" s="69">
        <f>AA65</f>
        <v>1049</v>
      </c>
      <c r="BG65" s="69">
        <f>AE65</f>
        <v>1301</v>
      </c>
      <c r="BH65" s="69">
        <f>AI65</f>
        <v>538</v>
      </c>
      <c r="BI65" s="69">
        <f>AM65</f>
        <v>258</v>
      </c>
      <c r="BJ65" s="69">
        <f>AQ65</f>
        <v>-1614</v>
      </c>
      <c r="BK65" s="69">
        <f t="shared" si="163"/>
        <v>36</v>
      </c>
      <c r="BL65" s="69">
        <f>AY65</f>
        <v>44</v>
      </c>
      <c r="BM65" s="69">
        <f>BL65+CFS!BM16+CFS!BM37+CFS!BM43+CFS!BM48+CFS!BM44+CFS!BM19+CFS!BM24+CFS!BM27+CFS!BM28+CFS!BM35+CFS!BM49</f>
        <v>52</v>
      </c>
      <c r="BN65" s="69">
        <f>BM65+CFS!BN16+CFS!BN37+CFS!BN43+CFS!BN48+CFS!BN44+CFS!BN19+CFS!BN24+CFS!BN27+CFS!BN28+CFS!BN35+CFS!BN49</f>
        <v>60</v>
      </c>
      <c r="BO65" s="22"/>
      <c r="BV65" s="8"/>
    </row>
    <row r="66" spans="1:74" ht="14.25" customHeight="1">
      <c r="A66" s="8"/>
      <c r="B66" s="140" t="s">
        <v>152</v>
      </c>
      <c r="C66" s="141"/>
      <c r="D66" s="133">
        <f t="shared" ref="D66:Y66" si="164">D61+D64+D65</f>
        <v>4532</v>
      </c>
      <c r="E66" s="131">
        <f t="shared" si="164"/>
        <v>4222</v>
      </c>
      <c r="F66" s="131">
        <f t="shared" si="164"/>
        <v>4331</v>
      </c>
      <c r="G66" s="132">
        <f t="shared" si="164"/>
        <v>4528</v>
      </c>
      <c r="H66" s="133">
        <f t="shared" si="164"/>
        <v>4681</v>
      </c>
      <c r="I66" s="131">
        <f t="shared" si="164"/>
        <v>4342</v>
      </c>
      <c r="J66" s="131">
        <f t="shared" si="164"/>
        <v>1726</v>
      </c>
      <c r="K66" s="132">
        <f t="shared" si="164"/>
        <v>1075</v>
      </c>
      <c r="L66" s="133">
        <f t="shared" si="164"/>
        <v>433</v>
      </c>
      <c r="M66" s="131">
        <f t="shared" si="164"/>
        <v>748</v>
      </c>
      <c r="N66" s="131">
        <f t="shared" si="164"/>
        <v>1137</v>
      </c>
      <c r="O66" s="132">
        <f t="shared" si="164"/>
        <v>843</v>
      </c>
      <c r="P66" s="133">
        <f t="shared" si="164"/>
        <v>578</v>
      </c>
      <c r="Q66" s="131">
        <f t="shared" si="164"/>
        <v>358</v>
      </c>
      <c r="R66" s="131">
        <f t="shared" si="164"/>
        <v>1079</v>
      </c>
      <c r="S66" s="131">
        <f t="shared" si="164"/>
        <v>986</v>
      </c>
      <c r="T66" s="133">
        <f t="shared" ref="T66:AE66" si="165">T61+T64+T65</f>
        <v>1131</v>
      </c>
      <c r="U66" s="131">
        <f t="shared" si="164"/>
        <v>1218</v>
      </c>
      <c r="V66" s="131">
        <f t="shared" si="164"/>
        <v>1357</v>
      </c>
      <c r="W66" s="132">
        <f t="shared" si="164"/>
        <v>1145</v>
      </c>
      <c r="X66" s="133">
        <f t="shared" si="165"/>
        <v>1168</v>
      </c>
      <c r="Y66" s="131">
        <f t="shared" si="164"/>
        <v>1016</v>
      </c>
      <c r="Z66" s="131">
        <f t="shared" si="165"/>
        <v>1187</v>
      </c>
      <c r="AA66" s="132">
        <f t="shared" si="165"/>
        <v>1049</v>
      </c>
      <c r="AB66" s="133">
        <f t="shared" si="165"/>
        <v>1027</v>
      </c>
      <c r="AC66" s="131">
        <f t="shared" si="165"/>
        <v>1114</v>
      </c>
      <c r="AD66" s="131">
        <f t="shared" si="165"/>
        <v>1202</v>
      </c>
      <c r="AE66" s="132">
        <f t="shared" si="165"/>
        <v>1301</v>
      </c>
      <c r="AF66" s="133">
        <f t="shared" ref="AF66:AK66" si="166">AF61+AF64+AF65</f>
        <v>1024</v>
      </c>
      <c r="AG66" s="131">
        <f t="shared" si="166"/>
        <v>1026</v>
      </c>
      <c r="AH66" s="131">
        <f t="shared" si="166"/>
        <v>586</v>
      </c>
      <c r="AI66" s="132">
        <f t="shared" si="166"/>
        <v>538</v>
      </c>
      <c r="AJ66" s="133">
        <f t="shared" si="166"/>
        <v>455</v>
      </c>
      <c r="AK66" s="131">
        <f t="shared" si="166"/>
        <v>651</v>
      </c>
      <c r="AL66" s="131">
        <f t="shared" ref="AL66:AQ66" si="167">AL61+AL64+AL65</f>
        <v>889</v>
      </c>
      <c r="AM66" s="132">
        <f t="shared" si="167"/>
        <v>11515</v>
      </c>
      <c r="AN66" s="133">
        <f t="shared" si="167"/>
        <v>11192</v>
      </c>
      <c r="AO66" s="131">
        <f t="shared" si="167"/>
        <v>10881</v>
      </c>
      <c r="AP66" s="131">
        <f t="shared" si="167"/>
        <v>10550</v>
      </c>
      <c r="AQ66" s="132">
        <f t="shared" si="167"/>
        <v>10540</v>
      </c>
      <c r="AR66" s="131">
        <f t="shared" ref="AR66:AU66" si="168">AR61+AR64+AR65</f>
        <v>12389</v>
      </c>
      <c r="AS66" s="131">
        <f t="shared" si="168"/>
        <v>12584</v>
      </c>
      <c r="AT66" s="131">
        <f t="shared" si="168"/>
        <v>12815</v>
      </c>
      <c r="AU66" s="132">
        <f t="shared" si="168"/>
        <v>13527</v>
      </c>
      <c r="AV66" s="131">
        <f t="shared" ref="AV66:AY66" si="169">AV61+AV64+AV65</f>
        <v>14142.167917413681</v>
      </c>
      <c r="AW66" s="131">
        <f t="shared" si="169"/>
        <v>14796.719295920135</v>
      </c>
      <c r="AX66" s="131">
        <f t="shared" si="169"/>
        <v>15499.042074804092</v>
      </c>
      <c r="AY66" s="132">
        <f t="shared" si="169"/>
        <v>16193.476834110916</v>
      </c>
      <c r="AZ66" s="20"/>
      <c r="BA66" s="131">
        <f>BA61+BA64+BA65</f>
        <v>4528</v>
      </c>
      <c r="BB66" s="131">
        <f>BB61+BB64+BB65</f>
        <v>1075</v>
      </c>
      <c r="BC66" s="131">
        <f t="shared" ref="BC66:BM66" si="170">BC61+BC64+BC65</f>
        <v>843</v>
      </c>
      <c r="BD66" s="131">
        <f t="shared" si="170"/>
        <v>986</v>
      </c>
      <c r="BE66" s="131">
        <f t="shared" si="170"/>
        <v>1145</v>
      </c>
      <c r="BF66" s="131">
        <f t="shared" si="170"/>
        <v>1049</v>
      </c>
      <c r="BG66" s="131">
        <f t="shared" si="170"/>
        <v>1301</v>
      </c>
      <c r="BH66" s="131">
        <f t="shared" si="170"/>
        <v>538</v>
      </c>
      <c r="BI66" s="131">
        <f t="shared" si="170"/>
        <v>11515</v>
      </c>
      <c r="BJ66" s="131">
        <f t="shared" si="170"/>
        <v>10540</v>
      </c>
      <c r="BK66" s="131">
        <f t="shared" ref="BK66:BL66" si="171">BK61+BK64+BK65</f>
        <v>13527</v>
      </c>
      <c r="BL66" s="131">
        <f t="shared" si="171"/>
        <v>16193.476834110916</v>
      </c>
      <c r="BM66" s="131">
        <f t="shared" si="170"/>
        <v>19067.667796381207</v>
      </c>
      <c r="BN66" s="131">
        <f t="shared" ref="BN66" si="172">BN61+BN64+BN65</f>
        <v>22157.174800228495</v>
      </c>
      <c r="BO66" s="22"/>
      <c r="BV66" s="8"/>
    </row>
    <row r="67" spans="1:74" ht="14.25" customHeight="1">
      <c r="A67" s="8"/>
      <c r="B67" s="171"/>
      <c r="C67" s="171"/>
      <c r="D67" s="69"/>
      <c r="E67" s="69"/>
      <c r="F67" s="69"/>
      <c r="G67" s="172"/>
      <c r="H67" s="69"/>
      <c r="I67" s="69"/>
      <c r="J67" s="69"/>
      <c r="K67" s="172"/>
      <c r="L67" s="69"/>
      <c r="M67" s="69"/>
      <c r="N67" s="69"/>
      <c r="O67" s="69"/>
      <c r="P67" s="69"/>
      <c r="Q67" s="69"/>
      <c r="R67" s="69"/>
      <c r="S67" s="172"/>
      <c r="T67" s="69"/>
      <c r="U67" s="69"/>
      <c r="V67" s="69"/>
      <c r="W67" s="172"/>
      <c r="X67" s="69"/>
      <c r="Y67" s="69"/>
      <c r="Z67" s="69"/>
      <c r="AA67" s="172"/>
      <c r="AB67" s="69"/>
      <c r="AC67" s="69"/>
      <c r="AD67" s="69"/>
      <c r="AE67" s="172"/>
      <c r="AF67" s="69"/>
      <c r="AG67" s="69"/>
      <c r="AH67" s="69"/>
      <c r="AI67" s="172"/>
      <c r="AJ67" s="69"/>
      <c r="AK67" s="69"/>
      <c r="AL67" s="69"/>
      <c r="AM67" s="172"/>
      <c r="AN67" s="69"/>
      <c r="AO67" s="69"/>
      <c r="AP67" s="69"/>
      <c r="AQ67" s="172"/>
      <c r="AR67" s="69"/>
      <c r="AS67" s="69"/>
      <c r="AT67" s="69"/>
      <c r="AU67" s="172"/>
      <c r="AV67" s="69"/>
      <c r="AW67" s="69"/>
      <c r="AX67" s="69"/>
      <c r="AY67" s="172"/>
      <c r="AZ67" s="14"/>
      <c r="BA67" s="69"/>
      <c r="BB67" s="69"/>
      <c r="BC67" s="69"/>
      <c r="BD67" s="69"/>
      <c r="BE67" s="69"/>
      <c r="BF67" s="69"/>
      <c r="BG67" s="69"/>
      <c r="BH67" s="156"/>
      <c r="BI67" s="156"/>
      <c r="BJ67" s="156"/>
      <c r="BK67" s="156"/>
      <c r="BL67" s="156"/>
      <c r="BM67" s="156"/>
      <c r="BN67" s="156"/>
      <c r="BO67" s="8"/>
      <c r="BV67" s="8"/>
    </row>
    <row r="68" spans="1:74" ht="14.25" customHeight="1">
      <c r="A68" s="8"/>
      <c r="B68" s="62" t="s">
        <v>172</v>
      </c>
      <c r="C68" s="63"/>
      <c r="D68" s="173">
        <f t="shared" ref="D68:S68" si="173">D39</f>
        <v>4532</v>
      </c>
      <c r="E68" s="173">
        <f t="shared" si="173"/>
        <v>4222</v>
      </c>
      <c r="F68" s="173">
        <f t="shared" si="173"/>
        <v>4331</v>
      </c>
      <c r="G68" s="174">
        <f t="shared" si="173"/>
        <v>4528</v>
      </c>
      <c r="H68" s="173">
        <f t="shared" si="173"/>
        <v>4681</v>
      </c>
      <c r="I68" s="173">
        <f t="shared" si="173"/>
        <v>4342</v>
      </c>
      <c r="J68" s="173">
        <f t="shared" si="173"/>
        <v>1726</v>
      </c>
      <c r="K68" s="174">
        <f t="shared" si="173"/>
        <v>1075</v>
      </c>
      <c r="L68" s="173">
        <f t="shared" si="173"/>
        <v>433</v>
      </c>
      <c r="M68" s="173">
        <f t="shared" si="173"/>
        <v>748</v>
      </c>
      <c r="N68" s="173">
        <f t="shared" si="173"/>
        <v>1137</v>
      </c>
      <c r="O68" s="173">
        <f t="shared" si="173"/>
        <v>843</v>
      </c>
      <c r="P68" s="175">
        <f t="shared" si="173"/>
        <v>578</v>
      </c>
      <c r="Q68" s="173">
        <f t="shared" si="173"/>
        <v>358</v>
      </c>
      <c r="R68" s="173">
        <f t="shared" si="173"/>
        <v>1079</v>
      </c>
      <c r="S68" s="176">
        <f t="shared" si="173"/>
        <v>986</v>
      </c>
      <c r="T68" s="173">
        <f t="shared" ref="T68:AG68" si="174">T39</f>
        <v>1131</v>
      </c>
      <c r="U68" s="173">
        <f t="shared" si="174"/>
        <v>1218</v>
      </c>
      <c r="V68" s="173">
        <f>V39</f>
        <v>1357</v>
      </c>
      <c r="W68" s="176">
        <f>W39</f>
        <v>1145</v>
      </c>
      <c r="X68" s="173">
        <f>X39</f>
        <v>1168</v>
      </c>
      <c r="Y68" s="173">
        <f>Y39</f>
        <v>1016</v>
      </c>
      <c r="Z68" s="173">
        <f t="shared" si="174"/>
        <v>1187</v>
      </c>
      <c r="AA68" s="174">
        <f t="shared" si="174"/>
        <v>1049</v>
      </c>
      <c r="AB68" s="173">
        <f t="shared" si="174"/>
        <v>1027</v>
      </c>
      <c r="AC68" s="173">
        <f t="shared" si="174"/>
        <v>1114</v>
      </c>
      <c r="AD68" s="173">
        <f t="shared" si="174"/>
        <v>1202</v>
      </c>
      <c r="AE68" s="174">
        <f>AE39</f>
        <v>1301</v>
      </c>
      <c r="AF68" s="173">
        <f>AF39</f>
        <v>1024</v>
      </c>
      <c r="AG68" s="173">
        <f t="shared" si="174"/>
        <v>1026</v>
      </c>
      <c r="AH68" s="173">
        <f>AH39</f>
        <v>586</v>
      </c>
      <c r="AI68" s="176">
        <f>AI39</f>
        <v>538</v>
      </c>
      <c r="AJ68" s="173">
        <f>AJ39</f>
        <v>455</v>
      </c>
      <c r="AK68" s="173">
        <f>AK39</f>
        <v>651</v>
      </c>
      <c r="AL68" s="173">
        <f>AL39</f>
        <v>889</v>
      </c>
      <c r="AM68" s="174">
        <f t="shared" ref="AM68" si="175">AM39</f>
        <v>11515</v>
      </c>
      <c r="AN68" s="173">
        <f>AN39</f>
        <v>11192</v>
      </c>
      <c r="AO68" s="173">
        <f t="shared" ref="AO68:AQ68" si="176">AO39</f>
        <v>10881</v>
      </c>
      <c r="AP68" s="173">
        <f t="shared" si="176"/>
        <v>10550</v>
      </c>
      <c r="AQ68" s="174">
        <f t="shared" si="176"/>
        <v>10540</v>
      </c>
      <c r="AR68" s="173">
        <f t="shared" ref="AR68:AU68" si="177">AR39</f>
        <v>12389</v>
      </c>
      <c r="AS68" s="173">
        <f t="shared" si="177"/>
        <v>12584</v>
      </c>
      <c r="AT68" s="173">
        <f t="shared" si="177"/>
        <v>12815</v>
      </c>
      <c r="AU68" s="174">
        <f t="shared" si="177"/>
        <v>13527</v>
      </c>
      <c r="AV68" s="173">
        <f t="shared" ref="AV68:AY68" si="178">AV39</f>
        <v>14142.167917413681</v>
      </c>
      <c r="AW68" s="173">
        <f t="shared" si="178"/>
        <v>14796.719295920135</v>
      </c>
      <c r="AX68" s="173">
        <f t="shared" si="178"/>
        <v>15499.042074804092</v>
      </c>
      <c r="AY68" s="174">
        <f t="shared" si="178"/>
        <v>16193.476834110916</v>
      </c>
      <c r="AZ68" s="177"/>
      <c r="BA68" s="173">
        <f>G68</f>
        <v>4528</v>
      </c>
      <c r="BB68" s="173">
        <f>K68</f>
        <v>1075</v>
      </c>
      <c r="BC68" s="173">
        <f>O68</f>
        <v>843</v>
      </c>
      <c r="BD68" s="173">
        <f>S68</f>
        <v>986</v>
      </c>
      <c r="BE68" s="173">
        <f>W68</f>
        <v>1145</v>
      </c>
      <c r="BF68" s="173">
        <f>AA68</f>
        <v>1049</v>
      </c>
      <c r="BG68" s="233">
        <f>AE68</f>
        <v>1301</v>
      </c>
      <c r="BH68" s="233">
        <f>AI68</f>
        <v>538</v>
      </c>
      <c r="BI68" s="233">
        <f>AM68</f>
        <v>11515</v>
      </c>
      <c r="BJ68" s="233">
        <f>AQ68</f>
        <v>10540</v>
      </c>
      <c r="BK68" s="233">
        <f>AU68</f>
        <v>13527</v>
      </c>
      <c r="BL68" s="233">
        <f>AY68</f>
        <v>16193.476834110916</v>
      </c>
      <c r="BM68" s="233">
        <f>BM39</f>
        <v>19067.667796381207</v>
      </c>
      <c r="BN68" s="233">
        <f>BN39</f>
        <v>22157.174800228495</v>
      </c>
      <c r="BO68" s="22"/>
      <c r="BV68" s="8"/>
    </row>
    <row r="69" spans="1:74" ht="14.25" customHeight="1">
      <c r="A69" s="8"/>
      <c r="B69" s="144" t="s">
        <v>154</v>
      </c>
      <c r="C69" s="145"/>
      <c r="D69" s="146">
        <f t="shared" ref="D69:Y69" si="179">ROUND(D68,4)-ROUND(D66,4)</f>
        <v>0</v>
      </c>
      <c r="E69" s="146">
        <f t="shared" si="179"/>
        <v>0</v>
      </c>
      <c r="F69" s="146">
        <f t="shared" si="179"/>
        <v>0</v>
      </c>
      <c r="G69" s="147">
        <f t="shared" si="179"/>
        <v>0</v>
      </c>
      <c r="H69" s="146">
        <f t="shared" si="179"/>
        <v>0</v>
      </c>
      <c r="I69" s="146">
        <f t="shared" si="179"/>
        <v>0</v>
      </c>
      <c r="J69" s="146">
        <f t="shared" si="179"/>
        <v>0</v>
      </c>
      <c r="K69" s="147">
        <f t="shared" si="179"/>
        <v>0</v>
      </c>
      <c r="L69" s="146">
        <f t="shared" si="179"/>
        <v>0</v>
      </c>
      <c r="M69" s="146">
        <f t="shared" si="179"/>
        <v>0</v>
      </c>
      <c r="N69" s="146">
        <f t="shared" si="179"/>
        <v>0</v>
      </c>
      <c r="O69" s="147">
        <f t="shared" si="179"/>
        <v>0</v>
      </c>
      <c r="P69" s="146">
        <f t="shared" si="179"/>
        <v>0</v>
      </c>
      <c r="Q69" s="146">
        <f t="shared" si="179"/>
        <v>0</v>
      </c>
      <c r="R69" s="178">
        <f t="shared" si="179"/>
        <v>0</v>
      </c>
      <c r="S69" s="146">
        <f t="shared" si="179"/>
        <v>0</v>
      </c>
      <c r="T69" s="148">
        <f t="shared" ref="T69:AG69" si="180">ROUND(T68,4)-ROUND(T66,4)</f>
        <v>0</v>
      </c>
      <c r="U69" s="146">
        <f t="shared" si="179"/>
        <v>0</v>
      </c>
      <c r="V69" s="146">
        <f t="shared" si="179"/>
        <v>0</v>
      </c>
      <c r="W69" s="146">
        <f t="shared" si="179"/>
        <v>0</v>
      </c>
      <c r="X69" s="148">
        <f t="shared" si="180"/>
        <v>0</v>
      </c>
      <c r="Y69" s="146">
        <f t="shared" si="179"/>
        <v>0</v>
      </c>
      <c r="Z69" s="146">
        <f t="shared" si="180"/>
        <v>0</v>
      </c>
      <c r="AA69" s="147">
        <f t="shared" si="180"/>
        <v>0</v>
      </c>
      <c r="AB69" s="148">
        <f t="shared" si="180"/>
        <v>0</v>
      </c>
      <c r="AC69" s="146">
        <f t="shared" si="180"/>
        <v>0</v>
      </c>
      <c r="AD69" s="146">
        <f t="shared" si="180"/>
        <v>0</v>
      </c>
      <c r="AE69" s="147">
        <f t="shared" si="180"/>
        <v>0</v>
      </c>
      <c r="AF69" s="148">
        <f>ROUND(AF68,4)-ROUND(AF66,4)</f>
        <v>0</v>
      </c>
      <c r="AG69" s="146">
        <f t="shared" si="180"/>
        <v>0</v>
      </c>
      <c r="AH69" s="146">
        <f>ROUND(AH68,4)-ROUND(AH66,4)</f>
        <v>0</v>
      </c>
      <c r="AI69" s="147">
        <f>ROUND(AI68,4)-ROUND(AI66,4)</f>
        <v>0</v>
      </c>
      <c r="AJ69" s="148">
        <f>ROUND(AJ68,4)-ROUND(AJ66,4)</f>
        <v>0</v>
      </c>
      <c r="AK69" s="146">
        <f>ROUND(AK68,4)-ROUND(AK66,4)</f>
        <v>0</v>
      </c>
      <c r="AL69" s="146">
        <f>ROUND(AL68,4)-ROUND(AL66,4)</f>
        <v>0</v>
      </c>
      <c r="AM69" s="147">
        <f t="shared" ref="AM69" si="181">ROUND(AM68,4)-ROUND(AM66,4)</f>
        <v>0</v>
      </c>
      <c r="AN69" s="148">
        <f>ROUND(AN68,4)-ROUND(AN66,4)</f>
        <v>0</v>
      </c>
      <c r="AO69" s="146">
        <f t="shared" ref="AO69:AQ69" si="182">ROUND(AO68,4)-ROUND(AO66,4)</f>
        <v>0</v>
      </c>
      <c r="AP69" s="146">
        <f t="shared" si="182"/>
        <v>0</v>
      </c>
      <c r="AQ69" s="147">
        <f t="shared" si="182"/>
        <v>0</v>
      </c>
      <c r="AR69" s="148">
        <f t="shared" ref="AR69:AU69" si="183">ROUND(AR68,4)-ROUND(AR66,4)</f>
        <v>0</v>
      </c>
      <c r="AS69" s="146">
        <f t="shared" si="183"/>
        <v>0</v>
      </c>
      <c r="AT69" s="146">
        <f t="shared" si="183"/>
        <v>0</v>
      </c>
      <c r="AU69" s="147">
        <f t="shared" si="183"/>
        <v>0</v>
      </c>
      <c r="AV69" s="148">
        <f t="shared" ref="AV69:AY69" si="184">ROUND(AV68,4)-ROUND(AV66,4)</f>
        <v>0</v>
      </c>
      <c r="AW69" s="146">
        <f t="shared" si="184"/>
        <v>0</v>
      </c>
      <c r="AX69" s="146">
        <f t="shared" si="184"/>
        <v>0</v>
      </c>
      <c r="AY69" s="147">
        <f t="shared" si="184"/>
        <v>0</v>
      </c>
      <c r="AZ69" s="177"/>
      <c r="BA69" s="146">
        <f t="shared" ref="BA69:BM69" si="185">ROUND(BA68,4)-ROUND(BA66,4)</f>
        <v>0</v>
      </c>
      <c r="BB69" s="146">
        <f t="shared" si="185"/>
        <v>0</v>
      </c>
      <c r="BC69" s="146">
        <f t="shared" si="185"/>
        <v>0</v>
      </c>
      <c r="BD69" s="146">
        <f t="shared" si="185"/>
        <v>0</v>
      </c>
      <c r="BE69" s="146">
        <f t="shared" si="185"/>
        <v>0</v>
      </c>
      <c r="BF69" s="146">
        <f t="shared" si="185"/>
        <v>0</v>
      </c>
      <c r="BG69" s="146">
        <f t="shared" si="185"/>
        <v>0</v>
      </c>
      <c r="BH69" s="146">
        <f t="shared" si="185"/>
        <v>0</v>
      </c>
      <c r="BI69" s="146">
        <f t="shared" si="185"/>
        <v>0</v>
      </c>
      <c r="BJ69" s="146">
        <f t="shared" si="185"/>
        <v>0</v>
      </c>
      <c r="BK69" s="146">
        <f t="shared" ref="BK69:BL69" si="186">ROUND(BK68,4)-ROUND(BK66,4)</f>
        <v>0</v>
      </c>
      <c r="BL69" s="146">
        <f t="shared" si="186"/>
        <v>0</v>
      </c>
      <c r="BM69" s="146">
        <f t="shared" si="185"/>
        <v>0</v>
      </c>
      <c r="BN69" s="146">
        <f t="shared" ref="BN69" si="187">ROUND(BN68,4)-ROUND(BN66,4)</f>
        <v>0</v>
      </c>
      <c r="BO69" s="22"/>
      <c r="BV69" s="8"/>
    </row>
    <row r="70" spans="1:74" ht="14.25" customHeight="1">
      <c r="A70" s="8"/>
      <c r="B70" s="57"/>
      <c r="C70" s="58"/>
      <c r="D70" s="58"/>
      <c r="E70" s="58"/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7"/>
      <c r="AB70" s="58"/>
      <c r="AC70" s="58"/>
      <c r="AD70" s="58"/>
      <c r="AE70" s="57"/>
      <c r="AF70" s="58"/>
      <c r="AG70" s="58"/>
      <c r="AH70" s="58"/>
      <c r="AI70" s="57"/>
      <c r="AJ70" s="58"/>
      <c r="AK70" s="58"/>
      <c r="AL70" s="58"/>
      <c r="AM70" s="57"/>
      <c r="AN70" s="58"/>
      <c r="AO70" s="58"/>
      <c r="AP70" s="58"/>
      <c r="AQ70" s="57"/>
      <c r="AR70" s="58"/>
      <c r="AS70" s="58"/>
      <c r="AT70" s="58"/>
      <c r="AU70" s="57"/>
      <c r="AV70" s="58"/>
      <c r="AW70" s="58"/>
      <c r="AX70" s="58"/>
      <c r="AY70" s="57"/>
      <c r="AZ70" s="8"/>
      <c r="BA70" s="58"/>
      <c r="BB70" s="58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8"/>
      <c r="BV70" s="8"/>
    </row>
    <row r="71" spans="1:74" ht="14.25" customHeight="1">
      <c r="A71" s="8"/>
      <c r="B71" s="61"/>
      <c r="C71" s="58"/>
      <c r="D71" s="179"/>
      <c r="E71" s="179"/>
      <c r="F71" s="58"/>
      <c r="G71" s="58"/>
      <c r="H71" s="179"/>
      <c r="I71" s="179"/>
      <c r="J71" s="58"/>
      <c r="K71" s="58"/>
      <c r="L71" s="179"/>
      <c r="M71" s="179"/>
      <c r="N71" s="58"/>
      <c r="O71" s="58"/>
      <c r="P71" s="58"/>
      <c r="Q71" s="58"/>
      <c r="R71" s="58"/>
      <c r="S71" s="58"/>
      <c r="T71" s="58"/>
      <c r="U71" s="58"/>
      <c r="V71" s="58"/>
      <c r="W71" s="58"/>
      <c r="X71" s="58"/>
      <c r="Y71" s="58"/>
      <c r="Z71" s="58"/>
      <c r="AA71" s="61"/>
      <c r="AB71" s="58"/>
      <c r="AC71" s="58"/>
      <c r="AD71" s="58"/>
      <c r="AE71" s="61"/>
      <c r="AF71" s="58"/>
      <c r="AG71" s="58"/>
      <c r="AH71" s="58"/>
      <c r="AI71" s="61"/>
      <c r="AJ71" s="58"/>
      <c r="AK71" s="58"/>
      <c r="AL71" s="58"/>
      <c r="AM71" s="61"/>
      <c r="AN71" s="58"/>
      <c r="AO71" s="58"/>
      <c r="AP71" s="58"/>
      <c r="AQ71" s="61"/>
      <c r="AR71" s="58"/>
      <c r="AS71" s="58"/>
      <c r="AT71" s="58"/>
      <c r="AU71" s="61"/>
      <c r="AV71" s="58"/>
      <c r="AW71" s="58"/>
      <c r="AX71" s="58"/>
      <c r="AY71" s="61"/>
      <c r="AZ71" s="8"/>
      <c r="BA71" s="58"/>
      <c r="BB71" s="58"/>
      <c r="BC71" s="58"/>
      <c r="BD71" s="58"/>
      <c r="BE71" s="58"/>
      <c r="BF71" s="58"/>
      <c r="BG71" s="58"/>
      <c r="BH71" s="58"/>
      <c r="BI71" s="58"/>
      <c r="BJ71" s="58"/>
      <c r="BK71" s="58"/>
      <c r="BL71" s="58"/>
      <c r="BM71" s="58"/>
      <c r="BN71" s="58"/>
      <c r="BO71" s="8"/>
      <c r="BV71" s="8"/>
    </row>
    <row r="72" spans="1:74" ht="14.25" customHeight="1">
      <c r="A72" s="8"/>
      <c r="B72" s="153" t="s">
        <v>173</v>
      </c>
      <c r="C72" s="154"/>
      <c r="D72" s="17" t="str">
        <f>D56</f>
        <v>F1Q07A</v>
      </c>
      <c r="E72" s="18" t="str">
        <f>E56</f>
        <v>F2Q07A</v>
      </c>
      <c r="F72" s="18" t="str">
        <f>F56</f>
        <v>F3Q07A</v>
      </c>
      <c r="G72" s="19" t="str">
        <f>G56</f>
        <v>F4Q07A</v>
      </c>
      <c r="H72" s="17" t="str">
        <f t="shared" ref="H72:AI72" si="188">H56</f>
        <v>F1Q08A</v>
      </c>
      <c r="I72" s="18" t="str">
        <f t="shared" si="188"/>
        <v>F2Q08A</v>
      </c>
      <c r="J72" s="18" t="str">
        <f t="shared" si="188"/>
        <v>F3Q08A</v>
      </c>
      <c r="K72" s="19" t="str">
        <f t="shared" si="188"/>
        <v>F4Q08A</v>
      </c>
      <c r="L72" s="17" t="str">
        <f t="shared" si="188"/>
        <v>F1Q09A</v>
      </c>
      <c r="M72" s="18" t="str">
        <f t="shared" si="188"/>
        <v>F2Q09A</v>
      </c>
      <c r="N72" s="18" t="str">
        <f t="shared" si="188"/>
        <v>F3Q09A</v>
      </c>
      <c r="O72" s="19" t="str">
        <f t="shared" si="188"/>
        <v>F4Q09A</v>
      </c>
      <c r="P72" s="17" t="str">
        <f t="shared" si="188"/>
        <v>F1Q10A</v>
      </c>
      <c r="Q72" s="18" t="str">
        <f t="shared" si="188"/>
        <v>F2Q10A</v>
      </c>
      <c r="R72" s="18" t="str">
        <f t="shared" si="188"/>
        <v>F3Q10A</v>
      </c>
      <c r="S72" s="19" t="str">
        <f t="shared" si="188"/>
        <v>F4Q10A</v>
      </c>
      <c r="T72" s="17" t="str">
        <f t="shared" si="188"/>
        <v>F1Q11A</v>
      </c>
      <c r="U72" s="18" t="str">
        <f>U56</f>
        <v>F2Q11A</v>
      </c>
      <c r="V72" s="18" t="str">
        <f>V56</f>
        <v>F3Q11A</v>
      </c>
      <c r="W72" s="19" t="str">
        <f>W56</f>
        <v>F4Q11A</v>
      </c>
      <c r="X72" s="17" t="str">
        <f>X56</f>
        <v>F1Q12A</v>
      </c>
      <c r="Y72" s="18" t="str">
        <f t="shared" si="188"/>
        <v>F2Q12A</v>
      </c>
      <c r="Z72" s="18" t="str">
        <f t="shared" si="188"/>
        <v>F3Q12A</v>
      </c>
      <c r="AA72" s="19" t="str">
        <f t="shared" si="188"/>
        <v>F4Q12A</v>
      </c>
      <c r="AB72" s="17" t="str">
        <f t="shared" si="188"/>
        <v>F1Q13A</v>
      </c>
      <c r="AC72" s="18" t="str">
        <f t="shared" si="188"/>
        <v>F2Q13A</v>
      </c>
      <c r="AD72" s="18" t="str">
        <f t="shared" si="188"/>
        <v>F3Q13A</v>
      </c>
      <c r="AE72" s="19" t="str">
        <f t="shared" si="188"/>
        <v>F4Q13A</v>
      </c>
      <c r="AF72" s="17" t="str">
        <f t="shared" si="188"/>
        <v>F1Q14A</v>
      </c>
      <c r="AG72" s="18" t="str">
        <f t="shared" si="188"/>
        <v>F2Q14A</v>
      </c>
      <c r="AH72" s="18" t="str">
        <f t="shared" si="188"/>
        <v>F3Q14A</v>
      </c>
      <c r="AI72" s="19" t="str">
        <f t="shared" si="188"/>
        <v>F4Q14A</v>
      </c>
      <c r="AJ72" s="17" t="str">
        <f t="shared" ref="AJ72:AM72" si="189">AJ56</f>
        <v>F1Q15A</v>
      </c>
      <c r="AK72" s="18" t="str">
        <f t="shared" si="189"/>
        <v>F2Q15A</v>
      </c>
      <c r="AL72" s="18" t="str">
        <f t="shared" si="189"/>
        <v>F3Q15A</v>
      </c>
      <c r="AM72" s="1489" t="str">
        <f t="shared" si="189"/>
        <v>F4Q15A</v>
      </c>
      <c r="AN72" s="1671" t="str">
        <f t="shared" ref="AN72:AQ72" si="190">AN56</f>
        <v>F1Q16A</v>
      </c>
      <c r="AO72" s="1710" t="str">
        <f t="shared" si="190"/>
        <v>F2Q16A</v>
      </c>
      <c r="AP72" s="1740" t="str">
        <f t="shared" si="190"/>
        <v>F3Q16A</v>
      </c>
      <c r="AQ72" s="1805" t="str">
        <f t="shared" si="190"/>
        <v>F4Q16A</v>
      </c>
      <c r="AR72" s="1488" t="str">
        <f t="shared" ref="AR72:AU72" si="191">AR56</f>
        <v>F1Q17A</v>
      </c>
      <c r="AS72" s="1503" t="str">
        <f t="shared" si="191"/>
        <v>F2Q17A</v>
      </c>
      <c r="AT72" s="1503" t="str">
        <f t="shared" si="191"/>
        <v>F3Q17A</v>
      </c>
      <c r="AU72" s="1489" t="str">
        <f t="shared" si="191"/>
        <v>F4Q17A</v>
      </c>
      <c r="AV72" s="1503" t="str">
        <f t="shared" ref="AV72:AY72" si="192">AV56</f>
        <v>F1Q18E</v>
      </c>
      <c r="AW72" s="1503" t="str">
        <f t="shared" si="192"/>
        <v>F2Q18E</v>
      </c>
      <c r="AX72" s="1503" t="str">
        <f t="shared" si="192"/>
        <v>F3Q18E</v>
      </c>
      <c r="AY72" s="1489" t="str">
        <f t="shared" si="192"/>
        <v>F4Q18E</v>
      </c>
      <c r="AZ72" s="20"/>
      <c r="BA72" s="155" t="str">
        <f>BA56</f>
        <v>FY2007A</v>
      </c>
      <c r="BB72" s="155" t="str">
        <f>BB56</f>
        <v>FY2008A</v>
      </c>
      <c r="BC72" s="155" t="str">
        <f t="shared" ref="BC72:BM72" si="193">BC56</f>
        <v>FY2009A</v>
      </c>
      <c r="BD72" s="155" t="str">
        <f t="shared" si="193"/>
        <v>FY2010A</v>
      </c>
      <c r="BE72" s="1709" t="str">
        <f t="shared" si="193"/>
        <v>FY2011A</v>
      </c>
      <c r="BF72" s="1710" t="str">
        <f t="shared" si="193"/>
        <v>FY2012A</v>
      </c>
      <c r="BG72" s="1709" t="str">
        <f t="shared" si="193"/>
        <v>FY2013A</v>
      </c>
      <c r="BH72" s="1710" t="str">
        <f t="shared" si="193"/>
        <v>FY2014A</v>
      </c>
      <c r="BI72" s="1710" t="str">
        <f>BI56</f>
        <v>FY2015A</v>
      </c>
      <c r="BJ72" s="1710" t="str">
        <f>BJ56</f>
        <v>FY2016A</v>
      </c>
      <c r="BK72" s="1804" t="str">
        <f>BK56</f>
        <v>FY2017A</v>
      </c>
      <c r="BL72" s="1804" t="str">
        <f>BL56</f>
        <v>FY2018E</v>
      </c>
      <c r="BM72" s="1804" t="str">
        <f t="shared" si="193"/>
        <v>FY2019E</v>
      </c>
      <c r="BN72" s="1804" t="str">
        <f t="shared" ref="BN72" si="194">BN56</f>
        <v>FY2020E</v>
      </c>
      <c r="BO72" s="22"/>
      <c r="BV72" s="8"/>
    </row>
    <row r="73" spans="1:74" ht="14.25" customHeight="1">
      <c r="A73" s="8"/>
      <c r="B73" s="62" t="s">
        <v>174</v>
      </c>
      <c r="C73" s="24"/>
      <c r="D73" s="1406">
        <f>'IS Inc FSL'!D123</f>
        <v>5</v>
      </c>
      <c r="E73" s="1404">
        <f>'IS Inc FSL'!E123</f>
        <v>5</v>
      </c>
      <c r="F73" s="1404">
        <f>'IS Inc FSL'!F123</f>
        <v>5</v>
      </c>
      <c r="G73" s="1405">
        <f>'IS Inc FSL'!G123</f>
        <v>5</v>
      </c>
      <c r="H73" s="1406">
        <f>'IS Inc FSL'!H123</f>
        <v>180.21</v>
      </c>
      <c r="I73" s="1404">
        <f>'IS Inc FSL'!I123</f>
        <v>180.21</v>
      </c>
      <c r="J73" s="1404">
        <f>'IS Inc FSL'!J123</f>
        <v>180.21</v>
      </c>
      <c r="K73" s="1405">
        <f>'IS Inc FSL'!K123</f>
        <v>180.21</v>
      </c>
      <c r="L73" s="1406">
        <f>'IS Inc FSL'!L123</f>
        <v>215.25200000000001</v>
      </c>
      <c r="M73" s="1404">
        <f>'IS Inc FSL'!M123</f>
        <v>215.25200000000001</v>
      </c>
      <c r="N73" s="1404">
        <f>'IS Inc FSL'!N123</f>
        <v>216.429</v>
      </c>
      <c r="O73" s="1405">
        <f>'IS Inc FSL'!O123</f>
        <v>215.25200000000001</v>
      </c>
      <c r="P73" s="1406">
        <f>'IS Inc FSL'!P123</f>
        <v>215.25200000000001</v>
      </c>
      <c r="Q73" s="1404">
        <f>'IS Inc FSL'!Q123</f>
        <v>215.25200000000001</v>
      </c>
      <c r="R73" s="1404">
        <f>'IS Inc FSL'!R123</f>
        <v>238.73500000000001</v>
      </c>
      <c r="S73" s="1405">
        <f>'IS Inc FSL'!S123</f>
        <v>253.761</v>
      </c>
      <c r="T73" s="1406">
        <f>'IS Inc FSL'!T123</f>
        <v>256.589</v>
      </c>
      <c r="U73" s="1404">
        <f>'IS Inc FSL'!U123</f>
        <v>256.27300000000002</v>
      </c>
      <c r="V73" s="1404">
        <f>'IS Inc FSL'!V123</f>
        <v>251.47</v>
      </c>
      <c r="W73" s="1405">
        <f>'IS Inc FSL'!W123</f>
        <v>249.91499999999999</v>
      </c>
      <c r="X73" s="1406">
        <f>'IS Inc FSL'!X123</f>
        <v>252.84399999999999</v>
      </c>
      <c r="Y73" s="1404">
        <f>'IS Inc FSL'!Y123</f>
        <v>253.387</v>
      </c>
      <c r="Z73" s="1404">
        <f>'IS Inc FSL'!Z123</f>
        <v>254</v>
      </c>
      <c r="AA73" s="1405">
        <f>'IS Inc FSL'!AA123</f>
        <v>253.97900000000001</v>
      </c>
      <c r="AB73" s="1406">
        <f>'IS Inc FSL'!AB123</f>
        <v>257.82499999999999</v>
      </c>
      <c r="AC73" s="1404">
        <f>'IS Inc FSL'!AC123</f>
        <v>255.26499999999999</v>
      </c>
      <c r="AD73" s="1404">
        <f>'IS Inc FSL'!AD123</f>
        <v>256.77699999999999</v>
      </c>
      <c r="AE73" s="1405">
        <f>'IS Inc FSL'!AE123</f>
        <v>256.16199999999998</v>
      </c>
      <c r="AF73" s="1406">
        <f>'IS Inc FSL'!AF123</f>
        <v>255.167</v>
      </c>
      <c r="AG73" s="1404">
        <f>'IS Inc FSL'!AG123</f>
        <v>250.124</v>
      </c>
      <c r="AH73" s="1404">
        <f>'IS Inc FSL'!AH123</f>
        <v>246.55</v>
      </c>
      <c r="AI73" s="1405">
        <f>'IS Inc FSL'!AI123</f>
        <v>242.90100000000001</v>
      </c>
      <c r="AJ73" s="1406">
        <f>'IS Inc FSL'!AJ123</f>
        <v>243.32599999999999</v>
      </c>
      <c r="AK73" s="1404">
        <f>'IS Inc FSL'!AK123</f>
        <v>243.28800000000001</v>
      </c>
      <c r="AL73" s="1404">
        <f>'IS Inc FSL'!AL123</f>
        <v>242.12200000000001</v>
      </c>
      <c r="AM73" s="1405">
        <f>'IS Inc FSL'!AM123</f>
        <v>272.78500000000003</v>
      </c>
      <c r="AN73" s="1406">
        <f>'IS Inc FSL'!AN123</f>
        <v>351.03699999999998</v>
      </c>
      <c r="AO73" s="1404">
        <f>'IS Inc FSL'!AO123</f>
        <v>349.363</v>
      </c>
      <c r="AP73" s="1404">
        <f>'IS Inc FSL'!AP123</f>
        <v>344.36500000000001</v>
      </c>
      <c r="AQ73" s="1405">
        <f>'IS Inc FSL'!AQ123</f>
        <v>343.54599999999999</v>
      </c>
      <c r="AR73" s="1406">
        <f>'IS Inc FSL'!AR123</f>
        <v>344.01100000000002</v>
      </c>
      <c r="AS73" s="1404">
        <f>'IS Inc FSL'!AS123</f>
        <v>344.983</v>
      </c>
      <c r="AT73" s="1404">
        <f>'IS Inc FSL'!AT123</f>
        <v>346.15199999999999</v>
      </c>
      <c r="AU73" s="1405">
        <f>'IS Inc FSL'!AU123</f>
        <v>347.17599999999999</v>
      </c>
      <c r="AV73" s="1404">
        <f>'IS Inc FSL'!AV123</f>
        <v>347.17599999999999</v>
      </c>
      <c r="AW73" s="1404">
        <f>'IS Inc FSL'!AW123</f>
        <v>347.17599999999999</v>
      </c>
      <c r="AX73" s="1404">
        <f>'IS Inc FSL'!AX123</f>
        <v>347.17599999999999</v>
      </c>
      <c r="AY73" s="1405">
        <f>'IS Inc FSL'!AY123</f>
        <v>347.17599999999999</v>
      </c>
      <c r="AZ73" s="20"/>
      <c r="BA73" s="156">
        <v>5</v>
      </c>
      <c r="BB73" s="156">
        <v>180.21</v>
      </c>
      <c r="BC73" s="156">
        <v>215.54624999999999</v>
      </c>
      <c r="BD73" s="156">
        <v>230.75</v>
      </c>
      <c r="BE73" s="69">
        <v>253.56175000000002</v>
      </c>
      <c r="BF73" s="69">
        <v>253.55250000000001</v>
      </c>
      <c r="BG73" s="1404">
        <v>256.50725</v>
      </c>
      <c r="BH73" s="1404">
        <v>248.68549999999999</v>
      </c>
      <c r="BI73" s="1404">
        <v>250.38025000000005</v>
      </c>
      <c r="BJ73" s="1404">
        <v>351.03699999999998</v>
      </c>
      <c r="BK73" s="1404">
        <v>351.03699999999998</v>
      </c>
      <c r="BL73" s="1404">
        <v>351.03699999999998</v>
      </c>
      <c r="BM73" s="1404">
        <v>345.83</v>
      </c>
      <c r="BN73" s="1404">
        <v>349.83</v>
      </c>
      <c r="BO73" s="22"/>
      <c r="BV73" s="8"/>
    </row>
    <row r="74" spans="1:74" ht="14.25" customHeight="1">
      <c r="A74" s="8"/>
      <c r="B74" s="23"/>
      <c r="C74" s="24"/>
      <c r="D74" s="182"/>
      <c r="E74" s="180"/>
      <c r="F74" s="180"/>
      <c r="G74" s="183"/>
      <c r="H74" s="182"/>
      <c r="I74" s="180"/>
      <c r="J74" s="180"/>
      <c r="K74" s="183"/>
      <c r="L74" s="182"/>
      <c r="M74" s="180"/>
      <c r="N74" s="180"/>
      <c r="O74" s="183"/>
      <c r="P74" s="180"/>
      <c r="Q74" s="180"/>
      <c r="R74" s="180"/>
      <c r="S74" s="183"/>
      <c r="T74" s="180"/>
      <c r="U74" s="180"/>
      <c r="V74" s="180"/>
      <c r="W74" s="183"/>
      <c r="X74" s="180"/>
      <c r="Y74" s="180"/>
      <c r="Z74" s="180"/>
      <c r="AA74" s="183"/>
      <c r="AB74" s="180"/>
      <c r="AC74" s="180"/>
      <c r="AD74" s="180"/>
      <c r="AE74" s="183"/>
      <c r="AF74" s="180"/>
      <c r="AG74" s="180"/>
      <c r="AH74" s="180"/>
      <c r="AI74" s="183"/>
      <c r="AJ74" s="180"/>
      <c r="AK74" s="180"/>
      <c r="AL74" s="180"/>
      <c r="AM74" s="183"/>
      <c r="AN74" s="180"/>
      <c r="AO74" s="1712"/>
      <c r="AP74" s="1712"/>
      <c r="AQ74" s="1714"/>
      <c r="AR74" s="182"/>
      <c r="AS74" s="180"/>
      <c r="AT74" s="180"/>
      <c r="AU74" s="183"/>
      <c r="AV74" s="180"/>
      <c r="AW74" s="180"/>
      <c r="AX74" s="180"/>
      <c r="AY74" s="183"/>
      <c r="AZ74" s="20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BN74" s="69"/>
      <c r="BO74" s="22"/>
      <c r="BV74" s="8"/>
    </row>
    <row r="75" spans="1:74" ht="14.25" customHeight="1">
      <c r="A75" s="8"/>
      <c r="B75" s="23" t="s">
        <v>462</v>
      </c>
      <c r="C75" s="24"/>
      <c r="D75" s="182"/>
      <c r="E75" s="180"/>
      <c r="F75" s="180"/>
      <c r="G75" s="183"/>
      <c r="H75" s="182"/>
      <c r="I75" s="180"/>
      <c r="J75" s="180"/>
      <c r="K75" s="183"/>
      <c r="L75" s="182"/>
      <c r="M75" s="180"/>
      <c r="N75" s="180"/>
      <c r="O75" s="183"/>
      <c r="P75" s="180"/>
      <c r="Q75" s="180"/>
      <c r="R75" s="180"/>
      <c r="S75" s="183"/>
      <c r="T75" s="180"/>
      <c r="U75" s="180"/>
      <c r="V75" s="180"/>
      <c r="W75" s="183"/>
      <c r="X75" s="180"/>
      <c r="Y75" s="180"/>
      <c r="Z75" s="180"/>
      <c r="AA75" s="183"/>
      <c r="AB75" s="180"/>
      <c r="AC75" s="180"/>
      <c r="AD75" s="180"/>
      <c r="AE75" s="183"/>
      <c r="AF75" s="180"/>
      <c r="AG75" s="180"/>
      <c r="AH75" s="180"/>
      <c r="AI75" s="183"/>
      <c r="AJ75" s="180"/>
      <c r="AK75" s="180"/>
      <c r="AL75" s="180"/>
      <c r="AM75" s="183"/>
      <c r="AN75" s="180"/>
      <c r="AO75" s="1712"/>
      <c r="AP75" s="1712"/>
      <c r="AQ75" s="1714"/>
      <c r="AR75" s="182"/>
      <c r="AS75" s="180"/>
      <c r="AT75" s="180"/>
      <c r="AU75" s="183"/>
      <c r="AV75" s="180"/>
      <c r="AW75" s="180"/>
      <c r="AX75" s="180"/>
      <c r="AY75" s="183"/>
      <c r="AZ75" s="20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BN75" s="69"/>
      <c r="BO75" s="22"/>
      <c r="BV75" s="8"/>
    </row>
    <row r="76" spans="1:74" ht="14.25" customHeight="1">
      <c r="A76" s="8"/>
      <c r="B76" s="23" t="s">
        <v>463</v>
      </c>
      <c r="C76" s="24"/>
      <c r="D76" s="182"/>
      <c r="E76" s="180"/>
      <c r="F76" s="180"/>
      <c r="G76" s="183"/>
      <c r="H76" s="182"/>
      <c r="I76" s="180"/>
      <c r="J76" s="180"/>
      <c r="K76" s="183"/>
      <c r="L76" s="182">
        <f t="shared" ref="L76:U76" si="195">+L34</f>
        <v>6475</v>
      </c>
      <c r="M76" s="180">
        <f t="shared" si="195"/>
        <v>6050</v>
      </c>
      <c r="N76" s="180">
        <f t="shared" si="195"/>
        <v>5313</v>
      </c>
      <c r="O76" s="183">
        <f t="shared" si="195"/>
        <v>5283</v>
      </c>
      <c r="P76" s="180">
        <f t="shared" si="195"/>
        <v>5177</v>
      </c>
      <c r="Q76" s="180">
        <f t="shared" si="195"/>
        <v>5056</v>
      </c>
      <c r="R76" s="180">
        <f t="shared" si="195"/>
        <v>4649</v>
      </c>
      <c r="S76" s="183">
        <f t="shared" si="195"/>
        <v>4551</v>
      </c>
      <c r="T76" s="180">
        <f t="shared" si="195"/>
        <v>4633</v>
      </c>
      <c r="U76" s="180">
        <f t="shared" si="195"/>
        <v>4706</v>
      </c>
      <c r="V76" s="790">
        <f t="shared" ref="V76:AA76" si="196">+V34</f>
        <v>3821</v>
      </c>
      <c r="W76" s="791">
        <f t="shared" si="196"/>
        <v>3799</v>
      </c>
      <c r="X76" s="828">
        <f t="shared" si="196"/>
        <v>3829</v>
      </c>
      <c r="Y76" s="828">
        <f t="shared" si="196"/>
        <v>3819</v>
      </c>
      <c r="Z76" s="828">
        <f t="shared" si="196"/>
        <v>3582</v>
      </c>
      <c r="AA76" s="829">
        <f t="shared" si="196"/>
        <v>3492</v>
      </c>
      <c r="AB76" s="830">
        <v>3106.5237499999998</v>
      </c>
      <c r="AC76" s="830">
        <v>3279.0475000000001</v>
      </c>
      <c r="AD76" s="830">
        <v>3276.57125</v>
      </c>
      <c r="AE76" s="831">
        <v>3281</v>
      </c>
      <c r="AF76" s="830">
        <v>3278.5237500000003</v>
      </c>
      <c r="AG76" s="830">
        <v>3276.0475000000001</v>
      </c>
      <c r="AH76" s="830">
        <f>AH30+AH34</f>
        <v>3808</v>
      </c>
      <c r="AI76" s="831">
        <v>3271.0950000000003</v>
      </c>
      <c r="AJ76" s="830">
        <v>3268.6187500000001</v>
      </c>
      <c r="AK76" s="830">
        <v>3266.1424999999999</v>
      </c>
      <c r="AL76" s="830">
        <f>AL30+AL34</f>
        <v>5050</v>
      </c>
      <c r="AM76" s="831">
        <f>AM34+AM30</f>
        <v>9212</v>
      </c>
      <c r="AN76" s="830">
        <f t="shared" ref="AN76:AO76" si="197">AN34+AN30</f>
        <v>9006</v>
      </c>
      <c r="AO76" s="830">
        <f t="shared" si="197"/>
        <v>8894</v>
      </c>
      <c r="AP76" s="830">
        <f>AP30+AP34</f>
        <v>9382</v>
      </c>
      <c r="AQ76" s="831">
        <f>AQ34+AQ30</f>
        <v>9187</v>
      </c>
      <c r="AR76" s="1552">
        <f t="shared" ref="AR76:AU76" si="198">AR30+AR34</f>
        <v>6509</v>
      </c>
      <c r="AS76" s="828">
        <f t="shared" si="198"/>
        <v>6548</v>
      </c>
      <c r="AT76" s="828">
        <f t="shared" si="198"/>
        <v>6556</v>
      </c>
      <c r="AU76" s="829">
        <f t="shared" si="198"/>
        <v>6565</v>
      </c>
      <c r="AV76" s="828">
        <f t="shared" ref="AV76:AY76" si="199">AV30+AV34</f>
        <v>6565</v>
      </c>
      <c r="AW76" s="828">
        <f t="shared" si="199"/>
        <v>6565</v>
      </c>
      <c r="AX76" s="828">
        <f t="shared" si="199"/>
        <v>6565</v>
      </c>
      <c r="AY76" s="828">
        <f t="shared" si="199"/>
        <v>6565</v>
      </c>
      <c r="AZ76" s="20"/>
      <c r="BA76" s="69"/>
      <c r="BB76" s="69"/>
      <c r="BC76" s="69"/>
      <c r="BD76" s="69"/>
      <c r="BE76" s="69"/>
      <c r="BF76" s="85">
        <v>3415.4016000000001</v>
      </c>
      <c r="BG76" s="85">
        <v>2815.64</v>
      </c>
      <c r="BH76" s="85">
        <f>AI76</f>
        <v>3271.0950000000003</v>
      </c>
      <c r="BI76" s="85">
        <f>AM76</f>
        <v>9212</v>
      </c>
      <c r="BJ76" s="85">
        <f>AQ76</f>
        <v>9187</v>
      </c>
      <c r="BK76" s="85">
        <f>AU76</f>
        <v>6565</v>
      </c>
      <c r="BL76" s="85">
        <f>AY76</f>
        <v>6565</v>
      </c>
      <c r="BM76" s="85">
        <v>2433.8974000000003</v>
      </c>
      <c r="BN76" s="85">
        <v>0</v>
      </c>
      <c r="BO76" s="22"/>
      <c r="BV76" s="8"/>
    </row>
    <row r="77" spans="1:74" s="468" customFormat="1" ht="14.25" customHeight="1">
      <c r="A77" s="581"/>
      <c r="B77" s="582" t="s">
        <v>464</v>
      </c>
      <c r="C77" s="583"/>
      <c r="D77" s="584"/>
      <c r="E77" s="585"/>
      <c r="F77" s="585"/>
      <c r="G77" s="586"/>
      <c r="H77" s="584"/>
      <c r="I77" s="585"/>
      <c r="J77" s="585"/>
      <c r="K77" s="586"/>
      <c r="L77" s="584">
        <f t="shared" ref="L77:U77" si="200">-(L11+L14)</f>
        <v>-1699</v>
      </c>
      <c r="M77" s="585">
        <f t="shared" si="200"/>
        <v>-1358</v>
      </c>
      <c r="N77" s="585">
        <f t="shared" si="200"/>
        <v>-1041</v>
      </c>
      <c r="O77" s="586">
        <f t="shared" si="200"/>
        <v>-1026</v>
      </c>
      <c r="P77" s="585">
        <f t="shared" si="200"/>
        <v>-855</v>
      </c>
      <c r="Q77" s="585">
        <f t="shared" si="200"/>
        <v>-826</v>
      </c>
      <c r="R77" s="585">
        <f t="shared" si="200"/>
        <v>-947</v>
      </c>
      <c r="S77" s="586">
        <f t="shared" si="200"/>
        <v>-898</v>
      </c>
      <c r="T77" s="585">
        <f t="shared" si="200"/>
        <v>-879</v>
      </c>
      <c r="U77" s="585">
        <f t="shared" si="200"/>
        <v>-859</v>
      </c>
      <c r="V77" s="585">
        <f>-(V11+V14)</f>
        <v>-865</v>
      </c>
      <c r="W77" s="586">
        <f t="shared" ref="W77:AF77" si="201">-(W11+W14)</f>
        <v>-743</v>
      </c>
      <c r="X77" s="832">
        <f t="shared" si="201"/>
        <v>-782</v>
      </c>
      <c r="Y77" s="832">
        <f t="shared" si="201"/>
        <v>-837</v>
      </c>
      <c r="Z77" s="832">
        <f t="shared" si="201"/>
        <v>-702</v>
      </c>
      <c r="AA77" s="833">
        <f t="shared" si="201"/>
        <v>-617</v>
      </c>
      <c r="AB77" s="832">
        <f t="shared" si="201"/>
        <v>-595</v>
      </c>
      <c r="AC77" s="832">
        <f t="shared" si="201"/>
        <v>-569</v>
      </c>
      <c r="AD77" s="832">
        <f t="shared" si="201"/>
        <v>-941</v>
      </c>
      <c r="AE77" s="833">
        <f t="shared" si="201"/>
        <v>-670</v>
      </c>
      <c r="AF77" s="832">
        <f t="shared" si="201"/>
        <v>-720</v>
      </c>
      <c r="AG77" s="832">
        <f t="shared" ref="AG77:AL77" si="202">-(AG11+AG14)</f>
        <v>-661</v>
      </c>
      <c r="AH77" s="832">
        <f t="shared" si="202"/>
        <v>-594</v>
      </c>
      <c r="AI77" s="833">
        <f t="shared" si="202"/>
        <v>-1185</v>
      </c>
      <c r="AJ77" s="832">
        <f t="shared" si="202"/>
        <v>-1355</v>
      </c>
      <c r="AK77" s="832">
        <f t="shared" si="202"/>
        <v>-2435</v>
      </c>
      <c r="AL77" s="832">
        <f t="shared" si="202"/>
        <v>-2492</v>
      </c>
      <c r="AM77" s="833">
        <f t="shared" ref="AM77" si="203">-(AM11+AM14)</f>
        <v>-1614</v>
      </c>
      <c r="AN77" s="832">
        <f t="shared" ref="AN77:AQ77" si="204">-(AN11+AN14)</f>
        <v>-1488</v>
      </c>
      <c r="AO77" s="832">
        <f t="shared" si="204"/>
        <v>-1335</v>
      </c>
      <c r="AP77" s="832">
        <f t="shared" si="204"/>
        <v>-1569</v>
      </c>
      <c r="AQ77" s="833">
        <f t="shared" si="204"/>
        <v>-1894</v>
      </c>
      <c r="AR77" s="1553">
        <f t="shared" ref="AR77:AU77" si="205">-(AR11+AR14)</f>
        <v>-2238</v>
      </c>
      <c r="AS77" s="832">
        <f t="shared" si="205"/>
        <v>-2642</v>
      </c>
      <c r="AT77" s="832">
        <f t="shared" si="205"/>
        <v>-3065</v>
      </c>
      <c r="AU77" s="833">
        <f t="shared" si="205"/>
        <v>-3547</v>
      </c>
      <c r="AV77" s="832">
        <f t="shared" ref="AV77:AY77" si="206">-(AV11+AV14)</f>
        <v>-4194.6587333745929</v>
      </c>
      <c r="AW77" s="832">
        <f t="shared" si="206"/>
        <v>-4805.9125053093858</v>
      </c>
      <c r="AX77" s="832">
        <f t="shared" si="206"/>
        <v>-5453.0583230743287</v>
      </c>
      <c r="AY77" s="833">
        <f t="shared" si="206"/>
        <v>-6144.9133425871196</v>
      </c>
      <c r="AZ77" s="476"/>
      <c r="BA77" s="587"/>
      <c r="BB77" s="587"/>
      <c r="BC77" s="587"/>
      <c r="BD77" s="587"/>
      <c r="BE77" s="587"/>
      <c r="BF77" s="587">
        <f>-SUM(BF11+BF22+BF14)</f>
        <v>-617</v>
      </c>
      <c r="BG77" s="587">
        <f t="shared" ref="BG77:BM77" si="207">-SUM(BG11+BG22+BG14)</f>
        <v>-670</v>
      </c>
      <c r="BH77" s="587">
        <f>-SUM(BH11+BH22+BH14)</f>
        <v>-1185</v>
      </c>
      <c r="BI77" s="587">
        <f>-SUM(BI11+BI22+BI14)</f>
        <v>-1614</v>
      </c>
      <c r="BJ77" s="587">
        <f>-SUM(BJ11+BJ22+BJ14)</f>
        <v>-1894</v>
      </c>
      <c r="BK77" s="587">
        <f>-SUM(BK11+BK22+BK14)</f>
        <v>-3547</v>
      </c>
      <c r="BL77" s="587">
        <f>-SUM(BL11+BL22+BL14)</f>
        <v>-6144.9133425871196</v>
      </c>
      <c r="BM77" s="587">
        <f t="shared" si="207"/>
        <v>-8987.2571609383012</v>
      </c>
      <c r="BN77" s="587">
        <f t="shared" ref="BN77" si="208">-SUM(BN11+BN22+BN14)</f>
        <v>-11984.679652378612</v>
      </c>
      <c r="BO77" s="588"/>
      <c r="BP77"/>
      <c r="BQ77"/>
      <c r="BR77"/>
      <c r="BS77"/>
      <c r="BT77"/>
      <c r="BU77"/>
      <c r="BV77" s="581"/>
    </row>
    <row r="78" spans="1:74" ht="14.25" customHeight="1">
      <c r="A78" s="8"/>
      <c r="B78" s="23" t="s">
        <v>461</v>
      </c>
      <c r="C78" s="24"/>
      <c r="D78" s="182"/>
      <c r="E78" s="180"/>
      <c r="F78" s="180"/>
      <c r="G78" s="183"/>
      <c r="H78" s="182"/>
      <c r="I78" s="180"/>
      <c r="J78" s="180"/>
      <c r="K78" s="183"/>
      <c r="L78" s="182">
        <f t="shared" ref="L78:U78" si="209">+SUM(L76:L77)</f>
        <v>4776</v>
      </c>
      <c r="M78" s="180">
        <f t="shared" si="209"/>
        <v>4692</v>
      </c>
      <c r="N78" s="180">
        <f t="shared" si="209"/>
        <v>4272</v>
      </c>
      <c r="O78" s="183">
        <f t="shared" si="209"/>
        <v>4257</v>
      </c>
      <c r="P78" s="180">
        <f t="shared" si="209"/>
        <v>4322</v>
      </c>
      <c r="Q78" s="180">
        <f t="shared" si="209"/>
        <v>4230</v>
      </c>
      <c r="R78" s="180">
        <f t="shared" si="209"/>
        <v>3702</v>
      </c>
      <c r="S78" s="183">
        <f t="shared" si="209"/>
        <v>3653</v>
      </c>
      <c r="T78" s="180">
        <f t="shared" si="209"/>
        <v>3754</v>
      </c>
      <c r="U78" s="180">
        <f t="shared" si="209"/>
        <v>3847</v>
      </c>
      <c r="V78" s="180">
        <f>+SUM(V76:V77)</f>
        <v>2956</v>
      </c>
      <c r="W78" s="183">
        <f t="shared" ref="W78:AF78" si="210">+SUM(W76:W77)</f>
        <v>3056</v>
      </c>
      <c r="X78" s="828">
        <f t="shared" si="210"/>
        <v>3047</v>
      </c>
      <c r="Y78" s="828">
        <f t="shared" si="210"/>
        <v>2982</v>
      </c>
      <c r="Z78" s="828">
        <f t="shared" si="210"/>
        <v>2880</v>
      </c>
      <c r="AA78" s="829">
        <f t="shared" si="210"/>
        <v>2875</v>
      </c>
      <c r="AB78" s="828">
        <f t="shared" si="210"/>
        <v>2511.5237499999998</v>
      </c>
      <c r="AC78" s="828">
        <f t="shared" si="210"/>
        <v>2710.0475000000001</v>
      </c>
      <c r="AD78" s="828">
        <f t="shared" si="210"/>
        <v>2335.57125</v>
      </c>
      <c r="AE78" s="829">
        <f t="shared" si="210"/>
        <v>2611</v>
      </c>
      <c r="AF78" s="828">
        <f t="shared" si="210"/>
        <v>2558.5237500000003</v>
      </c>
      <c r="AG78" s="828">
        <f t="shared" ref="AG78:AL78" si="211">+SUM(AG76:AG77)</f>
        <v>2615.0475000000001</v>
      </c>
      <c r="AH78" s="828">
        <f t="shared" si="211"/>
        <v>3214</v>
      </c>
      <c r="AI78" s="829">
        <f t="shared" si="211"/>
        <v>2086.0950000000003</v>
      </c>
      <c r="AJ78" s="828">
        <f t="shared" si="211"/>
        <v>1913.6187500000001</v>
      </c>
      <c r="AK78" s="828">
        <f t="shared" si="211"/>
        <v>831.14249999999993</v>
      </c>
      <c r="AL78" s="828">
        <f t="shared" si="211"/>
        <v>2558</v>
      </c>
      <c r="AM78" s="829">
        <f t="shared" ref="AM78:AP78" si="212">+SUM(AM76:AM77)</f>
        <v>7598</v>
      </c>
      <c r="AN78" s="828">
        <f t="shared" si="212"/>
        <v>7518</v>
      </c>
      <c r="AO78" s="828">
        <f t="shared" si="212"/>
        <v>7559</v>
      </c>
      <c r="AP78" s="828">
        <f t="shared" si="212"/>
        <v>7813</v>
      </c>
      <c r="AQ78" s="829">
        <f t="shared" ref="AQ78" si="213">+SUM(AQ76:AQ77)</f>
        <v>7293</v>
      </c>
      <c r="AR78" s="1552">
        <f t="shared" ref="AR78:AU78" si="214">+SUM(AR76:AR77)</f>
        <v>4271</v>
      </c>
      <c r="AS78" s="828">
        <f t="shared" si="214"/>
        <v>3906</v>
      </c>
      <c r="AT78" s="828">
        <f t="shared" si="214"/>
        <v>3491</v>
      </c>
      <c r="AU78" s="829">
        <f t="shared" si="214"/>
        <v>3018</v>
      </c>
      <c r="AV78" s="828">
        <f t="shared" ref="AV78:AY78" si="215">+SUM(AV76:AV77)</f>
        <v>2370.3412666254071</v>
      </c>
      <c r="AW78" s="828">
        <f t="shared" si="215"/>
        <v>1759.0874946906142</v>
      </c>
      <c r="AX78" s="828">
        <f t="shared" si="215"/>
        <v>1111.9416769256713</v>
      </c>
      <c r="AY78" s="829">
        <f t="shared" si="215"/>
        <v>420.08665741288041</v>
      </c>
      <c r="AZ78" s="20"/>
      <c r="BA78" s="69"/>
      <c r="BB78" s="69"/>
      <c r="BC78" s="69"/>
      <c r="BD78" s="69"/>
      <c r="BE78" s="69"/>
      <c r="BF78" s="69">
        <f>+SUM(BF76:BF77)</f>
        <v>2798.4016000000001</v>
      </c>
      <c r="BG78" s="69">
        <f t="shared" ref="BG78:BM78" si="216">+SUM(BG76:BG77)</f>
        <v>2145.64</v>
      </c>
      <c r="BH78" s="69">
        <f t="shared" si="216"/>
        <v>2086.0950000000003</v>
      </c>
      <c r="BI78" s="69">
        <f t="shared" si="216"/>
        <v>7598</v>
      </c>
      <c r="BJ78" s="69">
        <f t="shared" si="216"/>
        <v>7293</v>
      </c>
      <c r="BK78" s="69">
        <f t="shared" ref="BK78:BL78" si="217">+SUM(BK76:BK77)</f>
        <v>3018</v>
      </c>
      <c r="BL78" s="69">
        <f t="shared" si="217"/>
        <v>420.08665741288041</v>
      </c>
      <c r="BM78" s="69">
        <f t="shared" si="216"/>
        <v>-6553.3597609383014</v>
      </c>
      <c r="BN78" s="69">
        <f t="shared" ref="BN78" si="218">+SUM(BN76:BN77)</f>
        <v>-11984.679652378612</v>
      </c>
      <c r="BO78" s="22"/>
      <c r="BV78" s="8"/>
    </row>
    <row r="79" spans="1:74" ht="14.25" customHeight="1">
      <c r="A79" s="8"/>
      <c r="B79" s="23"/>
      <c r="C79" s="24"/>
      <c r="D79" s="182"/>
      <c r="E79" s="180"/>
      <c r="F79" s="180"/>
      <c r="G79" s="183"/>
      <c r="H79" s="182"/>
      <c r="I79" s="180"/>
      <c r="J79" s="180"/>
      <c r="K79" s="183"/>
      <c r="L79" s="182"/>
      <c r="M79" s="180"/>
      <c r="N79" s="180"/>
      <c r="O79" s="183"/>
      <c r="P79" s="180"/>
      <c r="Q79" s="180"/>
      <c r="R79" s="180"/>
      <c r="S79" s="183"/>
      <c r="T79" s="180"/>
      <c r="U79" s="180"/>
      <c r="V79" s="180"/>
      <c r="W79" s="183"/>
      <c r="X79" s="180"/>
      <c r="Y79" s="180"/>
      <c r="Z79" s="180"/>
      <c r="AA79" s="183"/>
      <c r="AB79" s="180"/>
      <c r="AC79" s="180"/>
      <c r="AD79" s="180"/>
      <c r="AE79" s="183"/>
      <c r="AF79" s="180"/>
      <c r="AG79" s="180"/>
      <c r="AH79" s="180"/>
      <c r="AI79" s="183"/>
      <c r="AJ79" s="180"/>
      <c r="AK79" s="180"/>
      <c r="AL79" s="180"/>
      <c r="AM79" s="183"/>
      <c r="AN79" s="180"/>
      <c r="AO79" s="1712"/>
      <c r="AP79" s="1712"/>
      <c r="AQ79" s="1714"/>
      <c r="AR79" s="182"/>
      <c r="AS79" s="180"/>
      <c r="AT79" s="180"/>
      <c r="AU79" s="183"/>
      <c r="AV79" s="180"/>
      <c r="AW79" s="180"/>
      <c r="AX79" s="180"/>
      <c r="AY79" s="183"/>
      <c r="AZ79" s="20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BN79" s="69"/>
      <c r="BO79" s="22"/>
      <c r="BV79" s="8"/>
    </row>
    <row r="80" spans="1:74" s="468" customFormat="1" ht="14.25" customHeight="1">
      <c r="A80" s="581"/>
      <c r="B80" s="582" t="s">
        <v>471</v>
      </c>
      <c r="C80" s="583"/>
      <c r="D80" s="584"/>
      <c r="E80" s="585"/>
      <c r="F80" s="585"/>
      <c r="G80" s="586"/>
      <c r="H80" s="584"/>
      <c r="I80" s="585"/>
      <c r="J80" s="585"/>
      <c r="K80" s="586"/>
      <c r="L80" s="584"/>
      <c r="M80" s="585"/>
      <c r="N80" s="585"/>
      <c r="O80" s="586"/>
      <c r="P80" s="585"/>
      <c r="Q80" s="585"/>
      <c r="R80" s="585"/>
      <c r="S80" s="586"/>
      <c r="T80" s="585"/>
      <c r="U80" s="585"/>
      <c r="V80" s="585"/>
      <c r="W80" s="586"/>
      <c r="X80" s="1054">
        <v>274</v>
      </c>
      <c r="Y80" s="1054">
        <v>192</v>
      </c>
      <c r="Z80" s="1054">
        <v>238</v>
      </c>
      <c r="AA80" s="1055">
        <v>288</v>
      </c>
      <c r="AB80" s="1054">
        <v>327</v>
      </c>
      <c r="AC80" s="1054">
        <v>360</v>
      </c>
      <c r="AD80" s="1054">
        <v>291</v>
      </c>
      <c r="AE80" s="586">
        <f>+AD80</f>
        <v>291</v>
      </c>
      <c r="AF80" s="1343">
        <v>396</v>
      </c>
      <c r="AG80" s="1343">
        <v>451</v>
      </c>
      <c r="AH80" s="1054">
        <v>373</v>
      </c>
      <c r="AI80" s="1393">
        <v>426</v>
      </c>
      <c r="AJ80" s="1343">
        <v>461</v>
      </c>
      <c r="AK80" s="1343">
        <v>451</v>
      </c>
      <c r="AL80" s="1054">
        <v>373</v>
      </c>
      <c r="AM80" s="1393">
        <v>426</v>
      </c>
      <c r="AN80" s="1343">
        <v>461</v>
      </c>
      <c r="AO80" s="1343">
        <v>451</v>
      </c>
      <c r="AP80" s="1054">
        <v>373</v>
      </c>
      <c r="AQ80" s="1393">
        <v>426</v>
      </c>
      <c r="AR80" s="584">
        <f t="shared" ref="AR80" si="219">+AQ80</f>
        <v>426</v>
      </c>
      <c r="AS80" s="585">
        <f t="shared" ref="AS80" si="220">+AR80</f>
        <v>426</v>
      </c>
      <c r="AT80" s="585">
        <f t="shared" ref="AT80" si="221">+AS80</f>
        <v>426</v>
      </c>
      <c r="AU80" s="586">
        <f t="shared" ref="AU80" si="222">+AT80</f>
        <v>426</v>
      </c>
      <c r="AV80" s="585">
        <f t="shared" ref="AV80" si="223">+AU80</f>
        <v>426</v>
      </c>
      <c r="AW80" s="585">
        <f t="shared" ref="AW80" si="224">+AV80</f>
        <v>426</v>
      </c>
      <c r="AX80" s="585">
        <f t="shared" ref="AX80" si="225">+AW80</f>
        <v>426</v>
      </c>
      <c r="AY80" s="586">
        <f t="shared" ref="AY80" si="226">+AX80</f>
        <v>426</v>
      </c>
      <c r="AZ80" s="476"/>
      <c r="BA80" s="587"/>
      <c r="BB80" s="587"/>
      <c r="BC80" s="587"/>
      <c r="BD80" s="587"/>
      <c r="BE80" s="587"/>
      <c r="BF80" s="587"/>
      <c r="BG80" s="587">
        <f>+AE80</f>
        <v>291</v>
      </c>
      <c r="BH80" s="587">
        <f>+AI80</f>
        <v>426</v>
      </c>
      <c r="BI80" s="587">
        <f>+AM80</f>
        <v>426</v>
      </c>
      <c r="BJ80" s="587">
        <f>AQ80</f>
        <v>426</v>
      </c>
      <c r="BK80" s="587">
        <f>AU80</f>
        <v>426</v>
      </c>
      <c r="BL80" s="587">
        <f>AY80</f>
        <v>426</v>
      </c>
      <c r="BM80" s="587">
        <f>+BL80</f>
        <v>426</v>
      </c>
      <c r="BN80" s="587">
        <f>+BM80</f>
        <v>426</v>
      </c>
      <c r="BO80" s="588"/>
      <c r="BP80"/>
      <c r="BQ80"/>
      <c r="BR80"/>
      <c r="BS80"/>
      <c r="BT80"/>
      <c r="BU80"/>
      <c r="BV80" s="581"/>
    </row>
    <row r="81" spans="1:74" ht="14.25" customHeight="1">
      <c r="A81" s="8"/>
      <c r="B81" s="23" t="s">
        <v>472</v>
      </c>
      <c r="C81" s="24"/>
      <c r="D81" s="182"/>
      <c r="E81" s="180"/>
      <c r="F81" s="180"/>
      <c r="G81" s="183"/>
      <c r="H81" s="182"/>
      <c r="I81" s="180"/>
      <c r="J81" s="180"/>
      <c r="K81" s="183"/>
      <c r="L81" s="182"/>
      <c r="M81" s="180"/>
      <c r="N81" s="180"/>
      <c r="O81" s="183"/>
      <c r="P81" s="180"/>
      <c r="Q81" s="180"/>
      <c r="R81" s="180"/>
      <c r="S81" s="183"/>
      <c r="T81" s="180"/>
      <c r="U81" s="180"/>
      <c r="V81" s="180"/>
      <c r="W81" s="183"/>
      <c r="X81" s="180"/>
      <c r="Y81" s="180"/>
      <c r="Z81" s="180"/>
      <c r="AA81" s="183"/>
      <c r="AB81" s="180">
        <f t="shared" ref="AB81:AI81" si="227">-AB77-AB80</f>
        <v>268</v>
      </c>
      <c r="AC81" s="180">
        <f t="shared" si="227"/>
        <v>209</v>
      </c>
      <c r="AD81" s="180">
        <f t="shared" si="227"/>
        <v>650</v>
      </c>
      <c r="AE81" s="183">
        <f t="shared" si="227"/>
        <v>379</v>
      </c>
      <c r="AF81" s="180">
        <f t="shared" si="227"/>
        <v>324</v>
      </c>
      <c r="AG81" s="180">
        <f t="shared" si="227"/>
        <v>210</v>
      </c>
      <c r="AH81" s="180">
        <f t="shared" si="227"/>
        <v>221</v>
      </c>
      <c r="AI81" s="183">
        <f t="shared" si="227"/>
        <v>759</v>
      </c>
      <c r="AJ81" s="180">
        <f>-AJ77-AJ80</f>
        <v>894</v>
      </c>
      <c r="AK81" s="180">
        <f>-AK77-AK80</f>
        <v>1984</v>
      </c>
      <c r="AL81" s="180">
        <f t="shared" ref="AL81:AM81" si="228">-AL77-AL80</f>
        <v>2119</v>
      </c>
      <c r="AM81" s="183">
        <f t="shared" si="228"/>
        <v>1188</v>
      </c>
      <c r="AN81" s="180">
        <f>-AN77-AN80</f>
        <v>1027</v>
      </c>
      <c r="AO81" s="1712">
        <f>-AO77-AO80</f>
        <v>884</v>
      </c>
      <c r="AP81" s="1712">
        <f t="shared" ref="AP81:AQ81" si="229">-AP77-AP80</f>
        <v>1196</v>
      </c>
      <c r="AQ81" s="1714">
        <f t="shared" si="229"/>
        <v>1468</v>
      </c>
      <c r="AR81" s="182">
        <f t="shared" ref="AR81:AU81" si="230">-AR77-AR80</f>
        <v>1812</v>
      </c>
      <c r="AS81" s="180">
        <f t="shared" si="230"/>
        <v>2216</v>
      </c>
      <c r="AT81" s="180">
        <f t="shared" si="230"/>
        <v>2639</v>
      </c>
      <c r="AU81" s="183">
        <f t="shared" si="230"/>
        <v>3121</v>
      </c>
      <c r="AV81" s="180">
        <f t="shared" ref="AV81:AY81" si="231">-AV77-AV80</f>
        <v>3768.6587333745929</v>
      </c>
      <c r="AW81" s="180">
        <f t="shared" si="231"/>
        <v>4379.9125053093858</v>
      </c>
      <c r="AX81" s="180">
        <f t="shared" si="231"/>
        <v>5027.0583230743287</v>
      </c>
      <c r="AY81" s="183">
        <f t="shared" si="231"/>
        <v>5718.9133425871196</v>
      </c>
      <c r="AZ81" s="20"/>
      <c r="BA81" s="69"/>
      <c r="BB81" s="69"/>
      <c r="BC81" s="69"/>
      <c r="BD81" s="69"/>
      <c r="BE81" s="69"/>
      <c r="BF81" s="69"/>
      <c r="BG81" s="69">
        <f t="shared" ref="BG81:BM81" si="232">-BG77-BG80</f>
        <v>379</v>
      </c>
      <c r="BH81" s="69">
        <f t="shared" si="232"/>
        <v>759</v>
      </c>
      <c r="BI81" s="69">
        <f t="shared" si="232"/>
        <v>1188</v>
      </c>
      <c r="BJ81" s="69">
        <f t="shared" si="232"/>
        <v>1468</v>
      </c>
      <c r="BK81" s="69">
        <f t="shared" ref="BK81:BL81" si="233">-BK77-BK80</f>
        <v>3121</v>
      </c>
      <c r="BL81" s="69">
        <f t="shared" si="233"/>
        <v>5718.9133425871196</v>
      </c>
      <c r="BM81" s="69">
        <f t="shared" si="232"/>
        <v>8561.2571609383012</v>
      </c>
      <c r="BN81" s="69">
        <f t="shared" ref="BN81" si="234">-BN77-BN80</f>
        <v>11558.679652378612</v>
      </c>
      <c r="BO81" s="22"/>
      <c r="BV81" s="8"/>
    </row>
    <row r="82" spans="1:74" ht="14.25" customHeight="1">
      <c r="A82" s="8"/>
      <c r="B82" s="23"/>
      <c r="C82" s="24"/>
      <c r="D82" s="182"/>
      <c r="E82" s="180"/>
      <c r="F82" s="180"/>
      <c r="G82" s="183"/>
      <c r="H82" s="182"/>
      <c r="I82" s="180"/>
      <c r="J82" s="180"/>
      <c r="K82" s="183"/>
      <c r="L82" s="182"/>
      <c r="M82" s="180"/>
      <c r="N82" s="180"/>
      <c r="O82" s="183"/>
      <c r="P82" s="180"/>
      <c r="Q82" s="180"/>
      <c r="R82" s="180"/>
      <c r="S82" s="183"/>
      <c r="T82" s="180"/>
      <c r="U82" s="180"/>
      <c r="V82" s="180"/>
      <c r="W82" s="183"/>
      <c r="X82" s="180"/>
      <c r="Y82" s="180"/>
      <c r="Z82" s="180"/>
      <c r="AA82" s="183"/>
      <c r="AB82" s="180"/>
      <c r="AC82" s="180"/>
      <c r="AD82" s="180"/>
      <c r="AE82" s="183"/>
      <c r="AF82" s="180"/>
      <c r="AG82" s="180"/>
      <c r="AH82" s="180"/>
      <c r="AI82" s="183"/>
      <c r="AJ82" s="180"/>
      <c r="AK82" s="180"/>
      <c r="AL82" s="180"/>
      <c r="AM82" s="183"/>
      <c r="AN82" s="180"/>
      <c r="AO82" s="1712"/>
      <c r="AP82" s="1712"/>
      <c r="AQ82" s="1714"/>
      <c r="AR82" s="182"/>
      <c r="AS82" s="180"/>
      <c r="AT82" s="180"/>
      <c r="AU82" s="183"/>
      <c r="AV82" s="180"/>
      <c r="AW82" s="180"/>
      <c r="AX82" s="180"/>
      <c r="AY82" s="183"/>
      <c r="AZ82" s="20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BN82" s="69"/>
      <c r="BO82" s="22"/>
      <c r="BV82" s="8"/>
    </row>
    <row r="83" spans="1:74" ht="14.25" customHeight="1">
      <c r="A83" s="8"/>
      <c r="B83" s="23" t="s">
        <v>473</v>
      </c>
      <c r="C83" s="24"/>
      <c r="D83" s="182"/>
      <c r="E83" s="180"/>
      <c r="F83" s="180"/>
      <c r="G83" s="183"/>
      <c r="H83" s="182"/>
      <c r="I83" s="180"/>
      <c r="J83" s="180"/>
      <c r="K83" s="183"/>
      <c r="L83" s="182"/>
      <c r="M83" s="180"/>
      <c r="N83" s="180"/>
      <c r="O83" s="183"/>
      <c r="P83" s="180"/>
      <c r="Q83" s="180"/>
      <c r="R83" s="180"/>
      <c r="S83" s="183"/>
      <c r="T83" s="180"/>
      <c r="U83" s="180"/>
      <c r="V83" s="180"/>
      <c r="W83" s="183"/>
      <c r="X83" s="180"/>
      <c r="Y83" s="180"/>
      <c r="Z83" s="180"/>
      <c r="AA83" s="183"/>
      <c r="AB83" s="1057">
        <v>0.61</v>
      </c>
      <c r="AC83" s="1057">
        <v>0.625</v>
      </c>
      <c r="AD83" s="1137">
        <f t="shared" ref="AD83:AQ83" si="235">+AC83</f>
        <v>0.625</v>
      </c>
      <c r="AE83" s="1087">
        <f t="shared" si="235"/>
        <v>0.625</v>
      </c>
      <c r="AF83" s="1086">
        <f t="shared" si="235"/>
        <v>0.625</v>
      </c>
      <c r="AG83" s="1345">
        <f t="shared" si="235"/>
        <v>0.625</v>
      </c>
      <c r="AH83" s="1137">
        <f t="shared" si="235"/>
        <v>0.625</v>
      </c>
      <c r="AI83" s="1394">
        <f t="shared" si="235"/>
        <v>0.625</v>
      </c>
      <c r="AJ83" s="1086">
        <f t="shared" si="235"/>
        <v>0.625</v>
      </c>
      <c r="AK83" s="1345">
        <f t="shared" si="235"/>
        <v>0.625</v>
      </c>
      <c r="AL83" s="1137">
        <f t="shared" si="235"/>
        <v>0.625</v>
      </c>
      <c r="AM83" s="1394">
        <f t="shared" si="235"/>
        <v>0.625</v>
      </c>
      <c r="AN83" s="1086">
        <f t="shared" si="235"/>
        <v>0.625</v>
      </c>
      <c r="AO83" s="1677">
        <f t="shared" si="235"/>
        <v>0.625</v>
      </c>
      <c r="AP83" s="1749">
        <f t="shared" si="235"/>
        <v>0.625</v>
      </c>
      <c r="AQ83" s="1751">
        <f t="shared" si="235"/>
        <v>0.625</v>
      </c>
      <c r="AR83" s="1554">
        <f t="shared" ref="AR83" si="236">+AQ83</f>
        <v>0.625</v>
      </c>
      <c r="AS83" s="1086">
        <f t="shared" ref="AS83" si="237">+AR83</f>
        <v>0.625</v>
      </c>
      <c r="AT83" s="1086">
        <f t="shared" ref="AT83" si="238">+AS83</f>
        <v>0.625</v>
      </c>
      <c r="AU83" s="1087">
        <f t="shared" ref="AU83" si="239">+AT83</f>
        <v>0.625</v>
      </c>
      <c r="AV83" s="1086">
        <f t="shared" ref="AV83" si="240">+AU83</f>
        <v>0.625</v>
      </c>
      <c r="AW83" s="1086">
        <f t="shared" ref="AW83" si="241">+AV83</f>
        <v>0.625</v>
      </c>
      <c r="AX83" s="1086">
        <f t="shared" ref="AX83" si="242">+AW83</f>
        <v>0.625</v>
      </c>
      <c r="AY83" s="1087">
        <f t="shared" ref="AY83" si="243">+AX83</f>
        <v>0.625</v>
      </c>
      <c r="AZ83" s="20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69"/>
      <c r="BN83" s="69"/>
      <c r="BO83" s="22"/>
      <c r="BV83" s="8"/>
    </row>
    <row r="84" spans="1:74" ht="14.25" customHeight="1">
      <c r="A84" s="8"/>
      <c r="B84" s="23" t="s">
        <v>474</v>
      </c>
      <c r="C84" s="24"/>
      <c r="D84" s="182"/>
      <c r="E84" s="180"/>
      <c r="F84" s="180"/>
      <c r="G84" s="183"/>
      <c r="H84" s="182"/>
      <c r="I84" s="180"/>
      <c r="J84" s="180"/>
      <c r="K84" s="183"/>
      <c r="L84" s="182"/>
      <c r="M84" s="180"/>
      <c r="N84" s="180"/>
      <c r="O84" s="183"/>
      <c r="P84" s="180"/>
      <c r="Q84" s="180"/>
      <c r="R84" s="180"/>
      <c r="S84" s="183"/>
      <c r="T84" s="180"/>
      <c r="U84" s="180"/>
      <c r="V84" s="180"/>
      <c r="W84" s="183"/>
      <c r="X84" s="180"/>
      <c r="Y84" s="180"/>
      <c r="Z84" s="180"/>
      <c r="AA84" s="183"/>
      <c r="AB84" s="180">
        <f t="shared" ref="AB84:AI84" si="244">+AB78+AB80*AB83</f>
        <v>2710.9937499999996</v>
      </c>
      <c r="AC84" s="180">
        <f t="shared" si="244"/>
        <v>2935.0475000000001</v>
      </c>
      <c r="AD84" s="180">
        <f t="shared" si="244"/>
        <v>2517.44625</v>
      </c>
      <c r="AE84" s="183">
        <f t="shared" si="244"/>
        <v>2792.875</v>
      </c>
      <c r="AF84" s="180">
        <f t="shared" si="244"/>
        <v>2806.0237500000003</v>
      </c>
      <c r="AG84" s="180">
        <f t="shared" si="244"/>
        <v>2896.9225000000001</v>
      </c>
      <c r="AH84" s="180">
        <f t="shared" si="244"/>
        <v>3447.125</v>
      </c>
      <c r="AI84" s="183">
        <f t="shared" si="244"/>
        <v>2352.3450000000003</v>
      </c>
      <c r="AJ84" s="180">
        <f>+AJ78+AJ80*AJ83</f>
        <v>2201.7437500000001</v>
      </c>
      <c r="AK84" s="180">
        <f>+AK78+AK80*AK83</f>
        <v>1113.0174999999999</v>
      </c>
      <c r="AL84" s="180">
        <f t="shared" ref="AL84:AM84" si="245">+AL78+AL80*AL83</f>
        <v>2791.125</v>
      </c>
      <c r="AM84" s="183">
        <f t="shared" si="245"/>
        <v>7864.25</v>
      </c>
      <c r="AN84" s="180">
        <f>+AN78+AN80*AN83</f>
        <v>7806.125</v>
      </c>
      <c r="AO84" s="1712">
        <f>+AO78+AO80*AO83</f>
        <v>7840.875</v>
      </c>
      <c r="AP84" s="1712">
        <f t="shared" ref="AP84:AQ84" si="246">+AP78+AP80*AP83</f>
        <v>8046.125</v>
      </c>
      <c r="AQ84" s="1714">
        <f t="shared" si="246"/>
        <v>7559.25</v>
      </c>
      <c r="AR84" s="182">
        <f t="shared" ref="AR84:AU84" si="247">+AR78+AR80*AR83</f>
        <v>4537.25</v>
      </c>
      <c r="AS84" s="180">
        <f t="shared" si="247"/>
        <v>4172.25</v>
      </c>
      <c r="AT84" s="180">
        <f t="shared" si="247"/>
        <v>3757.25</v>
      </c>
      <c r="AU84" s="183">
        <f t="shared" si="247"/>
        <v>3284.25</v>
      </c>
      <c r="AV84" s="180">
        <f t="shared" ref="AV84:AY84" si="248">+AV78+AV80*AV83</f>
        <v>2636.5912666254071</v>
      </c>
      <c r="AW84" s="180">
        <f t="shared" si="248"/>
        <v>2025.3374946906142</v>
      </c>
      <c r="AX84" s="180">
        <f t="shared" si="248"/>
        <v>1378.1916769256713</v>
      </c>
      <c r="AY84" s="183">
        <f t="shared" si="248"/>
        <v>686.33665741288041</v>
      </c>
      <c r="AZ84" s="20"/>
      <c r="BA84" s="69"/>
      <c r="BB84" s="69"/>
      <c r="BC84" s="69"/>
      <c r="BD84" s="69"/>
      <c r="BE84" s="69"/>
      <c r="BF84" s="69"/>
      <c r="BG84" s="69">
        <f t="shared" ref="BG84:BL84" si="249">+BG78+BG80</f>
        <v>2436.64</v>
      </c>
      <c r="BH84" s="69">
        <f t="shared" si="249"/>
        <v>2512.0950000000003</v>
      </c>
      <c r="BI84" s="69">
        <f t="shared" si="249"/>
        <v>8024</v>
      </c>
      <c r="BJ84" s="69">
        <f t="shared" si="249"/>
        <v>7719</v>
      </c>
      <c r="BK84" s="69">
        <f t="shared" si="249"/>
        <v>3444</v>
      </c>
      <c r="BL84" s="69">
        <f t="shared" si="249"/>
        <v>846.08665741288041</v>
      </c>
      <c r="BM84" s="69"/>
      <c r="BN84" s="69"/>
      <c r="BO84" s="22"/>
      <c r="BV84" s="8"/>
    </row>
    <row r="85" spans="1:74" ht="14.25" customHeight="1">
      <c r="A85" s="8"/>
      <c r="B85" s="23"/>
      <c r="C85" s="24"/>
      <c r="D85" s="182"/>
      <c r="E85" s="180"/>
      <c r="F85" s="180"/>
      <c r="G85" s="183"/>
      <c r="H85" s="182"/>
      <c r="I85" s="180"/>
      <c r="J85" s="180"/>
      <c r="K85" s="183"/>
      <c r="L85" s="182"/>
      <c r="M85" s="180"/>
      <c r="N85" s="180"/>
      <c r="O85" s="183"/>
      <c r="P85" s="180"/>
      <c r="Q85" s="180"/>
      <c r="R85" s="180"/>
      <c r="S85" s="183"/>
      <c r="T85" s="180"/>
      <c r="U85" s="180"/>
      <c r="V85" s="180"/>
      <c r="W85" s="183"/>
      <c r="X85" s="180"/>
      <c r="Y85" s="180"/>
      <c r="Z85" s="180"/>
      <c r="AA85" s="183"/>
      <c r="AB85" s="180"/>
      <c r="AC85" s="180"/>
      <c r="AD85" s="180"/>
      <c r="AE85" s="183"/>
      <c r="AF85" s="180"/>
      <c r="AG85" s="180"/>
      <c r="AH85" s="180"/>
      <c r="AI85" s="183"/>
      <c r="AJ85" s="180"/>
      <c r="AK85" s="180"/>
      <c r="AL85" s="180"/>
      <c r="AM85" s="183"/>
      <c r="AN85" s="180"/>
      <c r="AO85" s="1712"/>
      <c r="AP85" s="1712"/>
      <c r="AQ85" s="1714"/>
      <c r="AR85" s="182"/>
      <c r="AS85" s="180"/>
      <c r="AT85" s="180"/>
      <c r="AU85" s="183"/>
      <c r="AV85" s="180"/>
      <c r="AW85" s="180"/>
      <c r="AX85" s="180"/>
      <c r="AY85" s="183"/>
      <c r="AZ85" s="20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BN85" s="69"/>
      <c r="BO85" s="22"/>
      <c r="BV85" s="8"/>
    </row>
    <row r="86" spans="1:74" ht="14.25" customHeight="1">
      <c r="A86" s="8"/>
      <c r="B86" s="23"/>
      <c r="C86" s="24"/>
      <c r="D86" s="182"/>
      <c r="E86" s="180"/>
      <c r="F86" s="180"/>
      <c r="G86" s="183"/>
      <c r="H86" s="182"/>
      <c r="I86" s="180"/>
      <c r="J86" s="180"/>
      <c r="K86" s="183"/>
      <c r="L86" s="182"/>
      <c r="M86" s="180"/>
      <c r="N86" s="180"/>
      <c r="O86" s="183"/>
      <c r="P86" s="180"/>
      <c r="Q86" s="180"/>
      <c r="R86" s="180"/>
      <c r="S86" s="183"/>
      <c r="T86" s="180"/>
      <c r="U86" s="180"/>
      <c r="V86" s="180"/>
      <c r="W86" s="183"/>
      <c r="X86" s="180"/>
      <c r="Y86" s="180"/>
      <c r="Z86" s="180"/>
      <c r="AA86" s="183"/>
      <c r="AB86" s="180"/>
      <c r="AC86" s="180"/>
      <c r="AD86" s="180"/>
      <c r="AE86" s="183"/>
      <c r="AF86" s="180"/>
      <c r="AG86" s="180"/>
      <c r="AH86" s="180"/>
      <c r="AI86" s="183"/>
      <c r="AJ86" s="180"/>
      <c r="AK86" s="180"/>
      <c r="AL86" s="180"/>
      <c r="AM86" s="183"/>
      <c r="AN86" s="180"/>
      <c r="AO86" s="1712"/>
      <c r="AP86" s="1712"/>
      <c r="AQ86" s="1714"/>
      <c r="AR86" s="182"/>
      <c r="AS86" s="180"/>
      <c r="AT86" s="180"/>
      <c r="AU86" s="183"/>
      <c r="AV86" s="180"/>
      <c r="AW86" s="180"/>
      <c r="AX86" s="180"/>
      <c r="AY86" s="183"/>
      <c r="AZ86" s="20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BN86" s="69"/>
      <c r="BO86" s="22"/>
      <c r="BV86" s="8"/>
    </row>
    <row r="87" spans="1:74" s="842" customFormat="1" ht="14.25" customHeight="1">
      <c r="A87" s="834"/>
      <c r="B87" s="23" t="s">
        <v>175</v>
      </c>
      <c r="C87" s="835"/>
      <c r="D87" s="836">
        <f t="shared" ref="D87:AF87" si="250">D39/D73</f>
        <v>906.4</v>
      </c>
      <c r="E87" s="837">
        <f t="shared" si="250"/>
        <v>844.4</v>
      </c>
      <c r="F87" s="837">
        <f t="shared" si="250"/>
        <v>866.2</v>
      </c>
      <c r="G87" s="838">
        <f t="shared" si="250"/>
        <v>905.6</v>
      </c>
      <c r="H87" s="836">
        <f t="shared" si="250"/>
        <v>25.975251095943619</v>
      </c>
      <c r="I87" s="837">
        <f t="shared" si="250"/>
        <v>24.09411242439376</v>
      </c>
      <c r="J87" s="837">
        <f t="shared" si="250"/>
        <v>9.577714888186005</v>
      </c>
      <c r="K87" s="838">
        <f t="shared" si="250"/>
        <v>5.9652627490150376</v>
      </c>
      <c r="L87" s="836">
        <f t="shared" si="250"/>
        <v>2.0115957110735323</v>
      </c>
      <c r="M87" s="837">
        <f t="shared" si="250"/>
        <v>3.4749967479976958</v>
      </c>
      <c r="N87" s="837">
        <f t="shared" si="250"/>
        <v>5.2534549436535771</v>
      </c>
      <c r="O87" s="838">
        <f t="shared" si="250"/>
        <v>3.9163399178637133</v>
      </c>
      <c r="P87" s="837">
        <f t="shared" si="250"/>
        <v>2.6852247598164012</v>
      </c>
      <c r="Q87" s="837">
        <f t="shared" si="250"/>
        <v>1.6631668927582555</v>
      </c>
      <c r="R87" s="837">
        <f t="shared" si="250"/>
        <v>4.5196556851739373</v>
      </c>
      <c r="S87" s="838">
        <f t="shared" si="250"/>
        <v>3.8855458482587948</v>
      </c>
      <c r="T87" s="837">
        <f t="shared" si="250"/>
        <v>4.4078273035866697</v>
      </c>
      <c r="U87" s="837">
        <f t="shared" si="250"/>
        <v>4.7527441439402507</v>
      </c>
      <c r="V87" s="837">
        <f t="shared" si="250"/>
        <v>5.3962699327951649</v>
      </c>
      <c r="W87" s="838">
        <f t="shared" si="250"/>
        <v>4.5815577296280736</v>
      </c>
      <c r="X87" s="837">
        <f t="shared" si="250"/>
        <v>4.6194491465093099</v>
      </c>
      <c r="Y87" s="837">
        <f t="shared" si="250"/>
        <v>4.0096768973941046</v>
      </c>
      <c r="Z87" s="837">
        <f t="shared" si="250"/>
        <v>4.6732283464566926</v>
      </c>
      <c r="AA87" s="838">
        <f t="shared" si="250"/>
        <v>4.1302627382578869</v>
      </c>
      <c r="AB87" s="837">
        <f t="shared" si="250"/>
        <v>3.9833220207505091</v>
      </c>
      <c r="AC87" s="837">
        <f t="shared" si="250"/>
        <v>4.3640922178912112</v>
      </c>
      <c r="AD87" s="837">
        <f t="shared" si="250"/>
        <v>4.6811046160676391</v>
      </c>
      <c r="AE87" s="838">
        <f t="shared" si="250"/>
        <v>5.0788173109204333</v>
      </c>
      <c r="AF87" s="837">
        <f t="shared" si="250"/>
        <v>4.0130581148816269</v>
      </c>
      <c r="AG87" s="837">
        <f t="shared" ref="AG87:AL87" si="251">AG39/AG73</f>
        <v>4.1019654251491264</v>
      </c>
      <c r="AH87" s="837">
        <f t="shared" si="251"/>
        <v>2.3767998377611033</v>
      </c>
      <c r="AI87" s="838">
        <f t="shared" si="251"/>
        <v>2.214894133824068</v>
      </c>
      <c r="AJ87" s="837">
        <f t="shared" si="251"/>
        <v>1.8699193674329913</v>
      </c>
      <c r="AK87" s="837">
        <f t="shared" si="251"/>
        <v>2.6758409785932722</v>
      </c>
      <c r="AL87" s="837">
        <f t="shared" si="251"/>
        <v>3.6717026953354091</v>
      </c>
      <c r="AM87" s="838">
        <f t="shared" ref="AM87:AP87" si="252">AM39/AM73</f>
        <v>42.212731638469855</v>
      </c>
      <c r="AN87" s="837">
        <f t="shared" si="252"/>
        <v>31.882679033834041</v>
      </c>
      <c r="AO87" s="837">
        <f t="shared" si="252"/>
        <v>31.145255794116721</v>
      </c>
      <c r="AP87" s="837">
        <f t="shared" si="252"/>
        <v>30.6360983259042</v>
      </c>
      <c r="AQ87" s="838">
        <f t="shared" ref="AQ87" si="253">AQ39/AQ73</f>
        <v>30.680025382335991</v>
      </c>
      <c r="AR87" s="836">
        <f t="shared" ref="AR87:AU87" si="254">AR39/AR73</f>
        <v>36.013383292976094</v>
      </c>
      <c r="AS87" s="837">
        <f t="shared" si="254"/>
        <v>36.477159744103332</v>
      </c>
      <c r="AT87" s="837">
        <f t="shared" si="254"/>
        <v>37.021308558090091</v>
      </c>
      <c r="AU87" s="838">
        <f t="shared" si="254"/>
        <v>38.962946747471022</v>
      </c>
      <c r="AV87" s="837">
        <f t="shared" ref="AV87:AY87" si="255">AV39/AV73</f>
        <v>40.734866227543613</v>
      </c>
      <c r="AW87" s="837">
        <f t="shared" si="255"/>
        <v>42.620225176625503</v>
      </c>
      <c r="AX87" s="837">
        <f t="shared" si="255"/>
        <v>44.643184076099999</v>
      </c>
      <c r="AY87" s="838">
        <f t="shared" si="255"/>
        <v>46.6434224546366</v>
      </c>
      <c r="AZ87" s="839"/>
      <c r="BA87" s="840">
        <f t="shared" ref="BA87:BM87" si="256">BA39/BA73</f>
        <v>905.6</v>
      </c>
      <c r="BB87" s="840">
        <f t="shared" si="256"/>
        <v>5.9652627490150376</v>
      </c>
      <c r="BC87" s="840">
        <f t="shared" si="256"/>
        <v>3.9109935802640967</v>
      </c>
      <c r="BD87" s="840">
        <f t="shared" si="256"/>
        <v>4.2730227518959909</v>
      </c>
      <c r="BE87" s="840">
        <f t="shared" si="256"/>
        <v>4.5156653162395353</v>
      </c>
      <c r="BF87" s="840">
        <f t="shared" si="256"/>
        <v>4.1372102424547181</v>
      </c>
      <c r="BG87" s="840">
        <f t="shared" si="256"/>
        <v>5.0719813962373381</v>
      </c>
      <c r="BH87" s="840">
        <f t="shared" si="256"/>
        <v>2.1633750258861091</v>
      </c>
      <c r="BI87" s="840">
        <f>BI39/BI73</f>
        <v>45.990049135265252</v>
      </c>
      <c r="BJ87" s="840">
        <f>BJ39/BJ73</f>
        <v>30.025324965744353</v>
      </c>
      <c r="BK87" s="840">
        <f>BK39/BK73</f>
        <v>38.534399507744197</v>
      </c>
      <c r="BL87" s="840">
        <f>BL39/BL73</f>
        <v>46.130398887043008</v>
      </c>
      <c r="BM87" s="840">
        <f t="shared" si="256"/>
        <v>55.135956384296357</v>
      </c>
      <c r="BN87" s="840">
        <f t="shared" ref="BN87" si="257">BN39/BN73</f>
        <v>63.336977389670686</v>
      </c>
      <c r="BO87" s="841"/>
      <c r="BP87"/>
      <c r="BQ87"/>
      <c r="BR87"/>
      <c r="BS87"/>
      <c r="BT87"/>
      <c r="BU87"/>
      <c r="BV87" s="834"/>
    </row>
    <row r="88" spans="1:74" ht="14.25" customHeight="1">
      <c r="A88" s="8"/>
      <c r="B88" s="23" t="s">
        <v>176</v>
      </c>
      <c r="C88" s="24"/>
      <c r="D88" s="182">
        <f t="shared" ref="D88:AF88" si="258">(D39-(D22+D20))</f>
        <v>463</v>
      </c>
      <c r="E88" s="180">
        <f t="shared" si="258"/>
        <v>341</v>
      </c>
      <c r="F88" s="180">
        <f t="shared" si="258"/>
        <v>503</v>
      </c>
      <c r="G88" s="183">
        <f t="shared" si="258"/>
        <v>684</v>
      </c>
      <c r="H88" s="182">
        <f t="shared" si="258"/>
        <v>660</v>
      </c>
      <c r="I88" s="180">
        <f t="shared" si="258"/>
        <v>528</v>
      </c>
      <c r="J88" s="180">
        <f t="shared" si="258"/>
        <v>-911</v>
      </c>
      <c r="K88" s="183">
        <f t="shared" si="258"/>
        <v>-1309</v>
      </c>
      <c r="L88" s="182">
        <f t="shared" si="258"/>
        <v>-1637</v>
      </c>
      <c r="M88" s="180">
        <f t="shared" si="258"/>
        <v>-1316</v>
      </c>
      <c r="N88" s="180">
        <f t="shared" si="258"/>
        <v>-906</v>
      </c>
      <c r="O88" s="183">
        <f t="shared" si="258"/>
        <v>-1043</v>
      </c>
      <c r="P88" s="180">
        <f t="shared" si="258"/>
        <v>-1146</v>
      </c>
      <c r="Q88" s="180">
        <f t="shared" si="258"/>
        <v>-1178</v>
      </c>
      <c r="R88" s="180">
        <f t="shared" si="258"/>
        <v>-506</v>
      </c>
      <c r="S88" s="183">
        <f t="shared" si="258"/>
        <v>-500</v>
      </c>
      <c r="T88" s="180">
        <f t="shared" si="258"/>
        <v>-335</v>
      </c>
      <c r="U88" s="180">
        <f t="shared" si="258"/>
        <v>-208</v>
      </c>
      <c r="V88" s="180">
        <f t="shared" si="258"/>
        <v>83</v>
      </c>
      <c r="W88" s="183">
        <f t="shared" si="258"/>
        <v>-26</v>
      </c>
      <c r="X88" s="180">
        <f t="shared" si="258"/>
        <v>-5</v>
      </c>
      <c r="Y88" s="180">
        <f t="shared" si="258"/>
        <v>-45</v>
      </c>
      <c r="Z88" s="180">
        <f t="shared" si="258"/>
        <v>170</v>
      </c>
      <c r="AA88" s="183">
        <f t="shared" si="258"/>
        <v>84</v>
      </c>
      <c r="AB88" s="180">
        <f t="shared" si="258"/>
        <v>139</v>
      </c>
      <c r="AC88" s="180">
        <f t="shared" si="258"/>
        <v>273</v>
      </c>
      <c r="AD88" s="180">
        <f t="shared" si="258"/>
        <v>410</v>
      </c>
      <c r="AE88" s="183">
        <f t="shared" si="258"/>
        <v>546</v>
      </c>
      <c r="AF88" s="180">
        <f t="shared" si="258"/>
        <v>317</v>
      </c>
      <c r="AG88" s="180">
        <f t="shared" ref="AG88:AL88" si="259">(AG39-(AG22+AG20))</f>
        <v>368</v>
      </c>
      <c r="AH88" s="180">
        <f t="shared" si="259"/>
        <v>0</v>
      </c>
      <c r="AI88" s="183">
        <f t="shared" si="259"/>
        <v>-35</v>
      </c>
      <c r="AJ88" s="180">
        <f t="shared" si="259"/>
        <v>-103</v>
      </c>
      <c r="AK88" s="180">
        <f t="shared" si="259"/>
        <v>155</v>
      </c>
      <c r="AL88" s="180">
        <f t="shared" si="259"/>
        <v>424</v>
      </c>
      <c r="AM88" s="183">
        <f t="shared" ref="AM88:AP88" si="260">(AM39-(AM22+AM20))</f>
        <v>2725</v>
      </c>
      <c r="AN88" s="180">
        <f t="shared" si="260"/>
        <v>2746</v>
      </c>
      <c r="AO88" s="1712">
        <f t="shared" si="260"/>
        <v>3034</v>
      </c>
      <c r="AP88" s="1712">
        <f t="shared" si="260"/>
        <v>2894</v>
      </c>
      <c r="AQ88" s="1714">
        <f t="shared" ref="AQ88" si="261">(AQ39-(AQ22+AQ20))</f>
        <v>3197</v>
      </c>
      <c r="AR88" s="182">
        <f t="shared" ref="AR88:AU88" si="262">(AR39-(AR22+AR20))</f>
        <v>5406</v>
      </c>
      <c r="AS88" s="180">
        <f t="shared" si="262"/>
        <v>5994</v>
      </c>
      <c r="AT88" s="180">
        <f t="shared" si="262"/>
        <v>6565</v>
      </c>
      <c r="AU88" s="183">
        <f t="shared" si="262"/>
        <v>7664</v>
      </c>
      <c r="AV88" s="180">
        <f t="shared" ref="AV88:AY88" si="263">(AV39-(AV22+AV20))</f>
        <v>8269.1679174136807</v>
      </c>
      <c r="AW88" s="180">
        <f t="shared" si="263"/>
        <v>8913.7192959201348</v>
      </c>
      <c r="AX88" s="180">
        <f t="shared" si="263"/>
        <v>9606.0420748040924</v>
      </c>
      <c r="AY88" s="183">
        <f t="shared" si="263"/>
        <v>10290.476834110916</v>
      </c>
      <c r="AZ88" s="20"/>
      <c r="BA88" s="184">
        <f t="shared" ref="BA88:BH88" si="264">(BA39-(BA22+BA20))</f>
        <v>684</v>
      </c>
      <c r="BB88" s="184">
        <f t="shared" si="264"/>
        <v>-1309</v>
      </c>
      <c r="BC88" s="184">
        <f t="shared" si="264"/>
        <v>-1043</v>
      </c>
      <c r="BD88" s="184">
        <f t="shared" si="264"/>
        <v>-500</v>
      </c>
      <c r="BE88" s="184">
        <f t="shared" si="264"/>
        <v>-26</v>
      </c>
      <c r="BF88" s="184">
        <f t="shared" si="264"/>
        <v>84</v>
      </c>
      <c r="BG88" s="184">
        <f t="shared" si="264"/>
        <v>546</v>
      </c>
      <c r="BH88" s="184">
        <f t="shared" si="264"/>
        <v>-35</v>
      </c>
      <c r="BI88" s="184">
        <f>(BI39-(BI22+BI20))</f>
        <v>2725</v>
      </c>
      <c r="BJ88" s="184">
        <f>(BJ39-(BJ22+BJ20))</f>
        <v>3197</v>
      </c>
      <c r="BK88" s="184">
        <f>(BK39-(BK22+BK20))</f>
        <v>7664</v>
      </c>
      <c r="BL88" s="184">
        <f>(BL39-(BL22+BL20))</f>
        <v>10290.476834110916</v>
      </c>
      <c r="BM88" s="184">
        <f>(BM39-(BM20+BM23))</f>
        <v>12143.667796381207</v>
      </c>
      <c r="BN88" s="184">
        <f>(BN39-(BN20+BN23))</f>
        <v>15193.174800228495</v>
      </c>
      <c r="BO88" s="22"/>
      <c r="BV88" s="8"/>
    </row>
    <row r="89" spans="1:74" s="709" customFormat="1" ht="14.25" customHeight="1">
      <c r="A89" s="843"/>
      <c r="B89" s="23" t="s">
        <v>177</v>
      </c>
      <c r="C89" s="844"/>
      <c r="D89" s="845">
        <f t="shared" ref="D89:W89" si="265">D88/D73</f>
        <v>92.6</v>
      </c>
      <c r="E89" s="846">
        <f t="shared" si="265"/>
        <v>68.2</v>
      </c>
      <c r="F89" s="846">
        <f t="shared" si="265"/>
        <v>100.6</v>
      </c>
      <c r="G89" s="847">
        <f t="shared" si="265"/>
        <v>136.80000000000001</v>
      </c>
      <c r="H89" s="845">
        <f t="shared" si="265"/>
        <v>3.6623938738138837</v>
      </c>
      <c r="I89" s="846">
        <f t="shared" si="265"/>
        <v>2.9299150990511067</v>
      </c>
      <c r="J89" s="846">
        <f t="shared" si="265"/>
        <v>-5.0552133621885575</v>
      </c>
      <c r="K89" s="847">
        <f t="shared" si="265"/>
        <v>-7.2637478497308692</v>
      </c>
      <c r="L89" s="845">
        <f t="shared" si="265"/>
        <v>-7.6050396744281121</v>
      </c>
      <c r="M89" s="846">
        <f t="shared" si="265"/>
        <v>-6.113764332038726</v>
      </c>
      <c r="N89" s="846">
        <f t="shared" si="265"/>
        <v>-4.1861303244944068</v>
      </c>
      <c r="O89" s="847">
        <f t="shared" si="265"/>
        <v>-4.8454834333711183</v>
      </c>
      <c r="P89" s="846">
        <f t="shared" si="265"/>
        <v>-5.3239923438574319</v>
      </c>
      <c r="Q89" s="846">
        <f t="shared" si="265"/>
        <v>-5.4726553063386172</v>
      </c>
      <c r="R89" s="846">
        <f t="shared" si="265"/>
        <v>-2.1195048903596034</v>
      </c>
      <c r="S89" s="847">
        <f t="shared" si="265"/>
        <v>-1.9703579352225125</v>
      </c>
      <c r="T89" s="846">
        <f t="shared" ref="T89:AF89" si="266">T88/T73</f>
        <v>-1.305589873299323</v>
      </c>
      <c r="U89" s="846">
        <f t="shared" si="265"/>
        <v>-0.81163446793068317</v>
      </c>
      <c r="V89" s="846">
        <f t="shared" si="265"/>
        <v>0.33005925160058852</v>
      </c>
      <c r="W89" s="847">
        <f t="shared" si="265"/>
        <v>-0.10403537202648901</v>
      </c>
      <c r="X89" s="846">
        <f t="shared" si="266"/>
        <v>-1.9775039154577526E-2</v>
      </c>
      <c r="Y89" s="846">
        <f t="shared" si="266"/>
        <v>-0.17759395706962078</v>
      </c>
      <c r="Z89" s="846">
        <f t="shared" si="266"/>
        <v>0.6692913385826772</v>
      </c>
      <c r="AA89" s="847">
        <f t="shared" si="266"/>
        <v>0.33073600573275741</v>
      </c>
      <c r="AB89" s="846">
        <f t="shared" si="266"/>
        <v>0.53912537573935815</v>
      </c>
      <c r="AC89" s="846">
        <f t="shared" si="266"/>
        <v>1.0694768182085284</v>
      </c>
      <c r="AD89" s="846">
        <f t="shared" si="266"/>
        <v>1.5967162167951181</v>
      </c>
      <c r="AE89" s="847">
        <f t="shared" si="266"/>
        <v>2.1314636831380143</v>
      </c>
      <c r="AF89" s="846">
        <f t="shared" si="266"/>
        <v>1.242323654704566</v>
      </c>
      <c r="AG89" s="846">
        <f t="shared" ref="AG89:AL89" si="267">AG88/AG73</f>
        <v>1.4712702499560217</v>
      </c>
      <c r="AH89" s="846">
        <f t="shared" si="267"/>
        <v>0</v>
      </c>
      <c r="AI89" s="847">
        <f t="shared" si="267"/>
        <v>-0.14409162580639848</v>
      </c>
      <c r="AJ89" s="846">
        <f t="shared" si="267"/>
        <v>-0.42330042823208369</v>
      </c>
      <c r="AK89" s="846">
        <f t="shared" si="267"/>
        <v>0.63710499490315997</v>
      </c>
      <c r="AL89" s="846">
        <f t="shared" si="267"/>
        <v>1.7511832877640197</v>
      </c>
      <c r="AM89" s="847">
        <f t="shared" ref="AM89:AP89" si="268">AM88/AM73</f>
        <v>9.9895522114485757</v>
      </c>
      <c r="AN89" s="846">
        <f t="shared" si="268"/>
        <v>7.8225372254206826</v>
      </c>
      <c r="AO89" s="846">
        <f t="shared" si="268"/>
        <v>8.6843769947017861</v>
      </c>
      <c r="AP89" s="846">
        <f t="shared" si="268"/>
        <v>8.4038737966982708</v>
      </c>
      <c r="AQ89" s="847">
        <f t="shared" ref="AQ89" si="269">AQ88/AQ73</f>
        <v>9.3058862568622551</v>
      </c>
      <c r="AR89" s="845">
        <f t="shared" ref="AR89:AU89" si="270">AR88/AR73</f>
        <v>15.71461377688504</v>
      </c>
      <c r="AS89" s="846">
        <f t="shared" si="270"/>
        <v>17.374769191525381</v>
      </c>
      <c r="AT89" s="846">
        <f t="shared" si="270"/>
        <v>18.965656705724655</v>
      </c>
      <c r="AU89" s="847">
        <f t="shared" si="270"/>
        <v>22.07525865843261</v>
      </c>
      <c r="AV89" s="846">
        <f t="shared" ref="AV89:AY89" si="271">AV88/AV73</f>
        <v>23.818374304138768</v>
      </c>
      <c r="AW89" s="846">
        <f t="shared" si="271"/>
        <v>25.674929418854227</v>
      </c>
      <c r="AX89" s="846">
        <f t="shared" si="271"/>
        <v>27.66908448396229</v>
      </c>
      <c r="AY89" s="847">
        <f t="shared" si="271"/>
        <v>29.640519028132463</v>
      </c>
      <c r="AZ89" s="848"/>
      <c r="BA89" s="849">
        <f t="shared" ref="BA89:BH89" si="272">BA88/BA73</f>
        <v>136.80000000000001</v>
      </c>
      <c r="BB89" s="849">
        <f t="shared" si="272"/>
        <v>-7.2637478497308692</v>
      </c>
      <c r="BC89" s="849">
        <f t="shared" si="272"/>
        <v>-4.8388686882745588</v>
      </c>
      <c r="BD89" s="849">
        <f t="shared" si="272"/>
        <v>-2.1668472372697725</v>
      </c>
      <c r="BE89" s="849">
        <f t="shared" si="272"/>
        <v>-0.10253912508491521</v>
      </c>
      <c r="BF89" s="849">
        <f t="shared" si="272"/>
        <v>0.33129233590676488</v>
      </c>
      <c r="BG89" s="849">
        <f t="shared" si="272"/>
        <v>2.1285948057998363</v>
      </c>
      <c r="BH89" s="849">
        <f t="shared" si="272"/>
        <v>-0.14074001097772088</v>
      </c>
      <c r="BI89" s="849">
        <f t="shared" ref="BI89:BN89" si="273">BI88/BI73</f>
        <v>10.883446278210839</v>
      </c>
      <c r="BJ89" s="849">
        <f t="shared" si="273"/>
        <v>9.1073020792679973</v>
      </c>
      <c r="BK89" s="849">
        <f t="shared" si="273"/>
        <v>21.832456407729101</v>
      </c>
      <c r="BL89" s="849">
        <f t="shared" si="273"/>
        <v>29.314507684691119</v>
      </c>
      <c r="BM89" s="849">
        <f t="shared" si="273"/>
        <v>35.114558587691086</v>
      </c>
      <c r="BN89" s="849">
        <f t="shared" si="273"/>
        <v>43.43016550961466</v>
      </c>
      <c r="BO89" s="850"/>
      <c r="BP89"/>
      <c r="BQ89"/>
      <c r="BR89"/>
      <c r="BS89"/>
      <c r="BT89"/>
      <c r="BU89"/>
      <c r="BV89" s="843"/>
    </row>
    <row r="90" spans="1:74" ht="14.25" customHeight="1">
      <c r="A90" s="8"/>
      <c r="B90" s="23" t="s">
        <v>178</v>
      </c>
      <c r="C90" s="24"/>
      <c r="D90" s="182">
        <f t="shared" ref="D90:AF90" si="274">D11</f>
        <v>826</v>
      </c>
      <c r="E90" s="180">
        <f t="shared" si="274"/>
        <v>691</v>
      </c>
      <c r="F90" s="180">
        <f t="shared" si="274"/>
        <v>963</v>
      </c>
      <c r="G90" s="183">
        <f t="shared" si="274"/>
        <v>1041</v>
      </c>
      <c r="H90" s="182">
        <f t="shared" si="274"/>
        <v>519</v>
      </c>
      <c r="I90" s="180">
        <f t="shared" si="274"/>
        <v>660</v>
      </c>
      <c r="J90" s="180">
        <f t="shared" si="274"/>
        <v>1535</v>
      </c>
      <c r="K90" s="183">
        <f t="shared" si="274"/>
        <v>1796</v>
      </c>
      <c r="L90" s="182">
        <f t="shared" si="274"/>
        <v>1699</v>
      </c>
      <c r="M90" s="180">
        <f t="shared" si="274"/>
        <v>1358</v>
      </c>
      <c r="N90" s="180">
        <f t="shared" si="274"/>
        <v>1041</v>
      </c>
      <c r="O90" s="183">
        <f t="shared" si="274"/>
        <v>1026</v>
      </c>
      <c r="P90" s="180">
        <f t="shared" si="274"/>
        <v>855</v>
      </c>
      <c r="Q90" s="180">
        <f t="shared" si="274"/>
        <v>826</v>
      </c>
      <c r="R90" s="180">
        <f t="shared" si="274"/>
        <v>947</v>
      </c>
      <c r="S90" s="183">
        <f t="shared" si="274"/>
        <v>898</v>
      </c>
      <c r="T90" s="180">
        <f t="shared" si="274"/>
        <v>879</v>
      </c>
      <c r="U90" s="180">
        <f>U11</f>
        <v>859</v>
      </c>
      <c r="V90" s="180">
        <f>V11</f>
        <v>865</v>
      </c>
      <c r="W90" s="183">
        <f>W11</f>
        <v>743</v>
      </c>
      <c r="X90" s="180">
        <f>X11</f>
        <v>782</v>
      </c>
      <c r="Y90" s="180">
        <f t="shared" si="274"/>
        <v>837</v>
      </c>
      <c r="Z90" s="180">
        <f t="shared" si="274"/>
        <v>702</v>
      </c>
      <c r="AA90" s="183">
        <f t="shared" si="274"/>
        <v>617</v>
      </c>
      <c r="AB90" s="180">
        <f t="shared" si="274"/>
        <v>595</v>
      </c>
      <c r="AC90" s="180">
        <f t="shared" si="274"/>
        <v>569</v>
      </c>
      <c r="AD90" s="180">
        <f t="shared" si="274"/>
        <v>941</v>
      </c>
      <c r="AE90" s="183">
        <f t="shared" si="274"/>
        <v>670</v>
      </c>
      <c r="AF90" s="180">
        <f t="shared" si="274"/>
        <v>720</v>
      </c>
      <c r="AG90" s="180">
        <f t="shared" ref="AG90:AL90" si="275">AG11</f>
        <v>661</v>
      </c>
      <c r="AH90" s="180">
        <f t="shared" si="275"/>
        <v>594</v>
      </c>
      <c r="AI90" s="183">
        <f t="shared" si="275"/>
        <v>1185</v>
      </c>
      <c r="AJ90" s="180">
        <f t="shared" si="275"/>
        <v>1355</v>
      </c>
      <c r="AK90" s="180">
        <f t="shared" si="275"/>
        <v>2435</v>
      </c>
      <c r="AL90" s="180">
        <f t="shared" si="275"/>
        <v>2492</v>
      </c>
      <c r="AM90" s="183">
        <f t="shared" ref="AM90:AP90" si="276">AM11</f>
        <v>1614</v>
      </c>
      <c r="AN90" s="180">
        <f t="shared" si="276"/>
        <v>1488</v>
      </c>
      <c r="AO90" s="1712">
        <f t="shared" si="276"/>
        <v>1335</v>
      </c>
      <c r="AP90" s="1712">
        <f t="shared" si="276"/>
        <v>1569</v>
      </c>
      <c r="AQ90" s="1714">
        <f t="shared" ref="AQ90" si="277">AQ11</f>
        <v>1894</v>
      </c>
      <c r="AR90" s="182">
        <f t="shared" ref="AR90:AU90" si="278">AR11</f>
        <v>2238</v>
      </c>
      <c r="AS90" s="180">
        <f t="shared" si="278"/>
        <v>2642</v>
      </c>
      <c r="AT90" s="180">
        <f t="shared" si="278"/>
        <v>3065</v>
      </c>
      <c r="AU90" s="183">
        <f t="shared" si="278"/>
        <v>3547</v>
      </c>
      <c r="AV90" s="180">
        <f t="shared" ref="AV90:AY90" si="279">AV11</f>
        <v>4194.6587333745929</v>
      </c>
      <c r="AW90" s="180">
        <f t="shared" si="279"/>
        <v>4805.9125053093858</v>
      </c>
      <c r="AX90" s="180">
        <f t="shared" si="279"/>
        <v>5453.0583230743287</v>
      </c>
      <c r="AY90" s="183">
        <f t="shared" si="279"/>
        <v>6144.9133425871196</v>
      </c>
      <c r="AZ90" s="20"/>
      <c r="BA90" s="184">
        <f t="shared" ref="BA90:BH90" si="280">BA11</f>
        <v>1041</v>
      </c>
      <c r="BB90" s="184">
        <f t="shared" si="280"/>
        <v>1796</v>
      </c>
      <c r="BC90" s="184">
        <f t="shared" si="280"/>
        <v>1026</v>
      </c>
      <c r="BD90" s="184">
        <f t="shared" si="280"/>
        <v>898</v>
      </c>
      <c r="BE90" s="184">
        <f t="shared" si="280"/>
        <v>743</v>
      </c>
      <c r="BF90" s="184">
        <f t="shared" si="280"/>
        <v>617</v>
      </c>
      <c r="BG90" s="184">
        <f t="shared" si="280"/>
        <v>670</v>
      </c>
      <c r="BH90" s="184">
        <f t="shared" si="280"/>
        <v>1185</v>
      </c>
      <c r="BI90" s="184">
        <f t="shared" ref="BI90:BN90" si="281">BI11</f>
        <v>1614</v>
      </c>
      <c r="BJ90" s="184">
        <f t="shared" si="281"/>
        <v>1894</v>
      </c>
      <c r="BK90" s="184">
        <f t="shared" si="281"/>
        <v>3547</v>
      </c>
      <c r="BL90" s="184">
        <f t="shared" si="281"/>
        <v>6144.9133425871196</v>
      </c>
      <c r="BM90" s="184">
        <f t="shared" si="281"/>
        <v>8987.2571609383012</v>
      </c>
      <c r="BN90" s="184">
        <f t="shared" si="281"/>
        <v>11984.679652378612</v>
      </c>
      <c r="BO90" s="22"/>
      <c r="BV90" s="8"/>
    </row>
    <row r="91" spans="1:74" s="709" customFormat="1" ht="14.25" customHeight="1">
      <c r="A91" s="843"/>
      <c r="B91" s="23" t="s">
        <v>179</v>
      </c>
      <c r="C91" s="844"/>
      <c r="D91" s="845">
        <f t="shared" ref="D91:W91" si="282">D90/D73</f>
        <v>165.2</v>
      </c>
      <c r="E91" s="846">
        <f t="shared" si="282"/>
        <v>138.19999999999999</v>
      </c>
      <c r="F91" s="846">
        <f t="shared" si="282"/>
        <v>192.6</v>
      </c>
      <c r="G91" s="847">
        <f t="shared" si="282"/>
        <v>208.2</v>
      </c>
      <c r="H91" s="845">
        <f t="shared" si="282"/>
        <v>2.8799733644081904</v>
      </c>
      <c r="I91" s="846">
        <f t="shared" si="282"/>
        <v>3.6623938738138837</v>
      </c>
      <c r="J91" s="846">
        <f t="shared" si="282"/>
        <v>8.5178402974307748</v>
      </c>
      <c r="K91" s="847">
        <f t="shared" si="282"/>
        <v>9.9661506020753556</v>
      </c>
      <c r="L91" s="845">
        <f t="shared" si="282"/>
        <v>7.8930741642354079</v>
      </c>
      <c r="M91" s="846">
        <f t="shared" si="282"/>
        <v>6.3088844702952818</v>
      </c>
      <c r="N91" s="846">
        <f t="shared" si="282"/>
        <v>4.8098914655614546</v>
      </c>
      <c r="O91" s="847">
        <f t="shared" si="282"/>
        <v>4.7665062345529892</v>
      </c>
      <c r="P91" s="846">
        <f t="shared" si="282"/>
        <v>3.9720885287941572</v>
      </c>
      <c r="Q91" s="846">
        <f t="shared" si="282"/>
        <v>3.8373627190455837</v>
      </c>
      <c r="R91" s="846">
        <f t="shared" si="282"/>
        <v>3.9667413659496931</v>
      </c>
      <c r="S91" s="847">
        <f t="shared" si="282"/>
        <v>3.5387628516596323</v>
      </c>
      <c r="T91" s="846">
        <f t="shared" ref="T91:AF91" si="283">T90/T73</f>
        <v>3.4257119362092685</v>
      </c>
      <c r="U91" s="846">
        <f t="shared" si="282"/>
        <v>3.3518942690021967</v>
      </c>
      <c r="V91" s="846">
        <f t="shared" si="282"/>
        <v>3.4397741281266154</v>
      </c>
      <c r="W91" s="847">
        <f t="shared" si="282"/>
        <v>2.9730108236800512</v>
      </c>
      <c r="X91" s="846">
        <f t="shared" si="283"/>
        <v>3.0928161237759251</v>
      </c>
      <c r="Y91" s="846">
        <f t="shared" si="283"/>
        <v>3.3032476014949466</v>
      </c>
      <c r="Z91" s="846">
        <f t="shared" si="283"/>
        <v>2.7637795275590551</v>
      </c>
      <c r="AA91" s="847">
        <f>AA90/AA73</f>
        <v>2.4293347087751349</v>
      </c>
      <c r="AB91" s="846">
        <f t="shared" si="283"/>
        <v>2.3077668961504898</v>
      </c>
      <c r="AC91" s="846">
        <f t="shared" si="283"/>
        <v>2.22905607897675</v>
      </c>
      <c r="AD91" s="846">
        <f t="shared" si="283"/>
        <v>3.6646584390346488</v>
      </c>
      <c r="AE91" s="847">
        <f t="shared" si="283"/>
        <v>2.6155323584294314</v>
      </c>
      <c r="AF91" s="846">
        <f t="shared" si="283"/>
        <v>2.8216814870261437</v>
      </c>
      <c r="AG91" s="846">
        <f t="shared" ref="AG91:AL91" si="284">AG90/AG73</f>
        <v>2.6426892261438328</v>
      </c>
      <c r="AH91" s="846">
        <f t="shared" si="284"/>
        <v>2.4092476171162036</v>
      </c>
      <c r="AI91" s="847">
        <f t="shared" si="284"/>
        <v>4.8785307594452059</v>
      </c>
      <c r="AJ91" s="846">
        <f t="shared" si="284"/>
        <v>5.5686609733444019</v>
      </c>
      <c r="AK91" s="846">
        <f t="shared" si="284"/>
        <v>10.008713952188353</v>
      </c>
      <c r="AL91" s="846">
        <f t="shared" si="284"/>
        <v>10.29233196487721</v>
      </c>
      <c r="AM91" s="847">
        <f t="shared" ref="AM91:AP91" si="285">AM90/AM73</f>
        <v>5.9167476217533954</v>
      </c>
      <c r="AN91" s="846">
        <f t="shared" si="285"/>
        <v>4.2388694069286146</v>
      </c>
      <c r="AO91" s="846">
        <f t="shared" si="285"/>
        <v>3.8212403717623218</v>
      </c>
      <c r="AP91" s="846">
        <f t="shared" si="285"/>
        <v>4.5562121586107764</v>
      </c>
      <c r="AQ91" s="847">
        <f t="shared" ref="AQ91" si="286">AQ90/AQ73</f>
        <v>5.5130899501085739</v>
      </c>
      <c r="AR91" s="845">
        <f t="shared" ref="AR91:AU91" si="287">AR90/AR73</f>
        <v>6.5056059253919205</v>
      </c>
      <c r="AS91" s="846">
        <f t="shared" si="287"/>
        <v>7.6583483823840597</v>
      </c>
      <c r="AT91" s="846">
        <f t="shared" si="287"/>
        <v>8.8544916684000103</v>
      </c>
      <c r="AU91" s="847">
        <f t="shared" si="287"/>
        <v>10.216720049773025</v>
      </c>
      <c r="AV91" s="846">
        <f t="shared" ref="AV91:AY91" si="288">AV90/AV73</f>
        <v>12.082225537982444</v>
      </c>
      <c r="AW91" s="846">
        <f t="shared" si="288"/>
        <v>13.842870778249033</v>
      </c>
      <c r="AX91" s="846">
        <f t="shared" si="288"/>
        <v>15.706898872832019</v>
      </c>
      <c r="AY91" s="847">
        <f t="shared" si="288"/>
        <v>17.69970661159504</v>
      </c>
      <c r="AZ91" s="848"/>
      <c r="BA91" s="849">
        <f t="shared" ref="BA91:BJ91" si="289">BA90/BA73</f>
        <v>208.2</v>
      </c>
      <c r="BB91" s="849">
        <f t="shared" si="289"/>
        <v>9.9661506020753556</v>
      </c>
      <c r="BC91" s="849">
        <f t="shared" si="289"/>
        <v>4.759999304093669</v>
      </c>
      <c r="BD91" s="849">
        <f t="shared" si="289"/>
        <v>3.8916576381365116</v>
      </c>
      <c r="BE91" s="849">
        <f t="shared" si="289"/>
        <v>2.9302526899266153</v>
      </c>
      <c r="BF91" s="849">
        <f t="shared" si="289"/>
        <v>2.4334210863627845</v>
      </c>
      <c r="BG91" s="849">
        <f t="shared" si="289"/>
        <v>2.6120119411829492</v>
      </c>
      <c r="BH91" s="849">
        <f t="shared" si="289"/>
        <v>4.7650546573885491</v>
      </c>
      <c r="BI91" s="849">
        <f t="shared" si="289"/>
        <v>6.4461953368925853</v>
      </c>
      <c r="BJ91" s="849">
        <f t="shared" si="289"/>
        <v>5.3954426456470408</v>
      </c>
      <c r="BK91" s="849">
        <f t="shared" ref="BK91:BL91" si="290">BK90/BK73</f>
        <v>10.104347974714917</v>
      </c>
      <c r="BL91" s="849">
        <f t="shared" si="290"/>
        <v>17.505030360295695</v>
      </c>
      <c r="BM91" s="849">
        <f>BM90/BM73</f>
        <v>25.987500103918983</v>
      </c>
      <c r="BN91" s="849">
        <f>BN90/BN73</f>
        <v>34.258581746501484</v>
      </c>
      <c r="BO91" s="850"/>
      <c r="BP91"/>
      <c r="BQ91"/>
      <c r="BR91"/>
      <c r="BS91"/>
      <c r="BT91"/>
      <c r="BU91"/>
      <c r="BV91" s="843"/>
    </row>
    <row r="92" spans="1:74" ht="14.25" customHeight="1">
      <c r="A92" s="8"/>
      <c r="B92" s="55" t="s">
        <v>180</v>
      </c>
      <c r="C92" s="56"/>
      <c r="D92" s="187">
        <f t="shared" ref="D92:AF92" si="291">D17-D32</f>
        <v>1041</v>
      </c>
      <c r="E92" s="185">
        <f t="shared" si="291"/>
        <v>816</v>
      </c>
      <c r="F92" s="185">
        <f t="shared" si="291"/>
        <v>932</v>
      </c>
      <c r="G92" s="186">
        <f t="shared" si="291"/>
        <v>1081</v>
      </c>
      <c r="H92" s="187">
        <f t="shared" si="291"/>
        <v>837</v>
      </c>
      <c r="I92" s="185">
        <f t="shared" si="291"/>
        <v>1076</v>
      </c>
      <c r="J92" s="185">
        <f t="shared" si="291"/>
        <v>774</v>
      </c>
      <c r="K92" s="186">
        <f t="shared" si="291"/>
        <v>1337</v>
      </c>
      <c r="L92" s="187">
        <f t="shared" si="291"/>
        <v>1381</v>
      </c>
      <c r="M92" s="185">
        <f t="shared" si="291"/>
        <v>1239</v>
      </c>
      <c r="N92" s="185">
        <f t="shared" si="291"/>
        <v>850</v>
      </c>
      <c r="O92" s="186">
        <f t="shared" si="291"/>
        <v>870</v>
      </c>
      <c r="P92" s="185">
        <f t="shared" si="291"/>
        <v>647</v>
      </c>
      <c r="Q92" s="185">
        <f t="shared" si="291"/>
        <v>677</v>
      </c>
      <c r="R92" s="185">
        <f t="shared" si="291"/>
        <v>835</v>
      </c>
      <c r="S92" s="186">
        <f t="shared" si="291"/>
        <v>811</v>
      </c>
      <c r="T92" s="185">
        <f t="shared" si="291"/>
        <v>909</v>
      </c>
      <c r="U92" s="185">
        <f t="shared" si="291"/>
        <v>965</v>
      </c>
      <c r="V92" s="185">
        <f t="shared" si="291"/>
        <v>896</v>
      </c>
      <c r="W92" s="186">
        <f t="shared" si="291"/>
        <v>969</v>
      </c>
      <c r="X92" s="185">
        <f t="shared" si="291"/>
        <v>967</v>
      </c>
      <c r="Y92" s="185">
        <f t="shared" si="291"/>
        <v>1008</v>
      </c>
      <c r="Z92" s="185">
        <f t="shared" si="291"/>
        <v>906</v>
      </c>
      <c r="AA92" s="186">
        <f t="shared" si="291"/>
        <v>765</v>
      </c>
      <c r="AB92" s="185">
        <f t="shared" si="291"/>
        <v>844</v>
      </c>
      <c r="AC92" s="185">
        <f t="shared" si="291"/>
        <v>816</v>
      </c>
      <c r="AD92" s="185">
        <f t="shared" si="291"/>
        <v>808</v>
      </c>
      <c r="AE92" s="186">
        <f t="shared" si="291"/>
        <v>899</v>
      </c>
      <c r="AF92" s="185">
        <f t="shared" si="291"/>
        <v>952</v>
      </c>
      <c r="AG92" s="185">
        <f t="shared" ref="AG92:AL92" si="292">AG17-AG32</f>
        <v>930</v>
      </c>
      <c r="AH92" s="185">
        <f t="shared" si="292"/>
        <v>918</v>
      </c>
      <c r="AI92" s="186">
        <f t="shared" si="292"/>
        <v>1320</v>
      </c>
      <c r="AJ92" s="185">
        <f t="shared" si="292"/>
        <v>1569</v>
      </c>
      <c r="AK92" s="185">
        <f t="shared" si="292"/>
        <v>2937</v>
      </c>
      <c r="AL92" s="185">
        <f t="shared" si="292"/>
        <v>2622</v>
      </c>
      <c r="AM92" s="186">
        <f t="shared" ref="AM92:AP92" si="293">AM17-AM32</f>
        <v>2264</v>
      </c>
      <c r="AN92" s="185">
        <f t="shared" si="293"/>
        <v>1547</v>
      </c>
      <c r="AO92" s="185">
        <f t="shared" si="293"/>
        <v>2347</v>
      </c>
      <c r="AP92" s="185">
        <f t="shared" si="293"/>
        <v>2640</v>
      </c>
      <c r="AQ92" s="186">
        <f t="shared" ref="AQ92" si="294">AQ17-AQ32</f>
        <v>2965</v>
      </c>
      <c r="AR92" s="187">
        <f t="shared" ref="AR92:AU92" si="295">AR17-AR32</f>
        <v>2617</v>
      </c>
      <c r="AS92" s="185">
        <f t="shared" si="295"/>
        <v>2357</v>
      </c>
      <c r="AT92" s="185">
        <f t="shared" si="295"/>
        <v>2803</v>
      </c>
      <c r="AU92" s="186">
        <f t="shared" si="295"/>
        <v>3326</v>
      </c>
      <c r="AV92" s="185">
        <f t="shared" ref="AV92:AY92" si="296">AV17-AV32</f>
        <v>3931.4447333745929</v>
      </c>
      <c r="AW92" s="185">
        <f t="shared" si="296"/>
        <v>4571.9391453093858</v>
      </c>
      <c r="AX92" s="185">
        <f t="shared" si="296"/>
        <v>5255.1078598743288</v>
      </c>
      <c r="AY92" s="186">
        <f t="shared" si="296"/>
        <v>5932.9601021737863</v>
      </c>
      <c r="AZ92" s="20"/>
      <c r="BA92" s="188">
        <f t="shared" ref="BA92:BM92" si="297">BA17-BA32</f>
        <v>1081</v>
      </c>
      <c r="BB92" s="188">
        <f t="shared" si="297"/>
        <v>1337</v>
      </c>
      <c r="BC92" s="188">
        <f t="shared" si="297"/>
        <v>870</v>
      </c>
      <c r="BD92" s="188">
        <f t="shared" si="297"/>
        <v>811</v>
      </c>
      <c r="BE92" s="188">
        <f t="shared" si="297"/>
        <v>969</v>
      </c>
      <c r="BF92" s="188">
        <f t="shared" si="297"/>
        <v>765</v>
      </c>
      <c r="BG92" s="188">
        <f t="shared" si="297"/>
        <v>899</v>
      </c>
      <c r="BH92" s="188">
        <f t="shared" si="297"/>
        <v>1320</v>
      </c>
      <c r="BI92" s="188">
        <f>BI17-BI32</f>
        <v>2264</v>
      </c>
      <c r="BJ92" s="188">
        <f>BJ17-BJ32</f>
        <v>2965</v>
      </c>
      <c r="BK92" s="188">
        <f>BK17-BK32</f>
        <v>3326</v>
      </c>
      <c r="BL92" s="188">
        <f>BL17-BL32</f>
        <v>5932.9601021737863</v>
      </c>
      <c r="BM92" s="188">
        <f t="shared" si="297"/>
        <v>8787.9220928909544</v>
      </c>
      <c r="BN92" s="188">
        <f t="shared" ref="BN92" si="298">BN17-BN32</f>
        <v>11831.415497116919</v>
      </c>
      <c r="BO92" s="22"/>
      <c r="BV92" s="8"/>
    </row>
    <row r="93" spans="1:74" ht="14.25" customHeight="1">
      <c r="A93" s="8"/>
      <c r="B93" s="14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V93" s="8"/>
    </row>
    <row r="94" spans="1:74" ht="14.25" customHeight="1">
      <c r="A94" s="8"/>
      <c r="B94" s="153" t="s">
        <v>337</v>
      </c>
      <c r="C94" s="154"/>
      <c r="D94" s="17" t="str">
        <f>D72</f>
        <v>F1Q07A</v>
      </c>
      <c r="E94" s="18" t="str">
        <f t="shared" ref="E94:AI94" si="299">E72</f>
        <v>F2Q07A</v>
      </c>
      <c r="F94" s="18" t="str">
        <f t="shared" si="299"/>
        <v>F3Q07A</v>
      </c>
      <c r="G94" s="19" t="str">
        <f t="shared" si="299"/>
        <v>F4Q07A</v>
      </c>
      <c r="H94" s="17" t="str">
        <f t="shared" si="299"/>
        <v>F1Q08A</v>
      </c>
      <c r="I94" s="18" t="str">
        <f t="shared" si="299"/>
        <v>F2Q08A</v>
      </c>
      <c r="J94" s="18" t="str">
        <f t="shared" si="299"/>
        <v>F3Q08A</v>
      </c>
      <c r="K94" s="19" t="str">
        <f t="shared" si="299"/>
        <v>F4Q08A</v>
      </c>
      <c r="L94" s="17" t="str">
        <f t="shared" si="299"/>
        <v>F1Q09A</v>
      </c>
      <c r="M94" s="18" t="str">
        <f t="shared" si="299"/>
        <v>F2Q09A</v>
      </c>
      <c r="N94" s="18" t="str">
        <f t="shared" si="299"/>
        <v>F3Q09A</v>
      </c>
      <c r="O94" s="19" t="str">
        <f t="shared" si="299"/>
        <v>F4Q09A</v>
      </c>
      <c r="P94" s="17" t="str">
        <f t="shared" si="299"/>
        <v>F1Q10A</v>
      </c>
      <c r="Q94" s="18" t="str">
        <f t="shared" si="299"/>
        <v>F2Q10A</v>
      </c>
      <c r="R94" s="18" t="str">
        <f t="shared" si="299"/>
        <v>F3Q10A</v>
      </c>
      <c r="S94" s="19" t="str">
        <f t="shared" si="299"/>
        <v>F4Q10A</v>
      </c>
      <c r="T94" s="17" t="str">
        <f t="shared" si="299"/>
        <v>F1Q11A</v>
      </c>
      <c r="U94" s="18" t="str">
        <f t="shared" si="299"/>
        <v>F2Q11A</v>
      </c>
      <c r="V94" s="18" t="str">
        <f>V72</f>
        <v>F3Q11A</v>
      </c>
      <c r="W94" s="19" t="str">
        <f>W72</f>
        <v>F4Q11A</v>
      </c>
      <c r="X94" s="17" t="str">
        <f>X72</f>
        <v>F1Q12A</v>
      </c>
      <c r="Y94" s="18" t="str">
        <f t="shared" si="299"/>
        <v>F2Q12A</v>
      </c>
      <c r="Z94" s="18" t="str">
        <f t="shared" si="299"/>
        <v>F3Q12A</v>
      </c>
      <c r="AA94" s="19" t="str">
        <f t="shared" si="299"/>
        <v>F4Q12A</v>
      </c>
      <c r="AB94" s="17" t="str">
        <f t="shared" si="299"/>
        <v>F1Q13A</v>
      </c>
      <c r="AC94" s="18" t="str">
        <f t="shared" si="299"/>
        <v>F2Q13A</v>
      </c>
      <c r="AD94" s="18" t="str">
        <f t="shared" si="299"/>
        <v>F3Q13A</v>
      </c>
      <c r="AE94" s="19" t="str">
        <f t="shared" si="299"/>
        <v>F4Q13A</v>
      </c>
      <c r="AF94" s="17" t="str">
        <f t="shared" si="299"/>
        <v>F1Q14A</v>
      </c>
      <c r="AG94" s="18" t="str">
        <f t="shared" si="299"/>
        <v>F2Q14A</v>
      </c>
      <c r="AH94" s="18" t="str">
        <f t="shared" si="299"/>
        <v>F3Q14A</v>
      </c>
      <c r="AI94" s="19" t="str">
        <f t="shared" si="299"/>
        <v>F4Q14A</v>
      </c>
      <c r="AJ94" s="1709" t="str">
        <f>AJ72</f>
        <v>F1Q15A</v>
      </c>
      <c r="AK94" s="1710" t="str">
        <f>AK72</f>
        <v>F2Q15A</v>
      </c>
      <c r="AL94" s="1710" t="str">
        <f t="shared" ref="AL94:AM94" si="300">AL72</f>
        <v>F3Q15A</v>
      </c>
      <c r="AM94" s="1710" t="str">
        <f t="shared" si="300"/>
        <v>F4Q15A</v>
      </c>
      <c r="AN94" s="1709" t="str">
        <f>AN72</f>
        <v>F1Q16A</v>
      </c>
      <c r="AO94" s="1710" t="str">
        <f>AO72</f>
        <v>F2Q16A</v>
      </c>
      <c r="AP94" s="1740" t="str">
        <f t="shared" ref="AP94:AQ94" si="301">AP72</f>
        <v>F3Q16A</v>
      </c>
      <c r="AQ94" s="1804" t="str">
        <f t="shared" si="301"/>
        <v>F4Q16A</v>
      </c>
      <c r="AR94" s="1709" t="str">
        <f t="shared" ref="AR94:AU94" si="302">AR72</f>
        <v>F1Q17A</v>
      </c>
      <c r="AS94" s="1710" t="str">
        <f t="shared" si="302"/>
        <v>F2Q17A</v>
      </c>
      <c r="AT94" s="1710" t="str">
        <f t="shared" si="302"/>
        <v>F3Q17A</v>
      </c>
      <c r="AU94" s="1711" t="str">
        <f t="shared" si="302"/>
        <v>F4Q17A</v>
      </c>
      <c r="AV94" s="1709" t="str">
        <f t="shared" ref="AV94:AY94" si="303">AV72</f>
        <v>F1Q18E</v>
      </c>
      <c r="AW94" s="1710" t="str">
        <f t="shared" si="303"/>
        <v>F2Q18E</v>
      </c>
      <c r="AX94" s="1710" t="str">
        <f t="shared" si="303"/>
        <v>F3Q18E</v>
      </c>
      <c r="AY94" s="1711" t="str">
        <f t="shared" si="303"/>
        <v>F4Q18E</v>
      </c>
      <c r="AZ94" s="20"/>
      <c r="BA94" s="155" t="str">
        <f>BA72</f>
        <v>FY2007A</v>
      </c>
      <c r="BB94" s="155" t="str">
        <f t="shared" ref="BB94:BM94" si="304">BB72</f>
        <v>FY2008A</v>
      </c>
      <c r="BC94" s="155" t="str">
        <f t="shared" si="304"/>
        <v>FY2009A</v>
      </c>
      <c r="BD94" s="155" t="str">
        <f t="shared" si="304"/>
        <v>FY2010A</v>
      </c>
      <c r="BE94" s="335" t="str">
        <f t="shared" si="304"/>
        <v>FY2011A</v>
      </c>
      <c r="BF94" s="18" t="str">
        <f t="shared" si="304"/>
        <v>FY2012A</v>
      </c>
      <c r="BG94" s="17" t="str">
        <f t="shared" si="304"/>
        <v>FY2013A</v>
      </c>
      <c r="BH94" s="18" t="str">
        <f t="shared" si="304"/>
        <v>FY2014A</v>
      </c>
      <c r="BI94" s="18" t="str">
        <f>BI72</f>
        <v>FY2015A</v>
      </c>
      <c r="BJ94" s="18" t="str">
        <f>BJ72</f>
        <v>FY2016A</v>
      </c>
      <c r="BK94" s="1804" t="str">
        <f>BK72</f>
        <v>FY2017A</v>
      </c>
      <c r="BL94" s="1804" t="str">
        <f>BL72</f>
        <v>FY2018E</v>
      </c>
      <c r="BM94" s="1804" t="str">
        <f t="shared" si="304"/>
        <v>FY2019E</v>
      </c>
      <c r="BN94" s="1804" t="str">
        <f t="shared" ref="BN94" si="305">BN72</f>
        <v>FY2020E</v>
      </c>
      <c r="BO94" s="22"/>
      <c r="BV94" s="8"/>
    </row>
    <row r="95" spans="1:74" ht="14.25" customHeight="1">
      <c r="A95" s="8"/>
      <c r="B95" s="62" t="s">
        <v>338</v>
      </c>
      <c r="C95" s="24"/>
      <c r="D95" s="182">
        <f>D34-D11</f>
        <v>5051</v>
      </c>
      <c r="E95" s="180">
        <f t="shared" ref="E95:AI95" si="306">E34-E11</f>
        <v>5192</v>
      </c>
      <c r="F95" s="180">
        <f t="shared" si="306"/>
        <v>5021</v>
      </c>
      <c r="G95" s="181">
        <f t="shared" si="306"/>
        <v>5037</v>
      </c>
      <c r="H95" s="182">
        <f t="shared" si="306"/>
        <v>5723</v>
      </c>
      <c r="I95" s="180">
        <f t="shared" si="306"/>
        <v>6019</v>
      </c>
      <c r="J95" s="180">
        <f t="shared" si="306"/>
        <v>4528</v>
      </c>
      <c r="K95" s="181">
        <f t="shared" si="306"/>
        <v>4571</v>
      </c>
      <c r="L95" s="182">
        <f t="shared" si="306"/>
        <v>4776</v>
      </c>
      <c r="M95" s="180">
        <f t="shared" si="306"/>
        <v>4692</v>
      </c>
      <c r="N95" s="180">
        <f t="shared" si="306"/>
        <v>4272</v>
      </c>
      <c r="O95" s="181">
        <f t="shared" si="306"/>
        <v>4257</v>
      </c>
      <c r="P95" s="180">
        <f t="shared" si="306"/>
        <v>4322</v>
      </c>
      <c r="Q95" s="180">
        <f t="shared" si="306"/>
        <v>4230</v>
      </c>
      <c r="R95" s="180">
        <f t="shared" si="306"/>
        <v>3702</v>
      </c>
      <c r="S95" s="181">
        <f t="shared" si="306"/>
        <v>3653</v>
      </c>
      <c r="T95" s="180">
        <f t="shared" si="306"/>
        <v>3754</v>
      </c>
      <c r="U95" s="180">
        <f t="shared" si="306"/>
        <v>3847</v>
      </c>
      <c r="V95" s="180">
        <f t="shared" si="306"/>
        <v>2956</v>
      </c>
      <c r="W95" s="181">
        <f t="shared" si="306"/>
        <v>3056</v>
      </c>
      <c r="X95" s="180">
        <f t="shared" si="306"/>
        <v>3047</v>
      </c>
      <c r="Y95" s="180">
        <f>Y34-Y11</f>
        <v>2982</v>
      </c>
      <c r="Z95" s="180">
        <f t="shared" si="306"/>
        <v>2880</v>
      </c>
      <c r="AA95" s="181">
        <f t="shared" si="306"/>
        <v>2875</v>
      </c>
      <c r="AB95" s="180">
        <f t="shared" si="306"/>
        <v>2845</v>
      </c>
      <c r="AC95" s="180">
        <f t="shared" si="306"/>
        <v>2762</v>
      </c>
      <c r="AD95" s="180">
        <f t="shared" si="306"/>
        <v>2291</v>
      </c>
      <c r="AE95" s="181">
        <f t="shared" si="306"/>
        <v>2611</v>
      </c>
      <c r="AF95" s="180">
        <f t="shared" si="306"/>
        <v>2826</v>
      </c>
      <c r="AG95" s="180">
        <f t="shared" si="306"/>
        <v>2882</v>
      </c>
      <c r="AH95" s="180">
        <f t="shared" si="306"/>
        <v>3196</v>
      </c>
      <c r="AI95" s="181">
        <f t="shared" si="306"/>
        <v>2794</v>
      </c>
      <c r="AJ95" s="1713">
        <f>AJ34+AJ30-AJ11</f>
        <v>2689</v>
      </c>
      <c r="AK95" s="1712">
        <f>AK34+AK30-AK11</f>
        <v>2612</v>
      </c>
      <c r="AL95" s="1712">
        <f t="shared" ref="AL95:AM95" si="307">AL34+AL30-AL11</f>
        <v>2558</v>
      </c>
      <c r="AM95" s="1714">
        <f t="shared" si="307"/>
        <v>7598</v>
      </c>
      <c r="AN95" s="1713">
        <f>AN34+AN30-AN11</f>
        <v>7518</v>
      </c>
      <c r="AO95" s="1712">
        <f>AO34+AO30-AO11</f>
        <v>7559</v>
      </c>
      <c r="AP95" s="1712">
        <f t="shared" ref="AP95:AQ95" si="308">AP34+AP30-AP11</f>
        <v>7813</v>
      </c>
      <c r="AQ95" s="1714">
        <f t="shared" si="308"/>
        <v>7293</v>
      </c>
      <c r="AR95" s="1713">
        <f t="shared" ref="AR95:AY95" si="309">AR34+AR30-AR11</f>
        <v>4271</v>
      </c>
      <c r="AS95" s="1712">
        <f>AS34+AS30-AS11</f>
        <v>3906</v>
      </c>
      <c r="AT95" s="1712">
        <f t="shared" si="309"/>
        <v>3491</v>
      </c>
      <c r="AU95" s="1712">
        <f t="shared" si="309"/>
        <v>3018</v>
      </c>
      <c r="AV95" s="1713">
        <f t="shared" si="309"/>
        <v>2370.3412666254071</v>
      </c>
      <c r="AW95" s="1712">
        <f t="shared" si="309"/>
        <v>1759.0874946906142</v>
      </c>
      <c r="AX95" s="1712">
        <f t="shared" si="309"/>
        <v>1111.9416769256713</v>
      </c>
      <c r="AY95" s="1712">
        <f t="shared" si="309"/>
        <v>420.08665741288041</v>
      </c>
      <c r="AZ95" s="20"/>
      <c r="BA95" s="156">
        <f>BA34-BA11</f>
        <v>5037</v>
      </c>
      <c r="BB95" s="156">
        <f t="shared" ref="BB95:BM95" si="310">BB34-BB11</f>
        <v>4571</v>
      </c>
      <c r="BC95" s="156">
        <f t="shared" si="310"/>
        <v>4257</v>
      </c>
      <c r="BD95" s="156">
        <f t="shared" si="310"/>
        <v>3653</v>
      </c>
      <c r="BE95" s="156">
        <f t="shared" si="310"/>
        <v>3056</v>
      </c>
      <c r="BF95" s="69">
        <f t="shared" si="310"/>
        <v>2875</v>
      </c>
      <c r="BG95" s="69">
        <f t="shared" si="310"/>
        <v>2611</v>
      </c>
      <c r="BH95" s="69">
        <f t="shared" si="310"/>
        <v>2794</v>
      </c>
      <c r="BI95" s="69">
        <f>BI34-BI11</f>
        <v>7042</v>
      </c>
      <c r="BJ95" s="69">
        <f>BJ34-BJ11</f>
        <v>6872</v>
      </c>
      <c r="BK95" s="69">
        <f>BK34-BK11</f>
        <v>2267</v>
      </c>
      <c r="BL95" s="69">
        <f>BL34-BL11</f>
        <v>-330.91334258711959</v>
      </c>
      <c r="BM95" s="69">
        <f t="shared" si="310"/>
        <v>-3173.2571609383012</v>
      </c>
      <c r="BN95" s="69">
        <f t="shared" ref="BN95" si="311">BN34-BN11</f>
        <v>-6170.6796523786124</v>
      </c>
      <c r="BO95" s="22"/>
      <c r="BV95" s="8"/>
    </row>
    <row r="96" spans="1:74" ht="14.25" customHeight="1">
      <c r="A96" s="8"/>
      <c r="B96" s="55" t="s">
        <v>339</v>
      </c>
      <c r="C96" s="56"/>
      <c r="D96" s="1413"/>
      <c r="E96" s="1414"/>
      <c r="F96" s="1414"/>
      <c r="G96" s="1415"/>
      <c r="H96" s="1413"/>
      <c r="I96" s="1414"/>
      <c r="J96" s="1414"/>
      <c r="K96" s="1415"/>
      <c r="L96" s="1413"/>
      <c r="M96" s="1414"/>
      <c r="N96" s="1414"/>
      <c r="O96" s="1566">
        <v>23.65</v>
      </c>
      <c r="P96" s="1561">
        <v>7.5824561403508772</v>
      </c>
      <c r="Q96" s="1565">
        <v>5.4510309278350517</v>
      </c>
      <c r="R96" s="1565">
        <v>3.9849300322927879</v>
      </c>
      <c r="S96" s="1566">
        <v>3.2999096657633245</v>
      </c>
      <c r="T96" s="1561">
        <v>3.1546218487394957</v>
      </c>
      <c r="U96" s="1565">
        <v>3.1225649350649349</v>
      </c>
      <c r="V96" s="1565">
        <v>2.344171292624901</v>
      </c>
      <c r="W96" s="1566">
        <v>2.6097352690008542</v>
      </c>
      <c r="X96" s="1561">
        <v>2.8772426817752597</v>
      </c>
      <c r="Y96" s="1565">
        <v>2.940828402366864</v>
      </c>
      <c r="Z96" s="1565">
        <v>2.8685258964143427</v>
      </c>
      <c r="AA96" s="1566">
        <v>2.7591170825335891</v>
      </c>
      <c r="AB96" s="1561">
        <v>2.4978050921861281</v>
      </c>
      <c r="AC96" s="1565">
        <v>2.3606837606837607</v>
      </c>
      <c r="AD96" s="1565">
        <v>1.8996683250414594</v>
      </c>
      <c r="AE96" s="1566">
        <v>2.027173913043478</v>
      </c>
      <c r="AF96" s="1561">
        <v>2.1474164133738602</v>
      </c>
      <c r="AG96" s="1565">
        <v>2.1036496350364962</v>
      </c>
      <c r="AH96" s="1565">
        <v>2.193548387096774</v>
      </c>
      <c r="AI96" s="1566">
        <v>1.8405797101449275</v>
      </c>
      <c r="AJ96" s="1723">
        <v>1.680625</v>
      </c>
      <c r="AK96" s="1724">
        <v>1.5437352245862883</v>
      </c>
      <c r="AL96" s="1724">
        <v>1.4534090909090909</v>
      </c>
      <c r="AM96" s="1725">
        <f>AM95/('IS Inc FSL'!AM146*4)</f>
        <v>3.6883495145631069</v>
      </c>
      <c r="AN96" s="1723">
        <f>AN95/('IS Inc FSL'!AN146*4)</f>
        <v>2.9738924050632911</v>
      </c>
      <c r="AO96" s="1724">
        <v>5.3204858432697923</v>
      </c>
      <c r="AP96" s="1724">
        <v>4.6315289363529768</v>
      </c>
      <c r="AQ96" s="1725">
        <f>AQ95/('IS Inc FSL'!AQ146*4)</f>
        <v>2.1887755102040818</v>
      </c>
      <c r="AR96" s="1561">
        <f>AR95/SUM('IS Inc FSL'!AO146:AR146)</f>
        <v>1.3975785340314135</v>
      </c>
      <c r="AS96" s="1724">
        <f>AS95/SUM('IS Inc FSL'!AP146:AS146)</f>
        <v>1.2723127035830619</v>
      </c>
      <c r="AT96" s="1565">
        <f>AT95/SUM('IS Inc FSL'!AQ146:AT146)</f>
        <v>1.1203465982028242</v>
      </c>
      <c r="AU96" s="1566">
        <f>AU95/SUM('IS Inc FSL'!AR146:AU146)</f>
        <v>0.94578502036979006</v>
      </c>
      <c r="AV96" s="1561">
        <f>AV95/SUM('IS Inc FSL'!AS146:AV146)</f>
        <v>0.71056462055826852</v>
      </c>
      <c r="AW96" s="1565">
        <f>AW95/SUM('IS Inc FSL'!AT146:AW146)</f>
        <v>0.50260271460962325</v>
      </c>
      <c r="AX96" s="1565">
        <f>AX95/SUM('IS Inc FSL'!AU146:AX146)</f>
        <v>0.30888479652206613</v>
      </c>
      <c r="AY96" s="1566">
        <f>AY95/SUM('IS Inc FSL'!AV146:AY146)</f>
        <v>0.11577417500844554</v>
      </c>
      <c r="AZ96" s="1555"/>
      <c r="BA96" s="1558"/>
      <c r="BB96" s="1558"/>
      <c r="BC96" s="1558"/>
      <c r="BD96" s="1558">
        <v>3.2999096657633245</v>
      </c>
      <c r="BE96" s="1558">
        <v>2.6097352690008542</v>
      </c>
      <c r="BF96" s="1558">
        <v>2.7591170825335891</v>
      </c>
      <c r="BG96" s="1557">
        <v>2.027173913043478</v>
      </c>
      <c r="BH96" s="1557">
        <v>1.8405797101449275</v>
      </c>
      <c r="BI96" s="1557">
        <v>4.4824952259707196</v>
      </c>
      <c r="BJ96" s="1557">
        <v>2.9773558305495924</v>
      </c>
      <c r="BK96" s="1557">
        <v>0.70244546280659659</v>
      </c>
      <c r="BL96" s="1557">
        <v>-8.1830487704570173E-2</v>
      </c>
      <c r="BM96" s="1557">
        <v>-1.1265473127472372</v>
      </c>
      <c r="BN96" s="1557">
        <v>-1.8000692554242899</v>
      </c>
      <c r="BO96" s="1563"/>
      <c r="BV96" s="8"/>
    </row>
    <row r="97" spans="1:74" ht="14.25" customHeight="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V97" s="8"/>
    </row>
    <row r="98" spans="1:74" ht="14.25" customHeight="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313"/>
      <c r="V98" s="313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V98" s="8"/>
    </row>
    <row r="99" spans="1:74" ht="14.25" customHeight="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V99" s="8"/>
    </row>
    <row r="100" spans="1:74" ht="14.25" customHeight="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V100" s="8"/>
    </row>
    <row r="101" spans="1:74" ht="14.25" customHeight="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V101" s="8"/>
    </row>
    <row r="102" spans="1:74" ht="14.25" customHeight="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V102" s="8"/>
    </row>
    <row r="103" spans="1:74" ht="14.25" customHeight="1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V103" s="8"/>
    </row>
    <row r="104" spans="1:74" ht="14.25" customHeight="1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V104" s="8"/>
    </row>
    <row r="105" spans="1:74" ht="14.25" customHeight="1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V105" s="8"/>
    </row>
    <row r="106" spans="1:74" ht="14.25" customHeight="1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V106" s="8"/>
    </row>
    <row r="107" spans="1:74" ht="14.25" customHeight="1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V107" s="8"/>
    </row>
    <row r="108" spans="1:74" ht="14.25" customHeight="1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V108" s="8"/>
    </row>
    <row r="109" spans="1:74" ht="14.25" customHeight="1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V109" s="8"/>
    </row>
    <row r="110" spans="1:74" ht="14.25" customHeight="1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V110" s="8"/>
    </row>
    <row r="111" spans="1:74" ht="14.25" customHeight="1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V111" s="8"/>
    </row>
    <row r="112" spans="1:74" ht="14.25" customHeight="1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V112" s="8"/>
    </row>
    <row r="113" spans="1:74" ht="14.25" customHeight="1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V113" s="8"/>
    </row>
    <row r="114" spans="1:74" ht="14.25" customHeight="1">
      <c r="AR114"/>
      <c r="AS114"/>
      <c r="AT114"/>
      <c r="AU114"/>
      <c r="AV114"/>
      <c r="AW114"/>
      <c r="AX114"/>
      <c r="AY114"/>
      <c r="BK114"/>
      <c r="BL114"/>
      <c r="BM114"/>
      <c r="BN114"/>
    </row>
    <row r="115" spans="1:74" ht="14.25" customHeight="1">
      <c r="A115" s="8"/>
      <c r="B115" s="105" t="s">
        <v>122</v>
      </c>
      <c r="C115" s="105"/>
      <c r="D115" s="106" t="s">
        <v>125</v>
      </c>
      <c r="E115" s="106" t="s">
        <v>125</v>
      </c>
      <c r="F115" s="106" t="s">
        <v>125</v>
      </c>
      <c r="G115" s="106" t="s">
        <v>125</v>
      </c>
      <c r="H115" s="106" t="s">
        <v>125</v>
      </c>
      <c r="I115" s="106" t="s">
        <v>125</v>
      </c>
      <c r="J115" s="106" t="s">
        <v>125</v>
      </c>
      <c r="K115" s="106" t="s">
        <v>125</v>
      </c>
      <c r="L115" s="106" t="s">
        <v>125</v>
      </c>
      <c r="M115" s="106" t="s">
        <v>125</v>
      </c>
      <c r="N115" s="106" t="s">
        <v>125</v>
      </c>
      <c r="O115" s="106" t="s">
        <v>125</v>
      </c>
      <c r="P115" s="106" t="s">
        <v>125</v>
      </c>
      <c r="Q115" s="106" t="s">
        <v>125</v>
      </c>
      <c r="R115" s="106" t="s">
        <v>125</v>
      </c>
      <c r="S115" s="106" t="s">
        <v>125</v>
      </c>
      <c r="T115" s="106" t="s">
        <v>125</v>
      </c>
      <c r="U115" s="106" t="s">
        <v>125</v>
      </c>
      <c r="V115" s="106" t="s">
        <v>125</v>
      </c>
      <c r="W115" s="106" t="s">
        <v>125</v>
      </c>
      <c r="X115" s="106" t="s">
        <v>125</v>
      </c>
      <c r="Y115" s="106" t="s">
        <v>125</v>
      </c>
      <c r="Z115" s="106" t="s">
        <v>125</v>
      </c>
      <c r="AA115" s="106" t="s">
        <v>125</v>
      </c>
      <c r="AB115" s="106" t="s">
        <v>125</v>
      </c>
      <c r="AC115" s="106" t="s">
        <v>125</v>
      </c>
      <c r="AD115" s="106" t="s">
        <v>125</v>
      </c>
      <c r="AE115" s="106" t="s">
        <v>125</v>
      </c>
      <c r="AF115" s="106" t="s">
        <v>125</v>
      </c>
      <c r="AG115" s="106" t="s">
        <v>125</v>
      </c>
      <c r="AH115" s="106" t="s">
        <v>125</v>
      </c>
      <c r="AI115" s="106" t="s">
        <v>125</v>
      </c>
      <c r="AJ115" s="106" t="s">
        <v>125</v>
      </c>
      <c r="AK115" s="106" t="s">
        <v>125</v>
      </c>
      <c r="AL115" s="106" t="s">
        <v>125</v>
      </c>
      <c r="AM115" s="106" t="s">
        <v>125</v>
      </c>
      <c r="AN115" s="106" t="s">
        <v>125</v>
      </c>
      <c r="AO115" s="106" t="s">
        <v>125</v>
      </c>
      <c r="AP115" s="106" t="s">
        <v>125</v>
      </c>
      <c r="AQ115" s="106" t="s">
        <v>125</v>
      </c>
      <c r="AR115" s="106" t="s">
        <v>125</v>
      </c>
      <c r="AS115" s="106" t="s">
        <v>125</v>
      </c>
      <c r="AT115" s="106" t="s">
        <v>125</v>
      </c>
      <c r="AU115" s="106" t="s">
        <v>125</v>
      </c>
      <c r="AV115" s="106" t="s">
        <v>126</v>
      </c>
      <c r="AW115" s="106" t="s">
        <v>126</v>
      </c>
      <c r="AX115" s="106" t="s">
        <v>126</v>
      </c>
      <c r="AY115" s="106" t="s">
        <v>126</v>
      </c>
      <c r="AZ115" s="106"/>
      <c r="BA115" s="106" t="s">
        <v>125</v>
      </c>
      <c r="BB115" s="106" t="s">
        <v>125</v>
      </c>
      <c r="BC115" s="106" t="s">
        <v>125</v>
      </c>
      <c r="BD115" s="106" t="s">
        <v>125</v>
      </c>
      <c r="BE115" s="106" t="s">
        <v>125</v>
      </c>
      <c r="BF115" s="106" t="s">
        <v>125</v>
      </c>
      <c r="BG115" s="106" t="s">
        <v>125</v>
      </c>
      <c r="BH115" s="106" t="s">
        <v>125</v>
      </c>
      <c r="BI115" s="106" t="s">
        <v>125</v>
      </c>
      <c r="BJ115" s="106" t="s">
        <v>125</v>
      </c>
      <c r="BK115" s="106" t="s">
        <v>125</v>
      </c>
      <c r="BL115" s="106" t="s">
        <v>126</v>
      </c>
      <c r="BM115" s="106" t="s">
        <v>126</v>
      </c>
      <c r="BN115" s="106" t="s">
        <v>126</v>
      </c>
      <c r="BO115" s="8"/>
      <c r="BV115" s="8"/>
    </row>
    <row r="116" spans="1:74" ht="14.25" customHeight="1" outlineLevel="1">
      <c r="A116" s="8"/>
      <c r="B116" s="58" t="s">
        <v>181</v>
      </c>
      <c r="C116" s="58"/>
      <c r="D116" s="189" t="s">
        <v>182</v>
      </c>
      <c r="E116" s="189" t="s">
        <v>182</v>
      </c>
      <c r="F116" s="189" t="s">
        <v>182</v>
      </c>
      <c r="G116" s="189" t="s">
        <v>182</v>
      </c>
      <c r="H116" s="189" t="s">
        <v>182</v>
      </c>
      <c r="I116" s="189" t="s">
        <v>182</v>
      </c>
      <c r="J116" s="189" t="s">
        <v>182</v>
      </c>
      <c r="K116" s="189" t="s">
        <v>182</v>
      </c>
      <c r="L116" s="189" t="s">
        <v>182</v>
      </c>
      <c r="M116" s="189" t="s">
        <v>182</v>
      </c>
      <c r="N116" s="189" t="s">
        <v>182</v>
      </c>
      <c r="O116" s="189" t="s">
        <v>182</v>
      </c>
      <c r="P116" s="189" t="s">
        <v>182</v>
      </c>
      <c r="Q116" s="189" t="s">
        <v>182</v>
      </c>
      <c r="R116" s="189" t="s">
        <v>182</v>
      </c>
      <c r="S116" s="189" t="s">
        <v>182</v>
      </c>
      <c r="T116" s="189" t="s">
        <v>182</v>
      </c>
      <c r="U116" s="189" t="s">
        <v>182</v>
      </c>
      <c r="V116" s="189" t="s">
        <v>182</v>
      </c>
      <c r="W116" s="189" t="s">
        <v>182</v>
      </c>
      <c r="X116" s="189" t="s">
        <v>182</v>
      </c>
      <c r="Y116" s="189" t="s">
        <v>182</v>
      </c>
      <c r="Z116" s="189" t="s">
        <v>182</v>
      </c>
      <c r="AA116" s="189" t="s">
        <v>182</v>
      </c>
      <c r="AB116" s="189" t="s">
        <v>182</v>
      </c>
      <c r="AC116" s="189" t="s">
        <v>182</v>
      </c>
      <c r="AD116" s="189" t="s">
        <v>182</v>
      </c>
      <c r="AE116" s="189" t="s">
        <v>182</v>
      </c>
      <c r="AF116" s="189" t="s">
        <v>182</v>
      </c>
      <c r="AG116" s="189" t="s">
        <v>182</v>
      </c>
      <c r="AH116" s="189" t="s">
        <v>182</v>
      </c>
      <c r="AI116" s="189" t="s">
        <v>182</v>
      </c>
      <c r="AJ116" s="189" t="s">
        <v>182</v>
      </c>
      <c r="AK116" s="189" t="s">
        <v>182</v>
      </c>
      <c r="AL116" s="189" t="s">
        <v>182</v>
      </c>
      <c r="AM116" s="189" t="s">
        <v>182</v>
      </c>
      <c r="AN116" s="189" t="s">
        <v>182</v>
      </c>
      <c r="AO116" s="189" t="s">
        <v>182</v>
      </c>
      <c r="AP116" s="189" t="s">
        <v>182</v>
      </c>
      <c r="AQ116" s="189" t="s">
        <v>182</v>
      </c>
      <c r="AR116" s="189" t="s">
        <v>182</v>
      </c>
      <c r="AS116" s="189" t="s">
        <v>182</v>
      </c>
      <c r="AT116" s="189" t="s">
        <v>182</v>
      </c>
      <c r="AU116" s="189" t="s">
        <v>182</v>
      </c>
      <c r="AV116" s="189" t="s">
        <v>182</v>
      </c>
      <c r="AW116" s="189" t="s">
        <v>182</v>
      </c>
      <c r="AX116" s="189" t="s">
        <v>182</v>
      </c>
      <c r="AY116" s="189" t="s">
        <v>182</v>
      </c>
      <c r="AZ116" s="8"/>
      <c r="BA116" s="189" t="s">
        <v>182</v>
      </c>
      <c r="BB116" s="189" t="s">
        <v>182</v>
      </c>
      <c r="BC116" s="189" t="s">
        <v>182</v>
      </c>
      <c r="BD116" s="189" t="s">
        <v>182</v>
      </c>
      <c r="BE116" s="189" t="s">
        <v>182</v>
      </c>
      <c r="BF116" s="189" t="s">
        <v>182</v>
      </c>
      <c r="BG116" s="189" t="s">
        <v>182</v>
      </c>
      <c r="BH116" s="189" t="s">
        <v>182</v>
      </c>
      <c r="BI116" s="189" t="s">
        <v>182</v>
      </c>
      <c r="BJ116" s="189" t="s">
        <v>182</v>
      </c>
      <c r="BK116" s="189" t="s">
        <v>182</v>
      </c>
      <c r="BL116" s="189" t="s">
        <v>182</v>
      </c>
      <c r="BM116" s="189" t="s">
        <v>182</v>
      </c>
      <c r="BN116" s="189" t="s">
        <v>182</v>
      </c>
      <c r="BO116" s="8"/>
      <c r="BV116" s="8"/>
    </row>
    <row r="117" spans="1:74" ht="14.25" customHeight="1">
      <c r="A117" s="8"/>
      <c r="B117" s="58" t="s">
        <v>183</v>
      </c>
      <c r="C117" s="58"/>
      <c r="D117" s="190">
        <v>354</v>
      </c>
      <c r="E117" s="190">
        <v>369</v>
      </c>
      <c r="F117" s="190">
        <v>27</v>
      </c>
      <c r="G117" s="190">
        <v>-53</v>
      </c>
      <c r="H117" s="190">
        <v>5094</v>
      </c>
      <c r="I117" s="190">
        <v>-8</v>
      </c>
      <c r="J117" s="190">
        <v>-323</v>
      </c>
      <c r="K117" s="190">
        <v>-612</v>
      </c>
      <c r="L117" s="190">
        <v>-45</v>
      </c>
      <c r="M117" s="190">
        <v>-48</v>
      </c>
      <c r="N117" s="190">
        <v>-628</v>
      </c>
      <c r="O117" s="190">
        <v>377</v>
      </c>
      <c r="P117" s="190">
        <v>354</v>
      </c>
      <c r="Q117" s="190">
        <v>374</v>
      </c>
      <c r="R117" s="190">
        <v>-362</v>
      </c>
      <c r="S117" s="190">
        <v>140</v>
      </c>
      <c r="T117" s="190">
        <v>-173</v>
      </c>
      <c r="U117" s="190">
        <v>-71</v>
      </c>
      <c r="V117" s="190">
        <v>-291</v>
      </c>
      <c r="W117" s="190">
        <v>191</v>
      </c>
      <c r="X117" s="190">
        <v>37</v>
      </c>
      <c r="Y117" s="190">
        <v>106</v>
      </c>
      <c r="Z117" s="190">
        <v>-99</v>
      </c>
      <c r="AA117" s="190">
        <v>134</v>
      </c>
      <c r="AB117" s="190">
        <v>27</v>
      </c>
      <c r="AC117" s="190">
        <v>-93</v>
      </c>
      <c r="AD117" s="190">
        <v>-138</v>
      </c>
      <c r="AE117" s="190">
        <v>-77</v>
      </c>
      <c r="AF117" s="190">
        <v>-97</v>
      </c>
      <c r="AG117" s="190">
        <v>-140</v>
      </c>
      <c r="AH117" s="190">
        <v>-104</v>
      </c>
      <c r="AI117" s="190">
        <v>-131</v>
      </c>
      <c r="AJ117" s="190">
        <v>124</v>
      </c>
      <c r="AK117" s="190">
        <v>-279</v>
      </c>
      <c r="AL117" s="190">
        <v>75</v>
      </c>
      <c r="AM117" s="190">
        <v>161</v>
      </c>
      <c r="AN117" s="190">
        <v>-1134</v>
      </c>
      <c r="AO117" s="190">
        <v>209.2650854316546</v>
      </c>
      <c r="AP117" s="190">
        <v>-378.18102774080944</v>
      </c>
      <c r="AQ117" s="190">
        <v>-182.17230481564093</v>
      </c>
      <c r="AR117" s="190">
        <v>1076.7914389964046</v>
      </c>
      <c r="AS117" s="190">
        <v>-194.28788709151354</v>
      </c>
      <c r="AT117" s="190">
        <v>-227.88248456870338</v>
      </c>
      <c r="AU117" s="190">
        <v>483.07752979341637</v>
      </c>
      <c r="AV117" s="190">
        <v>150.37257200968293</v>
      </c>
      <c r="AW117" s="190">
        <v>149.50146296643015</v>
      </c>
      <c r="AX117" s="190">
        <v>148.12921242760092</v>
      </c>
      <c r="AY117" s="190">
        <v>154.21996440815053</v>
      </c>
      <c r="AZ117" s="8"/>
      <c r="BA117" s="191">
        <v>697</v>
      </c>
      <c r="BB117" s="191">
        <v>4151</v>
      </c>
      <c r="BC117" s="191">
        <v>-344</v>
      </c>
      <c r="BD117" s="191">
        <v>506</v>
      </c>
      <c r="BE117" s="191">
        <v>-344</v>
      </c>
      <c r="BF117" s="191">
        <v>178</v>
      </c>
      <c r="BG117" s="191">
        <v>-281</v>
      </c>
      <c r="BH117" s="191">
        <v>-472</v>
      </c>
      <c r="BI117" s="191">
        <v>81</v>
      </c>
      <c r="BJ117" s="191">
        <v>-1485.0882471247951</v>
      </c>
      <c r="BK117" s="191">
        <v>1137.6985971296044</v>
      </c>
      <c r="BL117" s="191">
        <v>602.22321181186271</v>
      </c>
      <c r="BM117" s="191">
        <v>709.34592860818202</v>
      </c>
      <c r="BN117" s="191">
        <v>743.94857081232703</v>
      </c>
      <c r="BO117" s="8"/>
      <c r="BV117" s="8"/>
    </row>
    <row r="118" spans="1:74" ht="14.25" customHeight="1">
      <c r="A118" s="1"/>
      <c r="B118" s="192"/>
      <c r="C118" s="192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V118" s="1"/>
    </row>
    <row r="119" spans="1:74" ht="14.25" customHeight="1">
      <c r="A119" s="1"/>
      <c r="B119" s="192"/>
      <c r="C119" s="192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V119" s="1"/>
    </row>
    <row r="120" spans="1:74" ht="14.2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V120" s="1"/>
    </row>
    <row r="121" spans="1:74" ht="14.2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V121" s="1"/>
    </row>
  </sheetData>
  <phoneticPr fontId="41" type="noConversion"/>
  <pageMargins left="0" right="0" top="0" bottom="0" header="0" footer="0"/>
  <pageSetup paperSize="5" scale="35" orientation="landscape" r:id="rId1"/>
  <headerFooter alignWithMargins="0"/>
  <ignoredErrors>
    <ignoredError sqref="BM15 BM58 BO20 AZ20:BH20 AZ15:BH15 BH27 BM27 AV48:AY48 BV20:CD20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7"/>
    <pageSetUpPr fitToPage="1"/>
  </sheetPr>
  <dimension ref="A1:BV187"/>
  <sheetViews>
    <sheetView showGridLines="0" zoomScale="80" zoomScaleNormal="80" workbookViewId="0">
      <pane xSplit="3" ySplit="9" topLeftCell="AN10" activePane="bottomRight" state="frozen"/>
      <selection activeCell="AR1" sqref="AR1:AU1048576"/>
      <selection pane="topRight" activeCell="AR1" sqref="AR1:AU1048576"/>
      <selection pane="bottomLeft" activeCell="AR1" sqref="AR1:AU1048576"/>
      <selection pane="bottomRight" activeCell="B6" sqref="B6"/>
    </sheetView>
  </sheetViews>
  <sheetFormatPr defaultRowHeight="14.25" customHeight="1" outlineLevelRow="1" outlineLevelCol="1"/>
  <cols>
    <col min="1" max="1" width="1.7109375" customWidth="1"/>
    <col min="2" max="2" width="56" customWidth="1"/>
    <col min="3" max="3" width="1.7109375" customWidth="1"/>
    <col min="4" max="35" width="11.42578125" hidden="1" customWidth="1" outlineLevel="1"/>
    <col min="36" max="36" width="11.42578125" hidden="1" customWidth="1" outlineLevel="1" collapsed="1"/>
    <col min="37" max="38" width="11.42578125" hidden="1" customWidth="1" outlineLevel="1"/>
    <col min="39" max="39" width="11.140625" hidden="1" customWidth="1" outlineLevel="1"/>
    <col min="40" max="40" width="11.42578125" customWidth="1" collapsed="1"/>
    <col min="41" max="43" width="11.42578125" customWidth="1"/>
    <col min="44" max="51" width="11.42578125" style="1476" customWidth="1"/>
    <col min="52" max="52" width="2.7109375" customWidth="1"/>
    <col min="53" max="60" width="11.42578125" hidden="1" customWidth="1" outlineLevel="1"/>
    <col min="61" max="61" width="11.42578125" customWidth="1" collapsed="1"/>
    <col min="62" max="62" width="11.42578125" customWidth="1"/>
    <col min="63" max="63" width="11.42578125" style="1476" customWidth="1"/>
    <col min="64" max="66" width="11.42578125" style="1476" customWidth="1" collapsed="1"/>
    <col min="68" max="68" width="39.7109375" hidden="1" customWidth="1" outlineLevel="1"/>
    <col min="69" max="73" width="9.140625" hidden="1" customWidth="1" outlineLevel="1"/>
    <col min="74" max="74" width="9.140625" collapsed="1"/>
  </cols>
  <sheetData>
    <row r="1" spans="1:67" ht="67.5" customHeight="1">
      <c r="A1" s="1"/>
      <c r="B1" s="321"/>
      <c r="C1" s="1"/>
      <c r="D1" s="2" t="str">
        <f>IF(SUM(BS)&lt;&gt;0,"BS BREAK","")</f>
        <v/>
      </c>
      <c r="E1" s="1"/>
      <c r="F1" s="2" t="str">
        <f>IF(SUM(BS)&lt;&gt;0,"BS BREAK","")</f>
        <v/>
      </c>
      <c r="G1" s="1"/>
      <c r="H1" s="2" t="str">
        <f>IF(SUM(BS)&lt;&gt;0,"BS BREAK","")</f>
        <v/>
      </c>
      <c r="I1" s="1"/>
      <c r="J1" s="2" t="str">
        <f>IF(SUM(BS)&lt;&gt;0,"BS BREAK","")</f>
        <v/>
      </c>
      <c r="K1" s="1"/>
      <c r="L1" s="2" t="str">
        <f>IF(SUM(BS)&lt;&gt;0,"BS BREAK","")</f>
        <v/>
      </c>
      <c r="M1" s="1"/>
      <c r="N1" s="2" t="str">
        <f>IF(SUM(BS)&lt;&gt;0,"BS BREAK","")</f>
        <v/>
      </c>
      <c r="O1" s="1"/>
      <c r="P1" s="2" t="str">
        <f>IF(SUM(BS)&lt;&gt;0,"BS BREAK","")</f>
        <v/>
      </c>
      <c r="Q1" s="1"/>
      <c r="R1" s="2" t="str">
        <f>IF(SUM(BS)&lt;&gt;0,"BS BREAK","")</f>
        <v/>
      </c>
      <c r="S1" s="1"/>
      <c r="T1" s="2" t="str">
        <f>IF(SUM(BS)&lt;&gt;0,"BS BREAK","")</f>
        <v/>
      </c>
      <c r="U1" s="1"/>
      <c r="V1" s="2" t="str">
        <f>IF(SUM(BS)&lt;&gt;0,"BS BREAK","")</f>
        <v/>
      </c>
      <c r="W1" s="1"/>
      <c r="X1" s="2" t="str">
        <f>IF(SUM(BS)&lt;&gt;0,"BS BREAK","")</f>
        <v/>
      </c>
      <c r="Y1" s="1"/>
      <c r="Z1" s="2" t="str">
        <f>IF(SUM(BS)&lt;&gt;0,"BS BREAK","")</f>
        <v/>
      </c>
      <c r="AA1" s="1"/>
      <c r="AB1" s="2" t="str">
        <f>IF(SUM(BS)&lt;&gt;0,"BS BREAK","")</f>
        <v/>
      </c>
      <c r="AC1" s="1"/>
      <c r="AD1" s="2" t="str">
        <f>IF(SUM(BS)&lt;&gt;0,"BS BREAK","")</f>
        <v/>
      </c>
      <c r="AE1" s="1"/>
      <c r="AF1" s="2" t="str">
        <f>IF(SUM(BS)&lt;&gt;0,"BS BREAK","")</f>
        <v/>
      </c>
      <c r="AG1" s="1"/>
      <c r="AH1" s="2" t="str">
        <f>IF(SUM(BS)&lt;&gt;0,"BS BREAK","")</f>
        <v/>
      </c>
      <c r="AI1" s="1"/>
      <c r="AJ1" s="2" t="str">
        <f>IF(SUM(BS)&lt;&gt;0,"BS BREAK","")</f>
        <v/>
      </c>
      <c r="AK1" s="1"/>
      <c r="AL1" s="2" t="str">
        <f>IF(SUM(BS)&lt;&gt;0,"BS BREAK","")</f>
        <v/>
      </c>
      <c r="AM1" s="1"/>
      <c r="AN1" s="2" t="str">
        <f>IF(SUM(BS)&lt;&gt;0,"BS BREAK","")</f>
        <v/>
      </c>
      <c r="AO1" s="1"/>
      <c r="AP1" s="2" t="str">
        <f>IF(SUM(BS)&lt;&gt;0,"BS BREAK","")</f>
        <v/>
      </c>
      <c r="AQ1" s="1"/>
      <c r="AR1" s="2" t="str">
        <f>IF(SUM(BS)&lt;&gt;0,"BS BREAK","")</f>
        <v/>
      </c>
      <c r="AS1" s="1"/>
      <c r="AT1" s="2" t="str">
        <f>IF(SUM(BS)&lt;&gt;0,"BS BREAK","")</f>
        <v/>
      </c>
      <c r="AU1" s="1"/>
      <c r="AV1" s="1"/>
      <c r="AW1" s="1"/>
      <c r="AX1" s="1"/>
      <c r="AY1" s="1"/>
      <c r="AZ1" s="2" t="str">
        <f>IF(SUM(BS)&lt;&gt;0,"BS BREAK","")</f>
        <v/>
      </c>
      <c r="BA1" s="1"/>
      <c r="BB1" s="1"/>
      <c r="BC1" s="2" t="str">
        <f>IF(SUM(BS)&lt;&gt;0,"BS BREAK","")</f>
        <v/>
      </c>
      <c r="BD1" s="1"/>
      <c r="BE1" s="2" t="str">
        <f>IF(SUM(BS)&lt;&gt;0,"BS BREAK","")</f>
        <v/>
      </c>
      <c r="BF1" s="1"/>
      <c r="BG1" s="2" t="str">
        <f>IF(SUM(BS)&lt;&gt;0,"BS BREAK","")</f>
        <v/>
      </c>
      <c r="BH1" s="2"/>
      <c r="BI1" s="2"/>
      <c r="BJ1" s="1"/>
      <c r="BK1" s="1" t="str">
        <f>IF(SUM(BS)&lt;&gt;0,"BS BREAK","")</f>
        <v/>
      </c>
      <c r="BL1" s="1"/>
      <c r="BM1" s="1" t="str">
        <f>IF(SUM(BS)&lt;&gt;0,"BS BREAK","")</f>
        <v/>
      </c>
      <c r="BN1" s="1" t="str">
        <f>IF(SUM(BS)&lt;&gt;0,"BS BREAK","")</f>
        <v/>
      </c>
      <c r="BO1" s="1"/>
    </row>
    <row r="2" spans="1:67" ht="18" customHeight="1">
      <c r="A2" s="1"/>
      <c r="B2" s="4" t="s">
        <v>304</v>
      </c>
      <c r="C2" s="4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</row>
    <row r="3" spans="1:67" ht="14.25" hidden="1" customHeight="1" outlineLevel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</row>
    <row r="4" spans="1:67" ht="14.25" customHeight="1" collapsed="1">
      <c r="A4" s="1"/>
      <c r="B4" s="1"/>
      <c r="C4" s="1"/>
      <c r="D4" s="1"/>
      <c r="E4" s="1"/>
      <c r="F4" s="1"/>
      <c r="G4" s="194"/>
      <c r="H4" s="1"/>
      <c r="I4" s="1"/>
      <c r="J4" s="1"/>
      <c r="K4" s="194"/>
      <c r="L4" s="1"/>
      <c r="M4" s="1"/>
      <c r="N4" s="1"/>
      <c r="O4" s="194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</row>
    <row r="5" spans="1:67" ht="14.25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698"/>
      <c r="AO5" s="1698"/>
      <c r="AP5" s="1698"/>
      <c r="AQ5" s="1698"/>
      <c r="AR5" s="1698"/>
      <c r="AS5" s="1698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139"/>
      <c r="BG5" s="1139"/>
      <c r="BH5" s="1139"/>
      <c r="BI5" s="1139"/>
      <c r="BJ5" s="1139"/>
      <c r="BK5" s="1139"/>
      <c r="BL5" s="1139"/>
      <c r="BM5" s="1139"/>
      <c r="BN5" s="1139"/>
      <c r="BO5" s="1"/>
    </row>
    <row r="6" spans="1:67" ht="14.25" customHeight="1">
      <c r="A6" s="1"/>
      <c r="B6" s="7"/>
      <c r="C6" s="7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</row>
    <row r="7" spans="1:67" ht="14.25" customHeight="1">
      <c r="A7" s="8"/>
      <c r="B7" s="9" t="s">
        <v>306</v>
      </c>
      <c r="C7" s="10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139"/>
      <c r="BH7" s="1139"/>
      <c r="BI7" s="1139"/>
      <c r="BJ7" s="1"/>
      <c r="BK7" s="1"/>
      <c r="BL7" s="1"/>
      <c r="BM7" s="1"/>
      <c r="BN7" s="1"/>
      <c r="BO7" s="1"/>
    </row>
    <row r="8" spans="1:67" ht="14.25" customHeight="1">
      <c r="A8" s="8"/>
      <c r="B8" s="12" t="s">
        <v>50</v>
      </c>
      <c r="C8" s="13"/>
      <c r="D8" s="490">
        <f>BS!D8</f>
        <v>39172</v>
      </c>
      <c r="E8" s="491">
        <f>BS!E8</f>
        <v>39263</v>
      </c>
      <c r="F8" s="491">
        <f>BS!F8</f>
        <v>39355</v>
      </c>
      <c r="G8" s="492">
        <f>BS!G8</f>
        <v>39447</v>
      </c>
      <c r="H8" s="490">
        <f>BS!H8</f>
        <v>39538</v>
      </c>
      <c r="I8" s="491">
        <f>BS!I8</f>
        <v>39629</v>
      </c>
      <c r="J8" s="491">
        <f>BS!J8</f>
        <v>39721</v>
      </c>
      <c r="K8" s="492">
        <f>BS!K8</f>
        <v>39813</v>
      </c>
      <c r="L8" s="490">
        <f>BS!L8</f>
        <v>39903</v>
      </c>
      <c r="M8" s="491">
        <f>BS!M8</f>
        <v>39994</v>
      </c>
      <c r="N8" s="491">
        <f>BS!N8</f>
        <v>40086</v>
      </c>
      <c r="O8" s="492">
        <f>BS!O8</f>
        <v>40178</v>
      </c>
      <c r="P8" s="490">
        <f>BS!P8</f>
        <v>40268</v>
      </c>
      <c r="Q8" s="491">
        <f>BS!Q8</f>
        <v>40359</v>
      </c>
      <c r="R8" s="491">
        <f>BS!R8</f>
        <v>40451</v>
      </c>
      <c r="S8" s="492">
        <f>BS!S8</f>
        <v>40543</v>
      </c>
      <c r="T8" s="490">
        <f>BS!T8</f>
        <v>40633</v>
      </c>
      <c r="U8" s="491">
        <f>BS!U8</f>
        <v>40724</v>
      </c>
      <c r="V8" s="491">
        <f>BS!V8</f>
        <v>40816</v>
      </c>
      <c r="W8" s="492">
        <f>BS!W8</f>
        <v>40908</v>
      </c>
      <c r="X8" s="490">
        <f>BS!X8</f>
        <v>40999</v>
      </c>
      <c r="Y8" s="491">
        <f>BS!Y8</f>
        <v>41090</v>
      </c>
      <c r="Z8" s="491">
        <f>BS!Z8</f>
        <v>41182</v>
      </c>
      <c r="AA8" s="492">
        <f>BS!AA8</f>
        <v>41274</v>
      </c>
      <c r="AB8" s="490">
        <f>BS!AB8</f>
        <v>41364</v>
      </c>
      <c r="AC8" s="491">
        <f>BS!AC8</f>
        <v>41455</v>
      </c>
      <c r="AD8" s="491">
        <f>BS!AD8</f>
        <v>41547</v>
      </c>
      <c r="AE8" s="492">
        <f>BS!AE8</f>
        <v>41639</v>
      </c>
      <c r="AF8" s="490">
        <f>BS!AF8</f>
        <v>41729</v>
      </c>
      <c r="AG8" s="491">
        <f>BS!AG8</f>
        <v>41820</v>
      </c>
      <c r="AH8" s="491">
        <f>BS!AH8</f>
        <v>41912</v>
      </c>
      <c r="AI8" s="491">
        <f>BS!AI8</f>
        <v>42004</v>
      </c>
      <c r="AJ8" s="490">
        <f>BS!AJ8</f>
        <v>42094</v>
      </c>
      <c r="AK8" s="491">
        <f>BS!AK8</f>
        <v>42185</v>
      </c>
      <c r="AL8" s="491">
        <f>BS!AL8</f>
        <v>42277</v>
      </c>
      <c r="AM8" s="492">
        <f>BS!AM8</f>
        <v>42369</v>
      </c>
      <c r="AN8" s="490">
        <f>BS!AN8</f>
        <v>42460</v>
      </c>
      <c r="AO8" s="1716">
        <f>BS!AO8</f>
        <v>42551</v>
      </c>
      <c r="AP8" s="1716">
        <f>BS!AP8</f>
        <v>42643</v>
      </c>
      <c r="AQ8" s="1717">
        <f>BS!AQ8</f>
        <v>42735</v>
      </c>
      <c r="AR8" s="490">
        <f>BS!AR8</f>
        <v>42825</v>
      </c>
      <c r="AS8" s="1716">
        <f>BS!AS8</f>
        <v>42916</v>
      </c>
      <c r="AT8" s="1716">
        <f>BS!AT8</f>
        <v>43008</v>
      </c>
      <c r="AU8" s="1717">
        <f>BS!AU8</f>
        <v>43100</v>
      </c>
      <c r="AV8" s="490">
        <f>BS!AV8</f>
        <v>43190</v>
      </c>
      <c r="AW8" s="1716">
        <f>BS!AW8</f>
        <v>43281</v>
      </c>
      <c r="AX8" s="1716">
        <f>BS!AX8</f>
        <v>43373</v>
      </c>
      <c r="AY8" s="1717">
        <f>BS!AY8</f>
        <v>43465</v>
      </c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</row>
    <row r="9" spans="1:67" ht="14.25" customHeight="1">
      <c r="A9" s="8"/>
      <c r="B9" s="12"/>
      <c r="C9" s="195"/>
      <c r="D9" s="17" t="str">
        <f>BS!D9</f>
        <v>F1Q07A</v>
      </c>
      <c r="E9" s="18" t="str">
        <f>BS!E9</f>
        <v>F2Q07A</v>
      </c>
      <c r="F9" s="18" t="str">
        <f>BS!F9</f>
        <v>F3Q07A</v>
      </c>
      <c r="G9" s="19" t="str">
        <f>BS!G9</f>
        <v>F4Q07A</v>
      </c>
      <c r="H9" s="17" t="str">
        <f>BS!H9</f>
        <v>F1Q08A</v>
      </c>
      <c r="I9" s="18" t="str">
        <f>BS!I9</f>
        <v>F2Q08A</v>
      </c>
      <c r="J9" s="18" t="str">
        <f>BS!J9</f>
        <v>F3Q08A</v>
      </c>
      <c r="K9" s="19" t="str">
        <f>BS!K9</f>
        <v>F4Q08A</v>
      </c>
      <c r="L9" s="17" t="str">
        <f>BS!L9</f>
        <v>F1Q09A</v>
      </c>
      <c r="M9" s="18" t="str">
        <f>BS!M9</f>
        <v>F2Q09A</v>
      </c>
      <c r="N9" s="18" t="str">
        <f>BS!N9</f>
        <v>F3Q09A</v>
      </c>
      <c r="O9" s="19" t="str">
        <f>BS!O9</f>
        <v>F4Q09A</v>
      </c>
      <c r="P9" s="17" t="str">
        <f>BS!P9</f>
        <v>F1Q10A</v>
      </c>
      <c r="Q9" s="18" t="str">
        <f>BS!Q9</f>
        <v>F2Q10A</v>
      </c>
      <c r="R9" s="18" t="str">
        <f>BS!R9</f>
        <v>F3Q10A</v>
      </c>
      <c r="S9" s="19" t="str">
        <f>BS!S9</f>
        <v>F4Q10A</v>
      </c>
      <c r="T9" s="17" t="str">
        <f>BS!T9</f>
        <v>F1Q11A</v>
      </c>
      <c r="U9" s="18" t="str">
        <f>BS!U9</f>
        <v>F2Q11A</v>
      </c>
      <c r="V9" s="18" t="str">
        <f>BS!V9</f>
        <v>F3Q11A</v>
      </c>
      <c r="W9" s="19" t="str">
        <f>BS!W9</f>
        <v>F4Q11A</v>
      </c>
      <c r="X9" s="17" t="str">
        <f>BS!X9</f>
        <v>F1Q12A</v>
      </c>
      <c r="Y9" s="18" t="str">
        <f>BS!Y9</f>
        <v>F2Q12A</v>
      </c>
      <c r="Z9" s="18" t="str">
        <f>BS!Z9</f>
        <v>F3Q12A</v>
      </c>
      <c r="AA9" s="19" t="str">
        <f>BS!AA9</f>
        <v>F4Q12A</v>
      </c>
      <c r="AB9" s="17" t="str">
        <f>BS!AB9</f>
        <v>F1Q13A</v>
      </c>
      <c r="AC9" s="18" t="str">
        <f>BS!AC9</f>
        <v>F2Q13A</v>
      </c>
      <c r="AD9" s="18" t="str">
        <f>BS!AD9</f>
        <v>F3Q13A</v>
      </c>
      <c r="AE9" s="19" t="str">
        <f>BS!AE9</f>
        <v>F4Q13A</v>
      </c>
      <c r="AF9" s="17" t="str">
        <f>BS!AF9</f>
        <v>F1Q14A</v>
      </c>
      <c r="AG9" s="18" t="str">
        <f>BS!AG9</f>
        <v>F2Q14A</v>
      </c>
      <c r="AH9" s="18" t="str">
        <f>BS!AH9</f>
        <v>F3Q14A</v>
      </c>
      <c r="AI9" s="18" t="str">
        <f>BS!AI9</f>
        <v>F4Q14A</v>
      </c>
      <c r="AJ9" s="17" t="str">
        <f>BS!AJ9</f>
        <v>F1Q15A</v>
      </c>
      <c r="AK9" s="18" t="str">
        <f>BS!AK9</f>
        <v>F2Q15A</v>
      </c>
      <c r="AL9" s="18" t="str">
        <f>BS!AL9</f>
        <v>F3Q15A</v>
      </c>
      <c r="AM9" s="19" t="str">
        <f>BS!AM9</f>
        <v>F4Q15A</v>
      </c>
      <c r="AN9" s="1709" t="str">
        <f>BS!AN9</f>
        <v>F1Q16A</v>
      </c>
      <c r="AO9" s="1710" t="str">
        <f>BS!AO9</f>
        <v>F2Q16A</v>
      </c>
      <c r="AP9" s="1710" t="str">
        <f>BS!AP9</f>
        <v>F3Q16A</v>
      </c>
      <c r="AQ9" s="1711" t="str">
        <f>BS!AQ9</f>
        <v>F4Q16A</v>
      </c>
      <c r="AR9" s="1709" t="str">
        <f>BS!AR9</f>
        <v>F1Q17A</v>
      </c>
      <c r="AS9" s="1710" t="str">
        <f>BS!AS9</f>
        <v>F2Q17A</v>
      </c>
      <c r="AT9" s="1710" t="str">
        <f>BS!AT9</f>
        <v>F3Q17A</v>
      </c>
      <c r="AU9" s="1711" t="str">
        <f>BS!AU9</f>
        <v>F4Q17A</v>
      </c>
      <c r="AV9" s="1709" t="str">
        <f>BS!AV9</f>
        <v>F1Q18E</v>
      </c>
      <c r="AW9" s="1710" t="str">
        <f>BS!AW9</f>
        <v>F2Q18E</v>
      </c>
      <c r="AX9" s="1710" t="str">
        <f>BS!AX9</f>
        <v>F3Q18E</v>
      </c>
      <c r="AY9" s="1711" t="str">
        <f>BS!AY9</f>
        <v>F4Q18E</v>
      </c>
      <c r="AZ9" s="20"/>
      <c r="BA9" s="335" t="str">
        <f>BS!BA9</f>
        <v>FY2007A</v>
      </c>
      <c r="BB9" s="1093" t="str">
        <f>BS!BB9</f>
        <v>FY2008A</v>
      </c>
      <c r="BC9" s="1093" t="str">
        <f>BS!BC9</f>
        <v>FY2009A</v>
      </c>
      <c r="BD9" s="1093" t="str">
        <f>BS!BD9</f>
        <v>FY2010A</v>
      </c>
      <c r="BE9" s="17" t="str">
        <f>BS!BE9</f>
        <v>FY2011A</v>
      </c>
      <c r="BF9" s="18" t="str">
        <f>BS!BF9</f>
        <v>FY2012A</v>
      </c>
      <c r="BG9" s="1709" t="str">
        <f>BS!BG9</f>
        <v>FY2013A</v>
      </c>
      <c r="BH9" s="1710" t="str">
        <f>BS!BH9</f>
        <v>FY2014A</v>
      </c>
      <c r="BI9" s="1803" t="str">
        <f>BS!BI9</f>
        <v>FY2015A</v>
      </c>
      <c r="BJ9" s="1804" t="str">
        <f>BS!BJ9</f>
        <v>FY2016A</v>
      </c>
      <c r="BK9" s="1804" t="str">
        <f>BS!BK9</f>
        <v>FY2017A</v>
      </c>
      <c r="BL9" s="1804" t="str">
        <f>BS!BL9</f>
        <v>FY2018E</v>
      </c>
      <c r="BM9" s="1804" t="str">
        <f>BS!BM9</f>
        <v>FY2019E</v>
      </c>
      <c r="BN9" s="1805" t="str">
        <f>BS!BN9</f>
        <v>FY2020E</v>
      </c>
      <c r="BO9" s="22"/>
    </row>
    <row r="10" spans="1:67" ht="14.25" customHeight="1">
      <c r="A10" s="8"/>
      <c r="B10" s="196" t="str">
        <f t="shared" ref="B10:B30" si="0">B112</f>
        <v>Cash flows provided by (used for) operating activities:</v>
      </c>
      <c r="C10" s="44"/>
      <c r="D10" s="199"/>
      <c r="E10" s="197"/>
      <c r="F10" s="197"/>
      <c r="G10" s="198"/>
      <c r="H10" s="199"/>
      <c r="I10" s="197"/>
      <c r="J10" s="197"/>
      <c r="K10" s="198"/>
      <c r="L10" s="199"/>
      <c r="M10" s="197"/>
      <c r="N10" s="197"/>
      <c r="O10" s="198"/>
      <c r="P10" s="199"/>
      <c r="Q10" s="197"/>
      <c r="R10" s="197"/>
      <c r="S10" s="197"/>
      <c r="T10" s="199"/>
      <c r="U10" s="197"/>
      <c r="V10" s="197"/>
      <c r="W10" s="198"/>
      <c r="X10" s="199"/>
      <c r="Y10" s="197"/>
      <c r="Z10" s="197"/>
      <c r="AA10" s="198"/>
      <c r="AB10" s="199"/>
      <c r="AC10" s="197"/>
      <c r="AD10" s="197"/>
      <c r="AE10" s="198"/>
      <c r="AF10" s="199"/>
      <c r="AG10" s="197"/>
      <c r="AH10" s="197"/>
      <c r="AI10" s="197"/>
      <c r="AJ10" s="199"/>
      <c r="AK10" s="197"/>
      <c r="AL10" s="197"/>
      <c r="AM10" s="198"/>
      <c r="AN10" s="199"/>
      <c r="AO10" s="197"/>
      <c r="AP10" s="197"/>
      <c r="AQ10" s="198"/>
      <c r="AR10" s="1730"/>
      <c r="AS10" s="1534"/>
      <c r="AT10" s="1534"/>
      <c r="AU10" s="200"/>
      <c r="AV10" s="199"/>
      <c r="AW10" s="197"/>
      <c r="AX10" s="197"/>
      <c r="AY10" s="198"/>
      <c r="AZ10" s="20"/>
      <c r="BA10" s="199"/>
      <c r="BB10" s="197"/>
      <c r="BC10" s="197"/>
      <c r="BD10" s="197"/>
      <c r="BE10" s="199"/>
      <c r="BF10" s="197"/>
      <c r="BG10" s="199"/>
      <c r="BH10" s="197"/>
      <c r="BI10" s="199"/>
      <c r="BJ10" s="197"/>
      <c r="BK10" s="197"/>
      <c r="BL10" s="197"/>
      <c r="BM10" s="197"/>
      <c r="BN10" s="198"/>
      <c r="BO10" s="22"/>
    </row>
    <row r="11" spans="1:67" ht="14.25" customHeight="1">
      <c r="A11" s="8"/>
      <c r="B11" s="23" t="str">
        <f t="shared" si="0"/>
        <v>Net income</v>
      </c>
      <c r="C11" s="1401"/>
      <c r="D11" s="1403">
        <f>'IS Inc FSL'!D100</f>
        <v>-342</v>
      </c>
      <c r="E11" s="1401">
        <f>'IS Inc FSL'!E100</f>
        <v>-349</v>
      </c>
      <c r="F11" s="1401">
        <f>'IS Inc FSL'!F100</f>
        <v>3</v>
      </c>
      <c r="G11" s="1402">
        <f>'IS Inc FSL'!G100</f>
        <v>85</v>
      </c>
      <c r="H11" s="1403">
        <f>'IS Inc FSL'!H100</f>
        <v>-66</v>
      </c>
      <c r="I11" s="1401">
        <f>'IS Inc FSL'!I100</f>
        <v>-319</v>
      </c>
      <c r="J11" s="1401">
        <f>'IS Inc FSL'!J100</f>
        <v>-2540</v>
      </c>
      <c r="K11" s="1402">
        <f>'IS Inc FSL'!K100</f>
        <v>-649</v>
      </c>
      <c r="L11" s="1403">
        <f>'IS Inc FSL'!L100</f>
        <v>-587</v>
      </c>
      <c r="M11" s="1401">
        <f>'IS Inc FSL'!M100</f>
        <v>365</v>
      </c>
      <c r="N11" s="1401">
        <f>'IS Inc FSL'!N100</f>
        <v>428</v>
      </c>
      <c r="O11" s="1402">
        <f>'IS Inc FSL'!O100</f>
        <v>-359</v>
      </c>
      <c r="P11" s="1403">
        <f>'IS Inc FSL'!P100</f>
        <v>-336</v>
      </c>
      <c r="Q11" s="1401">
        <f>'IS Inc FSL'!Q100</f>
        <v>-350</v>
      </c>
      <c r="R11" s="1401">
        <f>'IS Inc FSL'!R100</f>
        <v>376</v>
      </c>
      <c r="S11" s="1402">
        <f>'IS Inc FSL'!S100</f>
        <v>-96</v>
      </c>
      <c r="T11" s="1403">
        <f>'IS Inc FSL'!T100</f>
        <v>201</v>
      </c>
      <c r="U11" s="1401">
        <f>'IS Inc FSL'!U100</f>
        <v>97</v>
      </c>
      <c r="V11" s="1401">
        <f>'IS Inc FSL'!V100</f>
        <v>311</v>
      </c>
      <c r="W11" s="1402">
        <f>'IS Inc FSL'!W100</f>
        <v>-173</v>
      </c>
      <c r="X11" s="1403">
        <f>'IS Inc FSL'!X100</f>
        <v>-11</v>
      </c>
      <c r="Y11" s="1401">
        <f>'IS Inc FSL'!Y100</f>
        <v>-74</v>
      </c>
      <c r="Z11" s="1401">
        <f>'IS Inc FSL'!Z100</f>
        <v>131</v>
      </c>
      <c r="AA11" s="1402">
        <f>'IS Inc FSL'!AA100</f>
        <v>-98</v>
      </c>
      <c r="AB11" s="1403">
        <f>'IS Inc FSL'!AB100</f>
        <v>-1</v>
      </c>
      <c r="AC11" s="1401">
        <f>'IS Inc FSL'!AC100</f>
        <v>129</v>
      </c>
      <c r="AD11" s="1401">
        <f>'IS Inc FSL'!AD100</f>
        <v>172</v>
      </c>
      <c r="AE11" s="1402">
        <f>'IS Inc FSL'!AE100</f>
        <v>115</v>
      </c>
      <c r="AF11" s="1403">
        <f>'IS Inc FSL'!AF92</f>
        <v>124</v>
      </c>
      <c r="AG11" s="1401">
        <f>'IS Inc FSL'!AG100</f>
        <v>178</v>
      </c>
      <c r="AH11" s="1401">
        <f>'IS Inc FSL'!AH100</f>
        <v>138</v>
      </c>
      <c r="AI11" s="1402">
        <f>'IS Inc FSL'!AI100</f>
        <v>167</v>
      </c>
      <c r="AJ11" s="1403">
        <f>'IS Inc FSL'!AJ100</f>
        <v>-90</v>
      </c>
      <c r="AK11" s="1401">
        <f>'IS Inc FSL'!AK100</f>
        <v>321</v>
      </c>
      <c r="AL11" s="1401">
        <f>'IS Inc FSL'!AL100</f>
        <v>388</v>
      </c>
      <c r="AM11" s="1402">
        <f>'IS Inc FSL'!AM100</f>
        <v>989</v>
      </c>
      <c r="AN11" s="1403">
        <f>'IS Inc FSL'!AN100</f>
        <v>-387</v>
      </c>
      <c r="AO11" s="1401">
        <f>'IS Inc FSL'!AO100</f>
        <v>1</v>
      </c>
      <c r="AP11" s="1401">
        <f>'IS Inc FSL'!AP100</f>
        <v>108</v>
      </c>
      <c r="AQ11" s="1402">
        <f>'IS Inc FSL'!AQ100</f>
        <v>145</v>
      </c>
      <c r="AR11" s="1820">
        <f>'IS Inc FSL'!AR100</f>
        <v>1318</v>
      </c>
      <c r="AS11" s="1401">
        <f>'IS Inc FSL'!AS100</f>
        <v>63</v>
      </c>
      <c r="AT11" s="1401">
        <f>'IS Inc FSL'!AT100</f>
        <v>123</v>
      </c>
      <c r="AU11" s="1402">
        <f>'IS Inc FSL'!AU100</f>
        <v>768</v>
      </c>
      <c r="AV11" s="1403">
        <f>'IS Inc FSL'!AV100</f>
        <v>535.1679174136807</v>
      </c>
      <c r="AW11" s="1401">
        <f>'IS Inc FSL'!AW100</f>
        <v>574.55137850645383</v>
      </c>
      <c r="AX11" s="1401">
        <f>'IS Inc FSL'!AX100</f>
        <v>622.32277888395765</v>
      </c>
      <c r="AY11" s="1402">
        <f>'IS Inc FSL'!AY100</f>
        <v>614.434759306822</v>
      </c>
      <c r="AZ11" s="20"/>
      <c r="BA11" s="97">
        <f>'IS Inc FSL'!BA100</f>
        <v>-603</v>
      </c>
      <c r="BB11" s="98">
        <f>'IS Inc FSL'!BB100</f>
        <v>-3574</v>
      </c>
      <c r="BC11" s="98">
        <f>'IS Inc FSL'!BC100</f>
        <v>-153</v>
      </c>
      <c r="BD11" s="98">
        <f>'IS Inc FSL'!BD100</f>
        <v>-406</v>
      </c>
      <c r="BE11" s="1403">
        <f>'IS Inc FSL'!BE100</f>
        <v>436</v>
      </c>
      <c r="BF11" s="1401">
        <f>'IS Inc FSL'!BF100</f>
        <v>-52</v>
      </c>
      <c r="BG11" s="1403">
        <f>'IS Inc FSL'!BG100</f>
        <v>415</v>
      </c>
      <c r="BH11" s="1401">
        <f>SUM(AF11:AI11)</f>
        <v>607</v>
      </c>
      <c r="BI11" s="1403">
        <f>SUM(AJ11:AM11)</f>
        <v>1608</v>
      </c>
      <c r="BJ11" s="1401">
        <f>SUM(AN11:AQ11)</f>
        <v>-133</v>
      </c>
      <c r="BK11" s="1401">
        <f>SUM(AR11:AU11)</f>
        <v>2272</v>
      </c>
      <c r="BL11" s="1401">
        <f>SUM(AV11:AY11)</f>
        <v>2346.4768341109143</v>
      </c>
      <c r="BM11" s="1401">
        <f>'IS Inc FSL'!BM100</f>
        <v>2554.1909622702915</v>
      </c>
      <c r="BN11" s="1402">
        <f>'IS Inc FSL'!BN100</f>
        <v>2769.5070038472868</v>
      </c>
      <c r="BO11" s="22"/>
    </row>
    <row r="12" spans="1:67" ht="14.25" customHeight="1">
      <c r="A12" s="8"/>
      <c r="B12" s="201" t="str">
        <f t="shared" si="0"/>
        <v>Adjustments to reconcile net income to net cash provided by operating activities:</v>
      </c>
      <c r="C12" s="202"/>
      <c r="D12" s="205"/>
      <c r="E12" s="203"/>
      <c r="F12" s="203"/>
      <c r="G12" s="204"/>
      <c r="H12" s="205"/>
      <c r="I12" s="203"/>
      <c r="J12" s="203"/>
      <c r="K12" s="204"/>
      <c r="L12" s="205"/>
      <c r="M12" s="203"/>
      <c r="N12" s="203"/>
      <c r="O12" s="204"/>
      <c r="P12" s="205"/>
      <c r="Q12" s="203"/>
      <c r="R12" s="203"/>
      <c r="S12" s="204"/>
      <c r="T12" s="315"/>
      <c r="U12" s="203"/>
      <c r="V12" s="203"/>
      <c r="W12" s="204"/>
      <c r="X12" s="315"/>
      <c r="Y12" s="203"/>
      <c r="Z12" s="203"/>
      <c r="AA12" s="204"/>
      <c r="AB12" s="205"/>
      <c r="AC12" s="203"/>
      <c r="AD12" s="203"/>
      <c r="AE12" s="204"/>
      <c r="AF12" s="205"/>
      <c r="AG12" s="203"/>
      <c r="AH12" s="203"/>
      <c r="AI12" s="203"/>
      <c r="AJ12" s="205"/>
      <c r="AK12" s="203"/>
      <c r="AL12" s="203"/>
      <c r="AM12" s="203"/>
      <c r="AN12" s="205"/>
      <c r="AO12" s="203"/>
      <c r="AP12" s="203"/>
      <c r="AQ12" s="203"/>
      <c r="AR12" s="205"/>
      <c r="AS12" s="203"/>
      <c r="AT12" s="203"/>
      <c r="AU12" s="204"/>
      <c r="AV12" s="205"/>
      <c r="AW12" s="203"/>
      <c r="AX12" s="203"/>
      <c r="AY12" s="204"/>
      <c r="AZ12" s="20"/>
      <c r="BA12" s="205"/>
      <c r="BB12" s="203"/>
      <c r="BC12" s="203"/>
      <c r="BD12" s="203"/>
      <c r="BE12" s="205"/>
      <c r="BF12" s="203"/>
      <c r="BG12" s="205"/>
      <c r="BH12" s="203"/>
      <c r="BI12" s="205"/>
      <c r="BJ12" s="203"/>
      <c r="BK12" s="203"/>
      <c r="BL12" s="203"/>
      <c r="BM12" s="203"/>
      <c r="BN12" s="204"/>
      <c r="BO12" s="22"/>
    </row>
    <row r="13" spans="1:67" ht="14.25" customHeight="1">
      <c r="A13" s="8"/>
      <c r="B13" s="48" t="str">
        <f t="shared" si="0"/>
        <v>Depreciation and amortization</v>
      </c>
      <c r="C13" s="49"/>
      <c r="D13" s="211">
        <v>375</v>
      </c>
      <c r="E13" s="209">
        <v>386</v>
      </c>
      <c r="F13" s="209">
        <v>382</v>
      </c>
      <c r="G13" s="210">
        <v>389</v>
      </c>
      <c r="H13" s="211">
        <v>333</v>
      </c>
      <c r="I13" s="209">
        <v>347</v>
      </c>
      <c r="J13" s="209">
        <v>363</v>
      </c>
      <c r="K13" s="210">
        <v>227</v>
      </c>
      <c r="L13" s="211">
        <v>199</v>
      </c>
      <c r="M13" s="209">
        <v>239</v>
      </c>
      <c r="N13" s="209">
        <v>192</v>
      </c>
      <c r="O13" s="210">
        <v>188</v>
      </c>
      <c r="P13" s="211">
        <v>185</v>
      </c>
      <c r="Q13" s="209">
        <v>160</v>
      </c>
      <c r="R13" s="209">
        <v>155</v>
      </c>
      <c r="S13" s="210">
        <v>184</v>
      </c>
      <c r="T13" s="211">
        <v>145</v>
      </c>
      <c r="U13" s="209">
        <v>143</v>
      </c>
      <c r="V13" s="209">
        <v>152</v>
      </c>
      <c r="W13" s="210">
        <v>151</v>
      </c>
      <c r="X13" s="211">
        <v>134</v>
      </c>
      <c r="Y13" s="209">
        <v>139</v>
      </c>
      <c r="Z13" s="209">
        <v>128</v>
      </c>
      <c r="AA13" s="210">
        <v>132</v>
      </c>
      <c r="AB13" s="211">
        <v>132</v>
      </c>
      <c r="AC13" s="209">
        <v>132</v>
      </c>
      <c r="AD13" s="209">
        <v>137</v>
      </c>
      <c r="AE13" s="210">
        <v>113</v>
      </c>
      <c r="AF13" s="211">
        <v>102</v>
      </c>
      <c r="AG13" s="209">
        <v>103</v>
      </c>
      <c r="AH13" s="209">
        <v>103</v>
      </c>
      <c r="AI13" s="209">
        <v>97</v>
      </c>
      <c r="AJ13" s="211">
        <v>95</v>
      </c>
      <c r="AK13" s="209">
        <v>98</v>
      </c>
      <c r="AL13" s="209">
        <v>94</v>
      </c>
      <c r="AM13" s="209">
        <v>230</v>
      </c>
      <c r="AN13" s="211">
        <v>529</v>
      </c>
      <c r="AO13" s="209">
        <v>620</v>
      </c>
      <c r="AP13" s="209">
        <v>526</v>
      </c>
      <c r="AQ13" s="209">
        <v>530</v>
      </c>
      <c r="AR13" s="211">
        <v>534</v>
      </c>
      <c r="AS13" s="209">
        <v>560</v>
      </c>
      <c r="AT13" s="209">
        <v>537</v>
      </c>
      <c r="AU13" s="209">
        <v>542</v>
      </c>
      <c r="AV13" s="1727">
        <f t="shared" ref="AV13:AY13" si="1">AV77</f>
        <v>126.22499999999999</v>
      </c>
      <c r="AW13" s="1705">
        <f t="shared" si="1"/>
        <v>126.20977512214985</v>
      </c>
      <c r="AX13" s="1705">
        <f t="shared" si="1"/>
        <v>126.43290828359122</v>
      </c>
      <c r="AY13" s="1697">
        <f t="shared" si="1"/>
        <v>126.93638182113702</v>
      </c>
      <c r="AZ13" s="20"/>
      <c r="BA13" s="208">
        <f>SUM(D13:G13)</f>
        <v>1532</v>
      </c>
      <c r="BB13" s="206">
        <f>SUM(H13:K13)</f>
        <v>1270</v>
      </c>
      <c r="BC13" s="206">
        <f>SUM(L13:O13)</f>
        <v>818</v>
      </c>
      <c r="BD13" s="206">
        <f>SUM(P13:S13)</f>
        <v>684</v>
      </c>
      <c r="BE13" s="208">
        <f>SUM(T13:W13)</f>
        <v>591</v>
      </c>
      <c r="BF13" s="206">
        <f>SUM(X13:AA13)</f>
        <v>533</v>
      </c>
      <c r="BG13" s="208">
        <f>SUM(AB13:AE13)</f>
        <v>514</v>
      </c>
      <c r="BH13" s="206">
        <f t="shared" ref="BH13:BH19" si="2">SUM(AF13:AI13)</f>
        <v>405</v>
      </c>
      <c r="BI13" s="208">
        <f t="shared" ref="BI13:BI19" si="3">SUM(AJ13:AM13)</f>
        <v>517</v>
      </c>
      <c r="BJ13" s="206">
        <f>SUM(AN13:AQ13)</f>
        <v>2205</v>
      </c>
      <c r="BK13" s="206">
        <f>SUM(AR13:AU13)</f>
        <v>2173</v>
      </c>
      <c r="BL13" s="206">
        <f t="shared" ref="BL13:BL19" si="4">SUM(AV13:AY13)</f>
        <v>505.80406522687815</v>
      </c>
      <c r="BM13" s="206">
        <f>BM77</f>
        <v>505.80406522687815</v>
      </c>
      <c r="BN13" s="207">
        <f>BN77</f>
        <v>505.80406522687815</v>
      </c>
      <c r="BO13" s="22"/>
    </row>
    <row r="14" spans="1:67" ht="14.25" customHeight="1">
      <c r="A14" s="8"/>
      <c r="B14" s="48" t="str">
        <f t="shared" si="0"/>
        <v>Gain/Loss on disposal of PP&amp;E</v>
      </c>
      <c r="C14" s="49"/>
      <c r="D14" s="211">
        <v>-1</v>
      </c>
      <c r="E14" s="209">
        <v>-4</v>
      </c>
      <c r="F14" s="209">
        <v>-114</v>
      </c>
      <c r="G14" s="210">
        <v>5</v>
      </c>
      <c r="H14" s="211">
        <v>-24</v>
      </c>
      <c r="I14" s="209">
        <v>8</v>
      </c>
      <c r="J14" s="209">
        <v>376</v>
      </c>
      <c r="K14" s="210">
        <v>9</v>
      </c>
      <c r="L14" s="211">
        <v>-76</v>
      </c>
      <c r="M14" s="209">
        <v>-12</v>
      </c>
      <c r="N14" s="209">
        <v>38</v>
      </c>
      <c r="O14" s="210">
        <v>-8</v>
      </c>
      <c r="P14" s="211">
        <v>25</v>
      </c>
      <c r="Q14" s="209">
        <v>1</v>
      </c>
      <c r="R14" s="209">
        <v>-7</v>
      </c>
      <c r="S14" s="210">
        <v>2</v>
      </c>
      <c r="T14" s="211">
        <v>15</v>
      </c>
      <c r="U14" s="209">
        <v>-2</v>
      </c>
      <c r="V14" s="209">
        <v>-1</v>
      </c>
      <c r="W14" s="210">
        <v>-2</v>
      </c>
      <c r="X14" s="211">
        <v>0</v>
      </c>
      <c r="Y14" s="209">
        <v>0</v>
      </c>
      <c r="Z14" s="209">
        <v>0</v>
      </c>
      <c r="AA14" s="210">
        <v>0</v>
      </c>
      <c r="AB14" s="209">
        <v>0</v>
      </c>
      <c r="AC14" s="209">
        <v>0</v>
      </c>
      <c r="AD14" s="209">
        <v>0</v>
      </c>
      <c r="AE14" s="210">
        <v>0</v>
      </c>
      <c r="AF14" s="209">
        <v>0</v>
      </c>
      <c r="AG14" s="209">
        <v>-6</v>
      </c>
      <c r="AH14" s="209">
        <v>-1</v>
      </c>
      <c r="AI14" s="209">
        <v>-3</v>
      </c>
      <c r="AJ14" s="211">
        <v>0</v>
      </c>
      <c r="AK14" s="209">
        <v>-1</v>
      </c>
      <c r="AL14" s="209">
        <v>-4</v>
      </c>
      <c r="AM14" s="209">
        <v>-1258</v>
      </c>
      <c r="AN14" s="211">
        <v>0</v>
      </c>
      <c r="AO14" s="209">
        <v>0</v>
      </c>
      <c r="AP14" s="209">
        <v>0</v>
      </c>
      <c r="AQ14" s="209">
        <v>0</v>
      </c>
      <c r="AR14" s="211">
        <v>-1597</v>
      </c>
      <c r="AS14" s="209">
        <v>-14</v>
      </c>
      <c r="AT14" s="209">
        <v>0</v>
      </c>
      <c r="AU14" s="209">
        <v>0</v>
      </c>
      <c r="AV14" s="211">
        <v>0</v>
      </c>
      <c r="AW14" s="209">
        <v>0</v>
      </c>
      <c r="AX14" s="209">
        <v>0</v>
      </c>
      <c r="AY14" s="210">
        <v>0</v>
      </c>
      <c r="AZ14" s="20"/>
      <c r="BA14" s="208">
        <f t="shared" ref="BA14:BA19" si="5">SUM(D14:G14)</f>
        <v>-114</v>
      </c>
      <c r="BB14" s="206">
        <f t="shared" ref="BB14:BB19" si="6">SUM(H14:K14)</f>
        <v>369</v>
      </c>
      <c r="BC14" s="206">
        <f t="shared" ref="BC14:BC19" si="7">SUM(L14:O14)</f>
        <v>-58</v>
      </c>
      <c r="BD14" s="206">
        <f t="shared" ref="BD14:BD19" si="8">SUM(P14:S14)</f>
        <v>21</v>
      </c>
      <c r="BE14" s="208">
        <f t="shared" ref="BE14:BE19" si="9">SUM(T14:W14)</f>
        <v>10</v>
      </c>
      <c r="BF14" s="206">
        <f t="shared" ref="BF14:BF19" si="10">SUM(X14:AA14)</f>
        <v>0</v>
      </c>
      <c r="BG14" s="208">
        <f t="shared" ref="BG14:BG19" si="11">SUM(AB14:AE14)</f>
        <v>0</v>
      </c>
      <c r="BH14" s="206">
        <f t="shared" si="2"/>
        <v>-10</v>
      </c>
      <c r="BI14" s="208">
        <f t="shared" si="3"/>
        <v>-1263</v>
      </c>
      <c r="BJ14" s="206">
        <f t="shared" ref="BJ14:BJ19" si="12">SUM(AN14:AQ14)</f>
        <v>0</v>
      </c>
      <c r="BK14" s="206">
        <f t="shared" ref="BK14:BK19" si="13">SUM(AR14:AU14)</f>
        <v>-1611</v>
      </c>
      <c r="BL14" s="206">
        <f t="shared" si="4"/>
        <v>0</v>
      </c>
      <c r="BM14" s="206">
        <v>0</v>
      </c>
      <c r="BN14" s="207">
        <v>0</v>
      </c>
      <c r="BO14" s="22"/>
    </row>
    <row r="15" spans="1:67" ht="14.25" customHeight="1">
      <c r="A15" s="8"/>
      <c r="B15" s="48" t="str">
        <f t="shared" si="0"/>
        <v>Stock-based compensation expense</v>
      </c>
      <c r="C15" s="49"/>
      <c r="D15" s="211">
        <v>0</v>
      </c>
      <c r="E15" s="209">
        <v>0</v>
      </c>
      <c r="F15" s="209">
        <v>0</v>
      </c>
      <c r="G15" s="210">
        <v>0</v>
      </c>
      <c r="H15" s="211">
        <v>0</v>
      </c>
      <c r="I15" s="209">
        <v>0</v>
      </c>
      <c r="J15" s="209">
        <v>0</v>
      </c>
      <c r="K15" s="210">
        <v>0</v>
      </c>
      <c r="L15" s="211">
        <v>0</v>
      </c>
      <c r="M15" s="209">
        <v>0</v>
      </c>
      <c r="N15" s="209">
        <v>0</v>
      </c>
      <c r="O15" s="210">
        <v>0</v>
      </c>
      <c r="P15" s="211">
        <v>0</v>
      </c>
      <c r="Q15" s="209">
        <v>0</v>
      </c>
      <c r="R15" s="209">
        <v>0</v>
      </c>
      <c r="S15" s="210">
        <v>0</v>
      </c>
      <c r="T15" s="211">
        <v>0</v>
      </c>
      <c r="U15" s="209">
        <v>0</v>
      </c>
      <c r="V15" s="209">
        <v>0</v>
      </c>
      <c r="W15" s="210">
        <v>0</v>
      </c>
      <c r="X15" s="211">
        <v>0</v>
      </c>
      <c r="Y15" s="209">
        <v>0</v>
      </c>
      <c r="Z15" s="209">
        <v>12</v>
      </c>
      <c r="AA15" s="210">
        <v>16</v>
      </c>
      <c r="AB15" s="209">
        <v>17</v>
      </c>
      <c r="AC15" s="209">
        <v>20</v>
      </c>
      <c r="AD15" s="209">
        <v>20</v>
      </c>
      <c r="AE15" s="210">
        <v>31</v>
      </c>
      <c r="AF15" s="209">
        <v>28</v>
      </c>
      <c r="AG15" s="209">
        <v>37</v>
      </c>
      <c r="AH15" s="209">
        <v>34</v>
      </c>
      <c r="AI15" s="209">
        <v>34</v>
      </c>
      <c r="AJ15" s="211">
        <v>35</v>
      </c>
      <c r="AK15" s="209">
        <v>36</v>
      </c>
      <c r="AL15" s="209">
        <v>34</v>
      </c>
      <c r="AM15" s="209">
        <v>111</v>
      </c>
      <c r="AN15" s="211">
        <v>99</v>
      </c>
      <c r="AO15" s="209">
        <v>80</v>
      </c>
      <c r="AP15" s="209">
        <v>77</v>
      </c>
      <c r="AQ15" s="209">
        <v>82</v>
      </c>
      <c r="AR15" s="211">
        <v>68</v>
      </c>
      <c r="AS15" s="209">
        <v>67</v>
      </c>
      <c r="AT15" s="209">
        <v>68</v>
      </c>
      <c r="AU15" s="209">
        <v>78</v>
      </c>
      <c r="AV15" s="208">
        <f>'IS Inc FSL'!AV138</f>
        <v>78</v>
      </c>
      <c r="AW15" s="206">
        <f>'IS Inc FSL'!AW138</f>
        <v>78</v>
      </c>
      <c r="AX15" s="206">
        <f>'IS Inc FSL'!AX138</f>
        <v>78</v>
      </c>
      <c r="AY15" s="207">
        <f>'IS Inc FSL'!AY138</f>
        <v>78</v>
      </c>
      <c r="AZ15" s="20"/>
      <c r="BA15" s="208">
        <f t="shared" si="5"/>
        <v>0</v>
      </c>
      <c r="BB15" s="206">
        <f t="shared" si="6"/>
        <v>0</v>
      </c>
      <c r="BC15" s="206">
        <f t="shared" si="7"/>
        <v>0</v>
      </c>
      <c r="BD15" s="206">
        <f t="shared" si="8"/>
        <v>0</v>
      </c>
      <c r="BE15" s="208">
        <f t="shared" si="9"/>
        <v>0</v>
      </c>
      <c r="BF15" s="206">
        <f t="shared" si="10"/>
        <v>28</v>
      </c>
      <c r="BG15" s="208">
        <f t="shared" si="11"/>
        <v>88</v>
      </c>
      <c r="BH15" s="206">
        <f t="shared" si="2"/>
        <v>133</v>
      </c>
      <c r="BI15" s="208">
        <f t="shared" si="3"/>
        <v>216</v>
      </c>
      <c r="BJ15" s="206">
        <f t="shared" si="12"/>
        <v>338</v>
      </c>
      <c r="BK15" s="206">
        <f t="shared" si="13"/>
        <v>281</v>
      </c>
      <c r="BL15" s="206">
        <f t="shared" si="4"/>
        <v>312</v>
      </c>
      <c r="BM15" s="206">
        <f>+BL15</f>
        <v>312</v>
      </c>
      <c r="BN15" s="207">
        <f>+BM15</f>
        <v>312</v>
      </c>
      <c r="BO15" s="22"/>
    </row>
    <row r="16" spans="1:67" ht="14.25" customHeight="1">
      <c r="A16" s="8"/>
      <c r="B16" s="48" t="str">
        <f t="shared" si="0"/>
        <v>Deferred taxes</v>
      </c>
      <c r="C16" s="49"/>
      <c r="D16" s="211">
        <v>0</v>
      </c>
      <c r="E16" s="209">
        <v>0</v>
      </c>
      <c r="F16" s="209">
        <v>0</v>
      </c>
      <c r="G16" s="210">
        <v>0</v>
      </c>
      <c r="H16" s="211">
        <v>0</v>
      </c>
      <c r="I16" s="209">
        <v>0</v>
      </c>
      <c r="J16" s="209">
        <v>0</v>
      </c>
      <c r="K16" s="210">
        <v>0</v>
      </c>
      <c r="L16" s="211">
        <v>0</v>
      </c>
      <c r="M16" s="209">
        <v>0</v>
      </c>
      <c r="N16" s="209">
        <v>0</v>
      </c>
      <c r="O16" s="210">
        <v>0</v>
      </c>
      <c r="P16" s="211">
        <v>0</v>
      </c>
      <c r="Q16" s="209">
        <v>0</v>
      </c>
      <c r="R16" s="209">
        <v>0</v>
      </c>
      <c r="S16" s="210">
        <v>0</v>
      </c>
      <c r="T16" s="211">
        <v>0</v>
      </c>
      <c r="U16" s="209">
        <v>0</v>
      </c>
      <c r="V16" s="209">
        <v>0</v>
      </c>
      <c r="W16" s="210">
        <v>0</v>
      </c>
      <c r="X16" s="211">
        <v>0</v>
      </c>
      <c r="Y16" s="209">
        <v>0</v>
      </c>
      <c r="Z16" s="209">
        <v>0</v>
      </c>
      <c r="AA16" s="210">
        <v>0</v>
      </c>
      <c r="AB16" s="209">
        <v>0</v>
      </c>
      <c r="AC16" s="209">
        <v>0</v>
      </c>
      <c r="AD16" s="209">
        <v>0</v>
      </c>
      <c r="AE16" s="210">
        <v>0</v>
      </c>
      <c r="AF16" s="209">
        <v>0</v>
      </c>
      <c r="AG16" s="209">
        <v>0</v>
      </c>
      <c r="AH16" s="209">
        <v>0</v>
      </c>
      <c r="AI16" s="209">
        <v>0</v>
      </c>
      <c r="AJ16" s="211">
        <v>0</v>
      </c>
      <c r="AK16" s="209">
        <v>0</v>
      </c>
      <c r="AL16" s="209">
        <v>0</v>
      </c>
      <c r="AM16" s="210">
        <v>-69</v>
      </c>
      <c r="AN16" s="211">
        <v>-221</v>
      </c>
      <c r="AO16" s="209">
        <v>-171</v>
      </c>
      <c r="AP16" s="209">
        <v>-64</v>
      </c>
      <c r="AQ16" s="210">
        <v>-77</v>
      </c>
      <c r="AR16" s="211">
        <v>0</v>
      </c>
      <c r="AS16" s="209"/>
      <c r="AT16" s="209">
        <v>0</v>
      </c>
      <c r="AU16" s="210">
        <v>0</v>
      </c>
      <c r="AV16" s="211">
        <v>0</v>
      </c>
      <c r="AW16" s="209">
        <v>0</v>
      </c>
      <c r="AX16" s="209">
        <v>0</v>
      </c>
      <c r="AY16" s="210">
        <v>0</v>
      </c>
      <c r="AZ16" s="20"/>
      <c r="BA16" s="208">
        <f t="shared" si="5"/>
        <v>0</v>
      </c>
      <c r="BB16" s="206">
        <f t="shared" si="6"/>
        <v>0</v>
      </c>
      <c r="BC16" s="206">
        <f t="shared" si="7"/>
        <v>0</v>
      </c>
      <c r="BD16" s="206">
        <f t="shared" si="8"/>
        <v>0</v>
      </c>
      <c r="BE16" s="208">
        <f t="shared" si="9"/>
        <v>0</v>
      </c>
      <c r="BF16" s="206">
        <f t="shared" si="10"/>
        <v>0</v>
      </c>
      <c r="BG16" s="208">
        <f t="shared" si="11"/>
        <v>0</v>
      </c>
      <c r="BH16" s="206">
        <f t="shared" si="2"/>
        <v>0</v>
      </c>
      <c r="BI16" s="208">
        <f t="shared" si="3"/>
        <v>-69</v>
      </c>
      <c r="BJ16" s="206">
        <f t="shared" si="12"/>
        <v>-533</v>
      </c>
      <c r="BK16" s="206">
        <f t="shared" si="13"/>
        <v>0</v>
      </c>
      <c r="BL16" s="206">
        <f t="shared" si="4"/>
        <v>0</v>
      </c>
      <c r="BM16" s="206">
        <v>0</v>
      </c>
      <c r="BN16" s="207">
        <v>0</v>
      </c>
      <c r="BO16" s="22"/>
    </row>
    <row r="17" spans="1:67" ht="14.25" customHeight="1">
      <c r="A17" s="8"/>
      <c r="B17" s="48" t="str">
        <f t="shared" si="0"/>
        <v>Results  relating to equity accounted investees</v>
      </c>
      <c r="C17" s="49"/>
      <c r="D17" s="211">
        <v>0</v>
      </c>
      <c r="E17" s="209">
        <v>1</v>
      </c>
      <c r="F17" s="209">
        <v>6</v>
      </c>
      <c r="G17" s="210">
        <v>33</v>
      </c>
      <c r="H17" s="211">
        <v>4</v>
      </c>
      <c r="I17" s="209">
        <v>7</v>
      </c>
      <c r="J17" s="209">
        <v>9</v>
      </c>
      <c r="K17" s="210">
        <v>248</v>
      </c>
      <c r="L17" s="211">
        <v>0</v>
      </c>
      <c r="M17" s="209">
        <v>0</v>
      </c>
      <c r="N17" s="209">
        <v>0</v>
      </c>
      <c r="O17" s="210">
        <v>0</v>
      </c>
      <c r="P17" s="211">
        <v>26</v>
      </c>
      <c r="Q17" s="209">
        <v>28</v>
      </c>
      <c r="R17" s="209">
        <v>6</v>
      </c>
      <c r="S17" s="210">
        <v>26</v>
      </c>
      <c r="T17" s="211">
        <v>22</v>
      </c>
      <c r="U17" s="209">
        <v>15</v>
      </c>
      <c r="V17" s="209">
        <v>25</v>
      </c>
      <c r="W17" s="210">
        <v>15</v>
      </c>
      <c r="X17" s="211">
        <v>-1</v>
      </c>
      <c r="Y17" s="209">
        <v>45</v>
      </c>
      <c r="Z17" s="209">
        <v>-2</v>
      </c>
      <c r="AA17" s="210">
        <v>-15</v>
      </c>
      <c r="AB17" s="209">
        <v>-47</v>
      </c>
      <c r="AC17" s="209">
        <v>-3</v>
      </c>
      <c r="AD17" s="209">
        <v>-2</v>
      </c>
      <c r="AE17" s="210">
        <v>-6</v>
      </c>
      <c r="AF17" s="209">
        <v>-1</v>
      </c>
      <c r="AG17" s="209">
        <v>-1</v>
      </c>
      <c r="AH17" s="209">
        <v>-3</v>
      </c>
      <c r="AI17" s="209">
        <v>-3</v>
      </c>
      <c r="AJ17" s="211">
        <v>-3</v>
      </c>
      <c r="AK17" s="209">
        <v>-1</v>
      </c>
      <c r="AL17" s="209">
        <v>-3</v>
      </c>
      <c r="AM17" s="210">
        <v>-2</v>
      </c>
      <c r="AN17" s="211">
        <v>-1</v>
      </c>
      <c r="AO17" s="209">
        <v>-1</v>
      </c>
      <c r="AP17" s="209">
        <v>-5</v>
      </c>
      <c r="AQ17" s="210">
        <v>-4</v>
      </c>
      <c r="AR17" s="211">
        <v>0</v>
      </c>
      <c r="AS17" s="209">
        <v>-3</v>
      </c>
      <c r="AT17" s="209">
        <v>-6</v>
      </c>
      <c r="AU17" s="210">
        <v>-8</v>
      </c>
      <c r="AV17" s="1406">
        <f>'IS Inc FSL'!AV104</f>
        <v>0</v>
      </c>
      <c r="AW17" s="1404">
        <f>'IS Inc FSL'!AW104</f>
        <v>0</v>
      </c>
      <c r="AX17" s="1404">
        <f>'IS Inc FSL'!AX104</f>
        <v>0</v>
      </c>
      <c r="AY17" s="1405">
        <f>'IS Inc FSL'!AY104</f>
        <v>0</v>
      </c>
      <c r="AZ17" s="20"/>
      <c r="BA17" s="208">
        <f t="shared" si="5"/>
        <v>40</v>
      </c>
      <c r="BB17" s="206">
        <f t="shared" si="6"/>
        <v>268</v>
      </c>
      <c r="BC17" s="206">
        <f t="shared" si="7"/>
        <v>0</v>
      </c>
      <c r="BD17" s="206">
        <f t="shared" si="8"/>
        <v>86</v>
      </c>
      <c r="BE17" s="208">
        <f t="shared" si="9"/>
        <v>77</v>
      </c>
      <c r="BF17" s="206">
        <f t="shared" si="10"/>
        <v>27</v>
      </c>
      <c r="BG17" s="208">
        <f t="shared" si="11"/>
        <v>-58</v>
      </c>
      <c r="BH17" s="206">
        <f t="shared" si="2"/>
        <v>-8</v>
      </c>
      <c r="BI17" s="208">
        <f t="shared" si="3"/>
        <v>-9</v>
      </c>
      <c r="BJ17" s="206">
        <f t="shared" si="12"/>
        <v>-11</v>
      </c>
      <c r="BK17" s="206">
        <f t="shared" si="13"/>
        <v>-17</v>
      </c>
      <c r="BL17" s="206">
        <f t="shared" si="4"/>
        <v>0</v>
      </c>
      <c r="BM17" s="206">
        <v>0</v>
      </c>
      <c r="BN17" s="207">
        <v>0</v>
      </c>
      <c r="BO17" s="22"/>
    </row>
    <row r="18" spans="1:67" ht="14.25" customHeight="1">
      <c r="A18" s="8"/>
      <c r="B18" s="48" t="str">
        <f t="shared" si="0"/>
        <v>Income (loss) from discontinued operations, net of tax</v>
      </c>
      <c r="C18" s="49"/>
      <c r="D18" s="211">
        <v>0</v>
      </c>
      <c r="E18" s="209">
        <v>0</v>
      </c>
      <c r="F18" s="209">
        <v>0</v>
      </c>
      <c r="G18" s="210">
        <v>0</v>
      </c>
      <c r="H18" s="211">
        <v>0</v>
      </c>
      <c r="I18" s="209">
        <v>0</v>
      </c>
      <c r="J18" s="209">
        <v>0</v>
      </c>
      <c r="K18" s="210">
        <v>0</v>
      </c>
      <c r="L18" s="211">
        <v>-4</v>
      </c>
      <c r="M18" s="209">
        <v>-9</v>
      </c>
      <c r="N18" s="209">
        <v>-12</v>
      </c>
      <c r="O18" s="210">
        <v>-7</v>
      </c>
      <c r="P18" s="211">
        <v>-12</v>
      </c>
      <c r="Q18" s="209">
        <v>-13</v>
      </c>
      <c r="R18" s="209">
        <v>-23</v>
      </c>
      <c r="S18" s="210">
        <v>-11</v>
      </c>
      <c r="T18" s="211">
        <v>-13</v>
      </c>
      <c r="U18" s="209">
        <v>2</v>
      </c>
      <c r="V18" s="209">
        <v>-421</v>
      </c>
      <c r="W18" s="210">
        <v>-2</v>
      </c>
      <c r="X18" s="211">
        <v>-1</v>
      </c>
      <c r="Y18" s="209">
        <v>0</v>
      </c>
      <c r="Z18" s="209">
        <v>0</v>
      </c>
      <c r="AA18" s="210">
        <v>0</v>
      </c>
      <c r="AB18" s="209">
        <v>0</v>
      </c>
      <c r="AC18" s="209">
        <v>0</v>
      </c>
      <c r="AD18" s="209">
        <v>0</v>
      </c>
      <c r="AE18" s="210">
        <v>0</v>
      </c>
      <c r="AF18" s="209">
        <v>0</v>
      </c>
      <c r="AG18" s="209">
        <v>0</v>
      </c>
      <c r="AH18" s="209">
        <v>0</v>
      </c>
      <c r="AI18" s="209">
        <v>0</v>
      </c>
      <c r="AJ18" s="211">
        <v>0</v>
      </c>
      <c r="AK18" s="209">
        <v>0</v>
      </c>
      <c r="AL18" s="209">
        <v>0</v>
      </c>
      <c r="AM18" s="210">
        <v>0</v>
      </c>
      <c r="AN18" s="211">
        <v>0</v>
      </c>
      <c r="AO18" s="209">
        <v>0</v>
      </c>
      <c r="AP18" s="209">
        <v>0</v>
      </c>
      <c r="AQ18" s="210">
        <v>0</v>
      </c>
      <c r="AR18" s="211">
        <v>0</v>
      </c>
      <c r="AS18" s="209"/>
      <c r="AT18" s="209">
        <v>0</v>
      </c>
      <c r="AU18" s="210">
        <v>0</v>
      </c>
      <c r="AV18" s="211">
        <v>0</v>
      </c>
      <c r="AW18" s="209">
        <v>0</v>
      </c>
      <c r="AX18" s="209">
        <v>0</v>
      </c>
      <c r="AY18" s="210">
        <v>0</v>
      </c>
      <c r="AZ18" s="20"/>
      <c r="BA18" s="208">
        <f>SUM(D18:G18)</f>
        <v>0</v>
      </c>
      <c r="BB18" s="206">
        <f>SUM(H18:K18)</f>
        <v>0</v>
      </c>
      <c r="BC18" s="206">
        <f>SUM(L18:O18)</f>
        <v>-32</v>
      </c>
      <c r="BD18" s="206">
        <f>SUM(P18:S18)</f>
        <v>-59</v>
      </c>
      <c r="BE18" s="208">
        <f>SUM(T18:W18)</f>
        <v>-434</v>
      </c>
      <c r="BF18" s="206">
        <f>SUM(X18:AA18)</f>
        <v>-1</v>
      </c>
      <c r="BG18" s="208">
        <f>SUM(AB18:AE18)</f>
        <v>0</v>
      </c>
      <c r="BH18" s="206">
        <f t="shared" si="2"/>
        <v>0</v>
      </c>
      <c r="BI18" s="208">
        <f t="shared" si="3"/>
        <v>0</v>
      </c>
      <c r="BJ18" s="206">
        <f t="shared" si="12"/>
        <v>0</v>
      </c>
      <c r="BK18" s="206">
        <f t="shared" si="13"/>
        <v>0</v>
      </c>
      <c r="BL18" s="206">
        <f t="shared" si="4"/>
        <v>0</v>
      </c>
      <c r="BM18" s="206">
        <v>0</v>
      </c>
      <c r="BN18" s="207">
        <v>0</v>
      </c>
      <c r="BO18" s="22"/>
    </row>
    <row r="19" spans="1:67" ht="14.25" customHeight="1">
      <c r="A19" s="8"/>
      <c r="B19" s="48" t="str">
        <f t="shared" si="0"/>
        <v>Other operating activities</v>
      </c>
      <c r="C19" s="49"/>
      <c r="D19" s="211">
        <f>-3+34</f>
        <v>31</v>
      </c>
      <c r="E19" s="209">
        <v>-19</v>
      </c>
      <c r="F19" s="209">
        <v>0</v>
      </c>
      <c r="G19" s="210">
        <v>0</v>
      </c>
      <c r="H19" s="211">
        <v>12</v>
      </c>
      <c r="I19" s="209">
        <f>1-20</f>
        <v>-19</v>
      </c>
      <c r="J19" s="209">
        <f>1+706+8</f>
        <v>715</v>
      </c>
      <c r="K19" s="210">
        <f>5+8</f>
        <v>13</v>
      </c>
      <c r="L19" s="211">
        <v>-29</v>
      </c>
      <c r="M19" s="209">
        <v>-517</v>
      </c>
      <c r="N19" s="209">
        <v>-528</v>
      </c>
      <c r="O19" s="210">
        <v>69</v>
      </c>
      <c r="P19" s="211">
        <v>-2</v>
      </c>
      <c r="Q19" s="209">
        <v>0</v>
      </c>
      <c r="R19" s="209">
        <f>-1-55</f>
        <v>-56</v>
      </c>
      <c r="S19" s="210">
        <v>-1</v>
      </c>
      <c r="T19" s="211">
        <v>0</v>
      </c>
      <c r="U19" s="209">
        <f>14-67</f>
        <v>-53</v>
      </c>
      <c r="V19" s="209">
        <v>11</v>
      </c>
      <c r="W19" s="210">
        <v>7</v>
      </c>
      <c r="X19" s="211">
        <f>36</f>
        <v>36</v>
      </c>
      <c r="Y19" s="209">
        <v>0</v>
      </c>
      <c r="Z19" s="209">
        <f>-19+11</f>
        <v>-8</v>
      </c>
      <c r="AA19" s="210">
        <f>114-1</f>
        <v>113</v>
      </c>
      <c r="AB19" s="209">
        <f>37-1</f>
        <v>36</v>
      </c>
      <c r="AC19" s="209">
        <f>23-1</f>
        <v>22</v>
      </c>
      <c r="AD19" s="209">
        <v>0</v>
      </c>
      <c r="AE19" s="210">
        <v>54</v>
      </c>
      <c r="AF19" s="209">
        <v>3</v>
      </c>
      <c r="AG19" s="209">
        <v>0</v>
      </c>
      <c r="AH19" s="209">
        <v>0</v>
      </c>
      <c r="AI19" s="209">
        <v>0</v>
      </c>
      <c r="AJ19" s="211">
        <f>115+10</f>
        <v>125</v>
      </c>
      <c r="AK19" s="209">
        <f>-18+9</f>
        <v>-9</v>
      </c>
      <c r="AL19" s="209">
        <f>-67+9</f>
        <v>-58</v>
      </c>
      <c r="AM19" s="210">
        <f>1+11+11</f>
        <v>23</v>
      </c>
      <c r="AN19" s="211">
        <f>8+5-3</f>
        <v>10</v>
      </c>
      <c r="AO19" s="209">
        <f>4+7+23-11-1</f>
        <v>22</v>
      </c>
      <c r="AP19" s="209">
        <f>9+3+6-1</f>
        <v>17</v>
      </c>
      <c r="AQ19" s="210">
        <f>10+4</f>
        <v>14</v>
      </c>
      <c r="AR19" s="211">
        <f>10+3+41-5+25</f>
        <v>74</v>
      </c>
      <c r="AS19" s="209">
        <f>10+3-120</f>
        <v>-107</v>
      </c>
      <c r="AT19" s="209">
        <f>10+3-109</f>
        <v>-96</v>
      </c>
      <c r="AU19" s="210">
        <f>10+3+-593-4</f>
        <v>-584</v>
      </c>
      <c r="AV19" s="211">
        <v>0</v>
      </c>
      <c r="AW19" s="209">
        <v>0</v>
      </c>
      <c r="AX19" s="209">
        <v>0</v>
      </c>
      <c r="AY19" s="210">
        <v>0</v>
      </c>
      <c r="AZ19" s="20"/>
      <c r="BA19" s="208">
        <f t="shared" si="5"/>
        <v>12</v>
      </c>
      <c r="BB19" s="206">
        <f t="shared" si="6"/>
        <v>721</v>
      </c>
      <c r="BC19" s="206">
        <f t="shared" si="7"/>
        <v>-1005</v>
      </c>
      <c r="BD19" s="206">
        <f t="shared" si="8"/>
        <v>-59</v>
      </c>
      <c r="BE19" s="208">
        <f t="shared" si="9"/>
        <v>-35</v>
      </c>
      <c r="BF19" s="206">
        <f t="shared" si="10"/>
        <v>141</v>
      </c>
      <c r="BG19" s="208">
        <f t="shared" si="11"/>
        <v>112</v>
      </c>
      <c r="BH19" s="206">
        <f t="shared" si="2"/>
        <v>3</v>
      </c>
      <c r="BI19" s="208">
        <f t="shared" si="3"/>
        <v>81</v>
      </c>
      <c r="BJ19" s="206">
        <f t="shared" si="12"/>
        <v>63</v>
      </c>
      <c r="BK19" s="206">
        <f t="shared" si="13"/>
        <v>-713</v>
      </c>
      <c r="BL19" s="206">
        <f t="shared" si="4"/>
        <v>0</v>
      </c>
      <c r="BM19" s="206">
        <v>0</v>
      </c>
      <c r="BN19" s="207">
        <v>0</v>
      </c>
      <c r="BO19" s="22"/>
    </row>
    <row r="20" spans="1:67" ht="14.25" customHeight="1">
      <c r="A20" s="8"/>
      <c r="B20" s="25" t="str">
        <f t="shared" si="0"/>
        <v>Changes in current assets and liabilities:</v>
      </c>
      <c r="C20" s="26"/>
      <c r="D20" s="211"/>
      <c r="E20" s="209"/>
      <c r="F20" s="209"/>
      <c r="G20" s="210"/>
      <c r="H20" s="211"/>
      <c r="I20" s="209"/>
      <c r="J20" s="209"/>
      <c r="K20" s="210"/>
      <c r="L20" s="211"/>
      <c r="M20" s="209"/>
      <c r="N20" s="209"/>
      <c r="O20" s="210"/>
      <c r="P20" s="211"/>
      <c r="Q20" s="209"/>
      <c r="R20" s="209"/>
      <c r="S20" s="210"/>
      <c r="T20" s="211"/>
      <c r="U20" s="209"/>
      <c r="V20" s="209"/>
      <c r="W20" s="210"/>
      <c r="X20" s="211"/>
      <c r="Y20" s="209"/>
      <c r="Z20" s="209"/>
      <c r="AA20" s="210"/>
      <c r="AB20" s="209"/>
      <c r="AC20" s="209"/>
      <c r="AD20" s="209"/>
      <c r="AE20" s="210"/>
      <c r="AF20" s="209"/>
      <c r="AG20" s="209"/>
      <c r="AH20" s="209"/>
      <c r="AI20" s="209"/>
      <c r="AJ20" s="211"/>
      <c r="AK20" s="209"/>
      <c r="AL20" s="209"/>
      <c r="AM20" s="210"/>
      <c r="AN20" s="211"/>
      <c r="AO20" s="209"/>
      <c r="AP20" s="209"/>
      <c r="AQ20" s="210"/>
      <c r="AR20" s="211"/>
      <c r="AS20" s="209"/>
      <c r="AT20" s="209"/>
      <c r="AU20" s="210"/>
      <c r="AV20" s="211"/>
      <c r="AW20" s="209"/>
      <c r="AX20" s="209"/>
      <c r="AY20" s="210"/>
      <c r="AZ20" s="20"/>
      <c r="BA20" s="208"/>
      <c r="BB20" s="206"/>
      <c r="BC20" s="206"/>
      <c r="BD20" s="206"/>
      <c r="BE20" s="208"/>
      <c r="BF20" s="206"/>
      <c r="BG20" s="208"/>
      <c r="BH20" s="206"/>
      <c r="BI20" s="208"/>
      <c r="BJ20" s="206"/>
      <c r="BK20" s="206"/>
      <c r="BL20" s="206"/>
      <c r="BM20" s="206"/>
      <c r="BN20" s="207"/>
      <c r="BO20" s="22"/>
    </row>
    <row r="21" spans="1:67" ht="14.25" customHeight="1">
      <c r="A21" s="8"/>
      <c r="B21" s="48" t="str">
        <f t="shared" si="0"/>
        <v>Accounts receivable</v>
      </c>
      <c r="C21" s="49"/>
      <c r="D21" s="211">
        <v>-33</v>
      </c>
      <c r="E21" s="209">
        <v>-71</v>
      </c>
      <c r="F21" s="209">
        <v>-49</v>
      </c>
      <c r="G21" s="210">
        <v>115</v>
      </c>
      <c r="H21" s="211">
        <v>-74</v>
      </c>
      <c r="I21" s="209">
        <v>-41</v>
      </c>
      <c r="J21" s="209">
        <v>42</v>
      </c>
      <c r="K21" s="210">
        <v>232</v>
      </c>
      <c r="L21" s="211">
        <v>37</v>
      </c>
      <c r="M21" s="209">
        <v>-31</v>
      </c>
      <c r="N21" s="209">
        <v>-8</v>
      </c>
      <c r="O21" s="210">
        <v>34</v>
      </c>
      <c r="P21" s="211">
        <v>-111</v>
      </c>
      <c r="Q21" s="209">
        <v>-17</v>
      </c>
      <c r="R21" s="209">
        <v>49</v>
      </c>
      <c r="S21" s="210">
        <v>33</v>
      </c>
      <c r="T21" s="211">
        <v>-16</v>
      </c>
      <c r="U21" s="209">
        <v>16</v>
      </c>
      <c r="V21" s="209">
        <v>-15</v>
      </c>
      <c r="W21" s="210">
        <v>-45</v>
      </c>
      <c r="X21" s="211">
        <v>41</v>
      </c>
      <c r="Y21" s="209">
        <v>-57</v>
      </c>
      <c r="Z21" s="209">
        <v>-8</v>
      </c>
      <c r="AA21" s="210">
        <v>18</v>
      </c>
      <c r="AB21" s="209">
        <v>-15</v>
      </c>
      <c r="AC21" s="209">
        <v>-26</v>
      </c>
      <c r="AD21" s="209">
        <v>-20</v>
      </c>
      <c r="AE21" s="210">
        <v>37</v>
      </c>
      <c r="AF21" s="209">
        <v>-55</v>
      </c>
      <c r="AG21" s="209">
        <v>-79</v>
      </c>
      <c r="AH21" s="209">
        <v>-98</v>
      </c>
      <c r="AI21" s="209">
        <v>112</v>
      </c>
      <c r="AJ21" s="211">
        <v>-39</v>
      </c>
      <c r="AK21" s="209">
        <v>14</v>
      </c>
      <c r="AL21" s="209">
        <v>-78</v>
      </c>
      <c r="AM21" s="210">
        <v>71</v>
      </c>
      <c r="AN21" s="211">
        <v>0</v>
      </c>
      <c r="AO21" s="209">
        <v>-61</v>
      </c>
      <c r="AP21" s="209">
        <v>-57</v>
      </c>
      <c r="AQ21" s="210">
        <v>67</v>
      </c>
      <c r="AR21" s="211">
        <v>4</v>
      </c>
      <c r="AS21" s="209">
        <v>49</v>
      </c>
      <c r="AT21" s="209">
        <v>3</v>
      </c>
      <c r="AU21" s="210">
        <v>-25</v>
      </c>
      <c r="AV21" s="1406">
        <f>BS!AU12-BS!AV12</f>
        <v>26.213999999999942</v>
      </c>
      <c r="AW21" s="1404">
        <f>BS!AV12-BS!AW12</f>
        <v>-29.240639999999871</v>
      </c>
      <c r="AX21" s="1404">
        <f>BS!AW12-BS!AX12</f>
        <v>-36.022896800000012</v>
      </c>
      <c r="AY21" s="1405">
        <f>BS!AX12-BS!AY12</f>
        <v>14.002777213333388</v>
      </c>
      <c r="AZ21" s="20"/>
      <c r="BA21" s="208">
        <f t="shared" ref="BA21:BA29" si="14">SUM(D21:G21)</f>
        <v>-38</v>
      </c>
      <c r="BB21" s="206">
        <f t="shared" ref="BB21:BB29" si="15">SUM(H21:K21)</f>
        <v>159</v>
      </c>
      <c r="BC21" s="206">
        <f t="shared" ref="BC21:BC29" si="16">SUM(L21:O21)</f>
        <v>32</v>
      </c>
      <c r="BD21" s="206">
        <f t="shared" ref="BD21:BD29" si="17">SUM(P21:S21)</f>
        <v>-46</v>
      </c>
      <c r="BE21" s="208">
        <f t="shared" ref="BE21:BE29" si="18">SUM(T21:W21)</f>
        <v>-60</v>
      </c>
      <c r="BF21" s="206">
        <f t="shared" ref="BF21:BF29" si="19">SUM(X21:AA21)</f>
        <v>-6</v>
      </c>
      <c r="BG21" s="208">
        <f t="shared" ref="BG21:BG29" si="20">SUM(AB21:AE21)</f>
        <v>-24</v>
      </c>
      <c r="BH21" s="206">
        <f t="shared" ref="BH21:BH29" si="21">SUM(AF21:AI21)</f>
        <v>-120</v>
      </c>
      <c r="BI21" s="208">
        <f t="shared" ref="BI21:BI29" si="22">SUM(AJ21:AM21)</f>
        <v>-32</v>
      </c>
      <c r="BJ21" s="206">
        <f t="shared" ref="BJ21:BJ29" si="23">SUM(AN21:AQ21)</f>
        <v>-51</v>
      </c>
      <c r="BK21" s="206">
        <f t="shared" ref="BK21:BK29" si="24">SUM(AR21:AU21)</f>
        <v>31</v>
      </c>
      <c r="BL21" s="206">
        <f t="shared" ref="BL21:BL29" si="25">SUM(AV21:AY21)</f>
        <v>-25.046759586666553</v>
      </c>
      <c r="BM21" s="206">
        <f>BS!BL12-BS!BM12</f>
        <v>-114.52261765133358</v>
      </c>
      <c r="BN21" s="207">
        <f>BS!BM12-BS!BN12</f>
        <v>-50.928468861899887</v>
      </c>
      <c r="BO21" s="22"/>
    </row>
    <row r="22" spans="1:67" ht="14.25" customHeight="1">
      <c r="A22" s="8"/>
      <c r="B22" s="48" t="str">
        <f t="shared" si="0"/>
        <v>Inventory</v>
      </c>
      <c r="C22" s="49"/>
      <c r="D22" s="211">
        <v>20</v>
      </c>
      <c r="E22" s="209">
        <v>27</v>
      </c>
      <c r="F22" s="209">
        <v>-38</v>
      </c>
      <c r="G22" s="210">
        <v>-79</v>
      </c>
      <c r="H22" s="211">
        <v>-64</v>
      </c>
      <c r="I22" s="209">
        <v>28</v>
      </c>
      <c r="J22" s="209">
        <v>68</v>
      </c>
      <c r="K22" s="210">
        <v>90</v>
      </c>
      <c r="L22" s="211">
        <v>23</v>
      </c>
      <c r="M22" s="209">
        <v>-16</v>
      </c>
      <c r="N22" s="209">
        <v>12</v>
      </c>
      <c r="O22" s="210">
        <v>12</v>
      </c>
      <c r="P22" s="211">
        <v>70</v>
      </c>
      <c r="Q22" s="209">
        <v>2</v>
      </c>
      <c r="R22" s="209">
        <v>-26</v>
      </c>
      <c r="S22" s="210">
        <v>-38</v>
      </c>
      <c r="T22" s="211">
        <v>-10</v>
      </c>
      <c r="U22" s="209">
        <v>-30</v>
      </c>
      <c r="V22" s="209">
        <v>-50</v>
      </c>
      <c r="W22" s="210">
        <v>-14</v>
      </c>
      <c r="X22" s="211">
        <v>12</v>
      </c>
      <c r="Y22" s="209">
        <v>-12</v>
      </c>
      <c r="Z22" s="209">
        <v>-20</v>
      </c>
      <c r="AA22" s="210">
        <v>-41</v>
      </c>
      <c r="AB22" s="209">
        <v>-20</v>
      </c>
      <c r="AC22" s="209">
        <v>-10</v>
      </c>
      <c r="AD22" s="209">
        <v>-5</v>
      </c>
      <c r="AE22" s="210">
        <v>13</v>
      </c>
      <c r="AF22" s="209">
        <v>1</v>
      </c>
      <c r="AG22" s="209">
        <v>-10</v>
      </c>
      <c r="AH22" s="209">
        <v>-6</v>
      </c>
      <c r="AI22" s="209">
        <v>-27</v>
      </c>
      <c r="AJ22" s="211">
        <v>-53</v>
      </c>
      <c r="AK22" s="209">
        <v>-14</v>
      </c>
      <c r="AL22" s="209">
        <v>-5</v>
      </c>
      <c r="AM22" s="210">
        <v>154</v>
      </c>
      <c r="AN22" s="211">
        <v>441</v>
      </c>
      <c r="AO22" s="209">
        <v>46</v>
      </c>
      <c r="AP22" s="209">
        <v>57</v>
      </c>
      <c r="AQ22" s="210">
        <v>24</v>
      </c>
      <c r="AR22" s="211">
        <v>-28</v>
      </c>
      <c r="AS22" s="209">
        <v>-37</v>
      </c>
      <c r="AT22" s="209">
        <v>-24</v>
      </c>
      <c r="AU22" s="210">
        <v>-31</v>
      </c>
      <c r="AV22" s="1406">
        <f>BS!AU15-BS!AV15</f>
        <v>168.55991999999969</v>
      </c>
      <c r="AW22" s="1404">
        <f>BS!AV15-BS!AW15</f>
        <v>-30.158724799999845</v>
      </c>
      <c r="AX22" s="1404">
        <f>BS!AW15-BS!AX15</f>
        <v>-37.830467647999967</v>
      </c>
      <c r="AY22" s="1405">
        <f>BS!AX15-BS!AY15</f>
        <v>18.863399588400171</v>
      </c>
      <c r="AZ22" s="20"/>
      <c r="BA22" s="208">
        <f t="shared" si="14"/>
        <v>-70</v>
      </c>
      <c r="BB22" s="206">
        <f t="shared" si="15"/>
        <v>122</v>
      </c>
      <c r="BC22" s="206">
        <f t="shared" si="16"/>
        <v>31</v>
      </c>
      <c r="BD22" s="206">
        <f t="shared" si="17"/>
        <v>8</v>
      </c>
      <c r="BE22" s="208">
        <f t="shared" si="18"/>
        <v>-104</v>
      </c>
      <c r="BF22" s="206">
        <f t="shared" si="19"/>
        <v>-61</v>
      </c>
      <c r="BG22" s="208">
        <f t="shared" si="20"/>
        <v>-22</v>
      </c>
      <c r="BH22" s="206">
        <f t="shared" si="21"/>
        <v>-42</v>
      </c>
      <c r="BI22" s="208">
        <f t="shared" si="22"/>
        <v>82</v>
      </c>
      <c r="BJ22" s="206">
        <f t="shared" si="23"/>
        <v>568</v>
      </c>
      <c r="BK22" s="206">
        <f t="shared" si="24"/>
        <v>-120</v>
      </c>
      <c r="BL22" s="206">
        <f t="shared" si="25"/>
        <v>119.43412714040005</v>
      </c>
      <c r="BM22" s="206">
        <f>BS!BL15-BS!BM15</f>
        <v>33.831141702791456</v>
      </c>
      <c r="BN22" s="207">
        <f>BS!BM15-BS!BN15</f>
        <v>-51.611533310104278</v>
      </c>
      <c r="BO22" s="22"/>
    </row>
    <row r="23" spans="1:67" ht="14.25" customHeight="1">
      <c r="A23" s="8"/>
      <c r="B23" s="48" t="str">
        <f t="shared" si="0"/>
        <v>Accounts payable and accrued liabilities</v>
      </c>
      <c r="C23" s="49"/>
      <c r="D23" s="211">
        <v>1</v>
      </c>
      <c r="E23" s="209">
        <v>262</v>
      </c>
      <c r="F23" s="209">
        <v>236</v>
      </c>
      <c r="G23" s="210">
        <v>-4</v>
      </c>
      <c r="H23" s="211">
        <v>-145</v>
      </c>
      <c r="I23" s="209">
        <v>-218</v>
      </c>
      <c r="J23" s="209">
        <v>139</v>
      </c>
      <c r="K23" s="210">
        <v>-132</v>
      </c>
      <c r="L23" s="211">
        <v>-173</v>
      </c>
      <c r="M23" s="209">
        <v>37</v>
      </c>
      <c r="N23" s="209">
        <v>17</v>
      </c>
      <c r="O23" s="210">
        <v>78</v>
      </c>
      <c r="P23" s="211">
        <v>-4</v>
      </c>
      <c r="Q23" s="209">
        <v>65</v>
      </c>
      <c r="R23" s="209">
        <v>-20</v>
      </c>
      <c r="S23" s="210">
        <v>19</v>
      </c>
      <c r="T23" s="211">
        <v>-66</v>
      </c>
      <c r="U23" s="209">
        <v>17</v>
      </c>
      <c r="V23" s="209">
        <v>-15</v>
      </c>
      <c r="W23" s="210">
        <v>-70</v>
      </c>
      <c r="X23" s="211">
        <v>1</v>
      </c>
      <c r="Y23" s="209">
        <v>71</v>
      </c>
      <c r="Z23" s="209">
        <v>19</v>
      </c>
      <c r="AA23" s="210">
        <v>10</v>
      </c>
      <c r="AB23" s="209">
        <v>-44</v>
      </c>
      <c r="AC23" s="209">
        <v>6</v>
      </c>
      <c r="AD23" s="209">
        <v>17</v>
      </c>
      <c r="AE23" s="210">
        <v>-4</v>
      </c>
      <c r="AF23" s="209">
        <v>14</v>
      </c>
      <c r="AG23" s="209">
        <v>70</v>
      </c>
      <c r="AH23" s="209">
        <v>54</v>
      </c>
      <c r="AI23" s="209">
        <v>67</v>
      </c>
      <c r="AJ23" s="211">
        <v>46</v>
      </c>
      <c r="AK23" s="209">
        <v>-20</v>
      </c>
      <c r="AL23" s="209">
        <v>-3</v>
      </c>
      <c r="AM23" s="210">
        <v>-10</v>
      </c>
      <c r="AN23" s="211">
        <v>-47</v>
      </c>
      <c r="AO23" s="209">
        <v>-120</v>
      </c>
      <c r="AP23" s="209">
        <v>50</v>
      </c>
      <c r="AQ23" s="210">
        <v>-39</v>
      </c>
      <c r="AR23" s="211">
        <v>244</v>
      </c>
      <c r="AS23" s="209">
        <v>-137</v>
      </c>
      <c r="AT23" s="209">
        <v>36</v>
      </c>
      <c r="AU23" s="210">
        <v>82</v>
      </c>
      <c r="AV23" s="1406">
        <f>BS!AV27-BS!AU27</f>
        <v>-152.55991999999969</v>
      </c>
      <c r="AW23" s="1404">
        <f>BS!AW27-BS!AV27</f>
        <v>30.158724799999845</v>
      </c>
      <c r="AX23" s="1404">
        <f>BS!AX27-BS!AW27</f>
        <v>37.830467647999967</v>
      </c>
      <c r="AY23" s="1405">
        <f>BS!AY27-BS!AX27</f>
        <v>-18.863399588400171</v>
      </c>
      <c r="AZ23" s="20"/>
      <c r="BA23" s="208">
        <f t="shared" si="14"/>
        <v>495</v>
      </c>
      <c r="BB23" s="206">
        <f t="shared" si="15"/>
        <v>-356</v>
      </c>
      <c r="BC23" s="206">
        <f t="shared" si="16"/>
        <v>-41</v>
      </c>
      <c r="BD23" s="206">
        <f t="shared" si="17"/>
        <v>60</v>
      </c>
      <c r="BE23" s="208">
        <f t="shared" si="18"/>
        <v>-134</v>
      </c>
      <c r="BF23" s="206">
        <f t="shared" si="19"/>
        <v>101</v>
      </c>
      <c r="BG23" s="208">
        <f t="shared" si="20"/>
        <v>-25</v>
      </c>
      <c r="BH23" s="206">
        <f t="shared" si="21"/>
        <v>205</v>
      </c>
      <c r="BI23" s="208">
        <f t="shared" si="22"/>
        <v>13</v>
      </c>
      <c r="BJ23" s="206">
        <f t="shared" si="23"/>
        <v>-156</v>
      </c>
      <c r="BK23" s="206">
        <f t="shared" si="24"/>
        <v>225</v>
      </c>
      <c r="BL23" s="206">
        <f t="shared" si="25"/>
        <v>-103.43412714040005</v>
      </c>
      <c r="BM23" s="206">
        <f>BS!BM27-BS!BL27</f>
        <v>68.073303582555127</v>
      </c>
      <c r="BN23" s="207">
        <f>BS!BN27-BS!BM27</f>
        <v>56.469089386349879</v>
      </c>
      <c r="BO23" s="22"/>
    </row>
    <row r="24" spans="1:67" ht="14.25" customHeight="1">
      <c r="A24" s="8"/>
      <c r="B24" s="48" t="str">
        <f t="shared" si="0"/>
        <v>Other receivables</v>
      </c>
      <c r="C24" s="49"/>
      <c r="D24" s="211">
        <v>0</v>
      </c>
      <c r="E24" s="209">
        <v>0</v>
      </c>
      <c r="F24" s="209">
        <v>0</v>
      </c>
      <c r="G24" s="210">
        <v>0</v>
      </c>
      <c r="H24" s="211">
        <v>-17</v>
      </c>
      <c r="I24" s="209">
        <v>-107</v>
      </c>
      <c r="J24" s="209">
        <v>285</v>
      </c>
      <c r="K24" s="210">
        <v>-228</v>
      </c>
      <c r="L24" s="211">
        <v>2</v>
      </c>
      <c r="M24" s="209">
        <v>16</v>
      </c>
      <c r="N24" s="209">
        <v>10</v>
      </c>
      <c r="O24" s="210">
        <v>-57</v>
      </c>
      <c r="P24" s="211">
        <v>-14</v>
      </c>
      <c r="Q24" s="209">
        <v>9</v>
      </c>
      <c r="R24" s="209">
        <v>64</v>
      </c>
      <c r="S24" s="210">
        <v>20</v>
      </c>
      <c r="T24" s="211">
        <v>-13</v>
      </c>
      <c r="U24" s="209">
        <v>1</v>
      </c>
      <c r="V24" s="209">
        <v>9</v>
      </c>
      <c r="W24" s="210">
        <v>28</v>
      </c>
      <c r="X24" s="211">
        <v>-7</v>
      </c>
      <c r="Y24" s="209">
        <v>18</v>
      </c>
      <c r="Z24" s="209">
        <v>3</v>
      </c>
      <c r="AA24" s="210">
        <v>33</v>
      </c>
      <c r="AB24" s="209">
        <v>-8</v>
      </c>
      <c r="AC24" s="209">
        <v>-4</v>
      </c>
      <c r="AD24" s="209">
        <v>3</v>
      </c>
      <c r="AE24" s="210">
        <v>10</v>
      </c>
      <c r="AF24" s="209">
        <v>12</v>
      </c>
      <c r="AG24" s="209">
        <v>-4</v>
      </c>
      <c r="AH24" s="209">
        <v>18</v>
      </c>
      <c r="AI24" s="209">
        <v>9</v>
      </c>
      <c r="AJ24" s="211">
        <v>-15</v>
      </c>
      <c r="AK24" s="209">
        <v>7</v>
      </c>
      <c r="AL24" s="209">
        <v>-17</v>
      </c>
      <c r="AM24" s="210">
        <v>0</v>
      </c>
      <c r="AN24" s="211">
        <v>0</v>
      </c>
      <c r="AO24" s="209">
        <v>0</v>
      </c>
      <c r="AP24" s="209">
        <v>0</v>
      </c>
      <c r="AQ24" s="210">
        <v>0</v>
      </c>
      <c r="AR24" s="211">
        <v>0</v>
      </c>
      <c r="AS24" s="209">
        <v>0</v>
      </c>
      <c r="AT24" s="209">
        <v>0</v>
      </c>
      <c r="AU24" s="210">
        <v>0</v>
      </c>
      <c r="AV24" s="211">
        <v>0</v>
      </c>
      <c r="AW24" s="209">
        <v>0</v>
      </c>
      <c r="AX24" s="209">
        <v>0</v>
      </c>
      <c r="AY24" s="210">
        <v>0</v>
      </c>
      <c r="AZ24" s="20"/>
      <c r="BA24" s="208">
        <f t="shared" si="14"/>
        <v>0</v>
      </c>
      <c r="BB24" s="206">
        <f t="shared" si="15"/>
        <v>-67</v>
      </c>
      <c r="BC24" s="206">
        <f t="shared" si="16"/>
        <v>-29</v>
      </c>
      <c r="BD24" s="206">
        <f t="shared" si="17"/>
        <v>79</v>
      </c>
      <c r="BE24" s="208">
        <f t="shared" si="18"/>
        <v>25</v>
      </c>
      <c r="BF24" s="206">
        <f t="shared" si="19"/>
        <v>47</v>
      </c>
      <c r="BG24" s="208">
        <f t="shared" si="20"/>
        <v>1</v>
      </c>
      <c r="BH24" s="206">
        <f t="shared" si="21"/>
        <v>35</v>
      </c>
      <c r="BI24" s="208">
        <f t="shared" si="22"/>
        <v>-25</v>
      </c>
      <c r="BJ24" s="206">
        <f t="shared" si="23"/>
        <v>0</v>
      </c>
      <c r="BK24" s="206">
        <f t="shared" si="24"/>
        <v>0</v>
      </c>
      <c r="BL24" s="206">
        <f t="shared" si="25"/>
        <v>0</v>
      </c>
      <c r="BM24" s="206">
        <v>0</v>
      </c>
      <c r="BN24" s="207">
        <v>0</v>
      </c>
      <c r="BO24" s="22"/>
    </row>
    <row r="25" spans="1:67" ht="14.25" customHeight="1">
      <c r="A25" s="8"/>
      <c r="B25" s="48" t="str">
        <f t="shared" si="0"/>
        <v>Other payables</v>
      </c>
      <c r="C25" s="49"/>
      <c r="D25" s="211">
        <v>0</v>
      </c>
      <c r="E25" s="209">
        <v>0</v>
      </c>
      <c r="F25" s="209">
        <v>0</v>
      </c>
      <c r="G25" s="210">
        <v>0</v>
      </c>
      <c r="H25" s="211">
        <v>0</v>
      </c>
      <c r="I25" s="209">
        <v>0</v>
      </c>
      <c r="J25" s="209">
        <v>0</v>
      </c>
      <c r="K25" s="210">
        <v>0</v>
      </c>
      <c r="L25" s="211">
        <v>98</v>
      </c>
      <c r="M25" s="209">
        <v>-199</v>
      </c>
      <c r="N25" s="209">
        <v>-18</v>
      </c>
      <c r="O25" s="210">
        <v>-34</v>
      </c>
      <c r="P25" s="211">
        <v>19</v>
      </c>
      <c r="Q25" s="209">
        <v>-150</v>
      </c>
      <c r="R25" s="209">
        <v>-20</v>
      </c>
      <c r="S25" s="210">
        <v>-26</v>
      </c>
      <c r="T25" s="211">
        <v>-15</v>
      </c>
      <c r="U25" s="209">
        <v>-108</v>
      </c>
      <c r="V25" s="209">
        <v>32</v>
      </c>
      <c r="W25" s="210">
        <v>-41</v>
      </c>
      <c r="X25" s="211">
        <v>-49</v>
      </c>
      <c r="Y25" s="209">
        <v>18</v>
      </c>
      <c r="Z25" s="209">
        <v>-22</v>
      </c>
      <c r="AA25" s="210">
        <v>34</v>
      </c>
      <c r="AB25" s="209">
        <v>17</v>
      </c>
      <c r="AC25" s="209">
        <v>-78</v>
      </c>
      <c r="AD25" s="209">
        <v>29</v>
      </c>
      <c r="AE25" s="210">
        <v>-21</v>
      </c>
      <c r="AF25" s="209">
        <v>35</v>
      </c>
      <c r="AG25" s="209">
        <v>-68</v>
      </c>
      <c r="AH25" s="209">
        <v>46</v>
      </c>
      <c r="AI25" s="209">
        <v>4</v>
      </c>
      <c r="AJ25" s="211">
        <v>64</v>
      </c>
      <c r="AK25" s="209">
        <v>-53</v>
      </c>
      <c r="AL25" s="209">
        <v>-2</v>
      </c>
      <c r="AM25" s="210">
        <v>0</v>
      </c>
      <c r="AN25" s="211">
        <v>4</v>
      </c>
      <c r="AO25" s="209">
        <v>0</v>
      </c>
      <c r="AP25" s="209">
        <v>-4</v>
      </c>
      <c r="AQ25" s="210">
        <v>0</v>
      </c>
      <c r="AR25" s="211">
        <v>0</v>
      </c>
      <c r="AS25" s="209">
        <v>0</v>
      </c>
      <c r="AT25" s="209">
        <v>0</v>
      </c>
      <c r="AU25" s="210">
        <v>0</v>
      </c>
      <c r="AV25" s="1406">
        <f>BS!AV28-BS!AU28+BS!AV29-BS!AU29</f>
        <v>0</v>
      </c>
      <c r="AW25" s="1404">
        <f>BS!AW28-BS!AV28+BS!AW29-BS!AV29</f>
        <v>0</v>
      </c>
      <c r="AX25" s="1404">
        <f>BS!AX28-BS!AW28+BS!AX29-BS!AW29</f>
        <v>0</v>
      </c>
      <c r="AY25" s="1405">
        <f>BS!AY28-BS!AX28+BS!AY29-BS!AX29</f>
        <v>0</v>
      </c>
      <c r="AZ25" s="20"/>
      <c r="BA25" s="208">
        <f t="shared" si="14"/>
        <v>0</v>
      </c>
      <c r="BB25" s="206">
        <f t="shared" si="15"/>
        <v>0</v>
      </c>
      <c r="BC25" s="206">
        <f t="shared" si="16"/>
        <v>-153</v>
      </c>
      <c r="BD25" s="206">
        <f t="shared" si="17"/>
        <v>-177</v>
      </c>
      <c r="BE25" s="208">
        <f t="shared" si="18"/>
        <v>-132</v>
      </c>
      <c r="BF25" s="206">
        <f t="shared" si="19"/>
        <v>-19</v>
      </c>
      <c r="BG25" s="208">
        <f t="shared" si="20"/>
        <v>-53</v>
      </c>
      <c r="BH25" s="206">
        <f t="shared" si="21"/>
        <v>17</v>
      </c>
      <c r="BI25" s="208">
        <f t="shared" si="22"/>
        <v>9</v>
      </c>
      <c r="BJ25" s="206">
        <f t="shared" si="23"/>
        <v>0</v>
      </c>
      <c r="BK25" s="206">
        <f t="shared" si="24"/>
        <v>0</v>
      </c>
      <c r="BL25" s="206">
        <f t="shared" si="25"/>
        <v>0</v>
      </c>
      <c r="BM25" s="206">
        <f>BS!BM28-BS!BL28+BS!BM29-BS!BL29</f>
        <v>0</v>
      </c>
      <c r="BN25" s="207">
        <f>BS!BN28-BS!BM28+BS!BN29-BS!BM29</f>
        <v>0</v>
      </c>
      <c r="BO25" s="22"/>
    </row>
    <row r="26" spans="1:67" ht="14.25" customHeight="1">
      <c r="A26" s="8"/>
      <c r="B26" s="48" t="str">
        <f t="shared" si="0"/>
        <v>Provisions</v>
      </c>
      <c r="C26" s="49"/>
      <c r="D26" s="211">
        <v>35</v>
      </c>
      <c r="E26" s="209">
        <v>-19</v>
      </c>
      <c r="F26" s="209">
        <v>-16</v>
      </c>
      <c r="G26" s="210">
        <v>-233</v>
      </c>
      <c r="H26" s="211">
        <v>-55</v>
      </c>
      <c r="I26" s="209">
        <v>-32</v>
      </c>
      <c r="J26" s="209">
        <v>417</v>
      </c>
      <c r="K26" s="210">
        <v>16</v>
      </c>
      <c r="L26" s="211">
        <v>-36</v>
      </c>
      <c r="M26" s="209">
        <v>-53</v>
      </c>
      <c r="N26" s="209">
        <v>-57</v>
      </c>
      <c r="O26" s="210">
        <v>10</v>
      </c>
      <c r="P26" s="211">
        <v>-74</v>
      </c>
      <c r="Q26" s="209">
        <v>-1</v>
      </c>
      <c r="R26" s="209">
        <v>-29</v>
      </c>
      <c r="S26" s="210">
        <v>-24</v>
      </c>
      <c r="T26" s="211">
        <v>-98</v>
      </c>
      <c r="U26" s="209">
        <v>-5</v>
      </c>
      <c r="V26" s="209">
        <v>7</v>
      </c>
      <c r="W26" s="210">
        <v>30</v>
      </c>
      <c r="X26" s="211">
        <v>-16</v>
      </c>
      <c r="Y26" s="209">
        <v>0</v>
      </c>
      <c r="Z26" s="209">
        <v>0</v>
      </c>
      <c r="AA26" s="210">
        <v>0</v>
      </c>
      <c r="AB26" s="209">
        <v>0</v>
      </c>
      <c r="AC26" s="209">
        <v>0</v>
      </c>
      <c r="AD26" s="209">
        <v>0</v>
      </c>
      <c r="AE26" s="210">
        <v>0</v>
      </c>
      <c r="AF26" s="209">
        <v>0</v>
      </c>
      <c r="AG26" s="209">
        <v>0</v>
      </c>
      <c r="AH26" s="209">
        <v>0</v>
      </c>
      <c r="AI26" s="209">
        <v>0</v>
      </c>
      <c r="AJ26" s="211">
        <v>0</v>
      </c>
      <c r="AK26" s="209">
        <v>0</v>
      </c>
      <c r="AL26" s="209">
        <v>0</v>
      </c>
      <c r="AM26" s="210">
        <v>0</v>
      </c>
      <c r="AN26" s="211">
        <v>0</v>
      </c>
      <c r="AO26" s="209">
        <v>0</v>
      </c>
      <c r="AP26" s="209">
        <v>0</v>
      </c>
      <c r="AQ26" s="210">
        <v>0</v>
      </c>
      <c r="AR26" s="211">
        <v>0</v>
      </c>
      <c r="AS26" s="209">
        <v>0</v>
      </c>
      <c r="AT26" s="209">
        <v>0</v>
      </c>
      <c r="AU26" s="210">
        <v>0</v>
      </c>
      <c r="AV26" s="1406">
        <f>BS!AV30-BS!AU30+BS!AV35-BS!AU35+BS!AV36-BS!AU36</f>
        <v>0</v>
      </c>
      <c r="AW26" s="1404">
        <f>BS!AW30-BS!AV30+BS!AW35-BS!AV35+BS!AW36-BS!AV36</f>
        <v>0</v>
      </c>
      <c r="AX26" s="1404">
        <f>BS!AX30-BS!AW30+BS!AX35-BS!AW35+BS!AX36-BS!AW36</f>
        <v>0</v>
      </c>
      <c r="AY26" s="1405">
        <f>BS!AY30-BS!AX30+BS!AY35-BS!AX35+BS!AY36-BS!AX36</f>
        <v>0</v>
      </c>
      <c r="AZ26" s="20"/>
      <c r="BA26" s="208">
        <f t="shared" si="14"/>
        <v>-233</v>
      </c>
      <c r="BB26" s="206">
        <f t="shared" si="15"/>
        <v>346</v>
      </c>
      <c r="BC26" s="206">
        <f t="shared" si="16"/>
        <v>-136</v>
      </c>
      <c r="BD26" s="206">
        <f t="shared" si="17"/>
        <v>-128</v>
      </c>
      <c r="BE26" s="208">
        <f t="shared" si="18"/>
        <v>-66</v>
      </c>
      <c r="BF26" s="206">
        <f t="shared" si="19"/>
        <v>-16</v>
      </c>
      <c r="BG26" s="208">
        <f t="shared" si="20"/>
        <v>0</v>
      </c>
      <c r="BH26" s="206">
        <f t="shared" si="21"/>
        <v>0</v>
      </c>
      <c r="BI26" s="208">
        <f t="shared" si="22"/>
        <v>0</v>
      </c>
      <c r="BJ26" s="206">
        <f t="shared" si="23"/>
        <v>0</v>
      </c>
      <c r="BK26" s="206">
        <f t="shared" si="24"/>
        <v>0</v>
      </c>
      <c r="BL26" s="206">
        <f t="shared" si="25"/>
        <v>0</v>
      </c>
      <c r="BM26" s="206">
        <f>BS!BM30-BS!BL30+BS!BM35-BS!BL35+BS!BM36-BS!BL36</f>
        <v>0</v>
      </c>
      <c r="BN26" s="207">
        <f>BS!BN30-BS!BM30+BS!BN35-BS!BM35+BS!BN36-BS!BM36</f>
        <v>0</v>
      </c>
      <c r="BO26" s="22"/>
    </row>
    <row r="27" spans="1:67" ht="14.25" customHeight="1">
      <c r="A27" s="8"/>
      <c r="B27" s="48" t="str">
        <f t="shared" si="0"/>
        <v>Income Taxes payable</v>
      </c>
      <c r="C27" s="49"/>
      <c r="D27" s="211">
        <v>0</v>
      </c>
      <c r="E27" s="209">
        <v>0</v>
      </c>
      <c r="F27" s="209">
        <v>0</v>
      </c>
      <c r="G27" s="210">
        <v>0</v>
      </c>
      <c r="H27" s="211">
        <v>0</v>
      </c>
      <c r="I27" s="209">
        <v>0</v>
      </c>
      <c r="J27" s="209">
        <v>0</v>
      </c>
      <c r="K27" s="210">
        <v>0</v>
      </c>
      <c r="L27" s="211">
        <v>-25</v>
      </c>
      <c r="M27" s="209">
        <v>3</v>
      </c>
      <c r="N27" s="209">
        <v>20</v>
      </c>
      <c r="O27" s="210">
        <v>-4</v>
      </c>
      <c r="P27" s="211">
        <v>-50</v>
      </c>
      <c r="Q27" s="209">
        <v>-30</v>
      </c>
      <c r="R27" s="209">
        <v>53</v>
      </c>
      <c r="S27" s="210">
        <v>-46</v>
      </c>
      <c r="T27" s="211">
        <v>17</v>
      </c>
      <c r="U27" s="209">
        <v>-5</v>
      </c>
      <c r="V27" s="209">
        <v>-3</v>
      </c>
      <c r="W27" s="210">
        <v>4</v>
      </c>
      <c r="X27" s="211">
        <v>-5</v>
      </c>
      <c r="Y27" s="209">
        <v>-5</v>
      </c>
      <c r="Z27" s="209">
        <v>0</v>
      </c>
      <c r="AA27" s="210">
        <v>-8</v>
      </c>
      <c r="AB27" s="209">
        <v>1</v>
      </c>
      <c r="AC27" s="209">
        <v>1</v>
      </c>
      <c r="AD27" s="209">
        <v>0</v>
      </c>
      <c r="AE27" s="210">
        <v>1</v>
      </c>
      <c r="AF27" s="209">
        <v>3</v>
      </c>
      <c r="AG27" s="209">
        <v>5</v>
      </c>
      <c r="AH27" s="209">
        <v>-6</v>
      </c>
      <c r="AI27" s="209">
        <v>-1</v>
      </c>
      <c r="AJ27" s="211">
        <v>5</v>
      </c>
      <c r="AK27" s="209">
        <v>-3</v>
      </c>
      <c r="AL27" s="209">
        <v>4</v>
      </c>
      <c r="AM27" s="210">
        <v>0</v>
      </c>
      <c r="AN27" s="211">
        <v>0</v>
      </c>
      <c r="AO27" s="209">
        <v>0</v>
      </c>
      <c r="AP27" s="209">
        <v>0</v>
      </c>
      <c r="AQ27" s="210">
        <v>0</v>
      </c>
      <c r="AR27" s="211">
        <v>0</v>
      </c>
      <c r="AS27" s="209">
        <v>0</v>
      </c>
      <c r="AT27" s="209">
        <v>0</v>
      </c>
      <c r="AU27" s="210">
        <v>0</v>
      </c>
      <c r="AV27" s="211">
        <v>0</v>
      </c>
      <c r="AW27" s="209">
        <v>0</v>
      </c>
      <c r="AX27" s="209">
        <v>0</v>
      </c>
      <c r="AY27" s="210">
        <v>0</v>
      </c>
      <c r="AZ27" s="20"/>
      <c r="BA27" s="208">
        <f t="shared" si="14"/>
        <v>0</v>
      </c>
      <c r="BB27" s="206">
        <f t="shared" si="15"/>
        <v>0</v>
      </c>
      <c r="BC27" s="206">
        <f t="shared" si="16"/>
        <v>-6</v>
      </c>
      <c r="BD27" s="206">
        <f t="shared" si="17"/>
        <v>-73</v>
      </c>
      <c r="BE27" s="208">
        <f t="shared" si="18"/>
        <v>13</v>
      </c>
      <c r="BF27" s="206">
        <f t="shared" si="19"/>
        <v>-18</v>
      </c>
      <c r="BG27" s="208">
        <f t="shared" si="20"/>
        <v>3</v>
      </c>
      <c r="BH27" s="206">
        <f t="shared" si="21"/>
        <v>1</v>
      </c>
      <c r="BI27" s="208">
        <f t="shared" si="22"/>
        <v>6</v>
      </c>
      <c r="BJ27" s="206">
        <f t="shared" si="23"/>
        <v>0</v>
      </c>
      <c r="BK27" s="206">
        <f t="shared" si="24"/>
        <v>0</v>
      </c>
      <c r="BL27" s="206">
        <f t="shared" si="25"/>
        <v>0</v>
      </c>
      <c r="BM27" s="206">
        <v>0</v>
      </c>
      <c r="BN27" s="207">
        <v>0</v>
      </c>
      <c r="BO27" s="22"/>
    </row>
    <row r="28" spans="1:67" ht="14.25" customHeight="1">
      <c r="A28" s="8"/>
      <c r="B28" s="48" t="str">
        <f t="shared" si="0"/>
        <v>Exchange differences</v>
      </c>
      <c r="C28" s="49"/>
      <c r="D28" s="211">
        <v>0</v>
      </c>
      <c r="E28" s="209">
        <v>0</v>
      </c>
      <c r="F28" s="209">
        <v>0</v>
      </c>
      <c r="G28" s="210">
        <v>0</v>
      </c>
      <c r="H28" s="211">
        <v>0</v>
      </c>
      <c r="I28" s="209">
        <v>0</v>
      </c>
      <c r="J28" s="209">
        <v>0</v>
      </c>
      <c r="K28" s="210">
        <v>0</v>
      </c>
      <c r="L28" s="211">
        <v>222</v>
      </c>
      <c r="M28" s="209">
        <v>-191</v>
      </c>
      <c r="N28" s="209">
        <v>-156</v>
      </c>
      <c r="O28" s="210">
        <v>86</v>
      </c>
      <c r="P28" s="211">
        <v>259</v>
      </c>
      <c r="Q28" s="209">
        <v>363</v>
      </c>
      <c r="R28" s="209">
        <v>-382</v>
      </c>
      <c r="S28" s="210">
        <v>113</v>
      </c>
      <c r="T28" s="211">
        <v>-190</v>
      </c>
      <c r="U28" s="209">
        <v>-85</v>
      </c>
      <c r="V28" s="209">
        <v>82</v>
      </c>
      <c r="W28" s="210">
        <v>65</v>
      </c>
      <c r="X28" s="211">
        <v>-53</v>
      </c>
      <c r="Y28" s="209">
        <v>104</v>
      </c>
      <c r="Z28" s="209">
        <v>-48</v>
      </c>
      <c r="AA28" s="210">
        <v>-31</v>
      </c>
      <c r="AB28" s="209">
        <v>53</v>
      </c>
      <c r="AC28" s="209">
        <v>-32</v>
      </c>
      <c r="AD28" s="209">
        <v>-52</v>
      </c>
      <c r="AE28" s="210">
        <v>-31</v>
      </c>
      <c r="AF28" s="209">
        <v>2</v>
      </c>
      <c r="AG28" s="209">
        <v>22</v>
      </c>
      <c r="AH28" s="209">
        <v>131</v>
      </c>
      <c r="AI28" s="209">
        <v>91</v>
      </c>
      <c r="AJ28" s="211">
        <v>208</v>
      </c>
      <c r="AK28" s="209">
        <v>-40</v>
      </c>
      <c r="AL28" s="209">
        <v>-6</v>
      </c>
      <c r="AM28" s="210">
        <v>31</v>
      </c>
      <c r="AN28" s="211">
        <v>10</v>
      </c>
      <c r="AO28" s="209">
        <v>0</v>
      </c>
      <c r="AP28" s="209">
        <v>4</v>
      </c>
      <c r="AQ28" s="210">
        <v>-3</v>
      </c>
      <c r="AR28" s="211">
        <v>12</v>
      </c>
      <c r="AS28" s="209">
        <v>5</v>
      </c>
      <c r="AT28" s="209">
        <v>8</v>
      </c>
      <c r="AU28" s="210">
        <v>5</v>
      </c>
      <c r="AV28" s="211">
        <v>0</v>
      </c>
      <c r="AW28" s="209">
        <v>0</v>
      </c>
      <c r="AX28" s="209">
        <v>0</v>
      </c>
      <c r="AY28" s="210">
        <v>0</v>
      </c>
      <c r="AZ28" s="20"/>
      <c r="BA28" s="208">
        <f t="shared" si="14"/>
        <v>0</v>
      </c>
      <c r="BB28" s="206">
        <f t="shared" si="15"/>
        <v>0</v>
      </c>
      <c r="BC28" s="206">
        <f t="shared" si="16"/>
        <v>-39</v>
      </c>
      <c r="BD28" s="206">
        <f t="shared" si="17"/>
        <v>353</v>
      </c>
      <c r="BE28" s="208">
        <f t="shared" si="18"/>
        <v>-128</v>
      </c>
      <c r="BF28" s="206">
        <f t="shared" si="19"/>
        <v>-28</v>
      </c>
      <c r="BG28" s="208">
        <f t="shared" si="20"/>
        <v>-62</v>
      </c>
      <c r="BH28" s="206">
        <f t="shared" si="21"/>
        <v>246</v>
      </c>
      <c r="BI28" s="208">
        <f t="shared" si="22"/>
        <v>193</v>
      </c>
      <c r="BJ28" s="206">
        <f t="shared" si="23"/>
        <v>11</v>
      </c>
      <c r="BK28" s="206">
        <f t="shared" si="24"/>
        <v>30</v>
      </c>
      <c r="BL28" s="206">
        <f t="shared" si="25"/>
        <v>0</v>
      </c>
      <c r="BM28" s="206">
        <v>0</v>
      </c>
      <c r="BN28" s="207">
        <v>0</v>
      </c>
      <c r="BO28" s="22"/>
    </row>
    <row r="29" spans="1:67" ht="14.25" customHeight="1">
      <c r="A29" s="8"/>
      <c r="B29" s="48" t="str">
        <f t="shared" si="0"/>
        <v>Other items</v>
      </c>
      <c r="C29" s="49"/>
      <c r="D29" s="211">
        <f>-77-25</f>
        <v>-102</v>
      </c>
      <c r="E29" s="209">
        <f>-88-13</f>
        <v>-101</v>
      </c>
      <c r="F29" s="209">
        <f>26-162</f>
        <v>-136</v>
      </c>
      <c r="G29" s="210">
        <f>-98-51</f>
        <v>-149</v>
      </c>
      <c r="H29" s="211">
        <v>-172</v>
      </c>
      <c r="I29" s="209">
        <v>65</v>
      </c>
      <c r="J29" s="209">
        <v>233</v>
      </c>
      <c r="K29" s="210">
        <v>-6</v>
      </c>
      <c r="L29" s="211">
        <v>5</v>
      </c>
      <c r="M29" s="209">
        <v>11</v>
      </c>
      <c r="N29" s="209">
        <v>5</v>
      </c>
      <c r="O29" s="210">
        <v>20</v>
      </c>
      <c r="P29" s="211">
        <v>2</v>
      </c>
      <c r="Q29" s="209">
        <v>8</v>
      </c>
      <c r="R29" s="209">
        <v>11</v>
      </c>
      <c r="S29" s="210">
        <v>-5</v>
      </c>
      <c r="T29" s="211">
        <v>18</v>
      </c>
      <c r="U29" s="209">
        <v>11</v>
      </c>
      <c r="V29" s="209">
        <v>7</v>
      </c>
      <c r="W29" s="210">
        <v>13</v>
      </c>
      <c r="X29" s="211">
        <v>16</v>
      </c>
      <c r="Y29" s="209">
        <v>22</v>
      </c>
      <c r="Z29" s="209">
        <v>7</v>
      </c>
      <c r="AA29" s="210">
        <v>1</v>
      </c>
      <c r="AB29" s="209">
        <v>-2</v>
      </c>
      <c r="AC29" s="209">
        <v>3</v>
      </c>
      <c r="AD29" s="209">
        <v>-1</v>
      </c>
      <c r="AE29" s="210">
        <v>2</v>
      </c>
      <c r="AF29" s="209">
        <v>5</v>
      </c>
      <c r="AG29" s="209">
        <v>-5</v>
      </c>
      <c r="AH29" s="209">
        <v>-13</v>
      </c>
      <c r="AI29" s="209">
        <v>9</v>
      </c>
      <c r="AJ29" s="211">
        <v>-10</v>
      </c>
      <c r="AK29" s="209">
        <v>16</v>
      </c>
      <c r="AL29" s="209">
        <v>5</v>
      </c>
      <c r="AM29" s="210">
        <f>9-8</f>
        <v>1</v>
      </c>
      <c r="AN29" s="211">
        <v>-23</v>
      </c>
      <c r="AO29" s="209">
        <f>15+4-1</f>
        <v>18</v>
      </c>
      <c r="AP29" s="209">
        <v>9</v>
      </c>
      <c r="AQ29" s="210">
        <f>-8+6</f>
        <v>-2</v>
      </c>
      <c r="AR29" s="211">
        <f>-1-3</f>
        <v>-4</v>
      </c>
      <c r="AS29" s="209">
        <f>-2-3</f>
        <v>-5</v>
      </c>
      <c r="AT29" s="209">
        <f>-5-1</f>
        <v>-6</v>
      </c>
      <c r="AU29" s="210">
        <f>-92+3</f>
        <v>-89</v>
      </c>
      <c r="AV29" s="1406">
        <f>-BS!AV22+BS!AU22+BS!AU23-BS!AV23+BS!AV59-BS!AU59+BS!AU13-BS!AV13+BS!AU14-BS!AV14+BS!AV31-BS!AU31-BS!AV16+BS!AU16+BS!AU21-BS!AV21</f>
        <v>0</v>
      </c>
      <c r="AW29" s="1404">
        <f>-BS!AW22+BS!AV22+BS!AV23-BS!AW23+BS!AW59-BS!AV59+BS!AV13-BS!AW13+BS!AV14-BS!AW14+BS!AW31-BS!AV31-BS!AW16+BS!AV16+BS!AV21-BS!AW21</f>
        <v>0</v>
      </c>
      <c r="AX29" s="1404">
        <f>-BS!AX22+BS!AW22+BS!AW23-BS!AX23+BS!AX59-BS!AW59+BS!AW13-BS!AX13+BS!AW14-BS!AX14+BS!AX31-BS!AW31-BS!AX16+BS!AW16+BS!AW21-BS!AX21</f>
        <v>0</v>
      </c>
      <c r="AY29" s="1405">
        <f>-BS!AY22+BS!AX22+BS!AX23-BS!AY23+BS!AY59-BS!AX59+BS!AX13-BS!AY13+BS!AX14-BS!AY14+BS!AY31-BS!AX31-BS!AY16+BS!AX16+BS!AX21-BS!AY21</f>
        <v>0</v>
      </c>
      <c r="AZ29" s="20"/>
      <c r="BA29" s="208">
        <f t="shared" si="14"/>
        <v>-488</v>
      </c>
      <c r="BB29" s="206">
        <f t="shared" si="15"/>
        <v>120</v>
      </c>
      <c r="BC29" s="206">
        <f t="shared" si="16"/>
        <v>41</v>
      </c>
      <c r="BD29" s="206">
        <f t="shared" si="17"/>
        <v>16</v>
      </c>
      <c r="BE29" s="208">
        <f t="shared" si="18"/>
        <v>49</v>
      </c>
      <c r="BF29" s="206">
        <f t="shared" si="19"/>
        <v>46</v>
      </c>
      <c r="BG29" s="208">
        <f t="shared" si="20"/>
        <v>2</v>
      </c>
      <c r="BH29" s="206">
        <f t="shared" si="21"/>
        <v>-4</v>
      </c>
      <c r="BI29" s="208">
        <f t="shared" si="22"/>
        <v>12</v>
      </c>
      <c r="BJ29" s="206">
        <f t="shared" si="23"/>
        <v>2</v>
      </c>
      <c r="BK29" s="206">
        <f t="shared" si="24"/>
        <v>-104</v>
      </c>
      <c r="BL29" s="206">
        <f t="shared" si="25"/>
        <v>0</v>
      </c>
      <c r="BM29" s="206">
        <f>-BS!BM22+BS!BL22+BS!BL23-BS!BM23+BS!BM59-BS!BL59+BS!BL13-BS!BM13+BS!BL14-BS!BM14+BS!BM31-BS!BL31-BS!BM16+BS!BL16+BS!BL21-BS!BM21</f>
        <v>0</v>
      </c>
      <c r="BN29" s="207">
        <f>-BS!BN22+BS!BM22+BS!BM23-BS!BN23+BS!BN59-BS!BM59+BS!BM13-BS!BN13+BS!BM14-BS!BN14+BS!BN31-BS!BM31-BS!BN16+BS!BM16+BS!BM21-BS!BN21</f>
        <v>0</v>
      </c>
      <c r="BO29" s="22"/>
    </row>
    <row r="30" spans="1:67" ht="14.25" customHeight="1" thickBot="1">
      <c r="A30" s="8"/>
      <c r="B30" s="212" t="str">
        <f t="shared" si="0"/>
        <v>Net cash provided by operating activities</v>
      </c>
      <c r="C30" s="213"/>
      <c r="D30" s="215">
        <f t="shared" ref="D30:AE30" si="26">D11+SUM(D13:D19)+SUM(D21:D29)</f>
        <v>-16</v>
      </c>
      <c r="E30" s="214">
        <f t="shared" si="26"/>
        <v>113</v>
      </c>
      <c r="F30" s="214">
        <f t="shared" si="26"/>
        <v>274</v>
      </c>
      <c r="G30" s="216">
        <f t="shared" si="26"/>
        <v>162</v>
      </c>
      <c r="H30" s="215">
        <f t="shared" si="26"/>
        <v>-268</v>
      </c>
      <c r="I30" s="214">
        <f t="shared" si="26"/>
        <v>-281</v>
      </c>
      <c r="J30" s="214">
        <f t="shared" si="26"/>
        <v>107</v>
      </c>
      <c r="K30" s="216">
        <f t="shared" si="26"/>
        <v>-180</v>
      </c>
      <c r="L30" s="215">
        <f t="shared" si="26"/>
        <v>-344</v>
      </c>
      <c r="M30" s="214">
        <f t="shared" si="26"/>
        <v>-357</v>
      </c>
      <c r="N30" s="214">
        <f t="shared" si="26"/>
        <v>-57</v>
      </c>
      <c r="O30" s="216">
        <f t="shared" si="26"/>
        <v>28</v>
      </c>
      <c r="P30" s="215">
        <f t="shared" si="26"/>
        <v>-17</v>
      </c>
      <c r="Q30" s="214">
        <f t="shared" si="26"/>
        <v>75</v>
      </c>
      <c r="R30" s="214">
        <f t="shared" si="26"/>
        <v>151</v>
      </c>
      <c r="S30" s="216">
        <f t="shared" si="26"/>
        <v>150</v>
      </c>
      <c r="T30" s="215">
        <f t="shared" si="26"/>
        <v>-3</v>
      </c>
      <c r="U30" s="214">
        <f t="shared" si="26"/>
        <v>14</v>
      </c>
      <c r="V30" s="214">
        <f t="shared" si="26"/>
        <v>131</v>
      </c>
      <c r="W30" s="216">
        <f>W11+SUM(W13:W19)+SUM(W21:W29)</f>
        <v>-34</v>
      </c>
      <c r="X30" s="215">
        <f t="shared" si="26"/>
        <v>97</v>
      </c>
      <c r="Y30" s="214">
        <f t="shared" si="26"/>
        <v>269</v>
      </c>
      <c r="Z30" s="214">
        <f t="shared" si="26"/>
        <v>192</v>
      </c>
      <c r="AA30" s="216">
        <f t="shared" si="26"/>
        <v>164</v>
      </c>
      <c r="AB30" s="214">
        <f t="shared" si="26"/>
        <v>119</v>
      </c>
      <c r="AC30" s="214">
        <f t="shared" si="26"/>
        <v>160</v>
      </c>
      <c r="AD30" s="214">
        <f t="shared" si="26"/>
        <v>298</v>
      </c>
      <c r="AE30" s="216">
        <f t="shared" si="26"/>
        <v>314</v>
      </c>
      <c r="AF30" s="214">
        <f t="shared" ref="AF30:AK30" si="27">AF11+SUM(AF13:AF19)+SUM(AF21:AF29)</f>
        <v>273</v>
      </c>
      <c r="AG30" s="214">
        <f t="shared" si="27"/>
        <v>242</v>
      </c>
      <c r="AH30" s="214">
        <f t="shared" si="27"/>
        <v>397</v>
      </c>
      <c r="AI30" s="214">
        <f t="shared" si="27"/>
        <v>556</v>
      </c>
      <c r="AJ30" s="215">
        <f t="shared" si="27"/>
        <v>368</v>
      </c>
      <c r="AK30" s="214">
        <f t="shared" si="27"/>
        <v>351</v>
      </c>
      <c r="AL30" s="214">
        <f t="shared" ref="AL30" si="28">AL11+SUM(AL13:AL19)+SUM(AL21:AL29)</f>
        <v>349</v>
      </c>
      <c r="AM30" s="216">
        <f>AM11+SUM(AM13:AM19)+SUM(AM21:AM29)</f>
        <v>271</v>
      </c>
      <c r="AN30" s="215">
        <f t="shared" ref="AN30:AP30" si="29">AN11+SUM(AN13:AN19)+SUM(AN21:AN29)</f>
        <v>414</v>
      </c>
      <c r="AO30" s="214">
        <f t="shared" si="29"/>
        <v>434</v>
      </c>
      <c r="AP30" s="214">
        <f t="shared" si="29"/>
        <v>718</v>
      </c>
      <c r="AQ30" s="216">
        <f>AQ11+SUM(AQ13:AQ19)+SUM(AQ21:AQ29)</f>
        <v>737</v>
      </c>
      <c r="AR30" s="215">
        <f t="shared" ref="AR30:AT30" si="30">AR11+SUM(AR13:AR19)+SUM(AR21:AR29)</f>
        <v>625</v>
      </c>
      <c r="AS30" s="214">
        <f t="shared" si="30"/>
        <v>441</v>
      </c>
      <c r="AT30" s="214">
        <f t="shared" si="30"/>
        <v>643</v>
      </c>
      <c r="AU30" s="216">
        <f>AU11+SUM(AU13:AU19)+SUM(AU21:AU29)</f>
        <v>738</v>
      </c>
      <c r="AV30" s="215">
        <f t="shared" ref="AV30:AY30" si="31">AV11+SUM(AV13:AV19)+SUM(AV21:AV29)</f>
        <v>781.60691741368066</v>
      </c>
      <c r="AW30" s="214">
        <f t="shared" si="31"/>
        <v>749.52051362860379</v>
      </c>
      <c r="AX30" s="214">
        <f t="shared" si="31"/>
        <v>790.73279036754889</v>
      </c>
      <c r="AY30" s="216">
        <f t="shared" si="31"/>
        <v>833.37391834129244</v>
      </c>
      <c r="AZ30" s="1897"/>
      <c r="BA30" s="215">
        <f t="shared" ref="BA30:BM30" si="32">BA11+SUM(BA13:BA19)+SUM(BA21:BA29)</f>
        <v>533</v>
      </c>
      <c r="BB30" s="214">
        <f t="shared" si="32"/>
        <v>-622</v>
      </c>
      <c r="BC30" s="214">
        <f t="shared" si="32"/>
        <v>-730</v>
      </c>
      <c r="BD30" s="214">
        <f t="shared" si="32"/>
        <v>359</v>
      </c>
      <c r="BE30" s="215">
        <f t="shared" si="32"/>
        <v>108</v>
      </c>
      <c r="BF30" s="214">
        <f t="shared" si="32"/>
        <v>722</v>
      </c>
      <c r="BG30" s="215">
        <f t="shared" si="32"/>
        <v>891</v>
      </c>
      <c r="BH30" s="214">
        <f t="shared" si="32"/>
        <v>1468</v>
      </c>
      <c r="BI30" s="215">
        <f t="shared" si="32"/>
        <v>1339</v>
      </c>
      <c r="BJ30" s="214">
        <f t="shared" si="32"/>
        <v>2303</v>
      </c>
      <c r="BK30" s="214">
        <f t="shared" ref="BK30:BL30" si="33">BK11+SUM(BK13:BK19)+SUM(BK21:BK29)</f>
        <v>2447</v>
      </c>
      <c r="BL30" s="214">
        <f t="shared" si="33"/>
        <v>3155.2341397511259</v>
      </c>
      <c r="BM30" s="214">
        <f t="shared" si="32"/>
        <v>3359.3768551311828</v>
      </c>
      <c r="BN30" s="216">
        <f t="shared" ref="BN30" si="34">BN11+SUM(BN13:BN19)+SUM(BN21:BN29)</f>
        <v>3541.2401562885107</v>
      </c>
      <c r="BO30" s="22"/>
    </row>
    <row r="31" spans="1:67" ht="14.25" customHeight="1" thickTop="1">
      <c r="A31" s="8"/>
      <c r="B31" s="23"/>
      <c r="C31" s="24"/>
      <c r="D31" s="211"/>
      <c r="E31" s="209"/>
      <c r="F31" s="209"/>
      <c r="G31" s="210"/>
      <c r="H31" s="211"/>
      <c r="I31" s="209"/>
      <c r="J31" s="209"/>
      <c r="K31" s="210"/>
      <c r="L31" s="211"/>
      <c r="M31" s="209"/>
      <c r="N31" s="209"/>
      <c r="O31" s="210"/>
      <c r="P31" s="211"/>
      <c r="Q31" s="209"/>
      <c r="R31" s="209"/>
      <c r="S31" s="210"/>
      <c r="T31" s="211"/>
      <c r="U31" s="209"/>
      <c r="V31" s="209"/>
      <c r="W31" s="210"/>
      <c r="X31" s="211"/>
      <c r="Y31" s="209"/>
      <c r="Z31" s="209"/>
      <c r="AA31" s="210"/>
      <c r="AB31" s="209"/>
      <c r="AC31" s="209"/>
      <c r="AD31" s="209"/>
      <c r="AE31" s="210"/>
      <c r="AF31" s="209"/>
      <c r="AG31" s="209"/>
      <c r="AH31" s="209"/>
      <c r="AI31" s="209"/>
      <c r="AJ31" s="211"/>
      <c r="AK31" s="209"/>
      <c r="AL31" s="209"/>
      <c r="AM31" s="209"/>
      <c r="AN31" s="211"/>
      <c r="AO31" s="209"/>
      <c r="AP31" s="209"/>
      <c r="AQ31" s="209"/>
      <c r="AR31" s="211"/>
      <c r="AS31" s="209"/>
      <c r="AT31" s="209"/>
      <c r="AU31" s="209"/>
      <c r="AV31" s="211"/>
      <c r="AW31" s="209"/>
      <c r="AX31" s="209"/>
      <c r="AY31" s="210"/>
      <c r="AZ31" s="20"/>
      <c r="BA31" s="211"/>
      <c r="BB31" s="209"/>
      <c r="BC31" s="209"/>
      <c r="BD31" s="209"/>
      <c r="BE31" s="211"/>
      <c r="BF31" s="209"/>
      <c r="BG31" s="211"/>
      <c r="BH31" s="209"/>
      <c r="BI31" s="211"/>
      <c r="BJ31" s="209"/>
      <c r="BK31" s="209"/>
      <c r="BL31" s="209"/>
      <c r="BM31" s="209"/>
      <c r="BN31" s="210"/>
      <c r="BO31" s="22"/>
    </row>
    <row r="32" spans="1:67" ht="14.25" customHeight="1">
      <c r="A32" s="8"/>
      <c r="B32" s="43" t="str">
        <f t="shared" ref="B32:B38" si="35">B134</f>
        <v>Cash flows from investing activities:</v>
      </c>
      <c r="C32" s="44"/>
      <c r="D32" s="211"/>
      <c r="E32" s="209"/>
      <c r="F32" s="209"/>
      <c r="G32" s="210"/>
      <c r="H32" s="211"/>
      <c r="I32" s="209"/>
      <c r="J32" s="209"/>
      <c r="K32" s="210"/>
      <c r="L32" s="211"/>
      <c r="M32" s="209"/>
      <c r="N32" s="209"/>
      <c r="O32" s="210"/>
      <c r="P32" s="211"/>
      <c r="Q32" s="209"/>
      <c r="R32" s="209"/>
      <c r="S32" s="210"/>
      <c r="T32" s="211"/>
      <c r="U32" s="209"/>
      <c r="V32" s="209"/>
      <c r="W32" s="210"/>
      <c r="X32" s="211"/>
      <c r="Y32" s="209"/>
      <c r="Z32" s="209"/>
      <c r="AA32" s="210"/>
      <c r="AB32" s="209"/>
      <c r="AC32" s="209"/>
      <c r="AD32" s="209"/>
      <c r="AE32" s="210"/>
      <c r="AF32" s="209"/>
      <c r="AG32" s="209"/>
      <c r="AH32" s="209"/>
      <c r="AI32" s="209"/>
      <c r="AJ32" s="211"/>
      <c r="AK32" s="209"/>
      <c r="AL32" s="209"/>
      <c r="AM32" s="209"/>
      <c r="AN32" s="211"/>
      <c r="AO32" s="209"/>
      <c r="AP32" s="209"/>
      <c r="AQ32" s="209"/>
      <c r="AR32" s="211"/>
      <c r="AS32" s="209"/>
      <c r="AT32" s="209"/>
      <c r="AU32" s="209"/>
      <c r="AV32" s="211"/>
      <c r="AW32" s="209"/>
      <c r="AX32" s="209"/>
      <c r="AY32" s="210"/>
      <c r="AZ32" s="20"/>
      <c r="BA32" s="211"/>
      <c r="BB32" s="209"/>
      <c r="BC32" s="209"/>
      <c r="BD32" s="209"/>
      <c r="BE32" s="211"/>
      <c r="BF32" s="209"/>
      <c r="BG32" s="211"/>
      <c r="BH32" s="209"/>
      <c r="BI32" s="211"/>
      <c r="BJ32" s="209"/>
      <c r="BK32" s="209"/>
      <c r="BL32" s="209"/>
      <c r="BM32" s="209"/>
      <c r="BN32" s="210"/>
      <c r="BO32" s="22"/>
    </row>
    <row r="33" spans="1:67" ht="14.25" customHeight="1">
      <c r="A33" s="8"/>
      <c r="B33" s="25" t="str">
        <f t="shared" si="35"/>
        <v>Acquisition of property and equipment</v>
      </c>
      <c r="C33" s="26"/>
      <c r="D33" s="211">
        <v>-106</v>
      </c>
      <c r="E33" s="209">
        <v>-118</v>
      </c>
      <c r="F33" s="209">
        <v>-146</v>
      </c>
      <c r="G33" s="210">
        <v>-179</v>
      </c>
      <c r="H33" s="211">
        <v>-143</v>
      </c>
      <c r="I33" s="209">
        <v>-139</v>
      </c>
      <c r="J33" s="209">
        <v>-62</v>
      </c>
      <c r="K33" s="210">
        <v>-35</v>
      </c>
      <c r="L33" s="211">
        <v>-36</v>
      </c>
      <c r="M33" s="209">
        <v>-6</v>
      </c>
      <c r="N33" s="209">
        <v>-11</v>
      </c>
      <c r="O33" s="210">
        <v>-39</v>
      </c>
      <c r="P33" s="211">
        <v>-49</v>
      </c>
      <c r="Q33" s="209">
        <v>-71</v>
      </c>
      <c r="R33" s="209">
        <v>-61</v>
      </c>
      <c r="S33" s="210">
        <v>-77</v>
      </c>
      <c r="T33" s="211">
        <v>-64</v>
      </c>
      <c r="U33" s="209">
        <v>-71</v>
      </c>
      <c r="V33" s="209">
        <v>-45</v>
      </c>
      <c r="W33" s="210">
        <v>-40</v>
      </c>
      <c r="X33" s="211">
        <v>-39</v>
      </c>
      <c r="Y33" s="209">
        <v>-74</v>
      </c>
      <c r="Z33" s="209">
        <v>-92</v>
      </c>
      <c r="AA33" s="210">
        <v>-46</v>
      </c>
      <c r="AB33" s="209">
        <v>-41</v>
      </c>
      <c r="AC33" s="209">
        <v>-49</v>
      </c>
      <c r="AD33" s="209">
        <v>-54</v>
      </c>
      <c r="AE33" s="210">
        <v>-71</v>
      </c>
      <c r="AF33" s="209">
        <v>-51</v>
      </c>
      <c r="AG33" s="209">
        <v>-89</v>
      </c>
      <c r="AH33" s="209">
        <v>-82</v>
      </c>
      <c r="AI33" s="209">
        <v>-107</v>
      </c>
      <c r="AJ33" s="211">
        <v>-80</v>
      </c>
      <c r="AK33" s="209">
        <v>-91</v>
      </c>
      <c r="AL33" s="209">
        <v>-78</v>
      </c>
      <c r="AM33" s="209">
        <v>-92</v>
      </c>
      <c r="AN33" s="211">
        <v>-88</v>
      </c>
      <c r="AO33" s="209">
        <v>-71</v>
      </c>
      <c r="AP33" s="209">
        <v>-99</v>
      </c>
      <c r="AQ33" s="209">
        <v>-131</v>
      </c>
      <c r="AR33" s="211">
        <v>-161</v>
      </c>
      <c r="AS33" s="209">
        <v>-96</v>
      </c>
      <c r="AT33" s="209">
        <v>-162</v>
      </c>
      <c r="AU33" s="209">
        <v>-133</v>
      </c>
      <c r="AV33" s="208">
        <f t="shared" ref="AV33:AY33" si="36">-AV62-AV63</f>
        <v>-125.94818403908796</v>
      </c>
      <c r="AW33" s="206">
        <f t="shared" si="36"/>
        <v>-130.26674169381107</v>
      </c>
      <c r="AX33" s="206">
        <f t="shared" si="36"/>
        <v>-135.58697260260587</v>
      </c>
      <c r="AY33" s="207">
        <f t="shared" si="36"/>
        <v>-133.51889882850162</v>
      </c>
      <c r="AZ33" s="20"/>
      <c r="BA33" s="208">
        <f>SUM(D33:G33)</f>
        <v>-549</v>
      </c>
      <c r="BB33" s="206">
        <f>SUM(H33:K33)</f>
        <v>-379</v>
      </c>
      <c r="BC33" s="206">
        <f>SUM(L33:O33)</f>
        <v>-92</v>
      </c>
      <c r="BD33" s="206">
        <f>SUM(P33:S33)</f>
        <v>-258</v>
      </c>
      <c r="BE33" s="208">
        <f>SUM(T33:W33)</f>
        <v>-220</v>
      </c>
      <c r="BF33" s="206">
        <f>SUM(X33:AA33)</f>
        <v>-251</v>
      </c>
      <c r="BG33" s="208">
        <f>SUM(AB33:AE33)</f>
        <v>-215</v>
      </c>
      <c r="BH33" s="206">
        <f>SUM(AF33:AI33)</f>
        <v>-329</v>
      </c>
      <c r="BI33" s="208">
        <f>SUM(AJ33:AM33)</f>
        <v>-341</v>
      </c>
      <c r="BJ33" s="206">
        <f>SUM(AN33:AQ33)</f>
        <v>-389</v>
      </c>
      <c r="BK33" s="206">
        <f t="shared" ref="BK33:BK37" si="37">SUM(AR33:AU33)</f>
        <v>-552</v>
      </c>
      <c r="BL33" s="206">
        <f>SUM(AV33:AY33)</f>
        <v>-525.32079716400654</v>
      </c>
      <c r="BM33" s="206">
        <f>-BM62-BM63</f>
        <v>-485.03303678000003</v>
      </c>
      <c r="BN33" s="207">
        <f>-BN62-BN63</f>
        <v>-511.81766484820002</v>
      </c>
      <c r="BO33" s="22"/>
    </row>
    <row r="34" spans="1:67" ht="14.25" customHeight="1">
      <c r="A34" s="8"/>
      <c r="B34" s="25" t="str">
        <f t="shared" si="35"/>
        <v>Proceeds from disposal of property, plant and equipment</v>
      </c>
      <c r="C34" s="26"/>
      <c r="D34" s="211">
        <v>10</v>
      </c>
      <c r="E34" s="209">
        <v>14</v>
      </c>
      <c r="F34" s="209">
        <v>14</v>
      </c>
      <c r="G34" s="210">
        <v>142</v>
      </c>
      <c r="H34" s="211">
        <v>21</v>
      </c>
      <c r="I34" s="209">
        <v>139</v>
      </c>
      <c r="J34" s="209">
        <v>20</v>
      </c>
      <c r="K34" s="210">
        <v>-27</v>
      </c>
      <c r="L34" s="211">
        <v>5</v>
      </c>
      <c r="M34" s="209">
        <v>6</v>
      </c>
      <c r="N34" s="209">
        <v>2</v>
      </c>
      <c r="O34" s="210">
        <v>8</v>
      </c>
      <c r="P34" s="211">
        <v>4</v>
      </c>
      <c r="Q34" s="209">
        <v>24</v>
      </c>
      <c r="R34" s="209">
        <v>2</v>
      </c>
      <c r="S34" s="210">
        <v>1</v>
      </c>
      <c r="T34" s="211">
        <v>11</v>
      </c>
      <c r="U34" s="209">
        <v>2</v>
      </c>
      <c r="V34" s="209">
        <v>1</v>
      </c>
      <c r="W34" s="210">
        <v>0</v>
      </c>
      <c r="X34" s="211">
        <v>0</v>
      </c>
      <c r="Y34" s="209">
        <v>1</v>
      </c>
      <c r="Z34" s="209">
        <v>0</v>
      </c>
      <c r="AA34" s="210">
        <v>1</v>
      </c>
      <c r="AB34" s="209">
        <v>2</v>
      </c>
      <c r="AC34" s="209">
        <v>3</v>
      </c>
      <c r="AD34" s="209">
        <v>0</v>
      </c>
      <c r="AE34" s="210">
        <v>1</v>
      </c>
      <c r="AF34" s="209">
        <v>1</v>
      </c>
      <c r="AG34" s="209">
        <v>0</v>
      </c>
      <c r="AH34" s="209">
        <v>1</v>
      </c>
      <c r="AI34" s="209">
        <v>2</v>
      </c>
      <c r="AJ34" s="211">
        <v>0</v>
      </c>
      <c r="AK34" s="209">
        <v>2</v>
      </c>
      <c r="AL34" s="209">
        <v>4</v>
      </c>
      <c r="AM34" s="209">
        <v>1</v>
      </c>
      <c r="AN34" s="211">
        <v>0</v>
      </c>
      <c r="AO34" s="209">
        <v>0</v>
      </c>
      <c r="AP34" s="209">
        <v>1</v>
      </c>
      <c r="AQ34" s="209">
        <v>0</v>
      </c>
      <c r="AR34" s="211">
        <v>0</v>
      </c>
      <c r="AS34" s="209">
        <v>0</v>
      </c>
      <c r="AT34" s="209">
        <v>1</v>
      </c>
      <c r="AU34" s="209">
        <v>1</v>
      </c>
      <c r="AV34" s="211">
        <v>0</v>
      </c>
      <c r="AW34" s="209">
        <v>0</v>
      </c>
      <c r="AX34" s="209">
        <v>0</v>
      </c>
      <c r="AY34" s="210">
        <v>0</v>
      </c>
      <c r="AZ34" s="20"/>
      <c r="BA34" s="208">
        <f>SUM(D34:G34)</f>
        <v>180</v>
      </c>
      <c r="BB34" s="206">
        <f>SUM(H34:K34)</f>
        <v>153</v>
      </c>
      <c r="BC34" s="206">
        <f>SUM(L34:O34)</f>
        <v>21</v>
      </c>
      <c r="BD34" s="206">
        <f>SUM(P34:S34)</f>
        <v>31</v>
      </c>
      <c r="BE34" s="208">
        <f>SUM(T34:W34)</f>
        <v>14</v>
      </c>
      <c r="BF34" s="206">
        <f>SUM(X34:AA34)</f>
        <v>2</v>
      </c>
      <c r="BG34" s="208">
        <f>SUM(AB34:AE34)</f>
        <v>6</v>
      </c>
      <c r="BH34" s="206">
        <f>SUM(AF34:AI34)</f>
        <v>4</v>
      </c>
      <c r="BI34" s="208">
        <f>SUM(AJ34:AM34)</f>
        <v>7</v>
      </c>
      <c r="BJ34" s="206">
        <f>SUM(AN34:AQ34)</f>
        <v>1</v>
      </c>
      <c r="BK34" s="206">
        <f t="shared" si="37"/>
        <v>2</v>
      </c>
      <c r="BL34" s="206">
        <f>SUM(AV34:AY34)</f>
        <v>0</v>
      </c>
      <c r="BM34" s="206">
        <v>0</v>
      </c>
      <c r="BN34" s="207">
        <v>0</v>
      </c>
      <c r="BO34" s="22"/>
    </row>
    <row r="35" spans="1:67" ht="14.25" customHeight="1">
      <c r="A35" s="8"/>
      <c r="B35" s="25" t="str">
        <f t="shared" si="35"/>
        <v>Proceeds from (payments of) sale of interests in business</v>
      </c>
      <c r="C35" s="26"/>
      <c r="D35" s="211">
        <v>-281</v>
      </c>
      <c r="E35" s="209">
        <v>-136</v>
      </c>
      <c r="F35" s="209">
        <f>-17+175</f>
        <v>158</v>
      </c>
      <c r="G35" s="210">
        <f>-8-3</f>
        <v>-11</v>
      </c>
      <c r="H35" s="211">
        <f>-88+16</f>
        <v>-72</v>
      </c>
      <c r="I35" s="209">
        <v>-4</v>
      </c>
      <c r="J35" s="209">
        <v>1453</v>
      </c>
      <c r="K35" s="210">
        <v>11</v>
      </c>
      <c r="L35" s="211">
        <v>100</v>
      </c>
      <c r="M35" s="209">
        <v>5</v>
      </c>
      <c r="N35" s="209">
        <v>3</v>
      </c>
      <c r="O35" s="210">
        <v>15</v>
      </c>
      <c r="P35" s="211">
        <v>-47</v>
      </c>
      <c r="Q35" s="209">
        <v>0</v>
      </c>
      <c r="R35" s="209">
        <v>0</v>
      </c>
      <c r="S35" s="210">
        <v>-13</v>
      </c>
      <c r="T35" s="211">
        <v>0</v>
      </c>
      <c r="U35" s="209">
        <v>0</v>
      </c>
      <c r="V35" s="209">
        <v>0</v>
      </c>
      <c r="W35" s="210">
        <v>0</v>
      </c>
      <c r="X35" s="211">
        <v>0</v>
      </c>
      <c r="Y35" s="209">
        <v>-2</v>
      </c>
      <c r="Z35" s="209">
        <v>0</v>
      </c>
      <c r="AA35" s="210">
        <v>0</v>
      </c>
      <c r="AB35" s="209">
        <v>0</v>
      </c>
      <c r="AC35" s="209">
        <v>0</v>
      </c>
      <c r="AD35" s="209">
        <v>0</v>
      </c>
      <c r="AE35" s="210">
        <v>0</v>
      </c>
      <c r="AF35" s="209">
        <v>0</v>
      </c>
      <c r="AG35" s="209">
        <f>-2+1</f>
        <v>-1</v>
      </c>
      <c r="AH35" s="209">
        <v>0</v>
      </c>
      <c r="AI35" s="209">
        <v>-6</v>
      </c>
      <c r="AJ35" s="211">
        <v>-103</v>
      </c>
      <c r="AK35" s="209">
        <v>-2</v>
      </c>
      <c r="AL35" s="209">
        <v>0</v>
      </c>
      <c r="AM35" s="209">
        <f>1604-1587</f>
        <v>17</v>
      </c>
      <c r="AN35" s="211">
        <v>-2</v>
      </c>
      <c r="AO35" s="209">
        <v>0</v>
      </c>
      <c r="AP35" s="209">
        <f>-200+2</f>
        <v>-198</v>
      </c>
      <c r="AQ35" s="209">
        <v>0</v>
      </c>
      <c r="AR35" s="211">
        <v>2614</v>
      </c>
      <c r="AS35" s="209">
        <v>54</v>
      </c>
      <c r="AT35" s="209">
        <v>14</v>
      </c>
      <c r="AU35" s="209">
        <v>0</v>
      </c>
      <c r="AV35" s="211">
        <v>0</v>
      </c>
      <c r="AW35" s="209">
        <v>0</v>
      </c>
      <c r="AX35" s="209">
        <v>0</v>
      </c>
      <c r="AY35" s="210">
        <v>0</v>
      </c>
      <c r="AZ35" s="20"/>
      <c r="BA35" s="208">
        <f>SUM(D35:G35)</f>
        <v>-270</v>
      </c>
      <c r="BB35" s="206">
        <f>SUM(H35:K35)</f>
        <v>1388</v>
      </c>
      <c r="BC35" s="206">
        <f>SUM(L35:O35)</f>
        <v>123</v>
      </c>
      <c r="BD35" s="206">
        <f>SUM(P35:S35)</f>
        <v>-60</v>
      </c>
      <c r="BE35" s="208">
        <f>SUM(T35:W35)</f>
        <v>0</v>
      </c>
      <c r="BF35" s="206">
        <f>SUM(X35:AA35)</f>
        <v>-2</v>
      </c>
      <c r="BG35" s="208">
        <f>SUM(AB35:AE35)</f>
        <v>0</v>
      </c>
      <c r="BH35" s="206">
        <f>SUM(AF35:AI35)</f>
        <v>-7</v>
      </c>
      <c r="BI35" s="208">
        <f>SUM(AJ35:AM35)</f>
        <v>-88</v>
      </c>
      <c r="BJ35" s="206">
        <f>SUM(AN35:AQ35)</f>
        <v>-200</v>
      </c>
      <c r="BK35" s="206">
        <f t="shared" si="37"/>
        <v>2682</v>
      </c>
      <c r="BL35" s="206">
        <f>SUM(AV35:AY35)</f>
        <v>0</v>
      </c>
      <c r="BM35" s="206">
        <v>0</v>
      </c>
      <c r="BN35" s="207">
        <v>0</v>
      </c>
      <c r="BO35" s="22"/>
    </row>
    <row r="36" spans="1:67" ht="14.25" customHeight="1">
      <c r="A36" s="8"/>
      <c r="B36" s="25" t="str">
        <f t="shared" si="35"/>
        <v>Acquisition of intangible assets</v>
      </c>
      <c r="C36" s="26"/>
      <c r="D36" s="211">
        <v>-4</v>
      </c>
      <c r="E36" s="209">
        <v>-4</v>
      </c>
      <c r="F36" s="209">
        <v>-23</v>
      </c>
      <c r="G36" s="210">
        <v>-6</v>
      </c>
      <c r="H36" s="211">
        <v>-4</v>
      </c>
      <c r="I36" s="209">
        <v>-4</v>
      </c>
      <c r="J36" s="209">
        <v>-1</v>
      </c>
      <c r="K36" s="210">
        <f>-20-3</f>
        <v>-23</v>
      </c>
      <c r="L36" s="211">
        <v>-1</v>
      </c>
      <c r="M36" s="209">
        <v>-2</v>
      </c>
      <c r="N36" s="209">
        <v>-3</v>
      </c>
      <c r="O36" s="210">
        <v>-2</v>
      </c>
      <c r="P36" s="211">
        <v>-1</v>
      </c>
      <c r="Q36" s="209">
        <v>-1</v>
      </c>
      <c r="R36" s="209">
        <v>-2</v>
      </c>
      <c r="S36" s="210">
        <v>-3</v>
      </c>
      <c r="T36" s="211">
        <v>-2</v>
      </c>
      <c r="U36" s="209">
        <v>-2</v>
      </c>
      <c r="V36" s="209">
        <v>-1</v>
      </c>
      <c r="W36" s="210">
        <v>-5</v>
      </c>
      <c r="X36" s="211">
        <v>-7</v>
      </c>
      <c r="Y36" s="209">
        <v>-7</v>
      </c>
      <c r="Z36" s="209">
        <v>-7</v>
      </c>
      <c r="AA36" s="210">
        <v>-8</v>
      </c>
      <c r="AB36" s="209">
        <v>-6</v>
      </c>
      <c r="AC36" s="209">
        <v>-11</v>
      </c>
      <c r="AD36" s="209">
        <v>-10</v>
      </c>
      <c r="AE36" s="210">
        <v>-8</v>
      </c>
      <c r="AF36" s="209">
        <v>-9</v>
      </c>
      <c r="AG36" s="209">
        <v>-9</v>
      </c>
      <c r="AH36" s="209">
        <v>-8</v>
      </c>
      <c r="AI36" s="209">
        <v>-10</v>
      </c>
      <c r="AJ36" s="211">
        <v>-2</v>
      </c>
      <c r="AK36" s="209">
        <v>-4</v>
      </c>
      <c r="AL36" s="209">
        <v>-1</v>
      </c>
      <c r="AM36" s="209">
        <v>-5</v>
      </c>
      <c r="AN36" s="211">
        <v>-18</v>
      </c>
      <c r="AO36" s="209">
        <v>18</v>
      </c>
      <c r="AP36" s="209">
        <v>-9</v>
      </c>
      <c r="AQ36" s="209">
        <v>-25</v>
      </c>
      <c r="AR36" s="211">
        <v>-24</v>
      </c>
      <c r="AS36" s="209">
        <v>-16</v>
      </c>
      <c r="AT36" s="209">
        <v>-16</v>
      </c>
      <c r="AU36" s="209">
        <v>-10</v>
      </c>
      <c r="AV36" s="208">
        <f t="shared" ref="AV36" si="38">AU36</f>
        <v>-10</v>
      </c>
      <c r="AW36" s="206">
        <f t="shared" ref="AW36" si="39">AV36</f>
        <v>-10</v>
      </c>
      <c r="AX36" s="206">
        <f t="shared" ref="AX36" si="40">AW36</f>
        <v>-10</v>
      </c>
      <c r="AY36" s="207">
        <f t="shared" ref="AY36" si="41">AX36</f>
        <v>-10</v>
      </c>
      <c r="AZ36" s="20"/>
      <c r="BA36" s="208">
        <f>SUM(D36:G36)</f>
        <v>-37</v>
      </c>
      <c r="BB36" s="206">
        <f>SUM(H36:K36)</f>
        <v>-32</v>
      </c>
      <c r="BC36" s="206">
        <f>SUM(L36:O36)</f>
        <v>-8</v>
      </c>
      <c r="BD36" s="206">
        <f>SUM(P36:S36)</f>
        <v>-7</v>
      </c>
      <c r="BE36" s="208">
        <f>SUM(T36:W36)</f>
        <v>-10</v>
      </c>
      <c r="BF36" s="206">
        <f>SUM(X36:AA36)</f>
        <v>-29</v>
      </c>
      <c r="BG36" s="208">
        <f>SUM(AB36:AE36)</f>
        <v>-35</v>
      </c>
      <c r="BH36" s="206">
        <f>SUM(AF36:AI36)</f>
        <v>-36</v>
      </c>
      <c r="BI36" s="208">
        <f>SUM(AJ36:AM36)</f>
        <v>-12</v>
      </c>
      <c r="BJ36" s="206">
        <f>SUM(AN36:AQ36)</f>
        <v>-34</v>
      </c>
      <c r="BK36" s="206">
        <f t="shared" si="37"/>
        <v>-66</v>
      </c>
      <c r="BL36" s="206">
        <f>SUM(AV36:AY36)</f>
        <v>-40</v>
      </c>
      <c r="BM36" s="206">
        <f>BL36</f>
        <v>-40</v>
      </c>
      <c r="BN36" s="207">
        <f>BM36</f>
        <v>-40</v>
      </c>
      <c r="BO36" s="22"/>
    </row>
    <row r="37" spans="1:67" ht="14.25" customHeight="1">
      <c r="A37" s="11"/>
      <c r="B37" s="25" t="str">
        <f t="shared" si="35"/>
        <v>Other investing activities</v>
      </c>
      <c r="C37" s="26"/>
      <c r="D37" s="211">
        <v>0</v>
      </c>
      <c r="E37" s="209">
        <v>0</v>
      </c>
      <c r="F37" s="209">
        <f>-1+5</f>
        <v>4</v>
      </c>
      <c r="G37" s="210">
        <f>-5-1</f>
        <v>-6</v>
      </c>
      <c r="H37" s="211">
        <v>0</v>
      </c>
      <c r="I37" s="209">
        <f>-13+6</f>
        <v>-7</v>
      </c>
      <c r="J37" s="209">
        <v>-111</v>
      </c>
      <c r="K37" s="210">
        <f>-1+4</f>
        <v>3</v>
      </c>
      <c r="L37" s="211">
        <v>20</v>
      </c>
      <c r="M37" s="209">
        <v>0</v>
      </c>
      <c r="N37" s="209">
        <v>0</v>
      </c>
      <c r="O37" s="210">
        <f>-2+1</f>
        <v>-1</v>
      </c>
      <c r="P37" s="211">
        <v>0</v>
      </c>
      <c r="Q37" s="209">
        <v>0</v>
      </c>
      <c r="R37" s="209">
        <f>-1+27-8</f>
        <v>18</v>
      </c>
      <c r="S37" s="210">
        <f>8-1</f>
        <v>7</v>
      </c>
      <c r="T37" s="211">
        <v>1</v>
      </c>
      <c r="U37" s="209">
        <f>1-1</f>
        <v>0</v>
      </c>
      <c r="V37" s="209">
        <v>1</v>
      </c>
      <c r="W37" s="210">
        <f>1+11</f>
        <v>12</v>
      </c>
      <c r="X37" s="211">
        <v>1</v>
      </c>
      <c r="Y37" s="209">
        <f>1-1</f>
        <v>0</v>
      </c>
      <c r="Z37" s="209">
        <f>1+27</f>
        <v>28</v>
      </c>
      <c r="AA37" s="210">
        <f>-1+12-3</f>
        <v>8</v>
      </c>
      <c r="AB37" s="209">
        <v>2</v>
      </c>
      <c r="AC37" s="209">
        <v>1</v>
      </c>
      <c r="AD37" s="209">
        <f>+-1-1</f>
        <v>-2</v>
      </c>
      <c r="AE37" s="210">
        <f>3+3-3</f>
        <v>3</v>
      </c>
      <c r="AF37" s="209">
        <v>3</v>
      </c>
      <c r="AG37" s="209">
        <v>-10</v>
      </c>
      <c r="AH37" s="209">
        <v>-1</v>
      </c>
      <c r="AI37" s="209">
        <f>-14+3</f>
        <v>-11</v>
      </c>
      <c r="AJ37" s="211">
        <f>1+1</f>
        <v>2</v>
      </c>
      <c r="AK37" s="209">
        <v>1</v>
      </c>
      <c r="AL37" s="209">
        <v>-1</v>
      </c>
      <c r="AM37" s="209">
        <v>2</v>
      </c>
      <c r="AN37" s="211">
        <v>2</v>
      </c>
      <c r="AO37" s="209">
        <f>1-7</f>
        <v>-6</v>
      </c>
      <c r="AP37" s="209">
        <v>0</v>
      </c>
      <c r="AQ37" s="209">
        <v>-1</v>
      </c>
      <c r="AR37" s="211">
        <v>-1</v>
      </c>
      <c r="AS37" s="209">
        <v>0</v>
      </c>
      <c r="AT37" s="209">
        <v>0</v>
      </c>
      <c r="AU37" s="209">
        <v>7</v>
      </c>
      <c r="AV37" s="211">
        <v>0</v>
      </c>
      <c r="AW37" s="209">
        <v>0</v>
      </c>
      <c r="AX37" s="209">
        <v>0</v>
      </c>
      <c r="AY37" s="210">
        <v>0</v>
      </c>
      <c r="AZ37" s="177"/>
      <c r="BA37" s="333">
        <f>SUM(D37:G37)</f>
        <v>-2</v>
      </c>
      <c r="BB37" s="1095">
        <f>SUM(H37:K37)</f>
        <v>-115</v>
      </c>
      <c r="BC37" s="1095">
        <f>SUM(L37:O37)</f>
        <v>19</v>
      </c>
      <c r="BD37" s="1095">
        <f>SUM(P37:S37)</f>
        <v>25</v>
      </c>
      <c r="BE37" s="333">
        <f>SUM(T37:W37)</f>
        <v>14</v>
      </c>
      <c r="BF37" s="206">
        <f>SUM(X37:AA37)</f>
        <v>37</v>
      </c>
      <c r="BG37" s="208">
        <f>SUM(AB37:AE37)</f>
        <v>4</v>
      </c>
      <c r="BH37" s="206">
        <f>SUM(AF37:AI37)</f>
        <v>-19</v>
      </c>
      <c r="BI37" s="208">
        <f>SUM(AJ37:AM37)</f>
        <v>4</v>
      </c>
      <c r="BJ37" s="206">
        <f>SUM(AN37:AQ37)</f>
        <v>-5</v>
      </c>
      <c r="BK37" s="206">
        <f t="shared" si="37"/>
        <v>6</v>
      </c>
      <c r="BL37" s="206">
        <f>SUM(AV37:AY37)</f>
        <v>0</v>
      </c>
      <c r="BM37" s="206">
        <v>0</v>
      </c>
      <c r="BN37" s="207">
        <v>0</v>
      </c>
      <c r="BO37" s="23"/>
    </row>
    <row r="38" spans="1:67" ht="14.25" customHeight="1" thickBot="1">
      <c r="A38" s="8"/>
      <c r="B38" s="212" t="str">
        <f t="shared" si="35"/>
        <v>Net cash used for investing activities</v>
      </c>
      <c r="C38" s="213"/>
      <c r="D38" s="215">
        <f t="shared" ref="D38:Y38" si="42">SUM(D33:D37)</f>
        <v>-381</v>
      </c>
      <c r="E38" s="214">
        <f t="shared" si="42"/>
        <v>-244</v>
      </c>
      <c r="F38" s="214">
        <f t="shared" si="42"/>
        <v>7</v>
      </c>
      <c r="G38" s="216">
        <f t="shared" si="42"/>
        <v>-60</v>
      </c>
      <c r="H38" s="215">
        <f t="shared" si="42"/>
        <v>-198</v>
      </c>
      <c r="I38" s="214">
        <f t="shared" si="42"/>
        <v>-15</v>
      </c>
      <c r="J38" s="214">
        <f t="shared" si="42"/>
        <v>1299</v>
      </c>
      <c r="K38" s="216">
        <f t="shared" si="42"/>
        <v>-71</v>
      </c>
      <c r="L38" s="215">
        <f t="shared" si="42"/>
        <v>88</v>
      </c>
      <c r="M38" s="214">
        <f t="shared" si="42"/>
        <v>3</v>
      </c>
      <c r="N38" s="214">
        <f t="shared" si="42"/>
        <v>-9</v>
      </c>
      <c r="O38" s="216">
        <f t="shared" si="42"/>
        <v>-19</v>
      </c>
      <c r="P38" s="215">
        <f t="shared" si="42"/>
        <v>-93</v>
      </c>
      <c r="Q38" s="214">
        <f t="shared" si="42"/>
        <v>-48</v>
      </c>
      <c r="R38" s="214">
        <f t="shared" si="42"/>
        <v>-43</v>
      </c>
      <c r="S38" s="216">
        <f t="shared" si="42"/>
        <v>-85</v>
      </c>
      <c r="T38" s="215">
        <f t="shared" si="42"/>
        <v>-54</v>
      </c>
      <c r="U38" s="214">
        <f t="shared" si="42"/>
        <v>-71</v>
      </c>
      <c r="V38" s="214">
        <f t="shared" si="42"/>
        <v>-44</v>
      </c>
      <c r="W38" s="216">
        <f t="shared" si="42"/>
        <v>-33</v>
      </c>
      <c r="X38" s="215">
        <f t="shared" si="42"/>
        <v>-45</v>
      </c>
      <c r="Y38" s="214">
        <f t="shared" si="42"/>
        <v>-82</v>
      </c>
      <c r="Z38" s="214">
        <f t="shared" ref="Z38:AE38" si="43">SUM(Z33:Z37)</f>
        <v>-71</v>
      </c>
      <c r="AA38" s="216">
        <f t="shared" si="43"/>
        <v>-45</v>
      </c>
      <c r="AB38" s="214">
        <f t="shared" si="43"/>
        <v>-43</v>
      </c>
      <c r="AC38" s="214">
        <f t="shared" si="43"/>
        <v>-56</v>
      </c>
      <c r="AD38" s="214">
        <f t="shared" si="43"/>
        <v>-66</v>
      </c>
      <c r="AE38" s="216">
        <f t="shared" si="43"/>
        <v>-75</v>
      </c>
      <c r="AF38" s="214">
        <f t="shared" ref="AF38:AK38" si="44">SUM(AF33:AF37)</f>
        <v>-56</v>
      </c>
      <c r="AG38" s="214">
        <f t="shared" si="44"/>
        <v>-109</v>
      </c>
      <c r="AH38" s="214">
        <f t="shared" si="44"/>
        <v>-90</v>
      </c>
      <c r="AI38" s="214">
        <f t="shared" si="44"/>
        <v>-132</v>
      </c>
      <c r="AJ38" s="215">
        <f t="shared" si="44"/>
        <v>-183</v>
      </c>
      <c r="AK38" s="214">
        <f t="shared" si="44"/>
        <v>-94</v>
      </c>
      <c r="AL38" s="214">
        <f t="shared" ref="AL38" si="45">SUM(AL33:AL37)</f>
        <v>-76</v>
      </c>
      <c r="AM38" s="214">
        <f>SUM(AM33:AM37)</f>
        <v>-77</v>
      </c>
      <c r="AN38" s="215">
        <f t="shared" ref="AN38:AP38" si="46">SUM(AN33:AN37)</f>
        <v>-106</v>
      </c>
      <c r="AO38" s="214">
        <f t="shared" si="46"/>
        <v>-59</v>
      </c>
      <c r="AP38" s="214">
        <f t="shared" si="46"/>
        <v>-305</v>
      </c>
      <c r="AQ38" s="214">
        <f>SUM(AQ33:AQ37)</f>
        <v>-157</v>
      </c>
      <c r="AR38" s="215">
        <f t="shared" ref="AR38:AT38" si="47">SUM(AR33:AR37)</f>
        <v>2428</v>
      </c>
      <c r="AS38" s="214">
        <f t="shared" si="47"/>
        <v>-58</v>
      </c>
      <c r="AT38" s="214">
        <f t="shared" si="47"/>
        <v>-163</v>
      </c>
      <c r="AU38" s="214">
        <f>SUM(AU33:AU37)</f>
        <v>-135</v>
      </c>
      <c r="AV38" s="215">
        <f t="shared" ref="AV38:AY38" si="48">SUM(AV33:AV37)</f>
        <v>-135.94818403908795</v>
      </c>
      <c r="AW38" s="214">
        <f t="shared" si="48"/>
        <v>-140.26674169381107</v>
      </c>
      <c r="AX38" s="214">
        <f t="shared" si="48"/>
        <v>-145.58697260260587</v>
      </c>
      <c r="AY38" s="216">
        <f t="shared" si="48"/>
        <v>-143.51889882850162</v>
      </c>
      <c r="AZ38" s="20"/>
      <c r="BA38" s="215">
        <f t="shared" ref="BA38:BM38" si="49">SUM(BA33:BA37)</f>
        <v>-678</v>
      </c>
      <c r="BB38" s="214">
        <f t="shared" si="49"/>
        <v>1015</v>
      </c>
      <c r="BC38" s="214">
        <f t="shared" si="49"/>
        <v>63</v>
      </c>
      <c r="BD38" s="214">
        <f t="shared" si="49"/>
        <v>-269</v>
      </c>
      <c r="BE38" s="215">
        <f t="shared" si="49"/>
        <v>-202</v>
      </c>
      <c r="BF38" s="214">
        <f t="shared" si="49"/>
        <v>-243</v>
      </c>
      <c r="BG38" s="215">
        <f t="shared" si="49"/>
        <v>-240</v>
      </c>
      <c r="BH38" s="214">
        <f t="shared" si="49"/>
        <v>-387</v>
      </c>
      <c r="BI38" s="215">
        <f t="shared" si="49"/>
        <v>-430</v>
      </c>
      <c r="BJ38" s="214">
        <f t="shared" si="49"/>
        <v>-627</v>
      </c>
      <c r="BK38" s="214">
        <f t="shared" ref="BK38:BL38" si="50">SUM(BK33:BK37)</f>
        <v>2072</v>
      </c>
      <c r="BL38" s="214">
        <f t="shared" si="50"/>
        <v>-565.32079716400654</v>
      </c>
      <c r="BM38" s="214">
        <f t="shared" si="49"/>
        <v>-525.03303677999997</v>
      </c>
      <c r="BN38" s="216">
        <f t="shared" ref="BN38" si="51">SUM(BN33:BN37)</f>
        <v>-551.81766484820002</v>
      </c>
      <c r="BO38" s="22"/>
    </row>
    <row r="39" spans="1:67" ht="14.25" customHeight="1" thickTop="1">
      <c r="A39" s="8"/>
      <c r="B39" s="23"/>
      <c r="C39" s="24"/>
      <c r="D39" s="211"/>
      <c r="E39" s="209"/>
      <c r="F39" s="209"/>
      <c r="G39" s="210"/>
      <c r="H39" s="211"/>
      <c r="I39" s="209"/>
      <c r="J39" s="209"/>
      <c r="K39" s="210"/>
      <c r="L39" s="211"/>
      <c r="M39" s="209"/>
      <c r="N39" s="209"/>
      <c r="O39" s="210"/>
      <c r="P39" s="211"/>
      <c r="Q39" s="209"/>
      <c r="R39" s="209"/>
      <c r="S39" s="210"/>
      <c r="T39" s="211"/>
      <c r="U39" s="209"/>
      <c r="V39" s="209"/>
      <c r="W39" s="210"/>
      <c r="X39" s="211"/>
      <c r="Y39" s="209"/>
      <c r="Z39" s="209"/>
      <c r="AA39" s="210"/>
      <c r="AB39" s="209"/>
      <c r="AC39" s="209"/>
      <c r="AD39" s="209"/>
      <c r="AE39" s="210"/>
      <c r="AF39" s="209"/>
      <c r="AG39" s="209"/>
      <c r="AH39" s="209"/>
      <c r="AI39" s="209"/>
      <c r="AJ39" s="211"/>
      <c r="AK39" s="209"/>
      <c r="AL39" s="209"/>
      <c r="AM39" s="209"/>
      <c r="AN39" s="211"/>
      <c r="AO39" s="209"/>
      <c r="AP39" s="209"/>
      <c r="AQ39" s="209"/>
      <c r="AR39" s="211"/>
      <c r="AS39" s="209"/>
      <c r="AT39" s="209"/>
      <c r="AU39" s="209"/>
      <c r="AV39" s="211"/>
      <c r="AW39" s="209"/>
      <c r="AX39" s="209"/>
      <c r="AY39" s="210"/>
      <c r="AZ39" s="20"/>
      <c r="BA39" s="211"/>
      <c r="BB39" s="209"/>
      <c r="BC39" s="209"/>
      <c r="BD39" s="209"/>
      <c r="BE39" s="211"/>
      <c r="BF39" s="209"/>
      <c r="BG39" s="211"/>
      <c r="BH39" s="209"/>
      <c r="BI39" s="211"/>
      <c r="BJ39" s="209"/>
      <c r="BK39" s="209"/>
      <c r="BL39" s="209"/>
      <c r="BM39" s="209"/>
      <c r="BN39" s="210"/>
      <c r="BO39" s="22"/>
    </row>
    <row r="40" spans="1:67" ht="14.25" customHeight="1">
      <c r="A40" s="8"/>
      <c r="B40" s="217" t="str">
        <f t="shared" ref="B40:B46" si="52">B142</f>
        <v>Cash flows from financing activities:</v>
      </c>
      <c r="C40" s="218"/>
      <c r="D40" s="211"/>
      <c r="E40" s="219"/>
      <c r="F40" s="219"/>
      <c r="G40" s="210"/>
      <c r="H40" s="211"/>
      <c r="I40" s="219"/>
      <c r="J40" s="219"/>
      <c r="K40" s="210"/>
      <c r="L40" s="211"/>
      <c r="M40" s="219"/>
      <c r="N40" s="219"/>
      <c r="O40" s="210"/>
      <c r="P40" s="211"/>
      <c r="Q40" s="219"/>
      <c r="R40" s="219"/>
      <c r="S40" s="210"/>
      <c r="T40" s="211"/>
      <c r="U40" s="219"/>
      <c r="V40" s="219"/>
      <c r="W40" s="210"/>
      <c r="X40" s="211"/>
      <c r="Y40" s="219"/>
      <c r="Z40" s="209"/>
      <c r="AA40" s="210"/>
      <c r="AB40" s="209"/>
      <c r="AC40" s="219"/>
      <c r="AD40" s="209"/>
      <c r="AE40" s="210"/>
      <c r="AF40" s="209"/>
      <c r="AG40" s="219"/>
      <c r="AH40" s="209"/>
      <c r="AI40" s="219"/>
      <c r="AJ40" s="211"/>
      <c r="AK40" s="219"/>
      <c r="AL40" s="209"/>
      <c r="AM40" s="1550"/>
      <c r="AN40" s="211"/>
      <c r="AO40" s="219"/>
      <c r="AP40" s="209"/>
      <c r="AQ40" s="1550"/>
      <c r="AR40" s="211"/>
      <c r="AS40" s="219"/>
      <c r="AT40" s="209"/>
      <c r="AU40" s="1550"/>
      <c r="AV40" s="211"/>
      <c r="AW40" s="209"/>
      <c r="AX40" s="209"/>
      <c r="AY40" s="210"/>
      <c r="AZ40" s="20"/>
      <c r="BA40" s="211"/>
      <c r="BB40" s="209"/>
      <c r="BC40" s="209"/>
      <c r="BD40" s="209"/>
      <c r="BE40" s="211"/>
      <c r="BF40" s="209"/>
      <c r="BG40" s="211"/>
      <c r="BH40" s="209"/>
      <c r="BI40" s="211"/>
      <c r="BJ40" s="209"/>
      <c r="BK40" s="209"/>
      <c r="BL40" s="209"/>
      <c r="BM40" s="209"/>
      <c r="BN40" s="210"/>
      <c r="BO40" s="22"/>
    </row>
    <row r="41" spans="1:67" ht="14.25" customHeight="1">
      <c r="A41" s="8"/>
      <c r="B41" s="25" t="str">
        <f t="shared" si="52"/>
        <v>Payments on (Proceeds from) debt, net</v>
      </c>
      <c r="C41" s="26"/>
      <c r="D41" s="211">
        <v>-9</v>
      </c>
      <c r="E41" s="209">
        <v>-9</v>
      </c>
      <c r="F41" s="209">
        <v>-1</v>
      </c>
      <c r="G41" s="210">
        <v>-3</v>
      </c>
      <c r="H41" s="211">
        <v>1</v>
      </c>
      <c r="I41" s="209">
        <v>458</v>
      </c>
      <c r="J41" s="209">
        <v>-450</v>
      </c>
      <c r="K41" s="210">
        <v>385</v>
      </c>
      <c r="L41" s="211">
        <v>8</v>
      </c>
      <c r="M41" s="209">
        <v>-4</v>
      </c>
      <c r="N41" s="209">
        <v>-284</v>
      </c>
      <c r="O41" s="210">
        <v>0</v>
      </c>
      <c r="P41" s="211">
        <v>-11</v>
      </c>
      <c r="Q41" s="209">
        <v>-3</v>
      </c>
      <c r="R41" s="209">
        <v>-397</v>
      </c>
      <c r="S41" s="210">
        <v>8</v>
      </c>
      <c r="T41" s="211">
        <v>8</v>
      </c>
      <c r="U41" s="209">
        <v>-181</v>
      </c>
      <c r="V41" s="209">
        <v>-226</v>
      </c>
      <c r="W41" s="210">
        <v>-13</v>
      </c>
      <c r="X41" s="211">
        <v>-494</v>
      </c>
      <c r="Y41" s="209">
        <v>-3</v>
      </c>
      <c r="Z41" s="209">
        <v>-260</v>
      </c>
      <c r="AA41" s="210">
        <f>100-802-6+493</f>
        <v>-215</v>
      </c>
      <c r="AB41" s="209">
        <f>-1-280+180-980-4+990</f>
        <v>-95</v>
      </c>
      <c r="AC41" s="209">
        <f>-1-155+200-874-5+742</f>
        <v>-93</v>
      </c>
      <c r="AD41" s="209">
        <f>+-7-175-2+495</f>
        <v>311</v>
      </c>
      <c r="AE41" s="210">
        <f>-2+150-575-7+1</f>
        <v>-433</v>
      </c>
      <c r="AF41" s="209">
        <f>-1-100+450-92-1</f>
        <v>256</v>
      </c>
      <c r="AG41" s="209">
        <f>1-50+50-4</f>
        <v>-3</v>
      </c>
      <c r="AH41" s="209">
        <f>-17-50+300-5</f>
        <v>228</v>
      </c>
      <c r="AI41" s="209">
        <f>-750-5+1134</f>
        <v>379</v>
      </c>
      <c r="AJ41" s="211">
        <f>-1-10</f>
        <v>-11</v>
      </c>
      <c r="AK41" s="209">
        <f>1-8+990</f>
        <v>983</v>
      </c>
      <c r="AL41" s="209">
        <f>-1-6</f>
        <v>-7</v>
      </c>
      <c r="AM41" s="210">
        <f>-1-3586-8+2680-22</f>
        <v>-937</v>
      </c>
      <c r="AN41" s="211">
        <f>-5-14-204</f>
        <v>-223</v>
      </c>
      <c r="AO41" s="209">
        <f>1750-14-8-1872-1</f>
        <v>-145</v>
      </c>
      <c r="AP41" s="209">
        <f>200-1219-7+1509-12</f>
        <v>471</v>
      </c>
      <c r="AQ41" s="210">
        <f>-200-9</f>
        <v>-209</v>
      </c>
      <c r="AR41" s="211">
        <f>-4-2728</f>
        <v>-2732</v>
      </c>
      <c r="AS41" s="209">
        <v>-4</v>
      </c>
      <c r="AT41" s="209">
        <v>-4</v>
      </c>
      <c r="AU41" s="210">
        <v>-4</v>
      </c>
      <c r="AV41" s="1728">
        <f>+BS!AV34-BS!AU34</f>
        <v>0</v>
      </c>
      <c r="AW41" s="1428">
        <f>+BS!AW34-BS!AV34</f>
        <v>0</v>
      </c>
      <c r="AX41" s="1428">
        <f>+BS!AX34-BS!AW34</f>
        <v>0</v>
      </c>
      <c r="AY41" s="1429">
        <f>+BS!AY34-BS!AX34</f>
        <v>0</v>
      </c>
      <c r="AZ41" s="20"/>
      <c r="BA41" s="208">
        <f>SUM(D41:G41)</f>
        <v>-22</v>
      </c>
      <c r="BB41" s="206">
        <f>SUM(H41:K41)</f>
        <v>394</v>
      </c>
      <c r="BC41" s="206">
        <f>SUM(L41:O41)</f>
        <v>-280</v>
      </c>
      <c r="BD41" s="206">
        <f>SUM(P41:S41)</f>
        <v>-403</v>
      </c>
      <c r="BE41" s="208">
        <f>SUM(T41:W41)</f>
        <v>-412</v>
      </c>
      <c r="BF41" s="206">
        <f>SUM(X41:AA41)</f>
        <v>-972</v>
      </c>
      <c r="BG41" s="208">
        <f>SUM(AB41:AE41)</f>
        <v>-310</v>
      </c>
      <c r="BH41" s="206">
        <f>SUM(AF41:AI41)</f>
        <v>860</v>
      </c>
      <c r="BI41" s="208">
        <f>SUM(AJ41:AM41)</f>
        <v>28</v>
      </c>
      <c r="BJ41" s="206">
        <f>SUM(AN41:AQ41)</f>
        <v>-106</v>
      </c>
      <c r="BK41" s="206">
        <f t="shared" ref="BK41:BK45" si="53">SUM(AR41:AU41)</f>
        <v>-2744</v>
      </c>
      <c r="BL41" s="206">
        <f>SUM(AV41:AY41)</f>
        <v>0</v>
      </c>
      <c r="BM41" s="206">
        <f>+BS!BM34-BS!BL34</f>
        <v>0</v>
      </c>
      <c r="BN41" s="207">
        <f>+BS!BN34-BS!BM34</f>
        <v>0</v>
      </c>
      <c r="BO41" s="22"/>
    </row>
    <row r="42" spans="1:67" ht="14.25" customHeight="1">
      <c r="A42" s="8"/>
      <c r="B42" s="25" t="str">
        <f t="shared" si="52"/>
        <v>Issuance of ordinary stock</v>
      </c>
      <c r="C42" s="26"/>
      <c r="D42" s="211">
        <v>0</v>
      </c>
      <c r="E42" s="209">
        <v>0</v>
      </c>
      <c r="F42" s="209">
        <v>0</v>
      </c>
      <c r="G42" s="210">
        <v>0</v>
      </c>
      <c r="H42" s="211">
        <v>0</v>
      </c>
      <c r="I42" s="209">
        <v>0</v>
      </c>
      <c r="J42" s="209">
        <v>0</v>
      </c>
      <c r="K42" s="210">
        <v>0</v>
      </c>
      <c r="L42" s="211">
        <v>0</v>
      </c>
      <c r="M42" s="209">
        <v>0</v>
      </c>
      <c r="N42" s="209">
        <v>0</v>
      </c>
      <c r="O42" s="210">
        <v>0</v>
      </c>
      <c r="P42" s="211">
        <v>0</v>
      </c>
      <c r="Q42" s="209">
        <v>0</v>
      </c>
      <c r="R42" s="209">
        <v>450</v>
      </c>
      <c r="S42" s="210">
        <v>0</v>
      </c>
      <c r="T42" s="211">
        <v>0</v>
      </c>
      <c r="U42" s="209">
        <v>0</v>
      </c>
      <c r="V42" s="209">
        <v>0</v>
      </c>
      <c r="W42" s="210">
        <v>0</v>
      </c>
      <c r="X42" s="211">
        <v>464</v>
      </c>
      <c r="Y42" s="209">
        <v>0</v>
      </c>
      <c r="Z42" s="209">
        <v>0</v>
      </c>
      <c r="AA42" s="210">
        <v>0</v>
      </c>
      <c r="AB42" s="209">
        <v>40</v>
      </c>
      <c r="AC42" s="209">
        <v>10</v>
      </c>
      <c r="AD42" s="209">
        <v>29</v>
      </c>
      <c r="AE42" s="210">
        <v>98</v>
      </c>
      <c r="AF42" s="209">
        <v>40</v>
      </c>
      <c r="AG42" s="209">
        <v>32</v>
      </c>
      <c r="AH42" s="209">
        <v>25</v>
      </c>
      <c r="AI42" s="209">
        <v>48</v>
      </c>
      <c r="AJ42" s="211">
        <v>16</v>
      </c>
      <c r="AK42" s="209">
        <v>9</v>
      </c>
      <c r="AL42" s="209">
        <v>8</v>
      </c>
      <c r="AM42" s="210">
        <v>18</v>
      </c>
      <c r="AN42" s="211">
        <v>45</v>
      </c>
      <c r="AO42" s="209">
        <v>27</v>
      </c>
      <c r="AP42" s="209">
        <v>18</v>
      </c>
      <c r="AQ42" s="210">
        <v>25</v>
      </c>
      <c r="AR42" s="211">
        <v>36</v>
      </c>
      <c r="AS42" s="209">
        <v>32</v>
      </c>
      <c r="AT42" s="209">
        <v>36</v>
      </c>
      <c r="AU42" s="210">
        <v>129</v>
      </c>
      <c r="AV42" s="1729">
        <v>0</v>
      </c>
      <c r="AW42" s="1430">
        <v>0</v>
      </c>
      <c r="AX42" s="1430">
        <v>0</v>
      </c>
      <c r="AY42" s="1431">
        <v>0</v>
      </c>
      <c r="AZ42" s="20"/>
      <c r="BA42" s="208">
        <f>SUM(D42:G42)</f>
        <v>0</v>
      </c>
      <c r="BB42" s="206">
        <f>SUM(H42:K42)</f>
        <v>0</v>
      </c>
      <c r="BC42" s="206">
        <f>SUM(L42:O42)</f>
        <v>0</v>
      </c>
      <c r="BD42" s="206">
        <f>SUM(P42:S42)</f>
        <v>450</v>
      </c>
      <c r="BE42" s="208">
        <f>SUM(T42:W42)</f>
        <v>0</v>
      </c>
      <c r="BF42" s="206">
        <f>SUM(X42:AA42)</f>
        <v>464</v>
      </c>
      <c r="BG42" s="208">
        <f>SUM(AB42:AE42)</f>
        <v>177</v>
      </c>
      <c r="BH42" s="206">
        <f>SUM(AF42:AI42)</f>
        <v>145</v>
      </c>
      <c r="BI42" s="208">
        <f>SUM(AJ42:AM42)</f>
        <v>51</v>
      </c>
      <c r="BJ42" s="206">
        <f>SUM(AN42:AQ42)</f>
        <v>115</v>
      </c>
      <c r="BK42" s="206">
        <f t="shared" si="53"/>
        <v>233</v>
      </c>
      <c r="BL42" s="206">
        <f>SUM(AV42:AY42)</f>
        <v>0</v>
      </c>
      <c r="BM42" s="206">
        <v>0</v>
      </c>
      <c r="BN42" s="207">
        <v>0</v>
      </c>
      <c r="BO42" s="22"/>
    </row>
    <row r="43" spans="1:67" ht="14.25" customHeight="1">
      <c r="A43" s="8"/>
      <c r="B43" s="25" t="str">
        <f t="shared" si="52"/>
        <v>Payments to repurchase stock</v>
      </c>
      <c r="C43" s="26"/>
      <c r="D43" s="211">
        <v>0</v>
      </c>
      <c r="E43" s="209">
        <v>0</v>
      </c>
      <c r="F43" s="209">
        <v>0</v>
      </c>
      <c r="G43" s="210">
        <v>0</v>
      </c>
      <c r="H43" s="211">
        <v>0</v>
      </c>
      <c r="I43" s="209">
        <v>0</v>
      </c>
      <c r="J43" s="209">
        <v>0</v>
      </c>
      <c r="K43" s="210">
        <v>0</v>
      </c>
      <c r="L43" s="211">
        <v>0</v>
      </c>
      <c r="M43" s="209">
        <v>0</v>
      </c>
      <c r="N43" s="209">
        <v>0</v>
      </c>
      <c r="O43" s="210">
        <v>0</v>
      </c>
      <c r="P43" s="211">
        <v>0</v>
      </c>
      <c r="Q43" s="209">
        <v>0</v>
      </c>
      <c r="R43" s="209">
        <v>0</v>
      </c>
      <c r="S43" s="210">
        <v>-2</v>
      </c>
      <c r="T43" s="211">
        <v>0</v>
      </c>
      <c r="U43" s="209">
        <v>0</v>
      </c>
      <c r="V43" s="209">
        <v>-57</v>
      </c>
      <c r="W43" s="210">
        <v>0</v>
      </c>
      <c r="X43" s="211">
        <v>0</v>
      </c>
      <c r="Y43" s="209">
        <v>-37</v>
      </c>
      <c r="Z43" s="209">
        <v>-3</v>
      </c>
      <c r="AA43" s="210">
        <v>0</v>
      </c>
      <c r="AB43" s="209">
        <v>-35</v>
      </c>
      <c r="AC43" s="209">
        <v>-48</v>
      </c>
      <c r="AD43" s="209">
        <v>-159</v>
      </c>
      <c r="AE43" s="210">
        <v>-163</v>
      </c>
      <c r="AF43" s="209">
        <v>-458</v>
      </c>
      <c r="AG43" s="209">
        <v>-223</v>
      </c>
      <c r="AH43" s="209">
        <v>-574</v>
      </c>
      <c r="AI43" s="209">
        <v>-180</v>
      </c>
      <c r="AJ43" s="211">
        <v>-4</v>
      </c>
      <c r="AK43" s="209">
        <v>-162</v>
      </c>
      <c r="AL43" s="209">
        <v>-158</v>
      </c>
      <c r="AM43" s="210">
        <v>-151</v>
      </c>
      <c r="AN43" s="211">
        <v>-266</v>
      </c>
      <c r="AO43" s="209">
        <v>-397</v>
      </c>
      <c r="AP43" s="209">
        <v>-555</v>
      </c>
      <c r="AQ43" s="210">
        <v>-62</v>
      </c>
      <c r="AR43" s="211">
        <v>-26</v>
      </c>
      <c r="AS43" s="209">
        <v>-10</v>
      </c>
      <c r="AT43" s="209">
        <v>-2</v>
      </c>
      <c r="AU43" s="210">
        <v>-248</v>
      </c>
      <c r="AV43" s="1729">
        <v>0</v>
      </c>
      <c r="AW43" s="1430">
        <v>0</v>
      </c>
      <c r="AX43" s="1430">
        <v>0</v>
      </c>
      <c r="AY43" s="1431">
        <v>0</v>
      </c>
      <c r="AZ43" s="20"/>
      <c r="BA43" s="208">
        <f>SUM(D43:G43)</f>
        <v>0</v>
      </c>
      <c r="BB43" s="206">
        <f>SUM(H43:K43)</f>
        <v>0</v>
      </c>
      <c r="BC43" s="206">
        <f>SUM(L43:O43)</f>
        <v>0</v>
      </c>
      <c r="BD43" s="206">
        <f>SUM(P43:S43)</f>
        <v>-2</v>
      </c>
      <c r="BE43" s="208">
        <f>SUM(T43:W43)</f>
        <v>-57</v>
      </c>
      <c r="BF43" s="206">
        <f>SUM(X43:AA43)</f>
        <v>-40</v>
      </c>
      <c r="BG43" s="208">
        <f>SUM(AB43:AE43)</f>
        <v>-405</v>
      </c>
      <c r="BH43" s="206">
        <f>SUM(AF43:AI43)</f>
        <v>-1435</v>
      </c>
      <c r="BI43" s="208">
        <f>SUM(AJ43:AM43)</f>
        <v>-475</v>
      </c>
      <c r="BJ43" s="206">
        <f>SUM(AN43:AQ43)</f>
        <v>-1280</v>
      </c>
      <c r="BK43" s="206">
        <f t="shared" si="53"/>
        <v>-286</v>
      </c>
      <c r="BL43" s="206">
        <f>SUM(AV43:AY43)</f>
        <v>0</v>
      </c>
      <c r="BM43" s="206">
        <f>BL43</f>
        <v>0</v>
      </c>
      <c r="BN43" s="207">
        <f>BM43</f>
        <v>0</v>
      </c>
      <c r="BO43" s="22"/>
    </row>
    <row r="44" spans="1:67" ht="14.25" customHeight="1">
      <c r="A44" s="8"/>
      <c r="B44" s="25" t="str">
        <f t="shared" si="52"/>
        <v>Dividend payments to shareholders</v>
      </c>
      <c r="C44" s="26"/>
      <c r="D44" s="211">
        <v>0</v>
      </c>
      <c r="E44" s="209">
        <v>0</v>
      </c>
      <c r="F44" s="209">
        <v>0</v>
      </c>
      <c r="G44" s="210">
        <v>0</v>
      </c>
      <c r="H44" s="211">
        <v>0</v>
      </c>
      <c r="I44" s="209">
        <v>0</v>
      </c>
      <c r="J44" s="209">
        <v>0</v>
      </c>
      <c r="K44" s="210">
        <v>0</v>
      </c>
      <c r="L44" s="211">
        <v>0</v>
      </c>
      <c r="M44" s="209">
        <v>0</v>
      </c>
      <c r="N44" s="209">
        <v>0</v>
      </c>
      <c r="O44" s="210">
        <v>0</v>
      </c>
      <c r="P44" s="211">
        <v>0</v>
      </c>
      <c r="Q44" s="209">
        <v>0</v>
      </c>
      <c r="R44" s="209">
        <v>0</v>
      </c>
      <c r="S44" s="210">
        <v>0</v>
      </c>
      <c r="T44" s="211">
        <v>0</v>
      </c>
      <c r="U44" s="209">
        <v>0</v>
      </c>
      <c r="V44" s="209">
        <v>0</v>
      </c>
      <c r="W44" s="210">
        <v>0</v>
      </c>
      <c r="X44" s="211">
        <v>0</v>
      </c>
      <c r="Y44" s="209">
        <v>0</v>
      </c>
      <c r="Z44" s="209">
        <v>0</v>
      </c>
      <c r="AA44" s="210">
        <v>0</v>
      </c>
      <c r="AB44" s="209">
        <v>0</v>
      </c>
      <c r="AC44" s="209">
        <v>0</v>
      </c>
      <c r="AD44" s="209">
        <v>0</v>
      </c>
      <c r="AE44" s="210">
        <v>0</v>
      </c>
      <c r="AF44" s="209">
        <v>0</v>
      </c>
      <c r="AG44" s="209">
        <v>0</v>
      </c>
      <c r="AH44" s="209">
        <v>0</v>
      </c>
      <c r="AI44" s="209">
        <v>0</v>
      </c>
      <c r="AJ44" s="211">
        <v>0</v>
      </c>
      <c r="AK44" s="209">
        <v>0</v>
      </c>
      <c r="AL44" s="209">
        <v>0</v>
      </c>
      <c r="AM44" s="209">
        <v>0</v>
      </c>
      <c r="AN44" s="211">
        <v>0</v>
      </c>
      <c r="AO44" s="209">
        <v>0</v>
      </c>
      <c r="AP44" s="209">
        <v>-126</v>
      </c>
      <c r="AQ44" s="209">
        <v>0</v>
      </c>
      <c r="AR44" s="211">
        <v>0</v>
      </c>
      <c r="AS44" s="209">
        <v>0</v>
      </c>
      <c r="AT44" s="209">
        <v>-89</v>
      </c>
      <c r="AU44" s="209">
        <v>0</v>
      </c>
      <c r="AV44" s="1729">
        <v>0</v>
      </c>
      <c r="AW44" s="1430">
        <v>0</v>
      </c>
      <c r="AX44" s="1430">
        <v>0</v>
      </c>
      <c r="AY44" s="1431">
        <v>0</v>
      </c>
      <c r="AZ44" s="20"/>
      <c r="BA44" s="208">
        <f>SUM(D44:G44)</f>
        <v>0</v>
      </c>
      <c r="BB44" s="206">
        <f>SUM(H44:K44)</f>
        <v>0</v>
      </c>
      <c r="BC44" s="206">
        <f>SUM(L44:O44)</f>
        <v>0</v>
      </c>
      <c r="BD44" s="206">
        <f>SUM(P44:S44)</f>
        <v>0</v>
      </c>
      <c r="BE44" s="208">
        <f>SUM(T44:W44)</f>
        <v>0</v>
      </c>
      <c r="BF44" s="206">
        <f>SUM(X44:AA44)</f>
        <v>0</v>
      </c>
      <c r="BG44" s="208">
        <f>SUM(AB44:AE44)</f>
        <v>0</v>
      </c>
      <c r="BH44" s="206">
        <f>SUM(AF44:AI44)</f>
        <v>0</v>
      </c>
      <c r="BI44" s="208">
        <f>SUM(AJ44:AM44)</f>
        <v>0</v>
      </c>
      <c r="BJ44" s="206">
        <f>SUM(AN44:AQ44)</f>
        <v>-126</v>
      </c>
      <c r="BK44" s="206">
        <f t="shared" si="53"/>
        <v>-89</v>
      </c>
      <c r="BL44" s="206">
        <f>SUM(AV44:AY44)</f>
        <v>0</v>
      </c>
      <c r="BM44" s="206">
        <v>0</v>
      </c>
      <c r="BN44" s="207">
        <v>0</v>
      </c>
      <c r="BO44" s="22"/>
    </row>
    <row r="45" spans="1:67" ht="14.25" customHeight="1">
      <c r="A45" s="8"/>
      <c r="B45" s="25" t="str">
        <f t="shared" si="52"/>
        <v>Other financing activities</v>
      </c>
      <c r="C45" s="26"/>
      <c r="D45" s="211">
        <v>0</v>
      </c>
      <c r="E45" s="209">
        <v>0</v>
      </c>
      <c r="F45" s="209">
        <v>0</v>
      </c>
      <c r="G45" s="210">
        <v>0</v>
      </c>
      <c r="H45" s="211">
        <v>0</v>
      </c>
      <c r="I45" s="209">
        <v>0</v>
      </c>
      <c r="J45" s="209">
        <v>-78</v>
      </c>
      <c r="K45" s="210">
        <v>0</v>
      </c>
      <c r="L45" s="211">
        <v>200</v>
      </c>
      <c r="M45" s="209">
        <v>0</v>
      </c>
      <c r="N45" s="209">
        <f>200-200</f>
        <v>0</v>
      </c>
      <c r="O45" s="210">
        <f>200-200</f>
        <v>0</v>
      </c>
      <c r="P45" s="211">
        <v>0</v>
      </c>
      <c r="Q45" s="209">
        <v>0</v>
      </c>
      <c r="R45" s="209">
        <v>-100</v>
      </c>
      <c r="S45" s="210">
        <v>-100</v>
      </c>
      <c r="T45" s="211">
        <v>0</v>
      </c>
      <c r="U45" s="209">
        <f>9+200</f>
        <v>209</v>
      </c>
      <c r="V45" s="209">
        <v>-600</v>
      </c>
      <c r="W45" s="210">
        <v>1</v>
      </c>
      <c r="X45" s="211">
        <v>2</v>
      </c>
      <c r="Y45" s="209">
        <v>-39</v>
      </c>
      <c r="Z45" s="209">
        <f>-1+6</f>
        <v>5</v>
      </c>
      <c r="AA45" s="210">
        <v>6</v>
      </c>
      <c r="AB45" s="209">
        <v>0</v>
      </c>
      <c r="AC45" s="209">
        <v>0</v>
      </c>
      <c r="AD45" s="209">
        <v>-47</v>
      </c>
      <c r="AE45" s="210">
        <f>-1-12</f>
        <v>-13</v>
      </c>
      <c r="AF45" s="209">
        <v>0</v>
      </c>
      <c r="AG45" s="209">
        <v>0</v>
      </c>
      <c r="AH45" s="209">
        <v>-50</v>
      </c>
      <c r="AI45" s="209">
        <f>-208+134</f>
        <v>-74</v>
      </c>
      <c r="AJ45" s="211">
        <v>0</v>
      </c>
      <c r="AK45" s="209">
        <v>-2</v>
      </c>
      <c r="AL45" s="209">
        <v>-51</v>
      </c>
      <c r="AM45" s="209">
        <v>0</v>
      </c>
      <c r="AN45" s="211">
        <v>3</v>
      </c>
      <c r="AO45" s="209">
        <v>1</v>
      </c>
      <c r="AP45" s="209">
        <v>1</v>
      </c>
      <c r="AQ45" s="209">
        <v>0</v>
      </c>
      <c r="AR45" s="211">
        <v>0</v>
      </c>
      <c r="AS45" s="209">
        <v>0</v>
      </c>
      <c r="AT45" s="209">
        <v>0</v>
      </c>
      <c r="AU45" s="209">
        <v>0</v>
      </c>
      <c r="AV45" s="1729">
        <v>0</v>
      </c>
      <c r="AW45" s="1430">
        <v>0</v>
      </c>
      <c r="AX45" s="1430">
        <v>0</v>
      </c>
      <c r="AY45" s="1431">
        <v>0</v>
      </c>
      <c r="AZ45" s="20"/>
      <c r="BA45" s="208">
        <f>SUM(D45:G45)</f>
        <v>0</v>
      </c>
      <c r="BB45" s="206">
        <f>SUM(H45:K45)</f>
        <v>-78</v>
      </c>
      <c r="BC45" s="206">
        <f>SUM(L45:O45)</f>
        <v>200</v>
      </c>
      <c r="BD45" s="206">
        <f>SUM(P45:S45)</f>
        <v>-200</v>
      </c>
      <c r="BE45" s="208">
        <f>SUM(T45:W45)</f>
        <v>-390</v>
      </c>
      <c r="BF45" s="206">
        <f>SUM(X45:AA45)</f>
        <v>-26</v>
      </c>
      <c r="BG45" s="208">
        <f>SUM(AB45:AE45)</f>
        <v>-60</v>
      </c>
      <c r="BH45" s="206">
        <f>SUM(AF45:AI45)</f>
        <v>-124</v>
      </c>
      <c r="BI45" s="208">
        <f>SUM(AJ45:AM45)</f>
        <v>-53</v>
      </c>
      <c r="BJ45" s="206">
        <f>SUM(AN45:AQ45)</f>
        <v>5</v>
      </c>
      <c r="BK45" s="206">
        <f t="shared" si="53"/>
        <v>0</v>
      </c>
      <c r="BL45" s="206">
        <f>SUM(AV45:AY45)</f>
        <v>0</v>
      </c>
      <c r="BM45" s="206">
        <v>0</v>
      </c>
      <c r="BN45" s="207">
        <v>0</v>
      </c>
      <c r="BO45" s="22"/>
    </row>
    <row r="46" spans="1:67" ht="14.25" customHeight="1" thickBot="1">
      <c r="A46" s="8"/>
      <c r="B46" s="212" t="str">
        <f t="shared" si="52"/>
        <v>Net cash used for financing activities</v>
      </c>
      <c r="C46" s="213"/>
      <c r="D46" s="215">
        <f t="shared" ref="D46:Y46" si="54">SUM(D41:D45)</f>
        <v>-9</v>
      </c>
      <c r="E46" s="214">
        <f t="shared" si="54"/>
        <v>-9</v>
      </c>
      <c r="F46" s="214">
        <f t="shared" si="54"/>
        <v>-1</v>
      </c>
      <c r="G46" s="216">
        <f t="shared" si="54"/>
        <v>-3</v>
      </c>
      <c r="H46" s="215">
        <f t="shared" si="54"/>
        <v>1</v>
      </c>
      <c r="I46" s="214">
        <f t="shared" si="54"/>
        <v>458</v>
      </c>
      <c r="J46" s="214">
        <f t="shared" si="54"/>
        <v>-528</v>
      </c>
      <c r="K46" s="216">
        <f t="shared" si="54"/>
        <v>385</v>
      </c>
      <c r="L46" s="215">
        <f t="shared" si="54"/>
        <v>208</v>
      </c>
      <c r="M46" s="214">
        <f t="shared" si="54"/>
        <v>-4</v>
      </c>
      <c r="N46" s="214">
        <f t="shared" si="54"/>
        <v>-284</v>
      </c>
      <c r="O46" s="216">
        <f t="shared" si="54"/>
        <v>0</v>
      </c>
      <c r="P46" s="215">
        <f t="shared" si="54"/>
        <v>-11</v>
      </c>
      <c r="Q46" s="214">
        <f t="shared" si="54"/>
        <v>-3</v>
      </c>
      <c r="R46" s="214">
        <f t="shared" si="54"/>
        <v>-47</v>
      </c>
      <c r="S46" s="216">
        <f t="shared" si="54"/>
        <v>-94</v>
      </c>
      <c r="T46" s="215">
        <f t="shared" si="54"/>
        <v>8</v>
      </c>
      <c r="U46" s="214">
        <f t="shared" si="54"/>
        <v>28</v>
      </c>
      <c r="V46" s="214">
        <f t="shared" si="54"/>
        <v>-883</v>
      </c>
      <c r="W46" s="216">
        <f t="shared" si="54"/>
        <v>-12</v>
      </c>
      <c r="X46" s="215">
        <f t="shared" si="54"/>
        <v>-28</v>
      </c>
      <c r="Y46" s="214">
        <f t="shared" si="54"/>
        <v>-79</v>
      </c>
      <c r="Z46" s="214">
        <f t="shared" ref="Z46:AE46" si="55">SUM(Z41:Z45)</f>
        <v>-258</v>
      </c>
      <c r="AA46" s="216">
        <f t="shared" si="55"/>
        <v>-209</v>
      </c>
      <c r="AB46" s="214">
        <f t="shared" si="55"/>
        <v>-90</v>
      </c>
      <c r="AC46" s="214">
        <f t="shared" si="55"/>
        <v>-131</v>
      </c>
      <c r="AD46" s="214">
        <f t="shared" si="55"/>
        <v>134</v>
      </c>
      <c r="AE46" s="216">
        <f t="shared" si="55"/>
        <v>-511</v>
      </c>
      <c r="AF46" s="214">
        <f t="shared" ref="AF46:AK46" si="56">SUM(AF41:AF45)</f>
        <v>-162</v>
      </c>
      <c r="AG46" s="214">
        <f t="shared" si="56"/>
        <v>-194</v>
      </c>
      <c r="AH46" s="214">
        <f t="shared" si="56"/>
        <v>-371</v>
      </c>
      <c r="AI46" s="214">
        <f t="shared" si="56"/>
        <v>173</v>
      </c>
      <c r="AJ46" s="215">
        <f t="shared" si="56"/>
        <v>1</v>
      </c>
      <c r="AK46" s="214">
        <f t="shared" si="56"/>
        <v>828</v>
      </c>
      <c r="AL46" s="214">
        <f t="shared" ref="AL46:AO46" si="57">SUM(AL41:AL45)</f>
        <v>-208</v>
      </c>
      <c r="AM46" s="214">
        <f t="shared" si="57"/>
        <v>-1070</v>
      </c>
      <c r="AN46" s="215">
        <f t="shared" si="57"/>
        <v>-441</v>
      </c>
      <c r="AO46" s="214">
        <f t="shared" si="57"/>
        <v>-514</v>
      </c>
      <c r="AP46" s="214">
        <f t="shared" ref="AP46:AS46" si="58">SUM(AP41:AP45)</f>
        <v>-191</v>
      </c>
      <c r="AQ46" s="214">
        <f t="shared" si="58"/>
        <v>-246</v>
      </c>
      <c r="AR46" s="215">
        <f t="shared" si="58"/>
        <v>-2722</v>
      </c>
      <c r="AS46" s="214">
        <f t="shared" si="58"/>
        <v>18</v>
      </c>
      <c r="AT46" s="214">
        <f t="shared" ref="AT46:AU46" si="59">SUM(AT41:AT45)</f>
        <v>-59</v>
      </c>
      <c r="AU46" s="214">
        <f t="shared" si="59"/>
        <v>-123</v>
      </c>
      <c r="AV46" s="215">
        <f t="shared" ref="AV46:AY46" si="60">SUM(AV41:AV45)</f>
        <v>0</v>
      </c>
      <c r="AW46" s="214">
        <f t="shared" si="60"/>
        <v>0</v>
      </c>
      <c r="AX46" s="214">
        <f t="shared" si="60"/>
        <v>0</v>
      </c>
      <c r="AY46" s="216">
        <f t="shared" si="60"/>
        <v>0</v>
      </c>
      <c r="AZ46" s="20"/>
      <c r="BA46" s="215">
        <f t="shared" ref="BA46:BM46" si="61">SUM(BA41:BA45)</f>
        <v>-22</v>
      </c>
      <c r="BB46" s="214">
        <f t="shared" si="61"/>
        <v>316</v>
      </c>
      <c r="BC46" s="214">
        <f t="shared" si="61"/>
        <v>-80</v>
      </c>
      <c r="BD46" s="214">
        <f t="shared" si="61"/>
        <v>-155</v>
      </c>
      <c r="BE46" s="215">
        <f t="shared" si="61"/>
        <v>-859</v>
      </c>
      <c r="BF46" s="214">
        <f t="shared" si="61"/>
        <v>-574</v>
      </c>
      <c r="BG46" s="215">
        <f t="shared" si="61"/>
        <v>-598</v>
      </c>
      <c r="BH46" s="214">
        <f t="shared" si="61"/>
        <v>-554</v>
      </c>
      <c r="BI46" s="215">
        <f t="shared" si="61"/>
        <v>-449</v>
      </c>
      <c r="BJ46" s="214">
        <f t="shared" si="61"/>
        <v>-1392</v>
      </c>
      <c r="BK46" s="214">
        <f t="shared" ref="BK46:BL46" si="62">SUM(BK41:BK45)</f>
        <v>-2886</v>
      </c>
      <c r="BL46" s="214">
        <f t="shared" si="62"/>
        <v>0</v>
      </c>
      <c r="BM46" s="214">
        <f t="shared" si="61"/>
        <v>0</v>
      </c>
      <c r="BN46" s="216">
        <f t="shared" ref="BN46" si="63">SUM(BN41:BN45)</f>
        <v>0</v>
      </c>
      <c r="BO46" s="22"/>
    </row>
    <row r="47" spans="1:67" ht="14.25" customHeight="1" thickTop="1">
      <c r="A47" s="8"/>
      <c r="B47" s="43"/>
      <c r="C47" s="44"/>
      <c r="D47" s="221"/>
      <c r="E47" s="220"/>
      <c r="F47" s="220"/>
      <c r="G47" s="222"/>
      <c r="H47" s="221"/>
      <c r="I47" s="220"/>
      <c r="J47" s="220"/>
      <c r="K47" s="222"/>
      <c r="L47" s="221"/>
      <c r="M47" s="220"/>
      <c r="N47" s="220"/>
      <c r="O47" s="222"/>
      <c r="P47" s="221"/>
      <c r="Q47" s="220"/>
      <c r="R47" s="220"/>
      <c r="S47" s="222"/>
      <c r="T47" s="221"/>
      <c r="U47" s="220"/>
      <c r="V47" s="220"/>
      <c r="W47" s="222"/>
      <c r="X47" s="221"/>
      <c r="Y47" s="220"/>
      <c r="Z47" s="220"/>
      <c r="AA47" s="222"/>
      <c r="AB47" s="220"/>
      <c r="AC47" s="220"/>
      <c r="AD47" s="220"/>
      <c r="AE47" s="222"/>
      <c r="AF47" s="220"/>
      <c r="AG47" s="220"/>
      <c r="AH47" s="220"/>
      <c r="AI47" s="220"/>
      <c r="AJ47" s="221"/>
      <c r="AK47" s="220"/>
      <c r="AL47" s="220"/>
      <c r="AM47" s="220"/>
      <c r="AN47" s="221"/>
      <c r="AO47" s="220"/>
      <c r="AP47" s="220"/>
      <c r="AQ47" s="220"/>
      <c r="AR47" s="221"/>
      <c r="AS47" s="220"/>
      <c r="AT47" s="220"/>
      <c r="AU47" s="220"/>
      <c r="AV47" s="221"/>
      <c r="AW47" s="220"/>
      <c r="AX47" s="220"/>
      <c r="AY47" s="222"/>
      <c r="AZ47" s="20"/>
      <c r="BA47" s="221"/>
      <c r="BB47" s="220"/>
      <c r="BC47" s="220"/>
      <c r="BD47" s="220"/>
      <c r="BE47" s="221"/>
      <c r="BF47" s="220"/>
      <c r="BG47" s="221"/>
      <c r="BH47" s="220"/>
      <c r="BI47" s="221"/>
      <c r="BJ47" s="220"/>
      <c r="BK47" s="220"/>
      <c r="BL47" s="220"/>
      <c r="BM47" s="220"/>
      <c r="BN47" s="222"/>
      <c r="BO47" s="22"/>
    </row>
    <row r="48" spans="1:67" ht="14.25" customHeight="1">
      <c r="A48" s="8"/>
      <c r="B48" s="43" t="str">
        <f>B150</f>
        <v>Effect of exchange rate changes on cash and cash equivalents</v>
      </c>
      <c r="C48" s="44"/>
      <c r="D48" s="211">
        <v>0</v>
      </c>
      <c r="E48" s="209">
        <v>5</v>
      </c>
      <c r="F48" s="209">
        <v>-8</v>
      </c>
      <c r="G48" s="210">
        <v>-21</v>
      </c>
      <c r="H48" s="211">
        <v>-57</v>
      </c>
      <c r="I48" s="209">
        <v>-21</v>
      </c>
      <c r="J48" s="209">
        <v>-3</v>
      </c>
      <c r="K48" s="210">
        <v>127</v>
      </c>
      <c r="L48" s="211">
        <v>-35</v>
      </c>
      <c r="M48" s="209">
        <v>18</v>
      </c>
      <c r="N48" s="209">
        <v>32</v>
      </c>
      <c r="O48" s="210">
        <v>-23</v>
      </c>
      <c r="P48" s="211">
        <v>-50</v>
      </c>
      <c r="Q48" s="209">
        <v>-53</v>
      </c>
      <c r="R48" s="209">
        <v>60</v>
      </c>
      <c r="S48" s="210">
        <v>-20</v>
      </c>
      <c r="T48" s="211">
        <v>30</v>
      </c>
      <c r="U48" s="209">
        <v>9</v>
      </c>
      <c r="V48" s="209">
        <v>-48</v>
      </c>
      <c r="W48" s="210">
        <v>-12</v>
      </c>
      <c r="X48" s="211">
        <v>15</v>
      </c>
      <c r="Y48" s="209">
        <v>-8</v>
      </c>
      <c r="Z48" s="209">
        <v>2</v>
      </c>
      <c r="AA48" s="210">
        <v>5</v>
      </c>
      <c r="AB48" s="209">
        <v>-8</v>
      </c>
      <c r="AC48" s="209">
        <v>1</v>
      </c>
      <c r="AD48" s="209">
        <v>6</v>
      </c>
      <c r="AE48" s="210">
        <v>1</v>
      </c>
      <c r="AF48" s="209">
        <v>-5</v>
      </c>
      <c r="AG48" s="209">
        <v>2</v>
      </c>
      <c r="AH48" s="209">
        <v>-3</v>
      </c>
      <c r="AI48" s="209">
        <v>-6</v>
      </c>
      <c r="AJ48" s="211">
        <v>-16</v>
      </c>
      <c r="AK48" s="209">
        <v>-5</v>
      </c>
      <c r="AL48" s="209">
        <v>-8</v>
      </c>
      <c r="AM48" s="209">
        <v>-2</v>
      </c>
      <c r="AN48" s="211">
        <v>7</v>
      </c>
      <c r="AO48" s="209">
        <v>-14</v>
      </c>
      <c r="AP48" s="209">
        <v>12</v>
      </c>
      <c r="AQ48" s="209">
        <v>-9</v>
      </c>
      <c r="AR48" s="211">
        <v>13</v>
      </c>
      <c r="AS48" s="209">
        <v>3</v>
      </c>
      <c r="AT48" s="209">
        <v>2</v>
      </c>
      <c r="AU48" s="209">
        <v>2</v>
      </c>
      <c r="AV48" s="208">
        <f t="shared" ref="AV48" si="64">AU48</f>
        <v>2</v>
      </c>
      <c r="AW48" s="206">
        <f t="shared" ref="AW48" si="65">AV48</f>
        <v>2</v>
      </c>
      <c r="AX48" s="206">
        <f t="shared" ref="AX48" si="66">AW48</f>
        <v>2</v>
      </c>
      <c r="AY48" s="207">
        <f t="shared" ref="AY48" si="67">AX48</f>
        <v>2</v>
      </c>
      <c r="AZ48" s="20"/>
      <c r="BA48" s="208">
        <f>SUM(D48:G48)</f>
        <v>-24</v>
      </c>
      <c r="BB48" s="206">
        <f>SUM(H48:K48)</f>
        <v>46</v>
      </c>
      <c r="BC48" s="206">
        <f>SUM(L48:O48)</f>
        <v>-8</v>
      </c>
      <c r="BD48" s="206">
        <f>SUM(P48:S48)</f>
        <v>-63</v>
      </c>
      <c r="BE48" s="208">
        <f>SUM(T48:W48)</f>
        <v>-21</v>
      </c>
      <c r="BF48" s="206">
        <f>SUM(X48:AA48)</f>
        <v>14</v>
      </c>
      <c r="BG48" s="208">
        <f>SUM(AB48:AE48)</f>
        <v>0</v>
      </c>
      <c r="BH48" s="206">
        <f>SUM(AF48:AI48)</f>
        <v>-12</v>
      </c>
      <c r="BI48" s="208">
        <f>SUM(AJ48:AM48)</f>
        <v>-31</v>
      </c>
      <c r="BJ48" s="206">
        <f>SUM(AN48:AQ48)</f>
        <v>-4</v>
      </c>
      <c r="BK48" s="206">
        <f t="shared" ref="BK48:BK49" si="68">SUM(AR48:AU48)</f>
        <v>20</v>
      </c>
      <c r="BL48" s="206">
        <f>SUM(AV48:AY48)</f>
        <v>8</v>
      </c>
      <c r="BM48" s="206">
        <f t="shared" ref="BM48:BN49" si="69">BL48</f>
        <v>8</v>
      </c>
      <c r="BN48" s="207">
        <f t="shared" si="69"/>
        <v>8</v>
      </c>
      <c r="BO48" s="22"/>
    </row>
    <row r="49" spans="1:67" ht="14.25" customHeight="1">
      <c r="A49" s="8"/>
      <c r="B49" s="43" t="str">
        <f>B151</f>
        <v>Cash and cash equivalents of discontinued operations</v>
      </c>
      <c r="C49" s="44"/>
      <c r="D49" s="211">
        <v>0</v>
      </c>
      <c r="E49" s="209">
        <v>0</v>
      </c>
      <c r="F49" s="209">
        <v>0</v>
      </c>
      <c r="G49" s="210">
        <v>0</v>
      </c>
      <c r="H49" s="211">
        <v>0</v>
      </c>
      <c r="I49" s="209">
        <v>0</v>
      </c>
      <c r="J49" s="209">
        <v>0</v>
      </c>
      <c r="K49" s="210">
        <v>0</v>
      </c>
      <c r="L49" s="211">
        <v>-14</v>
      </c>
      <c r="M49" s="209">
        <v>-1</v>
      </c>
      <c r="N49" s="209">
        <v>1</v>
      </c>
      <c r="O49" s="210">
        <v>-1</v>
      </c>
      <c r="P49" s="211">
        <v>0</v>
      </c>
      <c r="Q49" s="209">
        <v>0</v>
      </c>
      <c r="R49" s="209">
        <v>0</v>
      </c>
      <c r="S49" s="210">
        <v>0</v>
      </c>
      <c r="T49" s="211">
        <v>0</v>
      </c>
      <c r="U49" s="209">
        <v>0</v>
      </c>
      <c r="V49" s="209">
        <f>842+8</f>
        <v>850</v>
      </c>
      <c r="W49" s="210">
        <v>-31</v>
      </c>
      <c r="X49" s="211">
        <v>0</v>
      </c>
      <c r="Y49" s="209">
        <v>-45</v>
      </c>
      <c r="Z49" s="209">
        <v>0</v>
      </c>
      <c r="AA49" s="210">
        <v>0</v>
      </c>
      <c r="AB49" s="209">
        <v>0</v>
      </c>
      <c r="AC49" s="209">
        <v>0</v>
      </c>
      <c r="AD49" s="209">
        <v>0</v>
      </c>
      <c r="AE49" s="210">
        <v>0</v>
      </c>
      <c r="AF49" s="209">
        <v>0</v>
      </c>
      <c r="AG49" s="209">
        <v>0</v>
      </c>
      <c r="AH49" s="209">
        <v>0</v>
      </c>
      <c r="AI49" s="209">
        <v>0</v>
      </c>
      <c r="AJ49" s="211">
        <v>0</v>
      </c>
      <c r="AK49" s="209">
        <v>0</v>
      </c>
      <c r="AL49" s="209">
        <v>0</v>
      </c>
      <c r="AM49" s="209">
        <v>0</v>
      </c>
      <c r="AN49" s="211">
        <v>0</v>
      </c>
      <c r="AO49" s="209">
        <v>0</v>
      </c>
      <c r="AP49" s="209">
        <v>0</v>
      </c>
      <c r="AQ49" s="209">
        <v>0</v>
      </c>
      <c r="AR49" s="211">
        <v>0</v>
      </c>
      <c r="AS49" s="209">
        <v>0</v>
      </c>
      <c r="AT49" s="209">
        <v>0</v>
      </c>
      <c r="AU49" s="209">
        <v>0</v>
      </c>
      <c r="AV49" s="211">
        <v>0</v>
      </c>
      <c r="AW49" s="209">
        <v>0</v>
      </c>
      <c r="AX49" s="209">
        <v>0</v>
      </c>
      <c r="AY49" s="210">
        <v>0</v>
      </c>
      <c r="AZ49" s="20"/>
      <c r="BA49" s="208">
        <f>SUM(D49:G49)</f>
        <v>0</v>
      </c>
      <c r="BB49" s="206">
        <f>SUM(H49:K49)</f>
        <v>0</v>
      </c>
      <c r="BC49" s="206">
        <f>SUM(L49:O49)</f>
        <v>-15</v>
      </c>
      <c r="BD49" s="206">
        <f>SUM(P49:S49)</f>
        <v>0</v>
      </c>
      <c r="BE49" s="208">
        <f>SUM(T49:W49)</f>
        <v>819</v>
      </c>
      <c r="BF49" s="206">
        <f>SUM(X49:AA49)</f>
        <v>-45</v>
      </c>
      <c r="BG49" s="208">
        <f>SUM(AB49:AE49)</f>
        <v>0</v>
      </c>
      <c r="BH49" s="206">
        <f>SUM(AF49:AI49)</f>
        <v>0</v>
      </c>
      <c r="BI49" s="208">
        <f>SUM(AJ49:AM49)</f>
        <v>0</v>
      </c>
      <c r="BJ49" s="206">
        <f>SUM(AN49:AQ49)</f>
        <v>0</v>
      </c>
      <c r="BK49" s="206">
        <f t="shared" si="68"/>
        <v>0</v>
      </c>
      <c r="BL49" s="206">
        <f>SUM(AV49:AY49)</f>
        <v>0</v>
      </c>
      <c r="BM49" s="206">
        <f t="shared" si="69"/>
        <v>0</v>
      </c>
      <c r="BN49" s="207">
        <f t="shared" si="69"/>
        <v>0</v>
      </c>
      <c r="BO49" s="22"/>
    </row>
    <row r="50" spans="1:67" ht="14.25" customHeight="1">
      <c r="A50" s="8"/>
      <c r="B50" s="43"/>
      <c r="C50" s="44"/>
      <c r="D50" s="225"/>
      <c r="E50" s="223"/>
      <c r="F50" s="223"/>
      <c r="G50" s="224"/>
      <c r="H50" s="225"/>
      <c r="I50" s="223"/>
      <c r="J50" s="223"/>
      <c r="K50" s="224"/>
      <c r="L50" s="225"/>
      <c r="M50" s="223"/>
      <c r="N50" s="223"/>
      <c r="O50" s="224"/>
      <c r="P50" s="225"/>
      <c r="Q50" s="223"/>
      <c r="R50" s="223"/>
      <c r="S50" s="224"/>
      <c r="T50" s="223"/>
      <c r="U50" s="223"/>
      <c r="V50" s="223"/>
      <c r="W50" s="224"/>
      <c r="X50" s="223"/>
      <c r="Y50" s="223"/>
      <c r="Z50" s="223"/>
      <c r="AA50" s="224"/>
      <c r="AB50" s="225"/>
      <c r="AC50" s="223"/>
      <c r="AD50" s="223"/>
      <c r="AE50" s="224"/>
      <c r="AF50" s="225"/>
      <c r="AG50" s="223"/>
      <c r="AH50" s="223"/>
      <c r="AI50" s="223"/>
      <c r="AJ50" s="225"/>
      <c r="AK50" s="223"/>
      <c r="AL50" s="223"/>
      <c r="AM50" s="223"/>
      <c r="AN50" s="225"/>
      <c r="AO50" s="223"/>
      <c r="AP50" s="223"/>
      <c r="AQ50" s="223"/>
      <c r="AR50" s="225"/>
      <c r="AS50" s="223"/>
      <c r="AT50" s="223"/>
      <c r="AU50" s="223"/>
      <c r="AV50" s="225"/>
      <c r="AW50" s="223"/>
      <c r="AX50" s="223"/>
      <c r="AY50" s="224"/>
      <c r="AZ50" s="20"/>
      <c r="BA50" s="225"/>
      <c r="BB50" s="223"/>
      <c r="BC50" s="223"/>
      <c r="BD50" s="223"/>
      <c r="BE50" s="225"/>
      <c r="BF50" s="223"/>
      <c r="BG50" s="225"/>
      <c r="BH50" s="223"/>
      <c r="BI50" s="225"/>
      <c r="BJ50" s="223"/>
      <c r="BK50" s="223"/>
      <c r="BL50" s="223"/>
      <c r="BM50" s="223"/>
      <c r="BN50" s="224"/>
      <c r="BO50" s="22"/>
    </row>
    <row r="51" spans="1:67" ht="14.25" customHeight="1">
      <c r="A51" s="8"/>
      <c r="B51" s="43" t="str">
        <f t="shared" ref="B51:B57" si="70">B153</f>
        <v>Cash and cash equivalents, beginning of period</v>
      </c>
      <c r="C51" s="44"/>
      <c r="D51" s="225">
        <v>1232</v>
      </c>
      <c r="E51" s="220">
        <f t="shared" ref="E51:O51" si="71">D54</f>
        <v>826</v>
      </c>
      <c r="F51" s="220">
        <f t="shared" si="71"/>
        <v>691</v>
      </c>
      <c r="G51" s="220">
        <f t="shared" si="71"/>
        <v>963</v>
      </c>
      <c r="H51" s="221">
        <f t="shared" si="71"/>
        <v>1041</v>
      </c>
      <c r="I51" s="220">
        <f t="shared" si="71"/>
        <v>519</v>
      </c>
      <c r="J51" s="220">
        <f t="shared" si="71"/>
        <v>660</v>
      </c>
      <c r="K51" s="220">
        <f t="shared" si="71"/>
        <v>1535</v>
      </c>
      <c r="L51" s="221">
        <f t="shared" si="71"/>
        <v>1796</v>
      </c>
      <c r="M51" s="220">
        <f t="shared" si="71"/>
        <v>1699</v>
      </c>
      <c r="N51" s="220">
        <f t="shared" si="71"/>
        <v>1358</v>
      </c>
      <c r="O51" s="220">
        <f t="shared" si="71"/>
        <v>1041</v>
      </c>
      <c r="P51" s="221">
        <f t="shared" ref="P51:AU51" si="72">O54</f>
        <v>1026</v>
      </c>
      <c r="Q51" s="220">
        <f t="shared" si="72"/>
        <v>855</v>
      </c>
      <c r="R51" s="220">
        <f t="shared" si="72"/>
        <v>826</v>
      </c>
      <c r="S51" s="220">
        <f t="shared" si="72"/>
        <v>947</v>
      </c>
      <c r="T51" s="221">
        <f t="shared" si="72"/>
        <v>898</v>
      </c>
      <c r="U51" s="220">
        <f t="shared" si="72"/>
        <v>879</v>
      </c>
      <c r="V51" s="220">
        <f t="shared" si="72"/>
        <v>859</v>
      </c>
      <c r="W51" s="220">
        <f t="shared" si="72"/>
        <v>865</v>
      </c>
      <c r="X51" s="221">
        <f t="shared" si="72"/>
        <v>743</v>
      </c>
      <c r="Y51" s="220">
        <f t="shared" si="72"/>
        <v>782</v>
      </c>
      <c r="Z51" s="220">
        <f t="shared" si="72"/>
        <v>837</v>
      </c>
      <c r="AA51" s="222">
        <f t="shared" si="72"/>
        <v>702</v>
      </c>
      <c r="AB51" s="221">
        <f t="shared" si="72"/>
        <v>617</v>
      </c>
      <c r="AC51" s="220">
        <f t="shared" si="72"/>
        <v>595</v>
      </c>
      <c r="AD51" s="220">
        <f t="shared" si="72"/>
        <v>569</v>
      </c>
      <c r="AE51" s="222">
        <f t="shared" si="72"/>
        <v>941</v>
      </c>
      <c r="AF51" s="221">
        <f t="shared" si="72"/>
        <v>670</v>
      </c>
      <c r="AG51" s="220">
        <f t="shared" si="72"/>
        <v>720</v>
      </c>
      <c r="AH51" s="220">
        <f t="shared" si="72"/>
        <v>661</v>
      </c>
      <c r="AI51" s="220">
        <f t="shared" si="72"/>
        <v>594</v>
      </c>
      <c r="AJ51" s="221">
        <f t="shared" si="72"/>
        <v>1185</v>
      </c>
      <c r="AK51" s="220">
        <f t="shared" si="72"/>
        <v>1355</v>
      </c>
      <c r="AL51" s="220">
        <f t="shared" si="72"/>
        <v>2435</v>
      </c>
      <c r="AM51" s="220">
        <f t="shared" si="72"/>
        <v>2492</v>
      </c>
      <c r="AN51" s="221">
        <f t="shared" si="72"/>
        <v>1614</v>
      </c>
      <c r="AO51" s="220">
        <f t="shared" si="72"/>
        <v>1488</v>
      </c>
      <c r="AP51" s="220">
        <f t="shared" si="72"/>
        <v>1335</v>
      </c>
      <c r="AQ51" s="220">
        <f t="shared" si="72"/>
        <v>1569</v>
      </c>
      <c r="AR51" s="221">
        <f t="shared" si="72"/>
        <v>1894</v>
      </c>
      <c r="AS51" s="220">
        <f t="shared" si="72"/>
        <v>2238</v>
      </c>
      <c r="AT51" s="220">
        <f t="shared" si="72"/>
        <v>2642</v>
      </c>
      <c r="AU51" s="220">
        <f t="shared" si="72"/>
        <v>3065</v>
      </c>
      <c r="AV51" s="221">
        <f t="shared" ref="AV51" si="73">AU54</f>
        <v>3547</v>
      </c>
      <c r="AW51" s="220">
        <f t="shared" ref="AW51" si="74">AV54</f>
        <v>4194.6587333745929</v>
      </c>
      <c r="AX51" s="220">
        <f t="shared" ref="AX51" si="75">AW54</f>
        <v>4805.9125053093858</v>
      </c>
      <c r="AY51" s="222">
        <f t="shared" ref="AY51" si="76">AX54</f>
        <v>5453.0583230743287</v>
      </c>
      <c r="AZ51" s="20"/>
      <c r="BA51" s="221">
        <f>D51</f>
        <v>1232</v>
      </c>
      <c r="BB51" s="220">
        <f t="shared" ref="BB51:BN51" si="77">BA54</f>
        <v>1041</v>
      </c>
      <c r="BC51" s="220">
        <f t="shared" si="77"/>
        <v>1796</v>
      </c>
      <c r="BD51" s="220">
        <f t="shared" si="77"/>
        <v>1026</v>
      </c>
      <c r="BE51" s="221">
        <f t="shared" si="77"/>
        <v>898</v>
      </c>
      <c r="BF51" s="220">
        <f t="shared" si="77"/>
        <v>743</v>
      </c>
      <c r="BG51" s="221">
        <f t="shared" si="77"/>
        <v>617</v>
      </c>
      <c r="BH51" s="220">
        <f t="shared" si="77"/>
        <v>670</v>
      </c>
      <c r="BI51" s="221">
        <f t="shared" si="77"/>
        <v>1185</v>
      </c>
      <c r="BJ51" s="220">
        <f t="shared" si="77"/>
        <v>1614</v>
      </c>
      <c r="BK51" s="220">
        <f t="shared" si="77"/>
        <v>1894</v>
      </c>
      <c r="BL51" s="220">
        <f t="shared" si="77"/>
        <v>3547</v>
      </c>
      <c r="BM51" s="220">
        <f t="shared" si="77"/>
        <v>6144.9133425871196</v>
      </c>
      <c r="BN51" s="222">
        <f t="shared" si="77"/>
        <v>8987.2571609383012</v>
      </c>
      <c r="BO51" s="22"/>
    </row>
    <row r="52" spans="1:67" ht="14.25" customHeight="1">
      <c r="A52" s="8"/>
      <c r="B52" s="43" t="str">
        <f t="shared" si="70"/>
        <v>Change in cash flow due to restatement</v>
      </c>
      <c r="C52" s="44"/>
      <c r="D52" s="225"/>
      <c r="E52" s="223"/>
      <c r="F52" s="223"/>
      <c r="G52" s="223"/>
      <c r="H52" s="225"/>
      <c r="I52" s="223"/>
      <c r="J52" s="223"/>
      <c r="K52" s="223"/>
      <c r="L52" s="225"/>
      <c r="M52" s="223"/>
      <c r="N52" s="223"/>
      <c r="O52" s="223"/>
      <c r="P52" s="225"/>
      <c r="Q52" s="223"/>
      <c r="R52" s="223"/>
      <c r="S52" s="223"/>
      <c r="T52" s="225"/>
      <c r="U52" s="223"/>
      <c r="V52" s="223"/>
      <c r="W52" s="224"/>
      <c r="X52" s="225"/>
      <c r="Y52" s="223"/>
      <c r="Z52" s="223"/>
      <c r="AA52" s="224"/>
      <c r="AB52" s="223"/>
      <c r="AC52" s="223"/>
      <c r="AD52" s="223"/>
      <c r="AE52" s="224"/>
      <c r="AF52" s="223"/>
      <c r="AG52" s="223"/>
      <c r="AH52" s="223">
        <v>0</v>
      </c>
      <c r="AI52" s="223"/>
      <c r="AJ52" s="225"/>
      <c r="AK52" s="223"/>
      <c r="AL52" s="223">
        <v>0</v>
      </c>
      <c r="AM52" s="223"/>
      <c r="AN52" s="225"/>
      <c r="AO52" s="223"/>
      <c r="AP52" s="223">
        <v>0</v>
      </c>
      <c r="AQ52" s="223"/>
      <c r="AR52" s="225"/>
      <c r="AS52" s="223"/>
      <c r="AT52" s="223">
        <v>0</v>
      </c>
      <c r="AU52" s="223"/>
      <c r="AV52" s="225"/>
      <c r="AW52" s="223"/>
      <c r="AX52" s="223"/>
      <c r="AY52" s="224"/>
      <c r="AZ52" s="20"/>
      <c r="BA52" s="225"/>
      <c r="BB52" s="223"/>
      <c r="BC52" s="223"/>
      <c r="BD52" s="223"/>
      <c r="BE52" s="225"/>
      <c r="BF52" s="223"/>
      <c r="BG52" s="208">
        <f>SUM(AB52:AE52)</f>
        <v>0</v>
      </c>
      <c r="BH52" s="206">
        <f>AH52</f>
        <v>0</v>
      </c>
      <c r="BI52" s="208"/>
      <c r="BJ52" s="206"/>
      <c r="BK52" s="206"/>
      <c r="BL52" s="206"/>
      <c r="BM52" s="206"/>
      <c r="BN52" s="207"/>
      <c r="BO52" s="22"/>
    </row>
    <row r="53" spans="1:67" ht="14.25" customHeight="1">
      <c r="A53" s="8"/>
      <c r="B53" s="217" t="str">
        <f t="shared" si="70"/>
        <v>Net increase (decrease) in cash and cash equivalents</v>
      </c>
      <c r="C53" s="218"/>
      <c r="D53" s="221">
        <f t="shared" ref="D53:AB53" si="78">D46+D38+D30+D48+D49</f>
        <v>-406</v>
      </c>
      <c r="E53" s="220">
        <f t="shared" si="78"/>
        <v>-135</v>
      </c>
      <c r="F53" s="220">
        <f t="shared" si="78"/>
        <v>272</v>
      </c>
      <c r="G53" s="220">
        <f t="shared" si="78"/>
        <v>78</v>
      </c>
      <c r="H53" s="221">
        <f t="shared" si="78"/>
        <v>-522</v>
      </c>
      <c r="I53" s="220">
        <f t="shared" si="78"/>
        <v>141</v>
      </c>
      <c r="J53" s="220">
        <f t="shared" si="78"/>
        <v>875</v>
      </c>
      <c r="K53" s="220">
        <f t="shared" si="78"/>
        <v>261</v>
      </c>
      <c r="L53" s="221">
        <f t="shared" si="78"/>
        <v>-97</v>
      </c>
      <c r="M53" s="220">
        <f t="shared" si="78"/>
        <v>-341</v>
      </c>
      <c r="N53" s="220">
        <f t="shared" si="78"/>
        <v>-317</v>
      </c>
      <c r="O53" s="220">
        <f t="shared" si="78"/>
        <v>-15</v>
      </c>
      <c r="P53" s="221">
        <f t="shared" si="78"/>
        <v>-171</v>
      </c>
      <c r="Q53" s="220">
        <f t="shared" si="78"/>
        <v>-29</v>
      </c>
      <c r="R53" s="220">
        <f t="shared" si="78"/>
        <v>121</v>
      </c>
      <c r="S53" s="220">
        <f t="shared" si="78"/>
        <v>-49</v>
      </c>
      <c r="T53" s="221">
        <f t="shared" si="78"/>
        <v>-19</v>
      </c>
      <c r="U53" s="220">
        <f t="shared" si="78"/>
        <v>-20</v>
      </c>
      <c r="V53" s="220">
        <f t="shared" si="78"/>
        <v>6</v>
      </c>
      <c r="W53" s="222">
        <f t="shared" si="78"/>
        <v>-122</v>
      </c>
      <c r="X53" s="221">
        <f t="shared" si="78"/>
        <v>39</v>
      </c>
      <c r="Y53" s="220">
        <f t="shared" si="78"/>
        <v>55</v>
      </c>
      <c r="Z53" s="220">
        <f t="shared" si="78"/>
        <v>-135</v>
      </c>
      <c r="AA53" s="222">
        <f t="shared" si="78"/>
        <v>-85</v>
      </c>
      <c r="AB53" s="220">
        <f t="shared" si="78"/>
        <v>-22</v>
      </c>
      <c r="AC53" s="220">
        <f t="shared" ref="AC53:AH53" si="79">AC46+AC38+AC30+AC48+AC49</f>
        <v>-26</v>
      </c>
      <c r="AD53" s="220">
        <f t="shared" si="79"/>
        <v>372</v>
      </c>
      <c r="AE53" s="222">
        <f t="shared" si="79"/>
        <v>-271</v>
      </c>
      <c r="AF53" s="220">
        <f t="shared" si="79"/>
        <v>50</v>
      </c>
      <c r="AG53" s="220">
        <f t="shared" si="79"/>
        <v>-59</v>
      </c>
      <c r="AH53" s="220">
        <f t="shared" si="79"/>
        <v>-67</v>
      </c>
      <c r="AI53" s="220">
        <f>AI46+AI38+AI30+AI48+AI49</f>
        <v>591</v>
      </c>
      <c r="AJ53" s="221">
        <f>AJ46+AJ38+AJ30+AJ48+AJ49</f>
        <v>170</v>
      </c>
      <c r="AK53" s="220">
        <f>AK46+AK38+AK30+AK48+AK49</f>
        <v>1080</v>
      </c>
      <c r="AL53" s="220">
        <f t="shared" ref="AL53" si="80">AL46+AL38+AL30+AL48+AL49</f>
        <v>57</v>
      </c>
      <c r="AM53" s="220">
        <f>AM46+AM38+AM30+AM48+AM49</f>
        <v>-878</v>
      </c>
      <c r="AN53" s="221">
        <f>AN46+AN38+AN30+AN48+AN49</f>
        <v>-126</v>
      </c>
      <c r="AO53" s="220">
        <f>AO46+AO38+AO30+AO48+AO49</f>
        <v>-153</v>
      </c>
      <c r="AP53" s="220">
        <f t="shared" ref="AP53" si="81">AP46+AP38+AP30+AP48+AP49</f>
        <v>234</v>
      </c>
      <c r="AQ53" s="220">
        <f>AQ46+AQ38+AQ30+AQ48+AQ49</f>
        <v>325</v>
      </c>
      <c r="AR53" s="221">
        <f>AR46+AR38+AR30+AR48+AR49</f>
        <v>344</v>
      </c>
      <c r="AS53" s="220">
        <f>AS46+AS38+AS30+AS48+AS49</f>
        <v>404</v>
      </c>
      <c r="AT53" s="220">
        <f t="shared" ref="AT53" si="82">AT46+AT38+AT30+AT48+AT49</f>
        <v>423</v>
      </c>
      <c r="AU53" s="220">
        <f>AU46+AU38+AU30+AU48+AU49</f>
        <v>482</v>
      </c>
      <c r="AV53" s="221">
        <f t="shared" ref="AV53:AY53" si="83">AV46+AV38+AV30+AV48+AV49</f>
        <v>647.65873337459266</v>
      </c>
      <c r="AW53" s="220">
        <f t="shared" si="83"/>
        <v>611.25377193479267</v>
      </c>
      <c r="AX53" s="220">
        <f t="shared" si="83"/>
        <v>647.14581776494299</v>
      </c>
      <c r="AY53" s="222">
        <f t="shared" si="83"/>
        <v>691.85501951279082</v>
      </c>
      <c r="AZ53" s="20"/>
      <c r="BA53" s="221">
        <f t="shared" ref="BA53:BH53" si="84">BA46+BA38+BA30+BA48+BA49</f>
        <v>-191</v>
      </c>
      <c r="BB53" s="220">
        <f t="shared" si="84"/>
        <v>755</v>
      </c>
      <c r="BC53" s="220">
        <f t="shared" si="84"/>
        <v>-770</v>
      </c>
      <c r="BD53" s="220">
        <f t="shared" si="84"/>
        <v>-128</v>
      </c>
      <c r="BE53" s="221">
        <f t="shared" si="84"/>
        <v>-155</v>
      </c>
      <c r="BF53" s="220">
        <f t="shared" si="84"/>
        <v>-126</v>
      </c>
      <c r="BG53" s="221">
        <f t="shared" si="84"/>
        <v>53</v>
      </c>
      <c r="BH53" s="220">
        <f t="shared" si="84"/>
        <v>515</v>
      </c>
      <c r="BI53" s="221">
        <f t="shared" ref="BI53:BN53" si="85">BI46+BI38+BI30+BI48+BI49</f>
        <v>429</v>
      </c>
      <c r="BJ53" s="220">
        <f t="shared" si="85"/>
        <v>280</v>
      </c>
      <c r="BK53" s="220">
        <f t="shared" si="85"/>
        <v>1653</v>
      </c>
      <c r="BL53" s="220">
        <f t="shared" si="85"/>
        <v>2597.9133425871196</v>
      </c>
      <c r="BM53" s="220">
        <f t="shared" si="85"/>
        <v>2842.3438183511826</v>
      </c>
      <c r="BN53" s="222">
        <f t="shared" si="85"/>
        <v>2997.4224914403108</v>
      </c>
      <c r="BO53" s="22"/>
    </row>
    <row r="54" spans="1:67" ht="14.25" customHeight="1">
      <c r="A54" s="8"/>
      <c r="B54" s="226" t="str">
        <f t="shared" si="70"/>
        <v>Cash and cash equivalents, end of period</v>
      </c>
      <c r="C54" s="227"/>
      <c r="D54" s="229">
        <f t="shared" ref="D54:P54" si="86">D53+D51+D52</f>
        <v>826</v>
      </c>
      <c r="E54" s="228">
        <f t="shared" si="86"/>
        <v>691</v>
      </c>
      <c r="F54" s="228">
        <f t="shared" si="86"/>
        <v>963</v>
      </c>
      <c r="G54" s="228">
        <f t="shared" si="86"/>
        <v>1041</v>
      </c>
      <c r="H54" s="229">
        <f t="shared" si="86"/>
        <v>519</v>
      </c>
      <c r="I54" s="228">
        <f t="shared" si="86"/>
        <v>660</v>
      </c>
      <c r="J54" s="228">
        <f t="shared" si="86"/>
        <v>1535</v>
      </c>
      <c r="K54" s="228">
        <f t="shared" si="86"/>
        <v>1796</v>
      </c>
      <c r="L54" s="229">
        <f t="shared" si="86"/>
        <v>1699</v>
      </c>
      <c r="M54" s="228">
        <f t="shared" si="86"/>
        <v>1358</v>
      </c>
      <c r="N54" s="228">
        <f t="shared" si="86"/>
        <v>1041</v>
      </c>
      <c r="O54" s="228">
        <f t="shared" si="86"/>
        <v>1026</v>
      </c>
      <c r="P54" s="229">
        <f t="shared" si="86"/>
        <v>855</v>
      </c>
      <c r="Q54" s="228">
        <f t="shared" ref="Q54:AE54" si="87">Q53+Q51+Q52</f>
        <v>826</v>
      </c>
      <c r="R54" s="228">
        <f t="shared" si="87"/>
        <v>947</v>
      </c>
      <c r="S54" s="228">
        <f t="shared" si="87"/>
        <v>898</v>
      </c>
      <c r="T54" s="229">
        <f t="shared" si="87"/>
        <v>879</v>
      </c>
      <c r="U54" s="228">
        <f t="shared" si="87"/>
        <v>859</v>
      </c>
      <c r="V54" s="228">
        <f t="shared" si="87"/>
        <v>865</v>
      </c>
      <c r="W54" s="230">
        <f t="shared" si="87"/>
        <v>743</v>
      </c>
      <c r="X54" s="229">
        <f t="shared" si="87"/>
        <v>782</v>
      </c>
      <c r="Y54" s="228">
        <f t="shared" si="87"/>
        <v>837</v>
      </c>
      <c r="Z54" s="228">
        <f t="shared" si="87"/>
        <v>702</v>
      </c>
      <c r="AA54" s="230">
        <f t="shared" si="87"/>
        <v>617</v>
      </c>
      <c r="AB54" s="228">
        <f t="shared" si="87"/>
        <v>595</v>
      </c>
      <c r="AC54" s="228">
        <f t="shared" si="87"/>
        <v>569</v>
      </c>
      <c r="AD54" s="228">
        <f t="shared" si="87"/>
        <v>941</v>
      </c>
      <c r="AE54" s="230">
        <f t="shared" si="87"/>
        <v>670</v>
      </c>
      <c r="AF54" s="228">
        <f t="shared" ref="AF54:AK54" si="88">AF53+AF51+AF52</f>
        <v>720</v>
      </c>
      <c r="AG54" s="228">
        <f t="shared" si="88"/>
        <v>661</v>
      </c>
      <c r="AH54" s="228">
        <f t="shared" si="88"/>
        <v>594</v>
      </c>
      <c r="AI54" s="228">
        <f t="shared" si="88"/>
        <v>1185</v>
      </c>
      <c r="AJ54" s="229">
        <f t="shared" si="88"/>
        <v>1355</v>
      </c>
      <c r="AK54" s="228">
        <f t="shared" si="88"/>
        <v>2435</v>
      </c>
      <c r="AL54" s="228">
        <f t="shared" ref="AL54:AO54" si="89">AL53+AL51+AL52</f>
        <v>2492</v>
      </c>
      <c r="AM54" s="228">
        <f t="shared" si="89"/>
        <v>1614</v>
      </c>
      <c r="AN54" s="229">
        <f t="shared" si="89"/>
        <v>1488</v>
      </c>
      <c r="AO54" s="228">
        <f t="shared" si="89"/>
        <v>1335</v>
      </c>
      <c r="AP54" s="228">
        <f t="shared" ref="AP54:AS54" si="90">AP53+AP51+AP52</f>
        <v>1569</v>
      </c>
      <c r="AQ54" s="228">
        <f t="shared" si="90"/>
        <v>1894</v>
      </c>
      <c r="AR54" s="229">
        <f t="shared" si="90"/>
        <v>2238</v>
      </c>
      <c r="AS54" s="228">
        <f t="shared" si="90"/>
        <v>2642</v>
      </c>
      <c r="AT54" s="228">
        <f t="shared" ref="AT54:AU54" si="91">AT53+AT51+AT52</f>
        <v>3065</v>
      </c>
      <c r="AU54" s="228">
        <f t="shared" si="91"/>
        <v>3547</v>
      </c>
      <c r="AV54" s="229">
        <f t="shared" ref="AV54:AY54" si="92">AV53+AV51+AV52</f>
        <v>4194.6587333745929</v>
      </c>
      <c r="AW54" s="228">
        <f t="shared" si="92"/>
        <v>4805.9125053093858</v>
      </c>
      <c r="AX54" s="228">
        <f t="shared" si="92"/>
        <v>5453.0583230743287</v>
      </c>
      <c r="AY54" s="230">
        <f t="shared" si="92"/>
        <v>6144.9133425871196</v>
      </c>
      <c r="AZ54" s="20"/>
      <c r="BA54" s="221">
        <f t="shared" ref="BA54:BJ54" si="93">BA53+BA51+BA52</f>
        <v>1041</v>
      </c>
      <c r="BB54" s="220">
        <f t="shared" si="93"/>
        <v>1796</v>
      </c>
      <c r="BC54" s="220">
        <f t="shared" si="93"/>
        <v>1026</v>
      </c>
      <c r="BD54" s="220">
        <f t="shared" si="93"/>
        <v>898</v>
      </c>
      <c r="BE54" s="229">
        <f t="shared" si="93"/>
        <v>743</v>
      </c>
      <c r="BF54" s="228">
        <f t="shared" si="93"/>
        <v>617</v>
      </c>
      <c r="BG54" s="229">
        <f t="shared" si="93"/>
        <v>670</v>
      </c>
      <c r="BH54" s="228">
        <f t="shared" si="93"/>
        <v>1185</v>
      </c>
      <c r="BI54" s="229">
        <f t="shared" si="93"/>
        <v>1614</v>
      </c>
      <c r="BJ54" s="228">
        <f t="shared" si="93"/>
        <v>1894</v>
      </c>
      <c r="BK54" s="228">
        <f t="shared" ref="BK54:BL54" si="94">BK53+BK51+BK52</f>
        <v>3547</v>
      </c>
      <c r="BL54" s="228">
        <f t="shared" si="94"/>
        <v>6144.9133425871196</v>
      </c>
      <c r="BM54" s="228">
        <f>BM53+BM51+BM52</f>
        <v>8987.2571609383012</v>
      </c>
      <c r="BN54" s="230">
        <f>BN53+BN51+BN52</f>
        <v>11984.679652378612</v>
      </c>
      <c r="BO54" s="22"/>
    </row>
    <row r="55" spans="1:67" ht="14.25" customHeight="1">
      <c r="A55" s="8"/>
      <c r="B55" s="231"/>
      <c r="C55" s="231"/>
      <c r="D55" s="220"/>
      <c r="E55" s="220"/>
      <c r="F55" s="220"/>
      <c r="G55" s="220"/>
      <c r="H55" s="220"/>
      <c r="I55" s="220"/>
      <c r="J55" s="220"/>
      <c r="K55" s="220"/>
      <c r="L55" s="220"/>
      <c r="M55" s="220"/>
      <c r="N55" s="220"/>
      <c r="O55" s="220"/>
      <c r="P55" s="220"/>
      <c r="Q55" s="220"/>
      <c r="R55" s="220"/>
      <c r="S55" s="220"/>
      <c r="T55" s="220"/>
      <c r="U55" s="220"/>
      <c r="V55" s="220"/>
      <c r="W55" s="220"/>
      <c r="X55" s="220"/>
      <c r="Y55" s="220"/>
      <c r="Z55" s="220"/>
      <c r="AA55" s="220"/>
      <c r="AB55" s="220"/>
      <c r="AC55" s="220"/>
      <c r="AD55" s="220"/>
      <c r="AE55" s="220"/>
      <c r="AF55" s="220"/>
      <c r="AG55" s="220"/>
      <c r="AH55" s="220"/>
      <c r="AI55" s="220"/>
      <c r="AJ55" s="220"/>
      <c r="AK55" s="220"/>
      <c r="AL55" s="220"/>
      <c r="AM55" s="220"/>
      <c r="AN55" s="220"/>
      <c r="AO55" s="220"/>
      <c r="AP55" s="220"/>
      <c r="AQ55" s="220"/>
      <c r="AR55" s="220"/>
      <c r="AS55" s="220"/>
      <c r="AT55" s="220"/>
      <c r="AU55" s="220"/>
      <c r="AV55" s="220"/>
      <c r="AW55" s="220"/>
      <c r="AX55" s="220"/>
      <c r="AY55" s="220"/>
      <c r="AZ55" s="14"/>
      <c r="BA55" s="169"/>
      <c r="BB55" s="167"/>
      <c r="BC55" s="167"/>
      <c r="BD55" s="167"/>
      <c r="BE55" s="169"/>
      <c r="BF55" s="167"/>
      <c r="BG55" s="167"/>
      <c r="BH55" s="167"/>
      <c r="BI55" s="167"/>
      <c r="BJ55" s="167"/>
      <c r="BK55" s="167"/>
      <c r="BL55" s="167"/>
      <c r="BM55" s="167"/>
      <c r="BN55" s="167"/>
      <c r="BO55" s="8"/>
    </row>
    <row r="56" spans="1:67" ht="14.25" customHeight="1">
      <c r="A56" s="8"/>
      <c r="B56" s="62" t="str">
        <f t="shared" si="70"/>
        <v>vs. Balance Sheet</v>
      </c>
      <c r="C56" s="232"/>
      <c r="D56" s="173">
        <f>BS!D11</f>
        <v>826</v>
      </c>
      <c r="E56" s="173">
        <f>BS!E11</f>
        <v>691</v>
      </c>
      <c r="F56" s="173">
        <f>BS!F11</f>
        <v>963</v>
      </c>
      <c r="G56" s="174">
        <f>BS!G11</f>
        <v>1041</v>
      </c>
      <c r="H56" s="173">
        <f>BS!H11</f>
        <v>519</v>
      </c>
      <c r="I56" s="173">
        <f>BS!I11</f>
        <v>660</v>
      </c>
      <c r="J56" s="173">
        <f>BS!J11</f>
        <v>1535</v>
      </c>
      <c r="K56" s="174">
        <f>BS!K11</f>
        <v>1796</v>
      </c>
      <c r="L56" s="173">
        <f>BS!L11</f>
        <v>1699</v>
      </c>
      <c r="M56" s="173">
        <f>BS!M11</f>
        <v>1358</v>
      </c>
      <c r="N56" s="173">
        <f>BS!N11</f>
        <v>1041</v>
      </c>
      <c r="O56" s="174">
        <f>BS!O11</f>
        <v>1026</v>
      </c>
      <c r="P56" s="173">
        <f>BS!P11</f>
        <v>855</v>
      </c>
      <c r="Q56" s="173">
        <f>BS!Q11</f>
        <v>826</v>
      </c>
      <c r="R56" s="173">
        <f>BS!R11</f>
        <v>947</v>
      </c>
      <c r="S56" s="174">
        <f>BS!S11</f>
        <v>898</v>
      </c>
      <c r="T56" s="173">
        <f>BS!T11</f>
        <v>879</v>
      </c>
      <c r="U56" s="173">
        <f>BS!U11</f>
        <v>859</v>
      </c>
      <c r="V56" s="173">
        <f>BS!V11</f>
        <v>865</v>
      </c>
      <c r="W56" s="176">
        <f>BS!W11</f>
        <v>743</v>
      </c>
      <c r="X56" s="173">
        <f>BS!X11</f>
        <v>782</v>
      </c>
      <c r="Y56" s="173">
        <f>BS!Y11</f>
        <v>837</v>
      </c>
      <c r="Z56" s="173">
        <f>BS!Z11</f>
        <v>702</v>
      </c>
      <c r="AA56" s="174">
        <f>BS!AA11</f>
        <v>617</v>
      </c>
      <c r="AB56" s="173">
        <f>BS!AB11</f>
        <v>595</v>
      </c>
      <c r="AC56" s="173">
        <f>BS!AC11</f>
        <v>569</v>
      </c>
      <c r="AD56" s="173">
        <f>BS!AD11</f>
        <v>941</v>
      </c>
      <c r="AE56" s="174">
        <f>BS!AE11</f>
        <v>670</v>
      </c>
      <c r="AF56" s="173">
        <f>BS!AF11</f>
        <v>720</v>
      </c>
      <c r="AG56" s="173">
        <f>BS!AG11</f>
        <v>661</v>
      </c>
      <c r="AH56" s="173">
        <f>BS!AH11</f>
        <v>594</v>
      </c>
      <c r="AI56" s="174">
        <f>BS!AI11</f>
        <v>1185</v>
      </c>
      <c r="AJ56" s="173">
        <f>BS!AJ11</f>
        <v>1355</v>
      </c>
      <c r="AK56" s="173">
        <f>BS!AK11</f>
        <v>2435</v>
      </c>
      <c r="AL56" s="173">
        <f>BS!AL11</f>
        <v>2492</v>
      </c>
      <c r="AM56" s="174">
        <f>BS!AM11</f>
        <v>1614</v>
      </c>
      <c r="AN56" s="173">
        <f>BS!AN11</f>
        <v>1488</v>
      </c>
      <c r="AO56" s="173">
        <f>BS!AO11</f>
        <v>1335</v>
      </c>
      <c r="AP56" s="173">
        <f>BS!AP11</f>
        <v>1569</v>
      </c>
      <c r="AQ56" s="174">
        <f>BS!AQ11</f>
        <v>1894</v>
      </c>
      <c r="AR56" s="173">
        <f>BS!AR11</f>
        <v>2238</v>
      </c>
      <c r="AS56" s="173">
        <f>BS!AS11</f>
        <v>2642</v>
      </c>
      <c r="AT56" s="173">
        <f>BS!AT11</f>
        <v>3065</v>
      </c>
      <c r="AU56" s="174">
        <f>BS!AU11</f>
        <v>3547</v>
      </c>
      <c r="AV56" s="173">
        <f>BS!AV11</f>
        <v>4194.6587333745929</v>
      </c>
      <c r="AW56" s="173">
        <f>BS!AW11</f>
        <v>4805.9125053093858</v>
      </c>
      <c r="AX56" s="173">
        <f>BS!AX11</f>
        <v>5453.0583230743287</v>
      </c>
      <c r="AY56" s="174">
        <f>BS!AY11</f>
        <v>6144.9133425871196</v>
      </c>
      <c r="AZ56" s="20"/>
      <c r="BA56" s="1096">
        <f>BS!BA11</f>
        <v>1041</v>
      </c>
      <c r="BB56" s="233">
        <f>BS!BB11</f>
        <v>1796</v>
      </c>
      <c r="BC56" s="233">
        <f>BS!BC11</f>
        <v>1026</v>
      </c>
      <c r="BD56" s="233">
        <f>BS!BD11</f>
        <v>898</v>
      </c>
      <c r="BE56" s="1096">
        <f>BS!BE11</f>
        <v>743</v>
      </c>
      <c r="BF56" s="233">
        <f>BS!BF11</f>
        <v>617</v>
      </c>
      <c r="BG56" s="1096">
        <f>BS!BG11</f>
        <v>670</v>
      </c>
      <c r="BH56" s="233">
        <f>BS!BH11</f>
        <v>1185</v>
      </c>
      <c r="BI56" s="233">
        <f>BS!BI11</f>
        <v>1614</v>
      </c>
      <c r="BJ56" s="233">
        <f>BS!BJ11</f>
        <v>1894</v>
      </c>
      <c r="BK56" s="233">
        <f>BS!BK11</f>
        <v>3547</v>
      </c>
      <c r="BL56" s="233">
        <f>BS!BL11</f>
        <v>6144.9133425871196</v>
      </c>
      <c r="BM56" s="233">
        <f>BS!BM11</f>
        <v>8987.2571609383012</v>
      </c>
      <c r="BN56" s="233">
        <f>BS!BN11</f>
        <v>11984.679652378612</v>
      </c>
      <c r="BO56" s="22"/>
    </row>
    <row r="57" spans="1:67" ht="14.25" customHeight="1">
      <c r="A57" s="8"/>
      <c r="B57" s="144" t="str">
        <f t="shared" si="70"/>
        <v>Check</v>
      </c>
      <c r="C57" s="145"/>
      <c r="D57" s="148">
        <f t="shared" ref="D57:R57" si="95">IF(ROUND(D56,4)=ROUND(D54,4),0,(D56-D54))</f>
        <v>0</v>
      </c>
      <c r="E57" s="146">
        <f t="shared" si="95"/>
        <v>0</v>
      </c>
      <c r="F57" s="146">
        <f t="shared" si="95"/>
        <v>0</v>
      </c>
      <c r="G57" s="147">
        <f t="shared" si="95"/>
        <v>0</v>
      </c>
      <c r="H57" s="148">
        <f t="shared" si="95"/>
        <v>0</v>
      </c>
      <c r="I57" s="146">
        <f t="shared" si="95"/>
        <v>0</v>
      </c>
      <c r="J57" s="146">
        <f t="shared" si="95"/>
        <v>0</v>
      </c>
      <c r="K57" s="147">
        <f t="shared" si="95"/>
        <v>0</v>
      </c>
      <c r="L57" s="148">
        <f t="shared" si="95"/>
        <v>0</v>
      </c>
      <c r="M57" s="146">
        <f t="shared" si="95"/>
        <v>0</v>
      </c>
      <c r="N57" s="146">
        <f t="shared" si="95"/>
        <v>0</v>
      </c>
      <c r="O57" s="147">
        <f t="shared" si="95"/>
        <v>0</v>
      </c>
      <c r="P57" s="148">
        <f t="shared" si="95"/>
        <v>0</v>
      </c>
      <c r="Q57" s="146">
        <f t="shared" si="95"/>
        <v>0</v>
      </c>
      <c r="R57" s="146">
        <f t="shared" si="95"/>
        <v>0</v>
      </c>
      <c r="S57" s="147">
        <f t="shared" ref="S57:Y57" si="96">IF(ROUND(S56,4)=ROUND(S54,4),0,(S56-S54))</f>
        <v>0</v>
      </c>
      <c r="T57" s="148">
        <f t="shared" si="96"/>
        <v>0</v>
      </c>
      <c r="U57" s="146">
        <f t="shared" si="96"/>
        <v>0</v>
      </c>
      <c r="V57" s="146">
        <f t="shared" si="96"/>
        <v>0</v>
      </c>
      <c r="W57" s="146">
        <f t="shared" si="96"/>
        <v>0</v>
      </c>
      <c r="X57" s="148">
        <f t="shared" si="96"/>
        <v>0</v>
      </c>
      <c r="Y57" s="146">
        <f t="shared" si="96"/>
        <v>0</v>
      </c>
      <c r="Z57" s="146">
        <f t="shared" ref="Z57:AI57" si="97">IF(ROUND(Z56,4)=ROUND(Z54,4),0,(Z56-Z54))</f>
        <v>0</v>
      </c>
      <c r="AA57" s="147">
        <f t="shared" si="97"/>
        <v>0</v>
      </c>
      <c r="AB57" s="148">
        <f t="shared" si="97"/>
        <v>0</v>
      </c>
      <c r="AC57" s="146">
        <f t="shared" si="97"/>
        <v>0</v>
      </c>
      <c r="AD57" s="146">
        <f t="shared" si="97"/>
        <v>0</v>
      </c>
      <c r="AE57" s="147">
        <f t="shared" si="97"/>
        <v>0</v>
      </c>
      <c r="AF57" s="148">
        <f>IF(ROUND(AF56,4)=ROUND(AF54,4),0,(AF56-AF54))</f>
        <v>0</v>
      </c>
      <c r="AG57" s="146">
        <f>IF(ROUND(AG56,4)=ROUND(AG54,4),0,(AG56-AG54))</f>
        <v>0</v>
      </c>
      <c r="AH57" s="146">
        <f>IF(ROUND(AH56,4)=ROUND(AH54,4),0,(AH56-AH54))</f>
        <v>0</v>
      </c>
      <c r="AI57" s="147">
        <f t="shared" si="97"/>
        <v>0</v>
      </c>
      <c r="AJ57" s="148">
        <f>IF(ROUND(AJ56,4)=ROUND(AJ54,4),0,(AJ56-AJ54))</f>
        <v>0</v>
      </c>
      <c r="AK57" s="146">
        <f>IF(ROUND(AK56,4)=ROUND(AK54,4),0,(AK56-AK54))</f>
        <v>0</v>
      </c>
      <c r="AL57" s="146">
        <f>IF(ROUND(AL56,4)=ROUND(AL54,4),0,(AL56-AL54))</f>
        <v>0</v>
      </c>
      <c r="AM57" s="147">
        <f t="shared" ref="AM57" si="98">IF(ROUND(AM56,4)=ROUND(AM54,4),0,(AM56-AM54))</f>
        <v>0</v>
      </c>
      <c r="AN57" s="148">
        <f>IF(ROUND(AN56,4)=ROUND(AN54,4),0,(AN56-AN54))</f>
        <v>0</v>
      </c>
      <c r="AO57" s="146">
        <f>IF(ROUND(AO56,4)=ROUND(AO54,4),0,(AO56-AO54))</f>
        <v>0</v>
      </c>
      <c r="AP57" s="146">
        <f>IF(ROUND(AP56,4)=ROUND(AP54,4),0,(AP56-AP54))</f>
        <v>0</v>
      </c>
      <c r="AQ57" s="147">
        <f t="shared" ref="AQ57" si="99">IF(ROUND(AQ56,4)=ROUND(AQ54,4),0,(AQ56-AQ54))</f>
        <v>0</v>
      </c>
      <c r="AR57" s="148">
        <f>IF(ROUND(AR56,4)=ROUND(AR54,4),0,(AR56-AR54))</f>
        <v>0</v>
      </c>
      <c r="AS57" s="146">
        <f>IF(ROUND(AS56,4)=ROUND(AS54,4),0,(AS56-AS54))</f>
        <v>0</v>
      </c>
      <c r="AT57" s="146">
        <f>IF(ROUND(AT56,4)=ROUND(AT54,4),0,(AT56-AT54))</f>
        <v>0</v>
      </c>
      <c r="AU57" s="147">
        <f t="shared" ref="AU57" si="100">IF(ROUND(AU56,4)=ROUND(AU54,4),0,(AU56-AU54))</f>
        <v>0</v>
      </c>
      <c r="AV57" s="148">
        <f t="shared" ref="AV57:AY57" si="101">IF(ROUND(AV56,4)=ROUND(AV54,4),0,(AV56-AV54))</f>
        <v>0</v>
      </c>
      <c r="AW57" s="146">
        <f t="shared" si="101"/>
        <v>0</v>
      </c>
      <c r="AX57" s="146">
        <f t="shared" si="101"/>
        <v>0</v>
      </c>
      <c r="AY57" s="147">
        <f t="shared" si="101"/>
        <v>0</v>
      </c>
      <c r="AZ57" s="20"/>
      <c r="BA57" s="1097">
        <f>IF(ROUND(BA56,4)=ROUND(BA54,4),0,(BA56-BA54))</f>
        <v>0</v>
      </c>
      <c r="BB57" s="234">
        <f>IF(ROUND(BB56,4)=ROUND(BB54,4),0,(BB56-BB54))</f>
        <v>0</v>
      </c>
      <c r="BC57" s="234">
        <f t="shared" ref="BC57:BM57" si="102">IF(ROUND(BC56,4)=ROUND(BC54,4),0,(BC56-BC54))</f>
        <v>0</v>
      </c>
      <c r="BD57" s="234">
        <f t="shared" si="102"/>
        <v>0</v>
      </c>
      <c r="BE57" s="1097">
        <f t="shared" si="102"/>
        <v>0</v>
      </c>
      <c r="BF57" s="234">
        <f t="shared" si="102"/>
        <v>0</v>
      </c>
      <c r="BG57" s="1097">
        <f t="shared" si="102"/>
        <v>0</v>
      </c>
      <c r="BH57" s="234">
        <f t="shared" si="102"/>
        <v>0</v>
      </c>
      <c r="BI57" s="234">
        <f t="shared" si="102"/>
        <v>0</v>
      </c>
      <c r="BJ57" s="234">
        <f t="shared" si="102"/>
        <v>0</v>
      </c>
      <c r="BK57" s="234">
        <f t="shared" ref="BK57:BL57" si="103">IF(ROUND(BK56,4)=ROUND(BK54,4),0,(BK56-BK54))</f>
        <v>0</v>
      </c>
      <c r="BL57" s="234">
        <f t="shared" si="103"/>
        <v>0</v>
      </c>
      <c r="BM57" s="234">
        <f t="shared" si="102"/>
        <v>0</v>
      </c>
      <c r="BN57" s="234">
        <f t="shared" ref="BN57" si="104">IF(ROUND(BN56,4)=ROUND(BN54,4),0,(BN56-BN54))</f>
        <v>0</v>
      </c>
      <c r="BO57" s="22"/>
    </row>
    <row r="58" spans="1:67" ht="14.25" customHeight="1">
      <c r="A58" s="8"/>
      <c r="B58" s="235"/>
      <c r="C58" s="235"/>
      <c r="D58" s="788"/>
      <c r="E58" s="788"/>
      <c r="F58" s="788"/>
      <c r="G58" s="788"/>
      <c r="H58" s="788"/>
      <c r="I58" s="788"/>
      <c r="J58" s="788"/>
      <c r="K58" s="788"/>
      <c r="L58" s="788"/>
      <c r="M58" s="788"/>
      <c r="N58" s="788"/>
      <c r="O58" s="788"/>
      <c r="P58" s="788"/>
      <c r="Q58" s="788"/>
      <c r="R58" s="788"/>
      <c r="S58" s="788"/>
      <c r="T58" s="788"/>
      <c r="U58" s="788"/>
      <c r="V58" s="788"/>
      <c r="W58" s="788"/>
      <c r="X58" s="788"/>
      <c r="Y58" s="788"/>
      <c r="Z58" s="788"/>
      <c r="AA58" s="236"/>
      <c r="AB58" s="236"/>
      <c r="AC58" s="236"/>
      <c r="AD58" s="788"/>
      <c r="AE58" s="236"/>
      <c r="AF58" s="236"/>
      <c r="AG58" s="236"/>
      <c r="AH58" s="236"/>
      <c r="AI58" s="236"/>
      <c r="AJ58" s="236"/>
      <c r="AK58" s="236"/>
      <c r="AL58" s="236"/>
      <c r="AM58" s="236"/>
      <c r="AN58" s="236"/>
      <c r="AO58" s="236"/>
      <c r="AP58" s="236"/>
      <c r="AQ58" s="236"/>
      <c r="AR58" s="236"/>
      <c r="AS58" s="236"/>
      <c r="AT58" s="236"/>
      <c r="AU58" s="236"/>
      <c r="AV58" s="236"/>
      <c r="AW58" s="236"/>
      <c r="AX58" s="236"/>
      <c r="AY58" s="236"/>
      <c r="AZ58" s="14"/>
      <c r="BA58" s="236"/>
      <c r="BB58" s="236"/>
      <c r="BC58" s="236"/>
      <c r="BD58" s="236"/>
      <c r="BE58" s="236"/>
      <c r="BF58" s="236"/>
      <c r="BG58" s="236"/>
      <c r="BH58" s="236"/>
      <c r="BI58" s="236"/>
      <c r="BJ58" s="236"/>
      <c r="BK58" s="236"/>
      <c r="BL58" s="236"/>
      <c r="BM58" s="236"/>
      <c r="BN58" s="236"/>
      <c r="BO58" s="8"/>
    </row>
    <row r="59" spans="1:67" ht="14.25" customHeight="1">
      <c r="A59" s="8"/>
      <c r="B59" s="14"/>
      <c r="C59" s="14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37"/>
      <c r="T59" s="237"/>
      <c r="U59" s="237"/>
      <c r="V59" s="237"/>
      <c r="W59" s="237"/>
      <c r="X59" s="237"/>
      <c r="Y59" s="237"/>
      <c r="Z59" s="237"/>
      <c r="AA59" s="237"/>
      <c r="AB59" s="237"/>
      <c r="AC59" s="237"/>
      <c r="AD59" s="237"/>
      <c r="AE59" s="237"/>
      <c r="AF59" s="237"/>
      <c r="AG59" s="237"/>
      <c r="AH59" s="237"/>
      <c r="AI59" s="237"/>
      <c r="AJ59" s="237"/>
      <c r="AK59" s="237"/>
      <c r="AL59" s="237"/>
      <c r="AM59" s="237"/>
      <c r="AN59" s="237"/>
      <c r="AO59" s="237"/>
      <c r="AP59" s="237"/>
      <c r="AQ59" s="237"/>
      <c r="AR59" s="237"/>
      <c r="AS59" s="237"/>
      <c r="AT59" s="237"/>
      <c r="AU59" s="237"/>
      <c r="AV59" s="237"/>
      <c r="AW59" s="237"/>
      <c r="AX59" s="237"/>
      <c r="AY59" s="237"/>
      <c r="AZ59" s="14"/>
      <c r="BA59" s="237"/>
      <c r="BB59" s="237"/>
      <c r="BC59" s="237"/>
      <c r="BD59" s="237"/>
      <c r="BE59" s="237"/>
      <c r="BF59" s="1170"/>
      <c r="BG59" s="237"/>
      <c r="BH59" s="237"/>
      <c r="BI59" s="237"/>
      <c r="BJ59" s="237"/>
      <c r="BK59" s="237"/>
      <c r="BL59" s="237"/>
      <c r="BM59" s="237"/>
      <c r="BN59" s="237"/>
      <c r="BO59" s="8"/>
    </row>
    <row r="60" spans="1:67" ht="14.25" customHeight="1">
      <c r="A60" s="8"/>
      <c r="B60" s="14"/>
      <c r="C60" s="238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T60" s="237"/>
      <c r="U60" s="237"/>
      <c r="V60" s="237"/>
      <c r="W60" s="237"/>
      <c r="X60" s="237"/>
      <c r="Y60" s="237"/>
      <c r="Z60" s="237"/>
      <c r="AA60" s="237"/>
      <c r="AB60" s="237"/>
      <c r="AC60" s="237"/>
      <c r="AD60" s="237"/>
      <c r="AE60" s="237"/>
      <c r="AF60" s="237"/>
      <c r="AG60" s="237"/>
      <c r="AH60" s="237"/>
      <c r="AI60" s="237"/>
      <c r="AJ60" s="237"/>
      <c r="AK60" s="237"/>
      <c r="AL60" s="237"/>
      <c r="AM60" s="237"/>
      <c r="AN60" s="237"/>
      <c r="AO60" s="237"/>
      <c r="AP60" s="237"/>
      <c r="AQ60" s="237"/>
      <c r="AR60" s="237"/>
      <c r="AS60" s="237"/>
      <c r="AT60" s="237"/>
      <c r="AU60" s="237"/>
      <c r="AV60" s="237"/>
      <c r="AW60" s="237"/>
      <c r="AX60" s="237"/>
      <c r="AY60" s="237"/>
      <c r="AZ60" s="14"/>
      <c r="BA60" s="237"/>
      <c r="BB60" s="237"/>
      <c r="BC60" s="237"/>
      <c r="BD60" s="237"/>
      <c r="BE60" s="237"/>
      <c r="BF60" s="1170"/>
      <c r="BG60" s="237"/>
      <c r="BH60" s="237"/>
      <c r="BI60" s="237"/>
      <c r="BJ60" s="237"/>
      <c r="BK60" s="237"/>
      <c r="BL60" s="237"/>
      <c r="BM60" s="237"/>
      <c r="BN60" s="237"/>
      <c r="BO60" s="8"/>
    </row>
    <row r="61" spans="1:67" ht="14.25" customHeight="1">
      <c r="A61" s="8"/>
      <c r="B61" s="153" t="s">
        <v>204</v>
      </c>
      <c r="C61" s="154"/>
      <c r="D61" s="239" t="str">
        <f t="shared" ref="D61:O61" si="105">D9</f>
        <v>F1Q07A</v>
      </c>
      <c r="E61" s="239" t="str">
        <f t="shared" si="105"/>
        <v>F2Q07A</v>
      </c>
      <c r="F61" s="239" t="str">
        <f t="shared" si="105"/>
        <v>F3Q07A</v>
      </c>
      <c r="G61" s="240" t="str">
        <f t="shared" si="105"/>
        <v>F4Q07A</v>
      </c>
      <c r="H61" s="239" t="str">
        <f t="shared" si="105"/>
        <v>F1Q08A</v>
      </c>
      <c r="I61" s="239" t="str">
        <f t="shared" si="105"/>
        <v>F2Q08A</v>
      </c>
      <c r="J61" s="239" t="str">
        <f t="shared" si="105"/>
        <v>F3Q08A</v>
      </c>
      <c r="K61" s="240" t="str">
        <f t="shared" si="105"/>
        <v>F4Q08A</v>
      </c>
      <c r="L61" s="239" t="str">
        <f t="shared" si="105"/>
        <v>F1Q09A</v>
      </c>
      <c r="M61" s="239" t="str">
        <f t="shared" si="105"/>
        <v>F2Q09A</v>
      </c>
      <c r="N61" s="239" t="str">
        <f t="shared" si="105"/>
        <v>F3Q09A</v>
      </c>
      <c r="O61" s="240" t="str">
        <f t="shared" si="105"/>
        <v>F4Q09A</v>
      </c>
      <c r="P61" s="239" t="str">
        <f t="shared" ref="P61:AI61" si="106">P9</f>
        <v>F1Q10A</v>
      </c>
      <c r="Q61" s="239" t="str">
        <f t="shared" si="106"/>
        <v>F2Q10A</v>
      </c>
      <c r="R61" s="239" t="str">
        <f t="shared" si="106"/>
        <v>F3Q10A</v>
      </c>
      <c r="S61" s="240" t="str">
        <f t="shared" si="106"/>
        <v>F4Q10A</v>
      </c>
      <c r="T61" s="239" t="str">
        <f t="shared" si="106"/>
        <v>F1Q11A</v>
      </c>
      <c r="U61" s="239" t="str">
        <f>U9</f>
        <v>F2Q11A</v>
      </c>
      <c r="V61" s="239" t="str">
        <f>V9</f>
        <v>F3Q11A</v>
      </c>
      <c r="W61" s="240" t="str">
        <f>W9</f>
        <v>F4Q11A</v>
      </c>
      <c r="X61" s="239" t="str">
        <f>X9</f>
        <v>F1Q12A</v>
      </c>
      <c r="Y61" s="239" t="str">
        <f>Y9</f>
        <v>F2Q12A</v>
      </c>
      <c r="Z61" s="239" t="str">
        <f t="shared" si="106"/>
        <v>F3Q12A</v>
      </c>
      <c r="AA61" s="240" t="str">
        <f t="shared" si="106"/>
        <v>F4Q12A</v>
      </c>
      <c r="AB61" s="239" t="str">
        <f t="shared" si="106"/>
        <v>F1Q13A</v>
      </c>
      <c r="AC61" s="239" t="str">
        <f t="shared" si="106"/>
        <v>F2Q13A</v>
      </c>
      <c r="AD61" s="239" t="str">
        <f>AD9</f>
        <v>F3Q13A</v>
      </c>
      <c r="AE61" s="240" t="str">
        <f t="shared" si="106"/>
        <v>F4Q13A</v>
      </c>
      <c r="AF61" s="239" t="str">
        <f t="shared" si="106"/>
        <v>F1Q14A</v>
      </c>
      <c r="AG61" s="239" t="str">
        <f t="shared" si="106"/>
        <v>F2Q14A</v>
      </c>
      <c r="AH61" s="239" t="str">
        <f t="shared" si="106"/>
        <v>F3Q14A</v>
      </c>
      <c r="AI61" s="240" t="str">
        <f t="shared" si="106"/>
        <v>F4Q14A</v>
      </c>
      <c r="AJ61" s="239" t="str">
        <f t="shared" ref="AJ61:AM61" si="107">AJ9</f>
        <v>F1Q15A</v>
      </c>
      <c r="AK61" s="239" t="str">
        <f t="shared" si="107"/>
        <v>F2Q15A</v>
      </c>
      <c r="AL61" s="239" t="str">
        <f t="shared" si="107"/>
        <v>F3Q15A</v>
      </c>
      <c r="AM61" s="240" t="str">
        <f t="shared" si="107"/>
        <v>F4Q15A</v>
      </c>
      <c r="AN61" s="1608" t="str">
        <f t="shared" ref="AN61:AQ61" si="108">AN9</f>
        <v>F1Q16A</v>
      </c>
      <c r="AO61" s="1608" t="str">
        <f t="shared" si="108"/>
        <v>F2Q16A</v>
      </c>
      <c r="AP61" s="1608" t="str">
        <f t="shared" si="108"/>
        <v>F3Q16A</v>
      </c>
      <c r="AQ61" s="1609" t="str">
        <f t="shared" si="108"/>
        <v>F4Q16A</v>
      </c>
      <c r="AR61" s="1855" t="str">
        <f t="shared" ref="AR61" si="109">AR9</f>
        <v>F1Q17A</v>
      </c>
      <c r="AS61" s="1854" t="str">
        <f t="shared" ref="AS61:AU61" si="110">AS9</f>
        <v>F2Q17A</v>
      </c>
      <c r="AT61" s="1854" t="str">
        <f t="shared" si="110"/>
        <v>F3Q17A</v>
      </c>
      <c r="AU61" s="1856" t="str">
        <f t="shared" si="110"/>
        <v>F4Q17A</v>
      </c>
      <c r="AV61" s="239" t="str">
        <f t="shared" ref="AV61:AY61" si="111">AV9</f>
        <v>F1Q18E</v>
      </c>
      <c r="AW61" s="239" t="str">
        <f t="shared" si="111"/>
        <v>F2Q18E</v>
      </c>
      <c r="AX61" s="239" t="str">
        <f t="shared" si="111"/>
        <v>F3Q18E</v>
      </c>
      <c r="AY61" s="240" t="str">
        <f t="shared" si="111"/>
        <v>F4Q18E</v>
      </c>
      <c r="AZ61" s="20"/>
      <c r="BA61" s="17" t="str">
        <f>BA9</f>
        <v>FY2007A</v>
      </c>
      <c r="BB61" s="18" t="str">
        <f>BB9</f>
        <v>FY2008A</v>
      </c>
      <c r="BC61" s="18" t="str">
        <f t="shared" ref="BC61:BH61" si="112">BC9</f>
        <v>FY2009A</v>
      </c>
      <c r="BD61" s="18" t="str">
        <f t="shared" si="112"/>
        <v>FY2010A</v>
      </c>
      <c r="BE61" s="17" t="str">
        <f t="shared" si="112"/>
        <v>FY2011A</v>
      </c>
      <c r="BF61" s="18" t="str">
        <f t="shared" si="112"/>
        <v>FY2012A</v>
      </c>
      <c r="BG61" s="17" t="str">
        <f t="shared" si="112"/>
        <v>FY2013A</v>
      </c>
      <c r="BH61" s="18" t="str">
        <f t="shared" si="112"/>
        <v>FY2014A</v>
      </c>
      <c r="BI61" s="18" t="str">
        <f t="shared" ref="BI61:BN61" si="113">BI9</f>
        <v>FY2015A</v>
      </c>
      <c r="BJ61" s="1503" t="str">
        <f t="shared" si="113"/>
        <v>FY2016A</v>
      </c>
      <c r="BK61" s="1804" t="str">
        <f t="shared" si="113"/>
        <v>FY2017A</v>
      </c>
      <c r="BL61" s="1804" t="str">
        <f t="shared" si="113"/>
        <v>FY2018E</v>
      </c>
      <c r="BM61" s="1804" t="str">
        <f t="shared" si="113"/>
        <v>FY2019E</v>
      </c>
      <c r="BN61" s="1804" t="str">
        <f t="shared" si="113"/>
        <v>FY2020E</v>
      </c>
      <c r="BO61" s="22"/>
    </row>
    <row r="62" spans="1:67" ht="14.25" customHeight="1">
      <c r="A62" s="8"/>
      <c r="B62" s="22" t="s">
        <v>205</v>
      </c>
      <c r="C62" s="241"/>
      <c r="D62" s="242">
        <f t="shared" ref="D62:O62" si="114">-D33</f>
        <v>106</v>
      </c>
      <c r="E62" s="242">
        <f t="shared" si="114"/>
        <v>118</v>
      </c>
      <c r="F62" s="242">
        <f t="shared" si="114"/>
        <v>146</v>
      </c>
      <c r="G62" s="243">
        <f t="shared" si="114"/>
        <v>179</v>
      </c>
      <c r="H62" s="242">
        <f t="shared" si="114"/>
        <v>143</v>
      </c>
      <c r="I62" s="242">
        <f t="shared" si="114"/>
        <v>139</v>
      </c>
      <c r="J62" s="242">
        <f t="shared" si="114"/>
        <v>62</v>
      </c>
      <c r="K62" s="243">
        <f t="shared" si="114"/>
        <v>35</v>
      </c>
      <c r="L62" s="242">
        <f t="shared" si="114"/>
        <v>36</v>
      </c>
      <c r="M62" s="242">
        <f t="shared" si="114"/>
        <v>6</v>
      </c>
      <c r="N62" s="242">
        <f t="shared" si="114"/>
        <v>11</v>
      </c>
      <c r="O62" s="243">
        <f t="shared" si="114"/>
        <v>39</v>
      </c>
      <c r="P62" s="242">
        <f t="shared" ref="P62:U62" si="115">-P33</f>
        <v>49</v>
      </c>
      <c r="Q62" s="242">
        <f t="shared" si="115"/>
        <v>71</v>
      </c>
      <c r="R62" s="242">
        <f t="shared" si="115"/>
        <v>61</v>
      </c>
      <c r="S62" s="243">
        <f t="shared" si="115"/>
        <v>77</v>
      </c>
      <c r="T62" s="242">
        <f t="shared" si="115"/>
        <v>64</v>
      </c>
      <c r="U62" s="242">
        <f t="shared" si="115"/>
        <v>71</v>
      </c>
      <c r="V62" s="242">
        <f t="shared" ref="V62:AA62" si="116">-V33</f>
        <v>45</v>
      </c>
      <c r="W62" s="243">
        <f t="shared" si="116"/>
        <v>40</v>
      </c>
      <c r="X62" s="242">
        <f t="shared" si="116"/>
        <v>39</v>
      </c>
      <c r="Y62" s="242">
        <f t="shared" si="116"/>
        <v>74</v>
      </c>
      <c r="Z62" s="242">
        <f t="shared" si="116"/>
        <v>92</v>
      </c>
      <c r="AA62" s="245">
        <f t="shared" si="116"/>
        <v>46</v>
      </c>
      <c r="AB62" s="242">
        <f t="shared" ref="AB62:AG62" si="117">-AB33</f>
        <v>41</v>
      </c>
      <c r="AC62" s="242">
        <f t="shared" si="117"/>
        <v>49</v>
      </c>
      <c r="AD62" s="242">
        <f t="shared" si="117"/>
        <v>54</v>
      </c>
      <c r="AE62" s="245">
        <f t="shared" si="117"/>
        <v>71</v>
      </c>
      <c r="AF62" s="242">
        <f t="shared" si="117"/>
        <v>51</v>
      </c>
      <c r="AG62" s="242">
        <f t="shared" si="117"/>
        <v>89</v>
      </c>
      <c r="AH62" s="242">
        <f t="shared" ref="AH62:AP62" si="118">-AH33</f>
        <v>82</v>
      </c>
      <c r="AI62" s="243">
        <f t="shared" si="118"/>
        <v>107</v>
      </c>
      <c r="AJ62" s="242">
        <f t="shared" si="118"/>
        <v>80</v>
      </c>
      <c r="AK62" s="242">
        <f t="shared" si="118"/>
        <v>91</v>
      </c>
      <c r="AL62" s="242">
        <f t="shared" si="118"/>
        <v>78</v>
      </c>
      <c r="AM62" s="243">
        <f t="shared" si="118"/>
        <v>92</v>
      </c>
      <c r="AN62" s="242">
        <f t="shared" si="118"/>
        <v>88</v>
      </c>
      <c r="AO62" s="242">
        <f t="shared" si="118"/>
        <v>71</v>
      </c>
      <c r="AP62" s="242">
        <f t="shared" si="118"/>
        <v>99</v>
      </c>
      <c r="AQ62" s="1610">
        <f t="shared" ref="AQ62:AT62" si="119">-AQ33</f>
        <v>131</v>
      </c>
      <c r="AR62" s="1857">
        <f t="shared" si="119"/>
        <v>161</v>
      </c>
      <c r="AS62" s="1858">
        <f t="shared" si="119"/>
        <v>96</v>
      </c>
      <c r="AT62" s="1858">
        <f t="shared" si="119"/>
        <v>162</v>
      </c>
      <c r="AU62" s="1610">
        <f t="shared" ref="AU62" si="120">-AU33</f>
        <v>133</v>
      </c>
      <c r="AV62" s="1404">
        <f>'IS Inc FSL'!AV8*AV64</f>
        <v>125.94818403908796</v>
      </c>
      <c r="AW62" s="1404">
        <f>'IS Inc FSL'!AW8*AW64</f>
        <v>130.26674169381107</v>
      </c>
      <c r="AX62" s="1404">
        <f>'IS Inc FSL'!AX8*AX64</f>
        <v>135.58697260260587</v>
      </c>
      <c r="AY62" s="1404">
        <f>'IS Inc FSL'!AY8*AY64</f>
        <v>133.51889882850162</v>
      </c>
      <c r="AZ62" s="20"/>
      <c r="BA62" s="894">
        <f>-BA33</f>
        <v>549</v>
      </c>
      <c r="BB62" s="893">
        <f>-BB33</f>
        <v>379</v>
      </c>
      <c r="BC62" s="893">
        <f t="shared" ref="BC62:BH62" si="121">-BC33</f>
        <v>92</v>
      </c>
      <c r="BD62" s="263">
        <f t="shared" si="121"/>
        <v>258</v>
      </c>
      <c r="BE62" s="175">
        <f t="shared" si="121"/>
        <v>220</v>
      </c>
      <c r="BF62" s="263">
        <f t="shared" si="121"/>
        <v>251</v>
      </c>
      <c r="BG62" s="264">
        <f t="shared" si="121"/>
        <v>215</v>
      </c>
      <c r="BH62" s="263">
        <f t="shared" si="121"/>
        <v>329</v>
      </c>
      <c r="BI62" s="263">
        <f>-BI33</f>
        <v>341</v>
      </c>
      <c r="BJ62" s="263">
        <f>-BJ33</f>
        <v>389</v>
      </c>
      <c r="BK62" s="1620">
        <f>-BK33</f>
        <v>552</v>
      </c>
      <c r="BL62" s="1620">
        <f>-BL33</f>
        <v>525.32079716400654</v>
      </c>
      <c r="BM62" s="1620">
        <f>'IS Inc FSL'!BL8*CFS!BM64</f>
        <v>485.03303678000003</v>
      </c>
      <c r="BN62" s="1620">
        <f>'IS Inc FSL'!BM8*CFS!BN64</f>
        <v>511.81766484820002</v>
      </c>
      <c r="BO62" s="22"/>
    </row>
    <row r="63" spans="1:67" ht="14.25" customHeight="1">
      <c r="A63" s="8"/>
      <c r="B63" s="22" t="s">
        <v>209</v>
      </c>
      <c r="C63" s="246"/>
      <c r="D63" s="247">
        <v>0</v>
      </c>
      <c r="E63" s="247">
        <v>0</v>
      </c>
      <c r="F63" s="247">
        <v>0</v>
      </c>
      <c r="G63" s="248">
        <v>0</v>
      </c>
      <c r="H63" s="247">
        <v>0</v>
      </c>
      <c r="I63" s="247">
        <v>0</v>
      </c>
      <c r="J63" s="247">
        <v>0</v>
      </c>
      <c r="K63" s="248">
        <v>0</v>
      </c>
      <c r="L63" s="247">
        <v>0</v>
      </c>
      <c r="M63" s="247">
        <v>0</v>
      </c>
      <c r="N63" s="247">
        <v>0</v>
      </c>
      <c r="O63" s="248">
        <v>0</v>
      </c>
      <c r="P63" s="247">
        <v>0</v>
      </c>
      <c r="Q63" s="247">
        <v>0</v>
      </c>
      <c r="R63" s="247">
        <v>0</v>
      </c>
      <c r="S63" s="248">
        <v>0</v>
      </c>
      <c r="T63" s="247">
        <v>0</v>
      </c>
      <c r="U63" s="247">
        <v>0</v>
      </c>
      <c r="V63" s="247">
        <v>0</v>
      </c>
      <c r="W63" s="248">
        <v>0</v>
      </c>
      <c r="X63" s="247">
        <v>0</v>
      </c>
      <c r="Y63" s="247">
        <v>0</v>
      </c>
      <c r="Z63" s="247">
        <v>0</v>
      </c>
      <c r="AA63" s="250">
        <v>0</v>
      </c>
      <c r="AB63" s="247">
        <v>0</v>
      </c>
      <c r="AC63" s="247">
        <v>0</v>
      </c>
      <c r="AD63" s="247">
        <v>0</v>
      </c>
      <c r="AE63" s="250">
        <v>0</v>
      </c>
      <c r="AF63" s="247">
        <v>0</v>
      </c>
      <c r="AG63" s="247">
        <v>0</v>
      </c>
      <c r="AH63" s="247">
        <v>0</v>
      </c>
      <c r="AI63" s="248">
        <v>0</v>
      </c>
      <c r="AJ63" s="247">
        <v>0</v>
      </c>
      <c r="AK63" s="247">
        <v>0</v>
      </c>
      <c r="AL63" s="247">
        <v>0</v>
      </c>
      <c r="AM63" s="248">
        <v>0</v>
      </c>
      <c r="AN63" s="247">
        <v>0</v>
      </c>
      <c r="AO63" s="1612"/>
      <c r="AP63" s="1612"/>
      <c r="AQ63" s="248">
        <v>0</v>
      </c>
      <c r="AR63" s="1653"/>
      <c r="AS63" s="1859"/>
      <c r="AT63" s="1612"/>
      <c r="AU63" s="248">
        <v>0</v>
      </c>
      <c r="AV63" s="249">
        <v>0</v>
      </c>
      <c r="AW63" s="249">
        <v>0</v>
      </c>
      <c r="AX63" s="249">
        <v>0</v>
      </c>
      <c r="AY63" s="250">
        <v>0</v>
      </c>
      <c r="AZ63" s="20"/>
      <c r="BA63" s="251">
        <v>0</v>
      </c>
      <c r="BB63" s="252">
        <v>0</v>
      </c>
      <c r="BC63" s="252">
        <v>0</v>
      </c>
      <c r="BD63" s="252">
        <v>0</v>
      </c>
      <c r="BE63" s="251">
        <v>0</v>
      </c>
      <c r="BF63" s="252">
        <v>0</v>
      </c>
      <c r="BG63" s="251">
        <v>0</v>
      </c>
      <c r="BH63" s="252">
        <v>0</v>
      </c>
      <c r="BI63" s="252">
        <v>0</v>
      </c>
      <c r="BJ63" s="252">
        <v>0</v>
      </c>
      <c r="BK63" s="252">
        <v>0</v>
      </c>
      <c r="BL63" s="252">
        <v>0</v>
      </c>
      <c r="BM63" s="252">
        <v>0</v>
      </c>
      <c r="BN63" s="252">
        <v>0</v>
      </c>
      <c r="BO63" s="22"/>
    </row>
    <row r="64" spans="1:67" ht="14.25" customHeight="1">
      <c r="A64" s="8"/>
      <c r="B64" s="253" t="s">
        <v>210</v>
      </c>
      <c r="C64" s="254"/>
      <c r="D64" s="1426">
        <v>7.2553045859000687E-2</v>
      </c>
      <c r="E64" s="1426">
        <v>7.6723016905071523E-2</v>
      </c>
      <c r="F64" s="1426">
        <v>8.8807785888077861E-2</v>
      </c>
      <c r="G64" s="1427">
        <v>0.1066746126340882</v>
      </c>
      <c r="H64" s="1426">
        <v>9.4140882159315334E-2</v>
      </c>
      <c r="I64" s="1426">
        <v>9.1207349081364825E-2</v>
      </c>
      <c r="J64" s="1426">
        <v>4.5123726346433773E-2</v>
      </c>
      <c r="K64" s="1427">
        <v>3.4113060428849901E-2</v>
      </c>
      <c r="L64" s="1426">
        <v>5.5813953488372092E-2</v>
      </c>
      <c r="M64" s="1426">
        <v>7.2904009720534627E-3</v>
      </c>
      <c r="N64" s="1426">
        <v>1.1178861788617886E-2</v>
      </c>
      <c r="O64" s="1427">
        <v>3.6551077788191187E-2</v>
      </c>
      <c r="P64" s="1426">
        <v>4.5161290322580643E-2</v>
      </c>
      <c r="Q64" s="1426">
        <v>6.3449508489722972E-2</v>
      </c>
      <c r="R64" s="1426">
        <v>5.4464285714285715E-2</v>
      </c>
      <c r="S64" s="1427">
        <v>7.1428571428571425E-2</v>
      </c>
      <c r="T64" s="1426">
        <v>5.9149722735674676E-2</v>
      </c>
      <c r="U64" s="1426">
        <v>6.3336306868867084E-2</v>
      </c>
      <c r="V64" s="1426">
        <v>4.2452830188679243E-2</v>
      </c>
      <c r="W64" s="1427">
        <v>4.2964554242749732E-2</v>
      </c>
      <c r="X64" s="1426">
        <v>3.9877300613496931E-2</v>
      </c>
      <c r="Y64" s="1426">
        <v>6.7641681901279713E-2</v>
      </c>
      <c r="Z64" s="1426">
        <v>7.8632478632478631E-2</v>
      </c>
      <c r="AA64" s="1427">
        <v>4.1218637992831542E-2</v>
      </c>
      <c r="AB64" s="1426">
        <v>3.7788018433179721E-2</v>
      </c>
      <c r="AC64" s="1426">
        <v>4.1245791245791245E-2</v>
      </c>
      <c r="AD64" s="1426">
        <v>4.3234587670136111E-2</v>
      </c>
      <c r="AE64" s="1427">
        <v>5.4911059551430781E-2</v>
      </c>
      <c r="AF64" s="1426">
        <v>4.0930979133226325E-2</v>
      </c>
      <c r="AG64" s="1426">
        <v>6.5974796145292808E-2</v>
      </c>
      <c r="AH64" s="1426">
        <v>5.4125412541254123E-2</v>
      </c>
      <c r="AI64" s="1427">
        <v>6.9616135328562131E-2</v>
      </c>
      <c r="AJ64" s="1426">
        <v>5.4533060668029994E-2</v>
      </c>
      <c r="AK64" s="1426">
        <v>6.0424966799468793E-2</v>
      </c>
      <c r="AL64" s="1426">
        <v>5.1248357424441525E-2</v>
      </c>
      <c r="AM64" s="1427">
        <v>5.7285180572851806E-2</v>
      </c>
      <c r="AN64" s="1426">
        <f>AN62/'IS Inc FSL'!AN8</f>
        <v>3.9568345323741004E-2</v>
      </c>
      <c r="AO64" s="1426">
        <v>3.0021141649048625E-2</v>
      </c>
      <c r="AP64" s="1426">
        <v>4.0097205346294046E-2</v>
      </c>
      <c r="AQ64" s="1427">
        <v>5.3688524590163933E-2</v>
      </c>
      <c r="AR64" s="1426">
        <f>AR62/'IS Inc FSL'!AR8</f>
        <v>7.2817729534147446E-2</v>
      </c>
      <c r="AS64" s="1426">
        <f>AS62/'IS Inc FSL'!AS8</f>
        <v>4.3596730245231606E-2</v>
      </c>
      <c r="AT64" s="1426">
        <f>AT62/'IS Inc FSL'!AT8</f>
        <v>6.7867616254713034E-2</v>
      </c>
      <c r="AU64" s="1427">
        <v>5.415309446254072E-2</v>
      </c>
      <c r="AV64" s="1397">
        <f>AU64</f>
        <v>5.415309446254072E-2</v>
      </c>
      <c r="AW64" s="1397">
        <f>AV64</f>
        <v>5.415309446254072E-2</v>
      </c>
      <c r="AX64" s="1397">
        <f>AW64</f>
        <v>5.415309446254072E-2</v>
      </c>
      <c r="AY64" s="1397">
        <f>AX64</f>
        <v>5.415309446254072E-2</v>
      </c>
      <c r="AZ64" s="20"/>
      <c r="BA64" s="255">
        <v>8.6853345989558614E-2</v>
      </c>
      <c r="BB64" s="256">
        <v>6.9630718353848986E-2</v>
      </c>
      <c r="BC64" s="256">
        <v>2.6143790849673203E-2</v>
      </c>
      <c r="BD64" s="90">
        <v>5.8609722853248523E-2</v>
      </c>
      <c r="BE64" s="159">
        <v>5.2455889365760608E-2</v>
      </c>
      <c r="BF64" s="90">
        <v>5.7595227168425883E-2</v>
      </c>
      <c r="BG64" s="159">
        <v>4.46521287642783E-2</v>
      </c>
      <c r="BH64" s="90">
        <v>5.8261023552328671E-2</v>
      </c>
      <c r="BI64" s="90">
        <v>5.5892476643173247E-2</v>
      </c>
      <c r="BJ64" s="1506">
        <v>4.0955990734891555E-2</v>
      </c>
      <c r="BK64" s="1806">
        <v>5.9636992221261884E-2</v>
      </c>
      <c r="BL64" s="1806">
        <v>5.415309446254072E-2</v>
      </c>
      <c r="BM64" s="1806">
        <v>0.05</v>
      </c>
      <c r="BN64" s="1806">
        <v>0.05</v>
      </c>
      <c r="BO64" s="22"/>
    </row>
    <row r="65" spans="1:73" ht="14.25" customHeight="1">
      <c r="A65" s="8"/>
      <c r="B65" s="15" t="s">
        <v>211</v>
      </c>
      <c r="C65" s="16"/>
      <c r="D65" s="257"/>
      <c r="E65" s="257"/>
      <c r="F65" s="259"/>
      <c r="G65" s="260"/>
      <c r="H65" s="257"/>
      <c r="I65" s="257"/>
      <c r="J65" s="259"/>
      <c r="K65" s="260"/>
      <c r="L65" s="257"/>
      <c r="M65" s="257"/>
      <c r="N65" s="259"/>
      <c r="O65" s="260"/>
      <c r="P65" s="257"/>
      <c r="Q65" s="257"/>
      <c r="R65" s="259"/>
      <c r="S65" s="260"/>
      <c r="T65" s="257"/>
      <c r="U65" s="257"/>
      <c r="V65" s="257"/>
      <c r="W65" s="260"/>
      <c r="X65" s="257"/>
      <c r="Y65" s="257"/>
      <c r="Z65" s="261">
        <v>0</v>
      </c>
      <c r="AA65" s="260">
        <f>AA14+AA34</f>
        <v>1</v>
      </c>
      <c r="AB65" s="890">
        <f>AB14+AB34</f>
        <v>2</v>
      </c>
      <c r="AC65" s="257"/>
      <c r="AD65" s="261">
        <v>0</v>
      </c>
      <c r="AE65" s="260">
        <f>AE14+AE34</f>
        <v>1</v>
      </c>
      <c r="AF65" s="890">
        <f>AF14+AF34</f>
        <v>1</v>
      </c>
      <c r="AG65" s="257"/>
      <c r="AH65" s="261">
        <v>0</v>
      </c>
      <c r="AI65" s="258"/>
      <c r="AJ65" s="890">
        <f>AJ14+AJ34</f>
        <v>0</v>
      </c>
      <c r="AK65" s="257"/>
      <c r="AL65" s="261">
        <v>0</v>
      </c>
      <c r="AM65" s="1551"/>
      <c r="AN65" s="890">
        <f>AN14+AN34</f>
        <v>0</v>
      </c>
      <c r="AO65" s="1618">
        <f t="shared" ref="AO65:AP65" si="122">AO14+AO34</f>
        <v>0</v>
      </c>
      <c r="AP65" s="1618">
        <f t="shared" si="122"/>
        <v>1</v>
      </c>
      <c r="AQ65" s="1551"/>
      <c r="AR65" s="1619"/>
      <c r="AS65" s="1618"/>
      <c r="AT65" s="1618"/>
      <c r="AU65" s="1551"/>
      <c r="AV65" s="261">
        <f t="shared" ref="AV65:AY65" si="123">AV14+AV34</f>
        <v>0</v>
      </c>
      <c r="AW65" s="261">
        <f t="shared" si="123"/>
        <v>0</v>
      </c>
      <c r="AX65" s="261">
        <f t="shared" si="123"/>
        <v>0</v>
      </c>
      <c r="AY65" s="260">
        <f t="shared" si="123"/>
        <v>0</v>
      </c>
      <c r="AZ65" s="20"/>
      <c r="BA65" s="1100">
        <f t="shared" ref="BA65:BH65" si="124">BA14</f>
        <v>-114</v>
      </c>
      <c r="BB65" s="259">
        <f t="shared" si="124"/>
        <v>369</v>
      </c>
      <c r="BC65" s="259">
        <f t="shared" si="124"/>
        <v>-58</v>
      </c>
      <c r="BD65" s="261">
        <f t="shared" si="124"/>
        <v>21</v>
      </c>
      <c r="BE65" s="262">
        <f t="shared" si="124"/>
        <v>10</v>
      </c>
      <c r="BF65" s="261">
        <f t="shared" si="124"/>
        <v>0</v>
      </c>
      <c r="BG65" s="262">
        <f t="shared" si="124"/>
        <v>0</v>
      </c>
      <c r="BH65" s="261">
        <f t="shared" si="124"/>
        <v>-10</v>
      </c>
      <c r="BI65" s="261">
        <f>BI14</f>
        <v>-1263</v>
      </c>
      <c r="BJ65" s="261">
        <f>BJ14</f>
        <v>0</v>
      </c>
      <c r="BK65" s="1618">
        <f>BK14</f>
        <v>-1611</v>
      </c>
      <c r="BL65" s="1618">
        <f>BL14</f>
        <v>0</v>
      </c>
      <c r="BM65" s="1618">
        <f>BM14+BM34</f>
        <v>0</v>
      </c>
      <c r="BN65" s="1618">
        <f>BN14+BN34</f>
        <v>0</v>
      </c>
      <c r="BO65" s="22"/>
    </row>
    <row r="66" spans="1:73" ht="14.25" customHeight="1">
      <c r="A66" s="8"/>
      <c r="B66" s="22" t="s">
        <v>212</v>
      </c>
      <c r="C66" s="246"/>
      <c r="D66" s="249">
        <v>2916</v>
      </c>
      <c r="E66" s="249">
        <v>2826</v>
      </c>
      <c r="F66" s="249">
        <v>2814</v>
      </c>
      <c r="G66" s="324">
        <v>2500</v>
      </c>
      <c r="H66" s="249">
        <v>2540</v>
      </c>
      <c r="I66" s="249">
        <v>2490</v>
      </c>
      <c r="J66" s="249">
        <v>1968</v>
      </c>
      <c r="K66" s="324">
        <v>1807</v>
      </c>
      <c r="L66" s="249">
        <v>1627</v>
      </c>
      <c r="M66" s="249">
        <v>1502</v>
      </c>
      <c r="N66" s="249">
        <v>1434</v>
      </c>
      <c r="O66" s="324">
        <v>1328</v>
      </c>
      <c r="P66" s="249">
        <v>1227</v>
      </c>
      <c r="Q66" s="249">
        <v>1163</v>
      </c>
      <c r="R66" s="249">
        <v>1175</v>
      </c>
      <c r="S66" s="324">
        <v>1164</v>
      </c>
      <c r="T66" s="249">
        <v>1148</v>
      </c>
      <c r="U66" s="249">
        <v>1156</v>
      </c>
      <c r="V66" s="249">
        <v>1107</v>
      </c>
      <c r="W66" s="324">
        <v>1063</v>
      </c>
      <c r="X66" s="249">
        <v>1049</v>
      </c>
      <c r="Y66" s="249">
        <v>1044</v>
      </c>
      <c r="Z66" s="249">
        <v>1086</v>
      </c>
      <c r="AA66" s="250">
        <v>1070</v>
      </c>
      <c r="AB66" s="249">
        <v>1039</v>
      </c>
      <c r="AC66" s="249">
        <v>1030</v>
      </c>
      <c r="AD66" s="249">
        <v>1032</v>
      </c>
      <c r="AE66" s="250">
        <v>1048</v>
      </c>
      <c r="AF66" s="249">
        <v>1045</v>
      </c>
      <c r="AG66" s="249">
        <v>1079</v>
      </c>
      <c r="AH66" s="249">
        <v>1087</v>
      </c>
      <c r="AI66" s="250">
        <v>1123</v>
      </c>
      <c r="AJ66" s="249">
        <v>1107</v>
      </c>
      <c r="AK66" s="249">
        <v>1078</v>
      </c>
      <c r="AL66" s="249">
        <v>1097</v>
      </c>
      <c r="AM66" s="250">
        <v>2922</v>
      </c>
      <c r="AN66" s="1612">
        <v>2848</v>
      </c>
      <c r="AO66" s="1612">
        <v>2403</v>
      </c>
      <c r="AP66" s="1612">
        <v>2366</v>
      </c>
      <c r="AQ66" s="1613">
        <v>2352</v>
      </c>
      <c r="AR66" s="1612">
        <v>2279</v>
      </c>
      <c r="AS66" s="1612">
        <v>2306</v>
      </c>
      <c r="AT66" s="1612">
        <v>2288</v>
      </c>
      <c r="AU66" s="1613">
        <v>2295</v>
      </c>
      <c r="AV66" s="1507">
        <f t="shared" ref="AV66" si="125">AU66+AV62+AV63-AV65</f>
        <v>2420.9481840390881</v>
      </c>
      <c r="AW66" s="1507">
        <f t="shared" ref="AW66" si="126">AV66+AW62+AW63-AW65</f>
        <v>2551.2149257328992</v>
      </c>
      <c r="AX66" s="1507">
        <f t="shared" ref="AX66" si="127">AW66+AX62+AX63-AX65</f>
        <v>2686.801898335505</v>
      </c>
      <c r="AY66" s="245">
        <f t="shared" ref="AY66" si="128">AX66+AY62+AY63-AY65</f>
        <v>2820.3207971640068</v>
      </c>
      <c r="AZ66" s="20"/>
      <c r="BA66" s="175">
        <f>G66</f>
        <v>2500</v>
      </c>
      <c r="BB66" s="173">
        <f>K66</f>
        <v>1807</v>
      </c>
      <c r="BC66" s="173">
        <f>O66</f>
        <v>1328</v>
      </c>
      <c r="BD66" s="173">
        <f>S66</f>
        <v>1164</v>
      </c>
      <c r="BE66" s="175">
        <f>W66</f>
        <v>1063</v>
      </c>
      <c r="BF66" s="173">
        <f>AA66</f>
        <v>1070</v>
      </c>
      <c r="BG66" s="175">
        <f>AE66</f>
        <v>1048</v>
      </c>
      <c r="BH66" s="173">
        <f>AI66</f>
        <v>1123</v>
      </c>
      <c r="BI66" s="173">
        <f>AM66</f>
        <v>2922</v>
      </c>
      <c r="BJ66" s="173">
        <f>AQ66</f>
        <v>2352</v>
      </c>
      <c r="BK66" s="173">
        <f>AU66</f>
        <v>2295</v>
      </c>
      <c r="BL66" s="173">
        <f>AV66</f>
        <v>2420.9481840390881</v>
      </c>
      <c r="BM66" s="173">
        <f>BL66+BM62+BM63-BM65</f>
        <v>2905.9812208190883</v>
      </c>
      <c r="BN66" s="173">
        <f>BM66+BN62+BN63-BN65</f>
        <v>3417.7988856672882</v>
      </c>
      <c r="BO66" s="22"/>
    </row>
    <row r="67" spans="1:73" ht="14.25" customHeight="1">
      <c r="A67" s="8"/>
      <c r="B67" s="253" t="s">
        <v>213</v>
      </c>
      <c r="C67" s="254"/>
      <c r="D67" s="1426">
        <f>D66/BS!D24</f>
        <v>0.22690841179674734</v>
      </c>
      <c r="E67" s="1426">
        <f>E66/BS!E24</f>
        <v>0.22225717656311444</v>
      </c>
      <c r="F67" s="1426">
        <f>F66/BS!F24</f>
        <v>0.21218519077062284</v>
      </c>
      <c r="G67" s="1427">
        <f>G66/BS!G24</f>
        <v>0.18094962362478287</v>
      </c>
      <c r="H67" s="1426">
        <f>H66/BS!H24</f>
        <v>0.18032088598608548</v>
      </c>
      <c r="I67" s="1426">
        <f>I66/BS!I24</f>
        <v>0.17927856577147383</v>
      </c>
      <c r="J67" s="1426">
        <f>J66/BS!J24</f>
        <v>0.17204301075268819</v>
      </c>
      <c r="K67" s="1427">
        <f>K66/BS!K24</f>
        <v>0.16911558259241927</v>
      </c>
      <c r="L67" s="1426">
        <f>L66/BS!L24</f>
        <v>0.17002821611453653</v>
      </c>
      <c r="M67" s="1426">
        <f>M66/BS!M24</f>
        <v>0.16053869174861052</v>
      </c>
      <c r="N67" s="1426">
        <f>N66/BS!N24</f>
        <v>0.15739216331906486</v>
      </c>
      <c r="O67" s="1427">
        <f>O66/BS!O24</f>
        <v>0.15479659633989976</v>
      </c>
      <c r="P67" s="1426">
        <f>P66/BS!P24</f>
        <v>0.15198810850984765</v>
      </c>
      <c r="Q67" s="1426">
        <f>Q66/BS!Q24</f>
        <v>0.15391741662255162</v>
      </c>
      <c r="R67" s="1426">
        <f>R66/BS!R24</f>
        <v>0.1485273669574011</v>
      </c>
      <c r="S67" s="1427">
        <f>S66/BS!S24</f>
        <v>0.15241587010606258</v>
      </c>
      <c r="T67" s="1426">
        <f>T66/BS!T24</f>
        <v>0.14807171417515799</v>
      </c>
      <c r="U67" s="1426">
        <f>U66/BS!U24</f>
        <v>0.14824313926647859</v>
      </c>
      <c r="V67" s="1426">
        <f>V66/BS!V24</f>
        <v>0.15782720273738238</v>
      </c>
      <c r="W67" s="1427">
        <f>W66/BS!W24</f>
        <v>0.16076830006049606</v>
      </c>
      <c r="X67" s="1426">
        <f>X66/BS!X24</f>
        <v>0.15698892547141574</v>
      </c>
      <c r="Y67" s="1426">
        <f>Y66/BS!Y24</f>
        <v>0.15973072215422277</v>
      </c>
      <c r="Z67" s="1426">
        <f>Z66/BS!Z24</f>
        <v>0.16705122288878635</v>
      </c>
      <c r="AA67" s="1427">
        <f>AA66/BS!AA24</f>
        <v>0.16617487187451468</v>
      </c>
      <c r="AB67" s="1426">
        <f>AB66/BS!AB24</f>
        <v>0.16541951918484318</v>
      </c>
      <c r="AC67" s="1426">
        <f>AC66/BS!AC24</f>
        <v>0.16359593392630242</v>
      </c>
      <c r="AD67" s="1426">
        <f>AD66/BS!AD24</f>
        <v>0.15302491103202848</v>
      </c>
      <c r="AE67" s="1427">
        <f>AE66/BS!AE24</f>
        <v>0.16250581485501628</v>
      </c>
      <c r="AF67" s="1426">
        <f>AF66/BS!AF24</f>
        <v>0.16104176298351056</v>
      </c>
      <c r="AG67" s="1426">
        <f>AG66/BS!AG24</f>
        <v>0.16610221674876846</v>
      </c>
      <c r="AH67" s="1426">
        <f>AH66/BS!AH24</f>
        <v>0.17347590169166932</v>
      </c>
      <c r="AI67" s="1427">
        <f>AI66/BS!AI24</f>
        <v>0.16291890323516611</v>
      </c>
      <c r="AJ67" s="1426">
        <f>AJ66/BS!AJ24</f>
        <v>0.15668789808917197</v>
      </c>
      <c r="AK67" s="1426">
        <f>AK66/BS!AK24</f>
        <v>0.13157573538386427</v>
      </c>
      <c r="AL67" s="1426">
        <f>AL66/BS!AL24</f>
        <v>0.13296969696969696</v>
      </c>
      <c r="AM67" s="1427">
        <f>AM66/BS!AM24</f>
        <v>0.110875009486226</v>
      </c>
      <c r="AN67" s="1426">
        <f>AN66/BS!AN24</f>
        <v>0.11224530012217712</v>
      </c>
      <c r="AO67" s="1416">
        <f>AO66/BS!AO24</f>
        <v>9.7758431308734392E-2</v>
      </c>
      <c r="AP67" s="1416">
        <f>AP66/BS!AP24</f>
        <v>9.5434010971281055E-2</v>
      </c>
      <c r="AQ67" s="1427">
        <f>AQ66/BS!AQ24</f>
        <v>9.5749877870053735E-2</v>
      </c>
      <c r="AR67" s="1564">
        <f>AR66/BS!AR24</f>
        <v>9.6510544592191078E-2</v>
      </c>
      <c r="AS67" s="1416">
        <f>AS66/BS!AS24</f>
        <v>9.7596072456407654E-2</v>
      </c>
      <c r="AT67" s="1416">
        <f>AT66/BS!AT24</f>
        <v>9.6162736939435972E-2</v>
      </c>
      <c r="AU67" s="1427">
        <f>AU66/BS!AU24</f>
        <v>9.5430163416358266E-2</v>
      </c>
      <c r="AV67" s="1416">
        <f>AV66/BS!AV24</f>
        <v>9.8767416005287462E-2</v>
      </c>
      <c r="AW67" s="1416">
        <f>AW66/BS!AW24</f>
        <v>0.10125348138305902</v>
      </c>
      <c r="AX67" s="1416">
        <f>AX66/BS!AX24</f>
        <v>0.10359165139941694</v>
      </c>
      <c r="AY67" s="1417">
        <f>AY66/BS!AY24</f>
        <v>0.10597911735746907</v>
      </c>
      <c r="AZ67" s="20"/>
      <c r="BA67" s="159">
        <f>BA66/BS!BA24</f>
        <v>0.18094962362478287</v>
      </c>
      <c r="BB67" s="90">
        <f>BB66/BS!BB24</f>
        <v>0.16911558259241927</v>
      </c>
      <c r="BC67" s="90">
        <f>BC66/BS!BC24</f>
        <v>0.15479659633989976</v>
      </c>
      <c r="BD67" s="90">
        <f>BD66/BS!BD24</f>
        <v>0.15241587010606258</v>
      </c>
      <c r="BE67" s="1421">
        <f>BE66/BS!BE24</f>
        <v>0.16076830006049606</v>
      </c>
      <c r="BF67" s="1420">
        <f>BF66/BS!BF24</f>
        <v>0.16617487187451468</v>
      </c>
      <c r="BG67" s="1421">
        <f>BG66/BS!BG24</f>
        <v>0.16250581485501628</v>
      </c>
      <c r="BH67" s="1420">
        <f>BH66/BS!BH24</f>
        <v>0.16291890323516611</v>
      </c>
      <c r="BI67" s="1420">
        <f>BI66/BS!BI24</f>
        <v>0.110875009486226</v>
      </c>
      <c r="BJ67" s="1420">
        <f>BJ66/BS!BJ24</f>
        <v>9.5749877870053735E-2</v>
      </c>
      <c r="BK67" s="1420">
        <f>BK66/BS!BK24</f>
        <v>9.5430163416358266E-2</v>
      </c>
      <c r="BL67" s="1420">
        <f>BL66/BS!BL24</f>
        <v>9.0971903611328828E-2</v>
      </c>
      <c r="BM67" s="1420">
        <f>BM66/BS!BM24</f>
        <v>9.8326826729223632E-2</v>
      </c>
      <c r="BN67" s="1420">
        <f>BN66/BS!BN24</f>
        <v>0.10451893883496607</v>
      </c>
      <c r="BO67" s="22"/>
    </row>
    <row r="68" spans="1:73" ht="14.25" customHeight="1">
      <c r="A68" s="8"/>
      <c r="B68" s="15" t="s">
        <v>214</v>
      </c>
      <c r="C68" s="16"/>
      <c r="D68" s="249">
        <v>0</v>
      </c>
      <c r="E68" s="249">
        <v>0</v>
      </c>
      <c r="F68" s="249">
        <v>0</v>
      </c>
      <c r="G68" s="325">
        <v>0</v>
      </c>
      <c r="H68" s="249">
        <v>0</v>
      </c>
      <c r="I68" s="249">
        <v>0</v>
      </c>
      <c r="J68" s="249">
        <v>0</v>
      </c>
      <c r="K68" s="325">
        <v>0</v>
      </c>
      <c r="L68" s="249">
        <v>0</v>
      </c>
      <c r="M68" s="249">
        <v>0</v>
      </c>
      <c r="N68" s="249">
        <v>0</v>
      </c>
      <c r="O68" s="325">
        <v>0</v>
      </c>
      <c r="P68" s="249">
        <v>0</v>
      </c>
      <c r="Q68" s="249">
        <v>0</v>
      </c>
      <c r="R68" s="249">
        <v>0</v>
      </c>
      <c r="S68" s="325">
        <v>0</v>
      </c>
      <c r="T68" s="249">
        <v>0</v>
      </c>
      <c r="U68" s="249">
        <v>0</v>
      </c>
      <c r="V68" s="249">
        <v>0</v>
      </c>
      <c r="W68" s="325">
        <v>0</v>
      </c>
      <c r="X68" s="249">
        <v>0</v>
      </c>
      <c r="Y68" s="249">
        <v>0</v>
      </c>
      <c r="Z68" s="249">
        <v>0</v>
      </c>
      <c r="AA68" s="243">
        <v>0</v>
      </c>
      <c r="AB68" s="242">
        <v>0</v>
      </c>
      <c r="AC68" s="249">
        <v>0</v>
      </c>
      <c r="AD68" s="249">
        <v>0</v>
      </c>
      <c r="AE68" s="243">
        <v>0</v>
      </c>
      <c r="AF68" s="242">
        <v>0</v>
      </c>
      <c r="AG68" s="249">
        <v>0</v>
      </c>
      <c r="AH68" s="249">
        <v>0</v>
      </c>
      <c r="AI68" s="250">
        <v>0</v>
      </c>
      <c r="AJ68" s="242">
        <v>0</v>
      </c>
      <c r="AK68" s="249">
        <v>0</v>
      </c>
      <c r="AL68" s="249">
        <v>0</v>
      </c>
      <c r="AM68" s="250">
        <v>0</v>
      </c>
      <c r="AN68" s="242">
        <v>0</v>
      </c>
      <c r="AO68" s="1620">
        <v>0</v>
      </c>
      <c r="AP68" s="1620">
        <v>0</v>
      </c>
      <c r="AQ68" s="1613">
        <v>0</v>
      </c>
      <c r="AR68" s="1621">
        <v>0</v>
      </c>
      <c r="AS68" s="1620">
        <v>0</v>
      </c>
      <c r="AT68" s="1620">
        <v>0</v>
      </c>
      <c r="AU68" s="1613">
        <v>0</v>
      </c>
      <c r="AV68" s="242">
        <f t="shared" ref="AV68" si="129">AU68+AV78</f>
        <v>126.22499999999999</v>
      </c>
      <c r="AW68" s="242">
        <f t="shared" ref="AW68" si="130">AV68+AW78</f>
        <v>252.43477512214986</v>
      </c>
      <c r="AX68" s="242">
        <f t="shared" ref="AX68" si="131">AW68+AX78</f>
        <v>378.8676834057411</v>
      </c>
      <c r="AY68" s="243">
        <f t="shared" ref="AY68" si="132">AX68+AY78</f>
        <v>505.80406522687815</v>
      </c>
      <c r="AZ68" s="20"/>
      <c r="BA68" s="262">
        <f>G68</f>
        <v>0</v>
      </c>
      <c r="BB68" s="261">
        <f>K68</f>
        <v>0</v>
      </c>
      <c r="BC68" s="261">
        <f>O68</f>
        <v>0</v>
      </c>
      <c r="BD68" s="261">
        <f>S68</f>
        <v>0</v>
      </c>
      <c r="BE68" s="262">
        <f>BE66-BS!BE19</f>
        <v>0</v>
      </c>
      <c r="BF68" s="261">
        <f>BF66-BS!BF19</f>
        <v>0</v>
      </c>
      <c r="BG68" s="262">
        <f>BG66-BS!BG19</f>
        <v>0</v>
      </c>
      <c r="BH68" s="261">
        <f>BH66-BS!BH19</f>
        <v>0</v>
      </c>
      <c r="BI68" s="261">
        <f>BI66-BS!BI19</f>
        <v>0</v>
      </c>
      <c r="BJ68" s="261">
        <f>BJ66-BS!BJ19</f>
        <v>0</v>
      </c>
      <c r="BK68" s="1618">
        <f>BK66-BS!BK19</f>
        <v>0</v>
      </c>
      <c r="BL68" s="1618">
        <f>BL66-BS!BL19</f>
        <v>106.43145210195962</v>
      </c>
      <c r="BM68" s="1618">
        <f>BL68+BM78</f>
        <v>612.23551732883777</v>
      </c>
      <c r="BN68" s="1618">
        <f>BM68+BN78</f>
        <v>1118.0395825557159</v>
      </c>
      <c r="BO68" s="22"/>
    </row>
    <row r="69" spans="1:73" ht="14.25" customHeight="1">
      <c r="A69" s="8"/>
      <c r="B69" s="265" t="s">
        <v>215</v>
      </c>
      <c r="C69" s="266"/>
      <c r="D69" s="267">
        <f t="shared" ref="D69:O69" si="133">D66-D68</f>
        <v>2916</v>
      </c>
      <c r="E69" s="267">
        <f t="shared" si="133"/>
        <v>2826</v>
      </c>
      <c r="F69" s="267">
        <f t="shared" si="133"/>
        <v>2814</v>
      </c>
      <c r="G69" s="268">
        <f t="shared" si="133"/>
        <v>2500</v>
      </c>
      <c r="H69" s="267">
        <f t="shared" si="133"/>
        <v>2540</v>
      </c>
      <c r="I69" s="267">
        <f t="shared" si="133"/>
        <v>2490</v>
      </c>
      <c r="J69" s="267">
        <f t="shared" si="133"/>
        <v>1968</v>
      </c>
      <c r="K69" s="268">
        <f t="shared" si="133"/>
        <v>1807</v>
      </c>
      <c r="L69" s="267">
        <f t="shared" si="133"/>
        <v>1627</v>
      </c>
      <c r="M69" s="267">
        <f t="shared" si="133"/>
        <v>1502</v>
      </c>
      <c r="N69" s="267">
        <f t="shared" si="133"/>
        <v>1434</v>
      </c>
      <c r="O69" s="268">
        <f t="shared" si="133"/>
        <v>1328</v>
      </c>
      <c r="P69" s="267">
        <f t="shared" ref="P69:AD69" si="134">P66-P68</f>
        <v>1227</v>
      </c>
      <c r="Q69" s="267">
        <f t="shared" si="134"/>
        <v>1163</v>
      </c>
      <c r="R69" s="267">
        <f t="shared" si="134"/>
        <v>1175</v>
      </c>
      <c r="S69" s="268">
        <f t="shared" si="134"/>
        <v>1164</v>
      </c>
      <c r="T69" s="267">
        <f>T66-T68</f>
        <v>1148</v>
      </c>
      <c r="U69" s="267">
        <f t="shared" si="134"/>
        <v>1156</v>
      </c>
      <c r="V69" s="267">
        <f t="shared" si="134"/>
        <v>1107</v>
      </c>
      <c r="W69" s="268">
        <f t="shared" si="134"/>
        <v>1063</v>
      </c>
      <c r="X69" s="267">
        <f>X66-X68</f>
        <v>1049</v>
      </c>
      <c r="Y69" s="267">
        <f t="shared" si="134"/>
        <v>1044</v>
      </c>
      <c r="Z69" s="267">
        <f t="shared" si="134"/>
        <v>1086</v>
      </c>
      <c r="AA69" s="268">
        <f t="shared" si="134"/>
        <v>1070</v>
      </c>
      <c r="AB69" s="267">
        <f t="shared" si="134"/>
        <v>1039</v>
      </c>
      <c r="AC69" s="267">
        <f t="shared" si="134"/>
        <v>1030</v>
      </c>
      <c r="AD69" s="267">
        <f t="shared" si="134"/>
        <v>1032</v>
      </c>
      <c r="AE69" s="268">
        <f t="shared" ref="AE69:AJ69" si="135">AE66-AE68</f>
        <v>1048</v>
      </c>
      <c r="AF69" s="267">
        <f t="shared" si="135"/>
        <v>1045</v>
      </c>
      <c r="AG69" s="267">
        <f t="shared" si="135"/>
        <v>1079</v>
      </c>
      <c r="AH69" s="267">
        <f t="shared" si="135"/>
        <v>1087</v>
      </c>
      <c r="AI69" s="268">
        <f t="shared" si="135"/>
        <v>1123</v>
      </c>
      <c r="AJ69" s="267">
        <f t="shared" si="135"/>
        <v>1107</v>
      </c>
      <c r="AK69" s="267">
        <f>AK66-AK68</f>
        <v>1078</v>
      </c>
      <c r="AL69" s="267">
        <f t="shared" ref="AL69:AP69" si="136">AL66-AL68</f>
        <v>1097</v>
      </c>
      <c r="AM69" s="268">
        <f t="shared" si="136"/>
        <v>2922</v>
      </c>
      <c r="AN69" s="1622">
        <f t="shared" si="136"/>
        <v>2848</v>
      </c>
      <c r="AO69" s="1622">
        <f t="shared" si="136"/>
        <v>2403</v>
      </c>
      <c r="AP69" s="1622">
        <f t="shared" si="136"/>
        <v>2366</v>
      </c>
      <c r="AQ69" s="1623">
        <f t="shared" ref="AQ69:AR69" si="137">AQ66-AQ68</f>
        <v>2352</v>
      </c>
      <c r="AR69" s="1559">
        <f t="shared" si="137"/>
        <v>2279</v>
      </c>
      <c r="AS69" s="1622">
        <f t="shared" ref="AS69:AU69" si="138">AS66-AS68</f>
        <v>2306</v>
      </c>
      <c r="AT69" s="1622">
        <f t="shared" si="138"/>
        <v>2288</v>
      </c>
      <c r="AU69" s="1623">
        <f t="shared" si="138"/>
        <v>2295</v>
      </c>
      <c r="AV69" s="267">
        <f t="shared" ref="AV69:AY69" si="139">AV66-AV68</f>
        <v>2294.7231840390882</v>
      </c>
      <c r="AW69" s="267">
        <f t="shared" si="139"/>
        <v>2298.7801506107494</v>
      </c>
      <c r="AX69" s="267">
        <f t="shared" si="139"/>
        <v>2307.934214929764</v>
      </c>
      <c r="AY69" s="268">
        <f t="shared" si="139"/>
        <v>2314.5167319371285</v>
      </c>
      <c r="AZ69" s="20"/>
      <c r="BA69" s="1098">
        <f t="shared" ref="BA69:BM69" si="140">BA66-BA68</f>
        <v>2500</v>
      </c>
      <c r="BB69" s="1099">
        <f t="shared" si="140"/>
        <v>1807</v>
      </c>
      <c r="BC69" s="1099">
        <f t="shared" si="140"/>
        <v>1328</v>
      </c>
      <c r="BD69" s="1099">
        <f t="shared" si="140"/>
        <v>1164</v>
      </c>
      <c r="BE69" s="1098">
        <f t="shared" si="140"/>
        <v>1063</v>
      </c>
      <c r="BF69" s="1099">
        <f t="shared" si="140"/>
        <v>1070</v>
      </c>
      <c r="BG69" s="1098">
        <f t="shared" si="140"/>
        <v>1048</v>
      </c>
      <c r="BH69" s="1099">
        <f t="shared" si="140"/>
        <v>1123</v>
      </c>
      <c r="BI69" s="1099">
        <f t="shared" si="140"/>
        <v>2922</v>
      </c>
      <c r="BJ69" s="1513">
        <f t="shared" si="140"/>
        <v>2352</v>
      </c>
      <c r="BK69" s="1513">
        <f t="shared" ref="BK69:BL69" si="141">BK66-BK68</f>
        <v>2295</v>
      </c>
      <c r="BL69" s="1513">
        <f t="shared" si="141"/>
        <v>2314.5167319371285</v>
      </c>
      <c r="BM69" s="1513">
        <f t="shared" si="140"/>
        <v>2293.7457034902504</v>
      </c>
      <c r="BN69" s="1513">
        <f t="shared" ref="BN69" si="142">BN66-BN68</f>
        <v>2299.7593031115721</v>
      </c>
      <c r="BO69" s="22"/>
    </row>
    <row r="70" spans="1:73" ht="14.25" customHeight="1">
      <c r="A70" s="8"/>
      <c r="B70" s="14"/>
      <c r="C70" s="14"/>
      <c r="D70" s="244"/>
      <c r="E70" s="244"/>
      <c r="F70" s="244"/>
      <c r="G70" s="244"/>
      <c r="H70" s="244"/>
      <c r="I70" s="244"/>
      <c r="J70" s="244"/>
      <c r="K70" s="244"/>
      <c r="L70" s="244"/>
      <c r="M70" s="244"/>
      <c r="N70" s="244"/>
      <c r="O70" s="244"/>
      <c r="P70" s="244"/>
      <c r="Q70" s="244"/>
      <c r="R70" s="244"/>
      <c r="S70" s="244"/>
      <c r="T70" s="244"/>
      <c r="U70" s="244"/>
      <c r="V70" s="244"/>
      <c r="W70" s="244"/>
      <c r="X70" s="244"/>
      <c r="Y70" s="244"/>
      <c r="Z70" s="244"/>
      <c r="AA70" s="244"/>
      <c r="AB70" s="244"/>
      <c r="AC70" s="244"/>
      <c r="AD70" s="244"/>
      <c r="AE70" s="244"/>
      <c r="AF70" s="244"/>
      <c r="AG70" s="244"/>
      <c r="AH70" s="244"/>
      <c r="AI70" s="244"/>
      <c r="AJ70" s="244"/>
      <c r="AK70" s="244"/>
      <c r="AL70" s="244"/>
      <c r="AM70" s="1507"/>
      <c r="AN70" s="1611"/>
      <c r="AO70" s="1611"/>
      <c r="AP70" s="1611"/>
      <c r="AQ70" s="1611"/>
      <c r="AR70" s="244"/>
      <c r="AS70" s="244"/>
      <c r="AT70" s="244"/>
      <c r="AU70" s="1611"/>
      <c r="AV70" s="1507"/>
      <c r="AW70" s="1507"/>
      <c r="AX70" s="1507"/>
      <c r="AY70" s="1507"/>
      <c r="AZ70" s="14"/>
      <c r="BA70" s="1056"/>
      <c r="BB70" s="1056"/>
      <c r="BC70" s="244"/>
      <c r="BD70" s="244"/>
      <c r="BE70" s="244"/>
      <c r="BF70" s="244"/>
      <c r="BG70" s="244"/>
      <c r="BH70" s="244"/>
      <c r="BI70" s="244"/>
      <c r="BJ70" s="1507"/>
      <c r="BK70" s="1611"/>
      <c r="BL70" s="1611"/>
      <c r="BM70" s="1611"/>
      <c r="BN70" s="1611"/>
      <c r="BO70" s="8"/>
    </row>
    <row r="71" spans="1:73" ht="14.25" customHeight="1">
      <c r="A71" s="8"/>
      <c r="B71" s="62" t="s">
        <v>172</v>
      </c>
      <c r="C71" s="232"/>
      <c r="D71" s="173">
        <f>BS!D19</f>
        <v>2916</v>
      </c>
      <c r="E71" s="173">
        <f>BS!E19</f>
        <v>2826</v>
      </c>
      <c r="F71" s="173">
        <f>BS!F19</f>
        <v>2814</v>
      </c>
      <c r="G71" s="174">
        <f>BS!G19</f>
        <v>2500</v>
      </c>
      <c r="H71" s="173">
        <f>BS!H19</f>
        <v>2540</v>
      </c>
      <c r="I71" s="173">
        <f>BS!I19</f>
        <v>2490</v>
      </c>
      <c r="J71" s="173">
        <f>BS!J19</f>
        <v>1968</v>
      </c>
      <c r="K71" s="174">
        <f>BS!K19</f>
        <v>1807</v>
      </c>
      <c r="L71" s="173">
        <f>BS!L19</f>
        <v>1627</v>
      </c>
      <c r="M71" s="173">
        <f>BS!M19</f>
        <v>1502</v>
      </c>
      <c r="N71" s="173">
        <f>BS!N19</f>
        <v>1434</v>
      </c>
      <c r="O71" s="174">
        <f>BS!O19</f>
        <v>1328</v>
      </c>
      <c r="P71" s="173">
        <f>BS!P19</f>
        <v>1227</v>
      </c>
      <c r="Q71" s="173">
        <f>BS!Q19</f>
        <v>1163</v>
      </c>
      <c r="R71" s="173">
        <f>BS!R19</f>
        <v>1175</v>
      </c>
      <c r="S71" s="174">
        <f>BS!S19</f>
        <v>1164</v>
      </c>
      <c r="T71" s="173">
        <f>BS!T19</f>
        <v>1148</v>
      </c>
      <c r="U71" s="173">
        <f>BS!U19</f>
        <v>1156</v>
      </c>
      <c r="V71" s="173">
        <f>BS!V19</f>
        <v>1107</v>
      </c>
      <c r="W71" s="174">
        <f>BS!W19</f>
        <v>1063</v>
      </c>
      <c r="X71" s="173">
        <f>BS!X19</f>
        <v>1049</v>
      </c>
      <c r="Y71" s="173">
        <f>BS!Y19</f>
        <v>1044</v>
      </c>
      <c r="Z71" s="173">
        <f>BS!Z19</f>
        <v>1086</v>
      </c>
      <c r="AA71" s="174">
        <f>BS!AA19</f>
        <v>1070</v>
      </c>
      <c r="AB71" s="173">
        <f>BS!AB19</f>
        <v>1039</v>
      </c>
      <c r="AC71" s="173">
        <f>BS!AC19</f>
        <v>1030</v>
      </c>
      <c r="AD71" s="173">
        <f>BS!AD19</f>
        <v>1032</v>
      </c>
      <c r="AE71" s="174">
        <f>BS!AE19</f>
        <v>1048</v>
      </c>
      <c r="AF71" s="173">
        <f>BS!AF19</f>
        <v>1045</v>
      </c>
      <c r="AG71" s="173">
        <f>BS!AG19</f>
        <v>1079</v>
      </c>
      <c r="AH71" s="173">
        <f>BS!AH19</f>
        <v>1087</v>
      </c>
      <c r="AI71" s="176">
        <f>BS!AI19</f>
        <v>1123</v>
      </c>
      <c r="AJ71" s="173">
        <f>BS!AJ19</f>
        <v>1107</v>
      </c>
      <c r="AK71" s="173">
        <f>BS!AK19</f>
        <v>1078</v>
      </c>
      <c r="AL71" s="173">
        <f>BS!AL19</f>
        <v>1097</v>
      </c>
      <c r="AM71" s="176">
        <f>BS!AM19</f>
        <v>2922</v>
      </c>
      <c r="AN71" s="173">
        <f>BS!AN19</f>
        <v>2848</v>
      </c>
      <c r="AO71" s="173">
        <f>BS!AO19</f>
        <v>2403</v>
      </c>
      <c r="AP71" s="173">
        <f>BS!AP19</f>
        <v>2366</v>
      </c>
      <c r="AQ71" s="176">
        <f>BS!AQ19</f>
        <v>2352</v>
      </c>
      <c r="AR71" s="173">
        <f>BS!AR19</f>
        <v>2279</v>
      </c>
      <c r="AS71" s="173">
        <f>BS!AS19</f>
        <v>2306</v>
      </c>
      <c r="AT71" s="173">
        <f>BS!AT19</f>
        <v>2288</v>
      </c>
      <c r="AU71" s="176">
        <f>BS!AU19</f>
        <v>2295</v>
      </c>
      <c r="AV71" s="173">
        <f>BS!AV19</f>
        <v>2294.7231840390882</v>
      </c>
      <c r="AW71" s="173">
        <f>BS!AW19</f>
        <v>2298.7801506107494</v>
      </c>
      <c r="AX71" s="173">
        <f>BS!AX19</f>
        <v>2307.934214929764</v>
      </c>
      <c r="AY71" s="174">
        <f>BS!AY19</f>
        <v>2314.5167319371285</v>
      </c>
      <c r="AZ71" s="177"/>
      <c r="BA71" s="173">
        <f>BS!BA19</f>
        <v>2500</v>
      </c>
      <c r="BB71" s="173">
        <f>BS!BB19</f>
        <v>1807</v>
      </c>
      <c r="BC71" s="173">
        <f>BS!BC19</f>
        <v>1328</v>
      </c>
      <c r="BD71" s="173">
        <f>BS!BD19</f>
        <v>1164</v>
      </c>
      <c r="BE71" s="173">
        <f>BS!BE19</f>
        <v>1063</v>
      </c>
      <c r="BF71" s="233">
        <f>BS!BF19</f>
        <v>1070</v>
      </c>
      <c r="BG71" s="233">
        <f>BS!BG19</f>
        <v>1048</v>
      </c>
      <c r="BH71" s="233">
        <f>BS!BH19</f>
        <v>1123</v>
      </c>
      <c r="BI71" s="233">
        <f>BS!BI19</f>
        <v>2922</v>
      </c>
      <c r="BJ71" s="233">
        <f>BS!BJ19</f>
        <v>2352</v>
      </c>
      <c r="BK71" s="233">
        <f>BS!BK19</f>
        <v>2295</v>
      </c>
      <c r="BL71" s="233">
        <f>BS!BL19</f>
        <v>2314.5167319371285</v>
      </c>
      <c r="BM71" s="233">
        <f>BS!BM19</f>
        <v>2293.7457034902504</v>
      </c>
      <c r="BN71" s="233">
        <f>BS!BN19</f>
        <v>2299.7593031115721</v>
      </c>
      <c r="BO71" s="22"/>
    </row>
    <row r="72" spans="1:73" ht="14.25" customHeight="1">
      <c r="A72" s="8"/>
      <c r="B72" s="144" t="s">
        <v>154</v>
      </c>
      <c r="C72" s="145"/>
      <c r="D72" s="148">
        <f t="shared" ref="D72:O72" si="143">IF(ROUND(D71,4)=ROUND(D69,4),0,(D71-D69))</f>
        <v>0</v>
      </c>
      <c r="E72" s="146">
        <f t="shared" si="143"/>
        <v>0</v>
      </c>
      <c r="F72" s="146">
        <f t="shared" si="143"/>
        <v>0</v>
      </c>
      <c r="G72" s="147">
        <f t="shared" si="143"/>
        <v>0</v>
      </c>
      <c r="H72" s="148">
        <f t="shared" si="143"/>
        <v>0</v>
      </c>
      <c r="I72" s="146">
        <f t="shared" si="143"/>
        <v>0</v>
      </c>
      <c r="J72" s="146">
        <f t="shared" si="143"/>
        <v>0</v>
      </c>
      <c r="K72" s="147">
        <f t="shared" si="143"/>
        <v>0</v>
      </c>
      <c r="L72" s="148">
        <f t="shared" si="143"/>
        <v>0</v>
      </c>
      <c r="M72" s="146">
        <f t="shared" si="143"/>
        <v>0</v>
      </c>
      <c r="N72" s="146">
        <f t="shared" si="143"/>
        <v>0</v>
      </c>
      <c r="O72" s="147">
        <f t="shared" si="143"/>
        <v>0</v>
      </c>
      <c r="P72" s="148">
        <f t="shared" ref="P72:AH72" si="144">IF(ROUND(P71,4)=ROUND(P69,4),0,(P71-P69))</f>
        <v>0</v>
      </c>
      <c r="Q72" s="146">
        <f t="shared" si="144"/>
        <v>0</v>
      </c>
      <c r="R72" s="146">
        <f>IF(ROUND(R71,4)=ROUND(R69,4),0,(R71-R69))</f>
        <v>0</v>
      </c>
      <c r="S72" s="147">
        <f t="shared" si="144"/>
        <v>0</v>
      </c>
      <c r="T72" s="148">
        <f>IF(ROUND(T71,4)=ROUND(T69,4),0,(T71-T69))</f>
        <v>0</v>
      </c>
      <c r="U72" s="146">
        <f t="shared" si="144"/>
        <v>0</v>
      </c>
      <c r="V72" s="146">
        <f t="shared" si="144"/>
        <v>0</v>
      </c>
      <c r="W72" s="147">
        <f t="shared" si="144"/>
        <v>0</v>
      </c>
      <c r="X72" s="148">
        <f>IF(ROUND(X71,4)=ROUND(X69,4),0,(X71-X69))</f>
        <v>0</v>
      </c>
      <c r="Y72" s="146">
        <f t="shared" si="144"/>
        <v>0</v>
      </c>
      <c r="Z72" s="146">
        <f t="shared" si="144"/>
        <v>0</v>
      </c>
      <c r="AA72" s="147">
        <f t="shared" si="144"/>
        <v>0</v>
      </c>
      <c r="AB72" s="148">
        <f t="shared" si="144"/>
        <v>0</v>
      </c>
      <c r="AC72" s="146">
        <f t="shared" si="144"/>
        <v>0</v>
      </c>
      <c r="AD72" s="146">
        <f t="shared" si="144"/>
        <v>0</v>
      </c>
      <c r="AE72" s="147">
        <f>IF(ROUND(AE71,4)=ROUND(AE69,4),0,(AE71-AE69))</f>
        <v>0</v>
      </c>
      <c r="AF72" s="148">
        <f>IF(ROUND(AF71,4)=ROUND(AF69,4),0,(AF71-AF69))</f>
        <v>0</v>
      </c>
      <c r="AG72" s="146">
        <f t="shared" si="144"/>
        <v>0</v>
      </c>
      <c r="AH72" s="146">
        <f t="shared" si="144"/>
        <v>0</v>
      </c>
      <c r="AI72" s="147">
        <f>IF(ROUND(AI71,4)=ROUND(AI69,4),0,(AI71-AI69))</f>
        <v>0</v>
      </c>
      <c r="AJ72" s="148">
        <f>IF(ROUND(AJ71,4)=ROUND(AJ69,4),0,(AJ71-AJ69))</f>
        <v>0</v>
      </c>
      <c r="AK72" s="146">
        <f>IF(ROUND(AK71,4)=ROUND(AK69,4),0,(AK71-AK69))</f>
        <v>0</v>
      </c>
      <c r="AL72" s="146">
        <f t="shared" ref="AL72" si="145">IF(ROUND(AL71,4)=ROUND(AL69,4),0,(AL71-AL69))</f>
        <v>0</v>
      </c>
      <c r="AM72" s="147">
        <f>IF(ROUND(AM71,4)=ROUND(AM69,4),0,(AM71-AM69))</f>
        <v>0</v>
      </c>
      <c r="AN72" s="148">
        <f>IF(ROUND(AN71,4)=ROUND(AN69,4),0,(AN71-AN69))</f>
        <v>0</v>
      </c>
      <c r="AO72" s="146">
        <f t="shared" ref="AO72:AP72" si="146">IF(ROUND(AO71,4)=ROUND(AO69,4),0,(AO71-AO69))</f>
        <v>0</v>
      </c>
      <c r="AP72" s="146">
        <f t="shared" si="146"/>
        <v>0</v>
      </c>
      <c r="AQ72" s="147">
        <f>IF(ROUND(AQ71,4)=ROUND(AQ69,4),0,(AQ71-AQ69))</f>
        <v>0</v>
      </c>
      <c r="AR72" s="148">
        <f>IF(ROUND(AR71,4)=ROUND(AR69,4),0,(AR71-AR69))</f>
        <v>0</v>
      </c>
      <c r="AS72" s="146">
        <f t="shared" ref="AS72:AT72" si="147">IF(ROUND(AS71,4)=ROUND(AS69,4),0,(AS71-AS69))</f>
        <v>0</v>
      </c>
      <c r="AT72" s="146">
        <f t="shared" si="147"/>
        <v>0</v>
      </c>
      <c r="AU72" s="147">
        <f>IF(ROUND(AU71,4)=ROUND(AU69,4),0,(AU71-AU69))</f>
        <v>0</v>
      </c>
      <c r="AV72" s="148">
        <f t="shared" ref="AV72:AY72" si="148">IF(ROUND(AV71,4)=ROUND(AV69,4),0,(AV71-AV69))</f>
        <v>0</v>
      </c>
      <c r="AW72" s="146">
        <f t="shared" si="148"/>
        <v>0</v>
      </c>
      <c r="AX72" s="146">
        <f t="shared" si="148"/>
        <v>0</v>
      </c>
      <c r="AY72" s="147">
        <f t="shared" si="148"/>
        <v>0</v>
      </c>
      <c r="AZ72" s="177"/>
      <c r="BA72" s="146">
        <f t="shared" ref="BA72:BM72" si="149">IF(ROUND(BA71,4)=ROUND(BA69,4),0,(BA71-BA69))</f>
        <v>0</v>
      </c>
      <c r="BB72" s="146">
        <f t="shared" si="149"/>
        <v>0</v>
      </c>
      <c r="BC72" s="146">
        <f t="shared" si="149"/>
        <v>0</v>
      </c>
      <c r="BD72" s="146">
        <f t="shared" si="149"/>
        <v>0</v>
      </c>
      <c r="BE72" s="146">
        <f t="shared" si="149"/>
        <v>0</v>
      </c>
      <c r="BF72" s="234">
        <f t="shared" si="149"/>
        <v>0</v>
      </c>
      <c r="BG72" s="234">
        <f t="shared" si="149"/>
        <v>0</v>
      </c>
      <c r="BH72" s="234">
        <f t="shared" si="149"/>
        <v>0</v>
      </c>
      <c r="BI72" s="234">
        <f t="shared" si="149"/>
        <v>0</v>
      </c>
      <c r="BJ72" s="234">
        <f t="shared" si="149"/>
        <v>0</v>
      </c>
      <c r="BK72" s="234">
        <f t="shared" ref="BK72:BL72" si="150">IF(ROUND(BK71,4)=ROUND(BK69,4),0,(BK71-BK69))</f>
        <v>0</v>
      </c>
      <c r="BL72" s="234">
        <f t="shared" si="150"/>
        <v>0</v>
      </c>
      <c r="BM72" s="234">
        <f t="shared" si="149"/>
        <v>0</v>
      </c>
      <c r="BN72" s="234">
        <f t="shared" ref="BN72" si="151">IF(ROUND(BN71,4)=ROUND(BN69,4),0,(BN71-BN69))</f>
        <v>0</v>
      </c>
      <c r="BO72" s="22"/>
    </row>
    <row r="73" spans="1:73" ht="14.25" customHeight="1">
      <c r="A73" s="8"/>
      <c r="B73" s="14"/>
      <c r="C73" s="14"/>
      <c r="D73" s="270"/>
      <c r="E73" s="270"/>
      <c r="F73" s="270"/>
      <c r="G73" s="269"/>
      <c r="H73" s="270"/>
      <c r="I73" s="270"/>
      <c r="J73" s="270"/>
      <c r="K73" s="269"/>
      <c r="L73" s="270"/>
      <c r="M73" s="270"/>
      <c r="N73" s="270"/>
      <c r="O73" s="269"/>
      <c r="P73" s="270"/>
      <c r="Q73" s="270"/>
      <c r="R73" s="270"/>
      <c r="S73" s="269"/>
      <c r="T73" s="271"/>
      <c r="U73" s="270"/>
      <c r="V73" s="270"/>
      <c r="W73" s="269"/>
      <c r="X73" s="271"/>
      <c r="Y73" s="270"/>
      <c r="Z73" s="271"/>
      <c r="AA73" s="271"/>
      <c r="AB73" s="271"/>
      <c r="AC73" s="271"/>
      <c r="AD73" s="271"/>
      <c r="AE73" s="271"/>
      <c r="AF73" s="271"/>
      <c r="AG73" s="271"/>
      <c r="AH73" s="271"/>
      <c r="AI73" s="271"/>
      <c r="AJ73" s="271"/>
      <c r="AK73" s="271"/>
      <c r="AL73" s="271"/>
      <c r="AM73" s="271"/>
      <c r="AN73" s="271"/>
      <c r="AO73" s="271"/>
      <c r="AP73" s="271"/>
      <c r="AQ73" s="271"/>
      <c r="AR73" s="271"/>
      <c r="AS73" s="271"/>
      <c r="AT73" s="271"/>
      <c r="AU73" s="271"/>
      <c r="AV73" s="271"/>
      <c r="AW73" s="271"/>
      <c r="AX73" s="271"/>
      <c r="AY73" s="271"/>
      <c r="AZ73" s="8"/>
      <c r="BA73" s="237"/>
      <c r="BB73" s="237"/>
      <c r="BC73" s="237"/>
      <c r="BD73" s="237"/>
      <c r="BE73" s="237"/>
      <c r="BF73" s="1170"/>
      <c r="BG73" s="237"/>
      <c r="BH73" s="237"/>
      <c r="BI73" s="237"/>
      <c r="BJ73" s="237"/>
      <c r="BK73" s="237"/>
      <c r="BL73" s="237"/>
      <c r="BM73" s="237"/>
      <c r="BN73" s="237"/>
      <c r="BO73" s="8"/>
    </row>
    <row r="74" spans="1:73" ht="14.25" customHeight="1">
      <c r="A74" s="8"/>
      <c r="B74" s="14"/>
      <c r="C74" s="14"/>
      <c r="D74" s="272"/>
      <c r="E74" s="272"/>
      <c r="F74" s="272"/>
      <c r="G74" s="247"/>
      <c r="H74" s="272"/>
      <c r="I74" s="272"/>
      <c r="J74" s="272"/>
      <c r="K74" s="247"/>
      <c r="L74" s="272"/>
      <c r="M74" s="272"/>
      <c r="N74" s="272"/>
      <c r="O74" s="247"/>
      <c r="P74" s="272"/>
      <c r="Q74" s="272"/>
      <c r="R74" s="272"/>
      <c r="S74" s="247"/>
      <c r="T74" s="271"/>
      <c r="U74" s="272"/>
      <c r="V74" s="272"/>
      <c r="W74" s="247"/>
      <c r="X74" s="271"/>
      <c r="Y74" s="272"/>
      <c r="Z74" s="271"/>
      <c r="AA74" s="271"/>
      <c r="AB74" s="271"/>
      <c r="AC74" s="271"/>
      <c r="AD74" s="271"/>
      <c r="AE74" s="271"/>
      <c r="AF74" s="271"/>
      <c r="AG74" s="271"/>
      <c r="AH74" s="271"/>
      <c r="AI74" s="271"/>
      <c r="AJ74" s="271"/>
      <c r="AK74" s="271"/>
      <c r="AL74" s="271"/>
      <c r="AM74" s="271"/>
      <c r="AN74" s="271"/>
      <c r="AO74" s="271"/>
      <c r="AP74" s="271"/>
      <c r="AQ74" s="271"/>
      <c r="AR74" s="271"/>
      <c r="AS74" s="271"/>
      <c r="AT74" s="271"/>
      <c r="AU74" s="271"/>
      <c r="AV74" s="271"/>
      <c r="AW74" s="271"/>
      <c r="AX74" s="271"/>
      <c r="AY74" s="271"/>
      <c r="AZ74" s="8"/>
      <c r="BA74" s="237"/>
      <c r="BB74" s="237"/>
      <c r="BC74" s="237"/>
      <c r="BD74" s="237"/>
      <c r="BE74" s="237"/>
      <c r="BF74" s="1170"/>
      <c r="BG74" s="237"/>
      <c r="BH74" s="237"/>
      <c r="BI74" s="237"/>
      <c r="BJ74" s="237"/>
      <c r="BK74" s="237"/>
      <c r="BL74" s="237"/>
      <c r="BM74" s="237"/>
      <c r="BN74" s="237"/>
      <c r="BO74" s="8"/>
    </row>
    <row r="75" spans="1:73" ht="14.25" customHeight="1">
      <c r="A75" s="8"/>
      <c r="B75" s="14"/>
      <c r="C75" s="14"/>
      <c r="D75" s="237"/>
      <c r="E75" s="237"/>
      <c r="F75" s="237"/>
      <c r="G75" s="273"/>
      <c r="H75" s="237"/>
      <c r="I75" s="237"/>
      <c r="J75" s="237"/>
      <c r="K75" s="273"/>
      <c r="L75" s="237"/>
      <c r="M75" s="237"/>
      <c r="N75" s="237"/>
      <c r="O75" s="273"/>
      <c r="P75" s="237"/>
      <c r="Q75" s="237"/>
      <c r="R75" s="237"/>
      <c r="S75" s="273"/>
      <c r="T75" s="237"/>
      <c r="U75" s="237"/>
      <c r="V75" s="237"/>
      <c r="W75" s="273"/>
      <c r="X75" s="237"/>
      <c r="Y75" s="237"/>
      <c r="Z75" s="237"/>
      <c r="AA75" s="237"/>
      <c r="AB75" s="237"/>
      <c r="AC75" s="237"/>
      <c r="AD75" s="237"/>
      <c r="AE75" s="237"/>
      <c r="AF75" s="237"/>
      <c r="AG75" s="237"/>
      <c r="AH75" s="237"/>
      <c r="AI75" s="237"/>
      <c r="AJ75" s="237"/>
      <c r="AK75" s="237"/>
      <c r="AL75" s="237"/>
      <c r="AM75" s="237"/>
      <c r="AN75" s="237"/>
      <c r="AO75" s="237"/>
      <c r="AP75" s="237"/>
      <c r="AQ75" s="237"/>
      <c r="AR75" s="237"/>
      <c r="AS75" s="237"/>
      <c r="AT75" s="237"/>
      <c r="AU75" s="237"/>
      <c r="AV75" s="237"/>
      <c r="AW75" s="237"/>
      <c r="AX75" s="237"/>
      <c r="AY75" s="237"/>
      <c r="AZ75" s="8"/>
      <c r="BA75" s="237"/>
      <c r="BB75" s="237"/>
      <c r="BC75" s="237"/>
      <c r="BD75" s="237"/>
      <c r="BE75" s="237"/>
      <c r="BF75" s="1170"/>
      <c r="BG75" s="237"/>
      <c r="BH75" s="237"/>
      <c r="BI75" s="237"/>
      <c r="BJ75" s="237"/>
      <c r="BK75" s="237"/>
      <c r="BL75" s="237"/>
      <c r="BM75" s="237"/>
      <c r="BN75" s="237"/>
      <c r="BO75" s="8"/>
    </row>
    <row r="76" spans="1:73" ht="14.25" customHeight="1">
      <c r="A76" s="8"/>
      <c r="B76" s="153" t="s">
        <v>216</v>
      </c>
      <c r="C76" s="154"/>
      <c r="D76" s="274" t="str">
        <f t="shared" ref="D76:O76" si="152">D61</f>
        <v>F1Q07A</v>
      </c>
      <c r="E76" s="239" t="str">
        <f t="shared" si="152"/>
        <v>F2Q07A</v>
      </c>
      <c r="F76" s="239" t="str">
        <f t="shared" si="152"/>
        <v>F3Q07A</v>
      </c>
      <c r="G76" s="240" t="str">
        <f t="shared" si="152"/>
        <v>F4Q07A</v>
      </c>
      <c r="H76" s="274" t="str">
        <f t="shared" si="152"/>
        <v>F1Q08A</v>
      </c>
      <c r="I76" s="239" t="str">
        <f t="shared" si="152"/>
        <v>F2Q08A</v>
      </c>
      <c r="J76" s="239" t="str">
        <f t="shared" si="152"/>
        <v>F3Q08A</v>
      </c>
      <c r="K76" s="240" t="str">
        <f t="shared" si="152"/>
        <v>F4Q08A</v>
      </c>
      <c r="L76" s="274" t="str">
        <f t="shared" si="152"/>
        <v>F1Q09A</v>
      </c>
      <c r="M76" s="239" t="str">
        <f t="shared" si="152"/>
        <v>F2Q09A</v>
      </c>
      <c r="N76" s="239" t="str">
        <f t="shared" si="152"/>
        <v>F3Q09A</v>
      </c>
      <c r="O76" s="240" t="str">
        <f t="shared" si="152"/>
        <v>F4Q09A</v>
      </c>
      <c r="P76" s="274" t="str">
        <f t="shared" ref="P76:AI76" si="153">P61</f>
        <v>F1Q10A</v>
      </c>
      <c r="Q76" s="239" t="str">
        <f t="shared" si="153"/>
        <v>F2Q10A</v>
      </c>
      <c r="R76" s="239" t="str">
        <f t="shared" si="153"/>
        <v>F3Q10A</v>
      </c>
      <c r="S76" s="240" t="str">
        <f t="shared" si="153"/>
        <v>F4Q10A</v>
      </c>
      <c r="T76" s="274" t="str">
        <f t="shared" si="153"/>
        <v>F1Q11A</v>
      </c>
      <c r="U76" s="239" t="str">
        <f>U61</f>
        <v>F2Q11A</v>
      </c>
      <c r="V76" s="239" t="str">
        <f>V61</f>
        <v>F3Q11A</v>
      </c>
      <c r="W76" s="240" t="str">
        <f>W61</f>
        <v>F4Q11A</v>
      </c>
      <c r="X76" s="274" t="str">
        <f>X61</f>
        <v>F1Q12A</v>
      </c>
      <c r="Y76" s="239" t="str">
        <f>Y61</f>
        <v>F2Q12A</v>
      </c>
      <c r="Z76" s="239" t="str">
        <f t="shared" si="153"/>
        <v>F3Q12A</v>
      </c>
      <c r="AA76" s="240" t="str">
        <f t="shared" si="153"/>
        <v>F4Q12A</v>
      </c>
      <c r="AB76" s="274" t="str">
        <f t="shared" si="153"/>
        <v>F1Q13A</v>
      </c>
      <c r="AC76" s="239" t="str">
        <f t="shared" si="153"/>
        <v>F2Q13A</v>
      </c>
      <c r="AD76" s="239" t="str">
        <f t="shared" si="153"/>
        <v>F3Q13A</v>
      </c>
      <c r="AE76" s="240" t="str">
        <f t="shared" si="153"/>
        <v>F4Q13A</v>
      </c>
      <c r="AF76" s="274" t="str">
        <f t="shared" si="153"/>
        <v>F1Q14A</v>
      </c>
      <c r="AG76" s="239" t="str">
        <f t="shared" si="153"/>
        <v>F2Q14A</v>
      </c>
      <c r="AH76" s="239" t="str">
        <f t="shared" si="153"/>
        <v>F3Q14A</v>
      </c>
      <c r="AI76" s="240" t="str">
        <f t="shared" si="153"/>
        <v>F4Q14A</v>
      </c>
      <c r="AJ76" s="239" t="str">
        <f t="shared" ref="AJ76:AM76" si="154">AJ61</f>
        <v>F1Q15A</v>
      </c>
      <c r="AK76" s="239" t="str">
        <f t="shared" si="154"/>
        <v>F2Q15A</v>
      </c>
      <c r="AL76" s="239" t="str">
        <f t="shared" si="154"/>
        <v>F3Q15A</v>
      </c>
      <c r="AM76" s="240" t="str">
        <f t="shared" si="154"/>
        <v>F4Q15A</v>
      </c>
      <c r="AN76" s="1608" t="str">
        <f t="shared" ref="AN76:AQ76" si="155">AN61</f>
        <v>F1Q16A</v>
      </c>
      <c r="AO76" s="1608" t="str">
        <f t="shared" si="155"/>
        <v>F2Q16A</v>
      </c>
      <c r="AP76" s="1608" t="str">
        <f t="shared" si="155"/>
        <v>F3Q16A</v>
      </c>
      <c r="AQ76" s="1609" t="str">
        <f t="shared" si="155"/>
        <v>F4Q16A</v>
      </c>
      <c r="AR76" s="1624" t="str">
        <f t="shared" ref="AR76:AU76" si="156">AR61</f>
        <v>F1Q17A</v>
      </c>
      <c r="AS76" s="1608" t="str">
        <f t="shared" si="156"/>
        <v>F2Q17A</v>
      </c>
      <c r="AT76" s="1608" t="str">
        <f t="shared" si="156"/>
        <v>F3Q17A</v>
      </c>
      <c r="AU76" s="1609" t="str">
        <f t="shared" si="156"/>
        <v>F4Q17A</v>
      </c>
      <c r="AV76" s="1608" t="str">
        <f t="shared" ref="AV76:AY76" si="157">AV61</f>
        <v>F1Q18E</v>
      </c>
      <c r="AW76" s="239" t="str">
        <f t="shared" si="157"/>
        <v>F2Q18E</v>
      </c>
      <c r="AX76" s="239" t="str">
        <f t="shared" si="157"/>
        <v>F3Q18E</v>
      </c>
      <c r="AY76" s="240" t="str">
        <f t="shared" si="157"/>
        <v>F4Q18E</v>
      </c>
      <c r="AZ76" s="20"/>
      <c r="BA76" s="17" t="str">
        <f>BA61</f>
        <v>FY2007A</v>
      </c>
      <c r="BB76" s="18" t="str">
        <f>BB61</f>
        <v>FY2008A</v>
      </c>
      <c r="BC76" s="18" t="str">
        <f t="shared" ref="BC76:BH76" si="158">BC61</f>
        <v>FY2009A</v>
      </c>
      <c r="BD76" s="18" t="str">
        <f t="shared" si="158"/>
        <v>FY2010A</v>
      </c>
      <c r="BE76" s="18" t="str">
        <f t="shared" si="158"/>
        <v>FY2011A</v>
      </c>
      <c r="BF76" s="18" t="str">
        <f t="shared" si="158"/>
        <v>FY2012A</v>
      </c>
      <c r="BG76" s="17" t="str">
        <f t="shared" si="158"/>
        <v>FY2013A</v>
      </c>
      <c r="BH76" s="18" t="str">
        <f t="shared" si="158"/>
        <v>FY2014A</v>
      </c>
      <c r="BI76" s="18" t="str">
        <f t="shared" ref="BI76:BN76" si="159">BI61</f>
        <v>FY2015A</v>
      </c>
      <c r="BJ76" s="1503" t="str">
        <f t="shared" si="159"/>
        <v>FY2016A</v>
      </c>
      <c r="BK76" s="1804" t="str">
        <f t="shared" si="159"/>
        <v>FY2017A</v>
      </c>
      <c r="BL76" s="1804" t="str">
        <f t="shared" si="159"/>
        <v>FY2018E</v>
      </c>
      <c r="BM76" s="1804" t="str">
        <f t="shared" si="159"/>
        <v>FY2019E</v>
      </c>
      <c r="BN76" s="1804" t="str">
        <f t="shared" si="159"/>
        <v>FY2020E</v>
      </c>
      <c r="BO76" s="22"/>
    </row>
    <row r="77" spans="1:73" s="107" customFormat="1" ht="14.25" customHeight="1">
      <c r="A77" s="108"/>
      <c r="B77" s="1046" t="s">
        <v>217</v>
      </c>
      <c r="C77" s="1047"/>
      <c r="D77" s="915">
        <f t="shared" ref="D77:S77" si="160">D66*D80</f>
        <v>375</v>
      </c>
      <c r="E77" s="915">
        <f t="shared" si="160"/>
        <v>385.99999999999994</v>
      </c>
      <c r="F77" s="915">
        <f t="shared" si="160"/>
        <v>381.99999999999994</v>
      </c>
      <c r="G77" s="528">
        <f t="shared" si="160"/>
        <v>388.99999999999994</v>
      </c>
      <c r="H77" s="915">
        <f t="shared" si="160"/>
        <v>333</v>
      </c>
      <c r="I77" s="915">
        <f t="shared" si="160"/>
        <v>347</v>
      </c>
      <c r="J77" s="915">
        <f t="shared" si="160"/>
        <v>363</v>
      </c>
      <c r="K77" s="528">
        <f t="shared" si="160"/>
        <v>227</v>
      </c>
      <c r="L77" s="915">
        <f t="shared" si="160"/>
        <v>199</v>
      </c>
      <c r="M77" s="915">
        <f t="shared" si="160"/>
        <v>239</v>
      </c>
      <c r="N77" s="915">
        <f t="shared" si="160"/>
        <v>191.99999999999997</v>
      </c>
      <c r="O77" s="528">
        <f t="shared" si="160"/>
        <v>188.00000000000003</v>
      </c>
      <c r="P77" s="915">
        <f t="shared" si="160"/>
        <v>185</v>
      </c>
      <c r="Q77" s="915">
        <f t="shared" si="160"/>
        <v>160</v>
      </c>
      <c r="R77" s="915">
        <f t="shared" si="160"/>
        <v>155</v>
      </c>
      <c r="S77" s="528">
        <f t="shared" si="160"/>
        <v>184</v>
      </c>
      <c r="T77" s="915">
        <f t="shared" ref="T77:AA77" si="161">T66*T80</f>
        <v>145</v>
      </c>
      <c r="U77" s="915">
        <f t="shared" si="161"/>
        <v>143</v>
      </c>
      <c r="V77" s="915">
        <f t="shared" si="161"/>
        <v>152</v>
      </c>
      <c r="W77" s="528">
        <f t="shared" si="161"/>
        <v>151</v>
      </c>
      <c r="X77" s="915">
        <f t="shared" si="161"/>
        <v>134</v>
      </c>
      <c r="Y77" s="915">
        <f t="shared" si="161"/>
        <v>139</v>
      </c>
      <c r="Z77" s="915">
        <f t="shared" si="161"/>
        <v>128</v>
      </c>
      <c r="AA77" s="528">
        <f t="shared" si="161"/>
        <v>132</v>
      </c>
      <c r="AB77" s="915">
        <f t="shared" ref="AB77:AG77" si="162">AB66*AB80</f>
        <v>132</v>
      </c>
      <c r="AC77" s="915">
        <f t="shared" si="162"/>
        <v>132</v>
      </c>
      <c r="AD77" s="915">
        <f t="shared" si="162"/>
        <v>137</v>
      </c>
      <c r="AE77" s="528">
        <f t="shared" si="162"/>
        <v>113</v>
      </c>
      <c r="AF77" s="915">
        <f t="shared" si="162"/>
        <v>101.99999999999999</v>
      </c>
      <c r="AG77" s="915">
        <f t="shared" si="162"/>
        <v>103</v>
      </c>
      <c r="AH77" s="915">
        <f t="shared" ref="AH77:AM77" si="163">AH66*AH80</f>
        <v>103</v>
      </c>
      <c r="AI77" s="528">
        <f t="shared" si="163"/>
        <v>97</v>
      </c>
      <c r="AJ77" s="915">
        <f t="shared" si="163"/>
        <v>95</v>
      </c>
      <c r="AK77" s="915">
        <f t="shared" si="163"/>
        <v>98</v>
      </c>
      <c r="AL77" s="915">
        <f t="shared" si="163"/>
        <v>94</v>
      </c>
      <c r="AM77" s="528">
        <f t="shared" si="163"/>
        <v>230</v>
      </c>
      <c r="AN77" s="915">
        <f t="shared" ref="AN77:AQ77" si="164">AN66*AN80</f>
        <v>529</v>
      </c>
      <c r="AO77" s="915">
        <f t="shared" si="164"/>
        <v>620</v>
      </c>
      <c r="AP77" s="915">
        <f t="shared" si="164"/>
        <v>526</v>
      </c>
      <c r="AQ77" s="528">
        <f t="shared" si="164"/>
        <v>530</v>
      </c>
      <c r="AR77" s="1102">
        <f t="shared" ref="AR77" si="165">+SUM(AR78:AR79)</f>
        <v>534</v>
      </c>
      <c r="AS77" s="915">
        <f t="shared" ref="AS77:AU77" si="166">AS66*AS80</f>
        <v>560</v>
      </c>
      <c r="AT77" s="915">
        <f t="shared" si="166"/>
        <v>537</v>
      </c>
      <c r="AU77" s="528">
        <f t="shared" si="166"/>
        <v>542</v>
      </c>
      <c r="AV77" s="915">
        <f t="shared" ref="AV77:AY77" si="167">+SUM(AV78:AV79)</f>
        <v>126.22499999999999</v>
      </c>
      <c r="AW77" s="915">
        <f t="shared" si="167"/>
        <v>126.20977512214985</v>
      </c>
      <c r="AX77" s="915">
        <f t="shared" si="167"/>
        <v>126.43290828359122</v>
      </c>
      <c r="AY77" s="528">
        <f t="shared" si="167"/>
        <v>126.93638182113702</v>
      </c>
      <c r="AZ77" s="1898"/>
      <c r="BA77" s="1048">
        <f>BA66*BA80</f>
        <v>1532</v>
      </c>
      <c r="BB77" s="1049">
        <f>BB66*BB80</f>
        <v>1270</v>
      </c>
      <c r="BC77" s="1049">
        <f t="shared" ref="BC77:BH77" si="168">BC66*BC80</f>
        <v>818</v>
      </c>
      <c r="BD77" s="1050">
        <f t="shared" si="168"/>
        <v>684</v>
      </c>
      <c r="BE77" s="1050">
        <f t="shared" si="168"/>
        <v>591</v>
      </c>
      <c r="BF77" s="1050">
        <f t="shared" si="168"/>
        <v>533</v>
      </c>
      <c r="BG77" s="1051">
        <f t="shared" si="168"/>
        <v>514</v>
      </c>
      <c r="BH77" s="1050">
        <f t="shared" si="168"/>
        <v>405</v>
      </c>
      <c r="BI77" s="1050">
        <f>BI66*BI80</f>
        <v>517</v>
      </c>
      <c r="BJ77" s="1050">
        <f>BJ66*BJ80</f>
        <v>2205</v>
      </c>
      <c r="BK77" s="1050">
        <f>BK66*BK80</f>
        <v>2173</v>
      </c>
      <c r="BL77" s="1050">
        <f>BL66*BL80</f>
        <v>505.80406522687815</v>
      </c>
      <c r="BM77" s="1050">
        <f>+SUM(BM78:BM79)</f>
        <v>505.80406522687815</v>
      </c>
      <c r="BN77" s="1050">
        <f>+SUM(BN78:BN79)</f>
        <v>505.80406522687815</v>
      </c>
      <c r="BO77" s="1046"/>
      <c r="BP77"/>
      <c r="BQ77"/>
      <c r="BR77"/>
      <c r="BS77"/>
      <c r="BT77"/>
      <c r="BU77"/>
    </row>
    <row r="78" spans="1:73" s="285" customFormat="1" ht="14.25" customHeight="1">
      <c r="A78" s="291"/>
      <c r="B78" s="789" t="s">
        <v>335</v>
      </c>
      <c r="C78" s="794"/>
      <c r="D78" s="1418"/>
      <c r="E78" s="1418"/>
      <c r="F78" s="1418"/>
      <c r="G78" s="1419"/>
      <c r="H78" s="1418"/>
      <c r="I78" s="1418"/>
      <c r="J78" s="1418"/>
      <c r="K78" s="1419"/>
      <c r="L78" s="1893">
        <v>114</v>
      </c>
      <c r="M78" s="1893">
        <v>161</v>
      </c>
      <c r="N78" s="1893">
        <v>105</v>
      </c>
      <c r="O78" s="1894">
        <v>110</v>
      </c>
      <c r="P78" s="1893">
        <v>111</v>
      </c>
      <c r="Q78" s="1893">
        <v>77</v>
      </c>
      <c r="R78" s="1893">
        <v>86</v>
      </c>
      <c r="S78" s="1894">
        <v>115</v>
      </c>
      <c r="T78" s="1893">
        <v>72</v>
      </c>
      <c r="U78" s="1893">
        <v>72</v>
      </c>
      <c r="V78" s="1893">
        <v>68</v>
      </c>
      <c r="W78" s="1894">
        <v>78</v>
      </c>
      <c r="X78" s="1893">
        <v>63</v>
      </c>
      <c r="Y78" s="1893">
        <v>62</v>
      </c>
      <c r="Z78" s="1893">
        <v>59</v>
      </c>
      <c r="AA78" s="1894">
        <v>63</v>
      </c>
      <c r="AB78" s="1893">
        <v>61</v>
      </c>
      <c r="AC78" s="1893">
        <v>61</v>
      </c>
      <c r="AD78" s="1893">
        <v>63</v>
      </c>
      <c r="AE78" s="1894">
        <v>61</v>
      </c>
      <c r="AF78" s="1893">
        <v>52</v>
      </c>
      <c r="AG78" s="1893">
        <v>54</v>
      </c>
      <c r="AH78" s="1893">
        <v>55</v>
      </c>
      <c r="AI78" s="1894">
        <v>58</v>
      </c>
      <c r="AJ78" s="1893">
        <v>58</v>
      </c>
      <c r="AK78" s="1893">
        <v>57</v>
      </c>
      <c r="AL78" s="1893">
        <v>55</v>
      </c>
      <c r="AM78" s="1894">
        <v>89</v>
      </c>
      <c r="AN78" s="1893">
        <v>149</v>
      </c>
      <c r="AO78" s="1893">
        <v>165</v>
      </c>
      <c r="AP78" s="1893">
        <v>55</v>
      </c>
      <c r="AQ78" s="1894">
        <v>89</v>
      </c>
      <c r="AR78" s="1893">
        <v>154</v>
      </c>
      <c r="AS78" s="1893">
        <v>155</v>
      </c>
      <c r="AT78" s="1893">
        <v>157</v>
      </c>
      <c r="AU78" s="1894">
        <v>145</v>
      </c>
      <c r="AV78" s="795">
        <f>AU69*AV80</f>
        <v>126.22499999999999</v>
      </c>
      <c r="AW78" s="795">
        <f t="shared" ref="AW78:AY78" si="169">AV69*AW80</f>
        <v>126.20977512214985</v>
      </c>
      <c r="AX78" s="795">
        <f t="shared" si="169"/>
        <v>126.43290828359122</v>
      </c>
      <c r="AY78" s="795">
        <f t="shared" si="169"/>
        <v>126.93638182113702</v>
      </c>
      <c r="AZ78" s="1899"/>
      <c r="BA78" s="894">
        <f>SUM(D78:G78)</f>
        <v>0</v>
      </c>
      <c r="BB78" s="893">
        <f>SUM(H78:K78)</f>
        <v>0</v>
      </c>
      <c r="BC78" s="893">
        <f>SUM(L78:O78)</f>
        <v>490</v>
      </c>
      <c r="BD78" s="263">
        <f>SUM(P78:S78)</f>
        <v>389</v>
      </c>
      <c r="BE78" s="263">
        <f>SUM(T78:W78)</f>
        <v>290</v>
      </c>
      <c r="BF78" s="263">
        <f>SUM(X78:AA78)</f>
        <v>247</v>
      </c>
      <c r="BG78" s="264">
        <f>SUM(AB78:AE78)</f>
        <v>246</v>
      </c>
      <c r="BH78" s="263">
        <f>SUM(AF78:AI78)</f>
        <v>219</v>
      </c>
      <c r="BI78" s="263">
        <f>SUM(AJ78:AM78)</f>
        <v>259</v>
      </c>
      <c r="BJ78" s="263">
        <f>SUM(AN78:AQ78)</f>
        <v>458</v>
      </c>
      <c r="BK78" s="1620">
        <f t="shared" ref="BK78:BK79" si="170">SUM(AR78:AU78)</f>
        <v>611</v>
      </c>
      <c r="BL78" s="1620">
        <f>SUM(AV78:AY78)</f>
        <v>505.80406522687815</v>
      </c>
      <c r="BM78" s="1620">
        <f>BL78</f>
        <v>505.80406522687815</v>
      </c>
      <c r="BN78" s="1620">
        <f>BM78</f>
        <v>505.80406522687815</v>
      </c>
      <c r="BO78" s="789"/>
      <c r="BP78"/>
      <c r="BQ78"/>
      <c r="BR78"/>
      <c r="BS78"/>
      <c r="BT78"/>
      <c r="BU78"/>
    </row>
    <row r="79" spans="1:73" s="285" customFormat="1" ht="14.25" customHeight="1">
      <c r="A79" s="291"/>
      <c r="B79" s="789" t="s">
        <v>336</v>
      </c>
      <c r="C79" s="794"/>
      <c r="D79" s="1418"/>
      <c r="E79" s="1418"/>
      <c r="F79" s="1418"/>
      <c r="G79" s="1419"/>
      <c r="H79" s="1418"/>
      <c r="I79" s="1418"/>
      <c r="J79" s="1418"/>
      <c r="K79" s="1419"/>
      <c r="L79" s="1893">
        <v>85</v>
      </c>
      <c r="M79" s="1893">
        <v>78</v>
      </c>
      <c r="N79" s="1893">
        <v>87</v>
      </c>
      <c r="O79" s="1894">
        <v>147</v>
      </c>
      <c r="P79" s="1893">
        <v>74</v>
      </c>
      <c r="Q79" s="1893">
        <v>83</v>
      </c>
      <c r="R79" s="1893">
        <v>69</v>
      </c>
      <c r="S79" s="1894">
        <v>69</v>
      </c>
      <c r="T79" s="1893">
        <v>73</v>
      </c>
      <c r="U79" s="1893">
        <v>71</v>
      </c>
      <c r="V79" s="1893">
        <v>84</v>
      </c>
      <c r="W79" s="1894">
        <v>73</v>
      </c>
      <c r="X79" s="1893">
        <v>71</v>
      </c>
      <c r="Y79" s="1893">
        <v>77</v>
      </c>
      <c r="Z79" s="1893">
        <v>69</v>
      </c>
      <c r="AA79" s="1894">
        <v>69</v>
      </c>
      <c r="AB79" s="1893">
        <v>71</v>
      </c>
      <c r="AC79" s="1893">
        <v>71</v>
      </c>
      <c r="AD79" s="1893">
        <v>74</v>
      </c>
      <c r="AE79" s="1894">
        <v>52</v>
      </c>
      <c r="AF79" s="1893">
        <v>50</v>
      </c>
      <c r="AG79" s="1893">
        <v>49</v>
      </c>
      <c r="AH79" s="1893">
        <v>48</v>
      </c>
      <c r="AI79" s="1894">
        <v>39</v>
      </c>
      <c r="AJ79" s="1893">
        <v>37</v>
      </c>
      <c r="AK79" s="1893">
        <v>41</v>
      </c>
      <c r="AL79" s="1893">
        <v>48</v>
      </c>
      <c r="AM79" s="1894">
        <v>141</v>
      </c>
      <c r="AN79" s="1893">
        <v>380</v>
      </c>
      <c r="AO79" s="1893">
        <v>455</v>
      </c>
      <c r="AP79" s="1893">
        <v>48</v>
      </c>
      <c r="AQ79" s="1894">
        <v>141</v>
      </c>
      <c r="AR79" s="1893">
        <v>380</v>
      </c>
      <c r="AS79" s="1893">
        <v>405</v>
      </c>
      <c r="AT79" s="1893">
        <v>380</v>
      </c>
      <c r="AU79" s="1894">
        <v>397</v>
      </c>
      <c r="AV79" s="1704"/>
      <c r="AW79" s="1704"/>
      <c r="AX79" s="1704"/>
      <c r="AY79" s="1704"/>
      <c r="AZ79" s="1899"/>
      <c r="BA79" s="894">
        <f>SUM(D79:G79)</f>
        <v>0</v>
      </c>
      <c r="BB79" s="893">
        <f>SUM(H79:K79)</f>
        <v>0</v>
      </c>
      <c r="BC79" s="893">
        <f>SUM(L79:O79)</f>
        <v>397</v>
      </c>
      <c r="BD79" s="263">
        <f>SUM(P79:S79)</f>
        <v>295</v>
      </c>
      <c r="BE79" s="263">
        <f>SUM(T79:W79)</f>
        <v>301</v>
      </c>
      <c r="BF79" s="263">
        <f>SUM(X79:AA79)</f>
        <v>286</v>
      </c>
      <c r="BG79" s="264">
        <f>SUM(AB79:AE79)</f>
        <v>268</v>
      </c>
      <c r="BH79" s="263">
        <f>SUM(AF79:AI79)</f>
        <v>186</v>
      </c>
      <c r="BI79" s="263">
        <f>SUM(AJ79:AM79)</f>
        <v>267</v>
      </c>
      <c r="BJ79" s="263">
        <f>SUM(AN79:AQ79)</f>
        <v>1024</v>
      </c>
      <c r="BK79" s="1620">
        <f t="shared" si="170"/>
        <v>1562</v>
      </c>
      <c r="BL79" s="1620">
        <f>SUM(AV79:AY79)</f>
        <v>0</v>
      </c>
      <c r="BM79" s="1620">
        <f>BL79</f>
        <v>0</v>
      </c>
      <c r="BN79" s="1620">
        <f>BM79</f>
        <v>0</v>
      </c>
      <c r="BO79" s="789"/>
      <c r="BP79"/>
      <c r="BQ79"/>
      <c r="BR79"/>
      <c r="BS79"/>
      <c r="BT79"/>
      <c r="BU79"/>
    </row>
    <row r="80" spans="1:73" ht="14.25" customHeight="1">
      <c r="A80" s="8"/>
      <c r="B80" s="275" t="s">
        <v>218</v>
      </c>
      <c r="C80" s="276"/>
      <c r="D80" s="279">
        <f t="shared" ref="D80:O80" si="171">D82/D66</f>
        <v>0.12860082304526749</v>
      </c>
      <c r="E80" s="277">
        <f t="shared" si="171"/>
        <v>0.13658881811748053</v>
      </c>
      <c r="F80" s="277">
        <f t="shared" si="171"/>
        <v>0.13574982231698648</v>
      </c>
      <c r="G80" s="278">
        <f t="shared" si="171"/>
        <v>0.15559999999999999</v>
      </c>
      <c r="H80" s="279">
        <f t="shared" si="171"/>
        <v>0.1311023622047244</v>
      </c>
      <c r="I80" s="277">
        <f t="shared" si="171"/>
        <v>0.13935742971887549</v>
      </c>
      <c r="J80" s="277">
        <f t="shared" si="171"/>
        <v>0.18445121951219512</v>
      </c>
      <c r="K80" s="278">
        <f t="shared" si="171"/>
        <v>0.12562257885998893</v>
      </c>
      <c r="L80" s="279">
        <f t="shared" si="171"/>
        <v>0.12231100184388445</v>
      </c>
      <c r="M80" s="277">
        <f t="shared" si="171"/>
        <v>0.15912117177097204</v>
      </c>
      <c r="N80" s="277">
        <f t="shared" si="171"/>
        <v>0.13389121338912133</v>
      </c>
      <c r="O80" s="278">
        <f t="shared" si="171"/>
        <v>0.14156626506024098</v>
      </c>
      <c r="P80" s="279">
        <f t="shared" ref="P80:U80" si="172">P82/P66</f>
        <v>0.15077424612876936</v>
      </c>
      <c r="Q80" s="277">
        <f t="shared" si="172"/>
        <v>0.13757523645743766</v>
      </c>
      <c r="R80" s="277">
        <f t="shared" si="172"/>
        <v>0.13191489361702127</v>
      </c>
      <c r="S80" s="278">
        <f t="shared" si="172"/>
        <v>0.15807560137457044</v>
      </c>
      <c r="T80" s="279">
        <f t="shared" si="172"/>
        <v>0.12630662020905922</v>
      </c>
      <c r="U80" s="277">
        <f t="shared" si="172"/>
        <v>0.12370242214532871</v>
      </c>
      <c r="V80" s="277">
        <f t="shared" ref="V80:AA80" si="173">V82/V66</f>
        <v>0.13730803974706413</v>
      </c>
      <c r="W80" s="278">
        <f t="shared" si="173"/>
        <v>0.14205079962370648</v>
      </c>
      <c r="X80" s="279">
        <f t="shared" si="173"/>
        <v>0.12774070543374644</v>
      </c>
      <c r="Y80" s="277">
        <f t="shared" si="173"/>
        <v>0.13314176245210729</v>
      </c>
      <c r="Z80" s="257">
        <f t="shared" si="173"/>
        <v>0.11786372007366483</v>
      </c>
      <c r="AA80" s="258">
        <f t="shared" si="173"/>
        <v>0.12336448598130841</v>
      </c>
      <c r="AB80" s="279">
        <f t="shared" ref="AB80:AG80" si="174">AB82/AB66</f>
        <v>0.12704523580365737</v>
      </c>
      <c r="AC80" s="277">
        <f t="shared" si="174"/>
        <v>0.12815533980582525</v>
      </c>
      <c r="AD80" s="257">
        <f t="shared" si="174"/>
        <v>0.13275193798449614</v>
      </c>
      <c r="AE80" s="258">
        <f t="shared" si="174"/>
        <v>0.10782442748091603</v>
      </c>
      <c r="AF80" s="279">
        <f t="shared" si="174"/>
        <v>9.7607655502392338E-2</v>
      </c>
      <c r="AG80" s="277">
        <f t="shared" si="174"/>
        <v>9.5458758109360525E-2</v>
      </c>
      <c r="AH80" s="257">
        <f t="shared" ref="AH80:AM80" si="175">AH82/AH66</f>
        <v>9.4756209751609935E-2</v>
      </c>
      <c r="AI80" s="278">
        <f t="shared" si="175"/>
        <v>8.637577916295637E-2</v>
      </c>
      <c r="AJ80" s="279">
        <f t="shared" si="175"/>
        <v>8.5817524841915085E-2</v>
      </c>
      <c r="AK80" s="277">
        <f t="shared" si="175"/>
        <v>9.0909090909090912E-2</v>
      </c>
      <c r="AL80" s="257">
        <f t="shared" si="175"/>
        <v>8.5688240656335457E-2</v>
      </c>
      <c r="AM80" s="1510">
        <f t="shared" si="175"/>
        <v>7.8713210130047909E-2</v>
      </c>
      <c r="AN80" s="1627">
        <f t="shared" ref="AN80:AQ80" si="176">AN82/AN66</f>
        <v>0.1857443820224719</v>
      </c>
      <c r="AO80" s="1625">
        <f t="shared" si="176"/>
        <v>0.2580108198085726</v>
      </c>
      <c r="AP80" s="1616">
        <f t="shared" si="176"/>
        <v>0.22231614539306846</v>
      </c>
      <c r="AQ80" s="1626">
        <f t="shared" si="176"/>
        <v>0.22534013605442177</v>
      </c>
      <c r="AR80" s="1652">
        <f t="shared" ref="AR80:AU80" si="177">AR82/AR66</f>
        <v>0.23431329530495831</v>
      </c>
      <c r="AS80" s="1616">
        <f t="shared" si="177"/>
        <v>0.24284475281873374</v>
      </c>
      <c r="AT80" s="1616">
        <f t="shared" si="177"/>
        <v>0.23470279720279721</v>
      </c>
      <c r="AU80" s="1626">
        <f t="shared" si="177"/>
        <v>0.23616557734204793</v>
      </c>
      <c r="AV80" s="1508">
        <v>5.5E-2</v>
      </c>
      <c r="AW80" s="1508">
        <f>AV80</f>
        <v>5.5E-2</v>
      </c>
      <c r="AX80" s="1616">
        <f t="shared" ref="AX80:AY80" si="178">AW80</f>
        <v>5.5E-2</v>
      </c>
      <c r="AY80" s="1616">
        <f t="shared" si="178"/>
        <v>5.5E-2</v>
      </c>
      <c r="AZ80" s="20"/>
      <c r="BA80" s="279">
        <f>BA82/BA66</f>
        <v>0.61280000000000001</v>
      </c>
      <c r="BB80" s="277">
        <f>BB82/BB66</f>
        <v>0.70282235749861655</v>
      </c>
      <c r="BC80" s="277">
        <f t="shared" ref="BC80:BM80" si="179">BC82/BC66</f>
        <v>0.61596385542168675</v>
      </c>
      <c r="BD80" s="257">
        <f t="shared" si="179"/>
        <v>0.58762886597938147</v>
      </c>
      <c r="BE80" s="257">
        <f t="shared" si="179"/>
        <v>0.55597365945437438</v>
      </c>
      <c r="BF80" s="257">
        <f t="shared" si="179"/>
        <v>0.4981308411214953</v>
      </c>
      <c r="BG80" s="1045">
        <f t="shared" si="179"/>
        <v>0.49045801526717558</v>
      </c>
      <c r="BH80" s="257">
        <f t="shared" si="179"/>
        <v>0.36064113980409618</v>
      </c>
      <c r="BI80" s="257">
        <f>BI82/BI66</f>
        <v>0.17693360711841205</v>
      </c>
      <c r="BJ80" s="1508">
        <f>BJ82/BJ66</f>
        <v>0.9375</v>
      </c>
      <c r="BK80" s="1616">
        <f>BK82/BK66</f>
        <v>0.94684095860566453</v>
      </c>
      <c r="BL80" s="1616">
        <f>BL82/BL66</f>
        <v>0.20892808386464481</v>
      </c>
      <c r="BM80" s="1616">
        <f t="shared" si="179"/>
        <v>0.17405620573291616</v>
      </c>
      <c r="BN80" s="1616">
        <f t="shared" ref="BN80" si="180">BN82/BN66</f>
        <v>0.14799117272464246</v>
      </c>
      <c r="BO80" s="22"/>
    </row>
    <row r="81" spans="1:73" ht="14.25" customHeight="1">
      <c r="A81" s="8"/>
      <c r="B81" s="14"/>
      <c r="C81" s="1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4"/>
      <c r="P81" s="244"/>
      <c r="Q81" s="244"/>
      <c r="R81" s="244"/>
      <c r="S81" s="244"/>
      <c r="T81" s="244"/>
      <c r="U81" s="244"/>
      <c r="V81" s="244"/>
      <c r="W81" s="244"/>
      <c r="X81" s="244"/>
      <c r="Y81" s="244"/>
      <c r="Z81" s="244"/>
      <c r="AA81" s="244"/>
      <c r="AB81" s="244"/>
      <c r="AC81" s="244"/>
      <c r="AD81" s="244"/>
      <c r="AE81" s="244"/>
      <c r="AF81" s="244"/>
      <c r="AG81" s="244"/>
      <c r="AH81" s="244"/>
      <c r="AI81" s="244"/>
      <c r="AJ81" s="244"/>
      <c r="AK81" s="244"/>
      <c r="AL81" s="244"/>
      <c r="AM81" s="1507"/>
      <c r="AN81" s="1611"/>
      <c r="AO81" s="1611"/>
      <c r="AP81" s="1611"/>
      <c r="AQ81" s="1611"/>
      <c r="AR81" s="244"/>
      <c r="AS81" s="244"/>
      <c r="AT81" s="1611"/>
      <c r="AU81" s="244"/>
      <c r="AV81" s="1507"/>
      <c r="AW81" s="1507"/>
      <c r="AX81" s="1507"/>
      <c r="AY81" s="1507"/>
      <c r="AZ81" s="8"/>
      <c r="BA81" s="244"/>
      <c r="BB81" s="244"/>
      <c r="BC81" s="244"/>
      <c r="BD81" s="244"/>
      <c r="BE81" s="244"/>
      <c r="BF81" s="244"/>
      <c r="BG81" s="244"/>
      <c r="BH81" s="244"/>
      <c r="BI81" s="244"/>
      <c r="BJ81" s="1507"/>
      <c r="BK81" s="1611"/>
      <c r="BL81" s="1611"/>
      <c r="BM81" s="1611"/>
      <c r="BN81" s="1611"/>
      <c r="BO81" s="8"/>
    </row>
    <row r="82" spans="1:73" ht="14.25" customHeight="1">
      <c r="A82" s="8"/>
      <c r="B82" s="62" t="s">
        <v>219</v>
      </c>
      <c r="C82" s="232"/>
      <c r="D82" s="173">
        <f t="shared" ref="D82:O82" si="181">D13</f>
        <v>375</v>
      </c>
      <c r="E82" s="173">
        <f t="shared" si="181"/>
        <v>386</v>
      </c>
      <c r="F82" s="173">
        <f t="shared" si="181"/>
        <v>382</v>
      </c>
      <c r="G82" s="174">
        <f t="shared" si="181"/>
        <v>389</v>
      </c>
      <c r="H82" s="173">
        <f t="shared" si="181"/>
        <v>333</v>
      </c>
      <c r="I82" s="173">
        <f t="shared" si="181"/>
        <v>347</v>
      </c>
      <c r="J82" s="173">
        <f t="shared" si="181"/>
        <v>363</v>
      </c>
      <c r="K82" s="174">
        <f t="shared" si="181"/>
        <v>227</v>
      </c>
      <c r="L82" s="173">
        <f t="shared" si="181"/>
        <v>199</v>
      </c>
      <c r="M82" s="173">
        <f t="shared" si="181"/>
        <v>239</v>
      </c>
      <c r="N82" s="173">
        <f t="shared" si="181"/>
        <v>192</v>
      </c>
      <c r="O82" s="174">
        <f t="shared" si="181"/>
        <v>188</v>
      </c>
      <c r="P82" s="173">
        <f>P13</f>
        <v>185</v>
      </c>
      <c r="Q82" s="173">
        <f>Q13</f>
        <v>160</v>
      </c>
      <c r="R82" s="173">
        <f>R13</f>
        <v>155</v>
      </c>
      <c r="S82" s="174">
        <f>S13</f>
        <v>184</v>
      </c>
      <c r="T82" s="173">
        <f t="shared" ref="T82:Y82" si="182">T13</f>
        <v>145</v>
      </c>
      <c r="U82" s="173">
        <f t="shared" si="182"/>
        <v>143</v>
      </c>
      <c r="V82" s="173">
        <f t="shared" si="182"/>
        <v>152</v>
      </c>
      <c r="W82" s="174">
        <f t="shared" si="182"/>
        <v>151</v>
      </c>
      <c r="X82" s="173">
        <f t="shared" si="182"/>
        <v>134</v>
      </c>
      <c r="Y82" s="173">
        <f t="shared" si="182"/>
        <v>139</v>
      </c>
      <c r="Z82" s="173">
        <f t="shared" ref="Z82:AI82" si="183">Z13</f>
        <v>128</v>
      </c>
      <c r="AA82" s="174">
        <f t="shared" si="183"/>
        <v>132</v>
      </c>
      <c r="AB82" s="173">
        <f t="shared" si="183"/>
        <v>132</v>
      </c>
      <c r="AC82" s="173">
        <f t="shared" si="183"/>
        <v>132</v>
      </c>
      <c r="AD82" s="173">
        <f t="shared" si="183"/>
        <v>137</v>
      </c>
      <c r="AE82" s="174">
        <f t="shared" si="183"/>
        <v>113</v>
      </c>
      <c r="AF82" s="173">
        <f t="shared" si="183"/>
        <v>102</v>
      </c>
      <c r="AG82" s="173">
        <f t="shared" si="183"/>
        <v>103</v>
      </c>
      <c r="AH82" s="173">
        <f t="shared" si="183"/>
        <v>103</v>
      </c>
      <c r="AI82" s="174">
        <f t="shared" si="183"/>
        <v>97</v>
      </c>
      <c r="AJ82" s="173">
        <f>AJ13</f>
        <v>95</v>
      </c>
      <c r="AK82" s="173">
        <f>AK13</f>
        <v>98</v>
      </c>
      <c r="AL82" s="173">
        <f t="shared" ref="AL82:AM82" si="184">AL13</f>
        <v>94</v>
      </c>
      <c r="AM82" s="174">
        <f t="shared" si="184"/>
        <v>230</v>
      </c>
      <c r="AN82" s="173">
        <f>AN13</f>
        <v>529</v>
      </c>
      <c r="AO82" s="173">
        <f>AO13</f>
        <v>620</v>
      </c>
      <c r="AP82" s="173">
        <f t="shared" ref="AP82:AQ82" si="185">AP13</f>
        <v>526</v>
      </c>
      <c r="AQ82" s="174">
        <f t="shared" si="185"/>
        <v>530</v>
      </c>
      <c r="AR82" s="173">
        <f t="shared" ref="AR82:AU82" si="186">AR13</f>
        <v>534</v>
      </c>
      <c r="AS82" s="173">
        <f>AS13</f>
        <v>560</v>
      </c>
      <c r="AT82" s="173">
        <f t="shared" ref="AT82" si="187">AT13</f>
        <v>537</v>
      </c>
      <c r="AU82" s="174">
        <f t="shared" si="186"/>
        <v>542</v>
      </c>
      <c r="AV82" s="173">
        <f t="shared" ref="AV82:AY82" si="188">AV13</f>
        <v>126.22499999999999</v>
      </c>
      <c r="AW82" s="173">
        <f t="shared" si="188"/>
        <v>126.20977512214985</v>
      </c>
      <c r="AX82" s="173">
        <f t="shared" si="188"/>
        <v>126.43290828359122</v>
      </c>
      <c r="AY82" s="174">
        <f t="shared" si="188"/>
        <v>126.93638182113702</v>
      </c>
      <c r="AZ82" s="177"/>
      <c r="BA82" s="173">
        <f>BA13</f>
        <v>1532</v>
      </c>
      <c r="BB82" s="173">
        <f>BB13</f>
        <v>1270</v>
      </c>
      <c r="BC82" s="173">
        <f t="shared" ref="BC82:BH82" si="189">BC13</f>
        <v>818</v>
      </c>
      <c r="BD82" s="173">
        <f t="shared" si="189"/>
        <v>684</v>
      </c>
      <c r="BE82" s="173">
        <f t="shared" si="189"/>
        <v>591</v>
      </c>
      <c r="BF82" s="233">
        <f t="shared" si="189"/>
        <v>533</v>
      </c>
      <c r="BG82" s="233">
        <f t="shared" si="189"/>
        <v>514</v>
      </c>
      <c r="BH82" s="233">
        <f t="shared" si="189"/>
        <v>405</v>
      </c>
      <c r="BI82" s="233">
        <f t="shared" ref="BI82:BN82" si="190">BI13</f>
        <v>517</v>
      </c>
      <c r="BJ82" s="233">
        <f t="shared" si="190"/>
        <v>2205</v>
      </c>
      <c r="BK82" s="233">
        <f t="shared" si="190"/>
        <v>2173</v>
      </c>
      <c r="BL82" s="233">
        <f t="shared" si="190"/>
        <v>505.80406522687815</v>
      </c>
      <c r="BM82" s="233">
        <f t="shared" si="190"/>
        <v>505.80406522687815</v>
      </c>
      <c r="BN82" s="233">
        <f t="shared" si="190"/>
        <v>505.80406522687815</v>
      </c>
      <c r="BO82" s="22"/>
    </row>
    <row r="83" spans="1:73" ht="14.25" customHeight="1">
      <c r="A83" s="8"/>
      <c r="B83" s="144" t="s">
        <v>154</v>
      </c>
      <c r="C83" s="145"/>
      <c r="D83" s="148">
        <f t="shared" ref="D83:O83" si="191">IF(ROUND(D82,4)=ROUND(D77,4),0,(D82-D77))</f>
        <v>0</v>
      </c>
      <c r="E83" s="146">
        <f t="shared" si="191"/>
        <v>0</v>
      </c>
      <c r="F83" s="146">
        <f t="shared" si="191"/>
        <v>0</v>
      </c>
      <c r="G83" s="147">
        <f t="shared" si="191"/>
        <v>0</v>
      </c>
      <c r="H83" s="148">
        <f t="shared" si="191"/>
        <v>0</v>
      </c>
      <c r="I83" s="146">
        <f t="shared" si="191"/>
        <v>0</v>
      </c>
      <c r="J83" s="146">
        <f t="shared" si="191"/>
        <v>0</v>
      </c>
      <c r="K83" s="147">
        <f t="shared" si="191"/>
        <v>0</v>
      </c>
      <c r="L83" s="148">
        <f t="shared" si="191"/>
        <v>0</v>
      </c>
      <c r="M83" s="146">
        <f t="shared" si="191"/>
        <v>0</v>
      </c>
      <c r="N83" s="146">
        <f t="shared" si="191"/>
        <v>0</v>
      </c>
      <c r="O83" s="147">
        <f t="shared" si="191"/>
        <v>0</v>
      </c>
      <c r="P83" s="148">
        <f t="shared" ref="P83:AI83" si="192">IF(ROUND(P82,4)=ROUND(P77,4),0,(P82-P77))</f>
        <v>0</v>
      </c>
      <c r="Q83" s="146">
        <f t="shared" si="192"/>
        <v>0</v>
      </c>
      <c r="R83" s="146">
        <f t="shared" si="192"/>
        <v>0</v>
      </c>
      <c r="S83" s="147">
        <f t="shared" si="192"/>
        <v>0</v>
      </c>
      <c r="T83" s="148">
        <f>IF(ROUND(T82,4)=ROUND(T77,4),0,(T82-T77))</f>
        <v>0</v>
      </c>
      <c r="U83" s="146">
        <f t="shared" si="192"/>
        <v>0</v>
      </c>
      <c r="V83" s="146">
        <f t="shared" si="192"/>
        <v>0</v>
      </c>
      <c r="W83" s="147">
        <f t="shared" si="192"/>
        <v>0</v>
      </c>
      <c r="X83" s="148">
        <f>IF(ROUND(X82,4)=ROUND(X77,4),0,(X82-X77))</f>
        <v>0</v>
      </c>
      <c r="Y83" s="146">
        <f t="shared" si="192"/>
        <v>0</v>
      </c>
      <c r="Z83" s="146">
        <f t="shared" si="192"/>
        <v>0</v>
      </c>
      <c r="AA83" s="147">
        <f t="shared" si="192"/>
        <v>0</v>
      </c>
      <c r="AB83" s="148">
        <f t="shared" si="192"/>
        <v>0</v>
      </c>
      <c r="AC83" s="146">
        <f t="shared" si="192"/>
        <v>0</v>
      </c>
      <c r="AD83" s="146">
        <f t="shared" si="192"/>
        <v>0</v>
      </c>
      <c r="AE83" s="147">
        <f t="shared" si="192"/>
        <v>0</v>
      </c>
      <c r="AF83" s="148">
        <f>IF(ROUND(AF82,4)=ROUND(AF77,4),0,(AF82-AF77))</f>
        <v>0</v>
      </c>
      <c r="AG83" s="146">
        <f>IF(ROUND(AG82,4)=ROUND(AG77,4),0,(AG82-AG77))</f>
        <v>0</v>
      </c>
      <c r="AH83" s="146">
        <f>IF(ROUND(AH82,4)=ROUND(AH77,4),0,(AH82-AH77))</f>
        <v>0</v>
      </c>
      <c r="AI83" s="147">
        <f t="shared" si="192"/>
        <v>0</v>
      </c>
      <c r="AJ83" s="148">
        <f>IF(ROUND(AJ82,4)=ROUND(AJ77,4),0,(AJ82-AJ77))</f>
        <v>0</v>
      </c>
      <c r="AK83" s="146">
        <f>IF(ROUND(AK82,4)=ROUND(AK77,4),0,(AK82-AK77))</f>
        <v>0</v>
      </c>
      <c r="AL83" s="146">
        <f>IF(ROUND(AL82,4)=ROUND(AL77,4),0,(AL82-AL77))</f>
        <v>0</v>
      </c>
      <c r="AM83" s="147">
        <f t="shared" ref="AM83" si="193">IF(ROUND(AM82,4)=ROUND(AM77,4),0,(AM82-AM77))</f>
        <v>0</v>
      </c>
      <c r="AN83" s="148">
        <f>IF(ROUND(AN82,4)=ROUND(AN77,4),0,(AN82-AN77))</f>
        <v>0</v>
      </c>
      <c r="AO83" s="146">
        <f>IF(ROUND(AO82,4)=ROUND(AO77,4),0,(AO82-AO77))</f>
        <v>0</v>
      </c>
      <c r="AP83" s="146">
        <f>IF(ROUND(AP82,4)=ROUND(AP77,4),0,(AP82-AP77))</f>
        <v>0</v>
      </c>
      <c r="AQ83" s="147">
        <f t="shared" ref="AQ83" si="194">IF(ROUND(AQ82,4)=ROUND(AQ77,4),0,(AQ82-AQ77))</f>
        <v>0</v>
      </c>
      <c r="AR83" s="148">
        <f t="shared" ref="AR83:AU83" si="195">IF(ROUND(AR82,4)=ROUND(AR77,4),0,(AR82-AR77))</f>
        <v>0</v>
      </c>
      <c r="AS83" s="146">
        <f>IF(ROUND(AS82,4)=ROUND(AS77,4),0,(AS82-AS77))</f>
        <v>0</v>
      </c>
      <c r="AT83" s="146">
        <f>IF(ROUND(AT82,4)=ROUND(AT77,4),0,(AT82-AT77))</f>
        <v>0</v>
      </c>
      <c r="AU83" s="147">
        <f t="shared" si="195"/>
        <v>0</v>
      </c>
      <c r="AV83" s="148">
        <f t="shared" ref="AV83:AY83" si="196">IF(ROUND(AV82,4)=ROUND(AV77,4),0,(AV82-AV77))</f>
        <v>0</v>
      </c>
      <c r="AW83" s="146">
        <f t="shared" si="196"/>
        <v>0</v>
      </c>
      <c r="AX83" s="146">
        <f t="shared" si="196"/>
        <v>0</v>
      </c>
      <c r="AY83" s="147">
        <f t="shared" si="196"/>
        <v>0</v>
      </c>
      <c r="AZ83" s="177"/>
      <c r="BA83" s="146">
        <f>IF(ROUND(BA82,4)=ROUND(BA77,4),0,(BA82-BA77))</f>
        <v>0</v>
      </c>
      <c r="BB83" s="146">
        <f>IF(ROUND(BB82,4)=ROUND(BB77,4),0,(BB82-BB77))</f>
        <v>0</v>
      </c>
      <c r="BC83" s="146">
        <f t="shared" ref="BC83:BM83" si="197">IF(ROUND(BC82,4)=ROUND(BC77,4),0,(BC82-BC77))</f>
        <v>0</v>
      </c>
      <c r="BD83" s="146">
        <f t="shared" si="197"/>
        <v>0</v>
      </c>
      <c r="BE83" s="146">
        <f t="shared" si="197"/>
        <v>0</v>
      </c>
      <c r="BF83" s="234">
        <f t="shared" si="197"/>
        <v>0</v>
      </c>
      <c r="BG83" s="234">
        <f t="shared" si="197"/>
        <v>0</v>
      </c>
      <c r="BH83" s="234">
        <f t="shared" si="197"/>
        <v>0</v>
      </c>
      <c r="BI83" s="234">
        <f t="shared" si="197"/>
        <v>0</v>
      </c>
      <c r="BJ83" s="234">
        <f t="shared" si="197"/>
        <v>0</v>
      </c>
      <c r="BK83" s="234">
        <f t="shared" ref="BK83:BL83" si="198">IF(ROUND(BK82,4)=ROUND(BK77,4),0,(BK82-BK77))</f>
        <v>0</v>
      </c>
      <c r="BL83" s="234">
        <f t="shared" si="198"/>
        <v>0</v>
      </c>
      <c r="BM83" s="234">
        <f t="shared" si="197"/>
        <v>0</v>
      </c>
      <c r="BN83" s="234">
        <f t="shared" ref="BN83" si="199">IF(ROUND(BN82,4)=ROUND(BN77,4),0,(BN82-BN77))</f>
        <v>0</v>
      </c>
      <c r="BO83" s="22"/>
    </row>
    <row r="84" spans="1:73" ht="14.25" customHeight="1">
      <c r="A84" s="8"/>
      <c r="B84" s="14"/>
      <c r="C84" s="14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14"/>
      <c r="BG84" s="8"/>
      <c r="BH84" s="8"/>
      <c r="BI84" s="8"/>
      <c r="BJ84" s="14"/>
      <c r="BK84" s="14"/>
      <c r="BL84" s="14"/>
      <c r="BM84" s="14"/>
      <c r="BN84" s="14"/>
      <c r="BO84" s="8"/>
    </row>
    <row r="85" spans="1:73" ht="14.25" customHeight="1">
      <c r="A85" s="8"/>
      <c r="B85" s="14"/>
      <c r="C85" s="14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</row>
    <row r="86" spans="1:73" ht="14.25" customHeight="1">
      <c r="A86" s="8"/>
      <c r="B86" s="153" t="s">
        <v>220</v>
      </c>
      <c r="C86" s="154"/>
      <c r="D86" s="274" t="str">
        <f t="shared" ref="D86:O86" si="200">D76</f>
        <v>F1Q07A</v>
      </c>
      <c r="E86" s="239" t="str">
        <f t="shared" si="200"/>
        <v>F2Q07A</v>
      </c>
      <c r="F86" s="239" t="str">
        <f t="shared" si="200"/>
        <v>F3Q07A</v>
      </c>
      <c r="G86" s="240" t="str">
        <f t="shared" si="200"/>
        <v>F4Q07A</v>
      </c>
      <c r="H86" s="274" t="str">
        <f t="shared" si="200"/>
        <v>F1Q08A</v>
      </c>
      <c r="I86" s="239" t="str">
        <f t="shared" si="200"/>
        <v>F2Q08A</v>
      </c>
      <c r="J86" s="239" t="str">
        <f t="shared" si="200"/>
        <v>F3Q08A</v>
      </c>
      <c r="K86" s="240" t="str">
        <f t="shared" si="200"/>
        <v>F4Q08A</v>
      </c>
      <c r="L86" s="274" t="str">
        <f t="shared" si="200"/>
        <v>F1Q09A</v>
      </c>
      <c r="M86" s="239" t="str">
        <f t="shared" si="200"/>
        <v>F2Q09A</v>
      </c>
      <c r="N86" s="239" t="str">
        <f t="shared" si="200"/>
        <v>F3Q09A</v>
      </c>
      <c r="O86" s="240" t="str">
        <f t="shared" si="200"/>
        <v>F4Q09A</v>
      </c>
      <c r="P86" s="274" t="str">
        <f t="shared" ref="P86:AI86" si="201">P76</f>
        <v>F1Q10A</v>
      </c>
      <c r="Q86" s="239" t="str">
        <f t="shared" si="201"/>
        <v>F2Q10A</v>
      </c>
      <c r="R86" s="239" t="str">
        <f t="shared" si="201"/>
        <v>F3Q10A</v>
      </c>
      <c r="S86" s="240" t="str">
        <f t="shared" si="201"/>
        <v>F4Q10A</v>
      </c>
      <c r="T86" s="274" t="str">
        <f t="shared" si="201"/>
        <v>F1Q11A</v>
      </c>
      <c r="U86" s="239" t="str">
        <f>U76</f>
        <v>F2Q11A</v>
      </c>
      <c r="V86" s="239" t="str">
        <f>V76</f>
        <v>F3Q11A</v>
      </c>
      <c r="W86" s="240" t="str">
        <f>W76</f>
        <v>F4Q11A</v>
      </c>
      <c r="X86" s="274" t="str">
        <f>X76</f>
        <v>F1Q12A</v>
      </c>
      <c r="Y86" s="239" t="str">
        <f>Y76</f>
        <v>F2Q12A</v>
      </c>
      <c r="Z86" s="239" t="str">
        <f t="shared" si="201"/>
        <v>F3Q12A</v>
      </c>
      <c r="AA86" s="240" t="str">
        <f t="shared" si="201"/>
        <v>F4Q12A</v>
      </c>
      <c r="AB86" s="274" t="str">
        <f t="shared" si="201"/>
        <v>F1Q13A</v>
      </c>
      <c r="AC86" s="239" t="str">
        <f t="shared" si="201"/>
        <v>F2Q13A</v>
      </c>
      <c r="AD86" s="239" t="str">
        <f t="shared" si="201"/>
        <v>F3Q13A</v>
      </c>
      <c r="AE86" s="240" t="str">
        <f t="shared" si="201"/>
        <v>F4Q13A</v>
      </c>
      <c r="AF86" s="274" t="str">
        <f t="shared" si="201"/>
        <v>F1Q14A</v>
      </c>
      <c r="AG86" s="239" t="str">
        <f t="shared" si="201"/>
        <v>F2Q14A</v>
      </c>
      <c r="AH86" s="239" t="str">
        <f t="shared" si="201"/>
        <v>F3Q14A</v>
      </c>
      <c r="AI86" s="240" t="str">
        <f t="shared" si="201"/>
        <v>F4Q14A</v>
      </c>
      <c r="AJ86" s="274" t="str">
        <f t="shared" ref="AJ86:AM86" si="202">AJ76</f>
        <v>F1Q15A</v>
      </c>
      <c r="AK86" s="239" t="str">
        <f t="shared" si="202"/>
        <v>F2Q15A</v>
      </c>
      <c r="AL86" s="239" t="str">
        <f t="shared" si="202"/>
        <v>F3Q15A</v>
      </c>
      <c r="AM86" s="240" t="str">
        <f t="shared" si="202"/>
        <v>F4Q15A</v>
      </c>
      <c r="AN86" s="1624" t="str">
        <f t="shared" ref="AN86:AQ86" si="203">AN76</f>
        <v>F1Q16A</v>
      </c>
      <c r="AO86" s="1608" t="str">
        <f t="shared" si="203"/>
        <v>F2Q16A</v>
      </c>
      <c r="AP86" s="1608" t="str">
        <f t="shared" si="203"/>
        <v>F3Q16A</v>
      </c>
      <c r="AQ86" s="1609" t="str">
        <f t="shared" si="203"/>
        <v>F4Q16A</v>
      </c>
      <c r="AR86" s="274" t="str">
        <f t="shared" ref="AR86:AU86" si="204">AR76</f>
        <v>F1Q17A</v>
      </c>
      <c r="AS86" s="239" t="str">
        <f t="shared" si="204"/>
        <v>F2Q17A</v>
      </c>
      <c r="AT86" s="239" t="str">
        <f t="shared" si="204"/>
        <v>F3Q17A</v>
      </c>
      <c r="AU86" s="240" t="str">
        <f t="shared" si="204"/>
        <v>F4Q17A</v>
      </c>
      <c r="AV86" s="274" t="str">
        <f t="shared" ref="AV86:AY86" si="205">AV76</f>
        <v>F1Q18E</v>
      </c>
      <c r="AW86" s="239" t="str">
        <f t="shared" si="205"/>
        <v>F2Q18E</v>
      </c>
      <c r="AX86" s="239" t="str">
        <f t="shared" si="205"/>
        <v>F3Q18E</v>
      </c>
      <c r="AY86" s="240" t="str">
        <f t="shared" si="205"/>
        <v>F4Q18E</v>
      </c>
      <c r="AZ86" s="20"/>
      <c r="BA86" s="17" t="str">
        <f>BA76</f>
        <v>FY2007A</v>
      </c>
      <c r="BB86" s="18" t="str">
        <f>BB76</f>
        <v>FY2008A</v>
      </c>
      <c r="BC86" s="18" t="str">
        <f t="shared" ref="BC86:BH86" si="206">BC76</f>
        <v>FY2009A</v>
      </c>
      <c r="BD86" s="18" t="str">
        <f t="shared" si="206"/>
        <v>FY2010A</v>
      </c>
      <c r="BE86" s="17" t="str">
        <f t="shared" si="206"/>
        <v>FY2011A</v>
      </c>
      <c r="BF86" s="18" t="str">
        <f t="shared" si="206"/>
        <v>FY2012A</v>
      </c>
      <c r="BG86" s="17" t="str">
        <f t="shared" si="206"/>
        <v>FY2013A</v>
      </c>
      <c r="BH86" s="18" t="str">
        <f t="shared" si="206"/>
        <v>FY2014A</v>
      </c>
      <c r="BI86" s="18" t="str">
        <f t="shared" ref="BI86:BN86" si="207">BI76</f>
        <v>FY2015A</v>
      </c>
      <c r="BJ86" s="1503" t="str">
        <f t="shared" si="207"/>
        <v>FY2016A</v>
      </c>
      <c r="BK86" s="1804" t="str">
        <f t="shared" si="207"/>
        <v>FY2017A</v>
      </c>
      <c r="BL86" s="1804" t="str">
        <f t="shared" si="207"/>
        <v>FY2018E</v>
      </c>
      <c r="BM86" s="1804" t="str">
        <f t="shared" si="207"/>
        <v>FY2019E</v>
      </c>
      <c r="BN86" s="1804" t="str">
        <f t="shared" si="207"/>
        <v>FY2020E</v>
      </c>
      <c r="BO86" s="22"/>
    </row>
    <row r="87" spans="1:73" ht="14.25" customHeight="1">
      <c r="A87" s="8"/>
      <c r="B87" s="22" t="s">
        <v>221</v>
      </c>
      <c r="C87" s="241"/>
      <c r="D87" s="280">
        <f t="shared" ref="D87:O87" si="208">D30+D33</f>
        <v>-122</v>
      </c>
      <c r="E87" s="280">
        <f t="shared" si="208"/>
        <v>-5</v>
      </c>
      <c r="F87" s="280">
        <f t="shared" si="208"/>
        <v>128</v>
      </c>
      <c r="G87" s="281">
        <f t="shared" si="208"/>
        <v>-17</v>
      </c>
      <c r="H87" s="280">
        <f t="shared" si="208"/>
        <v>-411</v>
      </c>
      <c r="I87" s="280">
        <f t="shared" si="208"/>
        <v>-420</v>
      </c>
      <c r="J87" s="280">
        <f t="shared" si="208"/>
        <v>45</v>
      </c>
      <c r="K87" s="281">
        <f t="shared" si="208"/>
        <v>-215</v>
      </c>
      <c r="L87" s="280">
        <f t="shared" si="208"/>
        <v>-380</v>
      </c>
      <c r="M87" s="280">
        <f t="shared" si="208"/>
        <v>-363</v>
      </c>
      <c r="N87" s="280">
        <f t="shared" si="208"/>
        <v>-68</v>
      </c>
      <c r="O87" s="281">
        <f t="shared" si="208"/>
        <v>-11</v>
      </c>
      <c r="P87" s="280">
        <f t="shared" ref="P87:U87" si="209">P30+P33</f>
        <v>-66</v>
      </c>
      <c r="Q87" s="280">
        <f t="shared" si="209"/>
        <v>4</v>
      </c>
      <c r="R87" s="280">
        <f t="shared" si="209"/>
        <v>90</v>
      </c>
      <c r="S87" s="281">
        <f t="shared" si="209"/>
        <v>73</v>
      </c>
      <c r="T87" s="280">
        <f t="shared" si="209"/>
        <v>-67</v>
      </c>
      <c r="U87" s="280">
        <f t="shared" si="209"/>
        <v>-57</v>
      </c>
      <c r="V87" s="280">
        <f>V30+V33</f>
        <v>86</v>
      </c>
      <c r="W87" s="281">
        <f>W30+W33</f>
        <v>-74</v>
      </c>
      <c r="X87" s="280">
        <f>X30+X33</f>
        <v>58</v>
      </c>
      <c r="Y87" s="280">
        <f>Y30+Y33</f>
        <v>195</v>
      </c>
      <c r="Z87" s="280">
        <f t="shared" ref="Z87:AI87" si="210">Z30+Z33</f>
        <v>100</v>
      </c>
      <c r="AA87" s="281">
        <f t="shared" si="210"/>
        <v>118</v>
      </c>
      <c r="AB87" s="280">
        <f t="shared" si="210"/>
        <v>78</v>
      </c>
      <c r="AC87" s="280">
        <f t="shared" si="210"/>
        <v>111</v>
      </c>
      <c r="AD87" s="280">
        <f t="shared" si="210"/>
        <v>244</v>
      </c>
      <c r="AE87" s="281">
        <f t="shared" si="210"/>
        <v>243</v>
      </c>
      <c r="AF87" s="280">
        <f t="shared" si="210"/>
        <v>222</v>
      </c>
      <c r="AG87" s="280">
        <f t="shared" si="210"/>
        <v>153</v>
      </c>
      <c r="AH87" s="280">
        <f t="shared" si="210"/>
        <v>315</v>
      </c>
      <c r="AI87" s="281">
        <f t="shared" si="210"/>
        <v>449</v>
      </c>
      <c r="AJ87" s="280">
        <f t="shared" ref="AJ87:AM87" si="211">AJ30+AJ33</f>
        <v>288</v>
      </c>
      <c r="AK87" s="280">
        <f t="shared" si="211"/>
        <v>260</v>
      </c>
      <c r="AL87" s="280">
        <f t="shared" si="211"/>
        <v>271</v>
      </c>
      <c r="AM87" s="281">
        <f t="shared" si="211"/>
        <v>179</v>
      </c>
      <c r="AN87" s="280">
        <f t="shared" ref="AN87:AQ87" si="212">AN30+AN33</f>
        <v>326</v>
      </c>
      <c r="AO87" s="280">
        <f t="shared" si="212"/>
        <v>363</v>
      </c>
      <c r="AP87" s="280">
        <f t="shared" si="212"/>
        <v>619</v>
      </c>
      <c r="AQ87" s="281">
        <f t="shared" si="212"/>
        <v>606</v>
      </c>
      <c r="AR87" s="280">
        <f t="shared" ref="AR87:AU87" si="213">AR30+AR33</f>
        <v>464</v>
      </c>
      <c r="AS87" s="280">
        <f t="shared" si="213"/>
        <v>345</v>
      </c>
      <c r="AT87" s="280">
        <f t="shared" si="213"/>
        <v>481</v>
      </c>
      <c r="AU87" s="281">
        <f t="shared" si="213"/>
        <v>605</v>
      </c>
      <c r="AV87" s="280">
        <f t="shared" ref="AV87:AY87" si="214">AV30+AV33</f>
        <v>655.65873337459266</v>
      </c>
      <c r="AW87" s="280">
        <f t="shared" si="214"/>
        <v>619.25377193479267</v>
      </c>
      <c r="AX87" s="280">
        <f t="shared" si="214"/>
        <v>655.14581776494299</v>
      </c>
      <c r="AY87" s="281">
        <f t="shared" si="214"/>
        <v>699.85501951279082</v>
      </c>
      <c r="AZ87" s="20"/>
      <c r="BA87" s="1059">
        <f>BA30+BA33+BA36</f>
        <v>-53</v>
      </c>
      <c r="BB87" s="785">
        <f>BB30+BB33+BB36</f>
        <v>-1033</v>
      </c>
      <c r="BC87" s="785">
        <f>BC30+BC33+BC36</f>
        <v>-830</v>
      </c>
      <c r="BD87" s="785">
        <f>BD30+BD33+BD36</f>
        <v>94</v>
      </c>
      <c r="BE87" s="1059">
        <f t="shared" ref="BE87:BM87" si="215">BE30+BE33+BE36</f>
        <v>-122</v>
      </c>
      <c r="BF87" s="785">
        <f t="shared" si="215"/>
        <v>442</v>
      </c>
      <c r="BG87" s="1059">
        <f t="shared" si="215"/>
        <v>641</v>
      </c>
      <c r="BH87" s="785">
        <f t="shared" si="215"/>
        <v>1103</v>
      </c>
      <c r="BI87" s="785">
        <f>BI30+BI33+BI36</f>
        <v>986</v>
      </c>
      <c r="BJ87" s="785">
        <f>BJ30+BJ33+BJ36</f>
        <v>1880</v>
      </c>
      <c r="BK87" s="785">
        <f>BK30+BK33+BK36</f>
        <v>1829</v>
      </c>
      <c r="BL87" s="785">
        <f>BL30+BL33+BL36</f>
        <v>2589.9133425871196</v>
      </c>
      <c r="BM87" s="785">
        <f t="shared" si="215"/>
        <v>2834.3438183511826</v>
      </c>
      <c r="BN87" s="785">
        <f t="shared" ref="BN87" si="216">BN30+BN33+BN36</f>
        <v>2989.4224914403108</v>
      </c>
      <c r="BO87" s="22"/>
    </row>
    <row r="88" spans="1:73" ht="14.25" customHeight="1">
      <c r="A88" s="8"/>
      <c r="B88" s="22"/>
      <c r="C88" s="246"/>
      <c r="D88" s="280"/>
      <c r="E88" s="280"/>
      <c r="F88" s="280"/>
      <c r="G88" s="1058"/>
      <c r="H88" s="280"/>
      <c r="I88" s="280"/>
      <c r="J88" s="280"/>
      <c r="K88" s="1058"/>
      <c r="L88" s="280"/>
      <c r="M88" s="280"/>
      <c r="N88" s="280"/>
      <c r="O88" s="1058"/>
      <c r="P88" s="280"/>
      <c r="Q88" s="280"/>
      <c r="R88" s="280"/>
      <c r="S88" s="1058"/>
      <c r="T88" s="280"/>
      <c r="U88" s="280"/>
      <c r="V88" s="280"/>
      <c r="W88" s="1058"/>
      <c r="X88" s="280"/>
      <c r="Y88" s="280"/>
      <c r="Z88" s="280"/>
      <c r="AA88" s="1058"/>
      <c r="AB88" s="280"/>
      <c r="AC88" s="280"/>
      <c r="AD88" s="280"/>
      <c r="AE88" s="1058"/>
      <c r="AF88" s="280"/>
      <c r="AG88" s="280"/>
      <c r="AH88" s="280"/>
      <c r="AI88" s="1058"/>
      <c r="AJ88" s="280"/>
      <c r="AK88" s="280"/>
      <c r="AL88" s="280"/>
      <c r="AM88" s="1058"/>
      <c r="AN88" s="280"/>
      <c r="AO88" s="280"/>
      <c r="AP88" s="280"/>
      <c r="AQ88" s="1058"/>
      <c r="AR88" s="280"/>
      <c r="AS88" s="280"/>
      <c r="AT88" s="280"/>
      <c r="AU88" s="1058"/>
      <c r="AV88" s="280"/>
      <c r="AW88" s="280"/>
      <c r="AX88" s="280"/>
      <c r="AY88" s="1058"/>
      <c r="AZ88" s="20"/>
      <c r="BA88" s="1059"/>
      <c r="BB88" s="785"/>
      <c r="BC88" s="785"/>
      <c r="BD88" s="785"/>
      <c r="BE88" s="1059"/>
      <c r="BF88" s="785"/>
      <c r="BG88" s="1059"/>
      <c r="BH88" s="785"/>
      <c r="BI88" s="785"/>
      <c r="BJ88" s="785"/>
      <c r="BK88" s="785"/>
      <c r="BL88" s="785"/>
      <c r="BM88" s="785"/>
      <c r="BN88" s="785"/>
      <c r="BO88" s="22"/>
    </row>
    <row r="89" spans="1:73" ht="14.25" customHeight="1">
      <c r="A89" s="8"/>
      <c r="B89" s="1068" t="s">
        <v>381</v>
      </c>
      <c r="C89" s="246"/>
      <c r="D89" s="280"/>
      <c r="E89" s="280"/>
      <c r="F89" s="280"/>
      <c r="G89" s="1058"/>
      <c r="H89" s="280"/>
      <c r="I89" s="280"/>
      <c r="J89" s="280"/>
      <c r="K89" s="1058"/>
      <c r="L89" s="280"/>
      <c r="M89" s="280"/>
      <c r="N89" s="280"/>
      <c r="O89" s="1058"/>
      <c r="P89" s="280"/>
      <c r="Q89" s="280"/>
      <c r="R89" s="280"/>
      <c r="S89" s="1058"/>
      <c r="T89" s="280"/>
      <c r="U89" s="280"/>
      <c r="V89" s="280"/>
      <c r="W89" s="1058"/>
      <c r="X89" s="280"/>
      <c r="Y89" s="280"/>
      <c r="Z89" s="280"/>
      <c r="AA89" s="1058"/>
      <c r="AB89" s="280"/>
      <c r="AC89" s="280"/>
      <c r="AD89" s="280"/>
      <c r="AE89" s="1058"/>
      <c r="AF89" s="280"/>
      <c r="AG89" s="280"/>
      <c r="AH89" s="280"/>
      <c r="AI89" s="1058"/>
      <c r="AJ89" s="280"/>
      <c r="AK89" s="280"/>
      <c r="AL89" s="280"/>
      <c r="AM89" s="1058"/>
      <c r="AN89" s="280"/>
      <c r="AO89" s="280"/>
      <c r="AP89" s="280"/>
      <c r="AQ89" s="1058"/>
      <c r="AR89" s="280"/>
      <c r="AS89" s="280"/>
      <c r="AT89" s="280"/>
      <c r="AU89" s="1058"/>
      <c r="AV89" s="280"/>
      <c r="AW89" s="280"/>
      <c r="AX89" s="280"/>
      <c r="AY89" s="1058"/>
      <c r="AZ89" s="20"/>
      <c r="BA89" s="1059"/>
      <c r="BB89" s="785"/>
      <c r="BC89" s="785"/>
      <c r="BD89" s="785"/>
      <c r="BE89" s="1059"/>
      <c r="BF89" s="785"/>
      <c r="BG89" s="1059"/>
      <c r="BH89" s="785"/>
      <c r="BI89" s="785"/>
      <c r="BJ89" s="785"/>
      <c r="BK89" s="785"/>
      <c r="BL89" s="785"/>
      <c r="BM89" s="785"/>
      <c r="BN89" s="785"/>
      <c r="BO89" s="22"/>
    </row>
    <row r="90" spans="1:73" ht="14.25" customHeight="1">
      <c r="A90" s="8"/>
      <c r="B90" s="22" t="s">
        <v>508</v>
      </c>
      <c r="C90" s="246"/>
      <c r="D90" s="280"/>
      <c r="E90" s="280"/>
      <c r="F90" s="280"/>
      <c r="G90" s="1058"/>
      <c r="H90" s="280"/>
      <c r="I90" s="280"/>
      <c r="J90" s="280"/>
      <c r="K90" s="1058"/>
      <c r="L90" s="280"/>
      <c r="M90" s="280"/>
      <c r="N90" s="280"/>
      <c r="O90" s="1058"/>
      <c r="P90" s="280"/>
      <c r="Q90" s="280"/>
      <c r="R90" s="280"/>
      <c r="S90" s="1058"/>
      <c r="T90" s="280"/>
      <c r="U90" s="280"/>
      <c r="V90" s="280"/>
      <c r="W90" s="1058"/>
      <c r="X90" s="280"/>
      <c r="Y90" s="280"/>
      <c r="Z90" s="280"/>
      <c r="AA90" s="1058"/>
      <c r="AB90" s="280"/>
      <c r="AC90" s="280"/>
      <c r="AD90" s="280"/>
      <c r="AE90" s="1058"/>
      <c r="AF90" s="280"/>
      <c r="AG90" s="280"/>
      <c r="AH90" s="280"/>
      <c r="AI90" s="1058"/>
      <c r="AJ90" s="280"/>
      <c r="AK90" s="280"/>
      <c r="AL90" s="280"/>
      <c r="AM90" s="1058"/>
      <c r="AN90" s="280"/>
      <c r="AO90" s="280"/>
      <c r="AP90" s="280"/>
      <c r="AQ90" s="1058"/>
      <c r="AR90" s="280"/>
      <c r="AS90" s="280"/>
      <c r="AT90" s="280"/>
      <c r="AU90" s="1058"/>
      <c r="AV90" s="280"/>
      <c r="AW90" s="280"/>
      <c r="AX90" s="280"/>
      <c r="AY90" s="1058"/>
      <c r="AZ90" s="20"/>
      <c r="BA90" s="1059"/>
      <c r="BB90" s="785"/>
      <c r="BC90" s="785"/>
      <c r="BD90" s="785"/>
      <c r="BE90" s="1422">
        <v>478</v>
      </c>
      <c r="BF90" s="1423">
        <v>492</v>
      </c>
      <c r="BG90" s="1422">
        <v>819</v>
      </c>
      <c r="BH90" s="1423">
        <v>1118</v>
      </c>
      <c r="BI90" s="1423">
        <v>1247</v>
      </c>
      <c r="BJ90" s="1423">
        <v>1141.0882471247951</v>
      </c>
      <c r="BK90" s="1423">
        <v>1736.3014028703956</v>
      </c>
      <c r="BL90" s="1423">
        <v>2144.253622299052</v>
      </c>
      <c r="BM90" s="1423">
        <v>2244.8450336621095</v>
      </c>
      <c r="BN90" s="1423">
        <v>2425.5584330349598</v>
      </c>
      <c r="BO90" s="22"/>
    </row>
    <row r="91" spans="1:73" ht="14.25" customHeight="1">
      <c r="A91" s="8"/>
      <c r="B91" s="22" t="s">
        <v>411</v>
      </c>
      <c r="C91" s="246"/>
      <c r="D91" s="280"/>
      <c r="E91" s="280"/>
      <c r="F91" s="280"/>
      <c r="G91" s="1058"/>
      <c r="H91" s="280"/>
      <c r="I91" s="280"/>
      <c r="J91" s="280"/>
      <c r="K91" s="1058"/>
      <c r="L91" s="280"/>
      <c r="M91" s="280"/>
      <c r="N91" s="280"/>
      <c r="O91" s="1058"/>
      <c r="P91" s="280"/>
      <c r="Q91" s="280"/>
      <c r="R91" s="280"/>
      <c r="S91" s="1058"/>
      <c r="T91" s="280"/>
      <c r="U91" s="280"/>
      <c r="V91" s="280"/>
      <c r="W91" s="1058"/>
      <c r="X91" s="280"/>
      <c r="Y91" s="280"/>
      <c r="Z91" s="280"/>
      <c r="AA91" s="1058"/>
      <c r="AB91" s="280"/>
      <c r="AC91" s="280"/>
      <c r="AD91" s="280"/>
      <c r="AE91" s="1058"/>
      <c r="AF91" s="280"/>
      <c r="AG91" s="280"/>
      <c r="AH91" s="280"/>
      <c r="AI91" s="1058"/>
      <c r="AJ91" s="280"/>
      <c r="AK91" s="280"/>
      <c r="AL91" s="280"/>
      <c r="AM91" s="1058"/>
      <c r="AN91" s="280"/>
      <c r="AO91" s="280"/>
      <c r="AP91" s="280"/>
      <c r="AQ91" s="1058"/>
      <c r="AR91" s="280"/>
      <c r="AS91" s="280"/>
      <c r="AT91" s="280"/>
      <c r="AU91" s="1058"/>
      <c r="AV91" s="280"/>
      <c r="AW91" s="280"/>
      <c r="AX91" s="280"/>
      <c r="AY91" s="1058"/>
      <c r="AZ91" s="20"/>
      <c r="BA91" s="1059"/>
      <c r="BB91" s="785"/>
      <c r="BC91" s="785"/>
      <c r="BD91" s="785"/>
      <c r="BE91" s="1059">
        <f t="shared" ref="BE91:BM91" si="217">+BE78</f>
        <v>290</v>
      </c>
      <c r="BF91" s="785">
        <f t="shared" si="217"/>
        <v>247</v>
      </c>
      <c r="BG91" s="1059">
        <f t="shared" si="217"/>
        <v>246</v>
      </c>
      <c r="BH91" s="785">
        <f t="shared" si="217"/>
        <v>219</v>
      </c>
      <c r="BI91" s="785">
        <f>+BI78</f>
        <v>259</v>
      </c>
      <c r="BJ91" s="785">
        <f>+BJ78</f>
        <v>458</v>
      </c>
      <c r="BK91" s="785">
        <f>+BK78</f>
        <v>611</v>
      </c>
      <c r="BL91" s="785">
        <f>+BL78</f>
        <v>505.80406522687815</v>
      </c>
      <c r="BM91" s="785">
        <f t="shared" si="217"/>
        <v>505.80406522687815</v>
      </c>
      <c r="BN91" s="785">
        <f t="shared" ref="BN91" si="218">+BN78</f>
        <v>505.80406522687815</v>
      </c>
      <c r="BO91" s="22"/>
    </row>
    <row r="92" spans="1:73" ht="14.25" customHeight="1">
      <c r="A92" s="8"/>
      <c r="B92" s="22" t="s">
        <v>382</v>
      </c>
      <c r="C92" s="246"/>
      <c r="D92" s="280"/>
      <c r="E92" s="280"/>
      <c r="F92" s="280"/>
      <c r="G92" s="1058"/>
      <c r="H92" s="280"/>
      <c r="I92" s="280"/>
      <c r="J92" s="280"/>
      <c r="K92" s="1058"/>
      <c r="L92" s="280"/>
      <c r="M92" s="280"/>
      <c r="N92" s="280"/>
      <c r="O92" s="1058"/>
      <c r="P92" s="280"/>
      <c r="Q92" s="280"/>
      <c r="R92" s="280"/>
      <c r="S92" s="1058"/>
      <c r="T92" s="280"/>
      <c r="U92" s="280"/>
      <c r="V92" s="280"/>
      <c r="W92" s="1058"/>
      <c r="X92" s="280"/>
      <c r="Y92" s="280"/>
      <c r="Z92" s="280"/>
      <c r="AA92" s="1058"/>
      <c r="AB92" s="280"/>
      <c r="AC92" s="280"/>
      <c r="AD92" s="280"/>
      <c r="AE92" s="1058"/>
      <c r="AF92" s="280"/>
      <c r="AG92" s="280"/>
      <c r="AH92" s="280"/>
      <c r="AI92" s="1058"/>
      <c r="AJ92" s="280"/>
      <c r="AK92" s="280"/>
      <c r="AL92" s="280"/>
      <c r="AM92" s="1058"/>
      <c r="AN92" s="280"/>
      <c r="AO92" s="280"/>
      <c r="AP92" s="280"/>
      <c r="AQ92" s="1058"/>
      <c r="AR92" s="280"/>
      <c r="AS92" s="280"/>
      <c r="AT92" s="280"/>
      <c r="AU92" s="1058"/>
      <c r="AV92" s="280"/>
      <c r="AW92" s="280"/>
      <c r="AX92" s="280"/>
      <c r="AY92" s="1058"/>
      <c r="AZ92" s="20"/>
      <c r="BA92" s="1059"/>
      <c r="BB92" s="785"/>
      <c r="BC92" s="785"/>
      <c r="BD92" s="785"/>
      <c r="BE92" s="1059">
        <f t="shared" ref="BE92:BM92" si="219">+BE33</f>
        <v>-220</v>
      </c>
      <c r="BF92" s="785">
        <f t="shared" si="219"/>
        <v>-251</v>
      </c>
      <c r="BG92" s="1059">
        <f t="shared" si="219"/>
        <v>-215</v>
      </c>
      <c r="BH92" s="785">
        <f t="shared" si="219"/>
        <v>-329</v>
      </c>
      <c r="BI92" s="785">
        <f>+BI33</f>
        <v>-341</v>
      </c>
      <c r="BJ92" s="785">
        <f>+BJ33</f>
        <v>-389</v>
      </c>
      <c r="BK92" s="785">
        <f>+BK33</f>
        <v>-552</v>
      </c>
      <c r="BL92" s="785">
        <f>+BL33</f>
        <v>-525.32079716400654</v>
      </c>
      <c r="BM92" s="785">
        <f t="shared" si="219"/>
        <v>-485.03303678000003</v>
      </c>
      <c r="BN92" s="785">
        <f t="shared" ref="BN92" si="220">+BN33</f>
        <v>-511.81766484820002</v>
      </c>
      <c r="BO92" s="22"/>
    </row>
    <row r="93" spans="1:73" s="468" customFormat="1" ht="14.25" customHeight="1">
      <c r="A93" s="581"/>
      <c r="B93" s="588" t="s">
        <v>383</v>
      </c>
      <c r="C93" s="821"/>
      <c r="D93" s="1060"/>
      <c r="E93" s="1060"/>
      <c r="F93" s="1060"/>
      <c r="G93" s="1061"/>
      <c r="H93" s="1060"/>
      <c r="I93" s="1060"/>
      <c r="J93" s="1060"/>
      <c r="K93" s="1061"/>
      <c r="L93" s="1060"/>
      <c r="M93" s="1060"/>
      <c r="N93" s="1060"/>
      <c r="O93" s="1061"/>
      <c r="P93" s="1060"/>
      <c r="Q93" s="1060"/>
      <c r="R93" s="1060"/>
      <c r="S93" s="1061"/>
      <c r="T93" s="1060"/>
      <c r="U93" s="1060"/>
      <c r="V93" s="1060"/>
      <c r="W93" s="1061"/>
      <c r="X93" s="1060"/>
      <c r="Y93" s="1060"/>
      <c r="Z93" s="1060"/>
      <c r="AA93" s="1061"/>
      <c r="AB93" s="1060"/>
      <c r="AC93" s="1060"/>
      <c r="AD93" s="1060"/>
      <c r="AE93" s="1061"/>
      <c r="AF93" s="1060"/>
      <c r="AG93" s="1060"/>
      <c r="AH93" s="1060"/>
      <c r="AI93" s="1061"/>
      <c r="AJ93" s="1060"/>
      <c r="AK93" s="1060"/>
      <c r="AL93" s="1060"/>
      <c r="AM93" s="1061"/>
      <c r="AN93" s="1060"/>
      <c r="AO93" s="1060"/>
      <c r="AP93" s="1060"/>
      <c r="AQ93" s="1061"/>
      <c r="AR93" s="1060"/>
      <c r="AS93" s="1060"/>
      <c r="AT93" s="1060"/>
      <c r="AU93" s="1061"/>
      <c r="AV93" s="1060"/>
      <c r="AW93" s="1060"/>
      <c r="AX93" s="1060"/>
      <c r="AY93" s="1061"/>
      <c r="AZ93" s="476"/>
      <c r="BA93" s="1063"/>
      <c r="BB93" s="1062"/>
      <c r="BC93" s="1062"/>
      <c r="BD93" s="1062"/>
      <c r="BE93" s="1063">
        <f t="shared" ref="BE93:BM93" si="221">+BE36</f>
        <v>-10</v>
      </c>
      <c r="BF93" s="1062">
        <f t="shared" si="221"/>
        <v>-29</v>
      </c>
      <c r="BG93" s="1063">
        <f t="shared" si="221"/>
        <v>-35</v>
      </c>
      <c r="BH93" s="1062">
        <f t="shared" si="221"/>
        <v>-36</v>
      </c>
      <c r="BI93" s="1062">
        <f>+BI36</f>
        <v>-12</v>
      </c>
      <c r="BJ93" s="1062">
        <f>+BJ36</f>
        <v>-34</v>
      </c>
      <c r="BK93" s="1062">
        <f>+BK36</f>
        <v>-66</v>
      </c>
      <c r="BL93" s="1062">
        <f>+BL36</f>
        <v>-40</v>
      </c>
      <c r="BM93" s="1062">
        <f t="shared" si="221"/>
        <v>-40</v>
      </c>
      <c r="BN93" s="1062">
        <f t="shared" ref="BN93" si="222">+BN36</f>
        <v>-40</v>
      </c>
      <c r="BO93" s="588"/>
      <c r="BP93"/>
      <c r="BQ93"/>
      <c r="BR93"/>
      <c r="BS93"/>
      <c r="BT93"/>
      <c r="BU93"/>
    </row>
    <row r="94" spans="1:73" s="107" customFormat="1" ht="14.25" customHeight="1">
      <c r="A94" s="108"/>
      <c r="B94" s="1046" t="s">
        <v>384</v>
      </c>
      <c r="C94" s="822"/>
      <c r="D94" s="1064"/>
      <c r="E94" s="1064"/>
      <c r="F94" s="1064"/>
      <c r="G94" s="1065"/>
      <c r="H94" s="1064"/>
      <c r="I94" s="1064"/>
      <c r="J94" s="1064"/>
      <c r="K94" s="1065"/>
      <c r="L94" s="1064"/>
      <c r="M94" s="1064"/>
      <c r="N94" s="1064"/>
      <c r="O94" s="1065"/>
      <c r="P94" s="1064"/>
      <c r="Q94" s="1064"/>
      <c r="R94" s="1064"/>
      <c r="S94" s="1065"/>
      <c r="T94" s="1064"/>
      <c r="U94" s="1064"/>
      <c r="V94" s="1064"/>
      <c r="W94" s="1065"/>
      <c r="X94" s="1064"/>
      <c r="Y94" s="1064"/>
      <c r="Z94" s="1064"/>
      <c r="AA94" s="1065"/>
      <c r="AB94" s="1064"/>
      <c r="AC94" s="1064"/>
      <c r="AD94" s="1064"/>
      <c r="AE94" s="1065"/>
      <c r="AF94" s="1064"/>
      <c r="AG94" s="1064"/>
      <c r="AH94" s="1064"/>
      <c r="AI94" s="1065"/>
      <c r="AJ94" s="1064"/>
      <c r="AK94" s="1064"/>
      <c r="AL94" s="1064"/>
      <c r="AM94" s="1065"/>
      <c r="AN94" s="1064"/>
      <c r="AO94" s="1064"/>
      <c r="AP94" s="1064"/>
      <c r="AQ94" s="1065"/>
      <c r="AR94" s="1064"/>
      <c r="AS94" s="1064"/>
      <c r="AT94" s="1064"/>
      <c r="AU94" s="1065"/>
      <c r="AV94" s="1064"/>
      <c r="AW94" s="1064"/>
      <c r="AX94" s="1064"/>
      <c r="AY94" s="1065"/>
      <c r="AZ94" s="1898"/>
      <c r="BA94" s="1067"/>
      <c r="BB94" s="1066"/>
      <c r="BC94" s="1066"/>
      <c r="BD94" s="1066"/>
      <c r="BE94" s="1067">
        <f t="shared" ref="BE94:BM94" si="223">+SUM(BE90:BE93)</f>
        <v>538</v>
      </c>
      <c r="BF94" s="1066">
        <f t="shared" si="223"/>
        <v>459</v>
      </c>
      <c r="BG94" s="1067">
        <f t="shared" si="223"/>
        <v>815</v>
      </c>
      <c r="BH94" s="1066">
        <f t="shared" si="223"/>
        <v>972</v>
      </c>
      <c r="BI94" s="1066">
        <f t="shared" si="223"/>
        <v>1153</v>
      </c>
      <c r="BJ94" s="1066">
        <f t="shared" si="223"/>
        <v>1176.0882471247951</v>
      </c>
      <c r="BK94" s="1066">
        <f t="shared" ref="BK94:BL94" si="224">+SUM(BK90:BK93)</f>
        <v>1729.3014028703956</v>
      </c>
      <c r="BL94" s="1066">
        <f t="shared" si="224"/>
        <v>2084.7368903619235</v>
      </c>
      <c r="BM94" s="1066">
        <f t="shared" si="223"/>
        <v>2225.6160621089875</v>
      </c>
      <c r="BN94" s="1066">
        <f t="shared" ref="BN94" si="225">+SUM(BN90:BN93)</f>
        <v>2379.5448334136381</v>
      </c>
      <c r="BO94" s="1046"/>
      <c r="BP94"/>
      <c r="BQ94"/>
      <c r="BR94"/>
      <c r="BS94"/>
      <c r="BT94"/>
      <c r="BU94"/>
    </row>
    <row r="95" spans="1:73" ht="14.25" customHeight="1">
      <c r="A95" s="8"/>
      <c r="B95" s="22" t="s">
        <v>507</v>
      </c>
      <c r="C95" s="246"/>
      <c r="D95" s="280"/>
      <c r="E95" s="280"/>
      <c r="F95" s="280"/>
      <c r="G95" s="1058"/>
      <c r="H95" s="280"/>
      <c r="I95" s="280"/>
      <c r="J95" s="280"/>
      <c r="K95" s="1058"/>
      <c r="L95" s="280"/>
      <c r="M95" s="280"/>
      <c r="N95" s="280"/>
      <c r="O95" s="1058"/>
      <c r="P95" s="280"/>
      <c r="Q95" s="280"/>
      <c r="R95" s="280"/>
      <c r="S95" s="1058"/>
      <c r="T95" s="280"/>
      <c r="U95" s="280"/>
      <c r="V95" s="280"/>
      <c r="W95" s="1058"/>
      <c r="X95" s="280"/>
      <c r="Y95" s="280"/>
      <c r="Z95" s="280"/>
      <c r="AA95" s="1058"/>
      <c r="AB95" s="280"/>
      <c r="AC95" s="280"/>
      <c r="AD95" s="280"/>
      <c r="AE95" s="1058"/>
      <c r="AF95" s="280"/>
      <c r="AG95" s="280"/>
      <c r="AH95" s="280"/>
      <c r="AI95" s="1058"/>
      <c r="AJ95" s="280"/>
      <c r="AK95" s="280"/>
      <c r="AL95" s="280"/>
      <c r="AM95" s="1058"/>
      <c r="AN95" s="280"/>
      <c r="AO95" s="280"/>
      <c r="AP95" s="280"/>
      <c r="AQ95" s="1058"/>
      <c r="AR95" s="280"/>
      <c r="AS95" s="280"/>
      <c r="AT95" s="280"/>
      <c r="AU95" s="1058"/>
      <c r="AV95" s="280"/>
      <c r="AW95" s="280"/>
      <c r="AX95" s="280"/>
      <c r="AY95" s="1058"/>
      <c r="AZ95" s="20"/>
      <c r="BA95" s="1059"/>
      <c r="BB95" s="785"/>
      <c r="BC95" s="785"/>
      <c r="BD95" s="785"/>
      <c r="BE95" s="1059"/>
      <c r="BF95" s="209">
        <v>-49.53</v>
      </c>
      <c r="BG95" s="208">
        <f>+BF95</f>
        <v>-49.53</v>
      </c>
      <c r="BH95" s="206">
        <f t="shared" ref="BH95:BN95" si="226">+BG95</f>
        <v>-49.53</v>
      </c>
      <c r="BI95" s="206">
        <f>+BH95</f>
        <v>-49.53</v>
      </c>
      <c r="BJ95" s="206">
        <f>+BI95</f>
        <v>-49.53</v>
      </c>
      <c r="BK95" s="206">
        <f>+BJ95</f>
        <v>-49.53</v>
      </c>
      <c r="BL95" s="206">
        <f>+BK95</f>
        <v>-49.53</v>
      </c>
      <c r="BM95" s="206">
        <f t="shared" si="226"/>
        <v>-49.53</v>
      </c>
      <c r="BN95" s="206">
        <f t="shared" si="226"/>
        <v>-49.53</v>
      </c>
      <c r="BO95" s="22"/>
    </row>
    <row r="96" spans="1:73" s="468" customFormat="1" ht="14.25" customHeight="1">
      <c r="A96" s="581"/>
      <c r="B96" s="588" t="s">
        <v>385</v>
      </c>
      <c r="C96" s="821"/>
      <c r="D96" s="1060"/>
      <c r="E96" s="1060"/>
      <c r="F96" s="1060"/>
      <c r="G96" s="1061"/>
      <c r="H96" s="1060"/>
      <c r="I96" s="1060"/>
      <c r="J96" s="1060"/>
      <c r="K96" s="1061"/>
      <c r="L96" s="1060"/>
      <c r="M96" s="1060"/>
      <c r="N96" s="1060"/>
      <c r="O96" s="1061"/>
      <c r="P96" s="1060"/>
      <c r="Q96" s="1060"/>
      <c r="R96" s="1060"/>
      <c r="S96" s="1061"/>
      <c r="T96" s="1060"/>
      <c r="U96" s="1060"/>
      <c r="V96" s="1060"/>
      <c r="W96" s="1061"/>
      <c r="X96" s="1060"/>
      <c r="Y96" s="1060"/>
      <c r="Z96" s="1060"/>
      <c r="AA96" s="1061"/>
      <c r="AB96" s="1060"/>
      <c r="AC96" s="1060"/>
      <c r="AD96" s="1060"/>
      <c r="AE96" s="1061"/>
      <c r="AF96" s="1060"/>
      <c r="AG96" s="1060"/>
      <c r="AH96" s="1060"/>
      <c r="AI96" s="1061"/>
      <c r="AJ96" s="1060"/>
      <c r="AK96" s="1060"/>
      <c r="AL96" s="1060"/>
      <c r="AM96" s="1061"/>
      <c r="AN96" s="1060"/>
      <c r="AO96" s="1060"/>
      <c r="AP96" s="1060"/>
      <c r="AQ96" s="1061"/>
      <c r="AR96" s="1060"/>
      <c r="AS96" s="1060"/>
      <c r="AT96" s="1060"/>
      <c r="AU96" s="1061"/>
      <c r="AV96" s="1060"/>
      <c r="AW96" s="1060"/>
      <c r="AX96" s="1060"/>
      <c r="AY96" s="1061"/>
      <c r="AZ96" s="476"/>
      <c r="BA96" s="1063"/>
      <c r="BB96" s="1062"/>
      <c r="BC96" s="1062"/>
      <c r="BD96" s="1062"/>
      <c r="BE96" s="1424"/>
      <c r="BF96" s="1425">
        <v>-27</v>
      </c>
      <c r="BG96" s="1424">
        <v>-14</v>
      </c>
      <c r="BH96" s="1425">
        <v>19</v>
      </c>
      <c r="BI96" s="1425">
        <v>-125</v>
      </c>
      <c r="BJ96" s="1425">
        <v>-213</v>
      </c>
      <c r="BK96" s="1425">
        <v>0</v>
      </c>
      <c r="BL96" s="1425">
        <v>0</v>
      </c>
      <c r="BM96" s="1425">
        <v>0</v>
      </c>
      <c r="BN96" s="1425">
        <v>0</v>
      </c>
      <c r="BO96" s="588"/>
      <c r="BP96"/>
      <c r="BQ96"/>
      <c r="BR96"/>
      <c r="BS96"/>
      <c r="BT96"/>
      <c r="BU96"/>
    </row>
    <row r="97" spans="1:73" s="107" customFormat="1" ht="14.25" customHeight="1">
      <c r="A97" s="108"/>
      <c r="B97" s="1046" t="s">
        <v>381</v>
      </c>
      <c r="C97" s="822"/>
      <c r="D97" s="1064"/>
      <c r="E97" s="1064"/>
      <c r="F97" s="1064"/>
      <c r="G97" s="1065"/>
      <c r="H97" s="1064"/>
      <c r="I97" s="1064"/>
      <c r="J97" s="1064"/>
      <c r="K97" s="1065"/>
      <c r="L97" s="1064"/>
      <c r="M97" s="1064"/>
      <c r="N97" s="1064"/>
      <c r="O97" s="1065"/>
      <c r="P97" s="1064"/>
      <c r="Q97" s="1064"/>
      <c r="R97" s="1064"/>
      <c r="S97" s="1065"/>
      <c r="T97" s="1064"/>
      <c r="U97" s="1064"/>
      <c r="V97" s="1064"/>
      <c r="W97" s="1065"/>
      <c r="X97" s="1064"/>
      <c r="Y97" s="1064"/>
      <c r="Z97" s="1064"/>
      <c r="AA97" s="1065"/>
      <c r="AB97" s="1064"/>
      <c r="AC97" s="1064"/>
      <c r="AD97" s="1064"/>
      <c r="AE97" s="1065"/>
      <c r="AF97" s="1064"/>
      <c r="AG97" s="1064"/>
      <c r="AH97" s="1064"/>
      <c r="AI97" s="1065"/>
      <c r="AJ97" s="1064"/>
      <c r="AK97" s="1064"/>
      <c r="AL97" s="1064"/>
      <c r="AM97" s="1065"/>
      <c r="AN97" s="1064"/>
      <c r="AO97" s="1064"/>
      <c r="AP97" s="1064"/>
      <c r="AQ97" s="1065"/>
      <c r="AR97" s="1064"/>
      <c r="AS97" s="1064"/>
      <c r="AT97" s="1064"/>
      <c r="AU97" s="1065"/>
      <c r="AV97" s="1064"/>
      <c r="AW97" s="1064"/>
      <c r="AX97" s="1064"/>
      <c r="AY97" s="1065"/>
      <c r="AZ97" s="1898"/>
      <c r="BA97" s="1067"/>
      <c r="BB97" s="1066"/>
      <c r="BC97" s="1066"/>
      <c r="BD97" s="1066"/>
      <c r="BE97" s="1067"/>
      <c r="BF97" s="1066">
        <f t="shared" ref="BF97:BM97" si="227">+SUM(BF94:BF96)</f>
        <v>382.47</v>
      </c>
      <c r="BG97" s="1067">
        <f t="shared" si="227"/>
        <v>751.47</v>
      </c>
      <c r="BH97" s="1066">
        <f t="shared" si="227"/>
        <v>941.47</v>
      </c>
      <c r="BI97" s="1066">
        <f t="shared" si="227"/>
        <v>978.47</v>
      </c>
      <c r="BJ97" s="1066">
        <f t="shared" si="227"/>
        <v>913.55824712479512</v>
      </c>
      <c r="BK97" s="1066">
        <f t="shared" ref="BK97:BL97" si="228">+SUM(BK94:BK96)</f>
        <v>1679.7714028703956</v>
      </c>
      <c r="BL97" s="1066">
        <f t="shared" si="228"/>
        <v>2035.2068903619236</v>
      </c>
      <c r="BM97" s="1066">
        <f t="shared" si="227"/>
        <v>2176.0860621089873</v>
      </c>
      <c r="BN97" s="1066">
        <f t="shared" ref="BN97" si="229">+SUM(BN94:BN96)</f>
        <v>2330.0148334136379</v>
      </c>
      <c r="BO97" s="1046"/>
      <c r="BP97"/>
      <c r="BQ97"/>
      <c r="BR97"/>
      <c r="BS97"/>
      <c r="BT97"/>
      <c r="BU97"/>
    </row>
    <row r="98" spans="1:73" s="593" customFormat="1" ht="14.25" customHeight="1">
      <c r="A98" s="596"/>
      <c r="B98" s="1069" t="s">
        <v>391</v>
      </c>
      <c r="C98" s="1070"/>
      <c r="D98" s="1071"/>
      <c r="E98" s="1071"/>
      <c r="F98" s="1071"/>
      <c r="G98" s="1072"/>
      <c r="H98" s="1071"/>
      <c r="I98" s="1071"/>
      <c r="J98" s="1071"/>
      <c r="K98" s="1072"/>
      <c r="L98" s="1071"/>
      <c r="M98" s="1071"/>
      <c r="N98" s="1071"/>
      <c r="O98" s="1072"/>
      <c r="P98" s="1071"/>
      <c r="Q98" s="1071"/>
      <c r="R98" s="1071"/>
      <c r="S98" s="1072"/>
      <c r="T98" s="1071"/>
      <c r="U98" s="1071"/>
      <c r="V98" s="1071"/>
      <c r="W98" s="1072"/>
      <c r="X98" s="1071"/>
      <c r="Y98" s="1071"/>
      <c r="Z98" s="1071"/>
      <c r="AA98" s="1072"/>
      <c r="AB98" s="1071"/>
      <c r="AC98" s="1071"/>
      <c r="AD98" s="1071"/>
      <c r="AE98" s="1072"/>
      <c r="AF98" s="1071"/>
      <c r="AG98" s="1071"/>
      <c r="AH98" s="1071"/>
      <c r="AI98" s="1072"/>
      <c r="AJ98" s="1071"/>
      <c r="AK98" s="1071"/>
      <c r="AL98" s="1071"/>
      <c r="AM98" s="1072"/>
      <c r="AN98" s="1071"/>
      <c r="AO98" s="1071"/>
      <c r="AP98" s="1071"/>
      <c r="AQ98" s="1072"/>
      <c r="AR98" s="1071"/>
      <c r="AS98" s="1071"/>
      <c r="AT98" s="1071"/>
      <c r="AU98" s="1072"/>
      <c r="AV98" s="1071"/>
      <c r="AW98" s="1071"/>
      <c r="AX98" s="1071"/>
      <c r="AY98" s="1072"/>
      <c r="AZ98" s="1900"/>
      <c r="BA98" s="1074"/>
      <c r="BB98" s="1073"/>
      <c r="BC98" s="1073"/>
      <c r="BD98" s="1073"/>
      <c r="BE98" s="1074"/>
      <c r="BF98" s="1073">
        <f>-BF103</f>
        <v>234.08</v>
      </c>
      <c r="BG98" s="1074">
        <f>-BG103</f>
        <v>171.86518171160611</v>
      </c>
      <c r="BH98" s="1073">
        <f t="shared" ref="BH98:BM98" si="230">-BH103</f>
        <v>139.38191395961368</v>
      </c>
      <c r="BI98" s="1073">
        <f>-BI103</f>
        <v>197.6711356466877</v>
      </c>
      <c r="BJ98" s="1073">
        <f>-BJ103</f>
        <v>358.188370326251</v>
      </c>
      <c r="BK98" s="1073">
        <f>-BK103</f>
        <v>363.62304326509297</v>
      </c>
      <c r="BL98" s="1073">
        <f>-BL103</f>
        <v>365.18760429279365</v>
      </c>
      <c r="BM98" s="1073">
        <f t="shared" si="230"/>
        <v>353.4</v>
      </c>
      <c r="BN98" s="1073">
        <f t="shared" ref="BN98" si="231">-BN103</f>
        <v>353.4</v>
      </c>
      <c r="BO98" s="1069"/>
      <c r="BP98"/>
      <c r="BQ98"/>
      <c r="BR98"/>
      <c r="BS98"/>
      <c r="BT98"/>
      <c r="BU98"/>
    </row>
    <row r="99" spans="1:73" s="107" customFormat="1" ht="14.25" customHeight="1">
      <c r="A99" s="108"/>
      <c r="B99" s="1046" t="s">
        <v>390</v>
      </c>
      <c r="C99" s="822"/>
      <c r="D99" s="1064"/>
      <c r="E99" s="1064"/>
      <c r="F99" s="1064"/>
      <c r="G99" s="1065"/>
      <c r="H99" s="1064"/>
      <c r="I99" s="1064"/>
      <c r="J99" s="1064"/>
      <c r="K99" s="1065"/>
      <c r="L99" s="1064"/>
      <c r="M99" s="1064"/>
      <c r="N99" s="1064"/>
      <c r="O99" s="1065"/>
      <c r="P99" s="1064"/>
      <c r="Q99" s="1064"/>
      <c r="R99" s="1064"/>
      <c r="S99" s="1065"/>
      <c r="T99" s="1064"/>
      <c r="U99" s="1064"/>
      <c r="V99" s="1064"/>
      <c r="W99" s="1065"/>
      <c r="X99" s="1064"/>
      <c r="Y99" s="1064"/>
      <c r="Z99" s="1064"/>
      <c r="AA99" s="1065"/>
      <c r="AB99" s="1064"/>
      <c r="AC99" s="1064"/>
      <c r="AD99" s="1064"/>
      <c r="AE99" s="1065"/>
      <c r="AF99" s="1064"/>
      <c r="AG99" s="1064"/>
      <c r="AH99" s="1064"/>
      <c r="AI99" s="1065"/>
      <c r="AJ99" s="1064"/>
      <c r="AK99" s="1064"/>
      <c r="AL99" s="1064"/>
      <c r="AM99" s="1065"/>
      <c r="AN99" s="1064"/>
      <c r="AO99" s="1064"/>
      <c r="AP99" s="1064"/>
      <c r="AQ99" s="1065"/>
      <c r="AR99" s="1064"/>
      <c r="AS99" s="1064"/>
      <c r="AT99" s="1064"/>
      <c r="AU99" s="1065"/>
      <c r="AV99" s="1064"/>
      <c r="AW99" s="1064"/>
      <c r="AX99" s="1064"/>
      <c r="AY99" s="1065"/>
      <c r="AZ99" s="1898"/>
      <c r="BA99" s="1067"/>
      <c r="BB99" s="1066"/>
      <c r="BC99" s="1066"/>
      <c r="BD99" s="1066"/>
      <c r="BE99" s="1067"/>
      <c r="BF99" s="1066">
        <f t="shared" ref="BF99:BM99" si="232">+SUM(BF97:BF98)</f>
        <v>616.55000000000007</v>
      </c>
      <c r="BG99" s="1067">
        <f t="shared" si="232"/>
        <v>923.33518171160608</v>
      </c>
      <c r="BH99" s="1066">
        <f t="shared" si="232"/>
        <v>1080.8519139596137</v>
      </c>
      <c r="BI99" s="1066">
        <f t="shared" si="232"/>
        <v>1176.1411356466876</v>
      </c>
      <c r="BJ99" s="1066">
        <f t="shared" si="232"/>
        <v>1271.7466174510462</v>
      </c>
      <c r="BK99" s="1066">
        <f t="shared" ref="BK99:BL99" si="233">+SUM(BK97:BK98)</f>
        <v>2043.3944461354886</v>
      </c>
      <c r="BL99" s="1066">
        <f t="shared" si="233"/>
        <v>2400.3944946547172</v>
      </c>
      <c r="BM99" s="1066">
        <f t="shared" si="232"/>
        <v>2529.4860621089874</v>
      </c>
      <c r="BN99" s="1066">
        <f t="shared" ref="BN99" si="234">+SUM(BN97:BN98)</f>
        <v>2683.414833413638</v>
      </c>
      <c r="BO99" s="1046"/>
      <c r="BP99"/>
      <c r="BQ99"/>
      <c r="BR99"/>
      <c r="BS99"/>
      <c r="BT99"/>
      <c r="BU99"/>
    </row>
    <row r="100" spans="1:73" ht="14.25" customHeight="1">
      <c r="A100" s="8"/>
      <c r="B100" s="22"/>
      <c r="C100" s="246"/>
      <c r="D100" s="280"/>
      <c r="E100" s="280"/>
      <c r="F100" s="280"/>
      <c r="G100" s="1058"/>
      <c r="H100" s="280"/>
      <c r="I100" s="280"/>
      <c r="J100" s="280"/>
      <c r="K100" s="1058"/>
      <c r="L100" s="280"/>
      <c r="M100" s="280"/>
      <c r="N100" s="280"/>
      <c r="O100" s="1058"/>
      <c r="P100" s="280"/>
      <c r="Q100" s="280"/>
      <c r="R100" s="280"/>
      <c r="S100" s="1058"/>
      <c r="T100" s="280"/>
      <c r="U100" s="280"/>
      <c r="V100" s="280"/>
      <c r="W100" s="1058"/>
      <c r="X100" s="280"/>
      <c r="Y100" s="280"/>
      <c r="Z100" s="280"/>
      <c r="AA100" s="1058"/>
      <c r="AB100" s="280"/>
      <c r="AC100" s="280"/>
      <c r="AD100" s="280"/>
      <c r="AE100" s="1058"/>
      <c r="AF100" s="280"/>
      <c r="AG100" s="280"/>
      <c r="AH100" s="280"/>
      <c r="AI100" s="1058"/>
      <c r="AJ100" s="280"/>
      <c r="AK100" s="280"/>
      <c r="AL100" s="280"/>
      <c r="AM100" s="1058"/>
      <c r="AN100" s="280"/>
      <c r="AO100" s="280"/>
      <c r="AP100" s="280"/>
      <c r="AQ100" s="1058"/>
      <c r="AR100" s="280"/>
      <c r="AS100" s="280"/>
      <c r="AT100" s="280"/>
      <c r="AU100" s="1058"/>
      <c r="AV100" s="280"/>
      <c r="AW100" s="280"/>
      <c r="AX100" s="280"/>
      <c r="AY100" s="1058"/>
      <c r="AZ100" s="20"/>
      <c r="BA100" s="1059"/>
      <c r="BB100" s="785"/>
      <c r="BC100" s="785"/>
      <c r="BD100" s="785"/>
      <c r="BE100" s="1059"/>
      <c r="BF100" s="785"/>
      <c r="BG100" s="1059"/>
      <c r="BH100" s="785"/>
      <c r="BI100" s="785"/>
      <c r="BJ100" s="785"/>
      <c r="BK100" s="785"/>
      <c r="BL100" s="785"/>
      <c r="BM100" s="785"/>
      <c r="BN100" s="785"/>
      <c r="BO100" s="22"/>
    </row>
    <row r="101" spans="1:73" ht="14.25" customHeight="1">
      <c r="A101" s="8"/>
      <c r="B101" s="22" t="s">
        <v>387</v>
      </c>
      <c r="C101" s="246"/>
      <c r="D101" s="280"/>
      <c r="E101" s="280"/>
      <c r="F101" s="280"/>
      <c r="G101" s="1058"/>
      <c r="H101" s="280"/>
      <c r="I101" s="280"/>
      <c r="J101" s="280"/>
      <c r="K101" s="1058"/>
      <c r="L101" s="280"/>
      <c r="M101" s="280"/>
      <c r="N101" s="280"/>
      <c r="O101" s="1058"/>
      <c r="P101" s="280"/>
      <c r="Q101" s="280"/>
      <c r="R101" s="280"/>
      <c r="S101" s="1058"/>
      <c r="T101" s="280"/>
      <c r="U101" s="280"/>
      <c r="V101" s="280"/>
      <c r="W101" s="1058"/>
      <c r="X101" s="280"/>
      <c r="Y101" s="280"/>
      <c r="Z101" s="280"/>
      <c r="AA101" s="1058"/>
      <c r="AB101" s="280"/>
      <c r="AC101" s="280"/>
      <c r="AD101" s="280"/>
      <c r="AE101" s="1058"/>
      <c r="AF101" s="280"/>
      <c r="AG101" s="280"/>
      <c r="AH101" s="280"/>
      <c r="AI101" s="1058"/>
      <c r="AJ101" s="280"/>
      <c r="AK101" s="280"/>
      <c r="AL101" s="280"/>
      <c r="AM101" s="1058"/>
      <c r="AN101" s="280"/>
      <c r="AO101" s="280"/>
      <c r="AP101" s="280"/>
      <c r="AQ101" s="1058"/>
      <c r="AR101" s="280"/>
      <c r="AS101" s="280"/>
      <c r="AT101" s="280"/>
      <c r="AU101" s="1058"/>
      <c r="AV101" s="280"/>
      <c r="AW101" s="280"/>
      <c r="AX101" s="280"/>
      <c r="AY101" s="1058"/>
      <c r="AZ101" s="20"/>
      <c r="BA101" s="1059"/>
      <c r="BB101" s="785"/>
      <c r="BC101" s="785"/>
      <c r="BD101" s="785"/>
      <c r="BE101" s="1422"/>
      <c r="BF101" s="1423">
        <v>-266</v>
      </c>
      <c r="BG101" s="1422">
        <v>-179</v>
      </c>
      <c r="BH101" s="1423">
        <v>-142</v>
      </c>
      <c r="BI101" s="1423">
        <v>-201</v>
      </c>
      <c r="BJ101" s="1423">
        <v>-372</v>
      </c>
      <c r="BK101" s="1423">
        <v>-372</v>
      </c>
      <c r="BL101" s="1423">
        <v>-372</v>
      </c>
      <c r="BM101" s="1423">
        <v>-372</v>
      </c>
      <c r="BN101" s="1423">
        <v>-372</v>
      </c>
      <c r="BO101" s="22"/>
    </row>
    <row r="102" spans="1:73" ht="14.25" customHeight="1">
      <c r="A102" s="8"/>
      <c r="B102" s="22" t="s">
        <v>388</v>
      </c>
      <c r="C102" s="246"/>
      <c r="D102" s="280"/>
      <c r="E102" s="280"/>
      <c r="F102" s="280"/>
      <c r="G102" s="1058"/>
      <c r="H102" s="280"/>
      <c r="I102" s="280"/>
      <c r="J102" s="280"/>
      <c r="K102" s="1058"/>
      <c r="L102" s="280"/>
      <c r="M102" s="280"/>
      <c r="N102" s="280"/>
      <c r="O102" s="1058"/>
      <c r="P102" s="280"/>
      <c r="Q102" s="280"/>
      <c r="R102" s="280"/>
      <c r="S102" s="1058"/>
      <c r="T102" s="280"/>
      <c r="U102" s="280"/>
      <c r="V102" s="280"/>
      <c r="W102" s="1058"/>
      <c r="X102" s="280"/>
      <c r="Y102" s="280"/>
      <c r="Z102" s="280"/>
      <c r="AA102" s="1058"/>
      <c r="AB102" s="280"/>
      <c r="AC102" s="280"/>
      <c r="AD102" s="280"/>
      <c r="AE102" s="1058"/>
      <c r="AF102" s="280"/>
      <c r="AG102" s="280"/>
      <c r="AH102" s="280"/>
      <c r="AI102" s="1058"/>
      <c r="AJ102" s="280"/>
      <c r="AK102" s="280"/>
      <c r="AL102" s="280"/>
      <c r="AM102" s="1058"/>
      <c r="AN102" s="280"/>
      <c r="AO102" s="280"/>
      <c r="AP102" s="280"/>
      <c r="AQ102" s="1058"/>
      <c r="AR102" s="280"/>
      <c r="AS102" s="280"/>
      <c r="AT102" s="280"/>
      <c r="AU102" s="1058"/>
      <c r="AV102" s="280"/>
      <c r="AW102" s="280"/>
      <c r="AX102" s="280"/>
      <c r="AY102" s="1058"/>
      <c r="AZ102" s="20"/>
      <c r="BA102" s="1059"/>
      <c r="BB102" s="785"/>
      <c r="BC102" s="785"/>
      <c r="BD102" s="785"/>
      <c r="BE102" s="1422"/>
      <c r="BF102" s="1423">
        <v>0.12</v>
      </c>
      <c r="BG102" s="1422">
        <v>3.9859320046893319E-2</v>
      </c>
      <c r="BH102" s="1423">
        <v>1.8437225636523266E-2</v>
      </c>
      <c r="BI102" s="1423">
        <v>1.6561514195583597E-2</v>
      </c>
      <c r="BJ102" s="1423">
        <v>3.7128036757389765E-2</v>
      </c>
      <c r="BK102" s="1423">
        <v>2.2518700900287767E-2</v>
      </c>
      <c r="BL102" s="1423">
        <v>1.8312891686038599E-2</v>
      </c>
      <c r="BM102" s="1423">
        <v>0.05</v>
      </c>
      <c r="BN102" s="1423">
        <v>0.05</v>
      </c>
      <c r="BO102" s="22"/>
    </row>
    <row r="103" spans="1:73" ht="14.25" customHeight="1">
      <c r="A103" s="8"/>
      <c r="B103" s="22" t="s">
        <v>389</v>
      </c>
      <c r="C103" s="246"/>
      <c r="D103" s="280"/>
      <c r="E103" s="280"/>
      <c r="F103" s="280"/>
      <c r="G103" s="1058"/>
      <c r="H103" s="280"/>
      <c r="I103" s="280"/>
      <c r="J103" s="280"/>
      <c r="K103" s="1058"/>
      <c r="L103" s="280"/>
      <c r="M103" s="280"/>
      <c r="N103" s="280"/>
      <c r="O103" s="1058"/>
      <c r="P103" s="280"/>
      <c r="Q103" s="280"/>
      <c r="R103" s="280"/>
      <c r="S103" s="1058"/>
      <c r="T103" s="280"/>
      <c r="U103" s="280"/>
      <c r="V103" s="280"/>
      <c r="W103" s="1058"/>
      <c r="X103" s="280"/>
      <c r="Y103" s="280"/>
      <c r="Z103" s="280"/>
      <c r="AA103" s="1058"/>
      <c r="AB103" s="280"/>
      <c r="AC103" s="280"/>
      <c r="AD103" s="280"/>
      <c r="AE103" s="1058"/>
      <c r="AF103" s="280"/>
      <c r="AG103" s="280"/>
      <c r="AH103" s="280"/>
      <c r="AI103" s="1058"/>
      <c r="AJ103" s="280"/>
      <c r="AK103" s="280"/>
      <c r="AL103" s="280"/>
      <c r="AM103" s="1058"/>
      <c r="AN103" s="280"/>
      <c r="AO103" s="280"/>
      <c r="AP103" s="280"/>
      <c r="AQ103" s="1058"/>
      <c r="AR103" s="280"/>
      <c r="AS103" s="280"/>
      <c r="AT103" s="280"/>
      <c r="AU103" s="1058"/>
      <c r="AV103" s="280"/>
      <c r="AW103" s="280"/>
      <c r="AX103" s="280"/>
      <c r="AY103" s="1058"/>
      <c r="AZ103" s="20"/>
      <c r="BA103" s="1059"/>
      <c r="BB103" s="785"/>
      <c r="BC103" s="785"/>
      <c r="BD103" s="785"/>
      <c r="BE103" s="1059"/>
      <c r="BF103" s="785">
        <f>+BF101*(1-BF102)</f>
        <v>-234.08</v>
      </c>
      <c r="BG103" s="1059">
        <f>+BG101*(1-BG102)</f>
        <v>-171.86518171160611</v>
      </c>
      <c r="BH103" s="785">
        <f t="shared" ref="BH103:BM103" si="235">+BH101*(1-BH102)</f>
        <v>-139.38191395961368</v>
      </c>
      <c r="BI103" s="785">
        <f t="shared" si="235"/>
        <v>-197.6711356466877</v>
      </c>
      <c r="BJ103" s="785">
        <f t="shared" si="235"/>
        <v>-358.188370326251</v>
      </c>
      <c r="BK103" s="785">
        <f t="shared" ref="BK103:BL103" si="236">+BK101*(1-BK102)</f>
        <v>-363.62304326509297</v>
      </c>
      <c r="BL103" s="785">
        <f t="shared" si="236"/>
        <v>-365.18760429279365</v>
      </c>
      <c r="BM103" s="785">
        <f t="shared" si="235"/>
        <v>-353.4</v>
      </c>
      <c r="BN103" s="785">
        <f t="shared" ref="BN103" si="237">+BN101*(1-BN102)</f>
        <v>-353.4</v>
      </c>
      <c r="BO103" s="22"/>
    </row>
    <row r="104" spans="1:73" ht="14.25" customHeight="1">
      <c r="A104" s="8"/>
      <c r="B104" s="22"/>
      <c r="C104" s="246"/>
      <c r="D104" s="280"/>
      <c r="E104" s="280"/>
      <c r="F104" s="280"/>
      <c r="G104" s="1058"/>
      <c r="H104" s="280"/>
      <c r="I104" s="280"/>
      <c r="J104" s="280"/>
      <c r="K104" s="1058"/>
      <c r="L104" s="280"/>
      <c r="M104" s="280"/>
      <c r="N104" s="280"/>
      <c r="O104" s="1058"/>
      <c r="P104" s="280"/>
      <c r="Q104" s="280"/>
      <c r="R104" s="280"/>
      <c r="S104" s="1058"/>
      <c r="T104" s="280"/>
      <c r="U104" s="280"/>
      <c r="V104" s="280"/>
      <c r="W104" s="1058"/>
      <c r="X104" s="280"/>
      <c r="Y104" s="280"/>
      <c r="Z104" s="280"/>
      <c r="AA104" s="1058"/>
      <c r="AB104" s="280"/>
      <c r="AC104" s="280"/>
      <c r="AD104" s="280"/>
      <c r="AE104" s="1058"/>
      <c r="AF104" s="280"/>
      <c r="AG104" s="280"/>
      <c r="AH104" s="280"/>
      <c r="AI104" s="1058"/>
      <c r="AJ104" s="280"/>
      <c r="AK104" s="280"/>
      <c r="AL104" s="280"/>
      <c r="AM104" s="1058"/>
      <c r="AN104" s="280"/>
      <c r="AO104" s="280"/>
      <c r="AP104" s="280"/>
      <c r="AQ104" s="1058"/>
      <c r="AR104" s="280"/>
      <c r="AS104" s="280"/>
      <c r="AT104" s="280"/>
      <c r="AU104" s="1058"/>
      <c r="AV104" s="280"/>
      <c r="AW104" s="280"/>
      <c r="AX104" s="280"/>
      <c r="AY104" s="1058"/>
      <c r="AZ104" s="20"/>
      <c r="BA104" s="1059"/>
      <c r="BB104" s="785"/>
      <c r="BC104" s="785"/>
      <c r="BD104" s="785"/>
      <c r="BE104" s="1059"/>
      <c r="BF104" s="785"/>
      <c r="BG104" s="1059"/>
      <c r="BH104" s="785"/>
      <c r="BI104" s="785"/>
      <c r="BJ104" s="785"/>
      <c r="BK104" s="785"/>
      <c r="BL104" s="785"/>
      <c r="BM104" s="785"/>
      <c r="BN104" s="785"/>
      <c r="BO104" s="22"/>
    </row>
    <row r="105" spans="1:73" ht="14.25" customHeight="1">
      <c r="A105" s="8"/>
      <c r="B105" s="15"/>
      <c r="C105" s="16"/>
      <c r="D105" s="282"/>
      <c r="E105" s="282"/>
      <c r="F105" s="282"/>
      <c r="G105" s="283"/>
      <c r="H105" s="282"/>
      <c r="I105" s="282"/>
      <c r="J105" s="282"/>
      <c r="K105" s="283"/>
      <c r="L105" s="282"/>
      <c r="M105" s="282"/>
      <c r="N105" s="282"/>
      <c r="O105" s="283"/>
      <c r="P105" s="282"/>
      <c r="Q105" s="282"/>
      <c r="R105" s="282"/>
      <c r="S105" s="283"/>
      <c r="T105" s="282"/>
      <c r="U105" s="282"/>
      <c r="V105" s="282"/>
      <c r="W105" s="283"/>
      <c r="X105" s="282"/>
      <c r="Y105" s="282"/>
      <c r="Z105" s="282"/>
      <c r="AA105" s="283"/>
      <c r="AB105" s="282"/>
      <c r="AC105" s="282"/>
      <c r="AD105" s="282"/>
      <c r="AE105" s="283"/>
      <c r="AF105" s="282"/>
      <c r="AG105" s="282"/>
      <c r="AH105" s="282"/>
      <c r="AI105" s="283"/>
      <c r="AJ105" s="282"/>
      <c r="AK105" s="282"/>
      <c r="AL105" s="282"/>
      <c r="AM105" s="283"/>
      <c r="AN105" s="282"/>
      <c r="AO105" s="282"/>
      <c r="AP105" s="282"/>
      <c r="AQ105" s="283"/>
      <c r="AR105" s="282"/>
      <c r="AS105" s="282"/>
      <c r="AT105" s="282"/>
      <c r="AU105" s="283"/>
      <c r="AV105" s="282"/>
      <c r="AW105" s="282"/>
      <c r="AX105" s="282"/>
      <c r="AY105" s="283"/>
      <c r="AZ105" s="20"/>
      <c r="BA105" s="284"/>
      <c r="BB105" s="282"/>
      <c r="BC105" s="282"/>
      <c r="BD105" s="1101"/>
      <c r="BE105" s="284"/>
      <c r="BF105" s="282"/>
      <c r="BG105" s="284"/>
      <c r="BH105" s="282"/>
      <c r="BI105" s="282"/>
      <c r="BJ105" s="282"/>
      <c r="BK105" s="282"/>
      <c r="BL105" s="282"/>
      <c r="BM105" s="282"/>
      <c r="BN105" s="282"/>
      <c r="BO105" s="22"/>
    </row>
    <row r="106" spans="1:73" ht="14.2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285"/>
      <c r="BB106" s="285"/>
      <c r="BC106" s="285"/>
      <c r="BD106" s="286"/>
      <c r="BE106" s="285"/>
      <c r="BF106" s="285"/>
      <c r="BG106" s="285"/>
      <c r="BH106" s="285"/>
      <c r="BI106" s="285"/>
      <c r="BJ106" s="285"/>
      <c r="BK106" s="285"/>
      <c r="BL106" s="285"/>
      <c r="BM106" s="285"/>
      <c r="BN106" s="285"/>
      <c r="BO106" s="1"/>
    </row>
    <row r="107" spans="1:73" ht="14.2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285"/>
      <c r="BB107" s="285"/>
      <c r="BC107" s="285"/>
      <c r="BD107" s="285"/>
      <c r="BE107" s="285"/>
      <c r="BF107" s="285"/>
      <c r="BG107" s="285"/>
      <c r="BH107" s="285"/>
      <c r="BI107" s="285"/>
      <c r="BJ107" s="285"/>
      <c r="BK107" s="285"/>
      <c r="BL107" s="285"/>
      <c r="BM107" s="285"/>
      <c r="BN107" s="285"/>
      <c r="BO107" s="1"/>
    </row>
    <row r="108" spans="1:73" ht="14.2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285"/>
      <c r="BB108" s="285"/>
      <c r="BC108" s="285"/>
      <c r="BD108" s="285"/>
      <c r="BE108" s="285"/>
      <c r="BF108" s="285"/>
      <c r="BG108" s="285"/>
      <c r="BH108" s="285"/>
      <c r="BI108" s="285"/>
      <c r="BJ108" s="285"/>
      <c r="BK108" s="285"/>
      <c r="BL108" s="285"/>
      <c r="BM108" s="285"/>
      <c r="BN108" s="285"/>
      <c r="BO108" s="1"/>
    </row>
    <row r="109" spans="1:73" ht="14.25" customHeight="1" outlineLevel="1">
      <c r="A109" s="8"/>
      <c r="B109" s="9" t="s">
        <v>307</v>
      </c>
      <c r="C109" s="10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37"/>
      <c r="S109" s="237"/>
      <c r="T109" s="237"/>
      <c r="U109" s="237"/>
      <c r="V109" s="237"/>
      <c r="W109" s="237"/>
      <c r="X109" s="237"/>
      <c r="Y109" s="237"/>
      <c r="Z109" s="237"/>
      <c r="AA109" s="237"/>
      <c r="AB109" s="237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237"/>
      <c r="AZ109" s="14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7"/>
      <c r="BL109" s="237"/>
      <c r="BM109" s="237"/>
      <c r="BN109" s="237"/>
      <c r="BO109" s="8"/>
    </row>
    <row r="110" spans="1:73" ht="14.25" customHeight="1" outlineLevel="1">
      <c r="A110" s="14"/>
      <c r="B110" s="12" t="s">
        <v>50</v>
      </c>
      <c r="C110" s="13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37"/>
      <c r="S110" s="237"/>
      <c r="T110" s="237"/>
      <c r="U110" s="237"/>
      <c r="V110" s="237"/>
      <c r="W110" s="237"/>
      <c r="X110" s="237"/>
      <c r="Y110" s="237"/>
      <c r="Z110" s="237"/>
      <c r="AA110" s="237"/>
      <c r="AB110" s="237"/>
      <c r="AC110" s="237"/>
      <c r="AD110" s="237"/>
      <c r="AE110" s="237"/>
      <c r="AF110" s="237"/>
      <c r="AG110" s="237"/>
      <c r="AH110" s="237"/>
      <c r="AI110" s="237"/>
      <c r="AJ110" s="237"/>
      <c r="AK110" s="237"/>
      <c r="AL110" s="237"/>
      <c r="AM110" s="237"/>
      <c r="AN110" s="237"/>
      <c r="AO110" s="237"/>
      <c r="AP110" s="237"/>
      <c r="AQ110" s="237"/>
      <c r="AR110" s="237"/>
      <c r="AS110" s="237"/>
      <c r="AT110" s="237"/>
      <c r="AU110" s="237"/>
      <c r="AV110" s="237"/>
      <c r="AW110" s="237"/>
      <c r="AX110" s="237"/>
      <c r="AY110" s="237"/>
      <c r="AZ110" s="58"/>
      <c r="BA110" s="111"/>
      <c r="BB110" s="111"/>
      <c r="BC110" s="111"/>
      <c r="BD110" s="111"/>
      <c r="BE110" s="111"/>
      <c r="BF110" s="111"/>
      <c r="BG110" s="111"/>
      <c r="BH110" s="111"/>
      <c r="BI110" s="111"/>
      <c r="BJ110" s="111"/>
      <c r="BK110" s="111"/>
      <c r="BL110" s="111"/>
      <c r="BM110" s="111"/>
      <c r="BN110" s="111"/>
      <c r="BO110" s="8"/>
    </row>
    <row r="111" spans="1:73" ht="14.25" customHeight="1" outlineLevel="1">
      <c r="A111" s="14"/>
      <c r="B111" s="12"/>
      <c r="C111" s="195"/>
      <c r="D111" s="17" t="str">
        <f t="shared" ref="D111:O111" si="238">D9</f>
        <v>F1Q07A</v>
      </c>
      <c r="E111" s="18" t="str">
        <f t="shared" si="238"/>
        <v>F2Q07A</v>
      </c>
      <c r="F111" s="18" t="str">
        <f t="shared" si="238"/>
        <v>F3Q07A</v>
      </c>
      <c r="G111" s="19" t="str">
        <f t="shared" si="238"/>
        <v>F4Q07A</v>
      </c>
      <c r="H111" s="17" t="str">
        <f t="shared" si="238"/>
        <v>F1Q08A</v>
      </c>
      <c r="I111" s="18" t="str">
        <f t="shared" si="238"/>
        <v>F2Q08A</v>
      </c>
      <c r="J111" s="18" t="str">
        <f t="shared" si="238"/>
        <v>F3Q08A</v>
      </c>
      <c r="K111" s="19" t="str">
        <f t="shared" si="238"/>
        <v>F4Q08A</v>
      </c>
      <c r="L111" s="17" t="str">
        <f t="shared" si="238"/>
        <v>F1Q09A</v>
      </c>
      <c r="M111" s="18" t="str">
        <f t="shared" si="238"/>
        <v>F2Q09A</v>
      </c>
      <c r="N111" s="18" t="str">
        <f t="shared" si="238"/>
        <v>F3Q09A</v>
      </c>
      <c r="O111" s="19" t="str">
        <f t="shared" si="238"/>
        <v>F4Q09A</v>
      </c>
      <c r="P111" s="17" t="str">
        <f t="shared" ref="P111:AI111" si="239">P9</f>
        <v>F1Q10A</v>
      </c>
      <c r="Q111" s="18" t="str">
        <f t="shared" si="239"/>
        <v>F2Q10A</v>
      </c>
      <c r="R111" s="18" t="str">
        <f t="shared" si="239"/>
        <v>F3Q10A</v>
      </c>
      <c r="S111" s="19" t="str">
        <f t="shared" si="239"/>
        <v>F4Q10A</v>
      </c>
      <c r="T111" s="17" t="str">
        <f t="shared" si="239"/>
        <v>F1Q11A</v>
      </c>
      <c r="U111" s="18" t="str">
        <f>U9</f>
        <v>F2Q11A</v>
      </c>
      <c r="V111" s="18" t="str">
        <f t="shared" si="239"/>
        <v>F3Q11A</v>
      </c>
      <c r="W111" s="19" t="str">
        <f>W9</f>
        <v>F4Q11A</v>
      </c>
      <c r="X111" s="17" t="str">
        <f>X9</f>
        <v>F1Q12A</v>
      </c>
      <c r="Y111" s="18" t="str">
        <f>Y9</f>
        <v>F2Q12A</v>
      </c>
      <c r="Z111" s="18" t="str">
        <f t="shared" si="239"/>
        <v>F3Q12A</v>
      </c>
      <c r="AA111" s="19" t="str">
        <f t="shared" si="239"/>
        <v>F4Q12A</v>
      </c>
      <c r="AB111" s="17" t="str">
        <f t="shared" si="239"/>
        <v>F1Q13A</v>
      </c>
      <c r="AC111" s="18" t="str">
        <f t="shared" si="239"/>
        <v>F2Q13A</v>
      </c>
      <c r="AD111" s="18" t="str">
        <f t="shared" si="239"/>
        <v>F3Q13A</v>
      </c>
      <c r="AE111" s="19" t="str">
        <f t="shared" si="239"/>
        <v>F4Q13A</v>
      </c>
      <c r="AF111" s="17" t="str">
        <f t="shared" si="239"/>
        <v>F1Q14A</v>
      </c>
      <c r="AG111" s="18" t="str">
        <f t="shared" si="239"/>
        <v>F2Q14A</v>
      </c>
      <c r="AH111" s="18" t="str">
        <f t="shared" si="239"/>
        <v>F3Q14A</v>
      </c>
      <c r="AI111" s="19" t="str">
        <f t="shared" si="239"/>
        <v>F4Q14A</v>
      </c>
      <c r="AJ111" s="17" t="str">
        <f t="shared" ref="AJ111:AM111" si="240">AJ9</f>
        <v>F1Q15A</v>
      </c>
      <c r="AK111" s="18" t="str">
        <f t="shared" si="240"/>
        <v>F2Q15A</v>
      </c>
      <c r="AL111" s="18" t="str">
        <f t="shared" si="240"/>
        <v>F3Q15A</v>
      </c>
      <c r="AM111" s="1489" t="str">
        <f t="shared" si="240"/>
        <v>F4Q15A</v>
      </c>
      <c r="AN111" s="1671" t="str">
        <f t="shared" ref="AN111:AQ111" si="241">AN9</f>
        <v>F1Q16A</v>
      </c>
      <c r="AO111" s="1710" t="str">
        <f t="shared" si="241"/>
        <v>F2Q16A</v>
      </c>
      <c r="AP111" s="1740" t="str">
        <f t="shared" si="241"/>
        <v>F3Q16A</v>
      </c>
      <c r="AQ111" s="1805" t="str">
        <f t="shared" si="241"/>
        <v>F4Q16A</v>
      </c>
      <c r="AR111" s="17" t="str">
        <f t="shared" ref="AR111:AU111" si="242">AR9</f>
        <v>F1Q17A</v>
      </c>
      <c r="AS111" s="18" t="str">
        <f t="shared" si="242"/>
        <v>F2Q17A</v>
      </c>
      <c r="AT111" s="18" t="str">
        <f t="shared" si="242"/>
        <v>F3Q17A</v>
      </c>
      <c r="AU111" s="19" t="str">
        <f t="shared" si="242"/>
        <v>F4Q17A</v>
      </c>
      <c r="AV111" s="1488" t="str">
        <f t="shared" ref="AV111:AY111" si="243">AV9</f>
        <v>F1Q18E</v>
      </c>
      <c r="AW111" s="1503" t="str">
        <f t="shared" si="243"/>
        <v>F2Q18E</v>
      </c>
      <c r="AX111" s="1503" t="str">
        <f t="shared" si="243"/>
        <v>F3Q18E</v>
      </c>
      <c r="AY111" s="1489" t="str">
        <f t="shared" si="243"/>
        <v>F4Q18E</v>
      </c>
      <c r="AZ111" s="177"/>
      <c r="BA111" s="17" t="str">
        <f>BA9</f>
        <v>FY2007A</v>
      </c>
      <c r="BB111" s="17" t="str">
        <f t="shared" ref="BB111:BM111" si="244">BB9</f>
        <v>FY2008A</v>
      </c>
      <c r="BC111" s="17" t="str">
        <f t="shared" si="244"/>
        <v>FY2009A</v>
      </c>
      <c r="BD111" s="17" t="str">
        <f t="shared" si="244"/>
        <v>FY2010A</v>
      </c>
      <c r="BE111" s="17" t="str">
        <f t="shared" si="244"/>
        <v>FY2011A</v>
      </c>
      <c r="BF111" s="18" t="str">
        <f t="shared" si="244"/>
        <v>FY2012A</v>
      </c>
      <c r="BG111" s="18" t="str">
        <f t="shared" si="244"/>
        <v>FY2013A</v>
      </c>
      <c r="BH111" s="18" t="str">
        <f t="shared" si="244"/>
        <v>FY2014A</v>
      </c>
      <c r="BI111" s="18" t="str">
        <f>BI9</f>
        <v>FY2015A</v>
      </c>
      <c r="BJ111" s="1503" t="str">
        <f>BJ9</f>
        <v>FY2016A</v>
      </c>
      <c r="BK111" s="1804" t="str">
        <f>BK9</f>
        <v>FY2017A</v>
      </c>
      <c r="BL111" s="1804" t="str">
        <f>BL9</f>
        <v>FY2018E</v>
      </c>
      <c r="BM111" s="1804" t="str">
        <f t="shared" si="244"/>
        <v>FY2019E</v>
      </c>
      <c r="BN111" s="1804" t="str">
        <f t="shared" ref="BN111" si="245">BN9</f>
        <v>FY2020E</v>
      </c>
      <c r="BO111" s="22"/>
    </row>
    <row r="112" spans="1:73" ht="14.25" customHeight="1" outlineLevel="1">
      <c r="A112" s="8"/>
      <c r="B112" s="196" t="s">
        <v>184</v>
      </c>
      <c r="C112" s="44"/>
      <c r="D112" s="199"/>
      <c r="E112" s="197"/>
      <c r="F112" s="197"/>
      <c r="G112" s="197"/>
      <c r="H112" s="199"/>
      <c r="I112" s="197"/>
      <c r="J112" s="197"/>
      <c r="K112" s="197"/>
      <c r="L112" s="199"/>
      <c r="M112" s="197"/>
      <c r="N112" s="197"/>
      <c r="O112" s="197"/>
      <c r="P112" s="199"/>
      <c r="Q112" s="197"/>
      <c r="R112" s="197"/>
      <c r="S112" s="197"/>
      <c r="T112" s="199"/>
      <c r="U112" s="197"/>
      <c r="V112" s="197"/>
      <c r="W112" s="197"/>
      <c r="X112" s="199"/>
      <c r="Y112" s="197"/>
      <c r="Z112" s="197"/>
      <c r="AA112" s="198"/>
      <c r="AB112" s="199"/>
      <c r="AC112" s="197"/>
      <c r="AD112" s="197"/>
      <c r="AE112" s="198"/>
      <c r="AF112" s="199"/>
      <c r="AG112" s="197"/>
      <c r="AH112" s="197"/>
      <c r="AI112" s="198"/>
      <c r="AJ112" s="199"/>
      <c r="AK112" s="197"/>
      <c r="AL112" s="197"/>
      <c r="AM112" s="198"/>
      <c r="AN112" s="199"/>
      <c r="AO112" s="197"/>
      <c r="AP112" s="197"/>
      <c r="AQ112" s="198"/>
      <c r="AR112" s="199"/>
      <c r="AS112" s="197"/>
      <c r="AT112" s="197"/>
      <c r="AU112" s="198"/>
      <c r="AV112" s="199"/>
      <c r="AW112" s="197"/>
      <c r="AX112" s="197"/>
      <c r="AY112" s="198"/>
      <c r="AZ112" s="177"/>
      <c r="BA112" s="197"/>
      <c r="BB112" s="197"/>
      <c r="BC112" s="197"/>
      <c r="BD112" s="197"/>
      <c r="BE112" s="197"/>
      <c r="BF112" s="197"/>
      <c r="BG112" s="197"/>
      <c r="BH112" s="197"/>
      <c r="BI112" s="197"/>
      <c r="BJ112" s="1534"/>
      <c r="BK112" s="1534"/>
      <c r="BL112" s="1534"/>
      <c r="BM112" s="1534"/>
      <c r="BN112" s="1534"/>
      <c r="BO112" s="22"/>
    </row>
    <row r="113" spans="1:67" ht="14.25" customHeight="1" outlineLevel="1">
      <c r="A113" s="8"/>
      <c r="B113" s="23" t="s">
        <v>185</v>
      </c>
      <c r="C113" s="24"/>
      <c r="D113" s="97">
        <f>D11</f>
        <v>-342</v>
      </c>
      <c r="E113" s="98">
        <f>D113+E11</f>
        <v>-691</v>
      </c>
      <c r="F113" s="98">
        <f>E113+F11</f>
        <v>-688</v>
      </c>
      <c r="G113" s="99">
        <f>F113+G11</f>
        <v>-603</v>
      </c>
      <c r="H113" s="97">
        <f>H11</f>
        <v>-66</v>
      </c>
      <c r="I113" s="98">
        <f>H113+I11</f>
        <v>-385</v>
      </c>
      <c r="J113" s="98">
        <f>I113+J11</f>
        <v>-2925</v>
      </c>
      <c r="K113" s="99">
        <f>J113+K11</f>
        <v>-3574</v>
      </c>
      <c r="L113" s="97">
        <f>L11</f>
        <v>-587</v>
      </c>
      <c r="M113" s="98">
        <f>L113+M11</f>
        <v>-222</v>
      </c>
      <c r="N113" s="98">
        <f>M113+N11</f>
        <v>206</v>
      </c>
      <c r="O113" s="99">
        <f>N113+O11</f>
        <v>-153</v>
      </c>
      <c r="P113" s="97">
        <f>P11</f>
        <v>-336</v>
      </c>
      <c r="Q113" s="98">
        <f>P113+Q11</f>
        <v>-686</v>
      </c>
      <c r="R113" s="98">
        <f>Q113+R11</f>
        <v>-310</v>
      </c>
      <c r="S113" s="99">
        <f>R113+S11</f>
        <v>-406</v>
      </c>
      <c r="T113" s="97">
        <f>T11</f>
        <v>201</v>
      </c>
      <c r="U113" s="98">
        <f>T113+U11</f>
        <v>298</v>
      </c>
      <c r="V113" s="98">
        <f>U113+V11</f>
        <v>609</v>
      </c>
      <c r="W113" s="99">
        <f>V113+W11</f>
        <v>436</v>
      </c>
      <c r="X113" s="97">
        <f>X11</f>
        <v>-11</v>
      </c>
      <c r="Y113" s="98">
        <f>X113+Y11</f>
        <v>-85</v>
      </c>
      <c r="Z113" s="98">
        <f>Y113+Z11</f>
        <v>46</v>
      </c>
      <c r="AA113" s="99">
        <f>Z113+AA11</f>
        <v>-52</v>
      </c>
      <c r="AB113" s="97">
        <f>AB11</f>
        <v>-1</v>
      </c>
      <c r="AC113" s="98">
        <f>AB113+AC11</f>
        <v>128</v>
      </c>
      <c r="AD113" s="98">
        <f>AC113+AD11</f>
        <v>300</v>
      </c>
      <c r="AE113" s="99">
        <f>AD113+AE11</f>
        <v>415</v>
      </c>
      <c r="AF113" s="97">
        <f>AF11</f>
        <v>124</v>
      </c>
      <c r="AG113" s="98">
        <f>AF113+AG11</f>
        <v>302</v>
      </c>
      <c r="AH113" s="98">
        <f>AG113+AH11</f>
        <v>440</v>
      </c>
      <c r="AI113" s="99">
        <f>AH113+AI11</f>
        <v>607</v>
      </c>
      <c r="AJ113" s="97">
        <f>AJ11</f>
        <v>-90</v>
      </c>
      <c r="AK113" s="98">
        <f>AJ113+AK11</f>
        <v>231</v>
      </c>
      <c r="AL113" s="98">
        <f>AK113+AL11</f>
        <v>619</v>
      </c>
      <c r="AM113" s="99">
        <f>AL113+AM11</f>
        <v>1608</v>
      </c>
      <c r="AN113" s="97">
        <f>AN11</f>
        <v>-387</v>
      </c>
      <c r="AO113" s="98">
        <f>AN113+AO11</f>
        <v>-386</v>
      </c>
      <c r="AP113" s="98">
        <f>AO113+AP11</f>
        <v>-278</v>
      </c>
      <c r="AQ113" s="99">
        <f>AP113+AQ11</f>
        <v>-133</v>
      </c>
      <c r="AR113" s="97">
        <f>AR11</f>
        <v>1318</v>
      </c>
      <c r="AS113" s="98">
        <f>AR113+AS11</f>
        <v>1381</v>
      </c>
      <c r="AT113" s="98">
        <f>AS113+AT11</f>
        <v>1504</v>
      </c>
      <c r="AU113" s="99">
        <f>AT113+AU11</f>
        <v>2272</v>
      </c>
      <c r="AV113" s="97">
        <f>AV11</f>
        <v>535.1679174136807</v>
      </c>
      <c r="AW113" s="98">
        <f>AV113+AW11</f>
        <v>1109.7192959201345</v>
      </c>
      <c r="AX113" s="98">
        <f>AW113+AX11</f>
        <v>1732.0420748040922</v>
      </c>
      <c r="AY113" s="99">
        <f>AX113+AY11</f>
        <v>2346.4768341109143</v>
      </c>
      <c r="AZ113" s="177"/>
      <c r="BA113" s="98">
        <f>G113</f>
        <v>-603</v>
      </c>
      <c r="BB113" s="98">
        <f>K113</f>
        <v>-3574</v>
      </c>
      <c r="BC113" s="98">
        <f>O113</f>
        <v>-153</v>
      </c>
      <c r="BD113" s="98">
        <f>S113</f>
        <v>-406</v>
      </c>
      <c r="BE113" s="98">
        <f>W113</f>
        <v>436</v>
      </c>
      <c r="BF113" s="98">
        <f>AA113</f>
        <v>-52</v>
      </c>
      <c r="BG113" s="98">
        <f>AE113</f>
        <v>415</v>
      </c>
      <c r="BH113" s="98">
        <f>AI113</f>
        <v>607</v>
      </c>
      <c r="BI113" s="98">
        <f>AM113</f>
        <v>1608</v>
      </c>
      <c r="BJ113" s="98">
        <f>AQ113</f>
        <v>-133</v>
      </c>
      <c r="BK113" s="98">
        <f>AU113</f>
        <v>2272</v>
      </c>
      <c r="BL113" s="98">
        <f>AY113</f>
        <v>2346.4768341109143</v>
      </c>
      <c r="BM113" s="98">
        <f>BM11</f>
        <v>2554.1909622702915</v>
      </c>
      <c r="BN113" s="98">
        <f>BN11</f>
        <v>2769.5070038472868</v>
      </c>
      <c r="BO113" s="22"/>
    </row>
    <row r="114" spans="1:67" ht="14.25" customHeight="1" outlineLevel="1">
      <c r="A114" s="8"/>
      <c r="B114" s="201" t="s">
        <v>186</v>
      </c>
      <c r="C114" s="202"/>
      <c r="D114" s="205"/>
      <c r="E114" s="203"/>
      <c r="F114" s="326"/>
      <c r="G114" s="327"/>
      <c r="H114" s="205"/>
      <c r="I114" s="203"/>
      <c r="J114" s="326"/>
      <c r="K114" s="327"/>
      <c r="L114" s="205"/>
      <c r="M114" s="203"/>
      <c r="N114" s="326"/>
      <c r="O114" s="327"/>
      <c r="P114" s="205"/>
      <c r="Q114" s="203"/>
      <c r="R114" s="326"/>
      <c r="S114" s="327"/>
      <c r="T114" s="205"/>
      <c r="U114" s="203"/>
      <c r="V114" s="203"/>
      <c r="W114" s="327"/>
      <c r="X114" s="205"/>
      <c r="Y114" s="203"/>
      <c r="Z114" s="203"/>
      <c r="AA114" s="204"/>
      <c r="AB114" s="205"/>
      <c r="AC114" s="203"/>
      <c r="AD114" s="203"/>
      <c r="AE114" s="204"/>
      <c r="AF114" s="205"/>
      <c r="AG114" s="203"/>
      <c r="AH114" s="203"/>
      <c r="AI114" s="204"/>
      <c r="AJ114" s="205"/>
      <c r="AK114" s="203"/>
      <c r="AL114" s="203"/>
      <c r="AM114" s="204"/>
      <c r="AN114" s="205"/>
      <c r="AO114" s="203"/>
      <c r="AP114" s="203"/>
      <c r="AQ114" s="204"/>
      <c r="AR114" s="205"/>
      <c r="AS114" s="203"/>
      <c r="AT114" s="203"/>
      <c r="AU114" s="204"/>
      <c r="AV114" s="205"/>
      <c r="AW114" s="203"/>
      <c r="AX114" s="203"/>
      <c r="AY114" s="204"/>
      <c r="AZ114" s="177"/>
      <c r="BA114" s="203"/>
      <c r="BB114" s="203"/>
      <c r="BC114" s="203"/>
      <c r="BD114" s="203"/>
      <c r="BE114" s="203"/>
      <c r="BF114" s="203"/>
      <c r="BG114" s="203"/>
      <c r="BH114" s="203"/>
      <c r="BI114" s="203"/>
      <c r="BJ114" s="203"/>
      <c r="BK114" s="203"/>
      <c r="BL114" s="203"/>
      <c r="BM114" s="203"/>
      <c r="BN114" s="203"/>
      <c r="BO114" s="22"/>
    </row>
    <row r="115" spans="1:67" ht="14.25" customHeight="1" outlineLevel="1">
      <c r="A115" s="8"/>
      <c r="B115" s="48" t="s">
        <v>187</v>
      </c>
      <c r="C115" s="49"/>
      <c r="D115" s="208">
        <f>D13</f>
        <v>375</v>
      </c>
      <c r="E115" s="206">
        <f t="shared" ref="E115:G121" si="246">D115+E13</f>
        <v>761</v>
      </c>
      <c r="F115" s="206">
        <f t="shared" si="246"/>
        <v>1143</v>
      </c>
      <c r="G115" s="207">
        <f t="shared" si="246"/>
        <v>1532</v>
      </c>
      <c r="H115" s="208">
        <f>H13</f>
        <v>333</v>
      </c>
      <c r="I115" s="206">
        <f t="shared" ref="I115:K121" si="247">H115+I13</f>
        <v>680</v>
      </c>
      <c r="J115" s="206">
        <f t="shared" si="247"/>
        <v>1043</v>
      </c>
      <c r="K115" s="207">
        <f t="shared" si="247"/>
        <v>1270</v>
      </c>
      <c r="L115" s="208">
        <f>L13</f>
        <v>199</v>
      </c>
      <c r="M115" s="206">
        <f t="shared" ref="M115:O121" si="248">L115+M13</f>
        <v>438</v>
      </c>
      <c r="N115" s="206">
        <f t="shared" si="248"/>
        <v>630</v>
      </c>
      <c r="O115" s="207">
        <f t="shared" si="248"/>
        <v>818</v>
      </c>
      <c r="P115" s="208">
        <f>P13</f>
        <v>185</v>
      </c>
      <c r="Q115" s="206">
        <f t="shared" ref="Q115:S121" si="249">P115+Q13</f>
        <v>345</v>
      </c>
      <c r="R115" s="206">
        <f t="shared" si="249"/>
        <v>500</v>
      </c>
      <c r="S115" s="207">
        <f t="shared" si="249"/>
        <v>684</v>
      </c>
      <c r="T115" s="208">
        <f>T13</f>
        <v>145</v>
      </c>
      <c r="U115" s="206">
        <f t="shared" ref="U115:W121" si="250">T115+U13</f>
        <v>288</v>
      </c>
      <c r="V115" s="206">
        <f t="shared" si="250"/>
        <v>440</v>
      </c>
      <c r="W115" s="207">
        <f t="shared" si="250"/>
        <v>591</v>
      </c>
      <c r="X115" s="208">
        <f>X13</f>
        <v>134</v>
      </c>
      <c r="Y115" s="206">
        <f t="shared" ref="Y115:AA121" si="251">X115+Y13</f>
        <v>273</v>
      </c>
      <c r="Z115" s="206">
        <f t="shared" si="251"/>
        <v>401</v>
      </c>
      <c r="AA115" s="207">
        <f t="shared" si="251"/>
        <v>533</v>
      </c>
      <c r="AB115" s="208">
        <f>AB13</f>
        <v>132</v>
      </c>
      <c r="AC115" s="206">
        <f t="shared" ref="AC115:AI121" si="252">AB115+AC13</f>
        <v>264</v>
      </c>
      <c r="AD115" s="206">
        <f t="shared" si="252"/>
        <v>401</v>
      </c>
      <c r="AE115" s="207">
        <f t="shared" si="252"/>
        <v>514</v>
      </c>
      <c r="AF115" s="208">
        <f>AF13</f>
        <v>102</v>
      </c>
      <c r="AG115" s="206">
        <f t="shared" si="252"/>
        <v>205</v>
      </c>
      <c r="AH115" s="206">
        <f t="shared" si="252"/>
        <v>308</v>
      </c>
      <c r="AI115" s="207">
        <f t="shared" si="252"/>
        <v>405</v>
      </c>
      <c r="AJ115" s="208">
        <f>AJ13</f>
        <v>95</v>
      </c>
      <c r="AK115" s="206">
        <f t="shared" ref="AK115:AQ121" si="253">AJ115+AK13</f>
        <v>193</v>
      </c>
      <c r="AL115" s="206">
        <f t="shared" si="253"/>
        <v>287</v>
      </c>
      <c r="AM115" s="207">
        <f t="shared" si="253"/>
        <v>517</v>
      </c>
      <c r="AN115" s="208">
        <f>AN13</f>
        <v>529</v>
      </c>
      <c r="AO115" s="206">
        <f t="shared" si="253"/>
        <v>1149</v>
      </c>
      <c r="AP115" s="206">
        <f t="shared" si="253"/>
        <v>1675</v>
      </c>
      <c r="AQ115" s="207">
        <f t="shared" si="253"/>
        <v>2205</v>
      </c>
      <c r="AR115" s="208">
        <f>AR13</f>
        <v>534</v>
      </c>
      <c r="AS115" s="206">
        <f t="shared" ref="AS115:AT121" si="254">AR115+AS13</f>
        <v>1094</v>
      </c>
      <c r="AT115" s="206">
        <f t="shared" si="254"/>
        <v>1631</v>
      </c>
      <c r="AU115" s="207">
        <f t="shared" ref="AU115:AU121" si="255">AT115+AU13</f>
        <v>2173</v>
      </c>
      <c r="AV115" s="208">
        <f>AV13</f>
        <v>126.22499999999999</v>
      </c>
      <c r="AW115" s="206">
        <f t="shared" ref="AW115:AW121" si="256">AV115+AW13</f>
        <v>252.43477512214986</v>
      </c>
      <c r="AX115" s="206">
        <f t="shared" ref="AX115:AX121" si="257">AW115+AX13</f>
        <v>378.8676834057411</v>
      </c>
      <c r="AY115" s="207">
        <f t="shared" ref="AY115:AY121" si="258">AX115+AY13</f>
        <v>505.80406522687815</v>
      </c>
      <c r="AZ115" s="177"/>
      <c r="BA115" s="206">
        <f>G115</f>
        <v>1532</v>
      </c>
      <c r="BB115" s="206">
        <f>K115</f>
        <v>1270</v>
      </c>
      <c r="BC115" s="206">
        <f>O115</f>
        <v>818</v>
      </c>
      <c r="BD115" s="206">
        <f>S115</f>
        <v>684</v>
      </c>
      <c r="BE115" s="206">
        <f>W115</f>
        <v>591</v>
      </c>
      <c r="BF115" s="206">
        <f>AA115</f>
        <v>533</v>
      </c>
      <c r="BG115" s="206">
        <f>AE115</f>
        <v>514</v>
      </c>
      <c r="BH115" s="206">
        <f t="shared" ref="BH115:BH121" si="259">AI115</f>
        <v>405</v>
      </c>
      <c r="BI115" s="206">
        <f t="shared" ref="BI115:BI121" si="260">AM115</f>
        <v>517</v>
      </c>
      <c r="BJ115" s="206">
        <f t="shared" ref="BJ115:BJ121" si="261">AQ115</f>
        <v>2205</v>
      </c>
      <c r="BK115" s="206">
        <f>AU115</f>
        <v>2173</v>
      </c>
      <c r="BL115" s="206">
        <f t="shared" ref="BL115:BL121" si="262">AY115</f>
        <v>505.80406522687815</v>
      </c>
      <c r="BM115" s="206">
        <f t="shared" ref="BM115:BM121" si="263">BM13</f>
        <v>505.80406522687815</v>
      </c>
      <c r="BN115" s="206">
        <f t="shared" ref="BN115" si="264">BN13</f>
        <v>505.80406522687815</v>
      </c>
      <c r="BO115" s="22"/>
    </row>
    <row r="116" spans="1:67" ht="14.25" customHeight="1" outlineLevel="1">
      <c r="A116" s="8"/>
      <c r="B116" s="48" t="s">
        <v>288</v>
      </c>
      <c r="C116" s="49"/>
      <c r="D116" s="208">
        <f t="shared" ref="D116:D121" si="265">D14</f>
        <v>-1</v>
      </c>
      <c r="E116" s="206">
        <f t="shared" si="246"/>
        <v>-5</v>
      </c>
      <c r="F116" s="206">
        <f t="shared" si="246"/>
        <v>-119</v>
      </c>
      <c r="G116" s="207">
        <f t="shared" si="246"/>
        <v>-114</v>
      </c>
      <c r="H116" s="208">
        <f t="shared" ref="H116:H121" si="266">H14</f>
        <v>-24</v>
      </c>
      <c r="I116" s="206">
        <f t="shared" si="247"/>
        <v>-16</v>
      </c>
      <c r="J116" s="206">
        <f t="shared" si="247"/>
        <v>360</v>
      </c>
      <c r="K116" s="207">
        <f t="shared" si="247"/>
        <v>369</v>
      </c>
      <c r="L116" s="208">
        <f t="shared" ref="L116:L121" si="267">L14</f>
        <v>-76</v>
      </c>
      <c r="M116" s="206">
        <f t="shared" si="248"/>
        <v>-88</v>
      </c>
      <c r="N116" s="206">
        <f t="shared" si="248"/>
        <v>-50</v>
      </c>
      <c r="O116" s="207">
        <f t="shared" si="248"/>
        <v>-58</v>
      </c>
      <c r="P116" s="208">
        <f t="shared" ref="P116:P121" si="268">P14</f>
        <v>25</v>
      </c>
      <c r="Q116" s="206">
        <f t="shared" si="249"/>
        <v>26</v>
      </c>
      <c r="R116" s="206">
        <f t="shared" si="249"/>
        <v>19</v>
      </c>
      <c r="S116" s="207">
        <f t="shared" si="249"/>
        <v>21</v>
      </c>
      <c r="T116" s="208">
        <f t="shared" ref="T116:T121" si="269">T14</f>
        <v>15</v>
      </c>
      <c r="U116" s="206">
        <f t="shared" si="250"/>
        <v>13</v>
      </c>
      <c r="V116" s="206">
        <f t="shared" si="250"/>
        <v>12</v>
      </c>
      <c r="W116" s="207">
        <f t="shared" si="250"/>
        <v>10</v>
      </c>
      <c r="X116" s="208">
        <f t="shared" ref="X116:X121" si="270">X14</f>
        <v>0</v>
      </c>
      <c r="Y116" s="206">
        <f t="shared" si="251"/>
        <v>0</v>
      </c>
      <c r="Z116" s="206">
        <f t="shared" si="251"/>
        <v>0</v>
      </c>
      <c r="AA116" s="207">
        <f t="shared" si="251"/>
        <v>0</v>
      </c>
      <c r="AB116" s="208">
        <f t="shared" ref="AB116:AB121" si="271">AB14</f>
        <v>0</v>
      </c>
      <c r="AC116" s="206">
        <f t="shared" si="252"/>
        <v>0</v>
      </c>
      <c r="AD116" s="206">
        <f t="shared" si="252"/>
        <v>0</v>
      </c>
      <c r="AE116" s="207">
        <f t="shared" si="252"/>
        <v>0</v>
      </c>
      <c r="AF116" s="208">
        <f t="shared" ref="AF116:AF121" si="272">AF14</f>
        <v>0</v>
      </c>
      <c r="AG116" s="206">
        <f t="shared" si="252"/>
        <v>-6</v>
      </c>
      <c r="AH116" s="206">
        <f t="shared" si="252"/>
        <v>-7</v>
      </c>
      <c r="AI116" s="207">
        <f t="shared" si="252"/>
        <v>-10</v>
      </c>
      <c r="AJ116" s="208">
        <f t="shared" ref="AJ116:AJ121" si="273">AJ14</f>
        <v>0</v>
      </c>
      <c r="AK116" s="206">
        <f t="shared" si="253"/>
        <v>-1</v>
      </c>
      <c r="AL116" s="206">
        <f t="shared" si="253"/>
        <v>-5</v>
      </c>
      <c r="AM116" s="207">
        <f t="shared" si="253"/>
        <v>-1263</v>
      </c>
      <c r="AN116" s="208">
        <f t="shared" ref="AN116:AN121" si="274">AN14</f>
        <v>0</v>
      </c>
      <c r="AO116" s="206">
        <f t="shared" si="253"/>
        <v>0</v>
      </c>
      <c r="AP116" s="206">
        <f t="shared" si="253"/>
        <v>0</v>
      </c>
      <c r="AQ116" s="207">
        <f t="shared" si="253"/>
        <v>0</v>
      </c>
      <c r="AR116" s="208">
        <f t="shared" ref="AR116:AR121" si="275">AR14</f>
        <v>-1597</v>
      </c>
      <c r="AS116" s="206">
        <f t="shared" si="254"/>
        <v>-1611</v>
      </c>
      <c r="AT116" s="206">
        <f t="shared" si="254"/>
        <v>-1611</v>
      </c>
      <c r="AU116" s="207">
        <f t="shared" si="255"/>
        <v>-1611</v>
      </c>
      <c r="AV116" s="208">
        <f t="shared" ref="AV116:AV121" si="276">AV14</f>
        <v>0</v>
      </c>
      <c r="AW116" s="206">
        <f t="shared" si="256"/>
        <v>0</v>
      </c>
      <c r="AX116" s="206">
        <f t="shared" si="257"/>
        <v>0</v>
      </c>
      <c r="AY116" s="207">
        <f t="shared" si="258"/>
        <v>0</v>
      </c>
      <c r="AZ116" s="177"/>
      <c r="BA116" s="206">
        <f>G116</f>
        <v>-114</v>
      </c>
      <c r="BB116" s="206">
        <f>K116</f>
        <v>369</v>
      </c>
      <c r="BC116" s="206">
        <f>O116</f>
        <v>-58</v>
      </c>
      <c r="BD116" s="206">
        <f>S116</f>
        <v>21</v>
      </c>
      <c r="BE116" s="206">
        <f>W116</f>
        <v>10</v>
      </c>
      <c r="BF116" s="206">
        <f>AA116</f>
        <v>0</v>
      </c>
      <c r="BG116" s="206">
        <f>AE116</f>
        <v>0</v>
      </c>
      <c r="BH116" s="206">
        <f t="shared" si="259"/>
        <v>-10</v>
      </c>
      <c r="BI116" s="206">
        <f t="shared" si="260"/>
        <v>-1263</v>
      </c>
      <c r="BJ116" s="206">
        <f t="shared" si="261"/>
        <v>0</v>
      </c>
      <c r="BK116" s="206">
        <f t="shared" ref="BK116:BK121" si="277">AU116</f>
        <v>-1611</v>
      </c>
      <c r="BL116" s="206">
        <f t="shared" si="262"/>
        <v>0</v>
      </c>
      <c r="BM116" s="206">
        <f t="shared" si="263"/>
        <v>0</v>
      </c>
      <c r="BN116" s="206">
        <f t="shared" ref="BN116" si="278">BN14</f>
        <v>0</v>
      </c>
      <c r="BO116" s="22"/>
    </row>
    <row r="117" spans="1:67" ht="14.25" customHeight="1" outlineLevel="1">
      <c r="A117" s="8"/>
      <c r="B117" s="48" t="s">
        <v>188</v>
      </c>
      <c r="C117" s="49"/>
      <c r="D117" s="208">
        <f t="shared" si="265"/>
        <v>0</v>
      </c>
      <c r="E117" s="206">
        <f t="shared" si="246"/>
        <v>0</v>
      </c>
      <c r="F117" s="206">
        <f t="shared" si="246"/>
        <v>0</v>
      </c>
      <c r="G117" s="207">
        <f t="shared" si="246"/>
        <v>0</v>
      </c>
      <c r="H117" s="208">
        <f t="shared" si="266"/>
        <v>0</v>
      </c>
      <c r="I117" s="206">
        <f t="shared" si="247"/>
        <v>0</v>
      </c>
      <c r="J117" s="206">
        <f t="shared" si="247"/>
        <v>0</v>
      </c>
      <c r="K117" s="207">
        <f t="shared" si="247"/>
        <v>0</v>
      </c>
      <c r="L117" s="208">
        <f t="shared" si="267"/>
        <v>0</v>
      </c>
      <c r="M117" s="206">
        <f t="shared" si="248"/>
        <v>0</v>
      </c>
      <c r="N117" s="206">
        <f t="shared" si="248"/>
        <v>0</v>
      </c>
      <c r="O117" s="207">
        <f t="shared" si="248"/>
        <v>0</v>
      </c>
      <c r="P117" s="208">
        <f t="shared" si="268"/>
        <v>0</v>
      </c>
      <c r="Q117" s="206">
        <f t="shared" si="249"/>
        <v>0</v>
      </c>
      <c r="R117" s="206">
        <f t="shared" si="249"/>
        <v>0</v>
      </c>
      <c r="S117" s="207">
        <f t="shared" si="249"/>
        <v>0</v>
      </c>
      <c r="T117" s="208">
        <f t="shared" si="269"/>
        <v>0</v>
      </c>
      <c r="U117" s="206">
        <f t="shared" si="250"/>
        <v>0</v>
      </c>
      <c r="V117" s="206">
        <f t="shared" si="250"/>
        <v>0</v>
      </c>
      <c r="W117" s="207">
        <f t="shared" si="250"/>
        <v>0</v>
      </c>
      <c r="X117" s="208">
        <f t="shared" si="270"/>
        <v>0</v>
      </c>
      <c r="Y117" s="206">
        <f t="shared" si="251"/>
        <v>0</v>
      </c>
      <c r="Z117" s="206">
        <f t="shared" si="251"/>
        <v>12</v>
      </c>
      <c r="AA117" s="207">
        <f t="shared" si="251"/>
        <v>28</v>
      </c>
      <c r="AB117" s="208">
        <f t="shared" si="271"/>
        <v>17</v>
      </c>
      <c r="AC117" s="206">
        <f t="shared" si="252"/>
        <v>37</v>
      </c>
      <c r="AD117" s="206">
        <f t="shared" si="252"/>
        <v>57</v>
      </c>
      <c r="AE117" s="207">
        <f t="shared" si="252"/>
        <v>88</v>
      </c>
      <c r="AF117" s="208">
        <f t="shared" si="272"/>
        <v>28</v>
      </c>
      <c r="AG117" s="206">
        <f t="shared" si="252"/>
        <v>65</v>
      </c>
      <c r="AH117" s="206">
        <f t="shared" si="252"/>
        <v>99</v>
      </c>
      <c r="AI117" s="207">
        <f t="shared" si="252"/>
        <v>133</v>
      </c>
      <c r="AJ117" s="208">
        <f t="shared" si="273"/>
        <v>35</v>
      </c>
      <c r="AK117" s="206">
        <f t="shared" si="253"/>
        <v>71</v>
      </c>
      <c r="AL117" s="206">
        <f t="shared" si="253"/>
        <v>105</v>
      </c>
      <c r="AM117" s="207">
        <f t="shared" si="253"/>
        <v>216</v>
      </c>
      <c r="AN117" s="208">
        <f t="shared" si="274"/>
        <v>99</v>
      </c>
      <c r="AO117" s="206">
        <f t="shared" si="253"/>
        <v>179</v>
      </c>
      <c r="AP117" s="206">
        <f t="shared" si="253"/>
        <v>256</v>
      </c>
      <c r="AQ117" s="207">
        <f t="shared" si="253"/>
        <v>338</v>
      </c>
      <c r="AR117" s="208">
        <f t="shared" si="275"/>
        <v>68</v>
      </c>
      <c r="AS117" s="206">
        <f t="shared" si="254"/>
        <v>135</v>
      </c>
      <c r="AT117" s="206">
        <f t="shared" si="254"/>
        <v>203</v>
      </c>
      <c r="AU117" s="207">
        <f t="shared" si="255"/>
        <v>281</v>
      </c>
      <c r="AV117" s="208">
        <f t="shared" si="276"/>
        <v>78</v>
      </c>
      <c r="AW117" s="206">
        <f t="shared" si="256"/>
        <v>156</v>
      </c>
      <c r="AX117" s="206">
        <f t="shared" si="257"/>
        <v>234</v>
      </c>
      <c r="AY117" s="207">
        <f t="shared" si="258"/>
        <v>312</v>
      </c>
      <c r="AZ117" s="177"/>
      <c r="BA117" s="206">
        <f t="shared" ref="BA117:BA131" si="279">G117</f>
        <v>0</v>
      </c>
      <c r="BB117" s="206">
        <f t="shared" ref="BB117:BB131" si="280">K117</f>
        <v>0</v>
      </c>
      <c r="BC117" s="206">
        <f t="shared" ref="BC117:BC131" si="281">O117</f>
        <v>0</v>
      </c>
      <c r="BD117" s="206">
        <f t="shared" ref="BD117:BD131" si="282">S117</f>
        <v>0</v>
      </c>
      <c r="BE117" s="206">
        <f t="shared" ref="BE117:BE131" si="283">W117</f>
        <v>0</v>
      </c>
      <c r="BF117" s="206">
        <f t="shared" ref="BF117:BF131" si="284">AA117</f>
        <v>28</v>
      </c>
      <c r="BG117" s="206">
        <f t="shared" ref="BG117:BG131" si="285">AE117</f>
        <v>88</v>
      </c>
      <c r="BH117" s="206">
        <f t="shared" si="259"/>
        <v>133</v>
      </c>
      <c r="BI117" s="206">
        <f t="shared" si="260"/>
        <v>216</v>
      </c>
      <c r="BJ117" s="206">
        <f t="shared" si="261"/>
        <v>338</v>
      </c>
      <c r="BK117" s="206">
        <f t="shared" si="277"/>
        <v>281</v>
      </c>
      <c r="BL117" s="206">
        <f t="shared" si="262"/>
        <v>312</v>
      </c>
      <c r="BM117" s="206">
        <f t="shared" si="263"/>
        <v>312</v>
      </c>
      <c r="BN117" s="206">
        <f t="shared" ref="BN117" si="286">BN15</f>
        <v>312</v>
      </c>
      <c r="BO117" s="22"/>
    </row>
    <row r="118" spans="1:67" ht="14.25" customHeight="1" outlineLevel="1">
      <c r="A118" s="8"/>
      <c r="B118" s="48" t="s">
        <v>297</v>
      </c>
      <c r="C118" s="49"/>
      <c r="D118" s="208">
        <f t="shared" si="265"/>
        <v>0</v>
      </c>
      <c r="E118" s="206">
        <f t="shared" si="246"/>
        <v>0</v>
      </c>
      <c r="F118" s="206">
        <f t="shared" si="246"/>
        <v>0</v>
      </c>
      <c r="G118" s="207">
        <f t="shared" si="246"/>
        <v>0</v>
      </c>
      <c r="H118" s="208">
        <f t="shared" si="266"/>
        <v>0</v>
      </c>
      <c r="I118" s="206">
        <f t="shared" si="247"/>
        <v>0</v>
      </c>
      <c r="J118" s="206">
        <f t="shared" si="247"/>
        <v>0</v>
      </c>
      <c r="K118" s="207">
        <f t="shared" si="247"/>
        <v>0</v>
      </c>
      <c r="L118" s="208">
        <f t="shared" si="267"/>
        <v>0</v>
      </c>
      <c r="M118" s="206">
        <f t="shared" si="248"/>
        <v>0</v>
      </c>
      <c r="N118" s="206">
        <f t="shared" si="248"/>
        <v>0</v>
      </c>
      <c r="O118" s="207">
        <f t="shared" si="248"/>
        <v>0</v>
      </c>
      <c r="P118" s="208">
        <f t="shared" si="268"/>
        <v>0</v>
      </c>
      <c r="Q118" s="206">
        <f t="shared" si="249"/>
        <v>0</v>
      </c>
      <c r="R118" s="206">
        <f t="shared" si="249"/>
        <v>0</v>
      </c>
      <c r="S118" s="207">
        <f t="shared" si="249"/>
        <v>0</v>
      </c>
      <c r="T118" s="208">
        <f t="shared" si="269"/>
        <v>0</v>
      </c>
      <c r="U118" s="206">
        <f t="shared" si="250"/>
        <v>0</v>
      </c>
      <c r="V118" s="206">
        <f t="shared" si="250"/>
        <v>0</v>
      </c>
      <c r="W118" s="207">
        <f t="shared" si="250"/>
        <v>0</v>
      </c>
      <c r="X118" s="208">
        <f t="shared" si="270"/>
        <v>0</v>
      </c>
      <c r="Y118" s="206">
        <f t="shared" si="251"/>
        <v>0</v>
      </c>
      <c r="Z118" s="206">
        <f t="shared" si="251"/>
        <v>0</v>
      </c>
      <c r="AA118" s="207">
        <f t="shared" si="251"/>
        <v>0</v>
      </c>
      <c r="AB118" s="208">
        <f t="shared" si="271"/>
        <v>0</v>
      </c>
      <c r="AC118" s="206">
        <f t="shared" si="252"/>
        <v>0</v>
      </c>
      <c r="AD118" s="206">
        <f t="shared" si="252"/>
        <v>0</v>
      </c>
      <c r="AE118" s="207">
        <f t="shared" si="252"/>
        <v>0</v>
      </c>
      <c r="AF118" s="208">
        <f t="shared" si="272"/>
        <v>0</v>
      </c>
      <c r="AG118" s="206">
        <f t="shared" si="252"/>
        <v>0</v>
      </c>
      <c r="AH118" s="206">
        <f t="shared" si="252"/>
        <v>0</v>
      </c>
      <c r="AI118" s="207">
        <f t="shared" si="252"/>
        <v>0</v>
      </c>
      <c r="AJ118" s="208">
        <f t="shared" si="273"/>
        <v>0</v>
      </c>
      <c r="AK118" s="206">
        <f t="shared" si="253"/>
        <v>0</v>
      </c>
      <c r="AL118" s="206">
        <f t="shared" si="253"/>
        <v>0</v>
      </c>
      <c r="AM118" s="207">
        <f t="shared" si="253"/>
        <v>-69</v>
      </c>
      <c r="AN118" s="208">
        <f t="shared" si="274"/>
        <v>-221</v>
      </c>
      <c r="AO118" s="206">
        <f t="shared" si="253"/>
        <v>-392</v>
      </c>
      <c r="AP118" s="206">
        <f t="shared" si="253"/>
        <v>-456</v>
      </c>
      <c r="AQ118" s="207">
        <f t="shared" si="253"/>
        <v>-533</v>
      </c>
      <c r="AR118" s="208">
        <f t="shared" si="275"/>
        <v>0</v>
      </c>
      <c r="AS118" s="206">
        <f t="shared" si="254"/>
        <v>0</v>
      </c>
      <c r="AT118" s="206">
        <f t="shared" si="254"/>
        <v>0</v>
      </c>
      <c r="AU118" s="207">
        <f t="shared" si="255"/>
        <v>0</v>
      </c>
      <c r="AV118" s="208">
        <f t="shared" si="276"/>
        <v>0</v>
      </c>
      <c r="AW118" s="206">
        <f t="shared" si="256"/>
        <v>0</v>
      </c>
      <c r="AX118" s="206">
        <f t="shared" si="257"/>
        <v>0</v>
      </c>
      <c r="AY118" s="207">
        <f t="shared" si="258"/>
        <v>0</v>
      </c>
      <c r="AZ118" s="177"/>
      <c r="BA118" s="206">
        <f t="shared" si="279"/>
        <v>0</v>
      </c>
      <c r="BB118" s="206">
        <f t="shared" si="280"/>
        <v>0</v>
      </c>
      <c r="BC118" s="206">
        <f t="shared" si="281"/>
        <v>0</v>
      </c>
      <c r="BD118" s="206">
        <f t="shared" si="282"/>
        <v>0</v>
      </c>
      <c r="BE118" s="206">
        <f t="shared" si="283"/>
        <v>0</v>
      </c>
      <c r="BF118" s="206">
        <f t="shared" si="284"/>
        <v>0</v>
      </c>
      <c r="BG118" s="206">
        <f t="shared" si="285"/>
        <v>0</v>
      </c>
      <c r="BH118" s="206">
        <f t="shared" si="259"/>
        <v>0</v>
      </c>
      <c r="BI118" s="206">
        <f t="shared" si="260"/>
        <v>-69</v>
      </c>
      <c r="BJ118" s="206">
        <f t="shared" si="261"/>
        <v>-533</v>
      </c>
      <c r="BK118" s="206">
        <f t="shared" si="277"/>
        <v>0</v>
      </c>
      <c r="BL118" s="206">
        <f t="shared" si="262"/>
        <v>0</v>
      </c>
      <c r="BM118" s="206">
        <f t="shared" si="263"/>
        <v>0</v>
      </c>
      <c r="BN118" s="206">
        <f t="shared" ref="BN118" si="287">BN16</f>
        <v>0</v>
      </c>
      <c r="BO118" s="22"/>
    </row>
    <row r="119" spans="1:67" ht="14.25" customHeight="1" outlineLevel="1">
      <c r="A119" s="11"/>
      <c r="B119" s="48" t="s">
        <v>327</v>
      </c>
      <c r="C119" s="49"/>
      <c r="D119" s="208">
        <f t="shared" si="265"/>
        <v>0</v>
      </c>
      <c r="E119" s="206">
        <f t="shared" si="246"/>
        <v>1</v>
      </c>
      <c r="F119" s="206">
        <f t="shared" si="246"/>
        <v>7</v>
      </c>
      <c r="G119" s="207">
        <f t="shared" si="246"/>
        <v>40</v>
      </c>
      <c r="H119" s="208">
        <f t="shared" si="266"/>
        <v>4</v>
      </c>
      <c r="I119" s="206">
        <f t="shared" si="247"/>
        <v>11</v>
      </c>
      <c r="J119" s="206">
        <f t="shared" si="247"/>
        <v>20</v>
      </c>
      <c r="K119" s="207">
        <f t="shared" si="247"/>
        <v>268</v>
      </c>
      <c r="L119" s="208">
        <f t="shared" si="267"/>
        <v>0</v>
      </c>
      <c r="M119" s="206">
        <f t="shared" si="248"/>
        <v>0</v>
      </c>
      <c r="N119" s="206">
        <f t="shared" si="248"/>
        <v>0</v>
      </c>
      <c r="O119" s="207">
        <f t="shared" si="248"/>
        <v>0</v>
      </c>
      <c r="P119" s="208">
        <f t="shared" si="268"/>
        <v>26</v>
      </c>
      <c r="Q119" s="206">
        <f t="shared" si="249"/>
        <v>54</v>
      </c>
      <c r="R119" s="206">
        <f t="shared" si="249"/>
        <v>60</v>
      </c>
      <c r="S119" s="207">
        <f t="shared" si="249"/>
        <v>86</v>
      </c>
      <c r="T119" s="208">
        <f t="shared" si="269"/>
        <v>22</v>
      </c>
      <c r="U119" s="206">
        <f t="shared" si="250"/>
        <v>37</v>
      </c>
      <c r="V119" s="206">
        <f t="shared" si="250"/>
        <v>62</v>
      </c>
      <c r="W119" s="207">
        <f t="shared" si="250"/>
        <v>77</v>
      </c>
      <c r="X119" s="208">
        <f t="shared" si="270"/>
        <v>-1</v>
      </c>
      <c r="Y119" s="206">
        <f t="shared" si="251"/>
        <v>44</v>
      </c>
      <c r="Z119" s="206">
        <f t="shared" si="251"/>
        <v>42</v>
      </c>
      <c r="AA119" s="207">
        <f t="shared" si="251"/>
        <v>27</v>
      </c>
      <c r="AB119" s="208">
        <f t="shared" si="271"/>
        <v>-47</v>
      </c>
      <c r="AC119" s="206">
        <f t="shared" si="252"/>
        <v>-50</v>
      </c>
      <c r="AD119" s="206">
        <f t="shared" si="252"/>
        <v>-52</v>
      </c>
      <c r="AE119" s="207">
        <f t="shared" si="252"/>
        <v>-58</v>
      </c>
      <c r="AF119" s="208">
        <f t="shared" si="272"/>
        <v>-1</v>
      </c>
      <c r="AG119" s="206">
        <f t="shared" si="252"/>
        <v>-2</v>
      </c>
      <c r="AH119" s="206">
        <f t="shared" si="252"/>
        <v>-5</v>
      </c>
      <c r="AI119" s="207">
        <f t="shared" si="252"/>
        <v>-8</v>
      </c>
      <c r="AJ119" s="208">
        <f t="shared" si="273"/>
        <v>-3</v>
      </c>
      <c r="AK119" s="206">
        <f t="shared" si="253"/>
        <v>-4</v>
      </c>
      <c r="AL119" s="206">
        <f t="shared" si="253"/>
        <v>-7</v>
      </c>
      <c r="AM119" s="207">
        <f t="shared" si="253"/>
        <v>-9</v>
      </c>
      <c r="AN119" s="208">
        <f t="shared" si="274"/>
        <v>-1</v>
      </c>
      <c r="AO119" s="206">
        <f t="shared" si="253"/>
        <v>-2</v>
      </c>
      <c r="AP119" s="206">
        <f t="shared" si="253"/>
        <v>-7</v>
      </c>
      <c r="AQ119" s="207">
        <f t="shared" si="253"/>
        <v>-11</v>
      </c>
      <c r="AR119" s="208">
        <f t="shared" si="275"/>
        <v>0</v>
      </c>
      <c r="AS119" s="206">
        <f t="shared" si="254"/>
        <v>-3</v>
      </c>
      <c r="AT119" s="206">
        <f t="shared" si="254"/>
        <v>-9</v>
      </c>
      <c r="AU119" s="207">
        <f t="shared" si="255"/>
        <v>-17</v>
      </c>
      <c r="AV119" s="208">
        <f t="shared" si="276"/>
        <v>0</v>
      </c>
      <c r="AW119" s="206">
        <f t="shared" si="256"/>
        <v>0</v>
      </c>
      <c r="AX119" s="206">
        <f t="shared" si="257"/>
        <v>0</v>
      </c>
      <c r="AY119" s="207">
        <f t="shared" si="258"/>
        <v>0</v>
      </c>
      <c r="AZ119" s="177"/>
      <c r="BA119" s="206">
        <f t="shared" si="279"/>
        <v>40</v>
      </c>
      <c r="BB119" s="206">
        <f t="shared" si="280"/>
        <v>268</v>
      </c>
      <c r="BC119" s="206">
        <f t="shared" si="281"/>
        <v>0</v>
      </c>
      <c r="BD119" s="206">
        <f t="shared" si="282"/>
        <v>86</v>
      </c>
      <c r="BE119" s="206">
        <f t="shared" si="283"/>
        <v>77</v>
      </c>
      <c r="BF119" s="206">
        <f t="shared" si="284"/>
        <v>27</v>
      </c>
      <c r="BG119" s="206">
        <f t="shared" si="285"/>
        <v>-58</v>
      </c>
      <c r="BH119" s="206">
        <f t="shared" si="259"/>
        <v>-8</v>
      </c>
      <c r="BI119" s="206">
        <f t="shared" si="260"/>
        <v>-9</v>
      </c>
      <c r="BJ119" s="206">
        <f t="shared" si="261"/>
        <v>-11</v>
      </c>
      <c r="BK119" s="206">
        <f t="shared" si="277"/>
        <v>-17</v>
      </c>
      <c r="BL119" s="206">
        <f t="shared" si="262"/>
        <v>0</v>
      </c>
      <c r="BM119" s="206">
        <f t="shared" si="263"/>
        <v>0</v>
      </c>
      <c r="BN119" s="206">
        <f t="shared" ref="BN119" si="288">BN17</f>
        <v>0</v>
      </c>
      <c r="BO119" s="23"/>
    </row>
    <row r="120" spans="1:67" ht="14.25" customHeight="1" outlineLevel="1">
      <c r="A120" s="11"/>
      <c r="B120" s="48" t="s">
        <v>328</v>
      </c>
      <c r="C120" s="49"/>
      <c r="D120" s="208">
        <f t="shared" si="265"/>
        <v>0</v>
      </c>
      <c r="E120" s="206">
        <f t="shared" si="246"/>
        <v>0</v>
      </c>
      <c r="F120" s="206">
        <f t="shared" si="246"/>
        <v>0</v>
      </c>
      <c r="G120" s="207">
        <f t="shared" si="246"/>
        <v>0</v>
      </c>
      <c r="H120" s="208">
        <f t="shared" si="266"/>
        <v>0</v>
      </c>
      <c r="I120" s="206">
        <f t="shared" si="247"/>
        <v>0</v>
      </c>
      <c r="J120" s="206">
        <f t="shared" si="247"/>
        <v>0</v>
      </c>
      <c r="K120" s="207">
        <f t="shared" si="247"/>
        <v>0</v>
      </c>
      <c r="L120" s="208">
        <f t="shared" si="267"/>
        <v>-4</v>
      </c>
      <c r="M120" s="206">
        <f t="shared" si="248"/>
        <v>-13</v>
      </c>
      <c r="N120" s="206">
        <f t="shared" si="248"/>
        <v>-25</v>
      </c>
      <c r="O120" s="207">
        <f t="shared" si="248"/>
        <v>-32</v>
      </c>
      <c r="P120" s="208">
        <f t="shared" si="268"/>
        <v>-12</v>
      </c>
      <c r="Q120" s="206">
        <f t="shared" si="249"/>
        <v>-25</v>
      </c>
      <c r="R120" s="206">
        <f t="shared" si="249"/>
        <v>-48</v>
      </c>
      <c r="S120" s="207">
        <f t="shared" si="249"/>
        <v>-59</v>
      </c>
      <c r="T120" s="208">
        <f t="shared" si="269"/>
        <v>-13</v>
      </c>
      <c r="U120" s="206">
        <f t="shared" si="250"/>
        <v>-11</v>
      </c>
      <c r="V120" s="206">
        <f t="shared" si="250"/>
        <v>-432</v>
      </c>
      <c r="W120" s="207">
        <f t="shared" si="250"/>
        <v>-434</v>
      </c>
      <c r="X120" s="208">
        <f t="shared" si="270"/>
        <v>-1</v>
      </c>
      <c r="Y120" s="206">
        <f t="shared" si="251"/>
        <v>-1</v>
      </c>
      <c r="Z120" s="206">
        <f t="shared" si="251"/>
        <v>-1</v>
      </c>
      <c r="AA120" s="207">
        <f t="shared" si="251"/>
        <v>-1</v>
      </c>
      <c r="AB120" s="208">
        <f t="shared" si="271"/>
        <v>0</v>
      </c>
      <c r="AC120" s="206">
        <f t="shared" si="252"/>
        <v>0</v>
      </c>
      <c r="AD120" s="206">
        <f t="shared" si="252"/>
        <v>0</v>
      </c>
      <c r="AE120" s="207">
        <f t="shared" si="252"/>
        <v>0</v>
      </c>
      <c r="AF120" s="208">
        <f t="shared" si="272"/>
        <v>0</v>
      </c>
      <c r="AG120" s="206">
        <f t="shared" si="252"/>
        <v>0</v>
      </c>
      <c r="AH120" s="206">
        <f t="shared" si="252"/>
        <v>0</v>
      </c>
      <c r="AI120" s="207">
        <f t="shared" si="252"/>
        <v>0</v>
      </c>
      <c r="AJ120" s="208">
        <f t="shared" si="273"/>
        <v>0</v>
      </c>
      <c r="AK120" s="206">
        <f t="shared" si="253"/>
        <v>0</v>
      </c>
      <c r="AL120" s="206">
        <f t="shared" si="253"/>
        <v>0</v>
      </c>
      <c r="AM120" s="207">
        <f t="shared" si="253"/>
        <v>0</v>
      </c>
      <c r="AN120" s="208">
        <f t="shared" si="274"/>
        <v>0</v>
      </c>
      <c r="AO120" s="206">
        <f t="shared" si="253"/>
        <v>0</v>
      </c>
      <c r="AP120" s="206">
        <f t="shared" si="253"/>
        <v>0</v>
      </c>
      <c r="AQ120" s="207">
        <f t="shared" si="253"/>
        <v>0</v>
      </c>
      <c r="AR120" s="208">
        <f t="shared" si="275"/>
        <v>0</v>
      </c>
      <c r="AS120" s="206">
        <f t="shared" si="254"/>
        <v>0</v>
      </c>
      <c r="AT120" s="206">
        <f t="shared" si="254"/>
        <v>0</v>
      </c>
      <c r="AU120" s="207">
        <f t="shared" si="255"/>
        <v>0</v>
      </c>
      <c r="AV120" s="208">
        <f t="shared" si="276"/>
        <v>0</v>
      </c>
      <c r="AW120" s="206">
        <f t="shared" si="256"/>
        <v>0</v>
      </c>
      <c r="AX120" s="206">
        <f t="shared" si="257"/>
        <v>0</v>
      </c>
      <c r="AY120" s="207">
        <f t="shared" si="258"/>
        <v>0</v>
      </c>
      <c r="AZ120" s="177"/>
      <c r="BA120" s="206">
        <f>G120</f>
        <v>0</v>
      </c>
      <c r="BB120" s="206">
        <f>K120</f>
        <v>0</v>
      </c>
      <c r="BC120" s="206">
        <f>O120</f>
        <v>-32</v>
      </c>
      <c r="BD120" s="206">
        <f>S120</f>
        <v>-59</v>
      </c>
      <c r="BE120" s="206">
        <f>W120</f>
        <v>-434</v>
      </c>
      <c r="BF120" s="206">
        <f>AA120</f>
        <v>-1</v>
      </c>
      <c r="BG120" s="206">
        <f>AE120</f>
        <v>0</v>
      </c>
      <c r="BH120" s="206">
        <f t="shared" si="259"/>
        <v>0</v>
      </c>
      <c r="BI120" s="206">
        <f t="shared" si="260"/>
        <v>0</v>
      </c>
      <c r="BJ120" s="206">
        <f t="shared" si="261"/>
        <v>0</v>
      </c>
      <c r="BK120" s="206">
        <f t="shared" si="277"/>
        <v>0</v>
      </c>
      <c r="BL120" s="206">
        <f t="shared" si="262"/>
        <v>0</v>
      </c>
      <c r="BM120" s="206">
        <f t="shared" si="263"/>
        <v>0</v>
      </c>
      <c r="BN120" s="206">
        <f t="shared" ref="BN120" si="289">BN18</f>
        <v>0</v>
      </c>
      <c r="BO120" s="23"/>
    </row>
    <row r="121" spans="1:67" ht="14.25" customHeight="1" outlineLevel="1">
      <c r="A121" s="11"/>
      <c r="B121" s="48" t="s">
        <v>189</v>
      </c>
      <c r="C121" s="49"/>
      <c r="D121" s="208">
        <f t="shared" si="265"/>
        <v>31</v>
      </c>
      <c r="E121" s="206">
        <f t="shared" si="246"/>
        <v>12</v>
      </c>
      <c r="F121" s="206">
        <f t="shared" si="246"/>
        <v>12</v>
      </c>
      <c r="G121" s="207">
        <f t="shared" si="246"/>
        <v>12</v>
      </c>
      <c r="H121" s="208">
        <f t="shared" si="266"/>
        <v>12</v>
      </c>
      <c r="I121" s="206">
        <f t="shared" si="247"/>
        <v>-7</v>
      </c>
      <c r="J121" s="206">
        <f t="shared" si="247"/>
        <v>708</v>
      </c>
      <c r="K121" s="207">
        <f t="shared" si="247"/>
        <v>721</v>
      </c>
      <c r="L121" s="208">
        <f t="shared" si="267"/>
        <v>-29</v>
      </c>
      <c r="M121" s="206">
        <f t="shared" si="248"/>
        <v>-546</v>
      </c>
      <c r="N121" s="206">
        <f t="shared" si="248"/>
        <v>-1074</v>
      </c>
      <c r="O121" s="207">
        <f t="shared" si="248"/>
        <v>-1005</v>
      </c>
      <c r="P121" s="208">
        <f t="shared" si="268"/>
        <v>-2</v>
      </c>
      <c r="Q121" s="206">
        <f t="shared" si="249"/>
        <v>-2</v>
      </c>
      <c r="R121" s="206">
        <f t="shared" si="249"/>
        <v>-58</v>
      </c>
      <c r="S121" s="207">
        <f t="shared" si="249"/>
        <v>-59</v>
      </c>
      <c r="T121" s="208">
        <f t="shared" si="269"/>
        <v>0</v>
      </c>
      <c r="U121" s="206">
        <f t="shared" si="250"/>
        <v>-53</v>
      </c>
      <c r="V121" s="206">
        <f t="shared" si="250"/>
        <v>-42</v>
      </c>
      <c r="W121" s="207">
        <f t="shared" si="250"/>
        <v>-35</v>
      </c>
      <c r="X121" s="208">
        <f t="shared" si="270"/>
        <v>36</v>
      </c>
      <c r="Y121" s="206">
        <f t="shared" si="251"/>
        <v>36</v>
      </c>
      <c r="Z121" s="206">
        <f t="shared" si="251"/>
        <v>28</v>
      </c>
      <c r="AA121" s="207">
        <f t="shared" si="251"/>
        <v>141</v>
      </c>
      <c r="AB121" s="208">
        <f t="shared" si="271"/>
        <v>36</v>
      </c>
      <c r="AC121" s="206">
        <f t="shared" si="252"/>
        <v>58</v>
      </c>
      <c r="AD121" s="206">
        <f t="shared" si="252"/>
        <v>58</v>
      </c>
      <c r="AE121" s="207">
        <f t="shared" si="252"/>
        <v>112</v>
      </c>
      <c r="AF121" s="208">
        <f t="shared" si="272"/>
        <v>3</v>
      </c>
      <c r="AG121" s="206">
        <f t="shared" si="252"/>
        <v>3</v>
      </c>
      <c r="AH121" s="206">
        <f t="shared" si="252"/>
        <v>3</v>
      </c>
      <c r="AI121" s="207">
        <f t="shared" si="252"/>
        <v>3</v>
      </c>
      <c r="AJ121" s="208">
        <f t="shared" si="273"/>
        <v>125</v>
      </c>
      <c r="AK121" s="206">
        <f t="shared" si="253"/>
        <v>116</v>
      </c>
      <c r="AL121" s="206">
        <f t="shared" si="253"/>
        <v>58</v>
      </c>
      <c r="AM121" s="207">
        <f t="shared" si="253"/>
        <v>81</v>
      </c>
      <c r="AN121" s="208">
        <f t="shared" si="274"/>
        <v>10</v>
      </c>
      <c r="AO121" s="206">
        <f t="shared" si="253"/>
        <v>32</v>
      </c>
      <c r="AP121" s="206">
        <f t="shared" si="253"/>
        <v>49</v>
      </c>
      <c r="AQ121" s="207">
        <f t="shared" si="253"/>
        <v>63</v>
      </c>
      <c r="AR121" s="208">
        <f t="shared" si="275"/>
        <v>74</v>
      </c>
      <c r="AS121" s="206">
        <f t="shared" si="254"/>
        <v>-33</v>
      </c>
      <c r="AT121" s="206">
        <f t="shared" si="254"/>
        <v>-129</v>
      </c>
      <c r="AU121" s="207">
        <f t="shared" si="255"/>
        <v>-713</v>
      </c>
      <c r="AV121" s="208">
        <f t="shared" si="276"/>
        <v>0</v>
      </c>
      <c r="AW121" s="206">
        <f t="shared" si="256"/>
        <v>0</v>
      </c>
      <c r="AX121" s="206">
        <f t="shared" si="257"/>
        <v>0</v>
      </c>
      <c r="AY121" s="207">
        <f t="shared" si="258"/>
        <v>0</v>
      </c>
      <c r="AZ121" s="177"/>
      <c r="BA121" s="206">
        <f t="shared" si="279"/>
        <v>12</v>
      </c>
      <c r="BB121" s="206">
        <f t="shared" si="280"/>
        <v>721</v>
      </c>
      <c r="BC121" s="206">
        <f t="shared" si="281"/>
        <v>-1005</v>
      </c>
      <c r="BD121" s="206">
        <f t="shared" si="282"/>
        <v>-59</v>
      </c>
      <c r="BE121" s="206">
        <f t="shared" si="283"/>
        <v>-35</v>
      </c>
      <c r="BF121" s="206">
        <f t="shared" si="284"/>
        <v>141</v>
      </c>
      <c r="BG121" s="206">
        <f t="shared" si="285"/>
        <v>112</v>
      </c>
      <c r="BH121" s="206">
        <f t="shared" si="259"/>
        <v>3</v>
      </c>
      <c r="BI121" s="206">
        <f t="shared" si="260"/>
        <v>81</v>
      </c>
      <c r="BJ121" s="206">
        <f t="shared" si="261"/>
        <v>63</v>
      </c>
      <c r="BK121" s="206">
        <f t="shared" si="277"/>
        <v>-713</v>
      </c>
      <c r="BL121" s="206">
        <f t="shared" si="262"/>
        <v>0</v>
      </c>
      <c r="BM121" s="206">
        <f t="shared" si="263"/>
        <v>0</v>
      </c>
      <c r="BN121" s="206">
        <f t="shared" ref="BN121" si="290">BN19</f>
        <v>0</v>
      </c>
      <c r="BO121" s="23"/>
    </row>
    <row r="122" spans="1:67" ht="14.25" customHeight="1" outlineLevel="1">
      <c r="A122" s="8"/>
      <c r="B122" s="25" t="s">
        <v>190</v>
      </c>
      <c r="C122" s="26"/>
      <c r="D122" s="211"/>
      <c r="E122" s="209"/>
      <c r="F122" s="206"/>
      <c r="G122" s="207"/>
      <c r="H122" s="211"/>
      <c r="I122" s="209"/>
      <c r="J122" s="206"/>
      <c r="K122" s="207"/>
      <c r="L122" s="211"/>
      <c r="M122" s="209"/>
      <c r="N122" s="206"/>
      <c r="O122" s="207"/>
      <c r="P122" s="211"/>
      <c r="Q122" s="209"/>
      <c r="R122" s="206"/>
      <c r="S122" s="207"/>
      <c r="T122" s="211"/>
      <c r="U122" s="209"/>
      <c r="V122" s="206"/>
      <c r="W122" s="207"/>
      <c r="X122" s="211"/>
      <c r="Y122" s="209"/>
      <c r="Z122" s="206"/>
      <c r="AA122" s="207"/>
      <c r="AB122" s="208"/>
      <c r="AC122" s="206"/>
      <c r="AD122" s="206"/>
      <c r="AE122" s="207"/>
      <c r="AF122" s="208"/>
      <c r="AG122" s="206"/>
      <c r="AH122" s="206"/>
      <c r="AI122" s="207"/>
      <c r="AJ122" s="208"/>
      <c r="AK122" s="206"/>
      <c r="AL122" s="206"/>
      <c r="AM122" s="207"/>
      <c r="AN122" s="208"/>
      <c r="AO122" s="206"/>
      <c r="AP122" s="206"/>
      <c r="AQ122" s="207"/>
      <c r="AR122" s="208"/>
      <c r="AS122" s="206"/>
      <c r="AT122" s="206"/>
      <c r="AU122" s="207"/>
      <c r="AV122" s="208"/>
      <c r="AW122" s="206"/>
      <c r="AX122" s="206"/>
      <c r="AY122" s="207"/>
      <c r="AZ122" s="177"/>
      <c r="BA122" s="206"/>
      <c r="BB122" s="206"/>
      <c r="BC122" s="206"/>
      <c r="BD122" s="206"/>
      <c r="BE122" s="206"/>
      <c r="BF122" s="206"/>
      <c r="BG122" s="206"/>
      <c r="BH122" s="206"/>
      <c r="BI122" s="206"/>
      <c r="BJ122" s="206"/>
      <c r="BK122" s="206"/>
      <c r="BL122" s="206"/>
      <c r="BM122" s="206"/>
      <c r="BN122" s="206"/>
      <c r="BO122" s="22"/>
    </row>
    <row r="123" spans="1:67" ht="14.25" customHeight="1" outlineLevel="1">
      <c r="A123" s="8"/>
      <c r="B123" s="48" t="s">
        <v>191</v>
      </c>
      <c r="C123" s="49"/>
      <c r="D123" s="208">
        <f t="shared" ref="D123:D131" si="291">D21</f>
        <v>-33</v>
      </c>
      <c r="E123" s="206">
        <f t="shared" ref="E123:G131" si="292">D123+E21</f>
        <v>-104</v>
      </c>
      <c r="F123" s="206">
        <f t="shared" si="292"/>
        <v>-153</v>
      </c>
      <c r="G123" s="207">
        <f t="shared" si="292"/>
        <v>-38</v>
      </c>
      <c r="H123" s="208">
        <f t="shared" ref="H123:H131" si="293">H21</f>
        <v>-74</v>
      </c>
      <c r="I123" s="206">
        <f t="shared" ref="I123:K131" si="294">H123+I21</f>
        <v>-115</v>
      </c>
      <c r="J123" s="206">
        <f t="shared" si="294"/>
        <v>-73</v>
      </c>
      <c r="K123" s="207">
        <f t="shared" si="294"/>
        <v>159</v>
      </c>
      <c r="L123" s="208">
        <f t="shared" ref="L123:L131" si="295">L21</f>
        <v>37</v>
      </c>
      <c r="M123" s="206">
        <f t="shared" ref="M123:O131" si="296">L123+M21</f>
        <v>6</v>
      </c>
      <c r="N123" s="206">
        <f t="shared" si="296"/>
        <v>-2</v>
      </c>
      <c r="O123" s="207">
        <f t="shared" si="296"/>
        <v>32</v>
      </c>
      <c r="P123" s="208">
        <f t="shared" ref="P123:P131" si="297">P21</f>
        <v>-111</v>
      </c>
      <c r="Q123" s="206">
        <f t="shared" ref="Q123:S131" si="298">P123+Q21</f>
        <v>-128</v>
      </c>
      <c r="R123" s="206">
        <f t="shared" si="298"/>
        <v>-79</v>
      </c>
      <c r="S123" s="207">
        <f t="shared" si="298"/>
        <v>-46</v>
      </c>
      <c r="T123" s="208">
        <f t="shared" ref="T123:T131" si="299">T21</f>
        <v>-16</v>
      </c>
      <c r="U123" s="206">
        <f t="shared" ref="U123:W131" si="300">T123+U21</f>
        <v>0</v>
      </c>
      <c r="V123" s="206">
        <f t="shared" si="300"/>
        <v>-15</v>
      </c>
      <c r="W123" s="207">
        <f t="shared" si="300"/>
        <v>-60</v>
      </c>
      <c r="X123" s="208">
        <f t="shared" ref="X123:X131" si="301">X21</f>
        <v>41</v>
      </c>
      <c r="Y123" s="206">
        <f t="shared" ref="Y123:AA131" si="302">X123+Y21</f>
        <v>-16</v>
      </c>
      <c r="Z123" s="206">
        <f t="shared" si="302"/>
        <v>-24</v>
      </c>
      <c r="AA123" s="207">
        <f t="shared" si="302"/>
        <v>-6</v>
      </c>
      <c r="AB123" s="208">
        <f t="shared" ref="AB123:AB131" si="303">AB21</f>
        <v>-15</v>
      </c>
      <c r="AC123" s="206">
        <f t="shared" ref="AC123:AI131" si="304">AB123+AC21</f>
        <v>-41</v>
      </c>
      <c r="AD123" s="206">
        <f t="shared" si="304"/>
        <v>-61</v>
      </c>
      <c r="AE123" s="207">
        <f t="shared" si="304"/>
        <v>-24</v>
      </c>
      <c r="AF123" s="208">
        <f t="shared" ref="AF123:AF131" si="305">AF21</f>
        <v>-55</v>
      </c>
      <c r="AG123" s="206">
        <f t="shared" si="304"/>
        <v>-134</v>
      </c>
      <c r="AH123" s="206">
        <f t="shared" si="304"/>
        <v>-232</v>
      </c>
      <c r="AI123" s="207">
        <f t="shared" si="304"/>
        <v>-120</v>
      </c>
      <c r="AJ123" s="208">
        <f t="shared" ref="AJ123:AJ131" si="306">AJ21</f>
        <v>-39</v>
      </c>
      <c r="AK123" s="206">
        <f t="shared" ref="AK123:AQ131" si="307">AJ123+AK21</f>
        <v>-25</v>
      </c>
      <c r="AL123" s="206">
        <f t="shared" si="307"/>
        <v>-103</v>
      </c>
      <c r="AM123" s="207">
        <f t="shared" si="307"/>
        <v>-32</v>
      </c>
      <c r="AN123" s="208">
        <f t="shared" ref="AN123:AN131" si="308">AN21</f>
        <v>0</v>
      </c>
      <c r="AO123" s="206">
        <f t="shared" si="307"/>
        <v>-61</v>
      </c>
      <c r="AP123" s="206">
        <f t="shared" si="307"/>
        <v>-118</v>
      </c>
      <c r="AQ123" s="207">
        <f t="shared" si="307"/>
        <v>-51</v>
      </c>
      <c r="AR123" s="208">
        <f t="shared" ref="AR123:AR131" si="309">AR21</f>
        <v>4</v>
      </c>
      <c r="AS123" s="206">
        <f t="shared" ref="AS123:AT131" si="310">AR123+AS21</f>
        <v>53</v>
      </c>
      <c r="AT123" s="206">
        <f t="shared" si="310"/>
        <v>56</v>
      </c>
      <c r="AU123" s="207">
        <f t="shared" ref="AU123:AU131" si="311">AT123+AU21</f>
        <v>31</v>
      </c>
      <c r="AV123" s="208">
        <f t="shared" ref="AV123:AV131" si="312">AV21</f>
        <v>26.213999999999942</v>
      </c>
      <c r="AW123" s="206">
        <f t="shared" ref="AW123:AW131" si="313">AV123+AW21</f>
        <v>-3.0266399999999294</v>
      </c>
      <c r="AX123" s="206">
        <f t="shared" ref="AX123:AX131" si="314">AW123+AX21</f>
        <v>-39.049536799999942</v>
      </c>
      <c r="AY123" s="207">
        <f t="shared" ref="AY123:AY131" si="315">AX123+AY21</f>
        <v>-25.046759586666553</v>
      </c>
      <c r="AZ123" s="177"/>
      <c r="BA123" s="206">
        <f t="shared" si="279"/>
        <v>-38</v>
      </c>
      <c r="BB123" s="206">
        <f t="shared" si="280"/>
        <v>159</v>
      </c>
      <c r="BC123" s="206">
        <f t="shared" si="281"/>
        <v>32</v>
      </c>
      <c r="BD123" s="206">
        <f t="shared" si="282"/>
        <v>-46</v>
      </c>
      <c r="BE123" s="206">
        <f t="shared" si="283"/>
        <v>-60</v>
      </c>
      <c r="BF123" s="206">
        <f t="shared" si="284"/>
        <v>-6</v>
      </c>
      <c r="BG123" s="206">
        <f t="shared" si="285"/>
        <v>-24</v>
      </c>
      <c r="BH123" s="206">
        <f t="shared" ref="BH123:BH131" si="316">AI123</f>
        <v>-120</v>
      </c>
      <c r="BI123" s="206">
        <f t="shared" ref="BI123:BI131" si="317">AM123</f>
        <v>-32</v>
      </c>
      <c r="BJ123" s="206">
        <f t="shared" ref="BJ123:BJ131" si="318">AQ123</f>
        <v>-51</v>
      </c>
      <c r="BK123" s="206">
        <f t="shared" ref="BK123:BK131" si="319">AU123</f>
        <v>31</v>
      </c>
      <c r="BL123" s="206">
        <f t="shared" ref="BL123:BL131" si="320">AY123</f>
        <v>-25.046759586666553</v>
      </c>
      <c r="BM123" s="206">
        <f t="shared" ref="BM123:BM131" si="321">BM21</f>
        <v>-114.52261765133358</v>
      </c>
      <c r="BN123" s="206">
        <f t="shared" ref="BN123" si="322">BN21</f>
        <v>-50.928468861899887</v>
      </c>
      <c r="BO123" s="22"/>
    </row>
    <row r="124" spans="1:67" ht="14.25" customHeight="1" outlineLevel="1">
      <c r="A124" s="8"/>
      <c r="B124" s="48" t="s">
        <v>192</v>
      </c>
      <c r="C124" s="49"/>
      <c r="D124" s="208">
        <f t="shared" si="291"/>
        <v>20</v>
      </c>
      <c r="E124" s="206">
        <f t="shared" si="292"/>
        <v>47</v>
      </c>
      <c r="F124" s="206">
        <f t="shared" si="292"/>
        <v>9</v>
      </c>
      <c r="G124" s="207">
        <f t="shared" si="292"/>
        <v>-70</v>
      </c>
      <c r="H124" s="208">
        <f t="shared" si="293"/>
        <v>-64</v>
      </c>
      <c r="I124" s="206">
        <f t="shared" si="294"/>
        <v>-36</v>
      </c>
      <c r="J124" s="206">
        <f t="shared" si="294"/>
        <v>32</v>
      </c>
      <c r="K124" s="207">
        <f t="shared" si="294"/>
        <v>122</v>
      </c>
      <c r="L124" s="208">
        <f t="shared" si="295"/>
        <v>23</v>
      </c>
      <c r="M124" s="206">
        <f t="shared" si="296"/>
        <v>7</v>
      </c>
      <c r="N124" s="206">
        <f t="shared" si="296"/>
        <v>19</v>
      </c>
      <c r="O124" s="207">
        <f t="shared" si="296"/>
        <v>31</v>
      </c>
      <c r="P124" s="208">
        <f t="shared" si="297"/>
        <v>70</v>
      </c>
      <c r="Q124" s="206">
        <f t="shared" si="298"/>
        <v>72</v>
      </c>
      <c r="R124" s="206">
        <f t="shared" si="298"/>
        <v>46</v>
      </c>
      <c r="S124" s="207">
        <f t="shared" si="298"/>
        <v>8</v>
      </c>
      <c r="T124" s="208">
        <f t="shared" si="299"/>
        <v>-10</v>
      </c>
      <c r="U124" s="206">
        <f t="shared" si="300"/>
        <v>-40</v>
      </c>
      <c r="V124" s="206">
        <f t="shared" si="300"/>
        <v>-90</v>
      </c>
      <c r="W124" s="207">
        <f t="shared" si="300"/>
        <v>-104</v>
      </c>
      <c r="X124" s="208">
        <f t="shared" si="301"/>
        <v>12</v>
      </c>
      <c r="Y124" s="206">
        <f t="shared" si="302"/>
        <v>0</v>
      </c>
      <c r="Z124" s="206">
        <f t="shared" si="302"/>
        <v>-20</v>
      </c>
      <c r="AA124" s="207">
        <f t="shared" si="302"/>
        <v>-61</v>
      </c>
      <c r="AB124" s="208">
        <f t="shared" si="303"/>
        <v>-20</v>
      </c>
      <c r="AC124" s="206">
        <f t="shared" si="304"/>
        <v>-30</v>
      </c>
      <c r="AD124" s="206">
        <f t="shared" si="304"/>
        <v>-35</v>
      </c>
      <c r="AE124" s="207">
        <f t="shared" si="304"/>
        <v>-22</v>
      </c>
      <c r="AF124" s="208">
        <f t="shared" si="305"/>
        <v>1</v>
      </c>
      <c r="AG124" s="206">
        <f t="shared" si="304"/>
        <v>-9</v>
      </c>
      <c r="AH124" s="206">
        <f t="shared" si="304"/>
        <v>-15</v>
      </c>
      <c r="AI124" s="207">
        <f t="shared" si="304"/>
        <v>-42</v>
      </c>
      <c r="AJ124" s="208">
        <f t="shared" si="306"/>
        <v>-53</v>
      </c>
      <c r="AK124" s="206">
        <f t="shared" si="307"/>
        <v>-67</v>
      </c>
      <c r="AL124" s="206">
        <f t="shared" si="307"/>
        <v>-72</v>
      </c>
      <c r="AM124" s="207">
        <f t="shared" si="307"/>
        <v>82</v>
      </c>
      <c r="AN124" s="208">
        <f t="shared" si="308"/>
        <v>441</v>
      </c>
      <c r="AO124" s="206">
        <f t="shared" si="307"/>
        <v>487</v>
      </c>
      <c r="AP124" s="206">
        <f t="shared" si="307"/>
        <v>544</v>
      </c>
      <c r="AQ124" s="207">
        <f t="shared" si="307"/>
        <v>568</v>
      </c>
      <c r="AR124" s="208">
        <f t="shared" si="309"/>
        <v>-28</v>
      </c>
      <c r="AS124" s="206">
        <f t="shared" si="310"/>
        <v>-65</v>
      </c>
      <c r="AT124" s="206">
        <f t="shared" si="310"/>
        <v>-89</v>
      </c>
      <c r="AU124" s="207">
        <f t="shared" si="311"/>
        <v>-120</v>
      </c>
      <c r="AV124" s="208">
        <f t="shared" si="312"/>
        <v>168.55991999999969</v>
      </c>
      <c r="AW124" s="206">
        <f t="shared" si="313"/>
        <v>138.40119519999985</v>
      </c>
      <c r="AX124" s="206">
        <f t="shared" si="314"/>
        <v>100.57072755199988</v>
      </c>
      <c r="AY124" s="207">
        <f t="shared" si="315"/>
        <v>119.43412714040005</v>
      </c>
      <c r="AZ124" s="177"/>
      <c r="BA124" s="206">
        <f t="shared" si="279"/>
        <v>-70</v>
      </c>
      <c r="BB124" s="206">
        <f t="shared" si="280"/>
        <v>122</v>
      </c>
      <c r="BC124" s="206">
        <f t="shared" si="281"/>
        <v>31</v>
      </c>
      <c r="BD124" s="206">
        <f t="shared" si="282"/>
        <v>8</v>
      </c>
      <c r="BE124" s="206">
        <f t="shared" si="283"/>
        <v>-104</v>
      </c>
      <c r="BF124" s="206">
        <f t="shared" si="284"/>
        <v>-61</v>
      </c>
      <c r="BG124" s="206">
        <f t="shared" si="285"/>
        <v>-22</v>
      </c>
      <c r="BH124" s="206">
        <f t="shared" si="316"/>
        <v>-42</v>
      </c>
      <c r="BI124" s="206">
        <f t="shared" si="317"/>
        <v>82</v>
      </c>
      <c r="BJ124" s="206">
        <f t="shared" si="318"/>
        <v>568</v>
      </c>
      <c r="BK124" s="206">
        <f t="shared" si="319"/>
        <v>-120</v>
      </c>
      <c r="BL124" s="206">
        <f t="shared" si="320"/>
        <v>119.43412714040005</v>
      </c>
      <c r="BM124" s="206">
        <f t="shared" si="321"/>
        <v>33.831141702791456</v>
      </c>
      <c r="BN124" s="206">
        <f t="shared" ref="BN124" si="323">BN22</f>
        <v>-51.611533310104278</v>
      </c>
      <c r="BO124" s="22"/>
    </row>
    <row r="125" spans="1:67" ht="14.25" customHeight="1" outlineLevel="1">
      <c r="A125" s="8"/>
      <c r="B125" s="48" t="s">
        <v>295</v>
      </c>
      <c r="C125" s="49"/>
      <c r="D125" s="208">
        <f t="shared" si="291"/>
        <v>1</v>
      </c>
      <c r="E125" s="206">
        <f t="shared" si="292"/>
        <v>263</v>
      </c>
      <c r="F125" s="206">
        <f t="shared" si="292"/>
        <v>499</v>
      </c>
      <c r="G125" s="207">
        <f t="shared" si="292"/>
        <v>495</v>
      </c>
      <c r="H125" s="208">
        <f t="shared" si="293"/>
        <v>-145</v>
      </c>
      <c r="I125" s="206">
        <f t="shared" si="294"/>
        <v>-363</v>
      </c>
      <c r="J125" s="206">
        <f t="shared" si="294"/>
        <v>-224</v>
      </c>
      <c r="K125" s="207">
        <f t="shared" si="294"/>
        <v>-356</v>
      </c>
      <c r="L125" s="208">
        <f t="shared" si="295"/>
        <v>-173</v>
      </c>
      <c r="M125" s="206">
        <f t="shared" si="296"/>
        <v>-136</v>
      </c>
      <c r="N125" s="206">
        <f t="shared" si="296"/>
        <v>-119</v>
      </c>
      <c r="O125" s="207">
        <f t="shared" si="296"/>
        <v>-41</v>
      </c>
      <c r="P125" s="208">
        <f t="shared" si="297"/>
        <v>-4</v>
      </c>
      <c r="Q125" s="206">
        <f t="shared" si="298"/>
        <v>61</v>
      </c>
      <c r="R125" s="206">
        <f t="shared" si="298"/>
        <v>41</v>
      </c>
      <c r="S125" s="207">
        <f t="shared" si="298"/>
        <v>60</v>
      </c>
      <c r="T125" s="208">
        <f t="shared" si="299"/>
        <v>-66</v>
      </c>
      <c r="U125" s="206">
        <f t="shared" si="300"/>
        <v>-49</v>
      </c>
      <c r="V125" s="206">
        <f t="shared" si="300"/>
        <v>-64</v>
      </c>
      <c r="W125" s="207">
        <f t="shared" si="300"/>
        <v>-134</v>
      </c>
      <c r="X125" s="208">
        <f t="shared" si="301"/>
        <v>1</v>
      </c>
      <c r="Y125" s="206">
        <f t="shared" si="302"/>
        <v>72</v>
      </c>
      <c r="Z125" s="206">
        <f t="shared" si="302"/>
        <v>91</v>
      </c>
      <c r="AA125" s="207">
        <f t="shared" si="302"/>
        <v>101</v>
      </c>
      <c r="AB125" s="208">
        <f t="shared" si="303"/>
        <v>-44</v>
      </c>
      <c r="AC125" s="206">
        <f t="shared" si="304"/>
        <v>-38</v>
      </c>
      <c r="AD125" s="206">
        <f t="shared" si="304"/>
        <v>-21</v>
      </c>
      <c r="AE125" s="207">
        <f t="shared" si="304"/>
        <v>-25</v>
      </c>
      <c r="AF125" s="208">
        <f t="shared" si="305"/>
        <v>14</v>
      </c>
      <c r="AG125" s="206">
        <f t="shared" si="304"/>
        <v>84</v>
      </c>
      <c r="AH125" s="206">
        <f t="shared" si="304"/>
        <v>138</v>
      </c>
      <c r="AI125" s="207">
        <f t="shared" si="304"/>
        <v>205</v>
      </c>
      <c r="AJ125" s="208">
        <f t="shared" si="306"/>
        <v>46</v>
      </c>
      <c r="AK125" s="206">
        <f t="shared" si="307"/>
        <v>26</v>
      </c>
      <c r="AL125" s="206">
        <f t="shared" si="307"/>
        <v>23</v>
      </c>
      <c r="AM125" s="207">
        <f t="shared" si="307"/>
        <v>13</v>
      </c>
      <c r="AN125" s="208">
        <f t="shared" si="308"/>
        <v>-47</v>
      </c>
      <c r="AO125" s="206">
        <f t="shared" si="307"/>
        <v>-167</v>
      </c>
      <c r="AP125" s="206">
        <f t="shared" si="307"/>
        <v>-117</v>
      </c>
      <c r="AQ125" s="207">
        <f t="shared" si="307"/>
        <v>-156</v>
      </c>
      <c r="AR125" s="208">
        <f t="shared" si="309"/>
        <v>244</v>
      </c>
      <c r="AS125" s="206">
        <f t="shared" si="310"/>
        <v>107</v>
      </c>
      <c r="AT125" s="206">
        <f t="shared" si="310"/>
        <v>143</v>
      </c>
      <c r="AU125" s="207">
        <f t="shared" si="311"/>
        <v>225</v>
      </c>
      <c r="AV125" s="208">
        <f t="shared" si="312"/>
        <v>-152.55991999999969</v>
      </c>
      <c r="AW125" s="206">
        <f t="shared" si="313"/>
        <v>-122.40119519999985</v>
      </c>
      <c r="AX125" s="206">
        <f t="shared" si="314"/>
        <v>-84.57072755199988</v>
      </c>
      <c r="AY125" s="207">
        <f t="shared" si="315"/>
        <v>-103.43412714040005</v>
      </c>
      <c r="AZ125" s="177"/>
      <c r="BA125" s="206">
        <f t="shared" si="279"/>
        <v>495</v>
      </c>
      <c r="BB125" s="206">
        <f t="shared" si="280"/>
        <v>-356</v>
      </c>
      <c r="BC125" s="206">
        <f t="shared" si="281"/>
        <v>-41</v>
      </c>
      <c r="BD125" s="206">
        <f t="shared" si="282"/>
        <v>60</v>
      </c>
      <c r="BE125" s="206">
        <f t="shared" si="283"/>
        <v>-134</v>
      </c>
      <c r="BF125" s="206">
        <f t="shared" si="284"/>
        <v>101</v>
      </c>
      <c r="BG125" s="206">
        <f t="shared" si="285"/>
        <v>-25</v>
      </c>
      <c r="BH125" s="206">
        <f t="shared" si="316"/>
        <v>205</v>
      </c>
      <c r="BI125" s="206">
        <f t="shared" si="317"/>
        <v>13</v>
      </c>
      <c r="BJ125" s="206">
        <f t="shared" si="318"/>
        <v>-156</v>
      </c>
      <c r="BK125" s="206">
        <f t="shared" si="319"/>
        <v>225</v>
      </c>
      <c r="BL125" s="206">
        <f t="shared" si="320"/>
        <v>-103.43412714040005</v>
      </c>
      <c r="BM125" s="206">
        <f t="shared" si="321"/>
        <v>68.073303582555127</v>
      </c>
      <c r="BN125" s="206">
        <f t="shared" ref="BN125" si="324">BN23</f>
        <v>56.469089386349879</v>
      </c>
      <c r="BO125" s="22"/>
    </row>
    <row r="126" spans="1:67" ht="14.25" customHeight="1" outlineLevel="1">
      <c r="A126" s="8"/>
      <c r="B126" s="48" t="s">
        <v>323</v>
      </c>
      <c r="C126" s="49"/>
      <c r="D126" s="208">
        <f t="shared" si="291"/>
        <v>0</v>
      </c>
      <c r="E126" s="206">
        <f t="shared" si="292"/>
        <v>0</v>
      </c>
      <c r="F126" s="206">
        <f t="shared" si="292"/>
        <v>0</v>
      </c>
      <c r="G126" s="207">
        <f t="shared" si="292"/>
        <v>0</v>
      </c>
      <c r="H126" s="208">
        <f t="shared" si="293"/>
        <v>-17</v>
      </c>
      <c r="I126" s="206">
        <f t="shared" si="294"/>
        <v>-124</v>
      </c>
      <c r="J126" s="206">
        <f t="shared" si="294"/>
        <v>161</v>
      </c>
      <c r="K126" s="207">
        <f t="shared" si="294"/>
        <v>-67</v>
      </c>
      <c r="L126" s="208">
        <f t="shared" si="295"/>
        <v>2</v>
      </c>
      <c r="M126" s="206">
        <f t="shared" si="296"/>
        <v>18</v>
      </c>
      <c r="N126" s="206">
        <f t="shared" si="296"/>
        <v>28</v>
      </c>
      <c r="O126" s="207">
        <f t="shared" si="296"/>
        <v>-29</v>
      </c>
      <c r="P126" s="208">
        <f t="shared" si="297"/>
        <v>-14</v>
      </c>
      <c r="Q126" s="206">
        <f t="shared" si="298"/>
        <v>-5</v>
      </c>
      <c r="R126" s="206">
        <f t="shared" si="298"/>
        <v>59</v>
      </c>
      <c r="S126" s="207">
        <f t="shared" si="298"/>
        <v>79</v>
      </c>
      <c r="T126" s="208">
        <f t="shared" si="299"/>
        <v>-13</v>
      </c>
      <c r="U126" s="206">
        <f t="shared" si="300"/>
        <v>-12</v>
      </c>
      <c r="V126" s="206">
        <f t="shared" si="300"/>
        <v>-3</v>
      </c>
      <c r="W126" s="207">
        <f t="shared" si="300"/>
        <v>25</v>
      </c>
      <c r="X126" s="208">
        <f t="shared" si="301"/>
        <v>-7</v>
      </c>
      <c r="Y126" s="206">
        <f t="shared" si="302"/>
        <v>11</v>
      </c>
      <c r="Z126" s="206">
        <f t="shared" si="302"/>
        <v>14</v>
      </c>
      <c r="AA126" s="207">
        <f t="shared" si="302"/>
        <v>47</v>
      </c>
      <c r="AB126" s="208">
        <f t="shared" si="303"/>
        <v>-8</v>
      </c>
      <c r="AC126" s="206">
        <f t="shared" si="304"/>
        <v>-12</v>
      </c>
      <c r="AD126" s="206">
        <f t="shared" si="304"/>
        <v>-9</v>
      </c>
      <c r="AE126" s="207">
        <f t="shared" si="304"/>
        <v>1</v>
      </c>
      <c r="AF126" s="208">
        <f t="shared" si="305"/>
        <v>12</v>
      </c>
      <c r="AG126" s="206">
        <f t="shared" si="304"/>
        <v>8</v>
      </c>
      <c r="AH126" s="206">
        <f t="shared" si="304"/>
        <v>26</v>
      </c>
      <c r="AI126" s="207">
        <f t="shared" si="304"/>
        <v>35</v>
      </c>
      <c r="AJ126" s="208">
        <f t="shared" si="306"/>
        <v>-15</v>
      </c>
      <c r="AK126" s="206">
        <f t="shared" si="307"/>
        <v>-8</v>
      </c>
      <c r="AL126" s="206">
        <f t="shared" si="307"/>
        <v>-25</v>
      </c>
      <c r="AM126" s="207">
        <f t="shared" si="307"/>
        <v>-25</v>
      </c>
      <c r="AN126" s="208">
        <f t="shared" si="308"/>
        <v>0</v>
      </c>
      <c r="AO126" s="206">
        <f t="shared" si="307"/>
        <v>0</v>
      </c>
      <c r="AP126" s="206">
        <f t="shared" si="307"/>
        <v>0</v>
      </c>
      <c r="AQ126" s="207">
        <f t="shared" si="307"/>
        <v>0</v>
      </c>
      <c r="AR126" s="208">
        <f t="shared" si="309"/>
        <v>0</v>
      </c>
      <c r="AS126" s="206">
        <f t="shared" si="310"/>
        <v>0</v>
      </c>
      <c r="AT126" s="206">
        <f t="shared" si="310"/>
        <v>0</v>
      </c>
      <c r="AU126" s="207">
        <f t="shared" si="311"/>
        <v>0</v>
      </c>
      <c r="AV126" s="208">
        <f t="shared" si="312"/>
        <v>0</v>
      </c>
      <c r="AW126" s="206">
        <f t="shared" si="313"/>
        <v>0</v>
      </c>
      <c r="AX126" s="206">
        <f t="shared" si="314"/>
        <v>0</v>
      </c>
      <c r="AY126" s="207">
        <f t="shared" si="315"/>
        <v>0</v>
      </c>
      <c r="AZ126" s="177"/>
      <c r="BA126" s="206">
        <f>G126</f>
        <v>0</v>
      </c>
      <c r="BB126" s="206">
        <f>K126</f>
        <v>-67</v>
      </c>
      <c r="BC126" s="206">
        <f>O126</f>
        <v>-29</v>
      </c>
      <c r="BD126" s="206">
        <f>S126</f>
        <v>79</v>
      </c>
      <c r="BE126" s="206">
        <f>W126</f>
        <v>25</v>
      </c>
      <c r="BF126" s="206">
        <f>AA126</f>
        <v>47</v>
      </c>
      <c r="BG126" s="206">
        <f>AE126</f>
        <v>1</v>
      </c>
      <c r="BH126" s="206">
        <f t="shared" si="316"/>
        <v>35</v>
      </c>
      <c r="BI126" s="206">
        <f t="shared" si="317"/>
        <v>-25</v>
      </c>
      <c r="BJ126" s="206">
        <f t="shared" si="318"/>
        <v>0</v>
      </c>
      <c r="BK126" s="206">
        <f t="shared" si="319"/>
        <v>0</v>
      </c>
      <c r="BL126" s="206">
        <f t="shared" si="320"/>
        <v>0</v>
      </c>
      <c r="BM126" s="206">
        <f t="shared" si="321"/>
        <v>0</v>
      </c>
      <c r="BN126" s="206">
        <f t="shared" ref="BN126" si="325">BN24</f>
        <v>0</v>
      </c>
      <c r="BO126" s="22"/>
    </row>
    <row r="127" spans="1:67" ht="14.25" customHeight="1" outlineLevel="1">
      <c r="A127" s="8"/>
      <c r="B127" s="48" t="s">
        <v>324</v>
      </c>
      <c r="C127" s="49"/>
      <c r="D127" s="208">
        <f t="shared" si="291"/>
        <v>0</v>
      </c>
      <c r="E127" s="206">
        <f t="shared" si="292"/>
        <v>0</v>
      </c>
      <c r="F127" s="206">
        <f t="shared" si="292"/>
        <v>0</v>
      </c>
      <c r="G127" s="207">
        <f t="shared" si="292"/>
        <v>0</v>
      </c>
      <c r="H127" s="208">
        <f t="shared" si="293"/>
        <v>0</v>
      </c>
      <c r="I127" s="206">
        <f t="shared" si="294"/>
        <v>0</v>
      </c>
      <c r="J127" s="206">
        <f t="shared" si="294"/>
        <v>0</v>
      </c>
      <c r="K127" s="207">
        <f t="shared" si="294"/>
        <v>0</v>
      </c>
      <c r="L127" s="208">
        <f t="shared" si="295"/>
        <v>98</v>
      </c>
      <c r="M127" s="206">
        <f t="shared" si="296"/>
        <v>-101</v>
      </c>
      <c r="N127" s="206">
        <f t="shared" si="296"/>
        <v>-119</v>
      </c>
      <c r="O127" s="207">
        <f t="shared" si="296"/>
        <v>-153</v>
      </c>
      <c r="P127" s="208">
        <f t="shared" si="297"/>
        <v>19</v>
      </c>
      <c r="Q127" s="206">
        <f t="shared" si="298"/>
        <v>-131</v>
      </c>
      <c r="R127" s="206">
        <f t="shared" si="298"/>
        <v>-151</v>
      </c>
      <c r="S127" s="207">
        <f t="shared" si="298"/>
        <v>-177</v>
      </c>
      <c r="T127" s="208">
        <f t="shared" si="299"/>
        <v>-15</v>
      </c>
      <c r="U127" s="206">
        <f t="shared" si="300"/>
        <v>-123</v>
      </c>
      <c r="V127" s="206">
        <f t="shared" si="300"/>
        <v>-91</v>
      </c>
      <c r="W127" s="207">
        <f t="shared" si="300"/>
        <v>-132</v>
      </c>
      <c r="X127" s="208">
        <f t="shared" si="301"/>
        <v>-49</v>
      </c>
      <c r="Y127" s="206">
        <f t="shared" si="302"/>
        <v>-31</v>
      </c>
      <c r="Z127" s="206">
        <f t="shared" si="302"/>
        <v>-53</v>
      </c>
      <c r="AA127" s="207">
        <f t="shared" si="302"/>
        <v>-19</v>
      </c>
      <c r="AB127" s="208">
        <f t="shared" si="303"/>
        <v>17</v>
      </c>
      <c r="AC127" s="206">
        <f t="shared" si="304"/>
        <v>-61</v>
      </c>
      <c r="AD127" s="206">
        <f t="shared" si="304"/>
        <v>-32</v>
      </c>
      <c r="AE127" s="207">
        <f t="shared" si="304"/>
        <v>-53</v>
      </c>
      <c r="AF127" s="208">
        <f t="shared" si="305"/>
        <v>35</v>
      </c>
      <c r="AG127" s="206">
        <f t="shared" si="304"/>
        <v>-33</v>
      </c>
      <c r="AH127" s="206">
        <f t="shared" si="304"/>
        <v>13</v>
      </c>
      <c r="AI127" s="207">
        <f t="shared" si="304"/>
        <v>17</v>
      </c>
      <c r="AJ127" s="208">
        <f t="shared" si="306"/>
        <v>64</v>
      </c>
      <c r="AK127" s="206">
        <f t="shared" si="307"/>
        <v>11</v>
      </c>
      <c r="AL127" s="206">
        <f t="shared" si="307"/>
        <v>9</v>
      </c>
      <c r="AM127" s="207">
        <f t="shared" si="307"/>
        <v>9</v>
      </c>
      <c r="AN127" s="208">
        <f t="shared" si="308"/>
        <v>4</v>
      </c>
      <c r="AO127" s="206">
        <f t="shared" si="307"/>
        <v>4</v>
      </c>
      <c r="AP127" s="206">
        <f t="shared" si="307"/>
        <v>0</v>
      </c>
      <c r="AQ127" s="207">
        <f t="shared" si="307"/>
        <v>0</v>
      </c>
      <c r="AR127" s="208">
        <f t="shared" si="309"/>
        <v>0</v>
      </c>
      <c r="AS127" s="206">
        <f t="shared" si="310"/>
        <v>0</v>
      </c>
      <c r="AT127" s="206">
        <f t="shared" si="310"/>
        <v>0</v>
      </c>
      <c r="AU127" s="207">
        <f t="shared" si="311"/>
        <v>0</v>
      </c>
      <c r="AV127" s="208">
        <f t="shared" si="312"/>
        <v>0</v>
      </c>
      <c r="AW127" s="206">
        <f t="shared" si="313"/>
        <v>0</v>
      </c>
      <c r="AX127" s="206">
        <f t="shared" si="314"/>
        <v>0</v>
      </c>
      <c r="AY127" s="207">
        <f t="shared" si="315"/>
        <v>0</v>
      </c>
      <c r="AZ127" s="177"/>
      <c r="BA127" s="206">
        <f t="shared" si="279"/>
        <v>0</v>
      </c>
      <c r="BB127" s="206">
        <f t="shared" si="280"/>
        <v>0</v>
      </c>
      <c r="BC127" s="206">
        <f t="shared" si="281"/>
        <v>-153</v>
      </c>
      <c r="BD127" s="206">
        <f t="shared" si="282"/>
        <v>-177</v>
      </c>
      <c r="BE127" s="206">
        <f t="shared" si="283"/>
        <v>-132</v>
      </c>
      <c r="BF127" s="206">
        <f t="shared" si="284"/>
        <v>-19</v>
      </c>
      <c r="BG127" s="206">
        <f t="shared" si="285"/>
        <v>-53</v>
      </c>
      <c r="BH127" s="206">
        <f t="shared" si="316"/>
        <v>17</v>
      </c>
      <c r="BI127" s="206">
        <f t="shared" si="317"/>
        <v>9</v>
      </c>
      <c r="BJ127" s="206">
        <f t="shared" si="318"/>
        <v>0</v>
      </c>
      <c r="BK127" s="206">
        <f t="shared" si="319"/>
        <v>0</v>
      </c>
      <c r="BL127" s="206">
        <f t="shared" si="320"/>
        <v>0</v>
      </c>
      <c r="BM127" s="206">
        <f t="shared" si="321"/>
        <v>0</v>
      </c>
      <c r="BN127" s="206">
        <f t="shared" ref="BN127" si="326">BN25</f>
        <v>0</v>
      </c>
      <c r="BO127" s="22"/>
    </row>
    <row r="128" spans="1:67" ht="14.25" customHeight="1" outlineLevel="1">
      <c r="A128" s="8"/>
      <c r="B128" s="48" t="s">
        <v>325</v>
      </c>
      <c r="C128" s="49"/>
      <c r="D128" s="208">
        <f t="shared" si="291"/>
        <v>35</v>
      </c>
      <c r="E128" s="206">
        <f t="shared" si="292"/>
        <v>16</v>
      </c>
      <c r="F128" s="206">
        <f t="shared" si="292"/>
        <v>0</v>
      </c>
      <c r="G128" s="207">
        <f t="shared" si="292"/>
        <v>-233</v>
      </c>
      <c r="H128" s="208">
        <f t="shared" si="293"/>
        <v>-55</v>
      </c>
      <c r="I128" s="206">
        <f t="shared" si="294"/>
        <v>-87</v>
      </c>
      <c r="J128" s="206">
        <f t="shared" si="294"/>
        <v>330</v>
      </c>
      <c r="K128" s="207">
        <f t="shared" si="294"/>
        <v>346</v>
      </c>
      <c r="L128" s="208">
        <f t="shared" si="295"/>
        <v>-36</v>
      </c>
      <c r="M128" s="206">
        <f t="shared" si="296"/>
        <v>-89</v>
      </c>
      <c r="N128" s="206">
        <f t="shared" si="296"/>
        <v>-146</v>
      </c>
      <c r="O128" s="207">
        <f t="shared" si="296"/>
        <v>-136</v>
      </c>
      <c r="P128" s="208">
        <f t="shared" si="297"/>
        <v>-74</v>
      </c>
      <c r="Q128" s="206">
        <f t="shared" si="298"/>
        <v>-75</v>
      </c>
      <c r="R128" s="206">
        <f t="shared" si="298"/>
        <v>-104</v>
      </c>
      <c r="S128" s="207">
        <f t="shared" si="298"/>
        <v>-128</v>
      </c>
      <c r="T128" s="208">
        <f t="shared" si="299"/>
        <v>-98</v>
      </c>
      <c r="U128" s="206">
        <f t="shared" si="300"/>
        <v>-103</v>
      </c>
      <c r="V128" s="206">
        <f t="shared" si="300"/>
        <v>-96</v>
      </c>
      <c r="W128" s="207">
        <f t="shared" si="300"/>
        <v>-66</v>
      </c>
      <c r="X128" s="208">
        <f t="shared" si="301"/>
        <v>-16</v>
      </c>
      <c r="Y128" s="206">
        <f t="shared" si="302"/>
        <v>-16</v>
      </c>
      <c r="Z128" s="206">
        <f t="shared" si="302"/>
        <v>-16</v>
      </c>
      <c r="AA128" s="207">
        <f t="shared" si="302"/>
        <v>-16</v>
      </c>
      <c r="AB128" s="208">
        <f t="shared" si="303"/>
        <v>0</v>
      </c>
      <c r="AC128" s="206">
        <f t="shared" si="304"/>
        <v>0</v>
      </c>
      <c r="AD128" s="206">
        <f t="shared" si="304"/>
        <v>0</v>
      </c>
      <c r="AE128" s="207">
        <f t="shared" si="304"/>
        <v>0</v>
      </c>
      <c r="AF128" s="208">
        <f t="shared" si="305"/>
        <v>0</v>
      </c>
      <c r="AG128" s="206">
        <f t="shared" si="304"/>
        <v>0</v>
      </c>
      <c r="AH128" s="206">
        <f t="shared" si="304"/>
        <v>0</v>
      </c>
      <c r="AI128" s="207">
        <f t="shared" si="304"/>
        <v>0</v>
      </c>
      <c r="AJ128" s="208">
        <f t="shared" si="306"/>
        <v>0</v>
      </c>
      <c r="AK128" s="206">
        <f t="shared" si="307"/>
        <v>0</v>
      </c>
      <c r="AL128" s="206">
        <f t="shared" si="307"/>
        <v>0</v>
      </c>
      <c r="AM128" s="207">
        <f t="shared" si="307"/>
        <v>0</v>
      </c>
      <c r="AN128" s="208">
        <f t="shared" si="308"/>
        <v>0</v>
      </c>
      <c r="AO128" s="206">
        <f t="shared" si="307"/>
        <v>0</v>
      </c>
      <c r="AP128" s="206">
        <f t="shared" si="307"/>
        <v>0</v>
      </c>
      <c r="AQ128" s="207">
        <f t="shared" si="307"/>
        <v>0</v>
      </c>
      <c r="AR128" s="208">
        <f t="shared" si="309"/>
        <v>0</v>
      </c>
      <c r="AS128" s="206">
        <f t="shared" si="310"/>
        <v>0</v>
      </c>
      <c r="AT128" s="206">
        <f t="shared" si="310"/>
        <v>0</v>
      </c>
      <c r="AU128" s="207">
        <f t="shared" si="311"/>
        <v>0</v>
      </c>
      <c r="AV128" s="208">
        <f t="shared" si="312"/>
        <v>0</v>
      </c>
      <c r="AW128" s="206">
        <f t="shared" si="313"/>
        <v>0</v>
      </c>
      <c r="AX128" s="206">
        <f t="shared" si="314"/>
        <v>0</v>
      </c>
      <c r="AY128" s="207">
        <f t="shared" si="315"/>
        <v>0</v>
      </c>
      <c r="AZ128" s="177"/>
      <c r="BA128" s="206">
        <f t="shared" si="279"/>
        <v>-233</v>
      </c>
      <c r="BB128" s="206">
        <f t="shared" si="280"/>
        <v>346</v>
      </c>
      <c r="BC128" s="206">
        <f t="shared" si="281"/>
        <v>-136</v>
      </c>
      <c r="BD128" s="206">
        <f t="shared" si="282"/>
        <v>-128</v>
      </c>
      <c r="BE128" s="206">
        <f t="shared" si="283"/>
        <v>-66</v>
      </c>
      <c r="BF128" s="206">
        <f t="shared" si="284"/>
        <v>-16</v>
      </c>
      <c r="BG128" s="206">
        <f t="shared" si="285"/>
        <v>0</v>
      </c>
      <c r="BH128" s="206">
        <f t="shared" si="316"/>
        <v>0</v>
      </c>
      <c r="BI128" s="206">
        <f t="shared" si="317"/>
        <v>0</v>
      </c>
      <c r="BJ128" s="206">
        <f t="shared" si="318"/>
        <v>0</v>
      </c>
      <c r="BK128" s="206">
        <f t="shared" si="319"/>
        <v>0</v>
      </c>
      <c r="BL128" s="206">
        <f t="shared" si="320"/>
        <v>0</v>
      </c>
      <c r="BM128" s="206">
        <f t="shared" si="321"/>
        <v>0</v>
      </c>
      <c r="BN128" s="206">
        <f t="shared" ref="BN128" si="327">BN26</f>
        <v>0</v>
      </c>
      <c r="BO128" s="22"/>
    </row>
    <row r="129" spans="1:67" ht="14.25" customHeight="1" outlineLevel="1">
      <c r="A129" s="8"/>
      <c r="B129" s="48" t="s">
        <v>296</v>
      </c>
      <c r="C129" s="49"/>
      <c r="D129" s="208">
        <f t="shared" si="291"/>
        <v>0</v>
      </c>
      <c r="E129" s="206">
        <f t="shared" si="292"/>
        <v>0</v>
      </c>
      <c r="F129" s="206">
        <f t="shared" si="292"/>
        <v>0</v>
      </c>
      <c r="G129" s="207">
        <f t="shared" si="292"/>
        <v>0</v>
      </c>
      <c r="H129" s="208">
        <f t="shared" si="293"/>
        <v>0</v>
      </c>
      <c r="I129" s="206">
        <f t="shared" si="294"/>
        <v>0</v>
      </c>
      <c r="J129" s="206">
        <f t="shared" si="294"/>
        <v>0</v>
      </c>
      <c r="K129" s="207">
        <f t="shared" si="294"/>
        <v>0</v>
      </c>
      <c r="L129" s="208">
        <f t="shared" si="295"/>
        <v>-25</v>
      </c>
      <c r="M129" s="206">
        <f t="shared" si="296"/>
        <v>-22</v>
      </c>
      <c r="N129" s="206">
        <f t="shared" si="296"/>
        <v>-2</v>
      </c>
      <c r="O129" s="207">
        <f t="shared" si="296"/>
        <v>-6</v>
      </c>
      <c r="P129" s="208">
        <f t="shared" si="297"/>
        <v>-50</v>
      </c>
      <c r="Q129" s="206">
        <f t="shared" si="298"/>
        <v>-80</v>
      </c>
      <c r="R129" s="206">
        <f t="shared" si="298"/>
        <v>-27</v>
      </c>
      <c r="S129" s="207">
        <f t="shared" si="298"/>
        <v>-73</v>
      </c>
      <c r="T129" s="208">
        <f t="shared" si="299"/>
        <v>17</v>
      </c>
      <c r="U129" s="206">
        <f t="shared" si="300"/>
        <v>12</v>
      </c>
      <c r="V129" s="206">
        <f t="shared" si="300"/>
        <v>9</v>
      </c>
      <c r="W129" s="207">
        <f t="shared" si="300"/>
        <v>13</v>
      </c>
      <c r="X129" s="208">
        <f t="shared" si="301"/>
        <v>-5</v>
      </c>
      <c r="Y129" s="206">
        <f t="shared" si="302"/>
        <v>-10</v>
      </c>
      <c r="Z129" s="206">
        <f t="shared" si="302"/>
        <v>-10</v>
      </c>
      <c r="AA129" s="207">
        <f t="shared" si="302"/>
        <v>-18</v>
      </c>
      <c r="AB129" s="208">
        <f t="shared" si="303"/>
        <v>1</v>
      </c>
      <c r="AC129" s="206">
        <f t="shared" si="304"/>
        <v>2</v>
      </c>
      <c r="AD129" s="206">
        <f t="shared" si="304"/>
        <v>2</v>
      </c>
      <c r="AE129" s="207">
        <f t="shared" si="304"/>
        <v>3</v>
      </c>
      <c r="AF129" s="208">
        <f t="shared" si="305"/>
        <v>3</v>
      </c>
      <c r="AG129" s="206">
        <f t="shared" si="304"/>
        <v>8</v>
      </c>
      <c r="AH129" s="206">
        <f t="shared" si="304"/>
        <v>2</v>
      </c>
      <c r="AI129" s="207">
        <f t="shared" si="304"/>
        <v>1</v>
      </c>
      <c r="AJ129" s="208">
        <f t="shared" si="306"/>
        <v>5</v>
      </c>
      <c r="AK129" s="206">
        <f t="shared" si="307"/>
        <v>2</v>
      </c>
      <c r="AL129" s="206">
        <f t="shared" si="307"/>
        <v>6</v>
      </c>
      <c r="AM129" s="207">
        <f t="shared" si="307"/>
        <v>6</v>
      </c>
      <c r="AN129" s="208">
        <f t="shared" si="308"/>
        <v>0</v>
      </c>
      <c r="AO129" s="206">
        <f t="shared" si="307"/>
        <v>0</v>
      </c>
      <c r="AP129" s="206">
        <f t="shared" si="307"/>
        <v>0</v>
      </c>
      <c r="AQ129" s="207">
        <f t="shared" si="307"/>
        <v>0</v>
      </c>
      <c r="AR129" s="208">
        <f t="shared" si="309"/>
        <v>0</v>
      </c>
      <c r="AS129" s="206">
        <f t="shared" si="310"/>
        <v>0</v>
      </c>
      <c r="AT129" s="206">
        <f t="shared" si="310"/>
        <v>0</v>
      </c>
      <c r="AU129" s="207">
        <f t="shared" si="311"/>
        <v>0</v>
      </c>
      <c r="AV129" s="208">
        <f t="shared" si="312"/>
        <v>0</v>
      </c>
      <c r="AW129" s="206">
        <f t="shared" si="313"/>
        <v>0</v>
      </c>
      <c r="AX129" s="206">
        <f t="shared" si="314"/>
        <v>0</v>
      </c>
      <c r="AY129" s="207">
        <f t="shared" si="315"/>
        <v>0</v>
      </c>
      <c r="AZ129" s="177"/>
      <c r="BA129" s="206">
        <f t="shared" si="279"/>
        <v>0</v>
      </c>
      <c r="BB129" s="206">
        <f t="shared" si="280"/>
        <v>0</v>
      </c>
      <c r="BC129" s="206">
        <f t="shared" si="281"/>
        <v>-6</v>
      </c>
      <c r="BD129" s="206">
        <f t="shared" si="282"/>
        <v>-73</v>
      </c>
      <c r="BE129" s="206">
        <f t="shared" si="283"/>
        <v>13</v>
      </c>
      <c r="BF129" s="206">
        <f t="shared" si="284"/>
        <v>-18</v>
      </c>
      <c r="BG129" s="206">
        <f t="shared" si="285"/>
        <v>3</v>
      </c>
      <c r="BH129" s="206">
        <f t="shared" si="316"/>
        <v>1</v>
      </c>
      <c r="BI129" s="206">
        <f t="shared" si="317"/>
        <v>6</v>
      </c>
      <c r="BJ129" s="206">
        <f t="shared" si="318"/>
        <v>0</v>
      </c>
      <c r="BK129" s="206">
        <f t="shared" si="319"/>
        <v>0</v>
      </c>
      <c r="BL129" s="206">
        <f t="shared" si="320"/>
        <v>0</v>
      </c>
      <c r="BM129" s="206">
        <f t="shared" si="321"/>
        <v>0</v>
      </c>
      <c r="BN129" s="206">
        <f t="shared" ref="BN129" si="328">BN27</f>
        <v>0</v>
      </c>
      <c r="BO129" s="22"/>
    </row>
    <row r="130" spans="1:67" ht="14.25" customHeight="1" outlineLevel="1">
      <c r="A130" s="8"/>
      <c r="B130" s="48" t="s">
        <v>326</v>
      </c>
      <c r="C130" s="49"/>
      <c r="D130" s="208">
        <f t="shared" si="291"/>
        <v>0</v>
      </c>
      <c r="E130" s="206">
        <f t="shared" si="292"/>
        <v>0</v>
      </c>
      <c r="F130" s="206">
        <f t="shared" si="292"/>
        <v>0</v>
      </c>
      <c r="G130" s="207">
        <f t="shared" si="292"/>
        <v>0</v>
      </c>
      <c r="H130" s="208">
        <f t="shared" si="293"/>
        <v>0</v>
      </c>
      <c r="I130" s="206">
        <f t="shared" si="294"/>
        <v>0</v>
      </c>
      <c r="J130" s="206">
        <f t="shared" si="294"/>
        <v>0</v>
      </c>
      <c r="K130" s="207">
        <f t="shared" si="294"/>
        <v>0</v>
      </c>
      <c r="L130" s="208">
        <f t="shared" si="295"/>
        <v>222</v>
      </c>
      <c r="M130" s="206">
        <f t="shared" si="296"/>
        <v>31</v>
      </c>
      <c r="N130" s="206">
        <f t="shared" si="296"/>
        <v>-125</v>
      </c>
      <c r="O130" s="207">
        <f t="shared" si="296"/>
        <v>-39</v>
      </c>
      <c r="P130" s="208">
        <f t="shared" si="297"/>
        <v>259</v>
      </c>
      <c r="Q130" s="206">
        <f t="shared" si="298"/>
        <v>622</v>
      </c>
      <c r="R130" s="206">
        <f t="shared" si="298"/>
        <v>240</v>
      </c>
      <c r="S130" s="207">
        <f t="shared" si="298"/>
        <v>353</v>
      </c>
      <c r="T130" s="208">
        <f t="shared" si="299"/>
        <v>-190</v>
      </c>
      <c r="U130" s="206">
        <f t="shared" si="300"/>
        <v>-275</v>
      </c>
      <c r="V130" s="206">
        <f t="shared" si="300"/>
        <v>-193</v>
      </c>
      <c r="W130" s="207">
        <f t="shared" si="300"/>
        <v>-128</v>
      </c>
      <c r="X130" s="208">
        <f t="shared" si="301"/>
        <v>-53</v>
      </c>
      <c r="Y130" s="206">
        <f t="shared" si="302"/>
        <v>51</v>
      </c>
      <c r="Z130" s="206">
        <f t="shared" si="302"/>
        <v>3</v>
      </c>
      <c r="AA130" s="207">
        <f t="shared" si="302"/>
        <v>-28</v>
      </c>
      <c r="AB130" s="208">
        <f t="shared" si="303"/>
        <v>53</v>
      </c>
      <c r="AC130" s="206">
        <f t="shared" si="304"/>
        <v>21</v>
      </c>
      <c r="AD130" s="206">
        <f t="shared" si="304"/>
        <v>-31</v>
      </c>
      <c r="AE130" s="207">
        <f t="shared" si="304"/>
        <v>-62</v>
      </c>
      <c r="AF130" s="208">
        <f t="shared" si="305"/>
        <v>2</v>
      </c>
      <c r="AG130" s="206">
        <f t="shared" si="304"/>
        <v>24</v>
      </c>
      <c r="AH130" s="206">
        <f t="shared" si="304"/>
        <v>155</v>
      </c>
      <c r="AI130" s="207">
        <f t="shared" si="304"/>
        <v>246</v>
      </c>
      <c r="AJ130" s="208">
        <f t="shared" si="306"/>
        <v>208</v>
      </c>
      <c r="AK130" s="206">
        <f t="shared" si="307"/>
        <v>168</v>
      </c>
      <c r="AL130" s="206">
        <f t="shared" si="307"/>
        <v>162</v>
      </c>
      <c r="AM130" s="207">
        <f t="shared" si="307"/>
        <v>193</v>
      </c>
      <c r="AN130" s="208">
        <f t="shared" si="308"/>
        <v>10</v>
      </c>
      <c r="AO130" s="206">
        <f t="shared" si="307"/>
        <v>10</v>
      </c>
      <c r="AP130" s="206">
        <f t="shared" si="307"/>
        <v>14</v>
      </c>
      <c r="AQ130" s="207">
        <f t="shared" si="307"/>
        <v>11</v>
      </c>
      <c r="AR130" s="208">
        <f t="shared" si="309"/>
        <v>12</v>
      </c>
      <c r="AS130" s="206">
        <f t="shared" si="310"/>
        <v>17</v>
      </c>
      <c r="AT130" s="206">
        <f t="shared" si="310"/>
        <v>25</v>
      </c>
      <c r="AU130" s="207">
        <f t="shared" si="311"/>
        <v>30</v>
      </c>
      <c r="AV130" s="208">
        <f t="shared" si="312"/>
        <v>0</v>
      </c>
      <c r="AW130" s="206">
        <f t="shared" si="313"/>
        <v>0</v>
      </c>
      <c r="AX130" s="206">
        <f t="shared" si="314"/>
        <v>0</v>
      </c>
      <c r="AY130" s="207">
        <f t="shared" si="315"/>
        <v>0</v>
      </c>
      <c r="AZ130" s="177"/>
      <c r="BA130" s="206">
        <f>G130</f>
        <v>0</v>
      </c>
      <c r="BB130" s="206">
        <f>K130</f>
        <v>0</v>
      </c>
      <c r="BC130" s="206">
        <f>O130</f>
        <v>-39</v>
      </c>
      <c r="BD130" s="206">
        <f>S130</f>
        <v>353</v>
      </c>
      <c r="BE130" s="206">
        <f>W130</f>
        <v>-128</v>
      </c>
      <c r="BF130" s="206">
        <f>AA130</f>
        <v>-28</v>
      </c>
      <c r="BG130" s="206">
        <f>AE130</f>
        <v>-62</v>
      </c>
      <c r="BH130" s="206">
        <f t="shared" si="316"/>
        <v>246</v>
      </c>
      <c r="BI130" s="206">
        <f t="shared" si="317"/>
        <v>193</v>
      </c>
      <c r="BJ130" s="206">
        <f t="shared" si="318"/>
        <v>11</v>
      </c>
      <c r="BK130" s="206">
        <f t="shared" si="319"/>
        <v>30</v>
      </c>
      <c r="BL130" s="206">
        <f t="shared" si="320"/>
        <v>0</v>
      </c>
      <c r="BM130" s="206">
        <f t="shared" si="321"/>
        <v>0</v>
      </c>
      <c r="BN130" s="206">
        <f t="shared" ref="BN130" si="329">BN28</f>
        <v>0</v>
      </c>
      <c r="BO130" s="22"/>
    </row>
    <row r="131" spans="1:67" ht="14.25" customHeight="1" outlineLevel="1">
      <c r="A131" s="8"/>
      <c r="B131" s="48" t="s">
        <v>322</v>
      </c>
      <c r="C131" s="49"/>
      <c r="D131" s="208">
        <f t="shared" si="291"/>
        <v>-102</v>
      </c>
      <c r="E131" s="206">
        <f t="shared" si="292"/>
        <v>-203</v>
      </c>
      <c r="F131" s="206">
        <f t="shared" si="292"/>
        <v>-339</v>
      </c>
      <c r="G131" s="207">
        <f t="shared" si="292"/>
        <v>-488</v>
      </c>
      <c r="H131" s="208">
        <f t="shared" si="293"/>
        <v>-172</v>
      </c>
      <c r="I131" s="206">
        <f t="shared" si="294"/>
        <v>-107</v>
      </c>
      <c r="J131" s="206">
        <f t="shared" si="294"/>
        <v>126</v>
      </c>
      <c r="K131" s="207">
        <f t="shared" si="294"/>
        <v>120</v>
      </c>
      <c r="L131" s="208">
        <f t="shared" si="295"/>
        <v>5</v>
      </c>
      <c r="M131" s="206">
        <f t="shared" si="296"/>
        <v>16</v>
      </c>
      <c r="N131" s="206">
        <f t="shared" si="296"/>
        <v>21</v>
      </c>
      <c r="O131" s="207">
        <f t="shared" si="296"/>
        <v>41</v>
      </c>
      <c r="P131" s="208">
        <f t="shared" si="297"/>
        <v>2</v>
      </c>
      <c r="Q131" s="206">
        <f t="shared" si="298"/>
        <v>10</v>
      </c>
      <c r="R131" s="206">
        <f t="shared" si="298"/>
        <v>21</v>
      </c>
      <c r="S131" s="207">
        <f t="shared" si="298"/>
        <v>16</v>
      </c>
      <c r="T131" s="208">
        <f t="shared" si="299"/>
        <v>18</v>
      </c>
      <c r="U131" s="206">
        <f t="shared" si="300"/>
        <v>29</v>
      </c>
      <c r="V131" s="206">
        <f t="shared" si="300"/>
        <v>36</v>
      </c>
      <c r="W131" s="207">
        <f t="shared" si="300"/>
        <v>49</v>
      </c>
      <c r="X131" s="208">
        <f t="shared" si="301"/>
        <v>16</v>
      </c>
      <c r="Y131" s="206">
        <f t="shared" si="302"/>
        <v>38</v>
      </c>
      <c r="Z131" s="206">
        <f t="shared" si="302"/>
        <v>45</v>
      </c>
      <c r="AA131" s="207">
        <f t="shared" si="302"/>
        <v>46</v>
      </c>
      <c r="AB131" s="206">
        <f t="shared" si="303"/>
        <v>-2</v>
      </c>
      <c r="AC131" s="206">
        <f t="shared" si="304"/>
        <v>1</v>
      </c>
      <c r="AD131" s="206">
        <f t="shared" si="304"/>
        <v>0</v>
      </c>
      <c r="AE131" s="207">
        <f t="shared" si="304"/>
        <v>2</v>
      </c>
      <c r="AF131" s="206">
        <f t="shared" si="305"/>
        <v>5</v>
      </c>
      <c r="AG131" s="206">
        <f t="shared" si="304"/>
        <v>0</v>
      </c>
      <c r="AH131" s="206">
        <f t="shared" si="304"/>
        <v>-13</v>
      </c>
      <c r="AI131" s="207">
        <f t="shared" si="304"/>
        <v>-4</v>
      </c>
      <c r="AJ131" s="206">
        <f t="shared" si="306"/>
        <v>-10</v>
      </c>
      <c r="AK131" s="206">
        <f t="shared" si="307"/>
        <v>6</v>
      </c>
      <c r="AL131" s="206">
        <f t="shared" si="307"/>
        <v>11</v>
      </c>
      <c r="AM131" s="207">
        <f t="shared" si="307"/>
        <v>12</v>
      </c>
      <c r="AN131" s="206">
        <f t="shared" si="308"/>
        <v>-23</v>
      </c>
      <c r="AO131" s="206">
        <f t="shared" si="307"/>
        <v>-5</v>
      </c>
      <c r="AP131" s="206">
        <f t="shared" si="307"/>
        <v>4</v>
      </c>
      <c r="AQ131" s="207">
        <f t="shared" si="307"/>
        <v>2</v>
      </c>
      <c r="AR131" s="206">
        <f t="shared" si="309"/>
        <v>-4</v>
      </c>
      <c r="AS131" s="206">
        <f t="shared" si="310"/>
        <v>-9</v>
      </c>
      <c r="AT131" s="206">
        <f t="shared" si="310"/>
        <v>-15</v>
      </c>
      <c r="AU131" s="207">
        <f t="shared" si="311"/>
        <v>-104</v>
      </c>
      <c r="AV131" s="206">
        <f t="shared" si="312"/>
        <v>0</v>
      </c>
      <c r="AW131" s="206">
        <f t="shared" si="313"/>
        <v>0</v>
      </c>
      <c r="AX131" s="206">
        <f t="shared" si="314"/>
        <v>0</v>
      </c>
      <c r="AY131" s="207">
        <f t="shared" si="315"/>
        <v>0</v>
      </c>
      <c r="AZ131" s="177"/>
      <c r="BA131" s="206">
        <f t="shared" si="279"/>
        <v>-488</v>
      </c>
      <c r="BB131" s="206">
        <f t="shared" si="280"/>
        <v>120</v>
      </c>
      <c r="BC131" s="206">
        <f t="shared" si="281"/>
        <v>41</v>
      </c>
      <c r="BD131" s="206">
        <f t="shared" si="282"/>
        <v>16</v>
      </c>
      <c r="BE131" s="206">
        <f t="shared" si="283"/>
        <v>49</v>
      </c>
      <c r="BF131" s="206">
        <f t="shared" si="284"/>
        <v>46</v>
      </c>
      <c r="BG131" s="206">
        <f t="shared" si="285"/>
        <v>2</v>
      </c>
      <c r="BH131" s="206">
        <f t="shared" si="316"/>
        <v>-4</v>
      </c>
      <c r="BI131" s="206">
        <f t="shared" si="317"/>
        <v>12</v>
      </c>
      <c r="BJ131" s="206">
        <f t="shared" si="318"/>
        <v>2</v>
      </c>
      <c r="BK131" s="206">
        <f t="shared" si="319"/>
        <v>-104</v>
      </c>
      <c r="BL131" s="206">
        <f t="shared" si="320"/>
        <v>0</v>
      </c>
      <c r="BM131" s="206">
        <f t="shared" si="321"/>
        <v>0</v>
      </c>
      <c r="BN131" s="206">
        <f t="shared" ref="BN131" si="330">BN29</f>
        <v>0</v>
      </c>
      <c r="BO131" s="22"/>
    </row>
    <row r="132" spans="1:67" ht="14.25" customHeight="1" outlineLevel="1" thickBot="1">
      <c r="A132" s="8"/>
      <c r="B132" s="212" t="s">
        <v>193</v>
      </c>
      <c r="C132" s="213"/>
      <c r="D132" s="215">
        <f t="shared" ref="D132:AH132" si="331">D113+SUM(D115:D121)+SUM(D123:D131)</f>
        <v>-16</v>
      </c>
      <c r="E132" s="214">
        <f t="shared" si="331"/>
        <v>97</v>
      </c>
      <c r="F132" s="214">
        <f t="shared" si="331"/>
        <v>371</v>
      </c>
      <c r="G132" s="216">
        <f t="shared" si="331"/>
        <v>533</v>
      </c>
      <c r="H132" s="215">
        <f t="shared" si="331"/>
        <v>-268</v>
      </c>
      <c r="I132" s="214">
        <f t="shared" si="331"/>
        <v>-549</v>
      </c>
      <c r="J132" s="214">
        <f t="shared" si="331"/>
        <v>-442</v>
      </c>
      <c r="K132" s="216">
        <f t="shared" si="331"/>
        <v>-622</v>
      </c>
      <c r="L132" s="215">
        <f t="shared" si="331"/>
        <v>-344</v>
      </c>
      <c r="M132" s="214">
        <f t="shared" si="331"/>
        <v>-701</v>
      </c>
      <c r="N132" s="214">
        <f t="shared" si="331"/>
        <v>-758</v>
      </c>
      <c r="O132" s="216">
        <f t="shared" si="331"/>
        <v>-730</v>
      </c>
      <c r="P132" s="215">
        <f t="shared" si="331"/>
        <v>-17</v>
      </c>
      <c r="Q132" s="214">
        <f t="shared" si="331"/>
        <v>58</v>
      </c>
      <c r="R132" s="214">
        <f t="shared" si="331"/>
        <v>209</v>
      </c>
      <c r="S132" s="216">
        <f t="shared" si="331"/>
        <v>359</v>
      </c>
      <c r="T132" s="215">
        <f t="shared" si="331"/>
        <v>-3</v>
      </c>
      <c r="U132" s="214">
        <f t="shared" si="331"/>
        <v>11</v>
      </c>
      <c r="V132" s="214">
        <f t="shared" si="331"/>
        <v>142</v>
      </c>
      <c r="W132" s="216">
        <f t="shared" si="331"/>
        <v>108</v>
      </c>
      <c r="X132" s="215">
        <f t="shared" si="331"/>
        <v>97</v>
      </c>
      <c r="Y132" s="214">
        <f t="shared" si="331"/>
        <v>366</v>
      </c>
      <c r="Z132" s="214">
        <f t="shared" si="331"/>
        <v>558</v>
      </c>
      <c r="AA132" s="216">
        <f t="shared" si="331"/>
        <v>722</v>
      </c>
      <c r="AB132" s="214">
        <f t="shared" si="331"/>
        <v>119</v>
      </c>
      <c r="AC132" s="214">
        <f t="shared" si="331"/>
        <v>279</v>
      </c>
      <c r="AD132" s="214">
        <f t="shared" si="331"/>
        <v>577</v>
      </c>
      <c r="AE132" s="216">
        <f t="shared" si="331"/>
        <v>891</v>
      </c>
      <c r="AF132" s="214">
        <f t="shared" si="331"/>
        <v>273</v>
      </c>
      <c r="AG132" s="214">
        <f t="shared" si="331"/>
        <v>515</v>
      </c>
      <c r="AH132" s="214">
        <f t="shared" si="331"/>
        <v>912</v>
      </c>
      <c r="AI132" s="216">
        <f>AI113+SUM(AI115:AI121)+SUM(AI123:AI131)</f>
        <v>1468</v>
      </c>
      <c r="AJ132" s="214">
        <f t="shared" ref="AJ132:AK132" si="332">AJ113+SUM(AJ115:AJ121)+SUM(AJ123:AJ131)</f>
        <v>368</v>
      </c>
      <c r="AK132" s="214">
        <f t="shared" si="332"/>
        <v>719</v>
      </c>
      <c r="AL132" s="214">
        <f t="shared" ref="AL132" si="333">AL113+SUM(AL115:AL121)+SUM(AL123:AL131)</f>
        <v>1068</v>
      </c>
      <c r="AM132" s="216">
        <f>AM113+SUM(AM115:AM121)+SUM(AM123:AM131)</f>
        <v>1339</v>
      </c>
      <c r="AN132" s="214">
        <f t="shared" ref="AN132:AP132" si="334">AN113+SUM(AN115:AN121)+SUM(AN123:AN131)</f>
        <v>414</v>
      </c>
      <c r="AO132" s="214">
        <f t="shared" si="334"/>
        <v>848</v>
      </c>
      <c r="AP132" s="214">
        <f t="shared" si="334"/>
        <v>1566</v>
      </c>
      <c r="AQ132" s="216">
        <f>AQ113+SUM(AQ115:AQ121)+SUM(AQ123:AQ131)</f>
        <v>2303</v>
      </c>
      <c r="AR132" s="214">
        <f t="shared" ref="AR132:AU132" si="335">AR113+SUM(AR115:AR121)+SUM(AR123:AR131)</f>
        <v>625</v>
      </c>
      <c r="AS132" s="214">
        <f t="shared" si="335"/>
        <v>1066</v>
      </c>
      <c r="AT132" s="214">
        <f t="shared" si="335"/>
        <v>1709</v>
      </c>
      <c r="AU132" s="216">
        <f t="shared" si="335"/>
        <v>2447</v>
      </c>
      <c r="AV132" s="214">
        <f t="shared" ref="AV132:AY132" si="336">AV113+SUM(AV115:AV121)+SUM(AV123:AV131)</f>
        <v>781.60691741368066</v>
      </c>
      <c r="AW132" s="214">
        <f t="shared" si="336"/>
        <v>1531.1274310422846</v>
      </c>
      <c r="AX132" s="214">
        <f t="shared" si="336"/>
        <v>2321.8602214098337</v>
      </c>
      <c r="AY132" s="216">
        <f t="shared" si="336"/>
        <v>3155.2341397511259</v>
      </c>
      <c r="AZ132" s="177"/>
      <c r="BA132" s="214">
        <f t="shared" ref="BA132:BM132" si="337">BA113+SUM(BA115:BA121)+SUM(BA123:BA131)</f>
        <v>533</v>
      </c>
      <c r="BB132" s="214">
        <f t="shared" si="337"/>
        <v>-622</v>
      </c>
      <c r="BC132" s="214">
        <f t="shared" si="337"/>
        <v>-730</v>
      </c>
      <c r="BD132" s="214">
        <f t="shared" si="337"/>
        <v>359</v>
      </c>
      <c r="BE132" s="214">
        <f t="shared" si="337"/>
        <v>108</v>
      </c>
      <c r="BF132" s="214">
        <f t="shared" si="337"/>
        <v>722</v>
      </c>
      <c r="BG132" s="214">
        <f t="shared" si="337"/>
        <v>891</v>
      </c>
      <c r="BH132" s="214">
        <f t="shared" si="337"/>
        <v>1468</v>
      </c>
      <c r="BI132" s="214">
        <f t="shared" si="337"/>
        <v>1339</v>
      </c>
      <c r="BJ132" s="214">
        <f t="shared" si="337"/>
        <v>2303</v>
      </c>
      <c r="BK132" s="214">
        <f t="shared" ref="BK132:BL132" si="338">BK113+SUM(BK115:BK121)+SUM(BK123:BK131)</f>
        <v>2447</v>
      </c>
      <c r="BL132" s="214">
        <f t="shared" si="338"/>
        <v>3155.2341397511259</v>
      </c>
      <c r="BM132" s="214">
        <f t="shared" si="337"/>
        <v>3359.3768551311828</v>
      </c>
      <c r="BN132" s="214">
        <f t="shared" ref="BN132" si="339">BN113+SUM(BN115:BN121)+SUM(BN123:BN131)</f>
        <v>3541.2401562885107</v>
      </c>
      <c r="BO132" s="22"/>
    </row>
    <row r="133" spans="1:67" ht="14.25" customHeight="1" outlineLevel="1" thickTop="1">
      <c r="A133" s="8"/>
      <c r="B133" s="23"/>
      <c r="C133" s="24"/>
      <c r="D133" s="211"/>
      <c r="E133" s="209"/>
      <c r="F133" s="206"/>
      <c r="G133" s="207"/>
      <c r="H133" s="211"/>
      <c r="I133" s="209"/>
      <c r="J133" s="206"/>
      <c r="K133" s="207"/>
      <c r="L133" s="211"/>
      <c r="M133" s="209"/>
      <c r="N133" s="206"/>
      <c r="O133" s="207"/>
      <c r="P133" s="211"/>
      <c r="Q133" s="209"/>
      <c r="R133" s="206"/>
      <c r="S133" s="207"/>
      <c r="T133" s="211"/>
      <c r="U133" s="209"/>
      <c r="V133" s="209"/>
      <c r="W133" s="207"/>
      <c r="X133" s="211"/>
      <c r="Y133" s="209"/>
      <c r="Z133" s="209"/>
      <c r="AA133" s="210"/>
      <c r="AB133" s="209"/>
      <c r="AC133" s="209"/>
      <c r="AD133" s="209"/>
      <c r="AE133" s="210"/>
      <c r="AF133" s="209"/>
      <c r="AG133" s="209"/>
      <c r="AH133" s="209"/>
      <c r="AI133" s="210"/>
      <c r="AJ133" s="209"/>
      <c r="AK133" s="209"/>
      <c r="AL133" s="209"/>
      <c r="AM133" s="210"/>
      <c r="AN133" s="209"/>
      <c r="AO133" s="209"/>
      <c r="AP133" s="209"/>
      <c r="AQ133" s="210"/>
      <c r="AR133" s="209"/>
      <c r="AS133" s="209"/>
      <c r="AT133" s="209"/>
      <c r="AU133" s="210"/>
      <c r="AV133" s="209"/>
      <c r="AW133" s="209"/>
      <c r="AX133" s="209"/>
      <c r="AY133" s="210"/>
      <c r="AZ133" s="177"/>
      <c r="BA133" s="209"/>
      <c r="BB133" s="209"/>
      <c r="BC133" s="209"/>
      <c r="BD133" s="209"/>
      <c r="BE133" s="209"/>
      <c r="BF133" s="209"/>
      <c r="BG133" s="209"/>
      <c r="BH133" s="209"/>
      <c r="BI133" s="209"/>
      <c r="BJ133" s="209"/>
      <c r="BK133" s="209"/>
      <c r="BL133" s="209"/>
      <c r="BM133" s="209"/>
      <c r="BN133" s="209"/>
      <c r="BO133" s="22"/>
    </row>
    <row r="134" spans="1:67" ht="14.25" customHeight="1" outlineLevel="1">
      <c r="A134" s="8"/>
      <c r="B134" s="43" t="s">
        <v>194</v>
      </c>
      <c r="C134" s="44"/>
      <c r="D134" s="211"/>
      <c r="E134" s="209"/>
      <c r="F134" s="206"/>
      <c r="G134" s="207"/>
      <c r="H134" s="211"/>
      <c r="I134" s="209"/>
      <c r="J134" s="206"/>
      <c r="K134" s="207"/>
      <c r="L134" s="211"/>
      <c r="M134" s="209"/>
      <c r="N134" s="206"/>
      <c r="O134" s="207"/>
      <c r="P134" s="211"/>
      <c r="Q134" s="209"/>
      <c r="R134" s="206"/>
      <c r="S134" s="207"/>
      <c r="T134" s="211"/>
      <c r="U134" s="209"/>
      <c r="V134" s="209"/>
      <c r="W134" s="207"/>
      <c r="X134" s="211"/>
      <c r="Y134" s="209"/>
      <c r="Z134" s="209"/>
      <c r="AA134" s="210"/>
      <c r="AB134" s="209"/>
      <c r="AC134" s="209"/>
      <c r="AD134" s="209"/>
      <c r="AE134" s="210"/>
      <c r="AF134" s="209"/>
      <c r="AG134" s="209"/>
      <c r="AH134" s="209"/>
      <c r="AI134" s="210"/>
      <c r="AJ134" s="209"/>
      <c r="AK134" s="209"/>
      <c r="AL134" s="209"/>
      <c r="AM134" s="210"/>
      <c r="AN134" s="209"/>
      <c r="AO134" s="209"/>
      <c r="AP134" s="209"/>
      <c r="AQ134" s="210"/>
      <c r="AR134" s="209"/>
      <c r="AS134" s="209"/>
      <c r="AT134" s="209"/>
      <c r="AU134" s="210"/>
      <c r="AV134" s="209"/>
      <c r="AW134" s="209"/>
      <c r="AX134" s="209"/>
      <c r="AY134" s="210"/>
      <c r="AZ134" s="177"/>
      <c r="BA134" s="209"/>
      <c r="BB134" s="209"/>
      <c r="BC134" s="209"/>
      <c r="BD134" s="209"/>
      <c r="BE134" s="209"/>
      <c r="BF134" s="209"/>
      <c r="BG134" s="209"/>
      <c r="BH134" s="209"/>
      <c r="BI134" s="209"/>
      <c r="BJ134" s="209"/>
      <c r="BK134" s="209"/>
      <c r="BL134" s="209"/>
      <c r="BM134" s="209"/>
      <c r="BN134" s="209"/>
      <c r="BO134" s="22"/>
    </row>
    <row r="135" spans="1:67" ht="14.25" customHeight="1" outlineLevel="1">
      <c r="A135" s="8"/>
      <c r="B135" s="25" t="s">
        <v>285</v>
      </c>
      <c r="C135" s="26"/>
      <c r="D135" s="208">
        <f>D33</f>
        <v>-106</v>
      </c>
      <c r="E135" s="206">
        <f t="shared" ref="E135:G139" si="340">D135+E33</f>
        <v>-224</v>
      </c>
      <c r="F135" s="206">
        <f t="shared" si="340"/>
        <v>-370</v>
      </c>
      <c r="G135" s="207">
        <f t="shared" si="340"/>
        <v>-549</v>
      </c>
      <c r="H135" s="208">
        <f>H33</f>
        <v>-143</v>
      </c>
      <c r="I135" s="206">
        <f t="shared" ref="I135:K139" si="341">H135+I33</f>
        <v>-282</v>
      </c>
      <c r="J135" s="206">
        <f t="shared" si="341"/>
        <v>-344</v>
      </c>
      <c r="K135" s="207">
        <f t="shared" si="341"/>
        <v>-379</v>
      </c>
      <c r="L135" s="208">
        <f>L33</f>
        <v>-36</v>
      </c>
      <c r="M135" s="206">
        <f t="shared" ref="M135:O139" si="342">L135+M33</f>
        <v>-42</v>
      </c>
      <c r="N135" s="206">
        <f t="shared" si="342"/>
        <v>-53</v>
      </c>
      <c r="O135" s="207">
        <f t="shared" si="342"/>
        <v>-92</v>
      </c>
      <c r="P135" s="208">
        <f>P33</f>
        <v>-49</v>
      </c>
      <c r="Q135" s="206">
        <f t="shared" ref="Q135:S139" si="343">P135+Q33</f>
        <v>-120</v>
      </c>
      <c r="R135" s="206">
        <f t="shared" si="343"/>
        <v>-181</v>
      </c>
      <c r="S135" s="207">
        <f t="shared" si="343"/>
        <v>-258</v>
      </c>
      <c r="T135" s="208">
        <f>T33</f>
        <v>-64</v>
      </c>
      <c r="U135" s="206">
        <f t="shared" ref="U135:W139" si="344">T135+U33</f>
        <v>-135</v>
      </c>
      <c r="V135" s="206">
        <f t="shared" si="344"/>
        <v>-180</v>
      </c>
      <c r="W135" s="207">
        <f t="shared" si="344"/>
        <v>-220</v>
      </c>
      <c r="X135" s="208">
        <f>X33</f>
        <v>-39</v>
      </c>
      <c r="Y135" s="206">
        <f t="shared" ref="Y135:AA139" si="345">X135+Y33</f>
        <v>-113</v>
      </c>
      <c r="Z135" s="206">
        <f t="shared" si="345"/>
        <v>-205</v>
      </c>
      <c r="AA135" s="207">
        <f t="shared" si="345"/>
        <v>-251</v>
      </c>
      <c r="AB135" s="206">
        <f>AB33</f>
        <v>-41</v>
      </c>
      <c r="AC135" s="206">
        <f t="shared" ref="AC135:AI139" si="346">AB135+AC33</f>
        <v>-90</v>
      </c>
      <c r="AD135" s="206">
        <f t="shared" si="346"/>
        <v>-144</v>
      </c>
      <c r="AE135" s="207">
        <f t="shared" si="346"/>
        <v>-215</v>
      </c>
      <c r="AF135" s="206">
        <f>AF33</f>
        <v>-51</v>
      </c>
      <c r="AG135" s="206">
        <f t="shared" si="346"/>
        <v>-140</v>
      </c>
      <c r="AH135" s="206">
        <f t="shared" si="346"/>
        <v>-222</v>
      </c>
      <c r="AI135" s="207">
        <f t="shared" si="346"/>
        <v>-329</v>
      </c>
      <c r="AJ135" s="206">
        <f>AJ33</f>
        <v>-80</v>
      </c>
      <c r="AK135" s="206">
        <f t="shared" ref="AK135:AQ139" si="347">AJ135+AK33</f>
        <v>-171</v>
      </c>
      <c r="AL135" s="206">
        <f t="shared" si="347"/>
        <v>-249</v>
      </c>
      <c r="AM135" s="207">
        <f t="shared" si="347"/>
        <v>-341</v>
      </c>
      <c r="AN135" s="206">
        <f>AN33</f>
        <v>-88</v>
      </c>
      <c r="AO135" s="206">
        <f t="shared" si="347"/>
        <v>-159</v>
      </c>
      <c r="AP135" s="206">
        <f t="shared" si="347"/>
        <v>-258</v>
      </c>
      <c r="AQ135" s="207">
        <f t="shared" si="347"/>
        <v>-389</v>
      </c>
      <c r="AR135" s="206">
        <f>AR33</f>
        <v>-161</v>
      </c>
      <c r="AS135" s="206">
        <f t="shared" ref="AS135:AT139" si="348">AR135+AS33</f>
        <v>-257</v>
      </c>
      <c r="AT135" s="206">
        <f t="shared" si="348"/>
        <v>-419</v>
      </c>
      <c r="AU135" s="207">
        <f t="shared" ref="AU135:AU139" si="349">AT135+AU33</f>
        <v>-552</v>
      </c>
      <c r="AV135" s="206">
        <f>AV33</f>
        <v>-125.94818403908796</v>
      </c>
      <c r="AW135" s="206">
        <f t="shared" ref="AW135:AW139" si="350">AV135+AW33</f>
        <v>-256.21492573289902</v>
      </c>
      <c r="AX135" s="206">
        <f t="shared" ref="AX135:AX139" si="351">AW135+AX33</f>
        <v>-391.80189833550492</v>
      </c>
      <c r="AY135" s="207">
        <f t="shared" ref="AY135:AY139" si="352">AX135+AY33</f>
        <v>-525.32079716400654</v>
      </c>
      <c r="AZ135" s="177"/>
      <c r="BA135" s="206">
        <f>G135</f>
        <v>-549</v>
      </c>
      <c r="BB135" s="206">
        <f>K135</f>
        <v>-379</v>
      </c>
      <c r="BC135" s="206">
        <f>O135</f>
        <v>-92</v>
      </c>
      <c r="BD135" s="206">
        <f>S135</f>
        <v>-258</v>
      </c>
      <c r="BE135" s="206">
        <f>W135</f>
        <v>-220</v>
      </c>
      <c r="BF135" s="206">
        <f>AA135</f>
        <v>-251</v>
      </c>
      <c r="BG135" s="206">
        <f>AE135</f>
        <v>-215</v>
      </c>
      <c r="BH135" s="206">
        <f>AI135</f>
        <v>-329</v>
      </c>
      <c r="BI135" s="206">
        <f>AM135</f>
        <v>-341</v>
      </c>
      <c r="BJ135" s="206">
        <f>AQ135</f>
        <v>-389</v>
      </c>
      <c r="BK135" s="206">
        <f t="shared" ref="BK135:BK139" si="353">AU135</f>
        <v>-552</v>
      </c>
      <c r="BL135" s="206">
        <f>AY135</f>
        <v>-525.32079716400654</v>
      </c>
      <c r="BM135" s="206">
        <f t="shared" ref="BM135:BM139" si="354">BM33</f>
        <v>-485.03303678000003</v>
      </c>
      <c r="BN135" s="206">
        <f t="shared" ref="BN135" si="355">BN33</f>
        <v>-511.81766484820002</v>
      </c>
      <c r="BO135" s="22"/>
    </row>
    <row r="136" spans="1:67" ht="14.25" customHeight="1" outlineLevel="1">
      <c r="A136" s="8"/>
      <c r="B136" s="25" t="s">
        <v>321</v>
      </c>
      <c r="C136" s="26"/>
      <c r="D136" s="208">
        <f>D34</f>
        <v>10</v>
      </c>
      <c r="E136" s="206">
        <f t="shared" si="340"/>
        <v>24</v>
      </c>
      <c r="F136" s="206">
        <f t="shared" si="340"/>
        <v>38</v>
      </c>
      <c r="G136" s="207">
        <f t="shared" si="340"/>
        <v>180</v>
      </c>
      <c r="H136" s="208">
        <f>H34</f>
        <v>21</v>
      </c>
      <c r="I136" s="206">
        <f t="shared" si="341"/>
        <v>160</v>
      </c>
      <c r="J136" s="206">
        <f t="shared" si="341"/>
        <v>180</v>
      </c>
      <c r="K136" s="207">
        <f t="shared" si="341"/>
        <v>153</v>
      </c>
      <c r="L136" s="208">
        <f>L34</f>
        <v>5</v>
      </c>
      <c r="M136" s="206">
        <f t="shared" si="342"/>
        <v>11</v>
      </c>
      <c r="N136" s="206">
        <f t="shared" si="342"/>
        <v>13</v>
      </c>
      <c r="O136" s="207">
        <f t="shared" si="342"/>
        <v>21</v>
      </c>
      <c r="P136" s="208">
        <f>P34</f>
        <v>4</v>
      </c>
      <c r="Q136" s="206">
        <f t="shared" si="343"/>
        <v>28</v>
      </c>
      <c r="R136" s="206">
        <f t="shared" si="343"/>
        <v>30</v>
      </c>
      <c r="S136" s="207">
        <f t="shared" si="343"/>
        <v>31</v>
      </c>
      <c r="T136" s="208">
        <f>T34</f>
        <v>11</v>
      </c>
      <c r="U136" s="206">
        <f t="shared" si="344"/>
        <v>13</v>
      </c>
      <c r="V136" s="206">
        <f t="shared" si="344"/>
        <v>14</v>
      </c>
      <c r="W136" s="207">
        <f t="shared" si="344"/>
        <v>14</v>
      </c>
      <c r="X136" s="208">
        <f>X34</f>
        <v>0</v>
      </c>
      <c r="Y136" s="206">
        <f t="shared" si="345"/>
        <v>1</v>
      </c>
      <c r="Z136" s="206">
        <f t="shared" si="345"/>
        <v>1</v>
      </c>
      <c r="AA136" s="207">
        <f t="shared" si="345"/>
        <v>2</v>
      </c>
      <c r="AB136" s="206">
        <f>AB34</f>
        <v>2</v>
      </c>
      <c r="AC136" s="206">
        <f t="shared" si="346"/>
        <v>5</v>
      </c>
      <c r="AD136" s="206">
        <f t="shared" si="346"/>
        <v>5</v>
      </c>
      <c r="AE136" s="207">
        <f t="shared" si="346"/>
        <v>6</v>
      </c>
      <c r="AF136" s="206">
        <f>AF34</f>
        <v>1</v>
      </c>
      <c r="AG136" s="206">
        <f t="shared" si="346"/>
        <v>1</v>
      </c>
      <c r="AH136" s="206">
        <f t="shared" si="346"/>
        <v>2</v>
      </c>
      <c r="AI136" s="207">
        <f t="shared" si="346"/>
        <v>4</v>
      </c>
      <c r="AJ136" s="206">
        <f>AJ34</f>
        <v>0</v>
      </c>
      <c r="AK136" s="206">
        <f t="shared" si="347"/>
        <v>2</v>
      </c>
      <c r="AL136" s="206">
        <f t="shared" si="347"/>
        <v>6</v>
      </c>
      <c r="AM136" s="207">
        <f t="shared" si="347"/>
        <v>7</v>
      </c>
      <c r="AN136" s="206">
        <f>AN34</f>
        <v>0</v>
      </c>
      <c r="AO136" s="206">
        <f t="shared" si="347"/>
        <v>0</v>
      </c>
      <c r="AP136" s="206">
        <f t="shared" si="347"/>
        <v>1</v>
      </c>
      <c r="AQ136" s="207">
        <f t="shared" si="347"/>
        <v>1</v>
      </c>
      <c r="AR136" s="206">
        <f>AR34</f>
        <v>0</v>
      </c>
      <c r="AS136" s="206">
        <f t="shared" si="348"/>
        <v>0</v>
      </c>
      <c r="AT136" s="206">
        <f t="shared" si="348"/>
        <v>1</v>
      </c>
      <c r="AU136" s="207">
        <f t="shared" si="349"/>
        <v>2</v>
      </c>
      <c r="AV136" s="206">
        <f>AV34</f>
        <v>0</v>
      </c>
      <c r="AW136" s="206">
        <f t="shared" si="350"/>
        <v>0</v>
      </c>
      <c r="AX136" s="206">
        <f t="shared" si="351"/>
        <v>0</v>
      </c>
      <c r="AY136" s="207">
        <f t="shared" si="352"/>
        <v>0</v>
      </c>
      <c r="AZ136" s="177"/>
      <c r="BA136" s="206">
        <f>G136</f>
        <v>180</v>
      </c>
      <c r="BB136" s="206">
        <f>K136</f>
        <v>153</v>
      </c>
      <c r="BC136" s="206">
        <f>O136</f>
        <v>21</v>
      </c>
      <c r="BD136" s="206">
        <f>S136</f>
        <v>31</v>
      </c>
      <c r="BE136" s="206">
        <f>W136</f>
        <v>14</v>
      </c>
      <c r="BF136" s="206">
        <f>AA136</f>
        <v>2</v>
      </c>
      <c r="BG136" s="206">
        <f>AE136</f>
        <v>6</v>
      </c>
      <c r="BH136" s="206">
        <f>AI136</f>
        <v>4</v>
      </c>
      <c r="BI136" s="206">
        <f>AM136</f>
        <v>7</v>
      </c>
      <c r="BJ136" s="206">
        <f>AQ136</f>
        <v>1</v>
      </c>
      <c r="BK136" s="206">
        <f t="shared" si="353"/>
        <v>2</v>
      </c>
      <c r="BL136" s="206">
        <f>AY136</f>
        <v>0</v>
      </c>
      <c r="BM136" s="206">
        <f t="shared" si="354"/>
        <v>0</v>
      </c>
      <c r="BN136" s="206">
        <f t="shared" ref="BN136" si="356">BN34</f>
        <v>0</v>
      </c>
      <c r="BO136" s="22"/>
    </row>
    <row r="137" spans="1:67" ht="14.25" customHeight="1" outlineLevel="1">
      <c r="A137" s="8"/>
      <c r="B137" s="25" t="s">
        <v>320</v>
      </c>
      <c r="C137" s="26"/>
      <c r="D137" s="208">
        <f>D35</f>
        <v>-281</v>
      </c>
      <c r="E137" s="206">
        <f t="shared" si="340"/>
        <v>-417</v>
      </c>
      <c r="F137" s="206">
        <f t="shared" si="340"/>
        <v>-259</v>
      </c>
      <c r="G137" s="207">
        <f t="shared" si="340"/>
        <v>-270</v>
      </c>
      <c r="H137" s="208">
        <f>H35</f>
        <v>-72</v>
      </c>
      <c r="I137" s="206">
        <f t="shared" si="341"/>
        <v>-76</v>
      </c>
      <c r="J137" s="206">
        <f t="shared" si="341"/>
        <v>1377</v>
      </c>
      <c r="K137" s="207">
        <f t="shared" si="341"/>
        <v>1388</v>
      </c>
      <c r="L137" s="208">
        <f>L35</f>
        <v>100</v>
      </c>
      <c r="M137" s="206">
        <f t="shared" si="342"/>
        <v>105</v>
      </c>
      <c r="N137" s="206">
        <f t="shared" si="342"/>
        <v>108</v>
      </c>
      <c r="O137" s="207">
        <f t="shared" si="342"/>
        <v>123</v>
      </c>
      <c r="P137" s="208">
        <f>P35</f>
        <v>-47</v>
      </c>
      <c r="Q137" s="206">
        <f t="shared" si="343"/>
        <v>-47</v>
      </c>
      <c r="R137" s="206">
        <f t="shared" si="343"/>
        <v>-47</v>
      </c>
      <c r="S137" s="207">
        <f t="shared" si="343"/>
        <v>-60</v>
      </c>
      <c r="T137" s="208">
        <f>T35</f>
        <v>0</v>
      </c>
      <c r="U137" s="206">
        <f t="shared" si="344"/>
        <v>0</v>
      </c>
      <c r="V137" s="206">
        <f t="shared" si="344"/>
        <v>0</v>
      </c>
      <c r="W137" s="207">
        <f t="shared" si="344"/>
        <v>0</v>
      </c>
      <c r="X137" s="208">
        <f>X35</f>
        <v>0</v>
      </c>
      <c r="Y137" s="206">
        <f t="shared" si="345"/>
        <v>-2</v>
      </c>
      <c r="Z137" s="206">
        <f t="shared" si="345"/>
        <v>-2</v>
      </c>
      <c r="AA137" s="207">
        <f t="shared" si="345"/>
        <v>-2</v>
      </c>
      <c r="AB137" s="206">
        <f>AB35</f>
        <v>0</v>
      </c>
      <c r="AC137" s="206">
        <f t="shared" si="346"/>
        <v>0</v>
      </c>
      <c r="AD137" s="206">
        <f t="shared" si="346"/>
        <v>0</v>
      </c>
      <c r="AE137" s="207">
        <f t="shared" si="346"/>
        <v>0</v>
      </c>
      <c r="AF137" s="206">
        <f>AF35</f>
        <v>0</v>
      </c>
      <c r="AG137" s="206">
        <f t="shared" si="346"/>
        <v>-1</v>
      </c>
      <c r="AH137" s="206">
        <f t="shared" si="346"/>
        <v>-1</v>
      </c>
      <c r="AI137" s="207">
        <f t="shared" si="346"/>
        <v>-7</v>
      </c>
      <c r="AJ137" s="206">
        <f>AJ35</f>
        <v>-103</v>
      </c>
      <c r="AK137" s="206">
        <f t="shared" si="347"/>
        <v>-105</v>
      </c>
      <c r="AL137" s="206">
        <f t="shared" si="347"/>
        <v>-105</v>
      </c>
      <c r="AM137" s="207">
        <f t="shared" si="347"/>
        <v>-88</v>
      </c>
      <c r="AN137" s="206">
        <f>AN35</f>
        <v>-2</v>
      </c>
      <c r="AO137" s="206">
        <f t="shared" si="347"/>
        <v>-2</v>
      </c>
      <c r="AP137" s="206">
        <f t="shared" si="347"/>
        <v>-200</v>
      </c>
      <c r="AQ137" s="207">
        <f t="shared" si="347"/>
        <v>-200</v>
      </c>
      <c r="AR137" s="206">
        <f>AR35</f>
        <v>2614</v>
      </c>
      <c r="AS137" s="206">
        <f t="shared" si="348"/>
        <v>2668</v>
      </c>
      <c r="AT137" s="206">
        <f t="shared" si="348"/>
        <v>2682</v>
      </c>
      <c r="AU137" s="207">
        <f t="shared" si="349"/>
        <v>2682</v>
      </c>
      <c r="AV137" s="206">
        <f>AV35</f>
        <v>0</v>
      </c>
      <c r="AW137" s="206">
        <f t="shared" si="350"/>
        <v>0</v>
      </c>
      <c r="AX137" s="206">
        <f t="shared" si="351"/>
        <v>0</v>
      </c>
      <c r="AY137" s="207">
        <f t="shared" si="352"/>
        <v>0</v>
      </c>
      <c r="AZ137" s="177"/>
      <c r="BA137" s="206">
        <f>G137</f>
        <v>-270</v>
      </c>
      <c r="BB137" s="206">
        <f>K137</f>
        <v>1388</v>
      </c>
      <c r="BC137" s="206">
        <f>O137</f>
        <v>123</v>
      </c>
      <c r="BD137" s="206">
        <f>S137</f>
        <v>-60</v>
      </c>
      <c r="BE137" s="206">
        <f>W137</f>
        <v>0</v>
      </c>
      <c r="BF137" s="206">
        <f>AA137</f>
        <v>-2</v>
      </c>
      <c r="BG137" s="206">
        <f>AE137</f>
        <v>0</v>
      </c>
      <c r="BH137" s="206">
        <f>AI137</f>
        <v>-7</v>
      </c>
      <c r="BI137" s="206">
        <f>AM137</f>
        <v>-88</v>
      </c>
      <c r="BJ137" s="206">
        <f>AQ137</f>
        <v>-200</v>
      </c>
      <c r="BK137" s="206">
        <f t="shared" si="353"/>
        <v>2682</v>
      </c>
      <c r="BL137" s="206">
        <f>AY137</f>
        <v>0</v>
      </c>
      <c r="BM137" s="206">
        <f t="shared" si="354"/>
        <v>0</v>
      </c>
      <c r="BN137" s="206">
        <f t="shared" ref="BN137" si="357">BN35</f>
        <v>0</v>
      </c>
      <c r="BO137" s="22"/>
    </row>
    <row r="138" spans="1:67" ht="14.25" customHeight="1" outlineLevel="1">
      <c r="A138" s="8"/>
      <c r="B138" s="25" t="s">
        <v>275</v>
      </c>
      <c r="C138" s="26"/>
      <c r="D138" s="208">
        <f>D36</f>
        <v>-4</v>
      </c>
      <c r="E138" s="206">
        <f t="shared" si="340"/>
        <v>-8</v>
      </c>
      <c r="F138" s="206">
        <f t="shared" si="340"/>
        <v>-31</v>
      </c>
      <c r="G138" s="207">
        <f t="shared" si="340"/>
        <v>-37</v>
      </c>
      <c r="H138" s="208">
        <f>H36</f>
        <v>-4</v>
      </c>
      <c r="I138" s="206">
        <f t="shared" si="341"/>
        <v>-8</v>
      </c>
      <c r="J138" s="206">
        <f t="shared" si="341"/>
        <v>-9</v>
      </c>
      <c r="K138" s="207">
        <f t="shared" si="341"/>
        <v>-32</v>
      </c>
      <c r="L138" s="208">
        <f>L36</f>
        <v>-1</v>
      </c>
      <c r="M138" s="206">
        <f t="shared" si="342"/>
        <v>-3</v>
      </c>
      <c r="N138" s="206">
        <f t="shared" si="342"/>
        <v>-6</v>
      </c>
      <c r="O138" s="207">
        <f t="shared" si="342"/>
        <v>-8</v>
      </c>
      <c r="P138" s="208">
        <f>P36</f>
        <v>-1</v>
      </c>
      <c r="Q138" s="206">
        <f t="shared" si="343"/>
        <v>-2</v>
      </c>
      <c r="R138" s="206">
        <f t="shared" si="343"/>
        <v>-4</v>
      </c>
      <c r="S138" s="207">
        <f t="shared" si="343"/>
        <v>-7</v>
      </c>
      <c r="T138" s="208">
        <f>T36</f>
        <v>-2</v>
      </c>
      <c r="U138" s="206">
        <f t="shared" si="344"/>
        <v>-4</v>
      </c>
      <c r="V138" s="206">
        <f t="shared" si="344"/>
        <v>-5</v>
      </c>
      <c r="W138" s="207">
        <f t="shared" si="344"/>
        <v>-10</v>
      </c>
      <c r="X138" s="208">
        <f>X36</f>
        <v>-7</v>
      </c>
      <c r="Y138" s="206">
        <f t="shared" si="345"/>
        <v>-14</v>
      </c>
      <c r="Z138" s="206">
        <f t="shared" si="345"/>
        <v>-21</v>
      </c>
      <c r="AA138" s="207">
        <f t="shared" si="345"/>
        <v>-29</v>
      </c>
      <c r="AB138" s="206">
        <f>AB36</f>
        <v>-6</v>
      </c>
      <c r="AC138" s="206">
        <f t="shared" si="346"/>
        <v>-17</v>
      </c>
      <c r="AD138" s="206">
        <f t="shared" si="346"/>
        <v>-27</v>
      </c>
      <c r="AE138" s="207">
        <f t="shared" si="346"/>
        <v>-35</v>
      </c>
      <c r="AF138" s="206">
        <f>AF36</f>
        <v>-9</v>
      </c>
      <c r="AG138" s="206">
        <f t="shared" si="346"/>
        <v>-18</v>
      </c>
      <c r="AH138" s="206">
        <f t="shared" si="346"/>
        <v>-26</v>
      </c>
      <c r="AI138" s="207">
        <f t="shared" si="346"/>
        <v>-36</v>
      </c>
      <c r="AJ138" s="206">
        <f>AJ36</f>
        <v>-2</v>
      </c>
      <c r="AK138" s="206">
        <f t="shared" si="347"/>
        <v>-6</v>
      </c>
      <c r="AL138" s="206">
        <f t="shared" si="347"/>
        <v>-7</v>
      </c>
      <c r="AM138" s="207">
        <f t="shared" si="347"/>
        <v>-12</v>
      </c>
      <c r="AN138" s="206">
        <f>AN36</f>
        <v>-18</v>
      </c>
      <c r="AO138" s="206">
        <f t="shared" si="347"/>
        <v>0</v>
      </c>
      <c r="AP138" s="206">
        <f t="shared" si="347"/>
        <v>-9</v>
      </c>
      <c r="AQ138" s="207">
        <f t="shared" si="347"/>
        <v>-34</v>
      </c>
      <c r="AR138" s="206">
        <f>AR36</f>
        <v>-24</v>
      </c>
      <c r="AS138" s="206">
        <f t="shared" si="348"/>
        <v>-40</v>
      </c>
      <c r="AT138" s="206">
        <f t="shared" si="348"/>
        <v>-56</v>
      </c>
      <c r="AU138" s="207">
        <f t="shared" si="349"/>
        <v>-66</v>
      </c>
      <c r="AV138" s="206">
        <f>AV36</f>
        <v>-10</v>
      </c>
      <c r="AW138" s="206">
        <f t="shared" si="350"/>
        <v>-20</v>
      </c>
      <c r="AX138" s="206">
        <f t="shared" si="351"/>
        <v>-30</v>
      </c>
      <c r="AY138" s="207">
        <f t="shared" si="352"/>
        <v>-40</v>
      </c>
      <c r="AZ138" s="177"/>
      <c r="BA138" s="206">
        <f>G138</f>
        <v>-37</v>
      </c>
      <c r="BB138" s="206">
        <f>K138</f>
        <v>-32</v>
      </c>
      <c r="BC138" s="206">
        <f>O138</f>
        <v>-8</v>
      </c>
      <c r="BD138" s="206">
        <f>S138</f>
        <v>-7</v>
      </c>
      <c r="BE138" s="206">
        <f>W138</f>
        <v>-10</v>
      </c>
      <c r="BF138" s="206">
        <f>AA138</f>
        <v>-29</v>
      </c>
      <c r="BG138" s="206">
        <f>AE138</f>
        <v>-35</v>
      </c>
      <c r="BH138" s="206">
        <f>AI138</f>
        <v>-36</v>
      </c>
      <c r="BI138" s="206">
        <f>AM138</f>
        <v>-12</v>
      </c>
      <c r="BJ138" s="206">
        <f>AQ138</f>
        <v>-34</v>
      </c>
      <c r="BK138" s="206">
        <f t="shared" si="353"/>
        <v>-66</v>
      </c>
      <c r="BL138" s="206">
        <f>AY138</f>
        <v>-40</v>
      </c>
      <c r="BM138" s="206">
        <f t="shared" si="354"/>
        <v>-40</v>
      </c>
      <c r="BN138" s="206">
        <f t="shared" ref="BN138" si="358">BN36</f>
        <v>-40</v>
      </c>
      <c r="BO138" s="22"/>
    </row>
    <row r="139" spans="1:67" ht="14.25" customHeight="1" outlineLevel="1">
      <c r="A139" s="11"/>
      <c r="B139" s="25" t="s">
        <v>195</v>
      </c>
      <c r="C139" s="26"/>
      <c r="D139" s="208">
        <f>D37</f>
        <v>0</v>
      </c>
      <c r="E139" s="206">
        <f t="shared" si="340"/>
        <v>0</v>
      </c>
      <c r="F139" s="206">
        <f t="shared" si="340"/>
        <v>4</v>
      </c>
      <c r="G139" s="207">
        <f t="shared" si="340"/>
        <v>-2</v>
      </c>
      <c r="H139" s="208">
        <f>H37</f>
        <v>0</v>
      </c>
      <c r="I139" s="206">
        <f t="shared" si="341"/>
        <v>-7</v>
      </c>
      <c r="J139" s="206">
        <f t="shared" si="341"/>
        <v>-118</v>
      </c>
      <c r="K139" s="207">
        <f t="shared" si="341"/>
        <v>-115</v>
      </c>
      <c r="L139" s="208">
        <f>L37</f>
        <v>20</v>
      </c>
      <c r="M139" s="206">
        <f t="shared" si="342"/>
        <v>20</v>
      </c>
      <c r="N139" s="206">
        <f t="shared" si="342"/>
        <v>20</v>
      </c>
      <c r="O139" s="207">
        <f t="shared" si="342"/>
        <v>19</v>
      </c>
      <c r="P139" s="208">
        <f>P37</f>
        <v>0</v>
      </c>
      <c r="Q139" s="206">
        <f t="shared" si="343"/>
        <v>0</v>
      </c>
      <c r="R139" s="206">
        <f t="shared" si="343"/>
        <v>18</v>
      </c>
      <c r="S139" s="207">
        <f t="shared" si="343"/>
        <v>25</v>
      </c>
      <c r="T139" s="208">
        <f>T37</f>
        <v>1</v>
      </c>
      <c r="U139" s="206">
        <f t="shared" si="344"/>
        <v>1</v>
      </c>
      <c r="V139" s="206">
        <f t="shared" si="344"/>
        <v>2</v>
      </c>
      <c r="W139" s="207">
        <f t="shared" si="344"/>
        <v>14</v>
      </c>
      <c r="X139" s="208">
        <f>X37</f>
        <v>1</v>
      </c>
      <c r="Y139" s="206">
        <f t="shared" si="345"/>
        <v>1</v>
      </c>
      <c r="Z139" s="206">
        <f t="shared" si="345"/>
        <v>29</v>
      </c>
      <c r="AA139" s="207">
        <f t="shared" si="345"/>
        <v>37</v>
      </c>
      <c r="AB139" s="206">
        <f>AB37</f>
        <v>2</v>
      </c>
      <c r="AC139" s="206">
        <f t="shared" si="346"/>
        <v>3</v>
      </c>
      <c r="AD139" s="206">
        <f t="shared" si="346"/>
        <v>1</v>
      </c>
      <c r="AE139" s="207">
        <f t="shared" si="346"/>
        <v>4</v>
      </c>
      <c r="AF139" s="206">
        <f>AF37</f>
        <v>3</v>
      </c>
      <c r="AG139" s="206">
        <f t="shared" si="346"/>
        <v>-7</v>
      </c>
      <c r="AH139" s="206">
        <f t="shared" si="346"/>
        <v>-8</v>
      </c>
      <c r="AI139" s="207">
        <f t="shared" si="346"/>
        <v>-19</v>
      </c>
      <c r="AJ139" s="206">
        <f>AJ37</f>
        <v>2</v>
      </c>
      <c r="AK139" s="206">
        <f t="shared" si="347"/>
        <v>3</v>
      </c>
      <c r="AL139" s="206">
        <f t="shared" si="347"/>
        <v>2</v>
      </c>
      <c r="AM139" s="207">
        <f t="shared" si="347"/>
        <v>4</v>
      </c>
      <c r="AN139" s="206">
        <f>AN37</f>
        <v>2</v>
      </c>
      <c r="AO139" s="206">
        <f t="shared" si="347"/>
        <v>-4</v>
      </c>
      <c r="AP139" s="206">
        <f t="shared" si="347"/>
        <v>-4</v>
      </c>
      <c r="AQ139" s="207">
        <f t="shared" si="347"/>
        <v>-5</v>
      </c>
      <c r="AR139" s="206">
        <f>AR37</f>
        <v>-1</v>
      </c>
      <c r="AS139" s="206">
        <f t="shared" si="348"/>
        <v>-1</v>
      </c>
      <c r="AT139" s="206">
        <f t="shared" si="348"/>
        <v>-1</v>
      </c>
      <c r="AU139" s="207">
        <f t="shared" si="349"/>
        <v>6</v>
      </c>
      <c r="AV139" s="206">
        <f>AV37</f>
        <v>0</v>
      </c>
      <c r="AW139" s="206">
        <f t="shared" si="350"/>
        <v>0</v>
      </c>
      <c r="AX139" s="206">
        <f t="shared" si="351"/>
        <v>0</v>
      </c>
      <c r="AY139" s="207">
        <f t="shared" si="352"/>
        <v>0</v>
      </c>
      <c r="AZ139" s="177"/>
      <c r="BA139" s="206">
        <f>G139</f>
        <v>-2</v>
      </c>
      <c r="BB139" s="206">
        <f>K139</f>
        <v>-115</v>
      </c>
      <c r="BC139" s="206">
        <f>O139</f>
        <v>19</v>
      </c>
      <c r="BD139" s="206">
        <f>S139</f>
        <v>25</v>
      </c>
      <c r="BE139" s="206">
        <f>W139</f>
        <v>14</v>
      </c>
      <c r="BF139" s="206">
        <f>AA139</f>
        <v>37</v>
      </c>
      <c r="BG139" s="206">
        <f>AE139</f>
        <v>4</v>
      </c>
      <c r="BH139" s="206">
        <f>AI139</f>
        <v>-19</v>
      </c>
      <c r="BI139" s="206">
        <f>AM139</f>
        <v>4</v>
      </c>
      <c r="BJ139" s="206">
        <f>AQ139</f>
        <v>-5</v>
      </c>
      <c r="BK139" s="206">
        <f t="shared" si="353"/>
        <v>6</v>
      </c>
      <c r="BL139" s="206">
        <f>AY139</f>
        <v>0</v>
      </c>
      <c r="BM139" s="206">
        <f t="shared" si="354"/>
        <v>0</v>
      </c>
      <c r="BN139" s="206">
        <f t="shared" ref="BN139" si="359">BN37</f>
        <v>0</v>
      </c>
      <c r="BO139" s="23"/>
    </row>
    <row r="140" spans="1:67" ht="14.25" customHeight="1" outlineLevel="1" thickBot="1">
      <c r="A140" s="8"/>
      <c r="B140" s="212" t="s">
        <v>196</v>
      </c>
      <c r="C140" s="213"/>
      <c r="D140" s="215">
        <f t="shared" ref="D140:Y140" si="360">SUM(D135:D139)</f>
        <v>-381</v>
      </c>
      <c r="E140" s="214">
        <f t="shared" si="360"/>
        <v>-625</v>
      </c>
      <c r="F140" s="214">
        <f t="shared" si="360"/>
        <v>-618</v>
      </c>
      <c r="G140" s="216">
        <f t="shared" si="360"/>
        <v>-678</v>
      </c>
      <c r="H140" s="215">
        <f t="shared" si="360"/>
        <v>-198</v>
      </c>
      <c r="I140" s="214">
        <f t="shared" si="360"/>
        <v>-213</v>
      </c>
      <c r="J140" s="214">
        <f t="shared" si="360"/>
        <v>1086</v>
      </c>
      <c r="K140" s="216">
        <f t="shared" si="360"/>
        <v>1015</v>
      </c>
      <c r="L140" s="215">
        <f t="shared" si="360"/>
        <v>88</v>
      </c>
      <c r="M140" s="214">
        <f t="shared" si="360"/>
        <v>91</v>
      </c>
      <c r="N140" s="214">
        <f t="shared" si="360"/>
        <v>82</v>
      </c>
      <c r="O140" s="216">
        <f t="shared" si="360"/>
        <v>63</v>
      </c>
      <c r="P140" s="215">
        <f t="shared" si="360"/>
        <v>-93</v>
      </c>
      <c r="Q140" s="214">
        <f t="shared" si="360"/>
        <v>-141</v>
      </c>
      <c r="R140" s="214">
        <f t="shared" si="360"/>
        <v>-184</v>
      </c>
      <c r="S140" s="216">
        <f t="shared" si="360"/>
        <v>-269</v>
      </c>
      <c r="T140" s="215">
        <f t="shared" si="360"/>
        <v>-54</v>
      </c>
      <c r="U140" s="214">
        <f t="shared" si="360"/>
        <v>-125</v>
      </c>
      <c r="V140" s="214">
        <f t="shared" ref="V140:AF140" si="361">SUM(V135:V139)</f>
        <v>-169</v>
      </c>
      <c r="W140" s="216">
        <f t="shared" si="360"/>
        <v>-202</v>
      </c>
      <c r="X140" s="215">
        <f t="shared" si="360"/>
        <v>-45</v>
      </c>
      <c r="Y140" s="214">
        <f t="shared" si="360"/>
        <v>-127</v>
      </c>
      <c r="Z140" s="214">
        <f t="shared" si="361"/>
        <v>-198</v>
      </c>
      <c r="AA140" s="216">
        <f t="shared" si="361"/>
        <v>-243</v>
      </c>
      <c r="AB140" s="214">
        <f t="shared" si="361"/>
        <v>-43</v>
      </c>
      <c r="AC140" s="214">
        <f t="shared" si="361"/>
        <v>-99</v>
      </c>
      <c r="AD140" s="214">
        <f t="shared" si="361"/>
        <v>-165</v>
      </c>
      <c r="AE140" s="216">
        <f t="shared" si="361"/>
        <v>-240</v>
      </c>
      <c r="AF140" s="214">
        <f t="shared" si="361"/>
        <v>-56</v>
      </c>
      <c r="AG140" s="214">
        <f>SUM(AG135:AG139)</f>
        <v>-165</v>
      </c>
      <c r="AH140" s="214">
        <f>SUM(AH135:AH139)</f>
        <v>-255</v>
      </c>
      <c r="AI140" s="216">
        <f>SUM(AI135:AI139)</f>
        <v>-387</v>
      </c>
      <c r="AJ140" s="214">
        <f t="shared" ref="AJ140:AK140" si="362">SUM(AJ135:AJ139)</f>
        <v>-183</v>
      </c>
      <c r="AK140" s="214">
        <f t="shared" si="362"/>
        <v>-277</v>
      </c>
      <c r="AL140" s="214">
        <f>SUM(AL135:AL139)</f>
        <v>-353</v>
      </c>
      <c r="AM140" s="216">
        <f>SUM(AM135:AM139)</f>
        <v>-430</v>
      </c>
      <c r="AN140" s="214">
        <f t="shared" ref="AN140:AO140" si="363">SUM(AN135:AN139)</f>
        <v>-106</v>
      </c>
      <c r="AO140" s="214">
        <f t="shared" si="363"/>
        <v>-165</v>
      </c>
      <c r="AP140" s="214">
        <f>SUM(AP135:AP139)</f>
        <v>-470</v>
      </c>
      <c r="AQ140" s="216">
        <f>SUM(AQ135:AQ139)</f>
        <v>-627</v>
      </c>
      <c r="AR140" s="214">
        <f t="shared" ref="AR140:AU140" si="364">SUM(AR135:AR139)</f>
        <v>2428</v>
      </c>
      <c r="AS140" s="214">
        <f t="shared" si="364"/>
        <v>2370</v>
      </c>
      <c r="AT140" s="214">
        <f>SUM(AT135:AT139)</f>
        <v>2207</v>
      </c>
      <c r="AU140" s="216">
        <f t="shared" si="364"/>
        <v>2072</v>
      </c>
      <c r="AV140" s="214">
        <f t="shared" ref="AV140:AY140" si="365">SUM(AV135:AV139)</f>
        <v>-135.94818403908795</v>
      </c>
      <c r="AW140" s="214">
        <f t="shared" si="365"/>
        <v>-276.21492573289902</v>
      </c>
      <c r="AX140" s="214">
        <f t="shared" si="365"/>
        <v>-421.80189833550492</v>
      </c>
      <c r="AY140" s="216">
        <f t="shared" si="365"/>
        <v>-565.32079716400654</v>
      </c>
      <c r="AZ140" s="177"/>
      <c r="BA140" s="214">
        <f t="shared" ref="BA140:BM140" si="366">SUM(BA135:BA139)</f>
        <v>-678</v>
      </c>
      <c r="BB140" s="214">
        <f t="shared" si="366"/>
        <v>1015</v>
      </c>
      <c r="BC140" s="214">
        <f t="shared" si="366"/>
        <v>63</v>
      </c>
      <c r="BD140" s="214">
        <f t="shared" si="366"/>
        <v>-269</v>
      </c>
      <c r="BE140" s="214">
        <f t="shared" si="366"/>
        <v>-202</v>
      </c>
      <c r="BF140" s="214">
        <f t="shared" si="366"/>
        <v>-243</v>
      </c>
      <c r="BG140" s="214">
        <f t="shared" si="366"/>
        <v>-240</v>
      </c>
      <c r="BH140" s="214">
        <f t="shared" si="366"/>
        <v>-387</v>
      </c>
      <c r="BI140" s="214">
        <f t="shared" si="366"/>
        <v>-430</v>
      </c>
      <c r="BJ140" s="214">
        <f t="shared" si="366"/>
        <v>-627</v>
      </c>
      <c r="BK140" s="214">
        <f t="shared" ref="BK140:BL140" si="367">SUM(BK135:BK139)</f>
        <v>2072</v>
      </c>
      <c r="BL140" s="214">
        <f t="shared" si="367"/>
        <v>-565.32079716400654</v>
      </c>
      <c r="BM140" s="214">
        <f t="shared" si="366"/>
        <v>-525.03303677999997</v>
      </c>
      <c r="BN140" s="214">
        <f t="shared" ref="BN140" si="368">SUM(BN135:BN139)</f>
        <v>-551.81766484820002</v>
      </c>
      <c r="BO140" s="22"/>
    </row>
    <row r="141" spans="1:67" ht="14.25" customHeight="1" outlineLevel="1" thickTop="1">
      <c r="A141" s="8"/>
      <c r="B141" s="23"/>
      <c r="C141" s="24"/>
      <c r="D141" s="211"/>
      <c r="E141" s="209"/>
      <c r="F141" s="206"/>
      <c r="G141" s="207"/>
      <c r="H141" s="211"/>
      <c r="I141" s="209"/>
      <c r="J141" s="206"/>
      <c r="K141" s="207"/>
      <c r="L141" s="211"/>
      <c r="M141" s="209"/>
      <c r="N141" s="206"/>
      <c r="O141" s="207"/>
      <c r="P141" s="211"/>
      <c r="Q141" s="209"/>
      <c r="R141" s="206"/>
      <c r="S141" s="207"/>
      <c r="T141" s="211"/>
      <c r="U141" s="209"/>
      <c r="V141" s="209"/>
      <c r="W141" s="207"/>
      <c r="X141" s="211"/>
      <c r="Y141" s="209"/>
      <c r="Z141" s="209"/>
      <c r="AA141" s="210"/>
      <c r="AB141" s="209"/>
      <c r="AC141" s="209"/>
      <c r="AD141" s="209"/>
      <c r="AE141" s="210"/>
      <c r="AF141" s="209"/>
      <c r="AG141" s="209"/>
      <c r="AH141" s="209"/>
      <c r="AI141" s="210"/>
      <c r="AJ141" s="209"/>
      <c r="AK141" s="209"/>
      <c r="AL141" s="209"/>
      <c r="AM141" s="210"/>
      <c r="AN141" s="209"/>
      <c r="AO141" s="209"/>
      <c r="AP141" s="209"/>
      <c r="AQ141" s="210"/>
      <c r="AR141" s="209"/>
      <c r="AS141" s="209"/>
      <c r="AT141" s="209"/>
      <c r="AU141" s="210"/>
      <c r="AV141" s="209"/>
      <c r="AW141" s="209"/>
      <c r="AX141" s="209"/>
      <c r="AY141" s="210"/>
      <c r="AZ141" s="177"/>
      <c r="BA141" s="209"/>
      <c r="BB141" s="209"/>
      <c r="BC141" s="209"/>
      <c r="BD141" s="209"/>
      <c r="BE141" s="209"/>
      <c r="BF141" s="209"/>
      <c r="BG141" s="209"/>
      <c r="BH141" s="209"/>
      <c r="BI141" s="209"/>
      <c r="BJ141" s="209"/>
      <c r="BK141" s="209"/>
      <c r="BL141" s="209"/>
      <c r="BM141" s="209"/>
      <c r="BN141" s="209"/>
      <c r="BO141" s="22"/>
    </row>
    <row r="142" spans="1:67" ht="14.25" customHeight="1" outlineLevel="1">
      <c r="A142" s="8"/>
      <c r="B142" s="217" t="s">
        <v>197</v>
      </c>
      <c r="C142" s="218"/>
      <c r="D142" s="211"/>
      <c r="E142" s="219"/>
      <c r="F142" s="206"/>
      <c r="G142" s="207"/>
      <c r="H142" s="211"/>
      <c r="I142" s="219"/>
      <c r="J142" s="206"/>
      <c r="K142" s="207"/>
      <c r="L142" s="211"/>
      <c r="M142" s="219"/>
      <c r="N142" s="206"/>
      <c r="O142" s="207"/>
      <c r="P142" s="211"/>
      <c r="Q142" s="219"/>
      <c r="R142" s="206"/>
      <c r="S142" s="207"/>
      <c r="T142" s="211"/>
      <c r="U142" s="219"/>
      <c r="V142" s="209"/>
      <c r="W142" s="207"/>
      <c r="X142" s="211"/>
      <c r="Y142" s="219"/>
      <c r="Z142" s="209"/>
      <c r="AA142" s="210"/>
      <c r="AB142" s="209"/>
      <c r="AC142" s="209"/>
      <c r="AD142" s="209"/>
      <c r="AE142" s="210"/>
      <c r="AF142" s="209"/>
      <c r="AG142" s="209"/>
      <c r="AH142" s="209"/>
      <c r="AI142" s="210"/>
      <c r="AJ142" s="209"/>
      <c r="AK142" s="209"/>
      <c r="AL142" s="209"/>
      <c r="AM142" s="210"/>
      <c r="AN142" s="209"/>
      <c r="AO142" s="209"/>
      <c r="AP142" s="209"/>
      <c r="AQ142" s="210"/>
      <c r="AR142" s="209"/>
      <c r="AS142" s="209"/>
      <c r="AT142" s="209"/>
      <c r="AU142" s="210"/>
      <c r="AV142" s="209"/>
      <c r="AW142" s="209"/>
      <c r="AX142" s="209"/>
      <c r="AY142" s="210"/>
      <c r="AZ142" s="177"/>
      <c r="BA142" s="209"/>
      <c r="BB142" s="209"/>
      <c r="BC142" s="209"/>
      <c r="BD142" s="209"/>
      <c r="BE142" s="209"/>
      <c r="BF142" s="209"/>
      <c r="BG142" s="209"/>
      <c r="BH142" s="209"/>
      <c r="BI142" s="209"/>
      <c r="BJ142" s="209"/>
      <c r="BK142" s="209"/>
      <c r="BL142" s="209"/>
      <c r="BM142" s="209"/>
      <c r="BN142" s="209"/>
      <c r="BO142" s="22"/>
    </row>
    <row r="143" spans="1:67" ht="14.25" customHeight="1" outlineLevel="1">
      <c r="A143" s="8"/>
      <c r="B143" s="25" t="s">
        <v>276</v>
      </c>
      <c r="C143" s="26"/>
      <c r="D143" s="208">
        <f>D41</f>
        <v>-9</v>
      </c>
      <c r="E143" s="206">
        <f t="shared" ref="E143:G147" si="369">D143+E41</f>
        <v>-18</v>
      </c>
      <c r="F143" s="206">
        <f t="shared" si="369"/>
        <v>-19</v>
      </c>
      <c r="G143" s="207">
        <f t="shared" si="369"/>
        <v>-22</v>
      </c>
      <c r="H143" s="208">
        <f>H41</f>
        <v>1</v>
      </c>
      <c r="I143" s="206">
        <f t="shared" ref="I143:K147" si="370">H143+I41</f>
        <v>459</v>
      </c>
      <c r="J143" s="206">
        <f t="shared" si="370"/>
        <v>9</v>
      </c>
      <c r="K143" s="207">
        <f t="shared" si="370"/>
        <v>394</v>
      </c>
      <c r="L143" s="208">
        <f>L41</f>
        <v>8</v>
      </c>
      <c r="M143" s="206">
        <f t="shared" ref="M143:O147" si="371">L143+M41</f>
        <v>4</v>
      </c>
      <c r="N143" s="206">
        <f t="shared" si="371"/>
        <v>-280</v>
      </c>
      <c r="O143" s="207">
        <f t="shared" si="371"/>
        <v>-280</v>
      </c>
      <c r="P143" s="208">
        <f>P41</f>
        <v>-11</v>
      </c>
      <c r="Q143" s="206">
        <f t="shared" ref="Q143:S147" si="372">P143+Q41</f>
        <v>-14</v>
      </c>
      <c r="R143" s="206">
        <f t="shared" si="372"/>
        <v>-411</v>
      </c>
      <c r="S143" s="207">
        <f t="shared" si="372"/>
        <v>-403</v>
      </c>
      <c r="T143" s="208">
        <f>T41</f>
        <v>8</v>
      </c>
      <c r="U143" s="206">
        <f t="shared" ref="U143:W147" si="373">T143+U41</f>
        <v>-173</v>
      </c>
      <c r="V143" s="206">
        <f t="shared" si="373"/>
        <v>-399</v>
      </c>
      <c r="W143" s="207">
        <f t="shared" si="373"/>
        <v>-412</v>
      </c>
      <c r="X143" s="208">
        <f>X41</f>
        <v>-494</v>
      </c>
      <c r="Y143" s="206">
        <f t="shared" ref="Y143:AA147" si="374">X143+Y41</f>
        <v>-497</v>
      </c>
      <c r="Z143" s="206">
        <f t="shared" si="374"/>
        <v>-757</v>
      </c>
      <c r="AA143" s="207">
        <f t="shared" si="374"/>
        <v>-972</v>
      </c>
      <c r="AB143" s="206">
        <f>AB41</f>
        <v>-95</v>
      </c>
      <c r="AC143" s="206">
        <f t="shared" ref="AC143:AI147" si="375">AB143+AC41</f>
        <v>-188</v>
      </c>
      <c r="AD143" s="206">
        <f t="shared" si="375"/>
        <v>123</v>
      </c>
      <c r="AE143" s="207">
        <f t="shared" si="375"/>
        <v>-310</v>
      </c>
      <c r="AF143" s="206">
        <f>AF41</f>
        <v>256</v>
      </c>
      <c r="AG143" s="206">
        <f t="shared" si="375"/>
        <v>253</v>
      </c>
      <c r="AH143" s="206">
        <f t="shared" si="375"/>
        <v>481</v>
      </c>
      <c r="AI143" s="207">
        <f t="shared" si="375"/>
        <v>860</v>
      </c>
      <c r="AJ143" s="206">
        <f>AJ41</f>
        <v>-11</v>
      </c>
      <c r="AK143" s="206">
        <f t="shared" ref="AK143:AQ147" si="376">AJ143+AK41</f>
        <v>972</v>
      </c>
      <c r="AL143" s="206">
        <f t="shared" si="376"/>
        <v>965</v>
      </c>
      <c r="AM143" s="207">
        <f t="shared" si="376"/>
        <v>28</v>
      </c>
      <c r="AN143" s="206">
        <f>AN41</f>
        <v>-223</v>
      </c>
      <c r="AO143" s="206">
        <f t="shared" si="376"/>
        <v>-368</v>
      </c>
      <c r="AP143" s="206">
        <f t="shared" si="376"/>
        <v>103</v>
      </c>
      <c r="AQ143" s="207">
        <f t="shared" si="376"/>
        <v>-106</v>
      </c>
      <c r="AR143" s="206">
        <f>AR41</f>
        <v>-2732</v>
      </c>
      <c r="AS143" s="206">
        <f t="shared" ref="AS143:AT147" si="377">AR143+AS41</f>
        <v>-2736</v>
      </c>
      <c r="AT143" s="206">
        <f t="shared" si="377"/>
        <v>-2740</v>
      </c>
      <c r="AU143" s="207">
        <f t="shared" ref="AU143:AU147" si="378">AT143+AU41</f>
        <v>-2744</v>
      </c>
      <c r="AV143" s="206">
        <f>AV41</f>
        <v>0</v>
      </c>
      <c r="AW143" s="206">
        <f t="shared" ref="AW143:AW147" si="379">AV143+AW41</f>
        <v>0</v>
      </c>
      <c r="AX143" s="206">
        <f t="shared" ref="AX143:AX147" si="380">AW143+AX41</f>
        <v>0</v>
      </c>
      <c r="AY143" s="207">
        <f t="shared" ref="AY143:AY147" si="381">AX143+AY41</f>
        <v>0</v>
      </c>
      <c r="AZ143" s="177"/>
      <c r="BA143" s="206">
        <f>G143</f>
        <v>-22</v>
      </c>
      <c r="BB143" s="206">
        <f>K143</f>
        <v>394</v>
      </c>
      <c r="BC143" s="206">
        <f>O143</f>
        <v>-280</v>
      </c>
      <c r="BD143" s="206">
        <f>S143</f>
        <v>-403</v>
      </c>
      <c r="BE143" s="206">
        <f>W143</f>
        <v>-412</v>
      </c>
      <c r="BF143" s="206">
        <f>AA143</f>
        <v>-972</v>
      </c>
      <c r="BG143" s="206">
        <f>AE143</f>
        <v>-310</v>
      </c>
      <c r="BH143" s="206">
        <f>AI143</f>
        <v>860</v>
      </c>
      <c r="BI143" s="206">
        <f>AM143</f>
        <v>28</v>
      </c>
      <c r="BJ143" s="206">
        <f>AQ143</f>
        <v>-106</v>
      </c>
      <c r="BK143" s="206">
        <f t="shared" ref="BK143:BK147" si="382">AU143</f>
        <v>-2744</v>
      </c>
      <c r="BL143" s="206">
        <f>AY143</f>
        <v>0</v>
      </c>
      <c r="BM143" s="206">
        <f>BM41</f>
        <v>0</v>
      </c>
      <c r="BN143" s="206">
        <f>BN41</f>
        <v>0</v>
      </c>
      <c r="BO143" s="22"/>
    </row>
    <row r="144" spans="1:67" ht="14.25" customHeight="1" outlineLevel="1">
      <c r="A144" s="8"/>
      <c r="B144" s="25" t="s">
        <v>286</v>
      </c>
      <c r="C144" s="26"/>
      <c r="D144" s="208">
        <f>D42</f>
        <v>0</v>
      </c>
      <c r="E144" s="206">
        <f t="shared" si="369"/>
        <v>0</v>
      </c>
      <c r="F144" s="206">
        <f t="shared" si="369"/>
        <v>0</v>
      </c>
      <c r="G144" s="207">
        <f t="shared" si="369"/>
        <v>0</v>
      </c>
      <c r="H144" s="208">
        <f>H42</f>
        <v>0</v>
      </c>
      <c r="I144" s="206">
        <f t="shared" si="370"/>
        <v>0</v>
      </c>
      <c r="J144" s="206">
        <f t="shared" si="370"/>
        <v>0</v>
      </c>
      <c r="K144" s="207">
        <f t="shared" si="370"/>
        <v>0</v>
      </c>
      <c r="L144" s="208">
        <f>L42</f>
        <v>0</v>
      </c>
      <c r="M144" s="206">
        <f t="shared" si="371"/>
        <v>0</v>
      </c>
      <c r="N144" s="206">
        <f t="shared" si="371"/>
        <v>0</v>
      </c>
      <c r="O144" s="207">
        <f t="shared" si="371"/>
        <v>0</v>
      </c>
      <c r="P144" s="208">
        <f>P42</f>
        <v>0</v>
      </c>
      <c r="Q144" s="206">
        <f t="shared" si="372"/>
        <v>0</v>
      </c>
      <c r="R144" s="206">
        <f t="shared" si="372"/>
        <v>450</v>
      </c>
      <c r="S144" s="207">
        <f t="shared" si="372"/>
        <v>450</v>
      </c>
      <c r="T144" s="208">
        <f>T42</f>
        <v>0</v>
      </c>
      <c r="U144" s="206">
        <f t="shared" si="373"/>
        <v>0</v>
      </c>
      <c r="V144" s="206">
        <f t="shared" si="373"/>
        <v>0</v>
      </c>
      <c r="W144" s="207">
        <f t="shared" si="373"/>
        <v>0</v>
      </c>
      <c r="X144" s="208">
        <f>X42</f>
        <v>464</v>
      </c>
      <c r="Y144" s="206">
        <f t="shared" si="374"/>
        <v>464</v>
      </c>
      <c r="Z144" s="206">
        <f t="shared" si="374"/>
        <v>464</v>
      </c>
      <c r="AA144" s="207">
        <f t="shared" si="374"/>
        <v>464</v>
      </c>
      <c r="AB144" s="206">
        <f>AB42</f>
        <v>40</v>
      </c>
      <c r="AC144" s="206">
        <f t="shared" si="375"/>
        <v>50</v>
      </c>
      <c r="AD144" s="206">
        <f t="shared" si="375"/>
        <v>79</v>
      </c>
      <c r="AE144" s="207">
        <f t="shared" si="375"/>
        <v>177</v>
      </c>
      <c r="AF144" s="206">
        <f>AF42</f>
        <v>40</v>
      </c>
      <c r="AG144" s="206">
        <f t="shared" si="375"/>
        <v>72</v>
      </c>
      <c r="AH144" s="206">
        <f t="shared" si="375"/>
        <v>97</v>
      </c>
      <c r="AI144" s="207">
        <f t="shared" si="375"/>
        <v>145</v>
      </c>
      <c r="AJ144" s="206">
        <f>AJ42</f>
        <v>16</v>
      </c>
      <c r="AK144" s="206">
        <f t="shared" si="376"/>
        <v>25</v>
      </c>
      <c r="AL144" s="206">
        <f t="shared" si="376"/>
        <v>33</v>
      </c>
      <c r="AM144" s="207">
        <f t="shared" si="376"/>
        <v>51</v>
      </c>
      <c r="AN144" s="206">
        <f>AN42</f>
        <v>45</v>
      </c>
      <c r="AO144" s="206">
        <f t="shared" si="376"/>
        <v>72</v>
      </c>
      <c r="AP144" s="206">
        <f t="shared" si="376"/>
        <v>90</v>
      </c>
      <c r="AQ144" s="207">
        <f t="shared" si="376"/>
        <v>115</v>
      </c>
      <c r="AR144" s="206">
        <f>AR42</f>
        <v>36</v>
      </c>
      <c r="AS144" s="206">
        <f t="shared" si="377"/>
        <v>68</v>
      </c>
      <c r="AT144" s="206">
        <f t="shared" si="377"/>
        <v>104</v>
      </c>
      <c r="AU144" s="207">
        <f t="shared" si="378"/>
        <v>233</v>
      </c>
      <c r="AV144" s="206">
        <f>AV42</f>
        <v>0</v>
      </c>
      <c r="AW144" s="206">
        <f t="shared" si="379"/>
        <v>0</v>
      </c>
      <c r="AX144" s="206">
        <f t="shared" si="380"/>
        <v>0</v>
      </c>
      <c r="AY144" s="207">
        <f t="shared" si="381"/>
        <v>0</v>
      </c>
      <c r="AZ144" s="177"/>
      <c r="BA144" s="206">
        <f>G144</f>
        <v>0</v>
      </c>
      <c r="BB144" s="206">
        <f>K144</f>
        <v>0</v>
      </c>
      <c r="BC144" s="206">
        <f>O144</f>
        <v>0</v>
      </c>
      <c r="BD144" s="206">
        <f>S144</f>
        <v>450</v>
      </c>
      <c r="BE144" s="206">
        <f>W144</f>
        <v>0</v>
      </c>
      <c r="BF144" s="206">
        <f>AA144</f>
        <v>464</v>
      </c>
      <c r="BG144" s="206">
        <f>AE144</f>
        <v>177</v>
      </c>
      <c r="BH144" s="206">
        <f>AI144</f>
        <v>145</v>
      </c>
      <c r="BI144" s="206">
        <f>AM144</f>
        <v>51</v>
      </c>
      <c r="BJ144" s="206">
        <f>AQ144</f>
        <v>115</v>
      </c>
      <c r="BK144" s="206">
        <f t="shared" si="382"/>
        <v>233</v>
      </c>
      <c r="BL144" s="206">
        <f>AY144</f>
        <v>0</v>
      </c>
      <c r="BM144" s="206">
        <f t="shared" ref="BM144:BM147" si="383">BM42</f>
        <v>0</v>
      </c>
      <c r="BN144" s="206">
        <f t="shared" ref="BN144" si="384">BN42</f>
        <v>0</v>
      </c>
      <c r="BO144" s="22"/>
    </row>
    <row r="145" spans="1:67" ht="14.25" customHeight="1" outlineLevel="1">
      <c r="A145" s="8"/>
      <c r="B145" s="25" t="s">
        <v>267</v>
      </c>
      <c r="C145" s="26"/>
      <c r="D145" s="208">
        <f>D43</f>
        <v>0</v>
      </c>
      <c r="E145" s="206">
        <f t="shared" si="369"/>
        <v>0</v>
      </c>
      <c r="F145" s="206">
        <f t="shared" si="369"/>
        <v>0</v>
      </c>
      <c r="G145" s="207">
        <f t="shared" si="369"/>
        <v>0</v>
      </c>
      <c r="H145" s="208">
        <f>H43</f>
        <v>0</v>
      </c>
      <c r="I145" s="206">
        <f t="shared" si="370"/>
        <v>0</v>
      </c>
      <c r="J145" s="206">
        <f t="shared" si="370"/>
        <v>0</v>
      </c>
      <c r="K145" s="207">
        <f t="shared" si="370"/>
        <v>0</v>
      </c>
      <c r="L145" s="208">
        <f>L43</f>
        <v>0</v>
      </c>
      <c r="M145" s="206">
        <f t="shared" si="371"/>
        <v>0</v>
      </c>
      <c r="N145" s="206">
        <f t="shared" si="371"/>
        <v>0</v>
      </c>
      <c r="O145" s="207">
        <f t="shared" si="371"/>
        <v>0</v>
      </c>
      <c r="P145" s="208">
        <f>P43</f>
        <v>0</v>
      </c>
      <c r="Q145" s="206">
        <f t="shared" si="372"/>
        <v>0</v>
      </c>
      <c r="R145" s="206">
        <f t="shared" si="372"/>
        <v>0</v>
      </c>
      <c r="S145" s="207">
        <f t="shared" si="372"/>
        <v>-2</v>
      </c>
      <c r="T145" s="208">
        <f>T43</f>
        <v>0</v>
      </c>
      <c r="U145" s="206">
        <f t="shared" si="373"/>
        <v>0</v>
      </c>
      <c r="V145" s="206">
        <f t="shared" si="373"/>
        <v>-57</v>
      </c>
      <c r="W145" s="207">
        <f t="shared" si="373"/>
        <v>-57</v>
      </c>
      <c r="X145" s="208">
        <f>X43</f>
        <v>0</v>
      </c>
      <c r="Y145" s="206">
        <f t="shared" si="374"/>
        <v>-37</v>
      </c>
      <c r="Z145" s="206">
        <f t="shared" si="374"/>
        <v>-40</v>
      </c>
      <c r="AA145" s="207">
        <f t="shared" si="374"/>
        <v>-40</v>
      </c>
      <c r="AB145" s="206">
        <f>AB43</f>
        <v>-35</v>
      </c>
      <c r="AC145" s="206">
        <f t="shared" si="375"/>
        <v>-83</v>
      </c>
      <c r="AD145" s="206">
        <f t="shared" si="375"/>
        <v>-242</v>
      </c>
      <c r="AE145" s="207">
        <f t="shared" si="375"/>
        <v>-405</v>
      </c>
      <c r="AF145" s="206">
        <f>AF43</f>
        <v>-458</v>
      </c>
      <c r="AG145" s="206">
        <f t="shared" si="375"/>
        <v>-681</v>
      </c>
      <c r="AH145" s="206">
        <f t="shared" si="375"/>
        <v>-1255</v>
      </c>
      <c r="AI145" s="207">
        <f t="shared" si="375"/>
        <v>-1435</v>
      </c>
      <c r="AJ145" s="206">
        <f>AJ43</f>
        <v>-4</v>
      </c>
      <c r="AK145" s="206">
        <f t="shared" si="376"/>
        <v>-166</v>
      </c>
      <c r="AL145" s="206">
        <f t="shared" si="376"/>
        <v>-324</v>
      </c>
      <c r="AM145" s="207">
        <f t="shared" si="376"/>
        <v>-475</v>
      </c>
      <c r="AN145" s="206">
        <f>AN43</f>
        <v>-266</v>
      </c>
      <c r="AO145" s="206">
        <f t="shared" si="376"/>
        <v>-663</v>
      </c>
      <c r="AP145" s="206">
        <f t="shared" si="376"/>
        <v>-1218</v>
      </c>
      <c r="AQ145" s="207">
        <f t="shared" si="376"/>
        <v>-1280</v>
      </c>
      <c r="AR145" s="206">
        <f>AR43</f>
        <v>-26</v>
      </c>
      <c r="AS145" s="206">
        <f t="shared" si="377"/>
        <v>-36</v>
      </c>
      <c r="AT145" s="206">
        <f t="shared" si="377"/>
        <v>-38</v>
      </c>
      <c r="AU145" s="207">
        <f t="shared" si="378"/>
        <v>-286</v>
      </c>
      <c r="AV145" s="206">
        <f>AV43</f>
        <v>0</v>
      </c>
      <c r="AW145" s="206">
        <f t="shared" si="379"/>
        <v>0</v>
      </c>
      <c r="AX145" s="206">
        <f t="shared" si="380"/>
        <v>0</v>
      </c>
      <c r="AY145" s="207">
        <f t="shared" si="381"/>
        <v>0</v>
      </c>
      <c r="AZ145" s="177"/>
      <c r="BA145" s="206">
        <f>G145</f>
        <v>0</v>
      </c>
      <c r="BB145" s="206">
        <f>K145</f>
        <v>0</v>
      </c>
      <c r="BC145" s="206">
        <f>O145</f>
        <v>0</v>
      </c>
      <c r="BD145" s="206">
        <f>S145</f>
        <v>-2</v>
      </c>
      <c r="BE145" s="206">
        <f>W145</f>
        <v>-57</v>
      </c>
      <c r="BF145" s="206">
        <f>AA145</f>
        <v>-40</v>
      </c>
      <c r="BG145" s="206">
        <f>AE145</f>
        <v>-405</v>
      </c>
      <c r="BH145" s="206">
        <f>AI145</f>
        <v>-1435</v>
      </c>
      <c r="BI145" s="206">
        <f>AM145</f>
        <v>-475</v>
      </c>
      <c r="BJ145" s="206">
        <f>AQ145</f>
        <v>-1280</v>
      </c>
      <c r="BK145" s="206">
        <f t="shared" si="382"/>
        <v>-286</v>
      </c>
      <c r="BL145" s="206">
        <f>AY145</f>
        <v>0</v>
      </c>
      <c r="BM145" s="206">
        <f t="shared" si="383"/>
        <v>0</v>
      </c>
      <c r="BN145" s="206">
        <f t="shared" ref="BN145" si="385">BN43</f>
        <v>0</v>
      </c>
      <c r="BO145" s="22"/>
    </row>
    <row r="146" spans="1:67" ht="14.25" customHeight="1" outlineLevel="1">
      <c r="A146" s="8"/>
      <c r="B146" s="25" t="s">
        <v>287</v>
      </c>
      <c r="C146" s="26"/>
      <c r="D146" s="208">
        <f>D44</f>
        <v>0</v>
      </c>
      <c r="E146" s="206">
        <f t="shared" si="369"/>
        <v>0</v>
      </c>
      <c r="F146" s="206">
        <f t="shared" si="369"/>
        <v>0</v>
      </c>
      <c r="G146" s="207">
        <f t="shared" si="369"/>
        <v>0</v>
      </c>
      <c r="H146" s="208">
        <f>H44</f>
        <v>0</v>
      </c>
      <c r="I146" s="206">
        <f t="shared" si="370"/>
        <v>0</v>
      </c>
      <c r="J146" s="206">
        <f t="shared" si="370"/>
        <v>0</v>
      </c>
      <c r="K146" s="207">
        <f t="shared" si="370"/>
        <v>0</v>
      </c>
      <c r="L146" s="208">
        <f>L44</f>
        <v>0</v>
      </c>
      <c r="M146" s="206">
        <f t="shared" si="371"/>
        <v>0</v>
      </c>
      <c r="N146" s="206">
        <f t="shared" si="371"/>
        <v>0</v>
      </c>
      <c r="O146" s="207">
        <f t="shared" si="371"/>
        <v>0</v>
      </c>
      <c r="P146" s="208">
        <f>P44</f>
        <v>0</v>
      </c>
      <c r="Q146" s="206">
        <f t="shared" si="372"/>
        <v>0</v>
      </c>
      <c r="R146" s="206">
        <f t="shared" si="372"/>
        <v>0</v>
      </c>
      <c r="S146" s="207">
        <f t="shared" si="372"/>
        <v>0</v>
      </c>
      <c r="T146" s="208">
        <f>T44</f>
        <v>0</v>
      </c>
      <c r="U146" s="206">
        <f t="shared" si="373"/>
        <v>0</v>
      </c>
      <c r="V146" s="206">
        <f t="shared" si="373"/>
        <v>0</v>
      </c>
      <c r="W146" s="207">
        <f t="shared" si="373"/>
        <v>0</v>
      </c>
      <c r="X146" s="208">
        <f>X44</f>
        <v>0</v>
      </c>
      <c r="Y146" s="206">
        <f t="shared" si="374"/>
        <v>0</v>
      </c>
      <c r="Z146" s="206">
        <f t="shared" si="374"/>
        <v>0</v>
      </c>
      <c r="AA146" s="207">
        <f t="shared" si="374"/>
        <v>0</v>
      </c>
      <c r="AB146" s="206">
        <f>AB44</f>
        <v>0</v>
      </c>
      <c r="AC146" s="206">
        <f t="shared" si="375"/>
        <v>0</v>
      </c>
      <c r="AD146" s="206">
        <f t="shared" si="375"/>
        <v>0</v>
      </c>
      <c r="AE146" s="207">
        <f t="shared" si="375"/>
        <v>0</v>
      </c>
      <c r="AF146" s="206">
        <f>AF44</f>
        <v>0</v>
      </c>
      <c r="AG146" s="206">
        <f t="shared" si="375"/>
        <v>0</v>
      </c>
      <c r="AH146" s="206">
        <f t="shared" si="375"/>
        <v>0</v>
      </c>
      <c r="AI146" s="207">
        <f t="shared" si="375"/>
        <v>0</v>
      </c>
      <c r="AJ146" s="206">
        <f>AJ44</f>
        <v>0</v>
      </c>
      <c r="AK146" s="206">
        <f t="shared" si="376"/>
        <v>0</v>
      </c>
      <c r="AL146" s="206">
        <f t="shared" si="376"/>
        <v>0</v>
      </c>
      <c r="AM146" s="207">
        <f t="shared" si="376"/>
        <v>0</v>
      </c>
      <c r="AN146" s="206">
        <f>AN44</f>
        <v>0</v>
      </c>
      <c r="AO146" s="206">
        <f t="shared" si="376"/>
        <v>0</v>
      </c>
      <c r="AP146" s="206">
        <f t="shared" si="376"/>
        <v>-126</v>
      </c>
      <c r="AQ146" s="207">
        <f t="shared" si="376"/>
        <v>-126</v>
      </c>
      <c r="AR146" s="206">
        <f>AR44</f>
        <v>0</v>
      </c>
      <c r="AS146" s="206">
        <f t="shared" si="377"/>
        <v>0</v>
      </c>
      <c r="AT146" s="206">
        <f t="shared" si="377"/>
        <v>-89</v>
      </c>
      <c r="AU146" s="207">
        <f t="shared" si="378"/>
        <v>-89</v>
      </c>
      <c r="AV146" s="206">
        <f>AV44</f>
        <v>0</v>
      </c>
      <c r="AW146" s="206">
        <f t="shared" si="379"/>
        <v>0</v>
      </c>
      <c r="AX146" s="206">
        <f t="shared" si="380"/>
        <v>0</v>
      </c>
      <c r="AY146" s="207">
        <f t="shared" si="381"/>
        <v>0</v>
      </c>
      <c r="AZ146" s="177"/>
      <c r="BA146" s="206">
        <f>G146</f>
        <v>0</v>
      </c>
      <c r="BB146" s="206">
        <f>K146</f>
        <v>0</v>
      </c>
      <c r="BC146" s="206">
        <f>O146</f>
        <v>0</v>
      </c>
      <c r="BD146" s="206">
        <f>S146</f>
        <v>0</v>
      </c>
      <c r="BE146" s="206">
        <f>W146</f>
        <v>0</v>
      </c>
      <c r="BF146" s="206">
        <f>AA146</f>
        <v>0</v>
      </c>
      <c r="BG146" s="206">
        <f>AE146</f>
        <v>0</v>
      </c>
      <c r="BH146" s="206">
        <f>AI146</f>
        <v>0</v>
      </c>
      <c r="BI146" s="206">
        <f>AM146</f>
        <v>0</v>
      </c>
      <c r="BJ146" s="206">
        <f>AQ146</f>
        <v>-126</v>
      </c>
      <c r="BK146" s="206">
        <f t="shared" si="382"/>
        <v>-89</v>
      </c>
      <c r="BL146" s="206">
        <f>AY146</f>
        <v>0</v>
      </c>
      <c r="BM146" s="206">
        <f t="shared" si="383"/>
        <v>0</v>
      </c>
      <c r="BN146" s="206">
        <f t="shared" ref="BN146" si="386">BN44</f>
        <v>0</v>
      </c>
      <c r="BO146" s="22"/>
    </row>
    <row r="147" spans="1:67" ht="14.25" customHeight="1" outlineLevel="1">
      <c r="A147" s="11"/>
      <c r="B147" s="25" t="s">
        <v>222</v>
      </c>
      <c r="C147" s="26"/>
      <c r="D147" s="208">
        <f>D45</f>
        <v>0</v>
      </c>
      <c r="E147" s="206">
        <f t="shared" si="369"/>
        <v>0</v>
      </c>
      <c r="F147" s="206">
        <f t="shared" si="369"/>
        <v>0</v>
      </c>
      <c r="G147" s="207">
        <f t="shared" si="369"/>
        <v>0</v>
      </c>
      <c r="H147" s="208">
        <f>H45</f>
        <v>0</v>
      </c>
      <c r="I147" s="206">
        <f t="shared" si="370"/>
        <v>0</v>
      </c>
      <c r="J147" s="206">
        <f t="shared" si="370"/>
        <v>-78</v>
      </c>
      <c r="K147" s="207">
        <f t="shared" si="370"/>
        <v>-78</v>
      </c>
      <c r="L147" s="208">
        <f>L45</f>
        <v>200</v>
      </c>
      <c r="M147" s="206">
        <f t="shared" si="371"/>
        <v>200</v>
      </c>
      <c r="N147" s="206">
        <f t="shared" si="371"/>
        <v>200</v>
      </c>
      <c r="O147" s="207">
        <f t="shared" si="371"/>
        <v>200</v>
      </c>
      <c r="P147" s="208">
        <f>P45</f>
        <v>0</v>
      </c>
      <c r="Q147" s="206">
        <f t="shared" si="372"/>
        <v>0</v>
      </c>
      <c r="R147" s="206">
        <f t="shared" si="372"/>
        <v>-100</v>
      </c>
      <c r="S147" s="207">
        <f t="shared" si="372"/>
        <v>-200</v>
      </c>
      <c r="T147" s="208">
        <f>T45</f>
        <v>0</v>
      </c>
      <c r="U147" s="206">
        <f t="shared" si="373"/>
        <v>209</v>
      </c>
      <c r="V147" s="206">
        <f t="shared" si="373"/>
        <v>-391</v>
      </c>
      <c r="W147" s="207">
        <f t="shared" si="373"/>
        <v>-390</v>
      </c>
      <c r="X147" s="208">
        <f>X45</f>
        <v>2</v>
      </c>
      <c r="Y147" s="206">
        <f t="shared" si="374"/>
        <v>-37</v>
      </c>
      <c r="Z147" s="206">
        <f t="shared" si="374"/>
        <v>-32</v>
      </c>
      <c r="AA147" s="207">
        <f t="shared" si="374"/>
        <v>-26</v>
      </c>
      <c r="AB147" s="206">
        <f>AB45</f>
        <v>0</v>
      </c>
      <c r="AC147" s="206">
        <f t="shared" si="375"/>
        <v>0</v>
      </c>
      <c r="AD147" s="206">
        <f t="shared" si="375"/>
        <v>-47</v>
      </c>
      <c r="AE147" s="207">
        <f t="shared" si="375"/>
        <v>-60</v>
      </c>
      <c r="AF147" s="206">
        <f>AF45</f>
        <v>0</v>
      </c>
      <c r="AG147" s="206">
        <f t="shared" si="375"/>
        <v>0</v>
      </c>
      <c r="AH147" s="206">
        <f t="shared" si="375"/>
        <v>-50</v>
      </c>
      <c r="AI147" s="207">
        <f t="shared" si="375"/>
        <v>-124</v>
      </c>
      <c r="AJ147" s="206">
        <f>AJ45</f>
        <v>0</v>
      </c>
      <c r="AK147" s="206">
        <f t="shared" si="376"/>
        <v>-2</v>
      </c>
      <c r="AL147" s="206">
        <f t="shared" si="376"/>
        <v>-53</v>
      </c>
      <c r="AM147" s="207">
        <f t="shared" si="376"/>
        <v>-53</v>
      </c>
      <c r="AN147" s="206">
        <f>AN45</f>
        <v>3</v>
      </c>
      <c r="AO147" s="206">
        <f t="shared" si="376"/>
        <v>4</v>
      </c>
      <c r="AP147" s="206">
        <f t="shared" si="376"/>
        <v>5</v>
      </c>
      <c r="AQ147" s="207">
        <f t="shared" si="376"/>
        <v>5</v>
      </c>
      <c r="AR147" s="206">
        <f>AR45</f>
        <v>0</v>
      </c>
      <c r="AS147" s="206">
        <f t="shared" si="377"/>
        <v>0</v>
      </c>
      <c r="AT147" s="206">
        <f t="shared" si="377"/>
        <v>0</v>
      </c>
      <c r="AU147" s="207">
        <f t="shared" si="378"/>
        <v>0</v>
      </c>
      <c r="AV147" s="206">
        <f>AV45</f>
        <v>0</v>
      </c>
      <c r="AW147" s="206">
        <f t="shared" si="379"/>
        <v>0</v>
      </c>
      <c r="AX147" s="206">
        <f t="shared" si="380"/>
        <v>0</v>
      </c>
      <c r="AY147" s="207">
        <f t="shared" si="381"/>
        <v>0</v>
      </c>
      <c r="AZ147" s="177"/>
      <c r="BA147" s="206">
        <f>G147</f>
        <v>0</v>
      </c>
      <c r="BB147" s="206">
        <f>K147</f>
        <v>-78</v>
      </c>
      <c r="BC147" s="206">
        <f>O147</f>
        <v>200</v>
      </c>
      <c r="BD147" s="206">
        <f>S147</f>
        <v>-200</v>
      </c>
      <c r="BE147" s="206">
        <f>W147</f>
        <v>-390</v>
      </c>
      <c r="BF147" s="206">
        <f>AA147</f>
        <v>-26</v>
      </c>
      <c r="BG147" s="206">
        <f>AE147</f>
        <v>-60</v>
      </c>
      <c r="BH147" s="206">
        <f>AI147</f>
        <v>-124</v>
      </c>
      <c r="BI147" s="206">
        <f>AM147</f>
        <v>-53</v>
      </c>
      <c r="BJ147" s="206">
        <f>AQ147</f>
        <v>5</v>
      </c>
      <c r="BK147" s="206">
        <f t="shared" si="382"/>
        <v>0</v>
      </c>
      <c r="BL147" s="206">
        <f>AY147</f>
        <v>0</v>
      </c>
      <c r="BM147" s="206">
        <f t="shared" si="383"/>
        <v>0</v>
      </c>
      <c r="BN147" s="206">
        <f t="shared" ref="BN147" si="387">BN45</f>
        <v>0</v>
      </c>
      <c r="BO147" s="23"/>
    </row>
    <row r="148" spans="1:67" ht="14.25" customHeight="1" outlineLevel="1" thickBot="1">
      <c r="A148" s="8"/>
      <c r="B148" s="212" t="s">
        <v>198</v>
      </c>
      <c r="C148" s="213"/>
      <c r="D148" s="215">
        <f t="shared" ref="D148:AH148" si="388">SUM(D143:D147)</f>
        <v>-9</v>
      </c>
      <c r="E148" s="214">
        <f t="shared" si="388"/>
        <v>-18</v>
      </c>
      <c r="F148" s="214">
        <f t="shared" si="388"/>
        <v>-19</v>
      </c>
      <c r="G148" s="216">
        <f t="shared" si="388"/>
        <v>-22</v>
      </c>
      <c r="H148" s="215">
        <f t="shared" si="388"/>
        <v>1</v>
      </c>
      <c r="I148" s="214">
        <f t="shared" si="388"/>
        <v>459</v>
      </c>
      <c r="J148" s="214">
        <f t="shared" si="388"/>
        <v>-69</v>
      </c>
      <c r="K148" s="216">
        <f t="shared" si="388"/>
        <v>316</v>
      </c>
      <c r="L148" s="215">
        <f t="shared" si="388"/>
        <v>208</v>
      </c>
      <c r="M148" s="214">
        <f t="shared" si="388"/>
        <v>204</v>
      </c>
      <c r="N148" s="214">
        <f t="shared" si="388"/>
        <v>-80</v>
      </c>
      <c r="O148" s="216">
        <f t="shared" si="388"/>
        <v>-80</v>
      </c>
      <c r="P148" s="215">
        <f t="shared" si="388"/>
        <v>-11</v>
      </c>
      <c r="Q148" s="214">
        <f t="shared" si="388"/>
        <v>-14</v>
      </c>
      <c r="R148" s="214">
        <f t="shared" si="388"/>
        <v>-61</v>
      </c>
      <c r="S148" s="216">
        <f t="shared" si="388"/>
        <v>-155</v>
      </c>
      <c r="T148" s="215">
        <f t="shared" si="388"/>
        <v>8</v>
      </c>
      <c r="U148" s="214">
        <f t="shared" si="388"/>
        <v>36</v>
      </c>
      <c r="V148" s="214">
        <f t="shared" si="388"/>
        <v>-847</v>
      </c>
      <c r="W148" s="216">
        <f t="shared" si="388"/>
        <v>-859</v>
      </c>
      <c r="X148" s="215">
        <f t="shared" si="388"/>
        <v>-28</v>
      </c>
      <c r="Y148" s="214">
        <f t="shared" si="388"/>
        <v>-107</v>
      </c>
      <c r="Z148" s="214">
        <f t="shared" si="388"/>
        <v>-365</v>
      </c>
      <c r="AA148" s="216">
        <f t="shared" si="388"/>
        <v>-574</v>
      </c>
      <c r="AB148" s="214">
        <f t="shared" si="388"/>
        <v>-90</v>
      </c>
      <c r="AC148" s="214">
        <f t="shared" si="388"/>
        <v>-221</v>
      </c>
      <c r="AD148" s="214">
        <f t="shared" si="388"/>
        <v>-87</v>
      </c>
      <c r="AE148" s="216">
        <f t="shared" si="388"/>
        <v>-598</v>
      </c>
      <c r="AF148" s="214">
        <f t="shared" si="388"/>
        <v>-162</v>
      </c>
      <c r="AG148" s="214">
        <f t="shared" si="388"/>
        <v>-356</v>
      </c>
      <c r="AH148" s="214">
        <f t="shared" si="388"/>
        <v>-727</v>
      </c>
      <c r="AI148" s="216">
        <f>SUM(AI143:AI147)</f>
        <v>-554</v>
      </c>
      <c r="AJ148" s="214">
        <f t="shared" ref="AJ148:AL148" si="389">SUM(AJ143:AJ147)</f>
        <v>1</v>
      </c>
      <c r="AK148" s="214">
        <f t="shared" si="389"/>
        <v>829</v>
      </c>
      <c r="AL148" s="214">
        <f t="shared" si="389"/>
        <v>621</v>
      </c>
      <c r="AM148" s="216">
        <f>SUM(AM143:AM147)</f>
        <v>-449</v>
      </c>
      <c r="AN148" s="214">
        <f t="shared" ref="AN148:AP148" si="390">SUM(AN143:AN147)</f>
        <v>-441</v>
      </c>
      <c r="AO148" s="214">
        <f t="shared" si="390"/>
        <v>-955</v>
      </c>
      <c r="AP148" s="214">
        <f t="shared" si="390"/>
        <v>-1146</v>
      </c>
      <c r="AQ148" s="216">
        <f>SUM(AQ143:AQ147)</f>
        <v>-1392</v>
      </c>
      <c r="AR148" s="214">
        <f t="shared" ref="AR148:AU148" si="391">SUM(AR143:AR147)</f>
        <v>-2722</v>
      </c>
      <c r="AS148" s="214">
        <f t="shared" si="391"/>
        <v>-2704</v>
      </c>
      <c r="AT148" s="214">
        <f t="shared" si="391"/>
        <v>-2763</v>
      </c>
      <c r="AU148" s="216">
        <f t="shared" si="391"/>
        <v>-2886</v>
      </c>
      <c r="AV148" s="214">
        <f t="shared" ref="AV148:AY148" si="392">SUM(AV143:AV147)</f>
        <v>0</v>
      </c>
      <c r="AW148" s="214">
        <f t="shared" si="392"/>
        <v>0</v>
      </c>
      <c r="AX148" s="214">
        <f t="shared" si="392"/>
        <v>0</v>
      </c>
      <c r="AY148" s="216">
        <f t="shared" si="392"/>
        <v>0</v>
      </c>
      <c r="AZ148" s="177"/>
      <c r="BA148" s="214">
        <f t="shared" ref="BA148:BM148" si="393">SUM(BA143:BA147)</f>
        <v>-22</v>
      </c>
      <c r="BB148" s="214">
        <f t="shared" si="393"/>
        <v>316</v>
      </c>
      <c r="BC148" s="214">
        <f t="shared" si="393"/>
        <v>-80</v>
      </c>
      <c r="BD148" s="214">
        <f t="shared" si="393"/>
        <v>-155</v>
      </c>
      <c r="BE148" s="214">
        <f t="shared" si="393"/>
        <v>-859</v>
      </c>
      <c r="BF148" s="214">
        <f t="shared" si="393"/>
        <v>-574</v>
      </c>
      <c r="BG148" s="214">
        <f t="shared" si="393"/>
        <v>-598</v>
      </c>
      <c r="BH148" s="214">
        <f t="shared" si="393"/>
        <v>-554</v>
      </c>
      <c r="BI148" s="214">
        <f t="shared" si="393"/>
        <v>-449</v>
      </c>
      <c r="BJ148" s="214">
        <f t="shared" si="393"/>
        <v>-1392</v>
      </c>
      <c r="BK148" s="214">
        <f t="shared" ref="BK148:BL148" si="394">SUM(BK143:BK147)</f>
        <v>-2886</v>
      </c>
      <c r="BL148" s="214">
        <f t="shared" si="394"/>
        <v>0</v>
      </c>
      <c r="BM148" s="214">
        <f t="shared" si="393"/>
        <v>0</v>
      </c>
      <c r="BN148" s="214">
        <f t="shared" ref="BN148" si="395">SUM(BN143:BN147)</f>
        <v>0</v>
      </c>
      <c r="BO148" s="22"/>
    </row>
    <row r="149" spans="1:67" ht="14.25" customHeight="1" outlineLevel="1" thickTop="1">
      <c r="A149" s="8"/>
      <c r="B149" s="43"/>
      <c r="C149" s="44"/>
      <c r="D149" s="221"/>
      <c r="E149" s="220"/>
      <c r="F149" s="220"/>
      <c r="G149" s="222"/>
      <c r="H149" s="221"/>
      <c r="I149" s="220"/>
      <c r="J149" s="220"/>
      <c r="K149" s="222"/>
      <c r="L149" s="221"/>
      <c r="M149" s="220"/>
      <c r="N149" s="220"/>
      <c r="O149" s="222"/>
      <c r="P149" s="221"/>
      <c r="Q149" s="220"/>
      <c r="R149" s="220"/>
      <c r="S149" s="222"/>
      <c r="T149" s="221"/>
      <c r="U149" s="220"/>
      <c r="V149" s="220"/>
      <c r="W149" s="222"/>
      <c r="X149" s="221"/>
      <c r="Y149" s="220"/>
      <c r="Z149" s="220"/>
      <c r="AA149" s="222"/>
      <c r="AB149" s="220"/>
      <c r="AC149" s="220"/>
      <c r="AD149" s="220"/>
      <c r="AE149" s="222"/>
      <c r="AF149" s="220"/>
      <c r="AG149" s="220"/>
      <c r="AH149" s="220"/>
      <c r="AI149" s="222"/>
      <c r="AJ149" s="220"/>
      <c r="AK149" s="220"/>
      <c r="AL149" s="220"/>
      <c r="AM149" s="222"/>
      <c r="AN149" s="220"/>
      <c r="AO149" s="220"/>
      <c r="AP149" s="220"/>
      <c r="AQ149" s="222"/>
      <c r="AR149" s="220"/>
      <c r="AS149" s="220"/>
      <c r="AT149" s="220"/>
      <c r="AU149" s="222"/>
      <c r="AV149" s="220"/>
      <c r="AW149" s="220"/>
      <c r="AX149" s="220"/>
      <c r="AY149" s="222"/>
      <c r="AZ149" s="177"/>
      <c r="BA149" s="220"/>
      <c r="BB149" s="220"/>
      <c r="BC149" s="220"/>
      <c r="BD149" s="220"/>
      <c r="BE149" s="220"/>
      <c r="BF149" s="220"/>
      <c r="BG149" s="220"/>
      <c r="BH149" s="220"/>
      <c r="BI149" s="220"/>
      <c r="BJ149" s="220"/>
      <c r="BK149" s="220"/>
      <c r="BL149" s="220"/>
      <c r="BM149" s="220"/>
      <c r="BN149" s="220"/>
      <c r="BO149" s="22"/>
    </row>
    <row r="150" spans="1:67" ht="14.25" customHeight="1" outlineLevel="1">
      <c r="A150" s="8"/>
      <c r="B150" s="43" t="s">
        <v>199</v>
      </c>
      <c r="C150" s="44"/>
      <c r="D150" s="208">
        <f>D48</f>
        <v>0</v>
      </c>
      <c r="E150" s="206">
        <f t="shared" ref="E150:G151" si="396">D150+E48</f>
        <v>5</v>
      </c>
      <c r="F150" s="206">
        <f t="shared" si="396"/>
        <v>-3</v>
      </c>
      <c r="G150" s="207">
        <f t="shared" si="396"/>
        <v>-24</v>
      </c>
      <c r="H150" s="208">
        <f>H48</f>
        <v>-57</v>
      </c>
      <c r="I150" s="206">
        <f t="shared" ref="I150:K151" si="397">H150+I48</f>
        <v>-78</v>
      </c>
      <c r="J150" s="206">
        <f t="shared" si="397"/>
        <v>-81</v>
      </c>
      <c r="K150" s="207">
        <f t="shared" si="397"/>
        <v>46</v>
      </c>
      <c r="L150" s="208">
        <f>L48</f>
        <v>-35</v>
      </c>
      <c r="M150" s="206">
        <f t="shared" ref="M150:O151" si="398">L150+M48</f>
        <v>-17</v>
      </c>
      <c r="N150" s="206">
        <f t="shared" si="398"/>
        <v>15</v>
      </c>
      <c r="O150" s="207">
        <f t="shared" si="398"/>
        <v>-8</v>
      </c>
      <c r="P150" s="208">
        <f>P48</f>
        <v>-50</v>
      </c>
      <c r="Q150" s="206">
        <f t="shared" ref="Q150:S151" si="399">P150+Q48</f>
        <v>-103</v>
      </c>
      <c r="R150" s="206">
        <f t="shared" si="399"/>
        <v>-43</v>
      </c>
      <c r="S150" s="207">
        <f t="shared" si="399"/>
        <v>-63</v>
      </c>
      <c r="T150" s="208">
        <f>T48</f>
        <v>30</v>
      </c>
      <c r="U150" s="206">
        <f t="shared" ref="U150:W151" si="400">T150+U48</f>
        <v>39</v>
      </c>
      <c r="V150" s="206">
        <f t="shared" si="400"/>
        <v>-9</v>
      </c>
      <c r="W150" s="207">
        <f t="shared" si="400"/>
        <v>-21</v>
      </c>
      <c r="X150" s="208">
        <f>X48</f>
        <v>15</v>
      </c>
      <c r="Y150" s="206">
        <f t="shared" ref="Y150:AA151" si="401">X150+Y48</f>
        <v>7</v>
      </c>
      <c r="Z150" s="206">
        <f t="shared" si="401"/>
        <v>9</v>
      </c>
      <c r="AA150" s="207">
        <f t="shared" si="401"/>
        <v>14</v>
      </c>
      <c r="AB150" s="206">
        <f>AB48</f>
        <v>-8</v>
      </c>
      <c r="AC150" s="206">
        <f t="shared" ref="AC150:AI151" si="402">AB150+AC48</f>
        <v>-7</v>
      </c>
      <c r="AD150" s="206">
        <f t="shared" si="402"/>
        <v>-1</v>
      </c>
      <c r="AE150" s="207">
        <f t="shared" si="402"/>
        <v>0</v>
      </c>
      <c r="AF150" s="206">
        <f>AF48</f>
        <v>-5</v>
      </c>
      <c r="AG150" s="206">
        <f t="shared" si="402"/>
        <v>-3</v>
      </c>
      <c r="AH150" s="206">
        <f t="shared" si="402"/>
        <v>-6</v>
      </c>
      <c r="AI150" s="207">
        <f t="shared" si="402"/>
        <v>-12</v>
      </c>
      <c r="AJ150" s="206">
        <f>AJ48</f>
        <v>-16</v>
      </c>
      <c r="AK150" s="206">
        <f t="shared" ref="AK150:AQ151" si="403">AJ150+AK48</f>
        <v>-21</v>
      </c>
      <c r="AL150" s="206">
        <f t="shared" si="403"/>
        <v>-29</v>
      </c>
      <c r="AM150" s="207">
        <f t="shared" si="403"/>
        <v>-31</v>
      </c>
      <c r="AN150" s="206">
        <f>AN48</f>
        <v>7</v>
      </c>
      <c r="AO150" s="206">
        <f t="shared" si="403"/>
        <v>-7</v>
      </c>
      <c r="AP150" s="206">
        <f t="shared" si="403"/>
        <v>5</v>
      </c>
      <c r="AQ150" s="207">
        <f t="shared" si="403"/>
        <v>-4</v>
      </c>
      <c r="AR150" s="206">
        <f>AR48</f>
        <v>13</v>
      </c>
      <c r="AS150" s="206">
        <f t="shared" ref="AS150:AT151" si="404">AR150+AS48</f>
        <v>16</v>
      </c>
      <c r="AT150" s="206">
        <f t="shared" si="404"/>
        <v>18</v>
      </c>
      <c r="AU150" s="207">
        <f t="shared" ref="AU150:AU151" si="405">AT150+AU48</f>
        <v>20</v>
      </c>
      <c r="AV150" s="206">
        <f>AV48</f>
        <v>2</v>
      </c>
      <c r="AW150" s="206">
        <f t="shared" ref="AW150:AW151" si="406">AV150+AW48</f>
        <v>4</v>
      </c>
      <c r="AX150" s="206">
        <f t="shared" ref="AX150:AX151" si="407">AW150+AX48</f>
        <v>6</v>
      </c>
      <c r="AY150" s="207">
        <f t="shared" ref="AY150:AY151" si="408">AX150+AY48</f>
        <v>8</v>
      </c>
      <c r="AZ150" s="177"/>
      <c r="BA150" s="206">
        <f>G150</f>
        <v>-24</v>
      </c>
      <c r="BB150" s="206">
        <f>K150</f>
        <v>46</v>
      </c>
      <c r="BC150" s="206">
        <f>O150</f>
        <v>-8</v>
      </c>
      <c r="BD150" s="206">
        <f>S150</f>
        <v>-63</v>
      </c>
      <c r="BE150" s="206">
        <f>W150</f>
        <v>-21</v>
      </c>
      <c r="BF150" s="206">
        <f>AA150</f>
        <v>14</v>
      </c>
      <c r="BG150" s="206">
        <f>AE150</f>
        <v>0</v>
      </c>
      <c r="BH150" s="206">
        <f>AI150</f>
        <v>-12</v>
      </c>
      <c r="BI150" s="206">
        <f>AM150</f>
        <v>-31</v>
      </c>
      <c r="BJ150" s="206">
        <f>AQ150</f>
        <v>-4</v>
      </c>
      <c r="BK150" s="206">
        <f t="shared" ref="BK150:BK151" si="409">AU150</f>
        <v>20</v>
      </c>
      <c r="BL150" s="206">
        <f>AY150</f>
        <v>8</v>
      </c>
      <c r="BM150" s="206">
        <f t="shared" ref="BM150:BM151" si="410">BM48</f>
        <v>8</v>
      </c>
      <c r="BN150" s="206">
        <f t="shared" ref="BN150" si="411">BN48</f>
        <v>8</v>
      </c>
      <c r="BO150" s="22"/>
    </row>
    <row r="151" spans="1:67" ht="14.25" customHeight="1" outlineLevel="1">
      <c r="A151" s="8"/>
      <c r="B151" s="43" t="s">
        <v>329</v>
      </c>
      <c r="C151" s="44"/>
      <c r="D151" s="208">
        <f>D49</f>
        <v>0</v>
      </c>
      <c r="E151" s="206">
        <f t="shared" si="396"/>
        <v>0</v>
      </c>
      <c r="F151" s="206">
        <f t="shared" si="396"/>
        <v>0</v>
      </c>
      <c r="G151" s="207">
        <f t="shared" si="396"/>
        <v>0</v>
      </c>
      <c r="H151" s="208">
        <f>H49</f>
        <v>0</v>
      </c>
      <c r="I151" s="206">
        <f t="shared" si="397"/>
        <v>0</v>
      </c>
      <c r="J151" s="206">
        <f t="shared" si="397"/>
        <v>0</v>
      </c>
      <c r="K151" s="207">
        <f t="shared" si="397"/>
        <v>0</v>
      </c>
      <c r="L151" s="208">
        <f>L49</f>
        <v>-14</v>
      </c>
      <c r="M151" s="206">
        <f t="shared" si="398"/>
        <v>-15</v>
      </c>
      <c r="N151" s="206">
        <f t="shared" si="398"/>
        <v>-14</v>
      </c>
      <c r="O151" s="207">
        <f t="shared" si="398"/>
        <v>-15</v>
      </c>
      <c r="P151" s="208">
        <f>P49</f>
        <v>0</v>
      </c>
      <c r="Q151" s="206">
        <f t="shared" si="399"/>
        <v>0</v>
      </c>
      <c r="R151" s="206">
        <f t="shared" si="399"/>
        <v>0</v>
      </c>
      <c r="S151" s="207">
        <f t="shared" si="399"/>
        <v>0</v>
      </c>
      <c r="T151" s="208">
        <f>T49</f>
        <v>0</v>
      </c>
      <c r="U151" s="206">
        <f t="shared" si="400"/>
        <v>0</v>
      </c>
      <c r="V151" s="206">
        <f t="shared" si="400"/>
        <v>850</v>
      </c>
      <c r="W151" s="207">
        <f t="shared" si="400"/>
        <v>819</v>
      </c>
      <c r="X151" s="208">
        <f>X49</f>
        <v>0</v>
      </c>
      <c r="Y151" s="206">
        <f t="shared" si="401"/>
        <v>-45</v>
      </c>
      <c r="Z151" s="206">
        <f t="shared" si="401"/>
        <v>-45</v>
      </c>
      <c r="AA151" s="207">
        <f t="shared" si="401"/>
        <v>-45</v>
      </c>
      <c r="AB151" s="206">
        <f>AB49</f>
        <v>0</v>
      </c>
      <c r="AC151" s="206">
        <f t="shared" si="402"/>
        <v>0</v>
      </c>
      <c r="AD151" s="206">
        <f t="shared" si="402"/>
        <v>0</v>
      </c>
      <c r="AE151" s="207">
        <f t="shared" si="402"/>
        <v>0</v>
      </c>
      <c r="AF151" s="206">
        <f>AF49</f>
        <v>0</v>
      </c>
      <c r="AG151" s="206">
        <f t="shared" si="402"/>
        <v>0</v>
      </c>
      <c r="AH151" s="206">
        <f t="shared" si="402"/>
        <v>0</v>
      </c>
      <c r="AI151" s="207">
        <f t="shared" si="402"/>
        <v>0</v>
      </c>
      <c r="AJ151" s="206">
        <f>AJ49</f>
        <v>0</v>
      </c>
      <c r="AK151" s="206">
        <f t="shared" si="403"/>
        <v>0</v>
      </c>
      <c r="AL151" s="206">
        <f t="shared" si="403"/>
        <v>0</v>
      </c>
      <c r="AM151" s="207">
        <f t="shared" si="403"/>
        <v>0</v>
      </c>
      <c r="AN151" s="206">
        <f>AN49</f>
        <v>0</v>
      </c>
      <c r="AO151" s="206">
        <f t="shared" si="403"/>
        <v>0</v>
      </c>
      <c r="AP151" s="206">
        <f t="shared" si="403"/>
        <v>0</v>
      </c>
      <c r="AQ151" s="207">
        <f t="shared" si="403"/>
        <v>0</v>
      </c>
      <c r="AR151" s="206">
        <f>AR49</f>
        <v>0</v>
      </c>
      <c r="AS151" s="206">
        <f t="shared" si="404"/>
        <v>0</v>
      </c>
      <c r="AT151" s="206">
        <f t="shared" si="404"/>
        <v>0</v>
      </c>
      <c r="AU151" s="207">
        <f t="shared" si="405"/>
        <v>0</v>
      </c>
      <c r="AV151" s="206">
        <f>AV49</f>
        <v>0</v>
      </c>
      <c r="AW151" s="206">
        <f t="shared" si="406"/>
        <v>0</v>
      </c>
      <c r="AX151" s="206">
        <f t="shared" si="407"/>
        <v>0</v>
      </c>
      <c r="AY151" s="207">
        <f t="shared" si="408"/>
        <v>0</v>
      </c>
      <c r="AZ151" s="177"/>
      <c r="BA151" s="206">
        <f>G151</f>
        <v>0</v>
      </c>
      <c r="BB151" s="206">
        <f>K151</f>
        <v>0</v>
      </c>
      <c r="BC151" s="206">
        <f>O151</f>
        <v>-15</v>
      </c>
      <c r="BD151" s="206">
        <f>S151</f>
        <v>0</v>
      </c>
      <c r="BE151" s="206">
        <f>W151</f>
        <v>819</v>
      </c>
      <c r="BF151" s="206">
        <f>AA151</f>
        <v>-45</v>
      </c>
      <c r="BG151" s="206">
        <f>AE151</f>
        <v>0</v>
      </c>
      <c r="BH151" s="206">
        <f>AI151</f>
        <v>0</v>
      </c>
      <c r="BI151" s="206">
        <f>AM151</f>
        <v>0</v>
      </c>
      <c r="BJ151" s="206">
        <f>AQ151</f>
        <v>0</v>
      </c>
      <c r="BK151" s="206">
        <f t="shared" si="409"/>
        <v>0</v>
      </c>
      <c r="BL151" s="206">
        <f>AY151</f>
        <v>0</v>
      </c>
      <c r="BM151" s="206">
        <f t="shared" si="410"/>
        <v>0</v>
      </c>
      <c r="BN151" s="206">
        <f t="shared" ref="BN151" si="412">BN49</f>
        <v>0</v>
      </c>
      <c r="BO151" s="22"/>
    </row>
    <row r="152" spans="1:67" ht="14.25" customHeight="1" outlineLevel="1">
      <c r="A152" s="8"/>
      <c r="B152" s="43"/>
      <c r="C152" s="44"/>
      <c r="D152" s="225"/>
      <c r="E152" s="223"/>
      <c r="F152" s="223"/>
      <c r="G152" s="224"/>
      <c r="H152" s="225"/>
      <c r="I152" s="223"/>
      <c r="J152" s="223"/>
      <c r="K152" s="224"/>
      <c r="L152" s="225"/>
      <c r="M152" s="223"/>
      <c r="N152" s="223"/>
      <c r="O152" s="224"/>
      <c r="P152" s="225"/>
      <c r="Q152" s="223"/>
      <c r="R152" s="223"/>
      <c r="S152" s="224"/>
      <c r="T152" s="225"/>
      <c r="U152" s="223"/>
      <c r="V152" s="223"/>
      <c r="W152" s="224"/>
      <c r="X152" s="225"/>
      <c r="Y152" s="223"/>
      <c r="Z152" s="223"/>
      <c r="AA152" s="224"/>
      <c r="AB152" s="225"/>
      <c r="AC152" s="223"/>
      <c r="AD152" s="223"/>
      <c r="AE152" s="224"/>
      <c r="AF152" s="225"/>
      <c r="AG152" s="223"/>
      <c r="AH152" s="223"/>
      <c r="AI152" s="224"/>
      <c r="AJ152" s="225"/>
      <c r="AK152" s="223"/>
      <c r="AL152" s="223"/>
      <c r="AM152" s="224"/>
      <c r="AN152" s="225"/>
      <c r="AO152" s="223"/>
      <c r="AP152" s="223"/>
      <c r="AQ152" s="224"/>
      <c r="AR152" s="225"/>
      <c r="AS152" s="223"/>
      <c r="AT152" s="223"/>
      <c r="AU152" s="224"/>
      <c r="AV152" s="225"/>
      <c r="AW152" s="223"/>
      <c r="AX152" s="223"/>
      <c r="AY152" s="224"/>
      <c r="AZ152" s="177"/>
      <c r="BA152" s="223"/>
      <c r="BB152" s="223"/>
      <c r="BC152" s="223"/>
      <c r="BD152" s="223"/>
      <c r="BE152" s="223"/>
      <c r="BF152" s="223"/>
      <c r="BG152" s="223"/>
      <c r="BH152" s="223"/>
      <c r="BI152" s="223"/>
      <c r="BJ152" s="223"/>
      <c r="BK152" s="223"/>
      <c r="BL152" s="223"/>
      <c r="BM152" s="223"/>
      <c r="BN152" s="223"/>
      <c r="BO152" s="22"/>
    </row>
    <row r="153" spans="1:67" ht="14.25" customHeight="1" outlineLevel="1">
      <c r="A153" s="8"/>
      <c r="B153" s="43" t="s">
        <v>200</v>
      </c>
      <c r="C153" s="44"/>
      <c r="D153" s="221">
        <f>D51</f>
        <v>1232</v>
      </c>
      <c r="E153" s="220">
        <f>D153</f>
        <v>1232</v>
      </c>
      <c r="F153" s="220">
        <f>D153</f>
        <v>1232</v>
      </c>
      <c r="G153" s="220">
        <f>D153</f>
        <v>1232</v>
      </c>
      <c r="H153" s="221">
        <f>H51</f>
        <v>1041</v>
      </c>
      <c r="I153" s="220">
        <f>H153</f>
        <v>1041</v>
      </c>
      <c r="J153" s="220">
        <f>H153</f>
        <v>1041</v>
      </c>
      <c r="K153" s="220">
        <f>H153</f>
        <v>1041</v>
      </c>
      <c r="L153" s="221">
        <f>L51</f>
        <v>1796</v>
      </c>
      <c r="M153" s="220">
        <f>L153</f>
        <v>1796</v>
      </c>
      <c r="N153" s="220">
        <f>L153</f>
        <v>1796</v>
      </c>
      <c r="O153" s="220">
        <f>L153</f>
        <v>1796</v>
      </c>
      <c r="P153" s="221">
        <f>P51</f>
        <v>1026</v>
      </c>
      <c r="Q153" s="220">
        <f>P153</f>
        <v>1026</v>
      </c>
      <c r="R153" s="220">
        <f>P153</f>
        <v>1026</v>
      </c>
      <c r="S153" s="220">
        <f>P153</f>
        <v>1026</v>
      </c>
      <c r="T153" s="221">
        <f>T51</f>
        <v>898</v>
      </c>
      <c r="U153" s="220">
        <f>T153</f>
        <v>898</v>
      </c>
      <c r="V153" s="220">
        <f>T153</f>
        <v>898</v>
      </c>
      <c r="W153" s="220">
        <f>T153</f>
        <v>898</v>
      </c>
      <c r="X153" s="221">
        <f>X51</f>
        <v>743</v>
      </c>
      <c r="Y153" s="220">
        <f>X153</f>
        <v>743</v>
      </c>
      <c r="Z153" s="220">
        <f>X153</f>
        <v>743</v>
      </c>
      <c r="AA153" s="222">
        <f>X153</f>
        <v>743</v>
      </c>
      <c r="AB153" s="221">
        <f>AA156</f>
        <v>617</v>
      </c>
      <c r="AC153" s="220">
        <f>AB153</f>
        <v>617</v>
      </c>
      <c r="AD153" s="220">
        <f>AB153</f>
        <v>617</v>
      </c>
      <c r="AE153" s="222">
        <f>AB153</f>
        <v>617</v>
      </c>
      <c r="AF153" s="221">
        <f>AE156</f>
        <v>670</v>
      </c>
      <c r="AG153" s="220">
        <f>AF153</f>
        <v>670</v>
      </c>
      <c r="AH153" s="220">
        <f>AF153</f>
        <v>670</v>
      </c>
      <c r="AI153" s="222">
        <f>AH153</f>
        <v>670</v>
      </c>
      <c r="AJ153" s="221">
        <f>AI156</f>
        <v>1185</v>
      </c>
      <c r="AK153" s="220">
        <f>AJ153</f>
        <v>1185</v>
      </c>
      <c r="AL153" s="220">
        <f>AJ153</f>
        <v>1185</v>
      </c>
      <c r="AM153" s="222">
        <f>AL153</f>
        <v>1185</v>
      </c>
      <c r="AN153" s="221">
        <f>AM156</f>
        <v>1614</v>
      </c>
      <c r="AO153" s="220">
        <f>AN153</f>
        <v>1614</v>
      </c>
      <c r="AP153" s="220">
        <f>AN153</f>
        <v>1614</v>
      </c>
      <c r="AQ153" s="222">
        <f>AP153</f>
        <v>1614</v>
      </c>
      <c r="AR153" s="221">
        <f>AQ156</f>
        <v>1894</v>
      </c>
      <c r="AS153" s="220">
        <f>AR153</f>
        <v>1894</v>
      </c>
      <c r="AT153" s="220">
        <f>AR153</f>
        <v>1894</v>
      </c>
      <c r="AU153" s="222">
        <f>AR153</f>
        <v>1894</v>
      </c>
      <c r="AV153" s="221">
        <f>AU156</f>
        <v>3547</v>
      </c>
      <c r="AW153" s="220">
        <f>AV153</f>
        <v>3547</v>
      </c>
      <c r="AX153" s="220">
        <f>AV153</f>
        <v>3547</v>
      </c>
      <c r="AY153" s="222">
        <f>AV153</f>
        <v>3547</v>
      </c>
      <c r="AZ153" s="177"/>
      <c r="BA153" s="220">
        <f>BA51</f>
        <v>1232</v>
      </c>
      <c r="BB153" s="220">
        <f t="shared" ref="BB153:BN153" si="413">BA156</f>
        <v>1041</v>
      </c>
      <c r="BC153" s="220">
        <f t="shared" si="413"/>
        <v>1796</v>
      </c>
      <c r="BD153" s="220">
        <f t="shared" si="413"/>
        <v>1026</v>
      </c>
      <c r="BE153" s="220">
        <f t="shared" si="413"/>
        <v>898</v>
      </c>
      <c r="BF153" s="220">
        <f t="shared" si="413"/>
        <v>743</v>
      </c>
      <c r="BG153" s="220">
        <f t="shared" si="413"/>
        <v>617</v>
      </c>
      <c r="BH153" s="220">
        <f t="shared" si="413"/>
        <v>670</v>
      </c>
      <c r="BI153" s="220">
        <f t="shared" si="413"/>
        <v>1185</v>
      </c>
      <c r="BJ153" s="220">
        <f t="shared" si="413"/>
        <v>1614</v>
      </c>
      <c r="BK153" s="220">
        <f t="shared" si="413"/>
        <v>1894</v>
      </c>
      <c r="BL153" s="220">
        <f t="shared" si="413"/>
        <v>3547</v>
      </c>
      <c r="BM153" s="220">
        <f t="shared" si="413"/>
        <v>6144.9133425871196</v>
      </c>
      <c r="BN153" s="220">
        <f t="shared" si="413"/>
        <v>8987.2571609383012</v>
      </c>
      <c r="BO153" s="22"/>
    </row>
    <row r="154" spans="1:67" ht="14.25" customHeight="1" outlineLevel="1">
      <c r="A154" s="8"/>
      <c r="B154" s="43" t="s">
        <v>201</v>
      </c>
      <c r="C154" s="44"/>
      <c r="D154" s="225"/>
      <c r="E154" s="223"/>
      <c r="F154" s="223"/>
      <c r="G154" s="223"/>
      <c r="H154" s="225"/>
      <c r="I154" s="223"/>
      <c r="J154" s="223"/>
      <c r="K154" s="223"/>
      <c r="L154" s="225"/>
      <c r="M154" s="223"/>
      <c r="N154" s="223"/>
      <c r="O154" s="223"/>
      <c r="P154" s="225"/>
      <c r="Q154" s="223"/>
      <c r="R154" s="223"/>
      <c r="S154" s="223"/>
      <c r="T154" s="225"/>
      <c r="U154" s="223"/>
      <c r="V154" s="223"/>
      <c r="W154" s="223"/>
      <c r="X154" s="225"/>
      <c r="Y154" s="223"/>
      <c r="Z154" s="223"/>
      <c r="AA154" s="224"/>
      <c r="AB154" s="223"/>
      <c r="AC154" s="223">
        <f>AC52</f>
        <v>0</v>
      </c>
      <c r="AD154" s="223">
        <f>AC154+AD52</f>
        <v>0</v>
      </c>
      <c r="AE154" s="224"/>
      <c r="AF154" s="223">
        <f>AF52</f>
        <v>0</v>
      </c>
      <c r="AG154" s="223">
        <f>AG52</f>
        <v>0</v>
      </c>
      <c r="AH154" s="223">
        <f>AG154+AH52</f>
        <v>0</v>
      </c>
      <c r="AI154" s="224">
        <f>AI52</f>
        <v>0</v>
      </c>
      <c r="AJ154" s="223">
        <f>AJ52</f>
        <v>0</v>
      </c>
      <c r="AK154" s="223">
        <f>AJ154+AK52</f>
        <v>0</v>
      </c>
      <c r="AL154" s="223"/>
      <c r="AM154" s="224">
        <f>AM52</f>
        <v>0</v>
      </c>
      <c r="AN154" s="223">
        <f>AN52</f>
        <v>0</v>
      </c>
      <c r="AO154" s="223">
        <f>AN154+AO52</f>
        <v>0</v>
      </c>
      <c r="AP154" s="223"/>
      <c r="AQ154" s="224">
        <f>AQ52</f>
        <v>0</v>
      </c>
      <c r="AR154" s="223">
        <f>AR52</f>
        <v>0</v>
      </c>
      <c r="AS154" s="223">
        <f>AR154+AS52</f>
        <v>0</v>
      </c>
      <c r="AT154" s="223"/>
      <c r="AU154" s="224">
        <f>AT154+AU52</f>
        <v>0</v>
      </c>
      <c r="AV154" s="223">
        <f>AV52</f>
        <v>0</v>
      </c>
      <c r="AW154" s="223">
        <f>AV154+AW52</f>
        <v>0</v>
      </c>
      <c r="AX154" s="223">
        <f>AW154+AX52</f>
        <v>0</v>
      </c>
      <c r="AY154" s="224">
        <f>AX154+AY52</f>
        <v>0</v>
      </c>
      <c r="AZ154" s="177"/>
      <c r="BA154" s="223"/>
      <c r="BB154" s="223"/>
      <c r="BC154" s="223"/>
      <c r="BD154" s="223"/>
      <c r="BE154" s="223"/>
      <c r="BF154" s="223"/>
      <c r="BG154" s="223">
        <f>BG52</f>
        <v>0</v>
      </c>
      <c r="BH154" s="223">
        <f>AI154</f>
        <v>0</v>
      </c>
      <c r="BI154" s="223"/>
      <c r="BJ154" s="223"/>
      <c r="BK154" s="223"/>
      <c r="BL154" s="223"/>
      <c r="BM154" s="223"/>
      <c r="BN154" s="223"/>
      <c r="BO154" s="22"/>
    </row>
    <row r="155" spans="1:67" ht="14.25" customHeight="1" outlineLevel="1">
      <c r="A155" s="8"/>
      <c r="B155" s="217" t="s">
        <v>202</v>
      </c>
      <c r="C155" s="218"/>
      <c r="D155" s="221">
        <f t="shared" ref="D155:AF155" si="414">D148+D140+D132+D150+D151</f>
        <v>-406</v>
      </c>
      <c r="E155" s="220">
        <f t="shared" si="414"/>
        <v>-541</v>
      </c>
      <c r="F155" s="220">
        <f t="shared" si="414"/>
        <v>-269</v>
      </c>
      <c r="G155" s="220">
        <f t="shared" si="414"/>
        <v>-191</v>
      </c>
      <c r="H155" s="221">
        <f t="shared" si="414"/>
        <v>-522</v>
      </c>
      <c r="I155" s="220">
        <f t="shared" si="414"/>
        <v>-381</v>
      </c>
      <c r="J155" s="220">
        <f t="shared" si="414"/>
        <v>494</v>
      </c>
      <c r="K155" s="220">
        <f t="shared" si="414"/>
        <v>755</v>
      </c>
      <c r="L155" s="221">
        <f t="shared" si="414"/>
        <v>-97</v>
      </c>
      <c r="M155" s="220">
        <f t="shared" si="414"/>
        <v>-438</v>
      </c>
      <c r="N155" s="220">
        <f t="shared" si="414"/>
        <v>-755</v>
      </c>
      <c r="O155" s="220">
        <f t="shared" si="414"/>
        <v>-770</v>
      </c>
      <c r="P155" s="221">
        <f t="shared" si="414"/>
        <v>-171</v>
      </c>
      <c r="Q155" s="220">
        <f t="shared" si="414"/>
        <v>-200</v>
      </c>
      <c r="R155" s="220">
        <f t="shared" si="414"/>
        <v>-79</v>
      </c>
      <c r="S155" s="220">
        <f t="shared" si="414"/>
        <v>-128</v>
      </c>
      <c r="T155" s="221">
        <f t="shared" si="414"/>
        <v>-19</v>
      </c>
      <c r="U155" s="220">
        <f t="shared" si="414"/>
        <v>-39</v>
      </c>
      <c r="V155" s="220">
        <f t="shared" si="414"/>
        <v>-33</v>
      </c>
      <c r="W155" s="220">
        <f t="shared" si="414"/>
        <v>-155</v>
      </c>
      <c r="X155" s="221">
        <f t="shared" si="414"/>
        <v>39</v>
      </c>
      <c r="Y155" s="220">
        <f t="shared" si="414"/>
        <v>94</v>
      </c>
      <c r="Z155" s="220">
        <f t="shared" si="414"/>
        <v>-41</v>
      </c>
      <c r="AA155" s="222">
        <f t="shared" si="414"/>
        <v>-126</v>
      </c>
      <c r="AB155" s="220">
        <f t="shared" si="414"/>
        <v>-22</v>
      </c>
      <c r="AC155" s="220">
        <f t="shared" si="414"/>
        <v>-48</v>
      </c>
      <c r="AD155" s="220">
        <f t="shared" si="414"/>
        <v>324</v>
      </c>
      <c r="AE155" s="222">
        <f>AE148+AE140+AE132+AE150+AE151</f>
        <v>53</v>
      </c>
      <c r="AF155" s="220">
        <f t="shared" si="414"/>
        <v>50</v>
      </c>
      <c r="AG155" s="220">
        <f>AG148+AG140+AG132+AG150+AG151</f>
        <v>-9</v>
      </c>
      <c r="AH155" s="220">
        <f>AH148+AH140+AH132+AH150+AH151</f>
        <v>-76</v>
      </c>
      <c r="AI155" s="222">
        <f>AI148+AI140+AI132+AI150+AI151</f>
        <v>515</v>
      </c>
      <c r="AJ155" s="220">
        <f t="shared" ref="AJ155:AK155" si="415">AJ148+AJ140+AJ132+AJ150+AJ151</f>
        <v>170</v>
      </c>
      <c r="AK155" s="220">
        <f t="shared" si="415"/>
        <v>1250</v>
      </c>
      <c r="AL155" s="220">
        <f>AL148+AL140+AL132+AL150+AL151</f>
        <v>1307</v>
      </c>
      <c r="AM155" s="222">
        <f>AM148+AM140+AM132+AM150+AM151</f>
        <v>429</v>
      </c>
      <c r="AN155" s="220">
        <f t="shared" ref="AN155:AO155" si="416">AN148+AN140+AN132+AN150+AN151</f>
        <v>-126</v>
      </c>
      <c r="AO155" s="220">
        <f t="shared" si="416"/>
        <v>-279</v>
      </c>
      <c r="AP155" s="220">
        <f>AP148+AP140+AP132+AP150+AP151</f>
        <v>-45</v>
      </c>
      <c r="AQ155" s="222">
        <f>AQ148+AQ140+AQ132+AQ150+AQ151</f>
        <v>280</v>
      </c>
      <c r="AR155" s="220">
        <f t="shared" ref="AR155:AU155" si="417">AR148+AR140+AR132+AR150+AR151</f>
        <v>344</v>
      </c>
      <c r="AS155" s="220">
        <f t="shared" si="417"/>
        <v>748</v>
      </c>
      <c r="AT155" s="220">
        <f>AT148+AT140+AT132+AT150+AT151</f>
        <v>1171</v>
      </c>
      <c r="AU155" s="222">
        <f t="shared" si="417"/>
        <v>1653</v>
      </c>
      <c r="AV155" s="220">
        <f t="shared" ref="AV155:AY155" si="418">AV148+AV140+AV132+AV150+AV151</f>
        <v>647.65873337459266</v>
      </c>
      <c r="AW155" s="220">
        <f t="shared" si="418"/>
        <v>1258.9125053093856</v>
      </c>
      <c r="AX155" s="220">
        <f t="shared" si="418"/>
        <v>1906.0583230743287</v>
      </c>
      <c r="AY155" s="222">
        <f t="shared" si="418"/>
        <v>2597.9133425871196</v>
      </c>
      <c r="AZ155" s="177"/>
      <c r="BA155" s="220">
        <f t="shared" ref="BA155:BM155" si="419">BA148+BA140+BA132+BA150+BA151</f>
        <v>-191</v>
      </c>
      <c r="BB155" s="220">
        <f t="shared" si="419"/>
        <v>755</v>
      </c>
      <c r="BC155" s="220">
        <f t="shared" si="419"/>
        <v>-770</v>
      </c>
      <c r="BD155" s="220">
        <f t="shared" si="419"/>
        <v>-128</v>
      </c>
      <c r="BE155" s="220">
        <f t="shared" si="419"/>
        <v>-155</v>
      </c>
      <c r="BF155" s="220">
        <f t="shared" si="419"/>
        <v>-126</v>
      </c>
      <c r="BG155" s="220">
        <f t="shared" si="419"/>
        <v>53</v>
      </c>
      <c r="BH155" s="220">
        <f t="shared" si="419"/>
        <v>515</v>
      </c>
      <c r="BI155" s="220">
        <f>BI148+BI140+BI132+BI150+BI151</f>
        <v>429</v>
      </c>
      <c r="BJ155" s="220">
        <f>BJ148+BJ140+BJ132+BJ150+BJ151</f>
        <v>280</v>
      </c>
      <c r="BK155" s="220">
        <f>BK148+BK140+BK132+BK150+BK151</f>
        <v>1653</v>
      </c>
      <c r="BL155" s="220">
        <f>BL148+BL140+BL132+BL150+BL151</f>
        <v>2597.9133425871196</v>
      </c>
      <c r="BM155" s="220">
        <f t="shared" si="419"/>
        <v>2842.3438183511826</v>
      </c>
      <c r="BN155" s="220">
        <f t="shared" ref="BN155" si="420">BN148+BN140+BN132+BN150+BN151</f>
        <v>2997.4224914403108</v>
      </c>
      <c r="BO155" s="22"/>
    </row>
    <row r="156" spans="1:67" ht="14.25" customHeight="1" outlineLevel="1">
      <c r="A156" s="8"/>
      <c r="B156" s="226" t="s">
        <v>203</v>
      </c>
      <c r="C156" s="227"/>
      <c r="D156" s="229">
        <f t="shared" ref="D156:P156" si="421">D155+D153+D154</f>
        <v>826</v>
      </c>
      <c r="E156" s="228">
        <f t="shared" si="421"/>
        <v>691</v>
      </c>
      <c r="F156" s="228">
        <f t="shared" si="421"/>
        <v>963</v>
      </c>
      <c r="G156" s="228">
        <f t="shared" si="421"/>
        <v>1041</v>
      </c>
      <c r="H156" s="229">
        <f t="shared" si="421"/>
        <v>519</v>
      </c>
      <c r="I156" s="228">
        <f t="shared" si="421"/>
        <v>660</v>
      </c>
      <c r="J156" s="228">
        <f t="shared" si="421"/>
        <v>1535</v>
      </c>
      <c r="K156" s="228">
        <f t="shared" si="421"/>
        <v>1796</v>
      </c>
      <c r="L156" s="229">
        <f t="shared" si="421"/>
        <v>1699</v>
      </c>
      <c r="M156" s="228">
        <f t="shared" si="421"/>
        <v>1358</v>
      </c>
      <c r="N156" s="228">
        <f t="shared" si="421"/>
        <v>1041</v>
      </c>
      <c r="O156" s="228">
        <f t="shared" si="421"/>
        <v>1026</v>
      </c>
      <c r="P156" s="229">
        <f t="shared" si="421"/>
        <v>855</v>
      </c>
      <c r="Q156" s="228">
        <f t="shared" ref="Q156:BJ156" si="422">Q155+Q153+Q154</f>
        <v>826</v>
      </c>
      <c r="R156" s="228">
        <f t="shared" si="422"/>
        <v>947</v>
      </c>
      <c r="S156" s="228">
        <f t="shared" si="422"/>
        <v>898</v>
      </c>
      <c r="T156" s="229">
        <f t="shared" si="422"/>
        <v>879</v>
      </c>
      <c r="U156" s="228">
        <f t="shared" si="422"/>
        <v>859</v>
      </c>
      <c r="V156" s="228">
        <f t="shared" si="422"/>
        <v>865</v>
      </c>
      <c r="W156" s="228">
        <f t="shared" si="422"/>
        <v>743</v>
      </c>
      <c r="X156" s="229">
        <f t="shared" si="422"/>
        <v>782</v>
      </c>
      <c r="Y156" s="228">
        <f t="shared" si="422"/>
        <v>837</v>
      </c>
      <c r="Z156" s="228">
        <f t="shared" si="422"/>
        <v>702</v>
      </c>
      <c r="AA156" s="230">
        <f t="shared" si="422"/>
        <v>617</v>
      </c>
      <c r="AB156" s="228">
        <f t="shared" si="422"/>
        <v>595</v>
      </c>
      <c r="AC156" s="228">
        <f t="shared" si="422"/>
        <v>569</v>
      </c>
      <c r="AD156" s="228">
        <f t="shared" si="422"/>
        <v>941</v>
      </c>
      <c r="AE156" s="230">
        <f t="shared" si="422"/>
        <v>670</v>
      </c>
      <c r="AF156" s="228">
        <f t="shared" si="422"/>
        <v>720</v>
      </c>
      <c r="AG156" s="228">
        <f>AG155+AG153+AG154</f>
        <v>661</v>
      </c>
      <c r="AH156" s="228">
        <f>AH155+AH153+AH154</f>
        <v>594</v>
      </c>
      <c r="AI156" s="230">
        <f>AI155+AI153+AI154</f>
        <v>1185</v>
      </c>
      <c r="AJ156" s="228">
        <f t="shared" ref="AJ156:AK156" si="423">AJ155+AJ153+AJ154</f>
        <v>1355</v>
      </c>
      <c r="AK156" s="228">
        <f t="shared" si="423"/>
        <v>2435</v>
      </c>
      <c r="AL156" s="228">
        <f>AL155+AL153+AL154</f>
        <v>2492</v>
      </c>
      <c r="AM156" s="230">
        <f>AM155+AM153+AM154</f>
        <v>1614</v>
      </c>
      <c r="AN156" s="228">
        <f t="shared" ref="AN156:AO156" si="424">AN155+AN153+AN154</f>
        <v>1488</v>
      </c>
      <c r="AO156" s="228">
        <f t="shared" si="424"/>
        <v>1335</v>
      </c>
      <c r="AP156" s="228">
        <f>AP155+AP153+AP154</f>
        <v>1569</v>
      </c>
      <c r="AQ156" s="230">
        <f>AQ155+AQ153+AQ154</f>
        <v>1894</v>
      </c>
      <c r="AR156" s="228">
        <f t="shared" ref="AR156:AU156" si="425">AR155+AR153+AR154</f>
        <v>2238</v>
      </c>
      <c r="AS156" s="228">
        <f t="shared" si="425"/>
        <v>2642</v>
      </c>
      <c r="AT156" s="228">
        <f>AT155+AT153+AT154</f>
        <v>3065</v>
      </c>
      <c r="AU156" s="230">
        <f t="shared" si="425"/>
        <v>3547</v>
      </c>
      <c r="AV156" s="228">
        <f t="shared" ref="AV156:AY156" si="426">AV155+AV153+AV154</f>
        <v>4194.6587333745929</v>
      </c>
      <c r="AW156" s="228">
        <f t="shared" si="426"/>
        <v>4805.9125053093858</v>
      </c>
      <c r="AX156" s="228">
        <f t="shared" si="426"/>
        <v>5453.0583230743287</v>
      </c>
      <c r="AY156" s="230">
        <f t="shared" si="426"/>
        <v>6144.9133425871196</v>
      </c>
      <c r="AZ156" s="177"/>
      <c r="BA156" s="228">
        <f t="shared" si="422"/>
        <v>1041</v>
      </c>
      <c r="BB156" s="228">
        <f t="shared" si="422"/>
        <v>1796</v>
      </c>
      <c r="BC156" s="228">
        <f t="shared" si="422"/>
        <v>1026</v>
      </c>
      <c r="BD156" s="228">
        <f t="shared" si="422"/>
        <v>898</v>
      </c>
      <c r="BE156" s="228">
        <f t="shared" si="422"/>
        <v>743</v>
      </c>
      <c r="BF156" s="228">
        <f t="shared" si="422"/>
        <v>617</v>
      </c>
      <c r="BG156" s="228">
        <f t="shared" si="422"/>
        <v>670</v>
      </c>
      <c r="BH156" s="228">
        <f t="shared" si="422"/>
        <v>1185</v>
      </c>
      <c r="BI156" s="228">
        <f t="shared" si="422"/>
        <v>1614</v>
      </c>
      <c r="BJ156" s="228">
        <f t="shared" si="422"/>
        <v>1894</v>
      </c>
      <c r="BK156" s="228">
        <f t="shared" ref="BK156:BL156" si="427">BK155+BK153+BK154</f>
        <v>3547</v>
      </c>
      <c r="BL156" s="228">
        <f t="shared" si="427"/>
        <v>6144.9133425871196</v>
      </c>
      <c r="BM156" s="228">
        <f>BM155+BM153+BM154</f>
        <v>8987.2571609383012</v>
      </c>
      <c r="BN156" s="228">
        <f>BN155+BN153+BN154</f>
        <v>11984.679652378612</v>
      </c>
      <c r="BO156" s="22"/>
    </row>
    <row r="157" spans="1:67" ht="14.25" customHeight="1" outlineLevel="1">
      <c r="A157" s="8"/>
      <c r="B157" s="287"/>
      <c r="C157" s="288"/>
      <c r="D157" s="220"/>
      <c r="E157" s="220"/>
      <c r="F157" s="220"/>
      <c r="G157" s="220"/>
      <c r="H157" s="220"/>
      <c r="I157" s="220"/>
      <c r="J157" s="220"/>
      <c r="K157" s="220"/>
      <c r="L157" s="220"/>
      <c r="M157" s="220"/>
      <c r="N157" s="220"/>
      <c r="O157" s="220"/>
      <c r="P157" s="220"/>
      <c r="Q157" s="220"/>
      <c r="R157" s="220"/>
      <c r="S157" s="220"/>
      <c r="T157" s="220"/>
      <c r="U157" s="220"/>
      <c r="V157" s="220"/>
      <c r="W157" s="220"/>
      <c r="X157" s="220"/>
      <c r="Y157" s="220"/>
      <c r="Z157" s="220"/>
      <c r="AA157" s="220"/>
      <c r="AB157" s="220"/>
      <c r="AC157" s="220"/>
      <c r="AD157" s="220"/>
      <c r="AE157" s="220"/>
      <c r="AF157" s="220"/>
      <c r="AG157" s="220"/>
      <c r="AH157" s="220"/>
      <c r="AI157" s="220"/>
      <c r="AJ157" s="220"/>
      <c r="AK157" s="220"/>
      <c r="AL157" s="220"/>
      <c r="AM157" s="220"/>
      <c r="AN157" s="220"/>
      <c r="AO157" s="220"/>
      <c r="AP157" s="220"/>
      <c r="AQ157" s="220"/>
      <c r="AR157" s="220"/>
      <c r="AS157" s="220"/>
      <c r="AT157" s="220"/>
      <c r="AU157" s="220"/>
      <c r="AV157" s="220"/>
      <c r="AW157" s="220"/>
      <c r="AX157" s="220"/>
      <c r="AY157" s="220"/>
      <c r="AZ157" s="58"/>
      <c r="BA157" s="220"/>
      <c r="BB157" s="220"/>
      <c r="BC157" s="220"/>
      <c r="BD157" s="220"/>
      <c r="BE157" s="220"/>
      <c r="BF157" s="220"/>
      <c r="BG157" s="220"/>
      <c r="BH157" s="220"/>
      <c r="BI157" s="220"/>
      <c r="BJ157" s="220"/>
      <c r="BK157" s="220"/>
      <c r="BL157" s="220"/>
      <c r="BM157" s="220"/>
      <c r="BN157" s="220"/>
      <c r="BO157" s="8"/>
    </row>
    <row r="158" spans="1:67" ht="14.25" customHeight="1" outlineLevel="1">
      <c r="A158" s="8"/>
      <c r="B158" s="62" t="s">
        <v>172</v>
      </c>
      <c r="C158" s="63"/>
      <c r="D158" s="175">
        <f>BS!D11</f>
        <v>826</v>
      </c>
      <c r="E158" s="173">
        <f>BS!E11</f>
        <v>691</v>
      </c>
      <c r="F158" s="173">
        <f>BS!F11</f>
        <v>963</v>
      </c>
      <c r="G158" s="176">
        <f>BS!G11</f>
        <v>1041</v>
      </c>
      <c r="H158" s="175">
        <f>BS!H11</f>
        <v>519</v>
      </c>
      <c r="I158" s="173">
        <f>BS!I11</f>
        <v>660</v>
      </c>
      <c r="J158" s="173">
        <f>BS!J11</f>
        <v>1535</v>
      </c>
      <c r="K158" s="176">
        <f>BS!K11</f>
        <v>1796</v>
      </c>
      <c r="L158" s="175">
        <f>BS!L11</f>
        <v>1699</v>
      </c>
      <c r="M158" s="173">
        <f>BS!M11</f>
        <v>1358</v>
      </c>
      <c r="N158" s="173">
        <f>BS!N11</f>
        <v>1041</v>
      </c>
      <c r="O158" s="176">
        <f>BS!O11</f>
        <v>1026</v>
      </c>
      <c r="P158" s="175">
        <f>BS!P11</f>
        <v>855</v>
      </c>
      <c r="Q158" s="173">
        <f>BS!Q11</f>
        <v>826</v>
      </c>
      <c r="R158" s="173">
        <f>BS!R11</f>
        <v>947</v>
      </c>
      <c r="S158" s="176">
        <f>BS!S11</f>
        <v>898</v>
      </c>
      <c r="T158" s="173">
        <f>BS!T11</f>
        <v>879</v>
      </c>
      <c r="U158" s="173">
        <f>BS!U11</f>
        <v>859</v>
      </c>
      <c r="V158" s="173">
        <f>BS!V11</f>
        <v>865</v>
      </c>
      <c r="W158" s="176">
        <f>BS!W11</f>
        <v>743</v>
      </c>
      <c r="X158" s="173">
        <f>BS!X11</f>
        <v>782</v>
      </c>
      <c r="Y158" s="173">
        <f>BS!Y11</f>
        <v>837</v>
      </c>
      <c r="Z158" s="173">
        <f>BS!Z11</f>
        <v>702</v>
      </c>
      <c r="AA158" s="174">
        <f>BS!AA11</f>
        <v>617</v>
      </c>
      <c r="AB158" s="173">
        <f>BS!AB11</f>
        <v>595</v>
      </c>
      <c r="AC158" s="173">
        <f>BS!AC11</f>
        <v>569</v>
      </c>
      <c r="AD158" s="173">
        <f>BS!AD11</f>
        <v>941</v>
      </c>
      <c r="AE158" s="174">
        <f>BS!AE11</f>
        <v>670</v>
      </c>
      <c r="AF158" s="173">
        <f>BS!AF11</f>
        <v>720</v>
      </c>
      <c r="AG158" s="173">
        <f>BS!AG11</f>
        <v>661</v>
      </c>
      <c r="AH158" s="173">
        <f>BS!AH11</f>
        <v>594</v>
      </c>
      <c r="AI158" s="174">
        <f>BS!AI11</f>
        <v>1185</v>
      </c>
      <c r="AJ158" s="173">
        <f>BS!AJ11</f>
        <v>1355</v>
      </c>
      <c r="AK158" s="173">
        <f>BS!AK11</f>
        <v>2435</v>
      </c>
      <c r="AL158" s="173">
        <f>BS!AL11</f>
        <v>2492</v>
      </c>
      <c r="AM158" s="174">
        <f>BS!AM11</f>
        <v>1614</v>
      </c>
      <c r="AN158" s="173">
        <f>BS!AN11</f>
        <v>1488</v>
      </c>
      <c r="AO158" s="173">
        <f>BS!AO11</f>
        <v>1335</v>
      </c>
      <c r="AP158" s="173">
        <f>BS!AP11</f>
        <v>1569</v>
      </c>
      <c r="AQ158" s="174">
        <f>BS!AQ11</f>
        <v>1894</v>
      </c>
      <c r="AR158" s="173">
        <f>BS!AR11</f>
        <v>2238</v>
      </c>
      <c r="AS158" s="173">
        <f>BS!AS11</f>
        <v>2642</v>
      </c>
      <c r="AT158" s="173">
        <f>BS!AT11</f>
        <v>3065</v>
      </c>
      <c r="AU158" s="174">
        <f>BS!AU11</f>
        <v>3547</v>
      </c>
      <c r="AV158" s="173">
        <f>BS!AV11</f>
        <v>4194.6587333745929</v>
      </c>
      <c r="AW158" s="173">
        <f>BS!AW11</f>
        <v>4805.9125053093858</v>
      </c>
      <c r="AX158" s="173">
        <f>BS!AX11</f>
        <v>5453.0583230743287</v>
      </c>
      <c r="AY158" s="174">
        <f>BS!AY11</f>
        <v>6144.9133425871196</v>
      </c>
      <c r="AZ158" s="177"/>
      <c r="BA158" s="173">
        <f>BS!BA11</f>
        <v>1041</v>
      </c>
      <c r="BB158" s="173">
        <f>BS!BB11</f>
        <v>1796</v>
      </c>
      <c r="BC158" s="173">
        <f>BS!BC11</f>
        <v>1026</v>
      </c>
      <c r="BD158" s="173">
        <f>BS!BD11</f>
        <v>898</v>
      </c>
      <c r="BE158" s="173">
        <f>BS!BE11</f>
        <v>743</v>
      </c>
      <c r="BF158" s="173">
        <f>BS!BF11</f>
        <v>617</v>
      </c>
      <c r="BG158" s="173">
        <f>BS!BG11</f>
        <v>670</v>
      </c>
      <c r="BH158" s="173">
        <f>BS!BH11</f>
        <v>1185</v>
      </c>
      <c r="BI158" s="173">
        <f>BS!BI11</f>
        <v>1614</v>
      </c>
      <c r="BJ158" s="173">
        <f>BS!BJ11</f>
        <v>1894</v>
      </c>
      <c r="BK158" s="173">
        <f>BS!BK11</f>
        <v>3547</v>
      </c>
      <c r="BL158" s="173">
        <f>BS!BL11</f>
        <v>6144.9133425871196</v>
      </c>
      <c r="BM158" s="173">
        <f>BS!BM11</f>
        <v>8987.2571609383012</v>
      </c>
      <c r="BN158" s="173">
        <f>BS!BN11</f>
        <v>11984.679652378612</v>
      </c>
      <c r="BO158" s="22"/>
    </row>
    <row r="159" spans="1:67" ht="14.25" customHeight="1" outlineLevel="1">
      <c r="A159" s="8"/>
      <c r="B159" s="144" t="s">
        <v>154</v>
      </c>
      <c r="C159" s="145"/>
      <c r="D159" s="146">
        <f t="shared" ref="D159:R159" si="428">IF(ROUND(D158,4)=ROUND(D156,4),0,(D158-D156))</f>
        <v>0</v>
      </c>
      <c r="E159" s="146">
        <f t="shared" si="428"/>
        <v>0</v>
      </c>
      <c r="F159" s="178">
        <f t="shared" si="428"/>
        <v>0</v>
      </c>
      <c r="G159" s="146">
        <f t="shared" si="428"/>
        <v>0</v>
      </c>
      <c r="H159" s="148">
        <f t="shared" si="428"/>
        <v>0</v>
      </c>
      <c r="I159" s="146">
        <f t="shared" si="428"/>
        <v>0</v>
      </c>
      <c r="J159" s="178">
        <f t="shared" si="428"/>
        <v>0</v>
      </c>
      <c r="K159" s="147">
        <f t="shared" si="428"/>
        <v>0</v>
      </c>
      <c r="L159" s="148">
        <f t="shared" si="428"/>
        <v>0</v>
      </c>
      <c r="M159" s="146">
        <f t="shared" si="428"/>
        <v>0</v>
      </c>
      <c r="N159" s="178">
        <f t="shared" si="428"/>
        <v>0</v>
      </c>
      <c r="O159" s="147">
        <f t="shared" si="428"/>
        <v>0</v>
      </c>
      <c r="P159" s="146">
        <f t="shared" si="428"/>
        <v>0</v>
      </c>
      <c r="Q159" s="146">
        <f t="shared" si="428"/>
        <v>0</v>
      </c>
      <c r="R159" s="178">
        <f t="shared" si="428"/>
        <v>0</v>
      </c>
      <c r="S159" s="146">
        <f t="shared" ref="S159:BJ159" si="429">IF(ROUND(S158,4)=ROUND(S156,4),0,(S158-S156))</f>
        <v>0</v>
      </c>
      <c r="T159" s="148">
        <f t="shared" si="429"/>
        <v>0</v>
      </c>
      <c r="U159" s="146">
        <f t="shared" si="429"/>
        <v>0</v>
      </c>
      <c r="V159" s="146">
        <f t="shared" si="429"/>
        <v>0</v>
      </c>
      <c r="W159" s="146">
        <f t="shared" si="429"/>
        <v>0</v>
      </c>
      <c r="X159" s="148">
        <f t="shared" si="429"/>
        <v>0</v>
      </c>
      <c r="Y159" s="146">
        <f t="shared" si="429"/>
        <v>0</v>
      </c>
      <c r="Z159" s="146">
        <f t="shared" si="429"/>
        <v>0</v>
      </c>
      <c r="AA159" s="147">
        <f t="shared" si="429"/>
        <v>0</v>
      </c>
      <c r="AB159" s="148">
        <f t="shared" si="429"/>
        <v>0</v>
      </c>
      <c r="AC159" s="146">
        <f t="shared" si="429"/>
        <v>0</v>
      </c>
      <c r="AD159" s="146">
        <f t="shared" si="429"/>
        <v>0</v>
      </c>
      <c r="AE159" s="147">
        <f t="shared" si="429"/>
        <v>0</v>
      </c>
      <c r="AF159" s="148">
        <f t="shared" si="429"/>
        <v>0</v>
      </c>
      <c r="AG159" s="146">
        <f>IF(ROUND(AG158,4)=ROUND(AG156,4),0,(AG158-AG156))</f>
        <v>0</v>
      </c>
      <c r="AH159" s="146">
        <f>IF(ROUND(AH158,4)=ROUND(AH156,4),0,(AH158-AH156))</f>
        <v>0</v>
      </c>
      <c r="AI159" s="147">
        <f>IF(ROUND(AI158,4)=ROUND(AI156,4),0,(AI158-AI156))</f>
        <v>0</v>
      </c>
      <c r="AJ159" s="148">
        <f t="shared" ref="AJ159:AK159" si="430">IF(ROUND(AJ158,4)=ROUND(AJ156,4),0,(AJ158-AJ156))</f>
        <v>0</v>
      </c>
      <c r="AK159" s="146">
        <f t="shared" si="430"/>
        <v>0</v>
      </c>
      <c r="AL159" s="146">
        <f>IF(ROUND(AL158,4)=ROUND(AL156,4),0,(AL158-AL156))</f>
        <v>0</v>
      </c>
      <c r="AM159" s="147">
        <f>IF(ROUND(AM158,4)=ROUND(AM156,4),0,(AM158-AM156))</f>
        <v>0</v>
      </c>
      <c r="AN159" s="148">
        <f t="shared" ref="AN159:AO159" si="431">IF(ROUND(AN158,4)=ROUND(AN156,4),0,(AN158-AN156))</f>
        <v>0</v>
      </c>
      <c r="AO159" s="146">
        <f t="shared" si="431"/>
        <v>0</v>
      </c>
      <c r="AP159" s="146">
        <f>IF(ROUND(AP158,4)=ROUND(AP156,4),0,(AP158-AP156))</f>
        <v>0</v>
      </c>
      <c r="AQ159" s="147">
        <f>IF(ROUND(AQ158,4)=ROUND(AQ156,4),0,(AQ158-AQ156))</f>
        <v>0</v>
      </c>
      <c r="AR159" s="148">
        <f t="shared" ref="AR159:AU159" si="432">IF(ROUND(AR158,4)=ROUND(AR156,4),0,(AR158-AR156))</f>
        <v>0</v>
      </c>
      <c r="AS159" s="146">
        <f t="shared" si="432"/>
        <v>0</v>
      </c>
      <c r="AT159" s="146">
        <f>IF(ROUND(AT158,4)=ROUND(AT156,4),0,(AT158-AT156))</f>
        <v>0</v>
      </c>
      <c r="AU159" s="147">
        <f t="shared" si="432"/>
        <v>0</v>
      </c>
      <c r="AV159" s="148">
        <f t="shared" ref="AV159:AY159" si="433">IF(ROUND(AV158,4)=ROUND(AV156,4),0,(AV158-AV156))</f>
        <v>0</v>
      </c>
      <c r="AW159" s="146">
        <f t="shared" si="433"/>
        <v>0</v>
      </c>
      <c r="AX159" s="146">
        <f t="shared" si="433"/>
        <v>0</v>
      </c>
      <c r="AY159" s="147">
        <f t="shared" si="433"/>
        <v>0</v>
      </c>
      <c r="AZ159" s="177"/>
      <c r="BA159" s="146">
        <f>IF(ROUND(BA158,4)=ROUND(BA156,4),0,(BA158-BA156))</f>
        <v>0</v>
      </c>
      <c r="BB159" s="146">
        <f>IF(ROUND(BB158,4)=ROUND(BB156,4),0,(BB158-BB156))</f>
        <v>0</v>
      </c>
      <c r="BC159" s="146">
        <f t="shared" si="429"/>
        <v>0</v>
      </c>
      <c r="BD159" s="146">
        <f t="shared" si="429"/>
        <v>0</v>
      </c>
      <c r="BE159" s="146">
        <f t="shared" si="429"/>
        <v>0</v>
      </c>
      <c r="BF159" s="146">
        <f t="shared" si="429"/>
        <v>0</v>
      </c>
      <c r="BG159" s="146">
        <f t="shared" si="429"/>
        <v>0</v>
      </c>
      <c r="BH159" s="146">
        <f t="shared" si="429"/>
        <v>0</v>
      </c>
      <c r="BI159" s="146">
        <f t="shared" si="429"/>
        <v>0</v>
      </c>
      <c r="BJ159" s="146">
        <f t="shared" si="429"/>
        <v>0</v>
      </c>
      <c r="BK159" s="146">
        <f t="shared" ref="BK159:BL159" si="434">IF(ROUND(BK158,4)=ROUND(BK156,4),0,(BK158-BK156))</f>
        <v>0</v>
      </c>
      <c r="BL159" s="146">
        <f t="shared" si="434"/>
        <v>0</v>
      </c>
      <c r="BM159" s="146">
        <f>IF(ROUND(BM158,4)=ROUND(BM156,4),0,(BM158-BM156))</f>
        <v>0</v>
      </c>
      <c r="BN159" s="146">
        <f>IF(ROUND(BN158,4)=ROUND(BN156,4),0,(BN158-BN156))</f>
        <v>0</v>
      </c>
      <c r="BO159" s="22"/>
    </row>
    <row r="160" spans="1:67" ht="14.25" customHeight="1">
      <c r="A160" s="8"/>
      <c r="B160" s="235"/>
      <c r="C160" s="235"/>
      <c r="D160" s="236"/>
      <c r="E160" s="236"/>
      <c r="F160" s="236"/>
      <c r="G160" s="236"/>
      <c r="H160" s="236"/>
      <c r="I160" s="236"/>
      <c r="J160" s="236"/>
      <c r="K160" s="236"/>
      <c r="L160" s="236"/>
      <c r="M160" s="236"/>
      <c r="N160" s="236"/>
      <c r="O160" s="236"/>
      <c r="P160" s="236"/>
      <c r="Q160" s="236"/>
      <c r="R160" s="236"/>
      <c r="S160" s="236"/>
      <c r="T160" s="236"/>
      <c r="U160" s="236"/>
      <c r="V160" s="236"/>
      <c r="W160" s="236"/>
      <c r="X160" s="236"/>
      <c r="Y160" s="236"/>
      <c r="Z160" s="236"/>
      <c r="AA160" s="236"/>
      <c r="AB160" s="236"/>
      <c r="AC160" s="236"/>
      <c r="AD160" s="236"/>
      <c r="AE160" s="236"/>
      <c r="AF160" s="236"/>
      <c r="AG160" s="236"/>
      <c r="AH160" s="236"/>
      <c r="AI160" s="236"/>
      <c r="AJ160" s="236"/>
      <c r="AK160" s="236"/>
      <c r="AL160" s="236"/>
      <c r="AM160" s="236"/>
      <c r="AN160" s="236"/>
      <c r="AO160" s="236"/>
      <c r="AP160" s="236"/>
      <c r="AQ160" s="236"/>
      <c r="AR160" s="236"/>
      <c r="AS160" s="236"/>
      <c r="AT160" s="236"/>
      <c r="AU160" s="236"/>
      <c r="AV160" s="236"/>
      <c r="AW160" s="236"/>
      <c r="AX160" s="236"/>
      <c r="AY160" s="236"/>
      <c r="AZ160" s="58"/>
      <c r="BA160" s="236"/>
      <c r="BB160" s="236"/>
      <c r="BC160" s="236"/>
      <c r="BD160" s="236"/>
      <c r="BE160" s="236"/>
      <c r="BF160" s="236"/>
      <c r="BG160" s="236"/>
      <c r="BH160" s="236"/>
      <c r="BI160" s="236"/>
      <c r="BJ160" s="236"/>
      <c r="BK160" s="236"/>
      <c r="BL160" s="236"/>
      <c r="BM160" s="236"/>
      <c r="BN160" s="236"/>
      <c r="BO160" s="8"/>
    </row>
    <row r="161" spans="1:67" ht="14.25" customHeight="1">
      <c r="A161" s="8"/>
      <c r="B161" s="14"/>
      <c r="C161" s="14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37"/>
      <c r="S161" s="237"/>
      <c r="T161" s="237"/>
      <c r="U161" s="237"/>
      <c r="V161" s="237"/>
      <c r="W161" s="237"/>
      <c r="X161" s="237"/>
      <c r="Y161" s="237"/>
      <c r="Z161" s="237"/>
      <c r="AA161" s="237"/>
      <c r="AB161" s="237"/>
      <c r="AC161" s="237"/>
      <c r="AD161" s="237"/>
      <c r="AE161" s="237"/>
      <c r="AF161" s="237"/>
      <c r="AG161" s="237"/>
      <c r="AH161" s="237"/>
      <c r="AI161" s="237"/>
      <c r="AJ161" s="237"/>
      <c r="AK161" s="237"/>
      <c r="AL161" s="237"/>
      <c r="AM161" s="237"/>
      <c r="AN161" s="237"/>
      <c r="AO161" s="237"/>
      <c r="AP161" s="237"/>
      <c r="AQ161" s="237"/>
      <c r="AR161" s="237"/>
      <c r="AS161" s="237"/>
      <c r="AT161" s="237"/>
      <c r="AU161" s="237"/>
      <c r="AV161" s="237"/>
      <c r="AW161" s="237"/>
      <c r="AX161" s="237"/>
      <c r="AY161" s="237"/>
      <c r="AZ161" s="8"/>
      <c r="BA161" s="237"/>
      <c r="BB161" s="237"/>
      <c r="BC161" s="237"/>
      <c r="BD161" s="237"/>
      <c r="BE161" s="237"/>
      <c r="BF161" s="237"/>
      <c r="BG161" s="237"/>
      <c r="BH161" s="237"/>
      <c r="BI161" s="237"/>
      <c r="BJ161" s="237"/>
      <c r="BK161" s="237"/>
      <c r="BL161" s="237"/>
      <c r="BM161" s="237"/>
      <c r="BN161" s="237"/>
      <c r="BO161" s="8"/>
    </row>
    <row r="162" spans="1:67" ht="14.25" customHeight="1">
      <c r="A162" s="8"/>
      <c r="B162" s="14"/>
      <c r="C162" s="14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37"/>
      <c r="S162" s="237"/>
      <c r="T162" s="237"/>
      <c r="U162" s="237"/>
      <c r="V162" s="237"/>
      <c r="W162" s="237"/>
      <c r="X162" s="237"/>
      <c r="Y162" s="237"/>
      <c r="Z162" s="237"/>
      <c r="AA162" s="237"/>
      <c r="AB162" s="237"/>
      <c r="AC162" s="237"/>
      <c r="AD162" s="237"/>
      <c r="AE162" s="237"/>
      <c r="AF162" s="237"/>
      <c r="AG162" s="237"/>
      <c r="AH162" s="237"/>
      <c r="AI162" s="237"/>
      <c r="AJ162" s="237"/>
      <c r="AK162" s="237"/>
      <c r="AL162" s="237"/>
      <c r="AM162" s="237"/>
      <c r="AN162" s="237"/>
      <c r="AO162" s="237"/>
      <c r="AP162" s="237"/>
      <c r="AQ162" s="237"/>
      <c r="AR162" s="237"/>
      <c r="AS162" s="237"/>
      <c r="AT162" s="237"/>
      <c r="AU162" s="237"/>
      <c r="AV162" s="237"/>
      <c r="AW162" s="237"/>
      <c r="AX162" s="237"/>
      <c r="AY162" s="237"/>
      <c r="AZ162" s="8"/>
      <c r="BA162" s="237"/>
      <c r="BB162" s="237"/>
      <c r="BC162" s="237"/>
      <c r="BD162" s="237"/>
      <c r="BE162" s="237"/>
      <c r="BF162" s="237"/>
      <c r="BG162" s="237"/>
      <c r="BH162" s="237"/>
      <c r="BI162" s="237"/>
      <c r="BJ162" s="237"/>
      <c r="BK162" s="237"/>
      <c r="BL162" s="237"/>
      <c r="BM162" s="237"/>
      <c r="BN162" s="237"/>
      <c r="BO162" s="8"/>
    </row>
    <row r="163" spans="1:67" ht="14.2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285"/>
      <c r="BB163" s="285"/>
      <c r="BC163" s="285"/>
      <c r="BD163" s="285"/>
      <c r="BE163" s="285"/>
      <c r="BF163" s="285"/>
      <c r="BG163" s="285"/>
      <c r="BH163" s="285"/>
      <c r="BI163" s="285"/>
      <c r="BJ163" s="285"/>
      <c r="BK163" s="285"/>
      <c r="BL163" s="285"/>
      <c r="BM163" s="285"/>
      <c r="BN163" s="285"/>
      <c r="BO163" s="5"/>
    </row>
    <row r="164" spans="1:67" ht="14.2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</row>
    <row r="165" spans="1:67" ht="14.2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</row>
    <row r="166" spans="1:67" ht="14.2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</row>
    <row r="167" spans="1:67" ht="14.2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</row>
    <row r="168" spans="1:67" ht="14.2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</row>
    <row r="169" spans="1:67" ht="14.2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</row>
    <row r="170" spans="1:67" ht="14.2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</row>
    <row r="171" spans="1:67" ht="14.2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</row>
    <row r="172" spans="1:67" ht="14.2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</row>
    <row r="173" spans="1:67" ht="14.2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</row>
    <row r="174" spans="1:67" ht="14.2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</row>
    <row r="175" spans="1:67" ht="14.25" customHeight="1">
      <c r="AR175"/>
      <c r="AS175"/>
      <c r="AT175"/>
      <c r="AU175"/>
      <c r="AV175"/>
      <c r="AW175"/>
      <c r="AX175"/>
      <c r="AY175"/>
      <c r="BK175"/>
      <c r="BL175"/>
      <c r="BM175"/>
      <c r="BN175"/>
    </row>
    <row r="176" spans="1:67" ht="14.25" customHeight="1">
      <c r="A176" s="1"/>
      <c r="B176" s="192" t="s">
        <v>122</v>
      </c>
      <c r="C176" s="192"/>
      <c r="D176" s="290" t="s">
        <v>125</v>
      </c>
      <c r="E176" s="290" t="s">
        <v>125</v>
      </c>
      <c r="F176" s="290" t="s">
        <v>125</v>
      </c>
      <c r="G176" s="290" t="s">
        <v>125</v>
      </c>
      <c r="H176" s="290" t="s">
        <v>125</v>
      </c>
      <c r="I176" s="290" t="s">
        <v>125</v>
      </c>
      <c r="J176" s="290" t="s">
        <v>125</v>
      </c>
      <c r="K176" s="290" t="s">
        <v>125</v>
      </c>
      <c r="L176" s="290" t="s">
        <v>125</v>
      </c>
      <c r="M176" s="290" t="s">
        <v>125</v>
      </c>
      <c r="N176" s="290" t="s">
        <v>125</v>
      </c>
      <c r="O176" s="290" t="s">
        <v>125</v>
      </c>
      <c r="P176" s="290" t="s">
        <v>125</v>
      </c>
      <c r="Q176" s="290" t="s">
        <v>125</v>
      </c>
      <c r="R176" s="290" t="s">
        <v>125</v>
      </c>
      <c r="S176" s="290" t="s">
        <v>125</v>
      </c>
      <c r="T176" s="290" t="s">
        <v>125</v>
      </c>
      <c r="U176" s="290" t="s">
        <v>125</v>
      </c>
      <c r="V176" s="290" t="s">
        <v>125</v>
      </c>
      <c r="W176" s="290" t="s">
        <v>125</v>
      </c>
      <c r="X176" s="290" t="s">
        <v>125</v>
      </c>
      <c r="Y176" s="290" t="s">
        <v>125</v>
      </c>
      <c r="Z176" s="290" t="s">
        <v>125</v>
      </c>
      <c r="AA176" s="290" t="s">
        <v>125</v>
      </c>
      <c r="AB176" s="290" t="s">
        <v>125</v>
      </c>
      <c r="AC176" s="290" t="s">
        <v>125</v>
      </c>
      <c r="AD176" s="290" t="s">
        <v>125</v>
      </c>
      <c r="AE176" s="290" t="s">
        <v>125</v>
      </c>
      <c r="AF176" s="290" t="s">
        <v>125</v>
      </c>
      <c r="AG176" s="290" t="s">
        <v>125</v>
      </c>
      <c r="AH176" s="290" t="s">
        <v>125</v>
      </c>
      <c r="AI176" s="290" t="s">
        <v>125</v>
      </c>
      <c r="AJ176" s="290" t="s">
        <v>125</v>
      </c>
      <c r="AK176" s="290" t="s">
        <v>125</v>
      </c>
      <c r="AL176" s="290" t="s">
        <v>125</v>
      </c>
      <c r="AM176" s="290" t="s">
        <v>125</v>
      </c>
      <c r="AN176" s="290" t="s">
        <v>125</v>
      </c>
      <c r="AO176" s="290" t="s">
        <v>125</v>
      </c>
      <c r="AP176" s="290" t="s">
        <v>125</v>
      </c>
      <c r="AQ176" s="290" t="s">
        <v>125</v>
      </c>
      <c r="AR176" s="290" t="s">
        <v>125</v>
      </c>
      <c r="AS176" s="290" t="s">
        <v>125</v>
      </c>
      <c r="AT176" s="290" t="s">
        <v>125</v>
      </c>
      <c r="AU176" s="290" t="s">
        <v>125</v>
      </c>
      <c r="AV176" s="290" t="s">
        <v>126</v>
      </c>
      <c r="AW176" s="290" t="s">
        <v>126</v>
      </c>
      <c r="AX176" s="290" t="s">
        <v>126</v>
      </c>
      <c r="AY176" s="290" t="s">
        <v>126</v>
      </c>
      <c r="AZ176" s="1"/>
      <c r="BA176" s="1" t="s">
        <v>125</v>
      </c>
      <c r="BB176" s="1" t="s">
        <v>125</v>
      </c>
      <c r="BC176" s="1" t="s">
        <v>125</v>
      </c>
      <c r="BD176" s="1" t="s">
        <v>125</v>
      </c>
      <c r="BE176" s="1" t="s">
        <v>125</v>
      </c>
      <c r="BF176" s="1" t="s">
        <v>125</v>
      </c>
      <c r="BG176" s="1" t="s">
        <v>125</v>
      </c>
      <c r="BH176" s="1" t="s">
        <v>125</v>
      </c>
      <c r="BI176" s="1" t="s">
        <v>125</v>
      </c>
      <c r="BJ176" s="1" t="s">
        <v>125</v>
      </c>
      <c r="BK176" s="1" t="s">
        <v>125</v>
      </c>
      <c r="BL176" s="1" t="s">
        <v>126</v>
      </c>
      <c r="BM176" s="1" t="s">
        <v>126</v>
      </c>
      <c r="BN176" s="1" t="s">
        <v>126</v>
      </c>
      <c r="BO176" s="1"/>
    </row>
    <row r="177" spans="1:67" ht="14.25" customHeight="1">
      <c r="A177" s="1"/>
      <c r="B177" s="192"/>
      <c r="C177" s="192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</row>
    <row r="178" spans="1:67" ht="14.25" customHeight="1">
      <c r="A178" s="1"/>
      <c r="B178" s="192"/>
      <c r="C178" s="192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</row>
    <row r="179" spans="1:67" ht="14.25" customHeight="1">
      <c r="A179" s="1"/>
      <c r="B179" s="192"/>
      <c r="C179" s="192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</row>
    <row r="180" spans="1:67" ht="14.25" customHeight="1">
      <c r="A180" s="1"/>
      <c r="B180" s="192"/>
      <c r="C180" s="192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</row>
    <row r="181" spans="1:67" ht="14.2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</row>
    <row r="182" spans="1:67" ht="14.2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</row>
    <row r="183" spans="1:67" ht="14.2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</row>
    <row r="184" spans="1:67" ht="14.2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</row>
    <row r="185" spans="1:67" ht="14.2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</row>
    <row r="186" spans="1:67" ht="14.2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</row>
    <row r="187" spans="1:67" ht="14.2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</row>
  </sheetData>
  <phoneticPr fontId="41" type="noConversion"/>
  <pageMargins left="0" right="0" top="0" bottom="0" header="0" footer="0"/>
  <pageSetup paperSize="5" scale="23" orientation="landscape" r:id="rId1"/>
  <headerFooter alignWithMargins="0"/>
  <rowBreaks count="1" manualBreakCount="1">
    <brk id="54" max="16383" man="1"/>
  </rowBreaks>
  <colBreaks count="1" manualBreakCount="1">
    <brk id="65" max="1048575" man="1"/>
  </colBreaks>
  <ignoredErrors>
    <ignoredError sqref="V347:AF393 BF296:BH346 W12 CB129:CD129 BM135:BM139 BA189:BE346 D159:T174 U174 BO152:BO174 CB121:CD125 CB113:CD118 CB131:CD134 CB140:CD150 BM116:BM131 BM36 X162:X174 BM44:BM45 BM19:BM20 BM49 BM24:BM29 BM64:BM65 BM12 Y172:Y174 BK6:BM10 AZ6:AZ13 BM143:BM147 L12:T12 H6:AI9 BK189:BM346 H12:K13 V159:V174 W163:W174 BO6:BO25 BO59:BO77 AZ159:AZ174 X109:X151 AE160:AE174 BO140:BO149 Z12:AB12 BO106:BO134 BO80:BO87 BA6:BE6 BA8:BH10 BA12:BH12 Z159:AD174 AF160:AI174 BM150:BM151 BO27:BO57 AF159 H10:AA10 AC10:AI10 BA7:BE7 BO135:BO139 BO150:BO151 D177:T346 U177:U346 V177:V346 W177:W346 X177:X346 Y177:Y346 Z177:AD346 AE177:AE346 AF177:AI346 BV152:CD174 BV6:CA25 BV59:CA77 BV140:CA149 BV106:CA134 BV80:CA87 BV27:CA57 BV26:CA26 BV135:CD139 BV150:CA151 BO176:BO234 AZ176:AZ346 BV176:CD234" formula="1"/>
    <ignoredError sqref="D155:T155 D106:G153 H152:T153 BA153 BA155:BH155 V155 D42:G57 D14:G40 D59:G63 D80:G87 Z155:AD155 AF155 D65:G77" formulaRange="1"/>
    <ignoredError sqref="BF189:BH295 BM113:BM115 BA154 D154:T154 BA152 D156:T158 BA113:BH151 BM156:BM158 BA53:BH57 BA30:BH49 BM59:BM61 BM46:BM48 BM21:BM23 BG152:BG153 BM37:BM40 BM30:BM35 BA13:BH13 BM42:BM43 BM148:BM149 BM140:BM142 AZ14:BH17 BG50:BG51 AC73 BM132:BM134 BM16 BM13:BM14 V156:V158 Z16 P82:P86 Z69:AB73 L15:T16 L19:T20 S35:T35 L30:T32 M35:Q35 S37:T40 R38:R40 L37:Q40 N42:N44 N46:N47 O42:T47 L42:M47 L59:Q63 R59:T63 Z30 V108:V154 AZ19:BH29 Z14 Z32 Z75:AE76 H42:K57 BM69:BM76 BM81 H80:T81 L50:T57 H14:K40 BM66:BM67 L67:Q77 H59:K63 Z20:AB20 AA30:AB32 Z38:AB40 Z50:AB57 H106:T151 Z46:AB47 BM106:BM112 Z59:AC61 H82:O87 BA59:BH63 AZ69:AZ77 AZ80:BG81 AA65 Z67:AB67 AD73 AF84:AI87 AF73:AI73 AI55:AI57 AZ59:AZ67 BM82:BM86 BM152:BM154 BM50:BM52 AZ82:AZ87 Q82:T87 Z113:AB154 AF156:AF158 AZ106:AZ155 BB152:BF154 BK160:BM174 BA50:BF52 AD84:AD87 AZ31:AZ57 AE84:AE87 Z106:AI112 BH50:BH51 BH152:BH153 BA82:BH86 BA106:BH112 BH81 AZ156:BH158 BA159:BH174 AE73 Z81:AC87 AF113:AF153 Z156:AD158 AC113:AD153 AF59:AI61 AE59:AE61 BM55:BM57 AF75:AI76 AF74 AH74:AI74 AG72:AH72 AI81:AI83 AG70:AG71 BM159 BM63 H65:K77 L65:Q65 R65:T77 BA65:BH77 BA177:BH188 BK177:BM188" formula="1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>
    <tabColor indexed="51"/>
    <pageSetUpPr fitToPage="1"/>
  </sheetPr>
  <dimension ref="A1:BT555"/>
  <sheetViews>
    <sheetView showGridLines="0" zoomScale="80" zoomScaleNormal="80" workbookViewId="0">
      <pane xSplit="3" ySplit="12" topLeftCell="D13" activePane="bottomRight" state="frozen"/>
      <selection activeCell="AN6" sqref="AN6"/>
      <selection pane="topRight" activeCell="AN6" sqref="AN6"/>
      <selection pane="bottomLeft" activeCell="AN6" sqref="AN6"/>
      <selection pane="bottomRight" activeCell="B6" sqref="B6"/>
    </sheetView>
  </sheetViews>
  <sheetFormatPr defaultRowHeight="14.25" customHeight="1" outlineLevelRow="3" outlineLevelCol="1"/>
  <cols>
    <col min="1" max="1" width="1.7109375" customWidth="1"/>
    <col min="2" max="2" width="56" style="427" customWidth="1"/>
    <col min="3" max="3" width="2" customWidth="1"/>
    <col min="4" max="27" width="11.42578125" hidden="1" customWidth="1" outlineLevel="1"/>
    <col min="28" max="28" width="11.42578125" hidden="1" customWidth="1" outlineLevel="1" collapsed="1"/>
    <col min="29" max="35" width="11.42578125" hidden="1" customWidth="1" outlineLevel="1"/>
    <col min="36" max="36" width="11.42578125" hidden="1" customWidth="1" outlineLevel="1" collapsed="1"/>
    <col min="37" max="39" width="11.42578125" hidden="1" customWidth="1" outlineLevel="1"/>
    <col min="40" max="40" width="11.42578125" customWidth="1" collapsed="1"/>
    <col min="41" max="43" width="11.42578125" customWidth="1"/>
    <col min="44" max="51" width="11.42578125" style="1476" customWidth="1"/>
    <col min="52" max="52" width="2.7109375" customWidth="1"/>
    <col min="53" max="55" width="11.42578125" hidden="1" customWidth="1" outlineLevel="1"/>
    <col min="56" max="58" width="12.85546875" hidden="1" customWidth="1" outlineLevel="1"/>
    <col min="59" max="60" width="12.85546875" style="1208" hidden="1" customWidth="1" outlineLevel="1"/>
    <col min="61" max="61" width="12.85546875" style="1208" customWidth="1" collapsed="1"/>
    <col min="62" max="62" width="12.85546875" style="1208" customWidth="1"/>
    <col min="63" max="63" width="11.42578125" customWidth="1"/>
    <col min="64" max="66" width="12.85546875" style="1208" customWidth="1"/>
  </cols>
  <sheetData>
    <row r="1" spans="1:67" ht="67.5" customHeight="1">
      <c r="A1" s="5"/>
      <c r="B1" s="425"/>
      <c r="C1" s="1"/>
    </row>
    <row r="2" spans="1:67" ht="18" customHeight="1">
      <c r="A2" s="5"/>
      <c r="B2" s="426" t="s">
        <v>304</v>
      </c>
      <c r="C2" s="4"/>
      <c r="W2" s="406"/>
      <c r="AJ2" s="708"/>
      <c r="AK2" s="708"/>
      <c r="AL2" s="708"/>
    </row>
    <row r="3" spans="1:67" ht="18" customHeight="1">
      <c r="A3" s="5"/>
      <c r="B3" s="426"/>
      <c r="C3" s="4"/>
      <c r="W3" s="406"/>
      <c r="AI3" s="1338"/>
      <c r="AJ3" s="1374"/>
      <c r="AK3" s="1374"/>
      <c r="AL3" s="1374"/>
      <c r="AM3" s="1338"/>
      <c r="AN3" s="1338"/>
      <c r="AO3" s="1338"/>
      <c r="AP3" s="1338"/>
      <c r="AQ3" s="1338"/>
      <c r="AR3" s="1338"/>
      <c r="AS3" s="1338"/>
      <c r="AT3" s="1338"/>
      <c r="AU3" s="1338"/>
      <c r="AV3" s="1338"/>
      <c r="AW3" s="1338"/>
      <c r="AX3" s="1338"/>
      <c r="AY3" s="1338"/>
    </row>
    <row r="4" spans="1:67" ht="18" customHeight="1">
      <c r="A4" s="5"/>
      <c r="B4" s="426"/>
      <c r="C4" s="4"/>
      <c r="W4" s="406"/>
      <c r="AI4" s="1375"/>
      <c r="AJ4" s="1375"/>
      <c r="AK4" s="1375"/>
      <c r="AL4" s="1375"/>
      <c r="AM4" s="1375"/>
      <c r="AN4" s="1375"/>
      <c r="AO4" s="1375"/>
      <c r="AP4" s="1375"/>
      <c r="AQ4" s="1375"/>
      <c r="AR4" s="1375"/>
      <c r="AS4" s="1375"/>
      <c r="AT4" s="1375"/>
      <c r="AU4" s="1375"/>
      <c r="AV4" s="1375"/>
      <c r="AW4" s="1375"/>
      <c r="AX4" s="1375"/>
      <c r="AY4" s="1375"/>
      <c r="AZ4" s="1375"/>
    </row>
    <row r="5" spans="1:67" ht="18" customHeight="1">
      <c r="A5" s="5"/>
      <c r="B5" s="426"/>
      <c r="C5" s="4"/>
      <c r="W5" s="406"/>
      <c r="AI5" s="1376"/>
      <c r="AJ5" s="1395"/>
      <c r="AK5" s="708"/>
      <c r="AL5" s="708"/>
      <c r="AM5" s="708"/>
      <c r="AN5" s="708"/>
      <c r="AO5" s="708"/>
      <c r="AP5" s="708"/>
      <c r="AQ5" s="708"/>
      <c r="AR5" s="708"/>
      <c r="AS5" s="708"/>
      <c r="AT5" s="708"/>
      <c r="AU5" s="708"/>
      <c r="AV5" s="708"/>
      <c r="AW5" s="708"/>
      <c r="AX5" s="708"/>
      <c r="AY5" s="708"/>
      <c r="BK5" s="708"/>
      <c r="BL5" s="708"/>
      <c r="BM5" s="708"/>
      <c r="BN5" s="708"/>
    </row>
    <row r="6" spans="1:67" ht="14.25" customHeight="1">
      <c r="B6" s="427" t="s">
        <v>156</v>
      </c>
      <c r="U6" s="329"/>
      <c r="AB6" s="827"/>
      <c r="AF6" s="708"/>
      <c r="AG6" s="708"/>
      <c r="AH6" s="708"/>
      <c r="AI6" s="708"/>
      <c r="AJ6" s="708"/>
      <c r="AK6" s="708"/>
      <c r="AL6" s="708"/>
      <c r="AM6" s="708"/>
      <c r="AN6" s="708"/>
      <c r="AO6" s="708"/>
      <c r="AP6" s="708"/>
      <c r="AQ6" s="708"/>
      <c r="AR6" s="589"/>
      <c r="AS6" s="708"/>
      <c r="AT6" s="708"/>
      <c r="AU6" s="589"/>
      <c r="AV6" s="589"/>
      <c r="AW6" s="589"/>
      <c r="AX6" s="589"/>
      <c r="AY6" s="589"/>
      <c r="AZ6" s="708"/>
      <c r="BI6" s="1567"/>
      <c r="BJ6" s="1567"/>
      <c r="BK6" s="1567"/>
      <c r="BL6" s="1567"/>
      <c r="BM6" s="1567"/>
      <c r="BN6" s="1567"/>
    </row>
    <row r="7" spans="1:67" ht="14.25" hidden="1" customHeight="1">
      <c r="BL7" s="1476"/>
      <c r="BM7" s="1476"/>
      <c r="BN7" s="1476"/>
    </row>
    <row r="8" spans="1:67" ht="14.25" hidden="1" customHeight="1">
      <c r="A8" s="294"/>
      <c r="B8" s="428"/>
      <c r="C8" s="29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410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93"/>
      <c r="BH8" s="193"/>
      <c r="BI8" s="193"/>
      <c r="BJ8" s="193"/>
      <c r="BK8" s="1"/>
      <c r="BL8" s="1"/>
      <c r="BM8" s="1"/>
      <c r="BN8" s="1"/>
    </row>
    <row r="9" spans="1:67" ht="14.25" hidden="1" customHeight="1">
      <c r="A9" s="294"/>
      <c r="B9" s="429"/>
      <c r="C9" s="296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6"/>
      <c r="Y9" s="6"/>
      <c r="Z9" s="6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6"/>
      <c r="BE9" s="6"/>
      <c r="BF9" s="1"/>
      <c r="BG9" s="193"/>
      <c r="BH9" s="193"/>
      <c r="BI9" s="193"/>
      <c r="BJ9" s="193"/>
      <c r="BK9" s="1"/>
      <c r="BL9" s="1"/>
      <c r="BM9" s="1"/>
      <c r="BN9" s="1"/>
    </row>
    <row r="10" spans="1:67" ht="14.25" customHeight="1">
      <c r="A10" s="1"/>
      <c r="B10" s="430" t="s">
        <v>305</v>
      </c>
      <c r="C10" s="10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409"/>
      <c r="Z10" s="1"/>
      <c r="AA10" s="1"/>
      <c r="AB10" s="1"/>
      <c r="AC10" s="1"/>
      <c r="AD10" s="8"/>
      <c r="AE10" s="1"/>
      <c r="AF10" s="1"/>
      <c r="AG10" s="1"/>
      <c r="AH10" s="1"/>
      <c r="AI10" s="1"/>
      <c r="AJ10" s="1"/>
      <c r="AK10" s="1"/>
      <c r="AL10" s="826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6"/>
      <c r="BE10" s="6"/>
      <c r="BF10" s="1"/>
      <c r="BG10" s="1339"/>
      <c r="BH10" s="193"/>
      <c r="BI10" s="193"/>
      <c r="BJ10" s="1500"/>
      <c r="BK10" s="1500"/>
      <c r="BL10" s="1500"/>
      <c r="BM10" s="1500"/>
      <c r="BN10" s="1500"/>
    </row>
    <row r="11" spans="1:67" ht="14.25" customHeight="1">
      <c r="A11" s="1"/>
      <c r="B11" s="431" t="s">
        <v>50</v>
      </c>
      <c r="C11" s="297"/>
      <c r="D11" s="490">
        <v>39172</v>
      </c>
      <c r="E11" s="491">
        <v>39263</v>
      </c>
      <c r="F11" s="491">
        <v>39355</v>
      </c>
      <c r="G11" s="492">
        <v>39447</v>
      </c>
      <c r="H11" s="490">
        <v>39538</v>
      </c>
      <c r="I11" s="491">
        <v>39629</v>
      </c>
      <c r="J11" s="491">
        <v>39721</v>
      </c>
      <c r="K11" s="492">
        <v>39813</v>
      </c>
      <c r="L11" s="490">
        <v>39903</v>
      </c>
      <c r="M11" s="491">
        <v>39994</v>
      </c>
      <c r="N11" s="491">
        <v>40086</v>
      </c>
      <c r="O11" s="492">
        <v>40178</v>
      </c>
      <c r="P11" s="490">
        <v>40268</v>
      </c>
      <c r="Q11" s="491">
        <v>40359</v>
      </c>
      <c r="R11" s="491">
        <v>40451</v>
      </c>
      <c r="S11" s="492">
        <v>40543</v>
      </c>
      <c r="T11" s="490">
        <v>40633</v>
      </c>
      <c r="U11" s="491">
        <v>40724</v>
      </c>
      <c r="V11" s="491">
        <v>40816</v>
      </c>
      <c r="W11" s="492">
        <v>40908</v>
      </c>
      <c r="X11" s="490">
        <v>40999</v>
      </c>
      <c r="Y11" s="491">
        <v>41090</v>
      </c>
      <c r="Z11" s="491">
        <v>41182</v>
      </c>
      <c r="AA11" s="491">
        <v>41274</v>
      </c>
      <c r="AB11" s="490">
        <v>41364</v>
      </c>
      <c r="AC11" s="491">
        <v>41455</v>
      </c>
      <c r="AD11" s="491">
        <v>41547</v>
      </c>
      <c r="AE11" s="491">
        <v>41639</v>
      </c>
      <c r="AF11" s="490">
        <v>41729</v>
      </c>
      <c r="AG11" s="491">
        <v>41820</v>
      </c>
      <c r="AH11" s="491">
        <v>41912</v>
      </c>
      <c r="AI11" s="492">
        <v>42004</v>
      </c>
      <c r="AJ11" s="1654">
        <v>42094</v>
      </c>
      <c r="AK11" s="1655">
        <v>42185</v>
      </c>
      <c r="AL11" s="1655">
        <v>42277</v>
      </c>
      <c r="AM11" s="1655">
        <v>42369</v>
      </c>
      <c r="AN11" s="1654">
        <v>42460</v>
      </c>
      <c r="AO11" s="1655">
        <v>42551</v>
      </c>
      <c r="AP11" s="1655">
        <v>42643</v>
      </c>
      <c r="AQ11" s="1656">
        <v>42735</v>
      </c>
      <c r="AR11" s="1654">
        <v>42825</v>
      </c>
      <c r="AS11" s="1655">
        <v>42916</v>
      </c>
      <c r="AT11" s="1655">
        <v>43008</v>
      </c>
      <c r="AU11" s="1656">
        <v>43100</v>
      </c>
      <c r="AV11" s="1654">
        <v>43190</v>
      </c>
      <c r="AW11" s="1655">
        <v>43281</v>
      </c>
      <c r="AX11" s="1655">
        <v>43373</v>
      </c>
      <c r="AY11" s="1656">
        <v>43465</v>
      </c>
      <c r="AZ11" s="22"/>
      <c r="BA11" s="8"/>
      <c r="BB11" s="8"/>
      <c r="BC11" s="8"/>
      <c r="BD11" s="8"/>
      <c r="BE11" s="8"/>
      <c r="BF11" s="8"/>
      <c r="BG11" s="14"/>
      <c r="BH11" s="14"/>
      <c r="BI11" s="14"/>
      <c r="BJ11" s="14"/>
      <c r="BK11" s="8"/>
      <c r="BL11" s="14"/>
      <c r="BM11" s="14"/>
      <c r="BN11" s="14"/>
    </row>
    <row r="12" spans="1:67" ht="14.25" customHeight="1">
      <c r="A12" s="1"/>
      <c r="B12" s="432"/>
      <c r="C12" s="298"/>
      <c r="D12" s="462" t="s">
        <v>412</v>
      </c>
      <c r="E12" s="463" t="s">
        <v>413</v>
      </c>
      <c r="F12" s="463" t="s">
        <v>414</v>
      </c>
      <c r="G12" s="463" t="s">
        <v>415</v>
      </c>
      <c r="H12" s="462" t="s">
        <v>416</v>
      </c>
      <c r="I12" s="463" t="s">
        <v>417</v>
      </c>
      <c r="J12" s="463" t="s">
        <v>418</v>
      </c>
      <c r="K12" s="463" t="s">
        <v>419</v>
      </c>
      <c r="L12" s="462" t="s">
        <v>420</v>
      </c>
      <c r="M12" s="463" t="s">
        <v>421</v>
      </c>
      <c r="N12" s="463" t="s">
        <v>422</v>
      </c>
      <c r="O12" s="463" t="s">
        <v>423</v>
      </c>
      <c r="P12" s="494" t="s">
        <v>424</v>
      </c>
      <c r="Q12" s="463" t="s">
        <v>425</v>
      </c>
      <c r="R12" s="463" t="s">
        <v>426</v>
      </c>
      <c r="S12" s="463" t="s">
        <v>427</v>
      </c>
      <c r="T12" s="494" t="s">
        <v>428</v>
      </c>
      <c r="U12" s="463" t="s">
        <v>429</v>
      </c>
      <c r="V12" s="463" t="s">
        <v>430</v>
      </c>
      <c r="W12" s="463" t="s">
        <v>431</v>
      </c>
      <c r="X12" s="494" t="s">
        <v>432</v>
      </c>
      <c r="Y12" s="463" t="s">
        <v>433</v>
      </c>
      <c r="Z12" s="463" t="s">
        <v>490</v>
      </c>
      <c r="AA12" s="463" t="s">
        <v>509</v>
      </c>
      <c r="AB12" s="494" t="s">
        <v>495</v>
      </c>
      <c r="AC12" s="463" t="s">
        <v>48</v>
      </c>
      <c r="AD12" s="463" t="s">
        <v>124</v>
      </c>
      <c r="AE12" s="463" t="s">
        <v>264</v>
      </c>
      <c r="AF12" s="494" t="s">
        <v>330</v>
      </c>
      <c r="AG12" s="463" t="s">
        <v>516</v>
      </c>
      <c r="AH12" s="463" t="s">
        <v>517</v>
      </c>
      <c r="AI12" s="464" t="s">
        <v>520</v>
      </c>
      <c r="AJ12" s="1632" t="str">
        <f>'IS Inc FSL'!AJ7</f>
        <v>F1Q15A</v>
      </c>
      <c r="AK12" s="1633" t="str">
        <f>'IS Inc FSL'!AK7</f>
        <v>F2Q15A</v>
      </c>
      <c r="AL12" s="1633" t="str">
        <f>'IS Inc FSL'!AL7</f>
        <v>F3Q15A</v>
      </c>
      <c r="AM12" s="1634" t="str">
        <f>'IS Inc FSL'!AM7</f>
        <v>F4Q15A</v>
      </c>
      <c r="AN12" s="1632" t="str">
        <f>'IS Inc FSL'!AN7</f>
        <v>F1Q16A</v>
      </c>
      <c r="AO12" s="1633" t="str">
        <f>'IS Inc FSL'!AO7</f>
        <v>F2Q16A</v>
      </c>
      <c r="AP12" s="1633" t="str">
        <f>'IS Inc FSL'!AP7</f>
        <v>F3Q16A</v>
      </c>
      <c r="AQ12" s="1634" t="str">
        <f>'IS Inc FSL'!AQ7</f>
        <v>F4Q16A</v>
      </c>
      <c r="AR12" s="1632" t="str">
        <f>'IS Inc FSL'!AR7</f>
        <v>F1Q17A</v>
      </c>
      <c r="AS12" s="1633" t="str">
        <f>'IS Inc FSL'!AS7</f>
        <v>F2Q17A</v>
      </c>
      <c r="AT12" s="1633" t="str">
        <f>'IS Inc FSL'!AT7</f>
        <v>F3Q17A</v>
      </c>
      <c r="AU12" s="1634" t="str">
        <f>'IS Inc FSL'!AU7</f>
        <v>F4Q17A</v>
      </c>
      <c r="AV12" s="1632" t="str">
        <f>'IS Inc FSL'!AV7</f>
        <v>F1Q18E</v>
      </c>
      <c r="AW12" s="1633" t="str">
        <f>'IS Inc FSL'!AW7</f>
        <v>F2Q18E</v>
      </c>
      <c r="AX12" s="1633" t="str">
        <f>'IS Inc FSL'!AX7</f>
        <v>F3Q18E</v>
      </c>
      <c r="AY12" s="1634" t="str">
        <f>'IS Inc FSL'!AY7</f>
        <v>F4Q18E</v>
      </c>
      <c r="AZ12" s="20"/>
      <c r="BA12" s="494" t="s">
        <v>515</v>
      </c>
      <c r="BB12" s="1105" t="s">
        <v>514</v>
      </c>
      <c r="BC12" s="1105" t="s">
        <v>513</v>
      </c>
      <c r="BD12" s="1105" t="s">
        <v>406</v>
      </c>
      <c r="BE12" s="1105" t="s">
        <v>403</v>
      </c>
      <c r="BF12" s="494" t="s">
        <v>404</v>
      </c>
      <c r="BG12" s="494" t="s">
        <v>263</v>
      </c>
      <c r="BH12" s="1105" t="s">
        <v>527</v>
      </c>
      <c r="BI12" s="1632" t="str">
        <f>'IS Inc FSL'!BI7</f>
        <v>FY2015A</v>
      </c>
      <c r="BJ12" s="1633" t="str">
        <f>'IS Inc FSL'!BJ7</f>
        <v>FY2016A</v>
      </c>
      <c r="BK12" s="1633" t="str">
        <f>'IS Inc FSL'!BK7</f>
        <v>FY2017A</v>
      </c>
      <c r="BL12" s="1633" t="str">
        <f>'IS Inc FSL'!BL7</f>
        <v>FY2018E</v>
      </c>
      <c r="BM12" s="1633" t="str">
        <f>'IS Inc FSL'!BM7</f>
        <v>FY2019E</v>
      </c>
      <c r="BN12" s="1633" t="str">
        <f>'IS Inc FSL'!BN7</f>
        <v>FY2020E</v>
      </c>
      <c r="BO12" s="299"/>
    </row>
    <row r="13" spans="1:67" ht="14.25" customHeight="1">
      <c r="A13" s="1"/>
      <c r="B13" s="433"/>
      <c r="C13" s="293"/>
      <c r="D13" s="411"/>
      <c r="E13" s="412"/>
      <c r="F13" s="412"/>
      <c r="G13" s="412"/>
      <c r="H13" s="413"/>
      <c r="I13" s="412"/>
      <c r="J13" s="412"/>
      <c r="K13" s="412"/>
      <c r="L13" s="413"/>
      <c r="M13" s="412"/>
      <c r="N13" s="412"/>
      <c r="O13" s="412"/>
      <c r="P13" s="495"/>
      <c r="Q13" s="412"/>
      <c r="R13" s="412"/>
      <c r="S13" s="412"/>
      <c r="T13" s="495"/>
      <c r="U13" s="412"/>
      <c r="V13" s="412"/>
      <c r="W13" s="412"/>
      <c r="X13" s="495"/>
      <c r="Y13" s="412"/>
      <c r="Z13" s="412"/>
      <c r="AA13" s="412"/>
      <c r="AB13" s="495"/>
      <c r="AC13" s="412"/>
      <c r="AD13" s="412"/>
      <c r="AE13" s="412"/>
      <c r="AF13" s="495"/>
      <c r="AG13" s="412"/>
      <c r="AH13" s="412"/>
      <c r="AI13" s="414"/>
      <c r="AJ13" s="495"/>
      <c r="AK13" s="412"/>
      <c r="AL13" s="412"/>
      <c r="AM13" s="1581"/>
      <c r="AN13" s="1585"/>
      <c r="AO13" s="1581"/>
      <c r="AP13" s="1581"/>
      <c r="AQ13" s="1582"/>
      <c r="AR13" s="495"/>
      <c r="AS13" s="412"/>
      <c r="AT13" s="412"/>
      <c r="AU13" s="414"/>
      <c r="AV13" s="495"/>
      <c r="AW13" s="412"/>
      <c r="AX13" s="412"/>
      <c r="AY13" s="414"/>
      <c r="AZ13" s="20"/>
      <c r="BA13" s="495"/>
      <c r="BB13" s="412"/>
      <c r="BC13" s="412"/>
      <c r="BD13" s="412"/>
      <c r="BE13" s="412"/>
      <c r="BF13" s="495"/>
      <c r="BG13" s="495"/>
      <c r="BH13" s="412"/>
      <c r="BI13" s="1636"/>
      <c r="BJ13" s="1629"/>
      <c r="BK13" s="1629"/>
      <c r="BL13" s="1629"/>
      <c r="BM13" s="1629"/>
      <c r="BN13" s="1629"/>
      <c r="BO13" s="299"/>
    </row>
    <row r="14" spans="1:67" ht="14.25" customHeight="1">
      <c r="A14" s="1"/>
      <c r="B14" s="1021" t="s">
        <v>332</v>
      </c>
      <c r="C14" s="1022"/>
      <c r="D14" s="1023"/>
      <c r="E14" s="1023"/>
      <c r="F14" s="1023"/>
      <c r="G14" s="1023"/>
      <c r="H14" s="1024"/>
      <c r="I14" s="1023"/>
      <c r="J14" s="1023"/>
      <c r="K14" s="1023"/>
      <c r="L14" s="1024"/>
      <c r="M14" s="1023"/>
      <c r="N14" s="1023"/>
      <c r="O14" s="1023"/>
      <c r="P14" s="1077"/>
      <c r="Q14" s="1078"/>
      <c r="R14" s="1078"/>
      <c r="S14" s="1078"/>
      <c r="T14" s="1077"/>
      <c r="U14" s="1078"/>
      <c r="V14" s="1078"/>
      <c r="W14" s="1078"/>
      <c r="X14" s="1077"/>
      <c r="Y14" s="1078"/>
      <c r="Z14" s="1079"/>
      <c r="AA14" s="1079"/>
      <c r="AB14" s="1080"/>
      <c r="AC14" s="1079"/>
      <c r="AD14" s="1079"/>
      <c r="AE14" s="1079"/>
      <c r="AF14" s="1080"/>
      <c r="AG14" s="1079"/>
      <c r="AH14" s="1079"/>
      <c r="AI14" s="1081"/>
      <c r="AJ14" s="1080"/>
      <c r="AK14" s="1079"/>
      <c r="AL14" s="1079"/>
      <c r="AM14" s="1079"/>
      <c r="AN14" s="1080"/>
      <c r="AO14" s="1079"/>
      <c r="AP14" s="1079"/>
      <c r="AQ14" s="1081"/>
      <c r="AR14" s="1080"/>
      <c r="AS14" s="1079"/>
      <c r="AT14" s="1079"/>
      <c r="AU14" s="1081"/>
      <c r="AV14" s="1080"/>
      <c r="AW14" s="1079"/>
      <c r="AX14" s="1079"/>
      <c r="AY14" s="1081"/>
      <c r="AZ14" s="20"/>
      <c r="BA14" s="1122"/>
      <c r="BB14" s="1106"/>
      <c r="BC14" s="1106"/>
      <c r="BD14" s="1106"/>
      <c r="BE14" s="1106"/>
      <c r="BF14" s="1122"/>
      <c r="BG14" s="1122"/>
      <c r="BH14" s="1106"/>
      <c r="BI14" s="1662"/>
      <c r="BJ14" s="1658"/>
      <c r="BK14" s="1663"/>
      <c r="BL14" s="1658"/>
      <c r="BM14" s="1658"/>
      <c r="BN14" s="1658"/>
      <c r="BO14" s="299"/>
    </row>
    <row r="15" spans="1:67" s="363" customFormat="1" ht="14.25" customHeight="1">
      <c r="B15" s="436"/>
      <c r="C15" s="351"/>
      <c r="D15" s="348"/>
      <c r="E15" s="348"/>
      <c r="F15" s="340"/>
      <c r="G15" s="351"/>
      <c r="H15" s="361"/>
      <c r="I15" s="340"/>
      <c r="J15" s="344"/>
      <c r="K15" s="345"/>
      <c r="L15" s="360"/>
      <c r="M15" s="344"/>
      <c r="N15" s="344"/>
      <c r="O15" s="345"/>
      <c r="P15" s="891"/>
      <c r="Q15" s="891"/>
      <c r="R15" s="891"/>
      <c r="S15" s="891"/>
      <c r="T15" s="1479"/>
      <c r="U15" s="1480"/>
      <c r="V15" s="1480"/>
      <c r="W15" s="1481"/>
      <c r="X15" s="891"/>
      <c r="Y15" s="891"/>
      <c r="Z15" s="891"/>
      <c r="AA15" s="891"/>
      <c r="AB15" s="1308"/>
      <c r="AC15" s="1306"/>
      <c r="AD15" s="1195"/>
      <c r="AE15" s="1202"/>
      <c r="AF15" s="923"/>
      <c r="AG15" s="348"/>
      <c r="AH15" s="348"/>
      <c r="AI15" s="349"/>
      <c r="AJ15" s="923"/>
      <c r="AK15" s="348"/>
      <c r="AL15" s="348"/>
      <c r="AM15" s="348"/>
      <c r="AN15" s="923"/>
      <c r="AO15" s="348"/>
      <c r="AP15" s="348"/>
      <c r="AQ15" s="349"/>
      <c r="AR15" s="923"/>
      <c r="AS15" s="348"/>
      <c r="AT15" s="348"/>
      <c r="AU15" s="349"/>
      <c r="AV15" s="923"/>
      <c r="AW15" s="348"/>
      <c r="AX15" s="348"/>
      <c r="AY15" s="349"/>
      <c r="AZ15" s="1901"/>
      <c r="BA15" s="361"/>
      <c r="BB15" s="340"/>
      <c r="BC15" s="340"/>
      <c r="BD15" s="340"/>
      <c r="BE15" s="340"/>
      <c r="BF15" s="361"/>
      <c r="BG15" s="361"/>
      <c r="BH15" s="340"/>
      <c r="BI15" s="361"/>
      <c r="BJ15" s="340"/>
      <c r="BK15" s="340"/>
      <c r="BL15" s="340"/>
      <c r="BM15" s="340"/>
      <c r="BN15" s="340"/>
      <c r="BO15" s="364"/>
    </row>
    <row r="16" spans="1:67" s="363" customFormat="1" ht="14.25" customHeight="1">
      <c r="B16" s="436" t="s">
        <v>332</v>
      </c>
      <c r="C16" s="351"/>
      <c r="D16" s="348"/>
      <c r="E16" s="348"/>
      <c r="F16" s="340"/>
      <c r="G16" s="351"/>
      <c r="H16" s="340"/>
      <c r="I16" s="340"/>
      <c r="J16" s="344"/>
      <c r="K16" s="345"/>
      <c r="L16" s="348">
        <f t="shared" ref="L16:O16" si="0">+L24+L56+L114+L137</f>
        <v>183</v>
      </c>
      <c r="M16" s="348">
        <f t="shared" si="0"/>
        <v>206</v>
      </c>
      <c r="N16" s="348">
        <f t="shared" si="0"/>
        <v>274</v>
      </c>
      <c r="O16" s="349">
        <f t="shared" si="0"/>
        <v>334</v>
      </c>
      <c r="P16" s="348">
        <f>P24+P32+P40+P48</f>
        <v>631</v>
      </c>
      <c r="Q16" s="348">
        <f t="shared" ref="Q16:AK16" si="1">Q24+Q32+Q40+Q48</f>
        <v>652</v>
      </c>
      <c r="R16" s="348">
        <f t="shared" si="1"/>
        <v>649</v>
      </c>
      <c r="S16" s="348">
        <f t="shared" si="1"/>
        <v>652</v>
      </c>
      <c r="T16" s="923">
        <f t="shared" si="1"/>
        <v>669</v>
      </c>
      <c r="U16" s="348">
        <f t="shared" si="1"/>
        <v>711</v>
      </c>
      <c r="V16" s="348">
        <f t="shared" si="1"/>
        <v>665</v>
      </c>
      <c r="W16" s="349">
        <f t="shared" si="1"/>
        <v>608</v>
      </c>
      <c r="X16" s="348">
        <f t="shared" si="1"/>
        <v>646</v>
      </c>
      <c r="Y16" s="348">
        <f t="shared" si="1"/>
        <v>741</v>
      </c>
      <c r="Z16" s="348">
        <f t="shared" si="1"/>
        <v>804</v>
      </c>
      <c r="AA16" s="348">
        <f t="shared" si="1"/>
        <v>785</v>
      </c>
      <c r="AB16" s="923">
        <f t="shared" si="1"/>
        <v>776</v>
      </c>
      <c r="AC16" s="348">
        <f t="shared" si="1"/>
        <v>878</v>
      </c>
      <c r="AD16" s="348">
        <f t="shared" si="1"/>
        <v>922</v>
      </c>
      <c r="AE16" s="349">
        <f t="shared" si="1"/>
        <v>957</v>
      </c>
      <c r="AF16" s="923">
        <f t="shared" si="1"/>
        <v>912</v>
      </c>
      <c r="AG16" s="348">
        <f t="shared" si="1"/>
        <v>988</v>
      </c>
      <c r="AH16" s="348">
        <f t="shared" si="1"/>
        <v>1139</v>
      </c>
      <c r="AI16" s="349">
        <f t="shared" si="1"/>
        <v>1169</v>
      </c>
      <c r="AJ16" s="923">
        <f t="shared" si="1"/>
        <v>1104</v>
      </c>
      <c r="AK16" s="348">
        <f t="shared" si="1"/>
        <v>1146</v>
      </c>
      <c r="AL16" s="348">
        <f>AL24+AL32+AL40+AL48</f>
        <v>1164</v>
      </c>
      <c r="AM16" s="348">
        <f>AM24+AM32+AM40+AM48</f>
        <v>1306</v>
      </c>
      <c r="AN16" s="923">
        <f t="shared" ref="AN16:AO16" si="2">AN24+AN32+AN40+AN48</f>
        <v>1911</v>
      </c>
      <c r="AO16" s="348">
        <f t="shared" si="2"/>
        <v>2014</v>
      </c>
      <c r="AP16" s="348">
        <f>AP24+AP32+AP40+AP48</f>
        <v>2099</v>
      </c>
      <c r="AQ16" s="348">
        <f>AQ24+AQ32+AQ40+AQ48</f>
        <v>2062</v>
      </c>
      <c r="AR16" s="923">
        <f t="shared" ref="AR16:AS16" si="3">AR24+AR32+AR40+AR48</f>
        <v>2011</v>
      </c>
      <c r="AS16" s="348">
        <f t="shared" si="3"/>
        <v>2098</v>
      </c>
      <c r="AT16" s="348">
        <f t="shared" ref="AT16" si="4">AT24+AT32+AT40+AT48</f>
        <v>2288</v>
      </c>
      <c r="AU16" s="348">
        <f>AU24+AU32+AU40+AU48</f>
        <v>2348</v>
      </c>
      <c r="AV16" s="923">
        <f t="shared" ref="AV16:AY16" si="5">AV24+AV32+AV40+AV48</f>
        <v>2225.7800000000002</v>
      </c>
      <c r="AW16" s="348">
        <f t="shared" si="5"/>
        <v>2305.5272</v>
      </c>
      <c r="AX16" s="348">
        <f t="shared" si="5"/>
        <v>2403.7714639999999</v>
      </c>
      <c r="AY16" s="349">
        <f t="shared" si="5"/>
        <v>2365.5820715999998</v>
      </c>
      <c r="AZ16" s="1901"/>
      <c r="BA16" s="361"/>
      <c r="BB16" s="340"/>
      <c r="BC16" s="340">
        <f>SUM(L16:O16)</f>
        <v>997</v>
      </c>
      <c r="BD16" s="340">
        <f>SUM(P16:S16)</f>
        <v>2584</v>
      </c>
      <c r="BE16" s="340">
        <f>SUM(T16:W16)</f>
        <v>2653</v>
      </c>
      <c r="BF16" s="361">
        <f>SUM(X16:AA16)</f>
        <v>2976</v>
      </c>
      <c r="BG16" s="361">
        <f>SUM(AB16:AE16)</f>
        <v>3533</v>
      </c>
      <c r="BH16" s="340">
        <f>SUM(AF16:AI16)</f>
        <v>4208</v>
      </c>
      <c r="BI16" s="361">
        <f>SUM(AJ16:AM16)</f>
        <v>4720</v>
      </c>
      <c r="BJ16" s="340">
        <f>SUM(AN16:AQ16)</f>
        <v>8086</v>
      </c>
      <c r="BK16" s="340">
        <f>SUM(AR16:AU16)</f>
        <v>8745</v>
      </c>
      <c r="BL16" s="340">
        <f>SUM(AV16:AY16)</f>
        <v>9300.6607356000004</v>
      </c>
      <c r="BM16" s="340">
        <f>BM24+BM32+BM40+BM48</f>
        <v>9816.353296964</v>
      </c>
      <c r="BN16" s="340">
        <f>BN24+BN32+BN40+BN48</f>
        <v>10295.946220764921</v>
      </c>
      <c r="BO16" s="1392">
        <f>(BM16/BK16)^(1/2)-1</f>
        <v>5.9485904922228494E-2</v>
      </c>
    </row>
    <row r="17" spans="1:67" ht="14.25" customHeight="1">
      <c r="A17" s="1"/>
      <c r="B17" s="431" t="s">
        <v>228</v>
      </c>
      <c r="C17" s="254"/>
      <c r="D17" s="269"/>
      <c r="E17" s="269"/>
      <c r="F17" s="300"/>
      <c r="G17" s="301"/>
      <c r="H17" s="300"/>
      <c r="I17" s="300"/>
      <c r="J17" s="300"/>
      <c r="K17" s="301"/>
      <c r="L17" s="300"/>
      <c r="M17" s="300"/>
      <c r="N17" s="300"/>
      <c r="O17" s="301"/>
      <c r="P17" s="300"/>
      <c r="Q17" s="300">
        <f t="shared" ref="Q17:AQ17" si="6">(Q16-P16)/P16</f>
        <v>3.328050713153724E-2</v>
      </c>
      <c r="R17" s="300">
        <f t="shared" si="6"/>
        <v>-4.601226993865031E-3</v>
      </c>
      <c r="S17" s="256">
        <f t="shared" si="6"/>
        <v>4.6224961479198771E-3</v>
      </c>
      <c r="T17" s="255">
        <f t="shared" si="6"/>
        <v>2.6073619631901839E-2</v>
      </c>
      <c r="U17" s="256">
        <f t="shared" si="6"/>
        <v>6.2780269058295965E-2</v>
      </c>
      <c r="V17" s="90">
        <f t="shared" si="6"/>
        <v>-6.4697609001406475E-2</v>
      </c>
      <c r="W17" s="301">
        <f t="shared" si="6"/>
        <v>-8.5714285714285715E-2</v>
      </c>
      <c r="X17" s="300">
        <f t="shared" si="6"/>
        <v>6.25E-2</v>
      </c>
      <c r="Y17" s="300">
        <f t="shared" si="6"/>
        <v>0.14705882352941177</v>
      </c>
      <c r="Z17" s="300">
        <f t="shared" si="6"/>
        <v>8.5020242914979755E-2</v>
      </c>
      <c r="AA17" s="256">
        <f t="shared" si="6"/>
        <v>-2.36318407960199E-2</v>
      </c>
      <c r="AB17" s="255">
        <f t="shared" si="6"/>
        <v>-1.1464968152866241E-2</v>
      </c>
      <c r="AC17" s="256">
        <f t="shared" si="6"/>
        <v>0.13144329896907217</v>
      </c>
      <c r="AD17" s="256">
        <f t="shared" si="6"/>
        <v>5.011389521640091E-2</v>
      </c>
      <c r="AE17" s="301">
        <f t="shared" si="6"/>
        <v>3.7960954446854663E-2</v>
      </c>
      <c r="AF17" s="159">
        <f t="shared" si="6"/>
        <v>-4.7021943573667714E-2</v>
      </c>
      <c r="AG17" s="90">
        <f t="shared" si="6"/>
        <v>8.3333333333333329E-2</v>
      </c>
      <c r="AH17" s="90">
        <f t="shared" si="6"/>
        <v>0.15283400809716599</v>
      </c>
      <c r="AI17" s="91">
        <f t="shared" si="6"/>
        <v>2.6338893766461809E-2</v>
      </c>
      <c r="AJ17" s="159">
        <f t="shared" si="6"/>
        <v>-5.5603079555175364E-2</v>
      </c>
      <c r="AK17" s="90">
        <f t="shared" si="6"/>
        <v>3.8043478260869568E-2</v>
      </c>
      <c r="AL17" s="90">
        <f t="shared" si="6"/>
        <v>1.5706806282722512E-2</v>
      </c>
      <c r="AM17" s="1573">
        <f t="shared" si="6"/>
        <v>0.12199312714776632</v>
      </c>
      <c r="AN17" s="1607">
        <f t="shared" si="6"/>
        <v>0.46324655436447165</v>
      </c>
      <c r="AO17" s="1603">
        <f t="shared" si="6"/>
        <v>5.3898482469911038E-2</v>
      </c>
      <c r="AP17" s="1603">
        <f t="shared" si="6"/>
        <v>4.2204568023833169E-2</v>
      </c>
      <c r="AQ17" s="1806">
        <f t="shared" si="6"/>
        <v>-1.7627441638875654E-2</v>
      </c>
      <c r="AR17" s="159">
        <f t="shared" ref="AR17:AU17" si="7">(AR16-AQ16)/AQ16</f>
        <v>-2.4733268671193017E-2</v>
      </c>
      <c r="AS17" s="1806">
        <f t="shared" si="7"/>
        <v>4.3262058677274985E-2</v>
      </c>
      <c r="AT17" s="1806">
        <f t="shared" si="7"/>
        <v>9.0562440419447096E-2</v>
      </c>
      <c r="AU17" s="1806">
        <f t="shared" si="7"/>
        <v>2.6223776223776224E-2</v>
      </c>
      <c r="AV17" s="159">
        <f t="shared" ref="AV17" si="8">(AV16-AU16)/AU16</f>
        <v>-5.2052810902895999E-2</v>
      </c>
      <c r="AW17" s="1506">
        <f t="shared" ref="AW17" si="9">(AW16-AV16)/AV16</f>
        <v>3.5828877966375738E-2</v>
      </c>
      <c r="AX17" s="1506">
        <f t="shared" ref="AX17" si="10">(AX16-AW16)/AW16</f>
        <v>4.2612494010046784E-2</v>
      </c>
      <c r="AY17" s="91">
        <f t="shared" ref="AY17" si="11">(AY16-AX16)/AX16</f>
        <v>-1.5887280871722708E-2</v>
      </c>
      <c r="AZ17" s="20"/>
      <c r="BA17" s="22"/>
      <c r="BB17" s="14"/>
      <c r="BC17" s="256"/>
      <c r="BD17" s="256"/>
      <c r="BE17" s="256"/>
      <c r="BF17" s="255"/>
      <c r="BG17" s="1515"/>
      <c r="BH17" s="1516"/>
      <c r="BI17" s="1614"/>
      <c r="BJ17" s="1715"/>
      <c r="BK17" s="1715"/>
      <c r="BL17" s="1715"/>
      <c r="BM17" s="1715">
        <f t="shared" ref="BM17:BN17" si="12">(BM16-BL16)/BL16</f>
        <v>5.5446873724797952E-2</v>
      </c>
      <c r="BN17" s="1715">
        <f t="shared" si="12"/>
        <v>4.8856526379225738E-2</v>
      </c>
      <c r="BO17" s="299"/>
    </row>
    <row r="18" spans="1:67" ht="14.25" customHeight="1">
      <c r="A18" s="1"/>
      <c r="B18" s="435" t="s">
        <v>229</v>
      </c>
      <c r="C18" s="34"/>
      <c r="D18" s="269"/>
      <c r="E18" s="269"/>
      <c r="F18" s="300"/>
      <c r="G18" s="301"/>
      <c r="H18" s="300"/>
      <c r="I18" s="300"/>
      <c r="J18" s="300"/>
      <c r="K18" s="301"/>
      <c r="L18" s="300"/>
      <c r="M18" s="300"/>
      <c r="N18" s="300"/>
      <c r="O18" s="301"/>
      <c r="P18" s="300"/>
      <c r="Q18" s="300"/>
      <c r="R18" s="300"/>
      <c r="S18" s="256"/>
      <c r="T18" s="255">
        <f t="shared" ref="T18:AQ18" si="13">T16/P16-1</f>
        <v>6.0221870047543646E-2</v>
      </c>
      <c r="U18" s="256">
        <f t="shared" si="13"/>
        <v>9.0490797546012303E-2</v>
      </c>
      <c r="V18" s="90">
        <f t="shared" si="13"/>
        <v>2.4653312788905923E-2</v>
      </c>
      <c r="W18" s="301">
        <f t="shared" si="13"/>
        <v>-6.7484662576687171E-2</v>
      </c>
      <c r="X18" s="300">
        <f t="shared" si="13"/>
        <v>-3.4379671150971625E-2</v>
      </c>
      <c r="Y18" s="300">
        <f t="shared" si="13"/>
        <v>4.2194092827004148E-2</v>
      </c>
      <c r="Z18" s="300">
        <f t="shared" si="13"/>
        <v>0.20902255639097755</v>
      </c>
      <c r="AA18" s="256">
        <f t="shared" si="13"/>
        <v>0.29111842105263164</v>
      </c>
      <c r="AB18" s="255">
        <f t="shared" si="13"/>
        <v>0.20123839009287936</v>
      </c>
      <c r="AC18" s="256">
        <f t="shared" si="13"/>
        <v>0.18488529014844812</v>
      </c>
      <c r="AD18" s="256">
        <f t="shared" si="13"/>
        <v>0.1467661691542288</v>
      </c>
      <c r="AE18" s="301">
        <f t="shared" si="13"/>
        <v>0.21910828025477702</v>
      </c>
      <c r="AF18" s="255">
        <f t="shared" si="13"/>
        <v>0.17525773195876293</v>
      </c>
      <c r="AG18" s="256">
        <f t="shared" si="13"/>
        <v>0.12528473804100226</v>
      </c>
      <c r="AH18" s="256">
        <f t="shared" si="13"/>
        <v>0.23535791757049895</v>
      </c>
      <c r="AI18" s="301">
        <f t="shared" si="13"/>
        <v>0.22152560083594564</v>
      </c>
      <c r="AJ18" s="255">
        <f t="shared" si="13"/>
        <v>0.21052631578947367</v>
      </c>
      <c r="AK18" s="256">
        <f t="shared" si="13"/>
        <v>0.15991902834008087</v>
      </c>
      <c r="AL18" s="256">
        <f t="shared" si="13"/>
        <v>2.1949078138718159E-2</v>
      </c>
      <c r="AM18" s="1575">
        <f t="shared" si="13"/>
        <v>0.11719418306244656</v>
      </c>
      <c r="AN18" s="1614">
        <f t="shared" si="13"/>
        <v>0.73097826086956519</v>
      </c>
      <c r="AO18" s="1715">
        <f t="shared" si="13"/>
        <v>0.75741710296684128</v>
      </c>
      <c r="AP18" s="1715">
        <f t="shared" si="13"/>
        <v>0.8032646048109966</v>
      </c>
      <c r="AQ18" s="1715">
        <f t="shared" si="13"/>
        <v>0.57886676875957122</v>
      </c>
      <c r="AR18" s="1515">
        <f t="shared" ref="AR18:AU18" si="14">AR16/AN16-1</f>
        <v>5.2328623757195158E-2</v>
      </c>
      <c r="AS18" s="1715">
        <f t="shared" si="14"/>
        <v>4.170804369414105E-2</v>
      </c>
      <c r="AT18" s="1715">
        <f t="shared" si="14"/>
        <v>9.004287756074314E-2</v>
      </c>
      <c r="AU18" s="1715">
        <f t="shared" si="14"/>
        <v>0.13870029097963132</v>
      </c>
      <c r="AV18" s="1515">
        <f t="shared" ref="AV18" si="15">AV16/AR16-1</f>
        <v>0.10680258577821999</v>
      </c>
      <c r="AW18" s="1516">
        <f t="shared" ref="AW18" si="16">AW16/AS16-1</f>
        <v>9.8916682554814006E-2</v>
      </c>
      <c r="AX18" s="1516">
        <f t="shared" ref="AX18" si="17">AX16/AT16-1</f>
        <v>5.0599416083916049E-2</v>
      </c>
      <c r="AY18" s="1517">
        <f t="shared" ref="AY18" si="18">AY16/AU16-1</f>
        <v>7.4881054514479573E-3</v>
      </c>
      <c r="AZ18" s="20"/>
      <c r="BA18" s="652"/>
      <c r="BB18" s="317"/>
      <c r="BC18" s="256"/>
      <c r="BD18" s="256"/>
      <c r="BE18" s="256">
        <f t="shared" ref="BE18:BL18" si="19">BE16/BD16-1</f>
        <v>2.6702786377708954E-2</v>
      </c>
      <c r="BF18" s="255">
        <f t="shared" si="19"/>
        <v>0.12174896343761787</v>
      </c>
      <c r="BG18" s="1515">
        <f t="shared" si="19"/>
        <v>0.18716397849462374</v>
      </c>
      <c r="BH18" s="1516">
        <f t="shared" si="19"/>
        <v>0.19105575997735635</v>
      </c>
      <c r="BI18" s="1614">
        <f t="shared" si="19"/>
        <v>0.1216730038022813</v>
      </c>
      <c r="BJ18" s="1715">
        <f t="shared" si="19"/>
        <v>0.71313559322033893</v>
      </c>
      <c r="BK18" s="1715">
        <f t="shared" si="19"/>
        <v>8.1498886965124973E-2</v>
      </c>
      <c r="BL18" s="1715">
        <f t="shared" si="19"/>
        <v>6.3540392864493977E-2</v>
      </c>
      <c r="BM18" s="1715">
        <f t="shared" ref="BM18" si="20">BM16/BL16-1</f>
        <v>5.5446873724797952E-2</v>
      </c>
      <c r="BN18" s="1715">
        <f t="shared" ref="BN18" si="21">BN16/BM16-1</f>
        <v>4.8856526379225773E-2</v>
      </c>
      <c r="BO18" s="299"/>
    </row>
    <row r="19" spans="1:67" ht="14.25" customHeight="1">
      <c r="A19" s="1"/>
      <c r="B19" s="431" t="s">
        <v>230</v>
      </c>
      <c r="C19" s="254"/>
      <c r="D19" s="320"/>
      <c r="E19" s="320"/>
      <c r="F19" s="320"/>
      <c r="G19" s="93"/>
      <c r="H19" s="269"/>
      <c r="I19" s="269"/>
      <c r="J19" s="300"/>
      <c r="K19" s="301"/>
      <c r="L19" s="300"/>
      <c r="M19" s="300"/>
      <c r="N19" s="300"/>
      <c r="O19" s="301"/>
      <c r="P19" s="300">
        <f t="shared" ref="P19:AH19" si="22">P16/P$501</f>
        <v>0.58156682027649764</v>
      </c>
      <c r="Q19" s="300">
        <f t="shared" si="22"/>
        <v>0.58266309204647004</v>
      </c>
      <c r="R19" s="300">
        <f t="shared" si="22"/>
        <v>0.57946428571428577</v>
      </c>
      <c r="S19" s="256">
        <f t="shared" si="22"/>
        <v>0.60482374768089053</v>
      </c>
      <c r="T19" s="255">
        <f t="shared" si="22"/>
        <v>0.61829944547134941</v>
      </c>
      <c r="U19" s="256">
        <f t="shared" si="22"/>
        <v>0.63425512934879569</v>
      </c>
      <c r="V19" s="90">
        <f t="shared" si="22"/>
        <v>0.62735849056603776</v>
      </c>
      <c r="W19" s="301">
        <f t="shared" si="22"/>
        <v>0.65306122448979587</v>
      </c>
      <c r="X19" s="300">
        <f t="shared" si="22"/>
        <v>0.66053169734151329</v>
      </c>
      <c r="Y19" s="300">
        <f t="shared" si="22"/>
        <v>0.67733089579524675</v>
      </c>
      <c r="Z19" s="269">
        <f t="shared" si="22"/>
        <v>0.68717948717948718</v>
      </c>
      <c r="AA19" s="90">
        <f t="shared" si="22"/>
        <v>0.70340501792114696</v>
      </c>
      <c r="AB19" s="159">
        <f t="shared" si="22"/>
        <v>0.71520737327188943</v>
      </c>
      <c r="AC19" s="90">
        <f t="shared" si="22"/>
        <v>0.73905723905723908</v>
      </c>
      <c r="AD19" s="90">
        <f t="shared" si="22"/>
        <v>0.73819055244195353</v>
      </c>
      <c r="AE19" s="91">
        <f t="shared" si="22"/>
        <v>0.74013921113689096</v>
      </c>
      <c r="AF19" s="159">
        <f t="shared" si="22"/>
        <v>0.7319422150882825</v>
      </c>
      <c r="AG19" s="90">
        <f t="shared" si="22"/>
        <v>0.73239436619718312</v>
      </c>
      <c r="AH19" s="90">
        <f t="shared" si="22"/>
        <v>0.75181518151815185</v>
      </c>
      <c r="AI19" s="91">
        <f>AI16/AI$501</f>
        <v>0.76057254391672091</v>
      </c>
      <c r="AJ19" s="159">
        <f>AJ16/AJ$501</f>
        <v>0.75255623721881393</v>
      </c>
      <c r="AK19" s="90">
        <f>AK16/AK$501</f>
        <v>0.76095617529880477</v>
      </c>
      <c r="AL19" s="90">
        <f t="shared" ref="AL19:AM19" si="23">AL16/AL$501</f>
        <v>0.76478318002628121</v>
      </c>
      <c r="AM19" s="1574">
        <f t="shared" si="23"/>
        <v>0.81320049813200501</v>
      </c>
      <c r="AN19" s="1607">
        <f>AN16/AN$501</f>
        <v>0.8592625899280576</v>
      </c>
      <c r="AO19" s="1603">
        <f>AO16/AO$501</f>
        <v>0.85158562367864699</v>
      </c>
      <c r="AP19" s="1603">
        <f t="shared" ref="AP19:AR19" si="24">AP16/AP$501</f>
        <v>0.85014175779667878</v>
      </c>
      <c r="AQ19" s="1715">
        <f t="shared" si="24"/>
        <v>0.84508196721311479</v>
      </c>
      <c r="AR19" s="1614">
        <f t="shared" si="24"/>
        <v>0.90954319312528265</v>
      </c>
      <c r="AS19" s="1806">
        <f t="shared" ref="AS19:AU19" si="25">AS16/AS$501</f>
        <v>0.95277020890099906</v>
      </c>
      <c r="AT19" s="1806">
        <f t="shared" si="25"/>
        <v>0.95852534562211977</v>
      </c>
      <c r="AU19" s="1715">
        <f t="shared" si="25"/>
        <v>0.9560260586319218</v>
      </c>
      <c r="AV19" s="94"/>
      <c r="AW19" s="1518"/>
      <c r="AX19" s="1518"/>
      <c r="AY19" s="1519"/>
      <c r="AZ19" s="20"/>
      <c r="BA19" s="652"/>
      <c r="BB19" s="317"/>
      <c r="BC19" s="256">
        <f t="shared" ref="BC19:BJ19" si="26">BC16/BC$526</f>
        <v>0.28331912475134979</v>
      </c>
      <c r="BD19" s="256">
        <f t="shared" si="26"/>
        <v>0.587005906406179</v>
      </c>
      <c r="BE19" s="256">
        <f t="shared" si="26"/>
        <v>0.63257033857892231</v>
      </c>
      <c r="BF19" s="255">
        <f t="shared" si="26"/>
        <v>0.68288205598898577</v>
      </c>
      <c r="BG19" s="1515">
        <f t="shared" si="26"/>
        <v>0.73374870197300102</v>
      </c>
      <c r="BH19" s="1516">
        <f t="shared" si="26"/>
        <v>0.74517442890030106</v>
      </c>
      <c r="BI19" s="1614">
        <f t="shared" si="26"/>
        <v>0.77364366497295523</v>
      </c>
      <c r="BJ19" s="1715">
        <f t="shared" si="26"/>
        <v>0.85133712360496949</v>
      </c>
      <c r="BK19" s="1715">
        <f t="shared" ref="BK19:BL19" si="27">BK16/BK$526</f>
        <v>0.94479256698357827</v>
      </c>
      <c r="BL19" s="1715">
        <f t="shared" si="27"/>
        <v>0.95876569535804312</v>
      </c>
      <c r="BM19" s="1715"/>
      <c r="BN19" s="1715"/>
      <c r="BO19" s="299"/>
    </row>
    <row r="20" spans="1:67" ht="14.25" customHeight="1">
      <c r="A20" s="1"/>
      <c r="B20" s="431"/>
      <c r="C20" s="254"/>
      <c r="D20" s="320"/>
      <c r="E20" s="320"/>
      <c r="F20" s="320"/>
      <c r="G20" s="93"/>
      <c r="H20" s="269"/>
      <c r="I20" s="269"/>
      <c r="J20" s="300"/>
      <c r="K20" s="301"/>
      <c r="L20" s="255"/>
      <c r="M20" s="300"/>
      <c r="N20" s="300"/>
      <c r="O20" s="301"/>
      <c r="P20" s="300"/>
      <c r="Q20" s="300"/>
      <c r="R20" s="300"/>
      <c r="S20" s="256"/>
      <c r="T20" s="255"/>
      <c r="U20" s="256"/>
      <c r="V20" s="90"/>
      <c r="W20" s="301"/>
      <c r="X20" s="300"/>
      <c r="Y20" s="300"/>
      <c r="Z20" s="300"/>
      <c r="AA20" s="256"/>
      <c r="AB20" s="255"/>
      <c r="AC20" s="256"/>
      <c r="AD20" s="256"/>
      <c r="AE20" s="301"/>
      <c r="AF20" s="255"/>
      <c r="AG20" s="256"/>
      <c r="AH20" s="256"/>
      <c r="AI20" s="301"/>
      <c r="AJ20" s="255"/>
      <c r="AK20" s="256"/>
      <c r="AL20" s="256"/>
      <c r="AM20" s="1575"/>
      <c r="AN20" s="1614"/>
      <c r="AO20" s="1715"/>
      <c r="AP20" s="1715"/>
      <c r="AQ20" s="1715"/>
      <c r="AR20" s="1515"/>
      <c r="AS20" s="1516"/>
      <c r="AT20" s="1715"/>
      <c r="AU20" s="1517"/>
      <c r="AV20" s="1515"/>
      <c r="AW20" s="1516"/>
      <c r="AX20" s="1516"/>
      <c r="AY20" s="1517"/>
      <c r="AZ20" s="20"/>
      <c r="BA20" s="652"/>
      <c r="BB20" s="317"/>
      <c r="BC20" s="256"/>
      <c r="BD20" s="256"/>
      <c r="BE20" s="256"/>
      <c r="BF20" s="255"/>
      <c r="BG20" s="1515"/>
      <c r="BH20" s="1516"/>
      <c r="BI20" s="1614"/>
      <c r="BJ20" s="1715"/>
      <c r="BK20" s="1715"/>
      <c r="BL20" s="1715"/>
      <c r="BM20" s="1715"/>
      <c r="BN20" s="1715"/>
      <c r="BO20" s="299"/>
    </row>
    <row r="21" spans="1:67" ht="14.25" customHeight="1">
      <c r="A21" s="1"/>
      <c r="B21" s="431"/>
      <c r="C21" s="254"/>
      <c r="D21" s="320"/>
      <c r="E21" s="320"/>
      <c r="F21" s="320"/>
      <c r="G21" s="93"/>
      <c r="H21" s="269"/>
      <c r="I21" s="269"/>
      <c r="J21" s="300"/>
      <c r="K21" s="301"/>
      <c r="L21" s="256"/>
      <c r="M21" s="300"/>
      <c r="N21" s="300"/>
      <c r="O21" s="301"/>
      <c r="P21" s="300"/>
      <c r="Q21" s="300"/>
      <c r="R21" s="300"/>
      <c r="S21" s="256"/>
      <c r="T21" s="255"/>
      <c r="U21" s="256"/>
      <c r="V21" s="90"/>
      <c r="W21" s="301"/>
      <c r="X21" s="300"/>
      <c r="Y21" s="300"/>
      <c r="Z21" s="300"/>
      <c r="AA21" s="256"/>
      <c r="AB21" s="279"/>
      <c r="AC21" s="277"/>
      <c r="AD21" s="277"/>
      <c r="AE21" s="278"/>
      <c r="AF21" s="255"/>
      <c r="AG21" s="256"/>
      <c r="AH21" s="256"/>
      <c r="AI21" s="301"/>
      <c r="AJ21" s="255"/>
      <c r="AK21" s="256"/>
      <c r="AL21" s="256"/>
      <c r="AM21" s="1575"/>
      <c r="AN21" s="1614"/>
      <c r="AO21" s="1715"/>
      <c r="AP21" s="1715"/>
      <c r="AQ21" s="1715"/>
      <c r="AR21" s="1515"/>
      <c r="AS21" s="1516"/>
      <c r="AT21" s="1715"/>
      <c r="AU21" s="1517"/>
      <c r="AV21" s="1515"/>
      <c r="AW21" s="1516"/>
      <c r="AX21" s="1516"/>
      <c r="AY21" s="1517"/>
      <c r="AZ21" s="20"/>
      <c r="BA21" s="652"/>
      <c r="BB21" s="317"/>
      <c r="BC21" s="256"/>
      <c r="BD21" s="256"/>
      <c r="BE21" s="256"/>
      <c r="BF21" s="255"/>
      <c r="BG21" s="1515"/>
      <c r="BH21" s="1516"/>
      <c r="BI21" s="1614"/>
      <c r="BJ21" s="1715"/>
      <c r="BK21" s="1715"/>
      <c r="BL21" s="1715"/>
      <c r="BM21" s="1715"/>
      <c r="BN21" s="1715"/>
      <c r="BO21" s="299"/>
    </row>
    <row r="22" spans="1:67" ht="14.25" customHeight="1">
      <c r="A22" s="1"/>
      <c r="B22" s="1344" t="s">
        <v>340</v>
      </c>
      <c r="C22" s="719"/>
      <c r="D22" s="717"/>
      <c r="E22" s="717"/>
      <c r="F22" s="717"/>
      <c r="G22" s="718"/>
      <c r="H22" s="717"/>
      <c r="I22" s="717"/>
      <c r="J22" s="717"/>
      <c r="K22" s="718"/>
      <c r="L22" s="717"/>
      <c r="M22" s="717"/>
      <c r="N22" s="717"/>
      <c r="O22" s="718"/>
      <c r="P22" s="1082"/>
      <c r="Q22" s="1082"/>
      <c r="R22" s="1082"/>
      <c r="S22" s="1082"/>
      <c r="T22" s="1140"/>
      <c r="U22" s="1082"/>
      <c r="V22" s="1082"/>
      <c r="W22" s="1083"/>
      <c r="X22" s="1082"/>
      <c r="Y22" s="1082"/>
      <c r="Z22" s="1082"/>
      <c r="AA22" s="1082"/>
      <c r="AB22" s="1140"/>
      <c r="AC22" s="1082"/>
      <c r="AD22" s="1082"/>
      <c r="AE22" s="1082"/>
      <c r="AF22" s="1140"/>
      <c r="AG22" s="1082"/>
      <c r="AH22" s="1082"/>
      <c r="AI22" s="1083"/>
      <c r="AJ22" s="1140"/>
      <c r="AK22" s="1082"/>
      <c r="AL22" s="1082"/>
      <c r="AM22" s="1082"/>
      <c r="AN22" s="1140"/>
      <c r="AO22" s="1082"/>
      <c r="AP22" s="1082"/>
      <c r="AQ22" s="1082"/>
      <c r="AR22" s="1140"/>
      <c r="AS22" s="1082"/>
      <c r="AT22" s="1082"/>
      <c r="AU22" s="1083"/>
      <c r="AV22" s="1140"/>
      <c r="AW22" s="1082"/>
      <c r="AX22" s="1082"/>
      <c r="AY22" s="1083"/>
      <c r="AZ22" s="20"/>
      <c r="BA22" s="1123"/>
      <c r="BB22" s="1107"/>
      <c r="BC22" s="1108"/>
      <c r="BD22" s="1108"/>
      <c r="BE22" s="1108"/>
      <c r="BF22" s="1211"/>
      <c r="BG22" s="1211"/>
      <c r="BH22" s="1108"/>
      <c r="BI22" s="1664"/>
      <c r="BJ22" s="1659"/>
      <c r="BK22" s="1659"/>
      <c r="BL22" s="1659"/>
      <c r="BM22" s="1659"/>
      <c r="BN22" s="1659"/>
      <c r="BO22" s="299"/>
    </row>
    <row r="23" spans="1:67" s="316" customFormat="1" ht="14.25" customHeight="1">
      <c r="A23" s="5"/>
      <c r="B23" s="1361"/>
      <c r="C23" s="1362"/>
      <c r="D23" s="320"/>
      <c r="E23" s="320"/>
      <c r="F23" s="320"/>
      <c r="G23" s="93"/>
      <c r="H23" s="269"/>
      <c r="I23" s="269"/>
      <c r="J23" s="269"/>
      <c r="K23" s="91"/>
      <c r="L23" s="90"/>
      <c r="M23" s="269"/>
      <c r="N23" s="269"/>
      <c r="O23" s="91"/>
      <c r="P23" s="269"/>
      <c r="Q23" s="269"/>
      <c r="R23" s="269"/>
      <c r="S23" s="91"/>
      <c r="T23" s="269"/>
      <c r="U23" s="269"/>
      <c r="V23" s="269"/>
      <c r="W23" s="91"/>
      <c r="X23" s="269"/>
      <c r="Y23" s="269"/>
      <c r="Z23" s="416"/>
      <c r="AA23" s="418"/>
      <c r="AB23" s="1125"/>
      <c r="AC23" s="418"/>
      <c r="AD23" s="418"/>
      <c r="AE23" s="418"/>
      <c r="AF23" s="1125" t="s">
        <v>156</v>
      </c>
      <c r="AG23" s="418"/>
      <c r="AH23" s="418"/>
      <c r="AI23" s="417"/>
      <c r="AJ23" s="1125" t="s">
        <v>156</v>
      </c>
      <c r="AK23" s="418"/>
      <c r="AL23" s="418"/>
      <c r="AM23" s="1583"/>
      <c r="AN23" s="1665" t="s">
        <v>156</v>
      </c>
      <c r="AO23" s="1630"/>
      <c r="AP23" s="1630"/>
      <c r="AQ23" s="1630"/>
      <c r="AR23" s="1125"/>
      <c r="AS23" s="418"/>
      <c r="AT23" s="1630"/>
      <c r="AU23" s="417"/>
      <c r="AV23" s="1125"/>
      <c r="AW23" s="418"/>
      <c r="AX23" s="418"/>
      <c r="AY23" s="417"/>
      <c r="AZ23" s="177"/>
      <c r="BA23" s="958"/>
      <c r="BB23" s="420"/>
      <c r="BC23" s="90"/>
      <c r="BD23" s="90"/>
      <c r="BE23" s="90"/>
      <c r="BF23" s="159"/>
      <c r="BG23" s="159"/>
      <c r="BH23" s="1506"/>
      <c r="BI23" s="1607"/>
      <c r="BJ23" s="1603"/>
      <c r="BK23" s="1603"/>
      <c r="BL23" s="1806"/>
      <c r="BM23" s="1806"/>
      <c r="BN23" s="1806"/>
      <c r="BO23" s="419"/>
    </row>
    <row r="24" spans="1:67" s="363" customFormat="1" ht="14.25" customHeight="1">
      <c r="B24" s="436" t="s">
        <v>161</v>
      </c>
      <c r="C24" s="382"/>
      <c r="D24" s="365"/>
      <c r="E24" s="365"/>
      <c r="F24" s="365"/>
      <c r="G24" s="366"/>
      <c r="H24" s="367"/>
      <c r="I24" s="367"/>
      <c r="J24" s="368"/>
      <c r="K24" s="369"/>
      <c r="L24" s="370">
        <v>100</v>
      </c>
      <c r="M24" s="370">
        <v>129</v>
      </c>
      <c r="N24" s="370">
        <v>170</v>
      </c>
      <c r="O24" s="371">
        <v>217</v>
      </c>
      <c r="P24" s="370">
        <v>228</v>
      </c>
      <c r="Q24" s="370">
        <v>230</v>
      </c>
      <c r="R24" s="370">
        <v>230</v>
      </c>
      <c r="S24" s="371">
        <v>243</v>
      </c>
      <c r="T24" s="370">
        <v>238</v>
      </c>
      <c r="U24" s="370">
        <v>251</v>
      </c>
      <c r="V24" s="403">
        <v>223</v>
      </c>
      <c r="W24" s="371">
        <v>218</v>
      </c>
      <c r="X24" s="370">
        <v>229</v>
      </c>
      <c r="Y24" s="370">
        <v>244</v>
      </c>
      <c r="Z24" s="346">
        <v>239</v>
      </c>
      <c r="AA24" s="1233">
        <v>227</v>
      </c>
      <c r="AB24" s="1250">
        <v>230</v>
      </c>
      <c r="AC24" s="1233">
        <v>253</v>
      </c>
      <c r="AD24" s="1233">
        <v>261</v>
      </c>
      <c r="AE24" s="1233">
        <v>275</v>
      </c>
      <c r="AF24" s="1250">
        <v>276</v>
      </c>
      <c r="AG24" s="1233">
        <v>288</v>
      </c>
      <c r="AH24" s="1233">
        <v>288</v>
      </c>
      <c r="AI24" s="371">
        <v>292</v>
      </c>
      <c r="AJ24" s="1250">
        <v>302</v>
      </c>
      <c r="AK24" s="1233">
        <v>310</v>
      </c>
      <c r="AL24" s="1233">
        <v>308</v>
      </c>
      <c r="AM24" s="1233">
        <v>422</v>
      </c>
      <c r="AN24" s="1250">
        <v>805</v>
      </c>
      <c r="AO24" s="1233">
        <v>858</v>
      </c>
      <c r="AP24" s="1233">
        <v>853</v>
      </c>
      <c r="AQ24" s="1837">
        <v>863</v>
      </c>
      <c r="AR24" s="1250">
        <v>906</v>
      </c>
      <c r="AS24" s="1233">
        <v>938</v>
      </c>
      <c r="AT24" s="1233">
        <v>948</v>
      </c>
      <c r="AU24" s="1933">
        <v>970</v>
      </c>
      <c r="AV24" s="923">
        <f t="shared" ref="AV24" si="28">+AU24*(1+AV25)</f>
        <v>1008.8000000000001</v>
      </c>
      <c r="AW24" s="348">
        <f t="shared" ref="AW24" si="29">+AV24*(1+AW25)</f>
        <v>1034.02</v>
      </c>
      <c r="AX24" s="348">
        <f t="shared" ref="AX24" si="30">+AW24*(1+AX25)</f>
        <v>1013.3396</v>
      </c>
      <c r="AY24" s="349">
        <f t="shared" ref="AY24" si="31">+AX24*(1+AY25)</f>
        <v>1003.206204</v>
      </c>
      <c r="AZ24" s="1901"/>
      <c r="BA24" s="1124"/>
      <c r="BB24" s="372"/>
      <c r="BC24" s="340">
        <f>SUM(L24:O24)</f>
        <v>616</v>
      </c>
      <c r="BD24" s="340">
        <f>SUM(P24:S24)</f>
        <v>931</v>
      </c>
      <c r="BE24" s="340">
        <f>SUM(T24:W24)</f>
        <v>930</v>
      </c>
      <c r="BF24" s="361">
        <f>SUM(X24:AA24)</f>
        <v>939</v>
      </c>
      <c r="BG24" s="361">
        <f>SUM(AB24:AE24)</f>
        <v>1019</v>
      </c>
      <c r="BH24" s="340">
        <f>SUM(AF24:AI24)</f>
        <v>1144</v>
      </c>
      <c r="BI24" s="361">
        <f>SUM(AJ24:AM24)</f>
        <v>1342</v>
      </c>
      <c r="BJ24" s="340">
        <f>SUM(AN24:AQ24)</f>
        <v>3379</v>
      </c>
      <c r="BK24" s="340">
        <f>SUM(AR24:AU24)</f>
        <v>3762</v>
      </c>
      <c r="BL24" s="340">
        <f>SUM(AV24:AY24)</f>
        <v>4059.365804</v>
      </c>
      <c r="BM24" s="340">
        <f>+BL24*(1+BM26)</f>
        <v>4302.9277522399998</v>
      </c>
      <c r="BN24" s="340">
        <f>+BM24*(1+BN26)</f>
        <v>4518.0741398520004</v>
      </c>
      <c r="BO24" s="1392">
        <f>(BM24/BK24)^(1/2)-1</f>
        <v>6.9479911591228793E-2</v>
      </c>
    </row>
    <row r="25" spans="1:67" ht="14.25" customHeight="1">
      <c r="A25" s="1"/>
      <c r="B25" s="431" t="s">
        <v>228</v>
      </c>
      <c r="C25" s="254"/>
      <c r="D25" s="320"/>
      <c r="E25" s="320"/>
      <c r="F25" s="320"/>
      <c r="G25" s="93"/>
      <c r="H25" s="269"/>
      <c r="I25" s="269"/>
      <c r="J25" s="300"/>
      <c r="K25" s="301"/>
      <c r="L25" s="337"/>
      <c r="M25" s="318">
        <f>M24/L24-1</f>
        <v>0.29000000000000004</v>
      </c>
      <c r="N25" s="318">
        <f t="shared" ref="N25:AU25" si="32">N24/M24-1</f>
        <v>0.31782945736434098</v>
      </c>
      <c r="O25" s="339">
        <f t="shared" si="32"/>
        <v>0.27647058823529402</v>
      </c>
      <c r="P25" s="318">
        <f t="shared" si="32"/>
        <v>5.0691244239631228E-2</v>
      </c>
      <c r="Q25" s="318">
        <f t="shared" si="32"/>
        <v>8.7719298245614308E-3</v>
      </c>
      <c r="R25" s="318">
        <f t="shared" si="32"/>
        <v>0</v>
      </c>
      <c r="S25" s="339">
        <f t="shared" si="32"/>
        <v>5.6521739130434678E-2</v>
      </c>
      <c r="T25" s="318">
        <f t="shared" si="32"/>
        <v>-2.0576131687242816E-2</v>
      </c>
      <c r="U25" s="318">
        <f t="shared" si="32"/>
        <v>5.4621848739495826E-2</v>
      </c>
      <c r="V25" s="404">
        <f t="shared" si="32"/>
        <v>-0.11155378486055778</v>
      </c>
      <c r="W25" s="339">
        <f t="shared" si="32"/>
        <v>-2.2421524663677084E-2</v>
      </c>
      <c r="X25" s="318">
        <f t="shared" si="32"/>
        <v>5.0458715596330306E-2</v>
      </c>
      <c r="Y25" s="318">
        <f t="shared" si="32"/>
        <v>6.5502183406113579E-2</v>
      </c>
      <c r="Z25" s="318">
        <f t="shared" si="32"/>
        <v>-2.0491803278688492E-2</v>
      </c>
      <c r="AA25" s="317">
        <f>AA24/Z24-1</f>
        <v>-5.0209205020920522E-2</v>
      </c>
      <c r="AB25" s="958">
        <f t="shared" si="32"/>
        <v>1.3215859030837107E-2</v>
      </c>
      <c r="AC25" s="317">
        <f t="shared" si="32"/>
        <v>0.10000000000000009</v>
      </c>
      <c r="AD25" s="317">
        <f t="shared" si="32"/>
        <v>3.1620553359683834E-2</v>
      </c>
      <c r="AE25" s="317">
        <f>AE24/AD24-1</f>
        <v>5.3639846743295028E-2</v>
      </c>
      <c r="AF25" s="958">
        <f t="shared" si="32"/>
        <v>3.6363636363636598E-3</v>
      </c>
      <c r="AG25" s="317">
        <f t="shared" si="32"/>
        <v>4.3478260869565188E-2</v>
      </c>
      <c r="AH25" s="317">
        <f t="shared" si="32"/>
        <v>0</v>
      </c>
      <c r="AI25" s="339">
        <f t="shared" si="32"/>
        <v>1.388888888888884E-2</v>
      </c>
      <c r="AJ25" s="958">
        <f t="shared" si="32"/>
        <v>3.4246575342465668E-2</v>
      </c>
      <c r="AK25" s="317">
        <f t="shared" si="32"/>
        <v>2.6490066225165476E-2</v>
      </c>
      <c r="AL25" s="317">
        <f t="shared" si="32"/>
        <v>-6.4516129032258229E-3</v>
      </c>
      <c r="AM25" s="317">
        <f t="shared" si="32"/>
        <v>0.37012987012987009</v>
      </c>
      <c r="AN25" s="958">
        <f t="shared" si="32"/>
        <v>0.90758293838862558</v>
      </c>
      <c r="AO25" s="317">
        <f t="shared" si="32"/>
        <v>6.5838509316770155E-2</v>
      </c>
      <c r="AP25" s="317">
        <f t="shared" si="32"/>
        <v>-5.8275058275057967E-3</v>
      </c>
      <c r="AQ25" s="317">
        <f t="shared" si="32"/>
        <v>1.1723329425556761E-2</v>
      </c>
      <c r="AR25" s="958">
        <f t="shared" si="32"/>
        <v>4.9826187717265435E-2</v>
      </c>
      <c r="AS25" s="317">
        <f t="shared" si="32"/>
        <v>3.5320088300220709E-2</v>
      </c>
      <c r="AT25" s="317">
        <f t="shared" si="32"/>
        <v>1.0660980810234477E-2</v>
      </c>
      <c r="AU25" s="1807">
        <f t="shared" si="32"/>
        <v>2.320675105485237E-2</v>
      </c>
      <c r="AV25" s="1141">
        <v>0.04</v>
      </c>
      <c r="AW25" s="1142">
        <v>2.5000000000000001E-2</v>
      </c>
      <c r="AX25" s="1142">
        <v>-0.02</v>
      </c>
      <c r="AY25" s="423">
        <v>-0.01</v>
      </c>
      <c r="AZ25" s="20"/>
      <c r="BA25" s="652"/>
      <c r="BB25" s="317"/>
      <c r="BC25" s="256"/>
      <c r="BD25" s="256"/>
      <c r="BE25" s="256"/>
      <c r="BF25" s="255"/>
      <c r="BG25" s="1515"/>
      <c r="BH25" s="1516"/>
      <c r="BI25" s="1614"/>
      <c r="BJ25" s="1715"/>
      <c r="BK25" s="1715"/>
      <c r="BL25" s="1715"/>
      <c r="BM25" s="1715"/>
      <c r="BN25" s="1715"/>
      <c r="BO25" s="299"/>
    </row>
    <row r="26" spans="1:67" ht="14.25" customHeight="1">
      <c r="A26" s="1"/>
      <c r="B26" s="435" t="s">
        <v>229</v>
      </c>
      <c r="C26" s="254"/>
      <c r="D26" s="320"/>
      <c r="E26" s="320"/>
      <c r="F26" s="320"/>
      <c r="G26" s="93"/>
      <c r="H26" s="269"/>
      <c r="I26" s="269"/>
      <c r="J26" s="300"/>
      <c r="K26" s="301"/>
      <c r="L26" s="318" t="str">
        <f>IF(ISERROR(L24/H24-1),"",L24/H24-1)</f>
        <v/>
      </c>
      <c r="M26" s="318" t="str">
        <f>IF(ISERROR(M24/I24-1),"",M24/I24-1)</f>
        <v/>
      </c>
      <c r="N26" s="318" t="str">
        <f t="shared" ref="N26:AU26" si="33">IF(ISERROR(N24/J24-1),"",N24/J24-1)</f>
        <v/>
      </c>
      <c r="O26" s="339" t="str">
        <f t="shared" si="33"/>
        <v/>
      </c>
      <c r="P26" s="318">
        <f t="shared" si="33"/>
        <v>1.2799999999999998</v>
      </c>
      <c r="Q26" s="318">
        <f t="shared" si="33"/>
        <v>0.78294573643410859</v>
      </c>
      <c r="R26" s="318">
        <f t="shared" si="33"/>
        <v>0.35294117647058831</v>
      </c>
      <c r="S26" s="339">
        <f t="shared" si="33"/>
        <v>0.1198156682027649</v>
      </c>
      <c r="T26" s="318">
        <f t="shared" si="33"/>
        <v>4.3859649122806932E-2</v>
      </c>
      <c r="U26" s="318">
        <f t="shared" si="33"/>
        <v>9.1304347826086873E-2</v>
      </c>
      <c r="V26" s="404">
        <f t="shared" si="33"/>
        <v>-3.0434782608695699E-2</v>
      </c>
      <c r="W26" s="339">
        <f t="shared" si="33"/>
        <v>-0.10288065843621397</v>
      </c>
      <c r="X26" s="318">
        <f t="shared" si="33"/>
        <v>-3.7815126050420145E-2</v>
      </c>
      <c r="Y26" s="318">
        <f t="shared" si="33"/>
        <v>-2.7888446215139417E-2</v>
      </c>
      <c r="Z26" s="318">
        <f t="shared" si="33"/>
        <v>7.1748878923766801E-2</v>
      </c>
      <c r="AA26" s="420">
        <f t="shared" si="33"/>
        <v>4.1284403669724856E-2</v>
      </c>
      <c r="AB26" s="958">
        <f t="shared" si="33"/>
        <v>4.366812227074135E-3</v>
      </c>
      <c r="AC26" s="317">
        <f t="shared" si="33"/>
        <v>3.688524590163933E-2</v>
      </c>
      <c r="AD26" s="317">
        <f t="shared" si="33"/>
        <v>9.2050209205020828E-2</v>
      </c>
      <c r="AE26" s="420">
        <f t="shared" si="33"/>
        <v>0.21145374449339216</v>
      </c>
      <c r="AF26" s="958">
        <f t="shared" si="33"/>
        <v>0.19999999999999996</v>
      </c>
      <c r="AG26" s="317">
        <f t="shared" si="33"/>
        <v>0.13833992094861669</v>
      </c>
      <c r="AH26" s="317">
        <f t="shared" si="33"/>
        <v>0.10344827586206895</v>
      </c>
      <c r="AI26" s="339">
        <f t="shared" si="33"/>
        <v>6.1818181818181772E-2</v>
      </c>
      <c r="AJ26" s="958">
        <f t="shared" si="33"/>
        <v>9.4202898550724612E-2</v>
      </c>
      <c r="AK26" s="317">
        <f t="shared" si="33"/>
        <v>7.638888888888884E-2</v>
      </c>
      <c r="AL26" s="317">
        <f t="shared" si="33"/>
        <v>6.944444444444442E-2</v>
      </c>
      <c r="AM26" s="317">
        <f t="shared" si="33"/>
        <v>0.4452054794520548</v>
      </c>
      <c r="AN26" s="958">
        <f t="shared" si="33"/>
        <v>1.6655629139072849</v>
      </c>
      <c r="AO26" s="317">
        <f t="shared" si="33"/>
        <v>1.7677419354838708</v>
      </c>
      <c r="AP26" s="317">
        <f t="shared" si="33"/>
        <v>1.7694805194805197</v>
      </c>
      <c r="AQ26" s="317">
        <f t="shared" si="33"/>
        <v>1.0450236966824646</v>
      </c>
      <c r="AR26" s="958">
        <f t="shared" si="33"/>
        <v>0.12546583850931681</v>
      </c>
      <c r="AS26" s="317">
        <f t="shared" si="33"/>
        <v>9.3240093240093191E-2</v>
      </c>
      <c r="AT26" s="317">
        <f t="shared" si="33"/>
        <v>0.11137162954279023</v>
      </c>
      <c r="AU26" s="1807">
        <f t="shared" si="33"/>
        <v>0.12398609501738123</v>
      </c>
      <c r="AV26" s="958">
        <f t="shared" ref="AV26" si="34">IF(ISERROR(AV24/AR24-1),"",AV24/AR24-1)</f>
        <v>0.11346578366445925</v>
      </c>
      <c r="AW26" s="420">
        <f t="shared" ref="AW26" si="35">IF(ISERROR(AW24/AS24-1),"",AW24/AS24-1)</f>
        <v>0.10236673773987204</v>
      </c>
      <c r="AX26" s="420">
        <f t="shared" ref="AX26" si="36">IF(ISERROR(AX24/AT24-1),"",AX24/AT24-1)</f>
        <v>6.8923628691983208E-2</v>
      </c>
      <c r="AY26" s="424">
        <f t="shared" ref="AY26" si="37">IF(ISERROR(AY24/AU24-1),"",AY24/AU24-1)</f>
        <v>3.4233199999999853E-2</v>
      </c>
      <c r="AZ26" s="20"/>
      <c r="BA26" s="652"/>
      <c r="BB26" s="317"/>
      <c r="BC26" s="256"/>
      <c r="BD26" s="256">
        <f t="shared" ref="BD26:BL26" si="38">BD24/BC24-1</f>
        <v>0.51136363636363646</v>
      </c>
      <c r="BE26" s="256">
        <f t="shared" si="38"/>
        <v>-1.0741138560687036E-3</v>
      </c>
      <c r="BF26" s="255">
        <f t="shared" si="38"/>
        <v>9.6774193548387899E-3</v>
      </c>
      <c r="BG26" s="1515">
        <f>BG24/BF24-1</f>
        <v>8.5197018104366418E-2</v>
      </c>
      <c r="BH26" s="1337">
        <f t="shared" si="38"/>
        <v>0.12266928361138363</v>
      </c>
      <c r="BI26" s="1614">
        <f t="shared" si="38"/>
        <v>0.17307692307692313</v>
      </c>
      <c r="BJ26" s="1715">
        <f t="shared" si="38"/>
        <v>1.5178837555886737</v>
      </c>
      <c r="BK26" s="1715">
        <f t="shared" si="38"/>
        <v>0.11334714412548097</v>
      </c>
      <c r="BL26" s="1715">
        <f t="shared" si="38"/>
        <v>7.9044604997341894E-2</v>
      </c>
      <c r="BM26" s="1715">
        <v>0.06</v>
      </c>
      <c r="BN26" s="1715">
        <v>0.05</v>
      </c>
      <c r="BO26" s="299"/>
    </row>
    <row r="27" spans="1:67" ht="14.25" customHeight="1">
      <c r="A27" s="1"/>
      <c r="B27" s="431" t="s">
        <v>342</v>
      </c>
      <c r="C27" s="254"/>
      <c r="D27" s="320"/>
      <c r="E27" s="320"/>
      <c r="F27" s="320"/>
      <c r="G27" s="93"/>
      <c r="H27" s="269"/>
      <c r="I27" s="269"/>
      <c r="J27" s="300"/>
      <c r="K27" s="301"/>
      <c r="L27" s="318" t="str">
        <f>IF(ISERROR(L24/L$15),"",L24/L$15)</f>
        <v/>
      </c>
      <c r="M27" s="318" t="str">
        <f>IF(ISERROR(M24/M$15),"",M24/M$15)</f>
        <v/>
      </c>
      <c r="N27" s="318" t="str">
        <f>IF(ISERROR(N24/N$15),"",N24/N$15)</f>
        <v/>
      </c>
      <c r="O27" s="339" t="str">
        <f>IF(ISERROR(O24/O$15),"",O24/O$15)</f>
        <v/>
      </c>
      <c r="P27" s="318">
        <f t="shared" ref="P27:AH27" si="39">P24/$P$146</f>
        <v>0.36133122028526149</v>
      </c>
      <c r="Q27" s="318">
        <f t="shared" si="39"/>
        <v>0.36450079239302696</v>
      </c>
      <c r="R27" s="318">
        <f t="shared" si="39"/>
        <v>0.36450079239302696</v>
      </c>
      <c r="S27" s="339">
        <f t="shared" si="39"/>
        <v>0.38510301109350237</v>
      </c>
      <c r="T27" s="318">
        <f t="shared" si="39"/>
        <v>0.37717908082408874</v>
      </c>
      <c r="U27" s="318">
        <f t="shared" si="39"/>
        <v>0.3977812995245642</v>
      </c>
      <c r="V27" s="404">
        <f t="shared" si="39"/>
        <v>0.35340729001584786</v>
      </c>
      <c r="W27" s="339">
        <f t="shared" si="39"/>
        <v>0.34548335974643424</v>
      </c>
      <c r="X27" s="318">
        <f t="shared" si="39"/>
        <v>0.36291600633914423</v>
      </c>
      <c r="Y27" s="318">
        <f t="shared" si="39"/>
        <v>0.3866877971473851</v>
      </c>
      <c r="Z27" s="318">
        <f t="shared" si="39"/>
        <v>0.37876386687797148</v>
      </c>
      <c r="AA27" s="420">
        <f t="shared" si="39"/>
        <v>0.35974643423137875</v>
      </c>
      <c r="AB27" s="958">
        <f t="shared" si="39"/>
        <v>0.36450079239302696</v>
      </c>
      <c r="AC27" s="317">
        <f t="shared" si="39"/>
        <v>0.40095087163232962</v>
      </c>
      <c r="AD27" s="317">
        <f t="shared" si="39"/>
        <v>0.41362916006339145</v>
      </c>
      <c r="AE27" s="420">
        <f t="shared" si="39"/>
        <v>0.4358161648177496</v>
      </c>
      <c r="AF27" s="958">
        <f t="shared" si="39"/>
        <v>0.43740095087163233</v>
      </c>
      <c r="AG27" s="317">
        <f t="shared" si="39"/>
        <v>0.45641838351822506</v>
      </c>
      <c r="AH27" s="317">
        <f t="shared" si="39"/>
        <v>0.45641838351822506</v>
      </c>
      <c r="AI27" s="339">
        <f>AI24/$P$146</f>
        <v>0.46275752773375595</v>
      </c>
      <c r="AJ27" s="958">
        <f>AJ24/$P$146</f>
        <v>0.4786053882725832</v>
      </c>
      <c r="AK27" s="317">
        <f>AK24/$P$146</f>
        <v>0.49128367670364503</v>
      </c>
      <c r="AL27" s="317">
        <f t="shared" ref="AL27" si="40">AL24/$P$146</f>
        <v>0.48811410459587956</v>
      </c>
      <c r="AM27" s="317">
        <f t="shared" ref="AM27" si="41">AM24/$P$146</f>
        <v>0.66877971473851028</v>
      </c>
      <c r="AN27" s="958">
        <f>AN24/$P$146</f>
        <v>1.2757527733755942</v>
      </c>
      <c r="AO27" s="317">
        <f>AO24/$P$146</f>
        <v>1.3597464342313788</v>
      </c>
      <c r="AP27" s="317">
        <f t="shared" ref="AP27:AQ27" si="42">AP24/$P$146</f>
        <v>1.3518225039619651</v>
      </c>
      <c r="AQ27" s="317">
        <f t="shared" si="42"/>
        <v>1.3676703645007924</v>
      </c>
      <c r="AR27" s="958">
        <f>AR24/$P$146</f>
        <v>1.4358161648177497</v>
      </c>
      <c r="AS27" s="317">
        <f>AS24/$P$146</f>
        <v>1.4865293185419968</v>
      </c>
      <c r="AT27" s="317">
        <f>AT24/$P$146</f>
        <v>1.502377179080824</v>
      </c>
      <c r="AU27" s="1807">
        <f>AU24/$P$146</f>
        <v>1.5372424722662441</v>
      </c>
      <c r="AV27" s="958" t="str">
        <f t="shared" ref="AV27:AY27" si="43">IF(ISERROR(AV24/AV$15),"",AV24/AV$15)</f>
        <v/>
      </c>
      <c r="AW27" s="420" t="str">
        <f t="shared" si="43"/>
        <v/>
      </c>
      <c r="AX27" s="420" t="str">
        <f t="shared" si="43"/>
        <v/>
      </c>
      <c r="AY27" s="424" t="str">
        <f t="shared" si="43"/>
        <v/>
      </c>
      <c r="AZ27" s="20"/>
      <c r="BA27" s="652"/>
      <c r="BB27" s="317"/>
      <c r="BC27" s="1109"/>
      <c r="BD27" s="256">
        <f t="shared" ref="BD27:BJ27" si="44">+BD24/BD$16</f>
        <v>0.36029411764705882</v>
      </c>
      <c r="BE27" s="256">
        <f t="shared" si="44"/>
        <v>0.35054655107425559</v>
      </c>
      <c r="BF27" s="255">
        <f t="shared" si="44"/>
        <v>0.31552419354838712</v>
      </c>
      <c r="BG27" s="1515">
        <f t="shared" si="44"/>
        <v>0.28842343617322391</v>
      </c>
      <c r="BH27" s="1516">
        <f t="shared" si="44"/>
        <v>0.27186311787072243</v>
      </c>
      <c r="BI27" s="1614">
        <f t="shared" si="44"/>
        <v>0.28432203389830507</v>
      </c>
      <c r="BJ27" s="1715">
        <f t="shared" si="44"/>
        <v>0.41788276032649024</v>
      </c>
      <c r="BK27" s="1715">
        <f t="shared" ref="BK27:BL27" si="45">+BK24/BK$16</f>
        <v>0.43018867924528303</v>
      </c>
      <c r="BL27" s="1715">
        <f t="shared" si="45"/>
        <v>0.43645993756787904</v>
      </c>
      <c r="BM27" s="1715" t="str">
        <f t="shared" ref="BM27:BN27" si="46">IF(ISERROR(BM24/BM$15),"",BM24/BM$15)</f>
        <v/>
      </c>
      <c r="BN27" s="1715" t="str">
        <f t="shared" si="46"/>
        <v/>
      </c>
      <c r="BO27" s="299"/>
    </row>
    <row r="28" spans="1:67" ht="14.25" customHeight="1">
      <c r="A28" s="1"/>
      <c r="B28" s="431" t="s">
        <v>343</v>
      </c>
      <c r="C28" s="254"/>
      <c r="D28" s="320"/>
      <c r="E28" s="320"/>
      <c r="F28" s="320"/>
      <c r="G28" s="93"/>
      <c r="H28" s="269"/>
      <c r="I28" s="269"/>
      <c r="J28" s="300"/>
      <c r="K28" s="301"/>
      <c r="L28" s="318">
        <f t="shared" ref="L28:AH28" si="47">IF(ISERROR(L24/L$526),"",L24/L$526)</f>
        <v>0.15503875968992248</v>
      </c>
      <c r="M28" s="318">
        <f t="shared" si="47"/>
        <v>0.15674362089914945</v>
      </c>
      <c r="N28" s="318">
        <f t="shared" si="47"/>
        <v>0.17276422764227642</v>
      </c>
      <c r="O28" s="339">
        <f t="shared" si="47"/>
        <v>0.20337394564198688</v>
      </c>
      <c r="P28" s="318">
        <f t="shared" si="47"/>
        <v>0.21013824884792626</v>
      </c>
      <c r="Q28" s="318">
        <f t="shared" si="47"/>
        <v>0.20554066130473636</v>
      </c>
      <c r="R28" s="318">
        <f t="shared" si="47"/>
        <v>0.20535714285714285</v>
      </c>
      <c r="S28" s="339">
        <f t="shared" si="47"/>
        <v>0.22541743970315398</v>
      </c>
      <c r="T28" s="318">
        <f t="shared" si="47"/>
        <v>0.21996303142329021</v>
      </c>
      <c r="U28" s="318">
        <f t="shared" si="47"/>
        <v>0.22390722569134702</v>
      </c>
      <c r="V28" s="404">
        <f t="shared" si="47"/>
        <v>0.21037735849056605</v>
      </c>
      <c r="W28" s="339">
        <f t="shared" si="47"/>
        <v>0.23415682062298604</v>
      </c>
      <c r="X28" s="318">
        <f t="shared" si="47"/>
        <v>0.23415132924335377</v>
      </c>
      <c r="Y28" s="318">
        <f t="shared" si="47"/>
        <v>0.2230347349177331</v>
      </c>
      <c r="Z28" s="318">
        <f t="shared" si="47"/>
        <v>0.20427350427350427</v>
      </c>
      <c r="AA28" s="420">
        <f t="shared" si="47"/>
        <v>0.20340501792114696</v>
      </c>
      <c r="AB28" s="958">
        <f t="shared" si="47"/>
        <v>0.2119815668202765</v>
      </c>
      <c r="AC28" s="317">
        <f t="shared" si="47"/>
        <v>0.21296296296296297</v>
      </c>
      <c r="AD28" s="317">
        <f t="shared" si="47"/>
        <v>0.20896717373899118</v>
      </c>
      <c r="AE28" s="420">
        <f t="shared" si="47"/>
        <v>0.21268368136117555</v>
      </c>
      <c r="AF28" s="958">
        <f t="shared" si="47"/>
        <v>0.22150882825040127</v>
      </c>
      <c r="AG28" s="317">
        <f t="shared" si="47"/>
        <v>0.21349147516679021</v>
      </c>
      <c r="AH28" s="317">
        <f t="shared" si="47"/>
        <v>0.1900990099009901</v>
      </c>
      <c r="AI28" s="339">
        <f>IF(ISERROR(AI24/AI$526),"",AI24/AI$526)</f>
        <v>0.18998048145738453</v>
      </c>
      <c r="AJ28" s="958">
        <f>IF(ISERROR(AJ24/AJ$526),"",AJ24/AJ$526)</f>
        <v>0.20586230402181321</v>
      </c>
      <c r="AK28" s="317">
        <f>IF(ISERROR(AK24/AK$526),"",AK24/AK$526)</f>
        <v>0.20584329349269589</v>
      </c>
      <c r="AL28" s="317">
        <f t="shared" ref="AL28" si="48">IF(ISERROR(AL24/AL$526),"",AL24/AL$526)</f>
        <v>0.202365308804205</v>
      </c>
      <c r="AM28" s="317">
        <f t="shared" ref="AM28" si="49">IF(ISERROR(AM24/AM$526),"",AM24/AM$526)</f>
        <v>0.26276463262764632</v>
      </c>
      <c r="AN28" s="958">
        <f>IF(ISERROR(AN24/AN$526),"",AN24/AN$526)</f>
        <v>0.36196043165467628</v>
      </c>
      <c r="AO28" s="317">
        <f>IF(ISERROR(AO24/AO$526),"",AO24/AO$526)</f>
        <v>0.36279069767441863</v>
      </c>
      <c r="AP28" s="317">
        <f t="shared" ref="AP28:AQ28" si="50">IF(ISERROR(AP24/AP$526),"",AP24/AP$526)</f>
        <v>0.34548400162008913</v>
      </c>
      <c r="AQ28" s="317">
        <f t="shared" si="50"/>
        <v>0.35368852459016392</v>
      </c>
      <c r="AR28" s="958">
        <f>IF(ISERROR(AR24/AR$526),"",AR24/AR$526)</f>
        <v>0.40976933514246949</v>
      </c>
      <c r="AS28" s="317">
        <f>IF(ISERROR(AS24/AS$526),"",AS24/AS$526)</f>
        <v>0.42597638510445052</v>
      </c>
      <c r="AT28" s="317">
        <f>IF(ISERROR(AT24/AT$526),"",AT24/AT$526)</f>
        <v>0.39715123586091328</v>
      </c>
      <c r="AU28" s="1807">
        <f>IF(ISERROR(AU24/AU$526),"",AU24/AU$526)</f>
        <v>0.39495114006514659</v>
      </c>
      <c r="AV28" s="958">
        <f t="shared" ref="AV28:AY28" si="51">IF(ISERROR(AV24/AV$526),"",AV24/AV$526)</f>
        <v>0.43374695800978597</v>
      </c>
      <c r="AW28" s="420">
        <f t="shared" si="51"/>
        <v>0.42985171815974477</v>
      </c>
      <c r="AX28" s="420">
        <f t="shared" si="51"/>
        <v>0.40472527727474733</v>
      </c>
      <c r="AY28" s="424">
        <f t="shared" si="51"/>
        <v>0.40688412507355126</v>
      </c>
      <c r="AZ28" s="20"/>
      <c r="BA28" s="652"/>
      <c r="BB28" s="317"/>
      <c r="BC28" s="256">
        <f t="shared" ref="BC28:BJ28" si="52">IF(ISERROR(BC24/BC$526),"",BC24/BC$526)</f>
        <v>0.17504973003694232</v>
      </c>
      <c r="BD28" s="256">
        <f t="shared" si="52"/>
        <v>0.21149477510222625</v>
      </c>
      <c r="BE28" s="256">
        <f t="shared" si="52"/>
        <v>0.22174535050071531</v>
      </c>
      <c r="BF28" s="255">
        <f t="shared" si="52"/>
        <v>0.21546581000458925</v>
      </c>
      <c r="BG28" s="1515">
        <f t="shared" si="52"/>
        <v>0.21163032191069575</v>
      </c>
      <c r="BH28" s="1516">
        <f t="shared" si="52"/>
        <v>0.20258544359837083</v>
      </c>
      <c r="BI28" s="1614">
        <f t="shared" si="52"/>
        <v>0.21996394033764957</v>
      </c>
      <c r="BJ28" s="1715">
        <f t="shared" si="52"/>
        <v>0.35575910718045906</v>
      </c>
      <c r="BK28" s="1715">
        <f t="shared" ref="BK28:BM28" si="53">IF(ISERROR(BK24/BK$526),"",BK24/BK$526)</f>
        <v>0.40643906655142609</v>
      </c>
      <c r="BL28" s="1715">
        <f t="shared" si="53"/>
        <v>0.41846281553819564</v>
      </c>
      <c r="BM28" s="1715">
        <f t="shared" si="53"/>
        <v>0.42244817568617843</v>
      </c>
      <c r="BN28" s="1715">
        <f t="shared" ref="BN28" si="54">IF(ISERROR(BN24/BN$526),"",BN24/BN$526)</f>
        <v>0.42244817568617848</v>
      </c>
      <c r="BO28" s="299"/>
    </row>
    <row r="29" spans="1:67" ht="14.25" customHeight="1">
      <c r="A29" s="1"/>
      <c r="B29" s="437"/>
      <c r="C29" s="254"/>
      <c r="D29" s="320"/>
      <c r="E29" s="320"/>
      <c r="F29" s="320"/>
      <c r="G29" s="93"/>
      <c r="H29" s="269"/>
      <c r="I29" s="269"/>
      <c r="J29" s="300"/>
      <c r="K29" s="301"/>
      <c r="L29" s="337"/>
      <c r="M29" s="337"/>
      <c r="N29" s="337"/>
      <c r="O29" s="338"/>
      <c r="P29" s="337"/>
      <c r="Q29" s="337"/>
      <c r="R29" s="337"/>
      <c r="S29" s="338"/>
      <c r="T29" s="337"/>
      <c r="U29" s="337"/>
      <c r="V29" s="405"/>
      <c r="W29" s="338"/>
      <c r="X29" s="337"/>
      <c r="Y29" s="337"/>
      <c r="Z29" s="300"/>
      <c r="AA29" s="256"/>
      <c r="AB29" s="255"/>
      <c r="AC29" s="256"/>
      <c r="AD29" s="256"/>
      <c r="AE29" s="256"/>
      <c r="AF29" s="255"/>
      <c r="AG29" s="256"/>
      <c r="AH29" s="256"/>
      <c r="AI29" s="301"/>
      <c r="AJ29" s="255"/>
      <c r="AK29" s="256"/>
      <c r="AL29" s="256"/>
      <c r="AM29" s="1575"/>
      <c r="AN29" s="1614"/>
      <c r="AO29" s="1715"/>
      <c r="AP29" s="1715"/>
      <c r="AQ29" s="1715"/>
      <c r="AR29" s="1515"/>
      <c r="AS29" s="1516"/>
      <c r="AT29" s="1715"/>
      <c r="AU29" s="1517"/>
      <c r="AV29" s="1515"/>
      <c r="AW29" s="1516"/>
      <c r="AX29" s="1516"/>
      <c r="AY29" s="1517"/>
      <c r="AZ29" s="20"/>
      <c r="BA29" s="652"/>
      <c r="BB29" s="317"/>
      <c r="BC29" s="256"/>
      <c r="BD29" s="256"/>
      <c r="BE29" s="256"/>
      <c r="BF29" s="255"/>
      <c r="BG29" s="1515"/>
      <c r="BH29" s="1516"/>
      <c r="BI29" s="1614"/>
      <c r="BJ29" s="1715"/>
      <c r="BK29" s="1715"/>
      <c r="BL29" s="1715"/>
      <c r="BM29" s="1715"/>
      <c r="BN29" s="1715"/>
      <c r="BO29" s="299"/>
    </row>
    <row r="30" spans="1:67" ht="14.25" customHeight="1" collapsed="1">
      <c r="A30" s="1"/>
      <c r="B30" s="1344" t="s">
        <v>518</v>
      </c>
      <c r="C30" s="719"/>
      <c r="D30" s="717"/>
      <c r="E30" s="717"/>
      <c r="F30" s="717"/>
      <c r="G30" s="718"/>
      <c r="H30" s="717"/>
      <c r="I30" s="717"/>
      <c r="J30" s="717"/>
      <c r="K30" s="718"/>
      <c r="L30" s="717"/>
      <c r="M30" s="717"/>
      <c r="N30" s="717"/>
      <c r="O30" s="718"/>
      <c r="P30" s="1082"/>
      <c r="Q30" s="1082"/>
      <c r="R30" s="1082"/>
      <c r="S30" s="1083"/>
      <c r="T30" s="1082"/>
      <c r="U30" s="1082"/>
      <c r="V30" s="1082"/>
      <c r="W30" s="1083"/>
      <c r="X30" s="1082"/>
      <c r="Y30" s="1082"/>
      <c r="Z30" s="1082"/>
      <c r="AA30" s="1082"/>
      <c r="AB30" s="1140"/>
      <c r="AC30" s="1082"/>
      <c r="AD30" s="1082"/>
      <c r="AE30" s="1082"/>
      <c r="AF30" s="1140"/>
      <c r="AG30" s="1082"/>
      <c r="AH30" s="1082"/>
      <c r="AI30" s="1083"/>
      <c r="AJ30" s="1140"/>
      <c r="AK30" s="1082"/>
      <c r="AL30" s="1082"/>
      <c r="AM30" s="1082"/>
      <c r="AN30" s="1140"/>
      <c r="AO30" s="1082"/>
      <c r="AP30" s="1082"/>
      <c r="AQ30" s="1082"/>
      <c r="AR30" s="1140"/>
      <c r="AS30" s="1082"/>
      <c r="AT30" s="1082"/>
      <c r="AU30" s="1083"/>
      <c r="AV30" s="1140"/>
      <c r="AW30" s="1082"/>
      <c r="AX30" s="1082"/>
      <c r="AY30" s="1083"/>
      <c r="AZ30" s="20"/>
      <c r="BA30" s="1123"/>
      <c r="BB30" s="1107"/>
      <c r="BC30" s="1108"/>
      <c r="BD30" s="1108"/>
      <c r="BE30" s="1108"/>
      <c r="BF30" s="1211"/>
      <c r="BG30" s="1211"/>
      <c r="BH30" s="1108"/>
      <c r="BI30" s="1664"/>
      <c r="BJ30" s="1659"/>
      <c r="BK30" s="1659"/>
      <c r="BL30" s="1659"/>
      <c r="BM30" s="1659"/>
      <c r="BN30" s="1659"/>
      <c r="BO30" s="299"/>
    </row>
    <row r="31" spans="1:67" s="316" customFormat="1" ht="14.25" customHeight="1">
      <c r="A31" s="5"/>
      <c r="B31" s="434"/>
      <c r="C31" s="34"/>
      <c r="D31" s="320"/>
      <c r="E31" s="320"/>
      <c r="F31" s="320"/>
      <c r="G31" s="93"/>
      <c r="H31" s="269"/>
      <c r="I31" s="269"/>
      <c r="J31" s="269"/>
      <c r="K31" s="91"/>
      <c r="L31" s="90"/>
      <c r="M31" s="269"/>
      <c r="N31" s="269"/>
      <c r="O31" s="91"/>
      <c r="P31" s="269"/>
      <c r="Q31" s="269"/>
      <c r="R31" s="269"/>
      <c r="S31" s="91"/>
      <c r="T31" s="269"/>
      <c r="U31" s="269"/>
      <c r="V31" s="269"/>
      <c r="W31" s="91"/>
      <c r="X31" s="269"/>
      <c r="Y31" s="269"/>
      <c r="Z31" s="416"/>
      <c r="AA31" s="418"/>
      <c r="AB31" s="1125"/>
      <c r="AC31" s="418"/>
      <c r="AD31" s="418"/>
      <c r="AE31" s="418"/>
      <c r="AF31" s="1125" t="s">
        <v>156</v>
      </c>
      <c r="AG31" s="418"/>
      <c r="AH31" s="418"/>
      <c r="AI31" s="417"/>
      <c r="AJ31" s="1125" t="s">
        <v>156</v>
      </c>
      <c r="AK31" s="418"/>
      <c r="AL31" s="418"/>
      <c r="AM31" s="1583"/>
      <c r="AN31" s="1665" t="s">
        <v>156</v>
      </c>
      <c r="AO31" s="1630"/>
      <c r="AP31" s="1630"/>
      <c r="AQ31" s="1630"/>
      <c r="AR31" s="1125"/>
      <c r="AS31" s="418"/>
      <c r="AT31" s="1630"/>
      <c r="AU31" s="417"/>
      <c r="AV31" s="1125"/>
      <c r="AW31" s="418"/>
      <c r="AX31" s="418"/>
      <c r="AY31" s="417"/>
      <c r="AZ31" s="177"/>
      <c r="BA31" s="958"/>
      <c r="BB31" s="420"/>
      <c r="BC31" s="90"/>
      <c r="BD31" s="90"/>
      <c r="BE31" s="90"/>
      <c r="BF31" s="159"/>
      <c r="BG31" s="159"/>
      <c r="BH31" s="1506"/>
      <c r="BI31" s="1607"/>
      <c r="BJ31" s="1603"/>
      <c r="BK31" s="1603"/>
      <c r="BL31" s="1806"/>
      <c r="BM31" s="1806"/>
      <c r="BN31" s="1806"/>
      <c r="BO31" s="419"/>
    </row>
    <row r="32" spans="1:67" s="363" customFormat="1" ht="14.25" customHeight="1">
      <c r="B32" s="436" t="s">
        <v>161</v>
      </c>
      <c r="C32" s="382"/>
      <c r="D32" s="365"/>
      <c r="E32" s="365"/>
      <c r="F32" s="365"/>
      <c r="G32" s="366"/>
      <c r="H32" s="367"/>
      <c r="I32" s="367"/>
      <c r="J32" s="368"/>
      <c r="K32" s="369"/>
      <c r="L32" s="370"/>
      <c r="M32" s="370"/>
      <c r="N32" s="370"/>
      <c r="O32" s="371"/>
      <c r="P32" s="370">
        <v>113</v>
      </c>
      <c r="Q32" s="370">
        <v>118</v>
      </c>
      <c r="R32" s="370">
        <v>122</v>
      </c>
      <c r="S32" s="371">
        <v>132</v>
      </c>
      <c r="T32" s="370">
        <v>156</v>
      </c>
      <c r="U32" s="370">
        <v>160</v>
      </c>
      <c r="V32" s="403">
        <v>126</v>
      </c>
      <c r="W32" s="371">
        <v>121</v>
      </c>
      <c r="X32" s="370">
        <v>146</v>
      </c>
      <c r="Y32" s="370">
        <v>161</v>
      </c>
      <c r="Z32" s="346">
        <v>187</v>
      </c>
      <c r="AA32" s="1233">
        <v>191</v>
      </c>
      <c r="AB32" s="1250">
        <v>205</v>
      </c>
      <c r="AC32" s="1233">
        <v>261</v>
      </c>
      <c r="AD32" s="1233">
        <v>260</v>
      </c>
      <c r="AE32" s="1233">
        <v>271</v>
      </c>
      <c r="AF32" s="1250">
        <v>254</v>
      </c>
      <c r="AG32" s="1233">
        <v>267</v>
      </c>
      <c r="AH32" s="1233">
        <v>252</v>
      </c>
      <c r="AI32" s="371">
        <v>223</v>
      </c>
      <c r="AJ32" s="1250">
        <v>222</v>
      </c>
      <c r="AK32" s="1233">
        <v>257</v>
      </c>
      <c r="AL32" s="1233">
        <v>269</v>
      </c>
      <c r="AM32" s="1233">
        <v>225</v>
      </c>
      <c r="AN32" s="1250">
        <v>212</v>
      </c>
      <c r="AO32" s="1233">
        <v>200</v>
      </c>
      <c r="AP32" s="1233">
        <v>178</v>
      </c>
      <c r="AQ32" s="1837">
        <v>147</v>
      </c>
      <c r="AR32" s="1250">
        <v>114</v>
      </c>
      <c r="AS32" s="1233">
        <v>134</v>
      </c>
      <c r="AT32" s="1233">
        <v>139</v>
      </c>
      <c r="AU32" s="1933">
        <v>136</v>
      </c>
      <c r="AV32" s="923">
        <f t="shared" ref="AV32" si="55">+AU32*(1+AV33)</f>
        <v>126.47999999999999</v>
      </c>
      <c r="AW32" s="348">
        <f t="shared" ref="AW32" si="56">+AV32*(1+AW33)</f>
        <v>131.53919999999999</v>
      </c>
      <c r="AX32" s="348">
        <f t="shared" ref="AX32" si="57">+AW32*(1+AX33)</f>
        <v>134.169984</v>
      </c>
      <c r="AY32" s="349">
        <f t="shared" ref="AY32" si="58">+AX32*(1+AY33)</f>
        <v>134.169984</v>
      </c>
      <c r="AZ32" s="1901"/>
      <c r="BA32" s="1124"/>
      <c r="BB32" s="372"/>
      <c r="BC32" s="340">
        <f>SUM(L32:O32)</f>
        <v>0</v>
      </c>
      <c r="BD32" s="340">
        <f>SUM(P32:S32)</f>
        <v>485</v>
      </c>
      <c r="BE32" s="340">
        <f>SUM(T32:W32)</f>
        <v>563</v>
      </c>
      <c r="BF32" s="361">
        <f>SUM(X32:AA32)</f>
        <v>685</v>
      </c>
      <c r="BG32" s="361">
        <f>SUM(AB32:AE32)</f>
        <v>997</v>
      </c>
      <c r="BH32" s="340">
        <f>SUM(AF32:AI32)</f>
        <v>996</v>
      </c>
      <c r="BI32" s="361">
        <f>SUM(AJ32:AM32)</f>
        <v>973</v>
      </c>
      <c r="BJ32" s="340">
        <f>SUM(AN32:AQ32)</f>
        <v>737</v>
      </c>
      <c r="BK32" s="340">
        <f>SUM(AR32:AU32)</f>
        <v>523</v>
      </c>
      <c r="BL32" s="340">
        <f>SUM(AV32:AY32)</f>
        <v>526.35916799999995</v>
      </c>
      <c r="BM32" s="340">
        <f>+BL32*(1+BM34)</f>
        <v>526.35916799999995</v>
      </c>
      <c r="BN32" s="340">
        <f>+BM32*(1+BN34)</f>
        <v>526.35916799999995</v>
      </c>
      <c r="BO32" s="1392">
        <f>(BM32/BK32)^(1/2)-1</f>
        <v>3.206301497952424E-3</v>
      </c>
    </row>
    <row r="33" spans="1:67" ht="14.25" customHeight="1">
      <c r="A33" s="1"/>
      <c r="B33" s="431" t="s">
        <v>228</v>
      </c>
      <c r="C33" s="254"/>
      <c r="D33" s="320"/>
      <c r="E33" s="320"/>
      <c r="F33" s="320"/>
      <c r="G33" s="93"/>
      <c r="H33" s="269"/>
      <c r="I33" s="269"/>
      <c r="J33" s="300"/>
      <c r="K33" s="301"/>
      <c r="L33" s="337"/>
      <c r="M33" s="318"/>
      <c r="N33" s="318"/>
      <c r="O33" s="339"/>
      <c r="P33" s="318"/>
      <c r="Q33" s="318">
        <f t="shared" ref="Q33:AU33" si="59">Q32/P32-1</f>
        <v>4.4247787610619538E-2</v>
      </c>
      <c r="R33" s="318">
        <f t="shared" si="59"/>
        <v>3.3898305084745672E-2</v>
      </c>
      <c r="S33" s="339">
        <f t="shared" si="59"/>
        <v>8.1967213114754189E-2</v>
      </c>
      <c r="T33" s="318">
        <f t="shared" si="59"/>
        <v>0.18181818181818188</v>
      </c>
      <c r="U33" s="318">
        <f t="shared" si="59"/>
        <v>2.564102564102555E-2</v>
      </c>
      <c r="V33" s="404">
        <f t="shared" si="59"/>
        <v>-0.21250000000000002</v>
      </c>
      <c r="W33" s="339">
        <f t="shared" si="59"/>
        <v>-3.9682539682539653E-2</v>
      </c>
      <c r="X33" s="318">
        <f t="shared" si="59"/>
        <v>0.20661157024793386</v>
      </c>
      <c r="Y33" s="318">
        <f t="shared" si="59"/>
        <v>0.10273972602739723</v>
      </c>
      <c r="Z33" s="318">
        <f t="shared" si="59"/>
        <v>0.16149068322981375</v>
      </c>
      <c r="AA33" s="317">
        <f t="shared" si="59"/>
        <v>2.1390374331550888E-2</v>
      </c>
      <c r="AB33" s="958">
        <f t="shared" si="59"/>
        <v>7.3298429319371694E-2</v>
      </c>
      <c r="AC33" s="317">
        <f t="shared" si="59"/>
        <v>0.27317073170731709</v>
      </c>
      <c r="AD33" s="317">
        <f t="shared" si="59"/>
        <v>-3.8314176245211051E-3</v>
      </c>
      <c r="AE33" s="317">
        <f t="shared" si="59"/>
        <v>4.2307692307692379E-2</v>
      </c>
      <c r="AF33" s="958">
        <f t="shared" si="59"/>
        <v>-6.2730627306273101E-2</v>
      </c>
      <c r="AG33" s="317">
        <f t="shared" si="59"/>
        <v>5.1181102362204633E-2</v>
      </c>
      <c r="AH33" s="317">
        <f t="shared" si="59"/>
        <v>-5.6179775280898903E-2</v>
      </c>
      <c r="AI33" s="339">
        <f t="shared" si="59"/>
        <v>-0.11507936507936511</v>
      </c>
      <c r="AJ33" s="958">
        <f t="shared" si="59"/>
        <v>-4.484304932735439E-3</v>
      </c>
      <c r="AK33" s="317">
        <f t="shared" si="59"/>
        <v>0.1576576576576576</v>
      </c>
      <c r="AL33" s="317">
        <f t="shared" si="59"/>
        <v>4.6692607003891107E-2</v>
      </c>
      <c r="AM33" s="317">
        <f t="shared" si="59"/>
        <v>-0.16356877323420072</v>
      </c>
      <c r="AN33" s="958">
        <f t="shared" si="59"/>
        <v>-5.7777777777777817E-2</v>
      </c>
      <c r="AO33" s="317">
        <f t="shared" si="59"/>
        <v>-5.6603773584905648E-2</v>
      </c>
      <c r="AP33" s="317">
        <f t="shared" si="59"/>
        <v>-0.10999999999999999</v>
      </c>
      <c r="AQ33" s="317">
        <f t="shared" si="59"/>
        <v>-0.1741573033707865</v>
      </c>
      <c r="AR33" s="958">
        <f t="shared" si="59"/>
        <v>-0.22448979591836737</v>
      </c>
      <c r="AS33" s="317">
        <f t="shared" si="59"/>
        <v>0.17543859649122817</v>
      </c>
      <c r="AT33" s="317">
        <f t="shared" si="59"/>
        <v>3.7313432835820892E-2</v>
      </c>
      <c r="AU33" s="1807">
        <f t="shared" si="59"/>
        <v>-2.1582733812949617E-2</v>
      </c>
      <c r="AV33" s="1141">
        <v>-7.0000000000000007E-2</v>
      </c>
      <c r="AW33" s="1142">
        <v>0.04</v>
      </c>
      <c r="AX33" s="1142">
        <v>0.02</v>
      </c>
      <c r="AY33" s="423">
        <v>0</v>
      </c>
      <c r="AZ33" s="20"/>
      <c r="BA33" s="652"/>
      <c r="BB33" s="317"/>
      <c r="BC33" s="256"/>
      <c r="BD33" s="256"/>
      <c r="BE33" s="256"/>
      <c r="BF33" s="255"/>
      <c r="BG33" s="1515"/>
      <c r="BH33" s="1516"/>
      <c r="BI33" s="1614"/>
      <c r="BJ33" s="1715"/>
      <c r="BK33" s="1715"/>
      <c r="BL33" s="1715"/>
      <c r="BM33" s="1715"/>
      <c r="BN33" s="1715"/>
      <c r="BO33" s="299"/>
    </row>
    <row r="34" spans="1:67" ht="14.25" customHeight="1">
      <c r="A34" s="1"/>
      <c r="B34" s="435" t="s">
        <v>229</v>
      </c>
      <c r="C34" s="254"/>
      <c r="D34" s="320"/>
      <c r="E34" s="320"/>
      <c r="F34" s="320"/>
      <c r="G34" s="93"/>
      <c r="H34" s="269"/>
      <c r="I34" s="269"/>
      <c r="J34" s="300"/>
      <c r="K34" s="301"/>
      <c r="L34" s="318"/>
      <c r="M34" s="318"/>
      <c r="N34" s="318"/>
      <c r="O34" s="339"/>
      <c r="P34" s="318" t="str">
        <f t="shared" ref="P34:AU34" si="60">IF(ISERROR(P32/L32-1),"",P32/L32-1)</f>
        <v/>
      </c>
      <c r="Q34" s="318" t="str">
        <f t="shared" si="60"/>
        <v/>
      </c>
      <c r="R34" s="318" t="str">
        <f t="shared" si="60"/>
        <v/>
      </c>
      <c r="S34" s="339" t="str">
        <f t="shared" si="60"/>
        <v/>
      </c>
      <c r="T34" s="318">
        <f t="shared" si="60"/>
        <v>0.38053097345132736</v>
      </c>
      <c r="U34" s="318">
        <f t="shared" si="60"/>
        <v>0.35593220338983045</v>
      </c>
      <c r="V34" s="404">
        <f t="shared" si="60"/>
        <v>3.2786885245901676E-2</v>
      </c>
      <c r="W34" s="339">
        <f t="shared" si="60"/>
        <v>-8.333333333333337E-2</v>
      </c>
      <c r="X34" s="318">
        <f t="shared" si="60"/>
        <v>-6.4102564102564097E-2</v>
      </c>
      <c r="Y34" s="318">
        <f t="shared" si="60"/>
        <v>6.2500000000000888E-3</v>
      </c>
      <c r="Z34" s="318">
        <f t="shared" si="60"/>
        <v>0.48412698412698418</v>
      </c>
      <c r="AA34" s="420">
        <f t="shared" si="60"/>
        <v>0.57851239669421495</v>
      </c>
      <c r="AB34" s="958">
        <f t="shared" si="60"/>
        <v>0.40410958904109595</v>
      </c>
      <c r="AC34" s="317">
        <f t="shared" si="60"/>
        <v>0.62111801242236031</v>
      </c>
      <c r="AD34" s="317">
        <f t="shared" si="60"/>
        <v>0.39037433155080214</v>
      </c>
      <c r="AE34" s="420">
        <f t="shared" si="60"/>
        <v>0.41884816753926701</v>
      </c>
      <c r="AF34" s="958">
        <f t="shared" si="60"/>
        <v>0.23902439024390243</v>
      </c>
      <c r="AG34" s="317">
        <f t="shared" si="60"/>
        <v>2.2988505747126409E-2</v>
      </c>
      <c r="AH34" s="317">
        <f t="shared" si="60"/>
        <v>-3.0769230769230771E-2</v>
      </c>
      <c r="AI34" s="339">
        <f t="shared" si="60"/>
        <v>-0.17712177121771222</v>
      </c>
      <c r="AJ34" s="958">
        <f t="shared" si="60"/>
        <v>-0.12598425196850394</v>
      </c>
      <c r="AK34" s="317">
        <f t="shared" si="60"/>
        <v>-3.7453183520599231E-2</v>
      </c>
      <c r="AL34" s="317">
        <f t="shared" si="60"/>
        <v>6.7460317460317443E-2</v>
      </c>
      <c r="AM34" s="317">
        <f t="shared" si="60"/>
        <v>8.9686098654708779E-3</v>
      </c>
      <c r="AN34" s="958">
        <f t="shared" si="60"/>
        <v>-4.5045045045045029E-2</v>
      </c>
      <c r="AO34" s="317">
        <f t="shared" si="60"/>
        <v>-0.22178988326848248</v>
      </c>
      <c r="AP34" s="317">
        <f t="shared" si="60"/>
        <v>-0.33828996282527879</v>
      </c>
      <c r="AQ34" s="317">
        <f t="shared" si="60"/>
        <v>-0.34666666666666668</v>
      </c>
      <c r="AR34" s="958">
        <f t="shared" si="60"/>
        <v>-0.46226415094339623</v>
      </c>
      <c r="AS34" s="317">
        <f t="shared" si="60"/>
        <v>-0.32999999999999996</v>
      </c>
      <c r="AT34" s="317">
        <f t="shared" si="60"/>
        <v>-0.2191011235955056</v>
      </c>
      <c r="AU34" s="1807">
        <f t="shared" si="60"/>
        <v>-7.4829931972789088E-2</v>
      </c>
      <c r="AV34" s="958">
        <f t="shared" ref="AV34" si="61">IF(ISERROR(AV32/AR32-1),"",AV32/AR32-1)</f>
        <v>0.10947368421052617</v>
      </c>
      <c r="AW34" s="420">
        <f t="shared" ref="AW34" si="62">IF(ISERROR(AW32/AS32-1),"",AW32/AS32-1)</f>
        <v>-1.8364179104477629E-2</v>
      </c>
      <c r="AX34" s="420">
        <f t="shared" ref="AX34" si="63">IF(ISERROR(AX32/AT32-1),"",AX32/AT32-1)</f>
        <v>-3.4748316546762581E-2</v>
      </c>
      <c r="AY34" s="424">
        <f t="shared" ref="AY34" si="64">IF(ISERROR(AY32/AU32-1),"",AY32/AU32-1)</f>
        <v>-1.3456000000000023E-2</v>
      </c>
      <c r="AZ34" s="20"/>
      <c r="BA34" s="652"/>
      <c r="BB34" s="317"/>
      <c r="BC34" s="256"/>
      <c r="BD34" s="256"/>
      <c r="BE34" s="256">
        <f t="shared" ref="BE34:BL34" si="65">BE32/BD32-1</f>
        <v>0.16082474226804133</v>
      </c>
      <c r="BF34" s="255">
        <f t="shared" si="65"/>
        <v>0.21669626998223812</v>
      </c>
      <c r="BG34" s="1515">
        <f t="shared" si="65"/>
        <v>0.4554744525547445</v>
      </c>
      <c r="BH34" s="1337">
        <f t="shared" si="65"/>
        <v>-1.0030090270812808E-3</v>
      </c>
      <c r="BI34" s="1614">
        <f t="shared" si="65"/>
        <v>-2.3092369477911601E-2</v>
      </c>
      <c r="BJ34" s="1715">
        <f t="shared" si="65"/>
        <v>-0.24254881808838646</v>
      </c>
      <c r="BK34" s="1715">
        <f t="shared" si="65"/>
        <v>-0.29036635006784262</v>
      </c>
      <c r="BL34" s="1715">
        <f t="shared" si="65"/>
        <v>6.4228833652006934E-3</v>
      </c>
      <c r="BM34" s="1715">
        <v>0</v>
      </c>
      <c r="BN34" s="1715">
        <v>0</v>
      </c>
      <c r="BO34" s="299"/>
    </row>
    <row r="35" spans="1:67" ht="14.25" customHeight="1">
      <c r="A35" s="1"/>
      <c r="B35" s="431" t="s">
        <v>342</v>
      </c>
      <c r="C35" s="254"/>
      <c r="D35" s="320"/>
      <c r="E35" s="320"/>
      <c r="F35" s="320"/>
      <c r="G35" s="93"/>
      <c r="H35" s="269"/>
      <c r="I35" s="269"/>
      <c r="J35" s="300"/>
      <c r="K35" s="301"/>
      <c r="L35" s="318"/>
      <c r="M35" s="318"/>
      <c r="N35" s="318"/>
      <c r="O35" s="339"/>
      <c r="P35" s="318">
        <f t="shared" ref="P35:AH35" si="66">P32/$P$146</f>
        <v>0.17908082408874801</v>
      </c>
      <c r="Q35" s="318">
        <f t="shared" si="66"/>
        <v>0.18700475435816163</v>
      </c>
      <c r="R35" s="318">
        <f t="shared" si="66"/>
        <v>0.19334389857369255</v>
      </c>
      <c r="S35" s="339">
        <f t="shared" si="66"/>
        <v>0.2091917591125198</v>
      </c>
      <c r="T35" s="318">
        <f t="shared" si="66"/>
        <v>0.24722662440570523</v>
      </c>
      <c r="U35" s="318">
        <f t="shared" si="66"/>
        <v>0.25356576862123614</v>
      </c>
      <c r="V35" s="404">
        <f t="shared" si="66"/>
        <v>0.19968304278922344</v>
      </c>
      <c r="W35" s="339">
        <f t="shared" si="66"/>
        <v>0.19175911251980982</v>
      </c>
      <c r="X35" s="318">
        <f t="shared" si="66"/>
        <v>0.23137876386687797</v>
      </c>
      <c r="Y35" s="318">
        <f t="shared" si="66"/>
        <v>0.25515055467511888</v>
      </c>
      <c r="Z35" s="318">
        <f t="shared" si="66"/>
        <v>0.29635499207606975</v>
      </c>
      <c r="AA35" s="420">
        <f t="shared" si="66"/>
        <v>0.30269413629160064</v>
      </c>
      <c r="AB35" s="958">
        <f t="shared" si="66"/>
        <v>0.32488114104595878</v>
      </c>
      <c r="AC35" s="317">
        <f t="shared" si="66"/>
        <v>0.41362916006339145</v>
      </c>
      <c r="AD35" s="317">
        <f t="shared" si="66"/>
        <v>0.41204437400950872</v>
      </c>
      <c r="AE35" s="420">
        <f t="shared" si="66"/>
        <v>0.42947702060221871</v>
      </c>
      <c r="AF35" s="958">
        <f t="shared" si="66"/>
        <v>0.40253565768621236</v>
      </c>
      <c r="AG35" s="317">
        <f t="shared" si="66"/>
        <v>0.42313787638668782</v>
      </c>
      <c r="AH35" s="317">
        <f t="shared" si="66"/>
        <v>0.39936608557844688</v>
      </c>
      <c r="AI35" s="339">
        <f>AI32/$P$146</f>
        <v>0.35340729001584786</v>
      </c>
      <c r="AJ35" s="958">
        <f>AJ32/$P$146</f>
        <v>0.35182250396196513</v>
      </c>
      <c r="AK35" s="317">
        <f>AK32/$P$146</f>
        <v>0.40729001584786056</v>
      </c>
      <c r="AL35" s="317">
        <f t="shared" ref="AL35" si="67">AL32/$P$146</f>
        <v>0.42630744849445323</v>
      </c>
      <c r="AM35" s="317">
        <f t="shared" ref="AM35" si="68">AM32/$P$146</f>
        <v>0.35657686212361334</v>
      </c>
      <c r="AN35" s="958">
        <f>AN32/$P$146</f>
        <v>0.33597464342313788</v>
      </c>
      <c r="AO35" s="317">
        <f>AO32/$P$146</f>
        <v>0.31695721077654515</v>
      </c>
      <c r="AP35" s="317">
        <f>AP32/AP16</f>
        <v>8.4802286803239632E-2</v>
      </c>
      <c r="AQ35" s="317">
        <f t="shared" ref="AQ35" si="69">AQ32/$P$146</f>
        <v>0.23296354992076071</v>
      </c>
      <c r="AR35" s="958">
        <f>AR32/$P$146</f>
        <v>0.18066561014263074</v>
      </c>
      <c r="AS35" s="317">
        <f>AS32/$P$146</f>
        <v>0.21236133122028525</v>
      </c>
      <c r="AT35" s="317">
        <f>AT32/$P$146</f>
        <v>0.2202852614896989</v>
      </c>
      <c r="AU35" s="1715">
        <f>AU32/$P$146</f>
        <v>0.21553090332805072</v>
      </c>
      <c r="AV35" s="958" t="str">
        <f t="shared" ref="AV35:AY35" si="70">IF(ISERROR(AV32/AV$15),"",AV32/AV$15)</f>
        <v/>
      </c>
      <c r="AW35" s="420" t="str">
        <f t="shared" si="70"/>
        <v/>
      </c>
      <c r="AX35" s="420" t="str">
        <f t="shared" si="70"/>
        <v/>
      </c>
      <c r="AY35" s="424" t="str">
        <f t="shared" si="70"/>
        <v/>
      </c>
      <c r="AZ35" s="20"/>
      <c r="BA35" s="652"/>
      <c r="BB35" s="317"/>
      <c r="BC35" s="1109"/>
      <c r="BD35" s="256">
        <f t="shared" ref="BD35:BJ35" si="71">+BD32/BD$16</f>
        <v>0.18769349845201239</v>
      </c>
      <c r="BE35" s="256">
        <f t="shared" si="71"/>
        <v>0.21221258952129665</v>
      </c>
      <c r="BF35" s="255">
        <f t="shared" si="71"/>
        <v>0.23017473118279569</v>
      </c>
      <c r="BG35" s="652">
        <f t="shared" si="71"/>
        <v>0.28219643362581376</v>
      </c>
      <c r="BH35" s="317">
        <f t="shared" si="71"/>
        <v>0.23669201520912547</v>
      </c>
      <c r="BI35" s="652">
        <f t="shared" si="71"/>
        <v>0.20614406779661018</v>
      </c>
      <c r="BJ35" s="317">
        <f t="shared" si="71"/>
        <v>9.1145189215928762E-2</v>
      </c>
      <c r="BK35" s="317">
        <f t="shared" ref="BK35:BL35" si="72">+BK32/BK$16</f>
        <v>5.9805603201829614E-2</v>
      </c>
      <c r="BL35" s="317">
        <f t="shared" si="72"/>
        <v>5.6593739193739515E-2</v>
      </c>
      <c r="BM35" s="317"/>
      <c r="BN35" s="317"/>
      <c r="BO35" s="299"/>
    </row>
    <row r="36" spans="1:67" ht="14.25" customHeight="1">
      <c r="A36" s="1"/>
      <c r="B36" s="431" t="s">
        <v>343</v>
      </c>
      <c r="C36" s="254"/>
      <c r="D36" s="320"/>
      <c r="E36" s="320"/>
      <c r="F36" s="320"/>
      <c r="G36" s="93"/>
      <c r="H36" s="269"/>
      <c r="I36" s="269"/>
      <c r="J36" s="300"/>
      <c r="K36" s="301"/>
      <c r="L36" s="318"/>
      <c r="M36" s="318"/>
      <c r="N36" s="318"/>
      <c r="O36" s="339"/>
      <c r="P36" s="318">
        <f t="shared" ref="P36:AH36" si="73">IF(ISERROR(P32/P$526),"",P32/P$526)</f>
        <v>0.10414746543778802</v>
      </c>
      <c r="Q36" s="318">
        <f t="shared" si="73"/>
        <v>0.10545129579982127</v>
      </c>
      <c r="R36" s="318">
        <f t="shared" si="73"/>
        <v>0.10892857142857143</v>
      </c>
      <c r="S36" s="339">
        <f t="shared" si="73"/>
        <v>0.12244897959183673</v>
      </c>
      <c r="T36" s="318">
        <f t="shared" si="73"/>
        <v>0.14417744916820702</v>
      </c>
      <c r="U36" s="318">
        <f t="shared" si="73"/>
        <v>0.14272970561998216</v>
      </c>
      <c r="V36" s="404">
        <f t="shared" si="73"/>
        <v>0.11886792452830189</v>
      </c>
      <c r="W36" s="339">
        <f t="shared" si="73"/>
        <v>0.12996777658431793</v>
      </c>
      <c r="X36" s="318">
        <f t="shared" si="73"/>
        <v>0.1492842535787321</v>
      </c>
      <c r="Y36" s="318">
        <f t="shared" si="73"/>
        <v>0.14716636197440586</v>
      </c>
      <c r="Z36" s="318">
        <f t="shared" si="73"/>
        <v>0.15982905982905982</v>
      </c>
      <c r="AA36" s="420">
        <f t="shared" si="73"/>
        <v>0.17114695340501793</v>
      </c>
      <c r="AB36" s="958">
        <f t="shared" si="73"/>
        <v>0.1889400921658986</v>
      </c>
      <c r="AC36" s="317">
        <f t="shared" si="73"/>
        <v>0.2196969696969697</v>
      </c>
      <c r="AD36" s="317">
        <f t="shared" si="73"/>
        <v>0.20816653322658127</v>
      </c>
      <c r="AE36" s="420">
        <f t="shared" si="73"/>
        <v>0.20959010054137664</v>
      </c>
      <c r="AF36" s="958">
        <f t="shared" si="73"/>
        <v>0.20385232744783308</v>
      </c>
      <c r="AG36" s="317">
        <f t="shared" si="73"/>
        <v>0.19792438843587842</v>
      </c>
      <c r="AH36" s="317">
        <f t="shared" si="73"/>
        <v>0.16633663366336635</v>
      </c>
      <c r="AI36" s="339">
        <f>IF(ISERROR(AI32/AI$526),"",AI32/AI$526)</f>
        <v>0.14508783344176968</v>
      </c>
      <c r="AJ36" s="958">
        <f>IF(ISERROR(AJ32/AJ$526),"",AJ32/AJ$526)</f>
        <v>0.15132924335378323</v>
      </c>
      <c r="AK36" s="317">
        <f>IF(ISERROR(AK32/AK$526),"",AK32/AK$526)</f>
        <v>0.17065073041168657</v>
      </c>
      <c r="AL36" s="317">
        <f t="shared" ref="AL36" si="74">IF(ISERROR(AL32/AL$526),"",AL32/AL$526)</f>
        <v>0.17674113009198422</v>
      </c>
      <c r="AM36" s="317">
        <f t="shared" ref="AM36" si="75">IF(ISERROR(AM32/AM$526),"",AM32/AM$526)</f>
        <v>0.14009962640099627</v>
      </c>
      <c r="AN36" s="958">
        <f>IF(ISERROR(AN32/AN$526),"",AN32/AN$526)</f>
        <v>9.5323741007194249E-2</v>
      </c>
      <c r="AO36" s="317">
        <f>IF(ISERROR(AO32/AO$526),"",AO32/AO$526)</f>
        <v>8.4566596194503171E-2</v>
      </c>
      <c r="AP36" s="317">
        <f t="shared" ref="AP36:AQ36" si="76">IF(ISERROR(AP32/AP$526),"",AP32/AP$526)</f>
        <v>7.2093965168084251E-2</v>
      </c>
      <c r="AQ36" s="317">
        <f t="shared" si="76"/>
        <v>6.0245901639344263E-2</v>
      </c>
      <c r="AR36" s="958">
        <f>IF(ISERROR(AR32/AR$526),"",AR32/AR$526)</f>
        <v>5.1560379918588875E-2</v>
      </c>
      <c r="AS36" s="317">
        <f>IF(ISERROR(AS32/AS$526),"",AS32/AS$526)</f>
        <v>6.0853769300635789E-2</v>
      </c>
      <c r="AT36" s="317">
        <f>IF(ISERROR(AT32/AT$526),"",AT32/AT$526)</f>
        <v>5.8232090490155007E-2</v>
      </c>
      <c r="AU36" s="1807">
        <f>IF(ISERROR(AU32/AU$526),"",AU32/AU$526)</f>
        <v>5.5374592833876218E-2</v>
      </c>
      <c r="AV36" s="958">
        <f t="shared" ref="AV36:AY36" si="77">IF(ISERROR(AV32/AV$526),"",AV32/AV$526)</f>
        <v>5.4381755798054834E-2</v>
      </c>
      <c r="AW36" s="420">
        <f t="shared" si="77"/>
        <v>5.4682067199240146E-2</v>
      </c>
      <c r="AX36" s="420">
        <f t="shared" si="77"/>
        <v>5.3587152792951558E-2</v>
      </c>
      <c r="AY36" s="424">
        <f t="shared" si="77"/>
        <v>5.441716402201633E-2</v>
      </c>
      <c r="AZ36" s="20"/>
      <c r="BA36" s="652"/>
      <c r="BB36" s="317"/>
      <c r="BC36" s="256">
        <f t="shared" ref="BC36:BJ36" si="78">IF(ISERROR(BC32/BC$526),"",BC32/BC$526)</f>
        <v>0</v>
      </c>
      <c r="BD36" s="256">
        <f t="shared" si="78"/>
        <v>0.11017719218537028</v>
      </c>
      <c r="BE36" s="256">
        <f t="shared" si="78"/>
        <v>0.13423938960419646</v>
      </c>
      <c r="BF36" s="255">
        <f t="shared" si="78"/>
        <v>0.15718219366681965</v>
      </c>
      <c r="BG36" s="1515">
        <f t="shared" si="78"/>
        <v>0.20706126687435097</v>
      </c>
      <c r="BH36" s="1516">
        <f t="shared" si="78"/>
        <v>0.17637683725872144</v>
      </c>
      <c r="BI36" s="1614">
        <f t="shared" si="78"/>
        <v>0.15948205212260286</v>
      </c>
      <c r="BJ36" s="1715">
        <f t="shared" si="78"/>
        <v>7.7595283217519476E-2</v>
      </c>
      <c r="BK36" s="1715">
        <f t="shared" ref="BK36:BM36" si="79">IF(ISERROR(BK32/BK$526),"",BK32/BK$526)</f>
        <v>5.6503889369057911E-2</v>
      </c>
      <c r="BL36" s="1715">
        <f t="shared" si="79"/>
        <v>5.4260135710997408E-2</v>
      </c>
      <c r="BM36" s="1715">
        <f t="shared" si="79"/>
        <v>5.1676319724759438E-2</v>
      </c>
      <c r="BN36" s="1715">
        <f t="shared" ref="BN36" si="80">IF(ISERROR(BN32/BN$526),"",BN32/BN$526)</f>
        <v>4.9215542595008988E-2</v>
      </c>
      <c r="BO36" s="299"/>
    </row>
    <row r="37" spans="1:67" ht="14.25" customHeight="1">
      <c r="A37" s="1"/>
      <c r="B37" s="436"/>
      <c r="C37" s="254"/>
      <c r="D37" s="320"/>
      <c r="E37" s="320"/>
      <c r="F37" s="320"/>
      <c r="G37" s="93"/>
      <c r="H37" s="269"/>
      <c r="I37" s="269"/>
      <c r="J37" s="300"/>
      <c r="K37" s="301"/>
      <c r="L37" s="337"/>
      <c r="M37" s="337"/>
      <c r="N37" s="337"/>
      <c r="O37" s="338"/>
      <c r="P37" s="337"/>
      <c r="Q37" s="337"/>
      <c r="R37" s="337"/>
      <c r="S37" s="338"/>
      <c r="T37" s="337"/>
      <c r="U37" s="337"/>
      <c r="V37" s="405"/>
      <c r="W37" s="338"/>
      <c r="X37" s="337"/>
      <c r="Y37" s="337"/>
      <c r="Z37" s="300"/>
      <c r="AA37" s="256"/>
      <c r="AB37" s="255"/>
      <c r="AC37" s="256"/>
      <c r="AD37" s="256"/>
      <c r="AE37" s="256"/>
      <c r="AF37" s="255"/>
      <c r="AG37" s="256"/>
      <c r="AH37" s="256"/>
      <c r="AI37" s="301"/>
      <c r="AJ37" s="255"/>
      <c r="AK37" s="256"/>
      <c r="AL37" s="256"/>
      <c r="AM37" s="1575"/>
      <c r="AN37" s="1614"/>
      <c r="AO37" s="1715"/>
      <c r="AP37" s="1715"/>
      <c r="AQ37" s="1715"/>
      <c r="AR37" s="1515"/>
      <c r="AS37" s="1516"/>
      <c r="AT37" s="1715"/>
      <c r="AU37" s="1517"/>
      <c r="AV37" s="1515"/>
      <c r="AW37" s="1516"/>
      <c r="AX37" s="1516"/>
      <c r="AY37" s="1517"/>
      <c r="AZ37" s="20"/>
      <c r="BA37" s="652"/>
      <c r="BB37" s="317"/>
      <c r="BC37" s="256"/>
      <c r="BD37" s="256"/>
      <c r="BE37" s="256"/>
      <c r="BF37" s="1102"/>
      <c r="BG37" s="1515"/>
      <c r="BH37" s="1516"/>
      <c r="BI37" s="1614"/>
      <c r="BJ37" s="1715"/>
      <c r="BK37" s="1715"/>
      <c r="BL37" s="1715"/>
      <c r="BM37" s="1715"/>
      <c r="BN37" s="1715"/>
      <c r="BO37" s="299"/>
    </row>
    <row r="38" spans="1:67" ht="14.25" customHeight="1">
      <c r="A38" s="1"/>
      <c r="B38" s="1344" t="s">
        <v>519</v>
      </c>
      <c r="C38" s="719"/>
      <c r="D38" s="717"/>
      <c r="E38" s="717"/>
      <c r="F38" s="717"/>
      <c r="G38" s="718"/>
      <c r="H38" s="717"/>
      <c r="I38" s="717"/>
      <c r="J38" s="717"/>
      <c r="K38" s="718"/>
      <c r="L38" s="717"/>
      <c r="M38" s="717"/>
      <c r="N38" s="717"/>
      <c r="O38" s="718"/>
      <c r="P38" s="1082"/>
      <c r="Q38" s="1082"/>
      <c r="R38" s="1082"/>
      <c r="S38" s="1083"/>
      <c r="T38" s="1082"/>
      <c r="U38" s="1082"/>
      <c r="V38" s="1082"/>
      <c r="W38" s="1083"/>
      <c r="X38" s="1082"/>
      <c r="Y38" s="1082"/>
      <c r="Z38" s="1082"/>
      <c r="AA38" s="1082"/>
      <c r="AB38" s="1140"/>
      <c r="AC38" s="1082"/>
      <c r="AD38" s="1082"/>
      <c r="AE38" s="1082"/>
      <c r="AF38" s="1140"/>
      <c r="AG38" s="1082"/>
      <c r="AH38" s="1082"/>
      <c r="AI38" s="1083"/>
      <c r="AJ38" s="1140"/>
      <c r="AK38" s="1082"/>
      <c r="AL38" s="1082"/>
      <c r="AM38" s="1082"/>
      <c r="AN38" s="1140"/>
      <c r="AO38" s="1082"/>
      <c r="AP38" s="1082"/>
      <c r="AQ38" s="1082"/>
      <c r="AR38" s="1140"/>
      <c r="AS38" s="1082"/>
      <c r="AT38" s="1082"/>
      <c r="AU38" s="1083"/>
      <c r="AV38" s="1140"/>
      <c r="AW38" s="1082"/>
      <c r="AX38" s="1082"/>
      <c r="AY38" s="1083"/>
      <c r="AZ38" s="20"/>
      <c r="BA38" s="1123"/>
      <c r="BB38" s="1107"/>
      <c r="BC38" s="1108"/>
      <c r="BD38" s="1108"/>
      <c r="BE38" s="1108"/>
      <c r="BF38" s="1211"/>
      <c r="BG38" s="1211"/>
      <c r="BH38" s="1108"/>
      <c r="BI38" s="1664"/>
      <c r="BJ38" s="1659"/>
      <c r="BK38" s="1659"/>
      <c r="BL38" s="1659"/>
      <c r="BM38" s="1659"/>
      <c r="BN38" s="1659"/>
      <c r="BO38" s="299"/>
    </row>
    <row r="39" spans="1:67" s="316" customFormat="1" ht="14.25" customHeight="1">
      <c r="A39" s="5"/>
      <c r="B39" s="434"/>
      <c r="C39" s="34"/>
      <c r="D39" s="320"/>
      <c r="E39" s="320"/>
      <c r="F39" s="320"/>
      <c r="G39" s="93"/>
      <c r="H39" s="269"/>
      <c r="I39" s="269"/>
      <c r="J39" s="269"/>
      <c r="K39" s="91"/>
      <c r="L39" s="90"/>
      <c r="M39" s="269"/>
      <c r="N39" s="269"/>
      <c r="O39" s="91"/>
      <c r="P39" s="269"/>
      <c r="Q39" s="269"/>
      <c r="R39" s="269"/>
      <c r="S39" s="91"/>
      <c r="T39" s="269"/>
      <c r="U39" s="269"/>
      <c r="V39" s="269"/>
      <c r="W39" s="91"/>
      <c r="X39" s="269"/>
      <c r="Y39" s="269"/>
      <c r="Z39" s="416"/>
      <c r="AA39" s="418"/>
      <c r="AB39" s="1125"/>
      <c r="AC39" s="418"/>
      <c r="AD39" s="418"/>
      <c r="AE39" s="418"/>
      <c r="AF39" s="1125" t="s">
        <v>156</v>
      </c>
      <c r="AG39" s="418"/>
      <c r="AH39" s="418"/>
      <c r="AI39" s="417"/>
      <c r="AJ39" s="1125" t="s">
        <v>156</v>
      </c>
      <c r="AK39" s="418"/>
      <c r="AL39" s="418"/>
      <c r="AM39" s="1583"/>
      <c r="AN39" s="1665" t="s">
        <v>156</v>
      </c>
      <c r="AO39" s="1630"/>
      <c r="AP39" s="1630"/>
      <c r="AQ39" s="1630"/>
      <c r="AR39" s="1125"/>
      <c r="AS39" s="418"/>
      <c r="AT39" s="1630"/>
      <c r="AU39" s="417"/>
      <c r="AV39" s="1125"/>
      <c r="AW39" s="418"/>
      <c r="AX39" s="418"/>
      <c r="AY39" s="417"/>
      <c r="AZ39" s="177"/>
      <c r="BA39" s="958"/>
      <c r="BB39" s="420"/>
      <c r="BC39" s="90"/>
      <c r="BD39" s="90"/>
      <c r="BE39" s="90"/>
      <c r="BF39" s="159"/>
      <c r="BG39" s="159"/>
      <c r="BH39" s="1506"/>
      <c r="BI39" s="1607"/>
      <c r="BJ39" s="1603"/>
      <c r="BK39" s="1603"/>
      <c r="BL39" s="1806"/>
      <c r="BM39" s="1806"/>
      <c r="BN39" s="1806"/>
      <c r="BO39" s="419"/>
    </row>
    <row r="40" spans="1:67" s="363" customFormat="1" ht="14.25" customHeight="1">
      <c r="B40" s="436" t="s">
        <v>161</v>
      </c>
      <c r="C40" s="382"/>
      <c r="D40" s="365"/>
      <c r="E40" s="365"/>
      <c r="F40" s="365"/>
      <c r="G40" s="366"/>
      <c r="H40" s="367"/>
      <c r="I40" s="367"/>
      <c r="J40" s="368"/>
      <c r="K40" s="369"/>
      <c r="L40" s="370"/>
      <c r="M40" s="370"/>
      <c r="N40" s="370"/>
      <c r="O40" s="371"/>
      <c r="P40" s="370">
        <v>135</v>
      </c>
      <c r="Q40" s="370">
        <v>139</v>
      </c>
      <c r="R40" s="370">
        <v>134</v>
      </c>
      <c r="S40" s="371">
        <v>128</v>
      </c>
      <c r="T40" s="370">
        <v>134</v>
      </c>
      <c r="U40" s="370">
        <v>142</v>
      </c>
      <c r="V40" s="403">
        <v>149</v>
      </c>
      <c r="W40" s="371">
        <v>138</v>
      </c>
      <c r="X40" s="370">
        <v>133</v>
      </c>
      <c r="Y40" s="370">
        <v>180</v>
      </c>
      <c r="Z40" s="346">
        <v>190</v>
      </c>
      <c r="AA40" s="1233">
        <v>192</v>
      </c>
      <c r="AB40" s="1250">
        <v>188</v>
      </c>
      <c r="AC40" s="1233">
        <v>183</v>
      </c>
      <c r="AD40" s="1233">
        <v>188</v>
      </c>
      <c r="AE40" s="1233">
        <v>193</v>
      </c>
      <c r="AF40" s="1250">
        <v>180</v>
      </c>
      <c r="AG40" s="1233">
        <v>198</v>
      </c>
      <c r="AH40" s="1233">
        <v>301</v>
      </c>
      <c r="AI40" s="371">
        <v>349</v>
      </c>
      <c r="AJ40" s="1250">
        <v>289</v>
      </c>
      <c r="AK40" s="1233">
        <v>276</v>
      </c>
      <c r="AL40" s="1233">
        <v>317</v>
      </c>
      <c r="AM40" s="1233">
        <v>379</v>
      </c>
      <c r="AN40" s="1250">
        <v>471</v>
      </c>
      <c r="AO40" s="1233">
        <v>514</v>
      </c>
      <c r="AP40" s="1233">
        <v>592</v>
      </c>
      <c r="AQ40" s="1837">
        <v>569</v>
      </c>
      <c r="AR40" s="1250">
        <v>541</v>
      </c>
      <c r="AS40" s="1233">
        <v>588</v>
      </c>
      <c r="AT40" s="1233">
        <v>713</v>
      </c>
      <c r="AU40" s="1934">
        <v>745</v>
      </c>
      <c r="AV40" s="923">
        <f t="shared" ref="AV40" si="81">+AU40*(1+AV41)</f>
        <v>618.35</v>
      </c>
      <c r="AW40" s="348">
        <f t="shared" ref="AW40" si="82">+AV40*(1+AW41)</f>
        <v>667.8180000000001</v>
      </c>
      <c r="AX40" s="348">
        <f t="shared" ref="AX40" si="83">+AW40*(1+AX41)</f>
        <v>774.66888000000006</v>
      </c>
      <c r="AY40" s="349">
        <f t="shared" ref="AY40" si="84">+AX40*(1+AY41)</f>
        <v>751.42881360000001</v>
      </c>
      <c r="AZ40" s="1901"/>
      <c r="BA40" s="1124"/>
      <c r="BB40" s="372"/>
      <c r="BC40" s="340">
        <f>SUM(L40:O40)</f>
        <v>0</v>
      </c>
      <c r="BD40" s="340">
        <f>SUM(P40:S40)</f>
        <v>536</v>
      </c>
      <c r="BE40" s="340">
        <f>SUM(T40:W40)</f>
        <v>563</v>
      </c>
      <c r="BF40" s="361">
        <f>SUM(X40:AA40)</f>
        <v>695</v>
      </c>
      <c r="BG40" s="361">
        <f>SUM(AB40:AE40)</f>
        <v>752</v>
      </c>
      <c r="BH40" s="340">
        <f>SUM(AF40:AI40)</f>
        <v>1028</v>
      </c>
      <c r="BI40" s="361">
        <f>SUM(AJ40:AM40)</f>
        <v>1261</v>
      </c>
      <c r="BJ40" s="340">
        <f>SUM(AN40:AQ40)</f>
        <v>2146</v>
      </c>
      <c r="BK40" s="340">
        <f>SUM(AR40:AU40)</f>
        <v>2587</v>
      </c>
      <c r="BL40" s="340">
        <f>SUM(AV40:AY40)</f>
        <v>2812.2656936000003</v>
      </c>
      <c r="BM40" s="340">
        <f>+BL40*(1+BM42)</f>
        <v>3065.3696060240004</v>
      </c>
      <c r="BN40" s="340">
        <f>+BM40*(1+BN42)</f>
        <v>3310.5991745059205</v>
      </c>
      <c r="BO40" s="1392">
        <f>(BM40/BK40)^(1/2)-1</f>
        <v>8.8537033996150427E-2</v>
      </c>
    </row>
    <row r="41" spans="1:67" ht="14.25" customHeight="1">
      <c r="A41" s="1"/>
      <c r="B41" s="431" t="s">
        <v>228</v>
      </c>
      <c r="C41" s="254"/>
      <c r="D41" s="320"/>
      <c r="E41" s="320"/>
      <c r="F41" s="320"/>
      <c r="G41" s="93"/>
      <c r="H41" s="269"/>
      <c r="I41" s="269"/>
      <c r="J41" s="300"/>
      <c r="K41" s="301"/>
      <c r="L41" s="337"/>
      <c r="M41" s="318"/>
      <c r="N41" s="318"/>
      <c r="O41" s="339"/>
      <c r="P41" s="318"/>
      <c r="Q41" s="318">
        <f t="shared" ref="Q41:AU41" si="85">Q40/P40-1</f>
        <v>2.9629629629629672E-2</v>
      </c>
      <c r="R41" s="318">
        <f t="shared" si="85"/>
        <v>-3.5971223021582732E-2</v>
      </c>
      <c r="S41" s="339">
        <f t="shared" si="85"/>
        <v>-4.4776119402985093E-2</v>
      </c>
      <c r="T41" s="318">
        <f t="shared" si="85"/>
        <v>4.6875E-2</v>
      </c>
      <c r="U41" s="318">
        <f t="shared" si="85"/>
        <v>5.9701492537313383E-2</v>
      </c>
      <c r="V41" s="404">
        <f t="shared" si="85"/>
        <v>4.9295774647887258E-2</v>
      </c>
      <c r="W41" s="339">
        <f t="shared" si="85"/>
        <v>-7.3825503355704702E-2</v>
      </c>
      <c r="X41" s="318">
        <f t="shared" si="85"/>
        <v>-3.6231884057971064E-2</v>
      </c>
      <c r="Y41" s="318">
        <f t="shared" si="85"/>
        <v>0.35338345864661647</v>
      </c>
      <c r="Z41" s="318">
        <f t="shared" si="85"/>
        <v>5.555555555555558E-2</v>
      </c>
      <c r="AA41" s="317">
        <f t="shared" si="85"/>
        <v>1.0526315789473717E-2</v>
      </c>
      <c r="AB41" s="958">
        <f t="shared" si="85"/>
        <v>-2.083333333333337E-2</v>
      </c>
      <c r="AC41" s="317">
        <f t="shared" si="85"/>
        <v>-2.6595744680851019E-2</v>
      </c>
      <c r="AD41" s="317">
        <f t="shared" si="85"/>
        <v>2.732240437158473E-2</v>
      </c>
      <c r="AE41" s="317">
        <f t="shared" si="85"/>
        <v>2.659574468085113E-2</v>
      </c>
      <c r="AF41" s="958">
        <f t="shared" si="85"/>
        <v>-6.7357512953367893E-2</v>
      </c>
      <c r="AG41" s="317">
        <f t="shared" si="85"/>
        <v>0.10000000000000009</v>
      </c>
      <c r="AH41" s="317">
        <f t="shared" si="85"/>
        <v>0.52020202020202011</v>
      </c>
      <c r="AI41" s="339">
        <f t="shared" si="85"/>
        <v>0.15946843853820591</v>
      </c>
      <c r="AJ41" s="958">
        <f t="shared" si="85"/>
        <v>-0.17191977077363896</v>
      </c>
      <c r="AK41" s="317">
        <f t="shared" si="85"/>
        <v>-4.4982698961937739E-2</v>
      </c>
      <c r="AL41" s="317">
        <f t="shared" si="85"/>
        <v>0.14855072463768115</v>
      </c>
      <c r="AM41" s="317">
        <f t="shared" si="85"/>
        <v>0.19558359621451094</v>
      </c>
      <c r="AN41" s="958">
        <f t="shared" si="85"/>
        <v>0.24274406332453835</v>
      </c>
      <c r="AO41" s="317">
        <f t="shared" si="85"/>
        <v>9.1295116772823759E-2</v>
      </c>
      <c r="AP41" s="317">
        <f t="shared" si="85"/>
        <v>0.15175097276264582</v>
      </c>
      <c r="AQ41" s="317">
        <f t="shared" si="85"/>
        <v>-3.8851351351351315E-2</v>
      </c>
      <c r="AR41" s="958">
        <f t="shared" si="85"/>
        <v>-4.9209138840070277E-2</v>
      </c>
      <c r="AS41" s="317">
        <f t="shared" si="85"/>
        <v>8.687615526802217E-2</v>
      </c>
      <c r="AT41" s="317">
        <f t="shared" si="85"/>
        <v>0.21258503401360551</v>
      </c>
      <c r="AU41" s="1807">
        <f t="shared" si="85"/>
        <v>4.4880785413744739E-2</v>
      </c>
      <c r="AV41" s="1141">
        <v>-0.17</v>
      </c>
      <c r="AW41" s="1142">
        <v>0.08</v>
      </c>
      <c r="AX41" s="1142">
        <v>0.16</v>
      </c>
      <c r="AY41" s="423">
        <v>-0.03</v>
      </c>
      <c r="AZ41" s="20"/>
      <c r="BA41" s="652"/>
      <c r="BB41" s="317"/>
      <c r="BC41" s="256"/>
      <c r="BD41" s="256"/>
      <c r="BE41" s="256"/>
      <c r="BF41" s="255"/>
      <c r="BG41" s="1515"/>
      <c r="BH41" s="1516"/>
      <c r="BI41" s="1614"/>
      <c r="BJ41" s="1715"/>
      <c r="BK41" s="1715"/>
      <c r="BL41" s="1715"/>
      <c r="BM41" s="1715"/>
      <c r="BN41" s="1715"/>
      <c r="BO41" s="299"/>
    </row>
    <row r="42" spans="1:67" ht="14.25" customHeight="1">
      <c r="A42" s="1"/>
      <c r="B42" s="435" t="s">
        <v>229</v>
      </c>
      <c r="C42" s="254"/>
      <c r="D42" s="320"/>
      <c r="E42" s="320"/>
      <c r="F42" s="320"/>
      <c r="G42" s="93"/>
      <c r="H42" s="269"/>
      <c r="I42" s="269"/>
      <c r="J42" s="300"/>
      <c r="K42" s="301"/>
      <c r="L42" s="318"/>
      <c r="M42" s="318"/>
      <c r="N42" s="318"/>
      <c r="O42" s="339"/>
      <c r="P42" s="318" t="str">
        <f t="shared" ref="P42:AU42" si="86">IF(ISERROR(P40/L40-1),"",P40/L40-1)</f>
        <v/>
      </c>
      <c r="Q42" s="318" t="str">
        <f t="shared" si="86"/>
        <v/>
      </c>
      <c r="R42" s="318" t="str">
        <f t="shared" si="86"/>
        <v/>
      </c>
      <c r="S42" s="339" t="str">
        <f t="shared" si="86"/>
        <v/>
      </c>
      <c r="T42" s="318">
        <f t="shared" si="86"/>
        <v>-7.4074074074074181E-3</v>
      </c>
      <c r="U42" s="318">
        <f t="shared" si="86"/>
        <v>2.1582733812949728E-2</v>
      </c>
      <c r="V42" s="404">
        <f t="shared" si="86"/>
        <v>0.11194029850746268</v>
      </c>
      <c r="W42" s="339">
        <f t="shared" si="86"/>
        <v>7.8125E-2</v>
      </c>
      <c r="X42" s="318">
        <f t="shared" si="86"/>
        <v>-7.4626865671642006E-3</v>
      </c>
      <c r="Y42" s="318">
        <f t="shared" si="86"/>
        <v>0.26760563380281699</v>
      </c>
      <c r="Z42" s="318">
        <f t="shared" si="86"/>
        <v>0.27516778523489926</v>
      </c>
      <c r="AA42" s="420">
        <f t="shared" si="86"/>
        <v>0.39130434782608692</v>
      </c>
      <c r="AB42" s="958">
        <f t="shared" si="86"/>
        <v>0.41353383458646609</v>
      </c>
      <c r="AC42" s="317">
        <f t="shared" si="86"/>
        <v>1.6666666666666607E-2</v>
      </c>
      <c r="AD42" s="317">
        <f t="shared" si="86"/>
        <v>-1.0526315789473717E-2</v>
      </c>
      <c r="AE42" s="420">
        <f t="shared" si="86"/>
        <v>5.2083333333332593E-3</v>
      </c>
      <c r="AF42" s="958">
        <f t="shared" si="86"/>
        <v>-4.2553191489361653E-2</v>
      </c>
      <c r="AG42" s="317">
        <f t="shared" si="86"/>
        <v>8.1967213114754189E-2</v>
      </c>
      <c r="AH42" s="317">
        <f t="shared" si="86"/>
        <v>0.60106382978723394</v>
      </c>
      <c r="AI42" s="339">
        <f t="shared" si="86"/>
        <v>0.80829015544041449</v>
      </c>
      <c r="AJ42" s="958">
        <f t="shared" si="86"/>
        <v>0.60555555555555562</v>
      </c>
      <c r="AK42" s="317">
        <f t="shared" si="86"/>
        <v>0.39393939393939403</v>
      </c>
      <c r="AL42" s="317">
        <f t="shared" si="86"/>
        <v>5.3156146179401897E-2</v>
      </c>
      <c r="AM42" s="317">
        <f t="shared" si="86"/>
        <v>8.5959885386819535E-2</v>
      </c>
      <c r="AN42" s="958">
        <f t="shared" si="86"/>
        <v>0.62975778546712813</v>
      </c>
      <c r="AO42" s="317">
        <f t="shared" si="86"/>
        <v>0.8623188405797102</v>
      </c>
      <c r="AP42" s="317">
        <f t="shared" si="86"/>
        <v>0.86750788643533117</v>
      </c>
      <c r="AQ42" s="317">
        <f t="shared" si="86"/>
        <v>0.50131926121372028</v>
      </c>
      <c r="AR42" s="958">
        <f t="shared" si="86"/>
        <v>0.14861995753715496</v>
      </c>
      <c r="AS42" s="317">
        <f t="shared" si="86"/>
        <v>0.14396887159533067</v>
      </c>
      <c r="AT42" s="317">
        <f t="shared" si="86"/>
        <v>0.20439189189189189</v>
      </c>
      <c r="AU42" s="1807">
        <f t="shared" si="86"/>
        <v>0.30931458699472758</v>
      </c>
      <c r="AV42" s="958">
        <f t="shared" ref="AV42" si="87">IF(ISERROR(AV40/AR40-1),"",AV40/AR40-1)</f>
        <v>0.14297597042513877</v>
      </c>
      <c r="AW42" s="420">
        <f t="shared" ref="AW42" si="88">IF(ISERROR(AW40/AS40-1),"",AW40/AS40-1)</f>
        <v>0.13574489795918376</v>
      </c>
      <c r="AX42" s="420">
        <f t="shared" ref="AX42" si="89">IF(ISERROR(AX40/AT40-1),"",AX40/AT40-1)</f>
        <v>8.6492117812061897E-2</v>
      </c>
      <c r="AY42" s="424">
        <f t="shared" ref="AY42" si="90">IF(ISERROR(AY40/AU40-1),"",AY40/AU40-1)</f>
        <v>8.6292800000000724E-3</v>
      </c>
      <c r="AZ42" s="20"/>
      <c r="BA42" s="652"/>
      <c r="BB42" s="317"/>
      <c r="BC42" s="256"/>
      <c r="BD42" s="256"/>
      <c r="BE42" s="256">
        <f t="shared" ref="BE42:BL42" si="91">BE40/BD40-1</f>
        <v>5.0373134328358216E-2</v>
      </c>
      <c r="BF42" s="255">
        <f t="shared" si="91"/>
        <v>0.23445825932504438</v>
      </c>
      <c r="BG42" s="1515">
        <f t="shared" si="91"/>
        <v>8.2014388489208612E-2</v>
      </c>
      <c r="BH42" s="1337">
        <f t="shared" si="91"/>
        <v>0.36702127659574457</v>
      </c>
      <c r="BI42" s="1614">
        <f t="shared" si="91"/>
        <v>0.22665369649805456</v>
      </c>
      <c r="BJ42" s="1715">
        <f t="shared" si="91"/>
        <v>0.70182394924662961</v>
      </c>
      <c r="BK42" s="1715">
        <f t="shared" si="91"/>
        <v>0.20549860205032622</v>
      </c>
      <c r="BL42" s="1715">
        <f t="shared" si="91"/>
        <v>8.7076031542327126E-2</v>
      </c>
      <c r="BM42" s="1715">
        <v>0.09</v>
      </c>
      <c r="BN42" s="1715">
        <v>0.08</v>
      </c>
      <c r="BO42" s="299"/>
    </row>
    <row r="43" spans="1:67" ht="14.25" customHeight="1">
      <c r="A43" s="1"/>
      <c r="B43" s="431" t="s">
        <v>342</v>
      </c>
      <c r="C43" s="254"/>
      <c r="D43" s="320"/>
      <c r="E43" s="320"/>
      <c r="F43" s="320"/>
      <c r="G43" s="93"/>
      <c r="H43" s="269"/>
      <c r="I43" s="269"/>
      <c r="J43" s="300"/>
      <c r="K43" s="301"/>
      <c r="L43" s="318"/>
      <c r="M43" s="318"/>
      <c r="N43" s="318"/>
      <c r="O43" s="339"/>
      <c r="P43" s="318">
        <f t="shared" ref="P43:AH43" si="92">P40/$P$146</f>
        <v>0.21394611727416799</v>
      </c>
      <c r="Q43" s="318">
        <f t="shared" si="92"/>
        <v>0.2202852614896989</v>
      </c>
      <c r="R43" s="318">
        <f t="shared" si="92"/>
        <v>0.21236133122028525</v>
      </c>
      <c r="S43" s="339">
        <f t="shared" si="92"/>
        <v>0.20285261489698891</v>
      </c>
      <c r="T43" s="318">
        <f t="shared" si="92"/>
        <v>0.21236133122028525</v>
      </c>
      <c r="U43" s="318">
        <f t="shared" si="92"/>
        <v>0.22503961965134706</v>
      </c>
      <c r="V43" s="404">
        <f t="shared" si="92"/>
        <v>0.23613312202852615</v>
      </c>
      <c r="W43" s="339">
        <f t="shared" si="92"/>
        <v>0.21870047543581617</v>
      </c>
      <c r="X43" s="318">
        <f t="shared" si="92"/>
        <v>0.21077654516640254</v>
      </c>
      <c r="Y43" s="318">
        <f t="shared" si="92"/>
        <v>0.28526148969889065</v>
      </c>
      <c r="Z43" s="318">
        <f t="shared" si="92"/>
        <v>0.3011093502377179</v>
      </c>
      <c r="AA43" s="420">
        <f t="shared" si="92"/>
        <v>0.30427892234548337</v>
      </c>
      <c r="AB43" s="958">
        <f t="shared" si="92"/>
        <v>0.29793977812995248</v>
      </c>
      <c r="AC43" s="317">
        <f t="shared" si="92"/>
        <v>0.2900158478605388</v>
      </c>
      <c r="AD43" s="317">
        <f t="shared" si="92"/>
        <v>0.29793977812995248</v>
      </c>
      <c r="AE43" s="420">
        <f t="shared" si="92"/>
        <v>0.30586370839936611</v>
      </c>
      <c r="AF43" s="958">
        <f t="shared" si="92"/>
        <v>0.28526148969889065</v>
      </c>
      <c r="AG43" s="317">
        <f t="shared" si="92"/>
        <v>0.31378763866877973</v>
      </c>
      <c r="AH43" s="317">
        <f t="shared" si="92"/>
        <v>0.47702060221870046</v>
      </c>
      <c r="AI43" s="339">
        <f>AI40/$P$146</f>
        <v>0.55309033280507136</v>
      </c>
      <c r="AJ43" s="958">
        <f>AJ40/$P$146</f>
        <v>0.45800316957210774</v>
      </c>
      <c r="AK43" s="317">
        <f>AK40/$P$146</f>
        <v>0.43740095087163233</v>
      </c>
      <c r="AL43" s="317">
        <f t="shared" ref="AL43" si="93">AL40/$P$146</f>
        <v>0.50237717908082413</v>
      </c>
      <c r="AM43" s="317">
        <f t="shared" ref="AM43" si="94">AM40/$P$146</f>
        <v>0.60063391442155312</v>
      </c>
      <c r="AN43" s="958">
        <f>AN40/$P$146</f>
        <v>0.74643423137876386</v>
      </c>
      <c r="AO43" s="317">
        <f>AO40/$P$146</f>
        <v>0.81458003169572113</v>
      </c>
      <c r="AP43" s="317">
        <f t="shared" ref="AP43:AQ43" si="95">AP40/$P$146</f>
        <v>0.93819334389857367</v>
      </c>
      <c r="AQ43" s="317">
        <f t="shared" si="95"/>
        <v>0.90174326465927102</v>
      </c>
      <c r="AR43" s="958">
        <f>AR40/$P$146</f>
        <v>0.85736925515055462</v>
      </c>
      <c r="AS43" s="317">
        <f>AS40/$P$146</f>
        <v>0.93185419968304284</v>
      </c>
      <c r="AT43" s="317">
        <f>AT40/$P$146</f>
        <v>1.1299524564183836</v>
      </c>
      <c r="AU43" s="1807">
        <f>AU40/$P$146</f>
        <v>1.1806656101426307</v>
      </c>
      <c r="AV43" s="958" t="str">
        <f t="shared" ref="AV43:AY43" si="96">IF(ISERROR(AV40/AV$15),"",AV40/AV$15)</f>
        <v/>
      </c>
      <c r="AW43" s="420" t="str">
        <f t="shared" si="96"/>
        <v/>
      </c>
      <c r="AX43" s="420" t="str">
        <f t="shared" si="96"/>
        <v/>
      </c>
      <c r="AY43" s="424" t="str">
        <f t="shared" si="96"/>
        <v/>
      </c>
      <c r="AZ43" s="20"/>
      <c r="BA43" s="652"/>
      <c r="BB43" s="317"/>
      <c r="BC43" s="1109"/>
      <c r="BD43" s="256">
        <f t="shared" ref="BD43:BJ43" si="97">+BD40/BD$16</f>
        <v>0.20743034055727555</v>
      </c>
      <c r="BE43" s="256">
        <f t="shared" si="97"/>
        <v>0.21221258952129665</v>
      </c>
      <c r="BF43" s="255">
        <f t="shared" si="97"/>
        <v>0.23353494623655913</v>
      </c>
      <c r="BG43" s="652">
        <f t="shared" si="97"/>
        <v>0.21285026889329181</v>
      </c>
      <c r="BH43" s="317">
        <f t="shared" si="97"/>
        <v>0.24429657794676807</v>
      </c>
      <c r="BI43" s="652">
        <f t="shared" si="97"/>
        <v>0.26716101694915256</v>
      </c>
      <c r="BJ43" s="317">
        <f t="shared" si="97"/>
        <v>0.26539698243878307</v>
      </c>
      <c r="BK43" s="317">
        <f t="shared" ref="BK43:BL43" si="98">+BK40/BK$16</f>
        <v>0.29582618639222413</v>
      </c>
      <c r="BL43" s="317">
        <f t="shared" si="98"/>
        <v>0.30237267797926792</v>
      </c>
      <c r="BM43" s="317" t="str">
        <f t="shared" ref="BM43:BN43" si="99">IF(ISERROR(BM40/BM$15),"",BM40/BM$15)</f>
        <v/>
      </c>
      <c r="BN43" s="317" t="str">
        <f t="shared" si="99"/>
        <v/>
      </c>
      <c r="BO43" s="299"/>
    </row>
    <row r="44" spans="1:67" ht="14.25" customHeight="1">
      <c r="A44" s="1"/>
      <c r="B44" s="431" t="s">
        <v>343</v>
      </c>
      <c r="C44" s="254"/>
      <c r="D44" s="320"/>
      <c r="E44" s="320"/>
      <c r="F44" s="320"/>
      <c r="G44" s="93"/>
      <c r="H44" s="269"/>
      <c r="I44" s="269"/>
      <c r="J44" s="300"/>
      <c r="K44" s="301"/>
      <c r="L44" s="318"/>
      <c r="M44" s="318"/>
      <c r="N44" s="318"/>
      <c r="O44" s="339"/>
      <c r="P44" s="318">
        <f t="shared" ref="P44:AH44" si="100">IF(ISERROR(P40/P$526),"",P40/P$526)</f>
        <v>0.12442396313364056</v>
      </c>
      <c r="Q44" s="318">
        <f t="shared" si="100"/>
        <v>0.12421805183199285</v>
      </c>
      <c r="R44" s="318">
        <f t="shared" si="100"/>
        <v>0.11964285714285715</v>
      </c>
      <c r="S44" s="339">
        <f t="shared" si="100"/>
        <v>0.11873840445269017</v>
      </c>
      <c r="T44" s="318">
        <f t="shared" si="100"/>
        <v>0.12384473197781885</v>
      </c>
      <c r="U44" s="318">
        <f t="shared" si="100"/>
        <v>0.12667261373773417</v>
      </c>
      <c r="V44" s="404">
        <f t="shared" si="100"/>
        <v>0.14056603773584905</v>
      </c>
      <c r="W44" s="339">
        <f t="shared" si="100"/>
        <v>0.14822771213748656</v>
      </c>
      <c r="X44" s="318">
        <f t="shared" si="100"/>
        <v>0.1359918200408998</v>
      </c>
      <c r="Y44" s="318">
        <f t="shared" si="100"/>
        <v>0.16453382084095064</v>
      </c>
      <c r="Z44" s="318">
        <f t="shared" si="100"/>
        <v>0.1623931623931624</v>
      </c>
      <c r="AA44" s="420">
        <f t="shared" si="100"/>
        <v>0.17204301075268819</v>
      </c>
      <c r="AB44" s="958">
        <f t="shared" si="100"/>
        <v>0.17327188940092167</v>
      </c>
      <c r="AC44" s="317">
        <f t="shared" si="100"/>
        <v>0.15404040404040403</v>
      </c>
      <c r="AD44" s="317">
        <f t="shared" si="100"/>
        <v>0.15052041633306645</v>
      </c>
      <c r="AE44" s="420">
        <f t="shared" si="100"/>
        <v>0.14926527455529776</v>
      </c>
      <c r="AF44" s="958">
        <f t="shared" si="100"/>
        <v>0.14446227929373998</v>
      </c>
      <c r="AG44" s="317">
        <f t="shared" si="100"/>
        <v>0.14677538917716829</v>
      </c>
      <c r="AH44" s="317">
        <f t="shared" si="100"/>
        <v>0.19867986798679868</v>
      </c>
      <c r="AI44" s="339">
        <f>IF(ISERROR(AI40/AI$526),"",AI40/AI$526)</f>
        <v>0.22706571242680545</v>
      </c>
      <c r="AJ44" s="958">
        <f>IF(ISERROR(AJ40/AJ$526),"",AJ40/AJ$526)</f>
        <v>0.19700068166325835</v>
      </c>
      <c r="AK44" s="317">
        <f>IF(ISERROR(AK40/AK$526),"",AK40/AK$526)</f>
        <v>0.18326693227091634</v>
      </c>
      <c r="AL44" s="317">
        <f t="shared" ref="AL44" si="101">IF(ISERROR(AL40/AL$526),"",AL40/AL$526)</f>
        <v>0.20827858081471748</v>
      </c>
      <c r="AM44" s="317">
        <f t="shared" ref="AM44" si="102">IF(ISERROR(AM40/AM$526),"",AM40/AM$526)</f>
        <v>0.23599003735990037</v>
      </c>
      <c r="AN44" s="958">
        <f>IF(ISERROR(AN40/AN$526),"",AN40/AN$526)</f>
        <v>0.21178057553956833</v>
      </c>
      <c r="AO44" s="317">
        <f>IF(ISERROR(AO40/AO$526),"",AO40/AO$526)</f>
        <v>0.21733615221987315</v>
      </c>
      <c r="AP44" s="317">
        <f t="shared" ref="AP44:AQ44" si="103">IF(ISERROR(AP40/AP$526),"",AP40/AP$526)</f>
        <v>0.2397731875253139</v>
      </c>
      <c r="AQ44" s="317">
        <f t="shared" si="103"/>
        <v>0.2331967213114754</v>
      </c>
      <c r="AR44" s="958">
        <f>IF(ISERROR(AR40/AR$526),"",AR40/AR$526)</f>
        <v>0.24468566259611035</v>
      </c>
      <c r="AS44" s="317">
        <f>IF(ISERROR(AS40/AS$526),"",AS40/AS$526)</f>
        <v>0.2670299727520436</v>
      </c>
      <c r="AT44" s="317">
        <f>IF(ISERROR(AT40/AT$526),"",AT40/AT$526)</f>
        <v>0.29870129870129869</v>
      </c>
      <c r="AU44" s="1807">
        <f>IF(ISERROR(AU40/AU$526),"",AU40/AU$526)</f>
        <v>0.30333876221498374</v>
      </c>
      <c r="AV44" s="958">
        <f t="shared" ref="AV44:AY44" si="104">IF(ISERROR(AV40/AV$526),"",AV40/AV$526)</f>
        <v>0.26586779489031637</v>
      </c>
      <c r="AW44" s="420">
        <f t="shared" si="104"/>
        <v>0.27761814541111823</v>
      </c>
      <c r="AX44" s="420">
        <f t="shared" si="104"/>
        <v>0.30940079441691409</v>
      </c>
      <c r="AY44" s="424">
        <f t="shared" si="104"/>
        <v>0.30476730921083167</v>
      </c>
      <c r="AZ44" s="20"/>
      <c r="BA44" s="652"/>
      <c r="BB44" s="317"/>
      <c r="BC44" s="256">
        <f t="shared" ref="BC44:BJ44" si="105">IF(ISERROR(BC40/BC$526),"",BC40/BC$526)</f>
        <v>0</v>
      </c>
      <c r="BD44" s="256">
        <f t="shared" si="105"/>
        <v>0.12176283507496592</v>
      </c>
      <c r="BE44" s="256">
        <f t="shared" si="105"/>
        <v>0.13423938960419646</v>
      </c>
      <c r="BF44" s="255">
        <f t="shared" si="105"/>
        <v>0.15947682423129875</v>
      </c>
      <c r="BG44" s="1515">
        <f t="shared" si="105"/>
        <v>0.1561786085150571</v>
      </c>
      <c r="BH44" s="1516">
        <f t="shared" si="105"/>
        <v>0.18204356295378077</v>
      </c>
      <c r="BI44" s="1614">
        <f t="shared" si="105"/>
        <v>0.2066874282904442</v>
      </c>
      <c r="BJ44" s="1715">
        <f t="shared" si="105"/>
        <v>0.22594230364287218</v>
      </c>
      <c r="BK44" s="1715">
        <f t="shared" ref="BK44:BM44" si="106">IF(ISERROR(BK40/BK$526),"",BK40/BK$526)</f>
        <v>0.2794943820224719</v>
      </c>
      <c r="BL44" s="1715">
        <f t="shared" si="106"/>
        <v>0.2899045508600665</v>
      </c>
      <c r="BM44" s="1715">
        <f t="shared" si="106"/>
        <v>0.30094853374997382</v>
      </c>
      <c r="BN44" s="1715">
        <f t="shared" ref="BN44" si="107">IF(ISERROR(BN40/BN$526),"",BN40/BN$526)</f>
        <v>0.30954706328568732</v>
      </c>
      <c r="BO44" s="299"/>
    </row>
    <row r="45" spans="1:67" ht="14.25" customHeight="1">
      <c r="A45" s="1"/>
      <c r="B45" s="436"/>
      <c r="C45" s="254"/>
      <c r="D45" s="320"/>
      <c r="E45" s="320"/>
      <c r="F45" s="320"/>
      <c r="G45" s="93"/>
      <c r="H45" s="269"/>
      <c r="I45" s="269"/>
      <c r="J45" s="300"/>
      <c r="K45" s="301"/>
      <c r="L45" s="337"/>
      <c r="M45" s="337"/>
      <c r="N45" s="337"/>
      <c r="O45" s="338"/>
      <c r="P45" s="337"/>
      <c r="Q45" s="337"/>
      <c r="R45" s="337"/>
      <c r="S45" s="338"/>
      <c r="T45" s="337"/>
      <c r="U45" s="337"/>
      <c r="V45" s="405"/>
      <c r="W45" s="338"/>
      <c r="X45" s="337"/>
      <c r="Y45" s="337"/>
      <c r="Z45" s="300"/>
      <c r="AA45" s="256"/>
      <c r="AB45" s="255"/>
      <c r="AC45" s="256"/>
      <c r="AD45" s="256"/>
      <c r="AE45" s="256"/>
      <c r="AF45" s="255"/>
      <c r="AG45" s="256"/>
      <c r="AH45" s="256"/>
      <c r="AI45" s="301"/>
      <c r="AJ45" s="255"/>
      <c r="AK45" s="256"/>
      <c r="AL45" s="256"/>
      <c r="AM45" s="1575"/>
      <c r="AN45" s="1614"/>
      <c r="AO45" s="1715"/>
      <c r="AP45" s="1715"/>
      <c r="AQ45" s="1715"/>
      <c r="AR45" s="1515"/>
      <c r="AS45" s="1516"/>
      <c r="AT45" s="1715"/>
      <c r="AU45" s="1517"/>
      <c r="AV45" s="1515"/>
      <c r="AW45" s="1516"/>
      <c r="AX45" s="1516"/>
      <c r="AY45" s="1517"/>
      <c r="AZ45" s="20"/>
      <c r="BA45" s="652"/>
      <c r="BB45" s="317"/>
      <c r="BC45" s="256"/>
      <c r="BD45" s="256"/>
      <c r="BE45" s="256"/>
      <c r="BF45" s="1102"/>
      <c r="BG45" s="1515"/>
      <c r="BH45" s="1516"/>
      <c r="BI45" s="1614"/>
      <c r="BJ45" s="1715"/>
      <c r="BK45" s="1715"/>
      <c r="BL45" s="1715"/>
      <c r="BM45" s="1715"/>
      <c r="BN45" s="1715"/>
      <c r="BO45" s="299"/>
    </row>
    <row r="46" spans="1:67" ht="14.25" customHeight="1">
      <c r="A46" s="1"/>
      <c r="B46" s="1344" t="s">
        <v>533</v>
      </c>
      <c r="C46" s="719"/>
      <c r="D46" s="717"/>
      <c r="E46" s="717"/>
      <c r="F46" s="717"/>
      <c r="G46" s="718"/>
      <c r="H46" s="717"/>
      <c r="I46" s="717"/>
      <c r="J46" s="717"/>
      <c r="K46" s="718"/>
      <c r="L46" s="717"/>
      <c r="M46" s="717"/>
      <c r="N46" s="717"/>
      <c r="O46" s="718"/>
      <c r="P46" s="1082"/>
      <c r="Q46" s="1082"/>
      <c r="R46" s="1082"/>
      <c r="S46" s="1083"/>
      <c r="T46" s="1082"/>
      <c r="U46" s="1082"/>
      <c r="V46" s="1082"/>
      <c r="W46" s="1083"/>
      <c r="X46" s="1082"/>
      <c r="Y46" s="1082"/>
      <c r="Z46" s="1082"/>
      <c r="AA46" s="1082"/>
      <c r="AB46" s="1140"/>
      <c r="AC46" s="1082"/>
      <c r="AD46" s="1082"/>
      <c r="AE46" s="1082"/>
      <c r="AF46" s="1140"/>
      <c r="AG46" s="1082"/>
      <c r="AH46" s="1082"/>
      <c r="AI46" s="1083"/>
      <c r="AJ46" s="1140"/>
      <c r="AK46" s="1082"/>
      <c r="AL46" s="1082"/>
      <c r="AM46" s="1082"/>
      <c r="AN46" s="1140"/>
      <c r="AO46" s="1082"/>
      <c r="AP46" s="1082"/>
      <c r="AQ46" s="1082"/>
      <c r="AR46" s="1140"/>
      <c r="AS46" s="1082"/>
      <c r="AT46" s="1082"/>
      <c r="AU46" s="1083"/>
      <c r="AV46" s="1140"/>
      <c r="AW46" s="1082"/>
      <c r="AX46" s="1082"/>
      <c r="AY46" s="1083"/>
      <c r="AZ46" s="20"/>
      <c r="BA46" s="1123"/>
      <c r="BB46" s="1107"/>
      <c r="BC46" s="1108"/>
      <c r="BD46" s="1108"/>
      <c r="BE46" s="1108"/>
      <c r="BF46" s="1211"/>
      <c r="BG46" s="1211"/>
      <c r="BH46" s="1108"/>
      <c r="BI46" s="1664"/>
      <c r="BJ46" s="1659"/>
      <c r="BK46" s="1659"/>
      <c r="BL46" s="1659"/>
      <c r="BM46" s="1659"/>
      <c r="BN46" s="1659"/>
      <c r="BO46" s="299"/>
    </row>
    <row r="47" spans="1:67" s="316" customFormat="1" ht="14.25" customHeight="1">
      <c r="A47" s="5"/>
      <c r="B47" s="434"/>
      <c r="C47" s="34"/>
      <c r="D47" s="320"/>
      <c r="E47" s="320"/>
      <c r="F47" s="320"/>
      <c r="G47" s="93"/>
      <c r="H47" s="269"/>
      <c r="I47" s="269"/>
      <c r="J47" s="269"/>
      <c r="K47" s="91"/>
      <c r="L47" s="90"/>
      <c r="M47" s="269"/>
      <c r="N47" s="269"/>
      <c r="O47" s="91"/>
      <c r="P47" s="269"/>
      <c r="Q47" s="269"/>
      <c r="R47" s="269"/>
      <c r="S47" s="91"/>
      <c r="T47" s="269"/>
      <c r="U47" s="269"/>
      <c r="V47" s="269"/>
      <c r="W47" s="91"/>
      <c r="X47" s="269"/>
      <c r="Y47" s="269"/>
      <c r="Z47" s="416"/>
      <c r="AA47" s="418"/>
      <c r="AB47" s="1125"/>
      <c r="AC47" s="418"/>
      <c r="AD47" s="418"/>
      <c r="AE47" s="418"/>
      <c r="AF47" s="1125" t="s">
        <v>156</v>
      </c>
      <c r="AG47" s="418"/>
      <c r="AH47" s="418"/>
      <c r="AI47" s="417"/>
      <c r="AJ47" s="1125" t="s">
        <v>156</v>
      </c>
      <c r="AK47" s="418"/>
      <c r="AL47" s="418"/>
      <c r="AM47" s="1583"/>
      <c r="AN47" s="1665" t="s">
        <v>156</v>
      </c>
      <c r="AO47" s="1630"/>
      <c r="AP47" s="1630"/>
      <c r="AQ47" s="1630"/>
      <c r="AR47" s="1125"/>
      <c r="AS47" s="418"/>
      <c r="AT47" s="1630"/>
      <c r="AU47" s="417"/>
      <c r="AV47" s="1125"/>
      <c r="AW47" s="418"/>
      <c r="AX47" s="418"/>
      <c r="AY47" s="417"/>
      <c r="AZ47" s="177"/>
      <c r="BA47" s="958"/>
      <c r="BB47" s="420"/>
      <c r="BC47" s="90"/>
      <c r="BD47" s="90"/>
      <c r="BE47" s="90"/>
      <c r="BF47" s="159"/>
      <c r="BG47" s="159"/>
      <c r="BH47" s="1506"/>
      <c r="BI47" s="1607"/>
      <c r="BJ47" s="1603"/>
      <c r="BK47" s="1603"/>
      <c r="BL47" s="1806"/>
      <c r="BM47" s="1806"/>
      <c r="BN47" s="1806"/>
      <c r="BO47" s="419"/>
    </row>
    <row r="48" spans="1:67" s="363" customFormat="1" ht="14.25" customHeight="1">
      <c r="B48" s="436" t="s">
        <v>161</v>
      </c>
      <c r="C48" s="382"/>
      <c r="D48" s="365"/>
      <c r="E48" s="365"/>
      <c r="F48" s="365"/>
      <c r="G48" s="366"/>
      <c r="H48" s="367"/>
      <c r="I48" s="367"/>
      <c r="J48" s="368"/>
      <c r="K48" s="369"/>
      <c r="L48" s="370"/>
      <c r="M48" s="370"/>
      <c r="N48" s="370"/>
      <c r="O48" s="371"/>
      <c r="P48" s="370">
        <v>155</v>
      </c>
      <c r="Q48" s="370">
        <v>165</v>
      </c>
      <c r="R48" s="370">
        <v>163</v>
      </c>
      <c r="S48" s="371">
        <v>149</v>
      </c>
      <c r="T48" s="370">
        <v>141</v>
      </c>
      <c r="U48" s="370">
        <v>158</v>
      </c>
      <c r="V48" s="403">
        <v>167</v>
      </c>
      <c r="W48" s="371">
        <v>131</v>
      </c>
      <c r="X48" s="370">
        <v>138</v>
      </c>
      <c r="Y48" s="370">
        <v>156</v>
      </c>
      <c r="Z48" s="346">
        <v>188</v>
      </c>
      <c r="AA48" s="1233">
        <v>175</v>
      </c>
      <c r="AB48" s="1250">
        <v>153</v>
      </c>
      <c r="AC48" s="1233">
        <v>181</v>
      </c>
      <c r="AD48" s="1233">
        <v>213</v>
      </c>
      <c r="AE48" s="1233">
        <v>218</v>
      </c>
      <c r="AF48" s="1250">
        <v>202</v>
      </c>
      <c r="AG48" s="1233">
        <v>235</v>
      </c>
      <c r="AH48" s="1233">
        <v>298</v>
      </c>
      <c r="AI48" s="371">
        <v>305</v>
      </c>
      <c r="AJ48" s="1250">
        <v>291</v>
      </c>
      <c r="AK48" s="1233">
        <v>303</v>
      </c>
      <c r="AL48" s="1233">
        <v>270</v>
      </c>
      <c r="AM48" s="1233">
        <v>280</v>
      </c>
      <c r="AN48" s="1250">
        <v>423</v>
      </c>
      <c r="AO48" s="1233">
        <v>442</v>
      </c>
      <c r="AP48" s="1233">
        <v>476</v>
      </c>
      <c r="AQ48" s="1837">
        <v>483</v>
      </c>
      <c r="AR48" s="1250">
        <v>450</v>
      </c>
      <c r="AS48" s="1233">
        <v>438</v>
      </c>
      <c r="AT48" s="1233">
        <v>488</v>
      </c>
      <c r="AU48" s="1934">
        <v>497</v>
      </c>
      <c r="AV48" s="923">
        <f t="shared" ref="AV48" si="108">+AU48*(1+AV49)</f>
        <v>472.15</v>
      </c>
      <c r="AW48" s="348">
        <f t="shared" ref="AW48" si="109">+AV48*(1+AW49)</f>
        <v>472.15</v>
      </c>
      <c r="AX48" s="348">
        <f t="shared" ref="AX48" si="110">+AW48*(1+AX49)</f>
        <v>481.59299999999996</v>
      </c>
      <c r="AY48" s="349">
        <f t="shared" ref="AY48" si="111">+AX48*(1+AY49)</f>
        <v>476.77706999999998</v>
      </c>
      <c r="AZ48" s="1901"/>
      <c r="BA48" s="1124"/>
      <c r="BB48" s="372"/>
      <c r="BC48" s="340">
        <f>SUM(L48:O48)</f>
        <v>0</v>
      </c>
      <c r="BD48" s="340">
        <f>SUM(P48:S48)</f>
        <v>632</v>
      </c>
      <c r="BE48" s="340">
        <f>SUM(T48:W48)</f>
        <v>597</v>
      </c>
      <c r="BF48" s="361">
        <f>SUM(X48:AA48)</f>
        <v>657</v>
      </c>
      <c r="BG48" s="361">
        <f>SUM(AB48:AE48)</f>
        <v>765</v>
      </c>
      <c r="BH48" s="340">
        <f>SUM(AF48:AI48)</f>
        <v>1040</v>
      </c>
      <c r="BI48" s="361">
        <f>SUM(AJ48:AM48)</f>
        <v>1144</v>
      </c>
      <c r="BJ48" s="340">
        <f>SUM(AN48:AQ48)</f>
        <v>1824</v>
      </c>
      <c r="BK48" s="340">
        <f>SUM(AR48:AU48)</f>
        <v>1873</v>
      </c>
      <c r="BL48" s="340">
        <f>SUM(AV48:AY48)</f>
        <v>1902.6700700000001</v>
      </c>
      <c r="BM48" s="340">
        <f>+BL48*(1+BM50)</f>
        <v>1921.6967707000001</v>
      </c>
      <c r="BN48" s="340">
        <f>+BM48*(1+BN50)</f>
        <v>1940.9137384070002</v>
      </c>
      <c r="BO48" s="1392">
        <f>(BM48/BK48)^(1/2)-1</f>
        <v>1.2916256989318642E-2</v>
      </c>
    </row>
    <row r="49" spans="1:67" ht="14.25" customHeight="1">
      <c r="A49" s="1"/>
      <c r="B49" s="431" t="s">
        <v>228</v>
      </c>
      <c r="C49" s="254"/>
      <c r="D49" s="320"/>
      <c r="E49" s="320"/>
      <c r="F49" s="320"/>
      <c r="G49" s="93"/>
      <c r="H49" s="269"/>
      <c r="I49" s="269"/>
      <c r="J49" s="300"/>
      <c r="K49" s="301"/>
      <c r="L49" s="337"/>
      <c r="M49" s="318"/>
      <c r="N49" s="318"/>
      <c r="O49" s="339"/>
      <c r="P49" s="318"/>
      <c r="Q49" s="318">
        <f t="shared" ref="Q49:AU49" si="112">Q48/P48-1</f>
        <v>6.4516129032258007E-2</v>
      </c>
      <c r="R49" s="318">
        <f t="shared" si="112"/>
        <v>-1.2121212121212088E-2</v>
      </c>
      <c r="S49" s="339">
        <f t="shared" si="112"/>
        <v>-8.5889570552147187E-2</v>
      </c>
      <c r="T49" s="318">
        <f t="shared" si="112"/>
        <v>-5.3691275167785268E-2</v>
      </c>
      <c r="U49" s="318">
        <f t="shared" si="112"/>
        <v>0.12056737588652489</v>
      </c>
      <c r="V49" s="404">
        <f t="shared" si="112"/>
        <v>5.6962025316455778E-2</v>
      </c>
      <c r="W49" s="339">
        <f t="shared" si="112"/>
        <v>-0.21556886227544914</v>
      </c>
      <c r="X49" s="318">
        <f t="shared" si="112"/>
        <v>5.3435114503816772E-2</v>
      </c>
      <c r="Y49" s="318">
        <f t="shared" si="112"/>
        <v>0.13043478260869557</v>
      </c>
      <c r="Z49" s="318">
        <f t="shared" si="112"/>
        <v>0.20512820512820507</v>
      </c>
      <c r="AA49" s="317">
        <f t="shared" si="112"/>
        <v>-6.9148936170212782E-2</v>
      </c>
      <c r="AB49" s="958">
        <f t="shared" si="112"/>
        <v>-0.12571428571428567</v>
      </c>
      <c r="AC49" s="317">
        <f t="shared" si="112"/>
        <v>0.18300653594771243</v>
      </c>
      <c r="AD49" s="317">
        <f t="shared" si="112"/>
        <v>0.17679558011049723</v>
      </c>
      <c r="AE49" s="317">
        <f t="shared" si="112"/>
        <v>2.3474178403755763E-2</v>
      </c>
      <c r="AF49" s="958">
        <f t="shared" si="112"/>
        <v>-7.3394495412844041E-2</v>
      </c>
      <c r="AG49" s="317">
        <f t="shared" si="112"/>
        <v>0.16336633663366329</v>
      </c>
      <c r="AH49" s="317">
        <f t="shared" si="112"/>
        <v>0.26808510638297878</v>
      </c>
      <c r="AI49" s="339">
        <f t="shared" si="112"/>
        <v>2.3489932885905951E-2</v>
      </c>
      <c r="AJ49" s="958">
        <f t="shared" si="112"/>
        <v>-4.5901639344262279E-2</v>
      </c>
      <c r="AK49" s="317">
        <f t="shared" si="112"/>
        <v>4.1237113402061931E-2</v>
      </c>
      <c r="AL49" s="317">
        <f t="shared" si="112"/>
        <v>-0.1089108910891089</v>
      </c>
      <c r="AM49" s="317">
        <f t="shared" si="112"/>
        <v>3.7037037037036979E-2</v>
      </c>
      <c r="AN49" s="958">
        <f t="shared" si="112"/>
        <v>0.51071428571428568</v>
      </c>
      <c r="AO49" s="317">
        <f t="shared" si="112"/>
        <v>4.4917257683215084E-2</v>
      </c>
      <c r="AP49" s="317">
        <f t="shared" si="112"/>
        <v>7.6923076923076872E-2</v>
      </c>
      <c r="AQ49" s="317">
        <f t="shared" si="112"/>
        <v>1.4705882352941124E-2</v>
      </c>
      <c r="AR49" s="958">
        <f t="shared" si="112"/>
        <v>-6.8322981366459645E-2</v>
      </c>
      <c r="AS49" s="317">
        <f t="shared" si="112"/>
        <v>-2.6666666666666616E-2</v>
      </c>
      <c r="AT49" s="317">
        <f t="shared" si="112"/>
        <v>0.11415525114155245</v>
      </c>
      <c r="AU49" s="1807">
        <f t="shared" si="112"/>
        <v>1.8442622950819665E-2</v>
      </c>
      <c r="AV49" s="1141">
        <v>-0.05</v>
      </c>
      <c r="AW49" s="1142">
        <v>0</v>
      </c>
      <c r="AX49" s="1142">
        <v>0.02</v>
      </c>
      <c r="AY49" s="423">
        <v>-0.01</v>
      </c>
      <c r="AZ49" s="20"/>
      <c r="BA49" s="652"/>
      <c r="BB49" s="317"/>
      <c r="BC49" s="256"/>
      <c r="BD49" s="256"/>
      <c r="BE49" s="256"/>
      <c r="BF49" s="255"/>
      <c r="BG49" s="1515"/>
      <c r="BH49" s="1516"/>
      <c r="BI49" s="1614"/>
      <c r="BJ49" s="1715"/>
      <c r="BK49" s="1715"/>
      <c r="BL49" s="1715"/>
      <c r="BM49" s="1715"/>
      <c r="BN49" s="1715"/>
      <c r="BO49" s="299"/>
    </row>
    <row r="50" spans="1:67" ht="14.25" customHeight="1">
      <c r="A50" s="1"/>
      <c r="B50" s="435" t="s">
        <v>229</v>
      </c>
      <c r="C50" s="254"/>
      <c r="D50" s="320"/>
      <c r="E50" s="320"/>
      <c r="F50" s="320"/>
      <c r="G50" s="93"/>
      <c r="H50" s="269"/>
      <c r="I50" s="269"/>
      <c r="J50" s="300"/>
      <c r="K50" s="301"/>
      <c r="L50" s="318"/>
      <c r="M50" s="318"/>
      <c r="N50" s="318"/>
      <c r="O50" s="339"/>
      <c r="P50" s="318" t="str">
        <f t="shared" ref="P50:AU50" si="113">IF(ISERROR(P48/L48-1),"",P48/L48-1)</f>
        <v/>
      </c>
      <c r="Q50" s="318" t="str">
        <f t="shared" si="113"/>
        <v/>
      </c>
      <c r="R50" s="318" t="str">
        <f t="shared" si="113"/>
        <v/>
      </c>
      <c r="S50" s="339" t="str">
        <f t="shared" si="113"/>
        <v/>
      </c>
      <c r="T50" s="318">
        <f t="shared" si="113"/>
        <v>-9.0322580645161299E-2</v>
      </c>
      <c r="U50" s="318">
        <f t="shared" si="113"/>
        <v>-4.2424242424242475E-2</v>
      </c>
      <c r="V50" s="404">
        <f t="shared" si="113"/>
        <v>2.4539877300613577E-2</v>
      </c>
      <c r="W50" s="339">
        <f t="shared" si="113"/>
        <v>-0.12080536912751683</v>
      </c>
      <c r="X50" s="318">
        <f t="shared" si="113"/>
        <v>-2.1276595744680882E-2</v>
      </c>
      <c r="Y50" s="318">
        <f t="shared" si="113"/>
        <v>-1.2658227848101222E-2</v>
      </c>
      <c r="Z50" s="318">
        <f t="shared" si="113"/>
        <v>0.12574850299401197</v>
      </c>
      <c r="AA50" s="420">
        <f t="shared" si="113"/>
        <v>0.33587786259541974</v>
      </c>
      <c r="AB50" s="958">
        <f t="shared" si="113"/>
        <v>0.10869565217391308</v>
      </c>
      <c r="AC50" s="317">
        <f t="shared" si="113"/>
        <v>0.16025641025641035</v>
      </c>
      <c r="AD50" s="317">
        <f t="shared" si="113"/>
        <v>0.13297872340425543</v>
      </c>
      <c r="AE50" s="420">
        <f t="shared" si="113"/>
        <v>0.24571428571428577</v>
      </c>
      <c r="AF50" s="958">
        <f t="shared" si="113"/>
        <v>0.3202614379084967</v>
      </c>
      <c r="AG50" s="317">
        <f t="shared" si="113"/>
        <v>0.29834254143646399</v>
      </c>
      <c r="AH50" s="317">
        <f t="shared" si="113"/>
        <v>0.39906103286384975</v>
      </c>
      <c r="AI50" s="339">
        <f t="shared" si="113"/>
        <v>0.39908256880733939</v>
      </c>
      <c r="AJ50" s="958">
        <f t="shared" si="113"/>
        <v>0.44059405940594054</v>
      </c>
      <c r="AK50" s="317">
        <f t="shared" si="113"/>
        <v>0.28936170212765955</v>
      </c>
      <c r="AL50" s="317">
        <f t="shared" si="113"/>
        <v>-9.3959731543624136E-2</v>
      </c>
      <c r="AM50" s="317">
        <f t="shared" si="113"/>
        <v>-8.1967213114754078E-2</v>
      </c>
      <c r="AN50" s="958">
        <f t="shared" si="113"/>
        <v>0.45360824742268036</v>
      </c>
      <c r="AO50" s="317">
        <f t="shared" si="113"/>
        <v>0.45874587458745864</v>
      </c>
      <c r="AP50" s="317">
        <f t="shared" si="113"/>
        <v>0.76296296296296306</v>
      </c>
      <c r="AQ50" s="317">
        <f t="shared" si="113"/>
        <v>0.72500000000000009</v>
      </c>
      <c r="AR50" s="958">
        <f t="shared" si="113"/>
        <v>6.3829787234042534E-2</v>
      </c>
      <c r="AS50" s="317">
        <f t="shared" si="113"/>
        <v>-9.0497737556560764E-3</v>
      </c>
      <c r="AT50" s="317">
        <f t="shared" si="113"/>
        <v>2.5210084033613356E-2</v>
      </c>
      <c r="AU50" s="1807">
        <f t="shared" si="113"/>
        <v>2.8985507246376718E-2</v>
      </c>
      <c r="AV50" s="958">
        <f t="shared" ref="AV50" si="114">IF(ISERROR(AV48/AR48-1),"",AV48/AR48-1)</f>
        <v>4.9222222222222278E-2</v>
      </c>
      <c r="AW50" s="420">
        <f t="shared" ref="AW50" si="115">IF(ISERROR(AW48/AS48-1),"",AW48/AS48-1)</f>
        <v>7.7968036529680207E-2</v>
      </c>
      <c r="AX50" s="420">
        <f t="shared" ref="AX50" si="116">IF(ISERROR(AX48/AT48-1),"",AX48/AT48-1)</f>
        <v>-1.3129098360655789E-2</v>
      </c>
      <c r="AY50" s="424">
        <f t="shared" ref="AY50" si="117">IF(ISERROR(AY48/AU48-1),"",AY48/AU48-1)</f>
        <v>-4.0690000000000004E-2</v>
      </c>
      <c r="AZ50" s="20"/>
      <c r="BA50" s="652"/>
      <c r="BB50" s="317"/>
      <c r="BC50" s="256"/>
      <c r="BD50" s="256"/>
      <c r="BE50" s="256">
        <f t="shared" ref="BE50:BL50" si="118">BE48/BD48-1</f>
        <v>-5.5379746835443E-2</v>
      </c>
      <c r="BF50" s="255">
        <f t="shared" si="118"/>
        <v>0.10050251256281406</v>
      </c>
      <c r="BG50" s="1515">
        <f t="shared" si="118"/>
        <v>0.16438356164383561</v>
      </c>
      <c r="BH50" s="1337">
        <f t="shared" si="118"/>
        <v>0.35947712418300659</v>
      </c>
      <c r="BI50" s="1614">
        <f t="shared" si="118"/>
        <v>0.10000000000000009</v>
      </c>
      <c r="BJ50" s="1715">
        <f t="shared" si="118"/>
        <v>0.59440559440559437</v>
      </c>
      <c r="BK50" s="1715">
        <f t="shared" si="118"/>
        <v>2.6864035087719396E-2</v>
      </c>
      <c r="BL50" s="1715">
        <f t="shared" si="118"/>
        <v>1.5840934329951928E-2</v>
      </c>
      <c r="BM50" s="1715">
        <v>0.01</v>
      </c>
      <c r="BN50" s="1715">
        <v>0.01</v>
      </c>
      <c r="BO50" s="299"/>
    </row>
    <row r="51" spans="1:67" ht="14.25" customHeight="1">
      <c r="A51" s="1"/>
      <c r="B51" s="431" t="s">
        <v>342</v>
      </c>
      <c r="C51" s="254"/>
      <c r="D51" s="320"/>
      <c r="E51" s="320"/>
      <c r="F51" s="320"/>
      <c r="G51" s="93"/>
      <c r="H51" s="269"/>
      <c r="I51" s="269"/>
      <c r="J51" s="300"/>
      <c r="K51" s="301"/>
      <c r="L51" s="318"/>
      <c r="M51" s="318"/>
      <c r="N51" s="318"/>
      <c r="O51" s="339"/>
      <c r="P51" s="318">
        <f t="shared" ref="P51:AH51" si="119">P48/$P$146</f>
        <v>0.24564183835182252</v>
      </c>
      <c r="Q51" s="318">
        <f t="shared" si="119"/>
        <v>0.26148969889064977</v>
      </c>
      <c r="R51" s="318">
        <f t="shared" si="119"/>
        <v>0.2583201267828843</v>
      </c>
      <c r="S51" s="339">
        <f t="shared" si="119"/>
        <v>0.23613312202852615</v>
      </c>
      <c r="T51" s="318">
        <f t="shared" si="119"/>
        <v>0.22345483359746435</v>
      </c>
      <c r="U51" s="318">
        <f t="shared" si="119"/>
        <v>0.25039619651347067</v>
      </c>
      <c r="V51" s="404">
        <f t="shared" si="119"/>
        <v>0.26465927099841524</v>
      </c>
      <c r="W51" s="339">
        <f t="shared" si="119"/>
        <v>0.2076069730586371</v>
      </c>
      <c r="X51" s="318">
        <f t="shared" si="119"/>
        <v>0.21870047543581617</v>
      </c>
      <c r="Y51" s="318">
        <f t="shared" si="119"/>
        <v>0.24722662440570523</v>
      </c>
      <c r="Z51" s="318">
        <f t="shared" si="119"/>
        <v>0.29793977812995248</v>
      </c>
      <c r="AA51" s="420">
        <f t="shared" si="119"/>
        <v>0.27733755942947702</v>
      </c>
      <c r="AB51" s="958">
        <f t="shared" si="119"/>
        <v>0.24247226624405704</v>
      </c>
      <c r="AC51" s="317">
        <f t="shared" si="119"/>
        <v>0.28684627575277338</v>
      </c>
      <c r="AD51" s="317">
        <f t="shared" si="119"/>
        <v>0.33755942947702061</v>
      </c>
      <c r="AE51" s="420">
        <f t="shared" si="119"/>
        <v>0.34548335974643424</v>
      </c>
      <c r="AF51" s="958">
        <f t="shared" si="119"/>
        <v>0.32012678288431062</v>
      </c>
      <c r="AG51" s="317">
        <f t="shared" si="119"/>
        <v>0.37242472266244059</v>
      </c>
      <c r="AH51" s="317">
        <f t="shared" si="119"/>
        <v>0.47226624405705231</v>
      </c>
      <c r="AI51" s="339">
        <f>AI48/$P$146</f>
        <v>0.48335974643423135</v>
      </c>
      <c r="AJ51" s="958">
        <f>AJ48/$P$146</f>
        <v>0.46117274167987321</v>
      </c>
      <c r="AK51" s="317">
        <f>AK48/$P$146</f>
        <v>0.48019017432646594</v>
      </c>
      <c r="AL51" s="317">
        <f t="shared" ref="AL51" si="120">AL48/$P$146</f>
        <v>0.42789223454833597</v>
      </c>
      <c r="AM51" s="317">
        <f t="shared" ref="AM51" si="121">AM48/$P$146</f>
        <v>0.44374009508716322</v>
      </c>
      <c r="AN51" s="958">
        <f>AN48/$P$146</f>
        <v>0.67036450079239307</v>
      </c>
      <c r="AO51" s="317">
        <f>AO48/$P$146</f>
        <v>0.70047543581616478</v>
      </c>
      <c r="AP51" s="317">
        <f t="shared" ref="AP51:AQ51" si="122">AP48/$P$146</f>
        <v>0.75435816164817748</v>
      </c>
      <c r="AQ51" s="317">
        <f t="shared" si="122"/>
        <v>0.76545166402535658</v>
      </c>
      <c r="AR51" s="958">
        <f>AR48/$P$146</f>
        <v>0.71315372424722667</v>
      </c>
      <c r="AS51" s="317">
        <f>AS48/$P$146</f>
        <v>0.69413629160063395</v>
      </c>
      <c r="AT51" s="317">
        <f>AT48/$P$146</f>
        <v>0.77337559429477021</v>
      </c>
      <c r="AU51" s="1807">
        <f>AU48/$P$146</f>
        <v>0.78763866877971478</v>
      </c>
      <c r="AV51" s="958" t="str">
        <f t="shared" ref="AV51:AY51" si="123">IF(ISERROR(AV48/AV$15),"",AV48/AV$15)</f>
        <v/>
      </c>
      <c r="AW51" s="420" t="str">
        <f t="shared" si="123"/>
        <v/>
      </c>
      <c r="AX51" s="420" t="str">
        <f t="shared" si="123"/>
        <v/>
      </c>
      <c r="AY51" s="424" t="str">
        <f t="shared" si="123"/>
        <v/>
      </c>
      <c r="AZ51" s="20"/>
      <c r="BA51" s="652"/>
      <c r="BB51" s="317"/>
      <c r="BC51" s="1109"/>
      <c r="BD51" s="256">
        <f t="shared" ref="BD51:BJ51" si="124">+BD48/BD$16</f>
        <v>0.24458204334365324</v>
      </c>
      <c r="BE51" s="256">
        <f t="shared" si="124"/>
        <v>0.22502826988315114</v>
      </c>
      <c r="BF51" s="255">
        <f t="shared" si="124"/>
        <v>0.22076612903225806</v>
      </c>
      <c r="BG51" s="652">
        <f t="shared" si="124"/>
        <v>0.21652986130767055</v>
      </c>
      <c r="BH51" s="317">
        <f t="shared" si="124"/>
        <v>0.24714828897338403</v>
      </c>
      <c r="BI51" s="1614">
        <f t="shared" si="124"/>
        <v>0.24237288135593221</v>
      </c>
      <c r="BJ51" s="1715">
        <f t="shared" si="124"/>
        <v>0.22557506801879793</v>
      </c>
      <c r="BK51" s="1715">
        <f t="shared" ref="BK51:BL51" si="125">+BK48/BK$16</f>
        <v>0.21417953116066324</v>
      </c>
      <c r="BL51" s="1715">
        <f t="shared" si="125"/>
        <v>0.20457364525911351</v>
      </c>
      <c r="BM51" s="1715" t="str">
        <f t="shared" ref="BM51:BN51" si="126">IF(ISERROR(BM48/BM$15),"",BM48/BM$15)</f>
        <v/>
      </c>
      <c r="BN51" s="1715" t="str">
        <f t="shared" si="126"/>
        <v/>
      </c>
      <c r="BO51" s="299"/>
    </row>
    <row r="52" spans="1:67" ht="14.25" customHeight="1">
      <c r="A52" s="1"/>
      <c r="B52" s="431" t="s">
        <v>343</v>
      </c>
      <c r="C52" s="254"/>
      <c r="D52" s="320"/>
      <c r="E52" s="320"/>
      <c r="F52" s="320"/>
      <c r="G52" s="93"/>
      <c r="H52" s="269"/>
      <c r="I52" s="269"/>
      <c r="J52" s="300"/>
      <c r="K52" s="301"/>
      <c r="L52" s="318"/>
      <c r="M52" s="318"/>
      <c r="N52" s="318"/>
      <c r="O52" s="339"/>
      <c r="P52" s="318">
        <f t="shared" ref="P52:AH52" si="127">IF(ISERROR(P48/P$526),"",P48/P$526)</f>
        <v>0.14285714285714285</v>
      </c>
      <c r="Q52" s="318">
        <f t="shared" si="127"/>
        <v>0.14745308310991956</v>
      </c>
      <c r="R52" s="318">
        <f t="shared" si="127"/>
        <v>0.1455357142857143</v>
      </c>
      <c r="S52" s="339">
        <f t="shared" si="127"/>
        <v>0.13821892393320964</v>
      </c>
      <c r="T52" s="318">
        <f t="shared" si="127"/>
        <v>0.13031423290203328</v>
      </c>
      <c r="U52" s="318">
        <f t="shared" si="127"/>
        <v>0.14094558429973239</v>
      </c>
      <c r="V52" s="404">
        <f t="shared" si="127"/>
        <v>0.15754716981132075</v>
      </c>
      <c r="W52" s="339">
        <f t="shared" si="127"/>
        <v>0.14070891514500536</v>
      </c>
      <c r="X52" s="318">
        <f t="shared" si="127"/>
        <v>0.1411042944785276</v>
      </c>
      <c r="Y52" s="318">
        <f t="shared" si="127"/>
        <v>0.14259597806215721</v>
      </c>
      <c r="Z52" s="318">
        <f t="shared" si="127"/>
        <v>0.1606837606837607</v>
      </c>
      <c r="AA52" s="420">
        <f t="shared" si="127"/>
        <v>0.15681003584229392</v>
      </c>
      <c r="AB52" s="958">
        <f t="shared" si="127"/>
        <v>0.14101382488479264</v>
      </c>
      <c r="AC52" s="317">
        <f t="shared" si="127"/>
        <v>0.15235690235690236</v>
      </c>
      <c r="AD52" s="317">
        <f t="shared" si="127"/>
        <v>0.17053642914331466</v>
      </c>
      <c r="AE52" s="420">
        <f t="shared" si="127"/>
        <v>0.16860015467904099</v>
      </c>
      <c r="AF52" s="958">
        <f t="shared" si="127"/>
        <v>0.16211878009630817</v>
      </c>
      <c r="AG52" s="317">
        <f t="shared" si="127"/>
        <v>0.17420311341734618</v>
      </c>
      <c r="AH52" s="317">
        <f t="shared" si="127"/>
        <v>0.1966996699669967</v>
      </c>
      <c r="AI52" s="339">
        <f>IF(ISERROR(AI48/AI$526),"",AI48/AI$526)</f>
        <v>0.19843851659076123</v>
      </c>
      <c r="AJ52" s="958">
        <f>IF(ISERROR(AJ48/AJ$526),"",AJ48/AJ$526)</f>
        <v>0.19836400817995911</v>
      </c>
      <c r="AK52" s="317">
        <f>IF(ISERROR(AK48/AK$526),"",AK48/AK$526)</f>
        <v>0.20119521912350596</v>
      </c>
      <c r="AL52" s="317">
        <f t="shared" ref="AL52" si="128">IF(ISERROR(AL48/AL$526),"",AL48/AL$526)</f>
        <v>0.1773981603153745</v>
      </c>
      <c r="AM52" s="317">
        <f t="shared" ref="AM52" si="129">IF(ISERROR(AM48/AM$526),"",AM48/AM$526)</f>
        <v>0.17434620174346202</v>
      </c>
      <c r="AN52" s="958">
        <f>IF(ISERROR(AN48/AN$526),"",AN48/AN$526)</f>
        <v>0.19019784172661872</v>
      </c>
      <c r="AO52" s="317">
        <f>IF(ISERROR(AO48/AO$526),"",AO48/AO$526)</f>
        <v>0.18689217758985202</v>
      </c>
      <c r="AP52" s="317">
        <f t="shared" ref="AP52:AQ52" si="130">IF(ISERROR(AP48/AP$526),"",AP48/AP$526)</f>
        <v>0.19279060348319157</v>
      </c>
      <c r="AQ52" s="317">
        <f t="shared" si="130"/>
        <v>0.19795081967213116</v>
      </c>
      <c r="AR52" s="958">
        <f>IF(ISERROR(AR48/AR$526),"",AR48/AR$526)</f>
        <v>0.20352781546811397</v>
      </c>
      <c r="AS52" s="317">
        <f>IF(ISERROR(AS48/AS$526),"",AS48/AS$526)</f>
        <v>0.1989100817438692</v>
      </c>
      <c r="AT52" s="317">
        <f>IF(ISERROR(AT48/AT$526),"",AT48/AT$526)</f>
        <v>0.20444072056975282</v>
      </c>
      <c r="AU52" s="1807">
        <f>IF(ISERROR(AU48/AU$526),"",AU48/AU$526)</f>
        <v>0.20236156351791532</v>
      </c>
      <c r="AV52" s="958">
        <f t="shared" ref="AV52:AY52" si="131">IF(ISERROR(AV48/AV$526),"",AV48/AV$526)</f>
        <v>0.2030071631882637</v>
      </c>
      <c r="AW52" s="420">
        <f t="shared" si="131"/>
        <v>0.19627714041229713</v>
      </c>
      <c r="AX52" s="420">
        <f t="shared" si="131"/>
        <v>0.1923470280432911</v>
      </c>
      <c r="AY52" s="424">
        <f t="shared" si="131"/>
        <v>0.1933730276074741</v>
      </c>
      <c r="AZ52" s="20"/>
      <c r="BA52" s="652"/>
      <c r="BB52" s="317"/>
      <c r="BC52" s="256">
        <f t="shared" ref="BC52:BJ52" si="132">IF(ISERROR(BC48/BC$526),"",BC48/BC$526)</f>
        <v>0</v>
      </c>
      <c r="BD52" s="256">
        <f t="shared" si="132"/>
        <v>0.14357110404361653</v>
      </c>
      <c r="BE52" s="256">
        <f t="shared" si="132"/>
        <v>0.14234620886981403</v>
      </c>
      <c r="BF52" s="255">
        <f t="shared" si="132"/>
        <v>0.15075722808627812</v>
      </c>
      <c r="BG52" s="1515">
        <f t="shared" si="132"/>
        <v>0.15887850467289719</v>
      </c>
      <c r="BH52" s="1516">
        <f t="shared" si="132"/>
        <v>0.18416858508942802</v>
      </c>
      <c r="BI52" s="1614">
        <f t="shared" si="132"/>
        <v>0.18751024422225865</v>
      </c>
      <c r="BJ52" s="1715">
        <f t="shared" si="132"/>
        <v>0.19204042956411876</v>
      </c>
      <c r="BK52" s="1715">
        <f t="shared" ref="BK52:BM52" si="133">IF(ISERROR(BK48/BK$526),"",BK48/BK$526)</f>
        <v>0.20235522904062231</v>
      </c>
      <c r="BL52" s="1715">
        <f t="shared" si="133"/>
        <v>0.19613819324878359</v>
      </c>
      <c r="BM52" s="1715">
        <f t="shared" si="133"/>
        <v>0.18866626207740136</v>
      </c>
      <c r="BN52" s="1715">
        <f t="shared" ref="BN52" si="134">IF(ISERROR(BN48/BN$526),"",BN48/BN$526)</f>
        <v>0.18147897590302417</v>
      </c>
      <c r="BO52" s="299"/>
    </row>
    <row r="53" spans="1:67" ht="14.25" customHeight="1">
      <c r="A53" s="1"/>
      <c r="B53" s="437"/>
      <c r="C53" s="254"/>
      <c r="D53" s="320"/>
      <c r="E53" s="320"/>
      <c r="F53" s="320"/>
      <c r="G53" s="93"/>
      <c r="H53" s="269"/>
      <c r="I53" s="269"/>
      <c r="J53" s="300"/>
      <c r="K53" s="301"/>
      <c r="L53" s="337"/>
      <c r="M53" s="337"/>
      <c r="N53" s="337"/>
      <c r="O53" s="338"/>
      <c r="P53" s="337"/>
      <c r="Q53" s="337"/>
      <c r="R53" s="337"/>
      <c r="S53" s="338"/>
      <c r="T53" s="337"/>
      <c r="U53" s="337"/>
      <c r="V53" s="405"/>
      <c r="W53" s="338"/>
      <c r="X53" s="337"/>
      <c r="Y53" s="337"/>
      <c r="Z53" s="300"/>
      <c r="AA53" s="256"/>
      <c r="AB53" s="255"/>
      <c r="AC53" s="256"/>
      <c r="AD53" s="256"/>
      <c r="AE53" s="256"/>
      <c r="AF53" s="255"/>
      <c r="AG53" s="256"/>
      <c r="AH53" s="256"/>
      <c r="AI53" s="301"/>
      <c r="AJ53" s="255"/>
      <c r="AK53" s="256"/>
      <c r="AL53" s="256"/>
      <c r="AM53" s="1575"/>
      <c r="AN53" s="1614"/>
      <c r="AO53" s="1715"/>
      <c r="AP53" s="1715"/>
      <c r="AQ53" s="1715"/>
      <c r="AR53" s="1515"/>
      <c r="AS53" s="1516"/>
      <c r="AT53" s="1516"/>
      <c r="AU53" s="1517"/>
      <c r="AV53" s="1515"/>
      <c r="AW53" s="1516"/>
      <c r="AX53" s="1516"/>
      <c r="AY53" s="1517"/>
      <c r="AZ53" s="20"/>
      <c r="BA53" s="652"/>
      <c r="BB53" s="317"/>
      <c r="BC53" s="256"/>
      <c r="BD53" s="256"/>
      <c r="BE53" s="256"/>
      <c r="BF53" s="255"/>
      <c r="BG53" s="1615"/>
      <c r="BH53" s="1615"/>
      <c r="BI53" s="1614"/>
      <c r="BJ53" s="1715"/>
      <c r="BK53" s="1715"/>
      <c r="BL53" s="1715"/>
      <c r="BM53" s="1715"/>
      <c r="BN53" s="1715"/>
      <c r="BO53" s="299"/>
    </row>
    <row r="54" spans="1:67" ht="14.25" hidden="1" customHeight="1" outlineLevel="1">
      <c r="A54" s="1347"/>
      <c r="B54" s="1359" t="s">
        <v>341</v>
      </c>
      <c r="C54" s="1360"/>
      <c r="D54" s="717"/>
      <c r="E54" s="717"/>
      <c r="F54" s="717"/>
      <c r="G54" s="718"/>
      <c r="H54" s="717"/>
      <c r="I54" s="717"/>
      <c r="J54" s="717"/>
      <c r="K54" s="718"/>
      <c r="L54" s="720"/>
      <c r="M54" s="720"/>
      <c r="N54" s="720"/>
      <c r="O54" s="721"/>
      <c r="P54" s="720"/>
      <c r="Q54" s="720"/>
      <c r="R54" s="720"/>
      <c r="S54" s="721"/>
      <c r="T54" s="720"/>
      <c r="U54" s="720"/>
      <c r="V54" s="720"/>
      <c r="W54" s="721"/>
      <c r="X54" s="720"/>
      <c r="Y54" s="720"/>
      <c r="Z54" s="717"/>
      <c r="AA54" s="717"/>
      <c r="AB54" s="1143"/>
      <c r="AC54" s="717"/>
      <c r="AD54" s="717"/>
      <c r="AE54" s="717"/>
      <c r="AF54" s="1143"/>
      <c r="AG54" s="717"/>
      <c r="AH54" s="717"/>
      <c r="AI54" s="718"/>
      <c r="AJ54" s="1143"/>
      <c r="AK54" s="717"/>
      <c r="AL54" s="717"/>
      <c r="AM54" s="717"/>
      <c r="AN54" s="1143"/>
      <c r="AO54" s="717"/>
      <c r="AP54" s="717"/>
      <c r="AQ54" s="717"/>
      <c r="AR54" s="1143"/>
      <c r="AS54" s="717"/>
      <c r="AT54" s="717"/>
      <c r="AU54" s="718"/>
      <c r="AV54" s="1143"/>
      <c r="AW54" s="717"/>
      <c r="AX54" s="717"/>
      <c r="AY54" s="718"/>
      <c r="AZ54" s="20"/>
      <c r="BA54" s="1123"/>
      <c r="BB54" s="1107"/>
      <c r="BC54" s="1108"/>
      <c r="BD54" s="1108"/>
      <c r="BE54" s="1108"/>
      <c r="BF54" s="1211"/>
      <c r="BG54" s="1659"/>
      <c r="BH54" s="1659"/>
      <c r="BI54" s="1664"/>
      <c r="BJ54" s="1659"/>
      <c r="BK54" s="1659"/>
      <c r="BL54" s="1659"/>
      <c r="BM54" s="1659"/>
      <c r="BN54" s="1659"/>
      <c r="BO54" s="299"/>
    </row>
    <row r="55" spans="1:67" s="316" customFormat="1" ht="14.25" hidden="1" customHeight="1" outlineLevel="1">
      <c r="A55" s="1347"/>
      <c r="B55" s="434"/>
      <c r="C55" s="34"/>
      <c r="D55" s="320"/>
      <c r="E55" s="320"/>
      <c r="F55" s="320"/>
      <c r="G55" s="93"/>
      <c r="H55" s="269"/>
      <c r="I55" s="269"/>
      <c r="J55" s="269"/>
      <c r="K55" s="91"/>
      <c r="L55" s="405"/>
      <c r="M55" s="405"/>
      <c r="N55" s="405"/>
      <c r="O55" s="415"/>
      <c r="P55" s="405"/>
      <c r="Q55" s="405"/>
      <c r="R55" s="405"/>
      <c r="S55" s="415"/>
      <c r="T55" s="405"/>
      <c r="U55" s="405"/>
      <c r="V55" s="405"/>
      <c r="W55" s="415"/>
      <c r="X55" s="405"/>
      <c r="Y55" s="405"/>
      <c r="Z55" s="416"/>
      <c r="AA55" s="418"/>
      <c r="AB55" s="1366"/>
      <c r="AC55" s="1367"/>
      <c r="AD55" s="1367"/>
      <c r="AE55" s="1367"/>
      <c r="AF55" s="1366"/>
      <c r="AG55" s="1367"/>
      <c r="AH55" s="1367"/>
      <c r="AI55" s="1368"/>
      <c r="AJ55" s="1366"/>
      <c r="AK55" s="1367"/>
      <c r="AL55" s="1367"/>
      <c r="AM55" s="1598"/>
      <c r="AN55" s="1597"/>
      <c r="AO55" s="1598"/>
      <c r="AP55" s="1598"/>
      <c r="AQ55" s="1598"/>
      <c r="AR55" s="1366"/>
      <c r="AS55" s="1367"/>
      <c r="AT55" s="1367"/>
      <c r="AU55" s="1368"/>
      <c r="AV55" s="1366"/>
      <c r="AW55" s="1367"/>
      <c r="AX55" s="1367"/>
      <c r="AY55" s="1368"/>
      <c r="AZ55" s="1902"/>
      <c r="BA55" s="1125"/>
      <c r="BB55" s="418"/>
      <c r="BC55" s="418"/>
      <c r="BD55" s="418"/>
      <c r="BE55" s="418"/>
      <c r="BF55" s="1125"/>
      <c r="BG55" s="1630"/>
      <c r="BH55" s="1630"/>
      <c r="BI55" s="1665"/>
      <c r="BJ55" s="1630"/>
      <c r="BK55" s="1630"/>
      <c r="BL55" s="1630"/>
      <c r="BM55" s="1630"/>
      <c r="BN55" s="1630"/>
      <c r="BO55" s="419"/>
    </row>
    <row r="56" spans="1:67" s="363" customFormat="1" ht="14.25" hidden="1" customHeight="1" outlineLevel="1">
      <c r="A56" s="1348"/>
      <c r="B56" s="1831" t="s">
        <v>161</v>
      </c>
      <c r="C56" s="382"/>
      <c r="D56" s="365"/>
      <c r="E56" s="365"/>
      <c r="F56" s="365"/>
      <c r="G56" s="366"/>
      <c r="H56" s="367"/>
      <c r="I56" s="367"/>
      <c r="J56" s="368"/>
      <c r="K56" s="369"/>
      <c r="L56" s="370">
        <v>83</v>
      </c>
      <c r="M56" s="370">
        <v>77</v>
      </c>
      <c r="N56" s="370">
        <v>104</v>
      </c>
      <c r="O56" s="371">
        <v>117</v>
      </c>
      <c r="P56" s="370">
        <v>135</v>
      </c>
      <c r="Q56" s="370">
        <v>145</v>
      </c>
      <c r="R56" s="370">
        <v>148</v>
      </c>
      <c r="S56" s="371">
        <v>161</v>
      </c>
      <c r="T56" s="370">
        <v>189</v>
      </c>
      <c r="U56" s="370">
        <v>194</v>
      </c>
      <c r="V56" s="403">
        <v>160</v>
      </c>
      <c r="W56" s="371">
        <v>155</v>
      </c>
      <c r="X56" s="370">
        <v>187</v>
      </c>
      <c r="Y56" s="370">
        <v>234</v>
      </c>
      <c r="Z56" s="346">
        <v>275</v>
      </c>
      <c r="AA56" s="1233">
        <v>290</v>
      </c>
      <c r="AB56" s="1250">
        <v>300</v>
      </c>
      <c r="AC56" s="1233">
        <v>339</v>
      </c>
      <c r="AD56" s="1233">
        <v>329</v>
      </c>
      <c r="AE56" s="1233">
        <v>329</v>
      </c>
      <c r="AF56" s="1250">
        <v>319</v>
      </c>
      <c r="AG56" s="1233">
        <v>343</v>
      </c>
      <c r="AH56" s="1233">
        <v>396</v>
      </c>
      <c r="AI56" s="371">
        <v>411</v>
      </c>
      <c r="AJ56" s="923">
        <f t="shared" ref="AJ56" si="135">+AJ65</f>
        <v>491.39201753546263</v>
      </c>
      <c r="AK56" s="1233">
        <v>343</v>
      </c>
      <c r="AL56" s="1233">
        <v>396</v>
      </c>
      <c r="AM56" s="348">
        <v>396</v>
      </c>
      <c r="AN56" s="923">
        <f t="shared" ref="AN56" si="136">+AN65</f>
        <v>510.23779845546915</v>
      </c>
      <c r="AO56" s="1233">
        <v>343</v>
      </c>
      <c r="AP56" s="1233">
        <v>396</v>
      </c>
      <c r="AQ56" s="1821">
        <v>396</v>
      </c>
      <c r="AR56" s="923">
        <f t="shared" ref="AR56:AU56" si="137">+AR65</f>
        <v>544.21950805060624</v>
      </c>
      <c r="AS56" s="348">
        <f t="shared" si="137"/>
        <v>577.20303842210956</v>
      </c>
      <c r="AT56" s="348">
        <f t="shared" si="137"/>
        <v>693.34527064358963</v>
      </c>
      <c r="AU56" s="349">
        <f t="shared" si="137"/>
        <v>747.59101339841482</v>
      </c>
      <c r="AV56" s="923">
        <f t="shared" ref="AV56:AY56" si="138">+AV65</f>
        <v>724.59529872936946</v>
      </c>
      <c r="AW56" s="348">
        <f t="shared" si="138"/>
        <v>770.22250318640999</v>
      </c>
      <c r="AX56" s="348">
        <f t="shared" si="138"/>
        <v>954.21334287419438</v>
      </c>
      <c r="AY56" s="349">
        <f t="shared" si="138"/>
        <v>1047.7583550751644</v>
      </c>
      <c r="AZ56" s="1901"/>
      <c r="BA56" s="1124"/>
      <c r="BB56" s="372"/>
      <c r="BC56" s="340">
        <f>SUM(L56:O56)</f>
        <v>381</v>
      </c>
      <c r="BD56" s="340">
        <f>SUM(P56:S56)</f>
        <v>589</v>
      </c>
      <c r="BE56" s="340">
        <f>SUM(T56:W56)</f>
        <v>698</v>
      </c>
      <c r="BF56" s="361">
        <f>SUM(X56:AA56)</f>
        <v>986</v>
      </c>
      <c r="BG56" s="348">
        <f>SUM(AB56:AE56)</f>
        <v>1297</v>
      </c>
      <c r="BH56" s="340">
        <f>SUM(AF56:AI56)</f>
        <v>1469</v>
      </c>
      <c r="BI56" s="361">
        <f>SUM(AJ56:AM56)</f>
        <v>1626.3920175354626</v>
      </c>
      <c r="BJ56" s="340">
        <f>SUM(AN56:AQ56)</f>
        <v>1645.2377984554691</v>
      </c>
      <c r="BK56" s="340">
        <f>SUM(AO56:AR56)</f>
        <v>1679.2195080506062</v>
      </c>
      <c r="BL56" s="340">
        <f>SUM(AP56:AV56)</f>
        <v>4078.9541292440895</v>
      </c>
      <c r="BM56" s="340">
        <f t="shared" ref="BM56:BN56" si="139">+BM65</f>
        <v>4562.688478050015</v>
      </c>
      <c r="BN56" s="340">
        <f t="shared" si="139"/>
        <v>4920.9736367734131</v>
      </c>
      <c r="BO56" s="364"/>
    </row>
    <row r="57" spans="1:67" ht="14.25" hidden="1" customHeight="1" outlineLevel="1">
      <c r="A57" s="1347"/>
      <c r="B57" s="431" t="s">
        <v>228</v>
      </c>
      <c r="C57" s="254"/>
      <c r="D57" s="320"/>
      <c r="E57" s="320"/>
      <c r="F57" s="320"/>
      <c r="G57" s="93"/>
      <c r="H57" s="269"/>
      <c r="I57" s="269"/>
      <c r="J57" s="300"/>
      <c r="K57" s="301"/>
      <c r="L57" s="337"/>
      <c r="M57" s="318">
        <f t="shared" ref="M57:Z57" si="140">M56/L56-1</f>
        <v>-7.2289156626506035E-2</v>
      </c>
      <c r="N57" s="318">
        <f t="shared" si="140"/>
        <v>0.35064935064935066</v>
      </c>
      <c r="O57" s="339">
        <f t="shared" si="140"/>
        <v>0.125</v>
      </c>
      <c r="P57" s="318">
        <f t="shared" si="140"/>
        <v>0.15384615384615374</v>
      </c>
      <c r="Q57" s="318">
        <f t="shared" si="140"/>
        <v>7.4074074074074181E-2</v>
      </c>
      <c r="R57" s="318">
        <f t="shared" si="140"/>
        <v>2.0689655172413834E-2</v>
      </c>
      <c r="S57" s="339">
        <f t="shared" si="140"/>
        <v>8.783783783783794E-2</v>
      </c>
      <c r="T57" s="318">
        <f t="shared" si="140"/>
        <v>0.17391304347826098</v>
      </c>
      <c r="U57" s="318">
        <f t="shared" si="140"/>
        <v>2.6455026455026509E-2</v>
      </c>
      <c r="V57" s="404">
        <f t="shared" si="140"/>
        <v>-0.17525773195876293</v>
      </c>
      <c r="W57" s="339">
        <f t="shared" si="140"/>
        <v>-3.125E-2</v>
      </c>
      <c r="X57" s="318">
        <f t="shared" si="140"/>
        <v>0.20645161290322589</v>
      </c>
      <c r="Y57" s="318">
        <f t="shared" si="140"/>
        <v>0.25133689839572182</v>
      </c>
      <c r="Z57" s="318">
        <f t="shared" si="140"/>
        <v>0.17521367521367526</v>
      </c>
      <c r="AA57" s="317">
        <f t="shared" ref="AA57:AQ57" si="141">AA56/Z56-1</f>
        <v>5.4545454545454453E-2</v>
      </c>
      <c r="AB57" s="652">
        <f t="shared" si="141"/>
        <v>3.4482758620689724E-2</v>
      </c>
      <c r="AC57" s="317">
        <f t="shared" si="141"/>
        <v>0.12999999999999989</v>
      </c>
      <c r="AD57" s="317">
        <f t="shared" si="141"/>
        <v>-2.9498525073746285E-2</v>
      </c>
      <c r="AE57" s="317">
        <f t="shared" si="141"/>
        <v>0</v>
      </c>
      <c r="AF57" s="652">
        <f t="shared" si="141"/>
        <v>-3.039513677811545E-2</v>
      </c>
      <c r="AG57" s="317">
        <f t="shared" si="141"/>
        <v>7.5235109717868287E-2</v>
      </c>
      <c r="AH57" s="317">
        <f t="shared" si="141"/>
        <v>0.15451895043731789</v>
      </c>
      <c r="AI57" s="339">
        <f t="shared" si="141"/>
        <v>3.7878787878787845E-2</v>
      </c>
      <c r="AJ57" s="652">
        <f t="shared" ref="AJ57:AN57" si="142">AJ56/AI56-1</f>
        <v>0.19560101590136902</v>
      </c>
      <c r="AK57" s="317">
        <f t="shared" si="141"/>
        <v>-0.30198296317410878</v>
      </c>
      <c r="AL57" s="317">
        <f t="shared" si="141"/>
        <v>0.15451895043731789</v>
      </c>
      <c r="AM57" s="317">
        <f t="shared" si="141"/>
        <v>0</v>
      </c>
      <c r="AN57" s="652">
        <f t="shared" si="142"/>
        <v>0.28847928902896247</v>
      </c>
      <c r="AO57" s="317">
        <f t="shared" si="141"/>
        <v>-0.32776442466965683</v>
      </c>
      <c r="AP57" s="317">
        <f t="shared" si="141"/>
        <v>0.15451895043731789</v>
      </c>
      <c r="AQ57" s="317">
        <f t="shared" si="141"/>
        <v>0</v>
      </c>
      <c r="AR57" s="652">
        <f t="shared" ref="AR57" si="143">AR56/AQ56-1</f>
        <v>0.3742916869964803</v>
      </c>
      <c r="AS57" s="317">
        <f t="shared" ref="AS57" si="144">AS56/AR56-1</f>
        <v>6.0607034263895354E-2</v>
      </c>
      <c r="AT57" s="317">
        <f t="shared" ref="AT57" si="145">AT56/AS56-1</f>
        <v>0.20121555932722779</v>
      </c>
      <c r="AU57" s="339">
        <f t="shared" ref="AU57" si="146">AU56/AT56-1</f>
        <v>7.8237705010192338E-2</v>
      </c>
      <c r="AV57" s="652">
        <f t="shared" ref="AV57" si="147">AV56/AU56-1</f>
        <v>-3.0759752668121254E-2</v>
      </c>
      <c r="AW57" s="317">
        <f t="shared" ref="AW57" si="148">AW56/AV56-1</f>
        <v>6.2969225079228641E-2</v>
      </c>
      <c r="AX57" s="317">
        <f t="shared" ref="AX57" si="149">AX56/AW56-1</f>
        <v>0.23888011441708645</v>
      </c>
      <c r="AY57" s="339">
        <f t="shared" ref="AY57" si="150">AY56/AX56-1</f>
        <v>9.8033645095762623E-2</v>
      </c>
      <c r="AZ57" s="20"/>
      <c r="BA57" s="652"/>
      <c r="BB57" s="317"/>
      <c r="BC57" s="256"/>
      <c r="BD57" s="256"/>
      <c r="BE57" s="256"/>
      <c r="BF57" s="255"/>
      <c r="BG57" s="1615"/>
      <c r="BH57" s="1615"/>
      <c r="BI57" s="1614"/>
      <c r="BJ57" s="1715"/>
      <c r="BK57" s="1715"/>
      <c r="BL57" s="1715"/>
      <c r="BM57" s="1715">
        <f t="shared" ref="BM57:BN57" si="151">BM56/BL56-1</f>
        <v>0.11859274056008351</v>
      </c>
      <c r="BN57" s="1715">
        <f t="shared" si="151"/>
        <v>7.8525010078382751E-2</v>
      </c>
      <c r="BO57" s="299"/>
    </row>
    <row r="58" spans="1:67" ht="14.25" hidden="1" customHeight="1" outlineLevel="1">
      <c r="A58" s="1347"/>
      <c r="B58" s="435" t="s">
        <v>229</v>
      </c>
      <c r="C58" s="254"/>
      <c r="D58" s="320"/>
      <c r="E58" s="320"/>
      <c r="F58" s="320"/>
      <c r="G58" s="93"/>
      <c r="H58" s="269"/>
      <c r="I58" s="269"/>
      <c r="J58" s="300"/>
      <c r="K58" s="301"/>
      <c r="L58" s="318" t="str">
        <f t="shared" ref="L58:AQ58" si="152">IF(ISERROR(L56/H56-1),"",L56/H56-1)</f>
        <v/>
      </c>
      <c r="M58" s="318" t="str">
        <f t="shared" si="152"/>
        <v/>
      </c>
      <c r="N58" s="318" t="str">
        <f t="shared" si="152"/>
        <v/>
      </c>
      <c r="O58" s="339" t="str">
        <f t="shared" si="152"/>
        <v/>
      </c>
      <c r="P58" s="318">
        <f t="shared" si="152"/>
        <v>0.62650602409638556</v>
      </c>
      <c r="Q58" s="318">
        <f t="shared" si="152"/>
        <v>0.88311688311688319</v>
      </c>
      <c r="R58" s="318">
        <f t="shared" si="152"/>
        <v>0.42307692307692313</v>
      </c>
      <c r="S58" s="339">
        <f t="shared" si="152"/>
        <v>0.37606837606837606</v>
      </c>
      <c r="T58" s="318">
        <f t="shared" si="152"/>
        <v>0.39999999999999991</v>
      </c>
      <c r="U58" s="318">
        <f t="shared" si="152"/>
        <v>0.33793103448275863</v>
      </c>
      <c r="V58" s="404">
        <f t="shared" si="152"/>
        <v>8.1081081081081141E-2</v>
      </c>
      <c r="W58" s="339">
        <f t="shared" si="152"/>
        <v>-3.7267080745341574E-2</v>
      </c>
      <c r="X58" s="318">
        <f t="shared" si="152"/>
        <v>-1.0582010582010581E-2</v>
      </c>
      <c r="Y58" s="318">
        <f t="shared" si="152"/>
        <v>0.20618556701030921</v>
      </c>
      <c r="Z58" s="318">
        <f t="shared" si="152"/>
        <v>0.71875</v>
      </c>
      <c r="AA58" s="317">
        <f t="shared" si="152"/>
        <v>0.87096774193548376</v>
      </c>
      <c r="AB58" s="652">
        <f t="shared" si="152"/>
        <v>0.60427807486631013</v>
      </c>
      <c r="AC58" s="317">
        <f t="shared" si="152"/>
        <v>0.44871794871794868</v>
      </c>
      <c r="AD58" s="317">
        <f t="shared" si="152"/>
        <v>0.1963636363636363</v>
      </c>
      <c r="AE58" s="317">
        <f t="shared" si="152"/>
        <v>0.13448275862068959</v>
      </c>
      <c r="AF58" s="652">
        <f t="shared" si="152"/>
        <v>6.3333333333333242E-2</v>
      </c>
      <c r="AG58" s="317">
        <f t="shared" si="152"/>
        <v>1.1799410029498469E-2</v>
      </c>
      <c r="AH58" s="317">
        <f t="shared" si="152"/>
        <v>0.20364741641337392</v>
      </c>
      <c r="AI58" s="339">
        <f t="shared" si="152"/>
        <v>0.24924012158054709</v>
      </c>
      <c r="AJ58" s="652">
        <f t="shared" ref="AJ58:AN58" si="153">IF(ISERROR(AJ56/AF56-1),"",AJ56/AF56-1)</f>
        <v>0.54041384807355053</v>
      </c>
      <c r="AK58" s="317">
        <f t="shared" si="152"/>
        <v>0</v>
      </c>
      <c r="AL58" s="317">
        <f t="shared" si="152"/>
        <v>0</v>
      </c>
      <c r="AM58" s="317">
        <f t="shared" si="152"/>
        <v>-3.6496350364963459E-2</v>
      </c>
      <c r="AN58" s="652">
        <f t="shared" si="153"/>
        <v>3.8351825523186278E-2</v>
      </c>
      <c r="AO58" s="317">
        <f t="shared" si="152"/>
        <v>0</v>
      </c>
      <c r="AP58" s="317">
        <f t="shared" si="152"/>
        <v>0</v>
      </c>
      <c r="AQ58" s="317">
        <f t="shared" si="152"/>
        <v>0</v>
      </c>
      <c r="AR58" s="652">
        <f t="shared" ref="AR58" si="154">IF(ISERROR(AR56/AN56-1),"",AR56/AN56-1)</f>
        <v>6.6599749563835742E-2</v>
      </c>
      <c r="AS58" s="317">
        <f t="shared" ref="AS58" si="155">IF(ISERROR(AS56/AO56-1),"",AS56/AO56-1)</f>
        <v>0.68280769219273929</v>
      </c>
      <c r="AT58" s="317">
        <f t="shared" ref="AT58" si="156">IF(ISERROR(AT56/AP56-1),"",AT56/AP56-1)</f>
        <v>0.75087189556462031</v>
      </c>
      <c r="AU58" s="339">
        <f t="shared" ref="AU58" si="157">IF(ISERROR(AU56/AQ56-1),"",AU56/AQ56-1)</f>
        <v>0.88785609444044145</v>
      </c>
      <c r="AV58" s="652">
        <f t="shared" ref="AV58" si="158">IF(ISERROR(AV56/AR56-1),"",AV56/AR56-1)</f>
        <v>0.33143940636172542</v>
      </c>
      <c r="AW58" s="317">
        <f t="shared" ref="AW58" si="159">IF(ISERROR(AW56/AS56-1),"",AW56/AS56-1)</f>
        <v>0.33440479677992441</v>
      </c>
      <c r="AX58" s="317">
        <f t="shared" ref="AX58" si="160">IF(ISERROR(AX56/AT56-1),"",AX56/AT56-1)</f>
        <v>0.37624554933281229</v>
      </c>
      <c r="AY58" s="339">
        <f t="shared" ref="AY58" si="161">IF(ISERROR(AY56/AU56-1),"",AY56/AU56-1)</f>
        <v>0.40151277409320718</v>
      </c>
      <c r="AZ58" s="20"/>
      <c r="BA58" s="652"/>
      <c r="BB58" s="317"/>
      <c r="BC58" s="256"/>
      <c r="BD58" s="256">
        <f t="shared" ref="BD58:BL58" si="162">BD56/BC56-1</f>
        <v>0.54593175853018372</v>
      </c>
      <c r="BE58" s="256">
        <f t="shared" si="162"/>
        <v>0.18505942275042453</v>
      </c>
      <c r="BF58" s="255">
        <f t="shared" si="162"/>
        <v>0.41260744985673359</v>
      </c>
      <c r="BG58" s="1615">
        <f t="shared" si="162"/>
        <v>0.3154158215010141</v>
      </c>
      <c r="BH58" s="1615">
        <f t="shared" si="162"/>
        <v>0.13261372397841176</v>
      </c>
      <c r="BI58" s="1614">
        <f t="shared" si="162"/>
        <v>0.10714228559255456</v>
      </c>
      <c r="BJ58" s="1715">
        <f t="shared" si="162"/>
        <v>1.1587477506538768E-2</v>
      </c>
      <c r="BK58" s="1715">
        <f t="shared" si="162"/>
        <v>2.0654588429124709E-2</v>
      </c>
      <c r="BL58" s="1715">
        <f t="shared" si="162"/>
        <v>1.4290773836824453</v>
      </c>
      <c r="BM58" s="1715">
        <f t="shared" ref="BM58:BN58" si="163">IF(ISERROR(BM56/BI56-1),"",BM56/BI56-1)</f>
        <v>1.8054051107334139</v>
      </c>
      <c r="BN58" s="1715">
        <f t="shared" si="163"/>
        <v>1.9910409555343112</v>
      </c>
      <c r="BO58" s="299"/>
    </row>
    <row r="59" spans="1:67" ht="14.25" hidden="1" customHeight="1" outlineLevel="1">
      <c r="A59" s="1347"/>
      <c r="B59" s="431" t="s">
        <v>342</v>
      </c>
      <c r="C59" s="254"/>
      <c r="D59" s="320"/>
      <c r="E59" s="320"/>
      <c r="F59" s="320"/>
      <c r="G59" s="93"/>
      <c r="H59" s="269"/>
      <c r="I59" s="269"/>
      <c r="J59" s="300"/>
      <c r="K59" s="301"/>
      <c r="L59" s="318" t="str">
        <f t="shared" ref="L59:U59" si="164">IF(ISERROR(L56/L$15),"",L56/L$15)</f>
        <v/>
      </c>
      <c r="M59" s="318" t="str">
        <f t="shared" si="164"/>
        <v/>
      </c>
      <c r="N59" s="318" t="str">
        <f t="shared" si="164"/>
        <v/>
      </c>
      <c r="O59" s="339" t="str">
        <f t="shared" si="164"/>
        <v/>
      </c>
      <c r="P59" s="318" t="str">
        <f t="shared" si="164"/>
        <v/>
      </c>
      <c r="Q59" s="318" t="str">
        <f t="shared" si="164"/>
        <v/>
      </c>
      <c r="R59" s="318" t="str">
        <f t="shared" si="164"/>
        <v/>
      </c>
      <c r="S59" s="339" t="str">
        <f t="shared" si="164"/>
        <v/>
      </c>
      <c r="T59" s="318" t="str">
        <f t="shared" si="164"/>
        <v/>
      </c>
      <c r="U59" s="318" t="str">
        <f t="shared" si="164"/>
        <v/>
      </c>
      <c r="V59" s="404" t="str">
        <f t="shared" ref="V59:AA59" si="165">IF(ISERROR(V56/V$15),"",V56/V$15)</f>
        <v/>
      </c>
      <c r="W59" s="339" t="str">
        <f t="shared" si="165"/>
        <v/>
      </c>
      <c r="X59" s="318" t="str">
        <f t="shared" si="165"/>
        <v/>
      </c>
      <c r="Y59" s="318" t="str">
        <f t="shared" si="165"/>
        <v/>
      </c>
      <c r="Z59" s="318" t="str">
        <f>IF(ISERROR(Z56/Z$15),"",Z56/Z$15)</f>
        <v/>
      </c>
      <c r="AA59" s="90" t="str">
        <f t="shared" si="165"/>
        <v/>
      </c>
      <c r="AB59" s="94"/>
      <c r="AC59" s="92"/>
      <c r="AD59" s="92"/>
      <c r="AE59" s="90" t="str">
        <f>IF(ISERROR(AE56/AE$15),"",AE56/AE$15)</f>
        <v/>
      </c>
      <c r="AF59" s="94"/>
      <c r="AG59" s="92"/>
      <c r="AH59" s="92"/>
      <c r="AI59" s="93"/>
      <c r="AJ59" s="94"/>
      <c r="AK59" s="92"/>
      <c r="AL59" s="92"/>
      <c r="AM59" s="1574"/>
      <c r="AN59" s="1606"/>
      <c r="AO59" s="1604"/>
      <c r="AP59" s="1604"/>
      <c r="AQ59" s="1808"/>
      <c r="AR59" s="94"/>
      <c r="AS59" s="1518"/>
      <c r="AT59" s="1518"/>
      <c r="AU59" s="1519"/>
      <c r="AV59" s="94"/>
      <c r="AW59" s="1518"/>
      <c r="AX59" s="1518"/>
      <c r="AY59" s="1519"/>
      <c r="AZ59" s="20"/>
      <c r="BA59" s="652"/>
      <c r="BB59" s="317"/>
      <c r="BC59" s="256"/>
      <c r="BD59" s="256">
        <f t="shared" ref="BD59:BJ59" si="166">+BD56/BD16</f>
        <v>0.22794117647058823</v>
      </c>
      <c r="BE59" s="256">
        <f t="shared" si="166"/>
        <v>0.26309837919336598</v>
      </c>
      <c r="BF59" s="255">
        <f t="shared" si="166"/>
        <v>0.33131720430107525</v>
      </c>
      <c r="BG59" s="1615">
        <f t="shared" si="166"/>
        <v>0.36711010472686101</v>
      </c>
      <c r="BH59" s="1615">
        <f t="shared" si="166"/>
        <v>0.34909695817490494</v>
      </c>
      <c r="BI59" s="1614">
        <f t="shared" si="166"/>
        <v>0.34457457998632685</v>
      </c>
      <c r="BJ59" s="1715">
        <f t="shared" si="166"/>
        <v>0.20346744972241765</v>
      </c>
      <c r="BK59" s="1715">
        <f t="shared" ref="BK59:BL59" si="167">+BK56/BK16</f>
        <v>0.19202052693546098</v>
      </c>
      <c r="BL59" s="1715">
        <f t="shared" si="167"/>
        <v>0.43856605946619875</v>
      </c>
      <c r="BM59" s="1715"/>
      <c r="BN59" s="1715"/>
      <c r="BO59" s="299"/>
    </row>
    <row r="60" spans="1:67" ht="14.25" hidden="1" customHeight="1" outlineLevel="1">
      <c r="A60" s="1347"/>
      <c r="B60" s="431" t="s">
        <v>343</v>
      </c>
      <c r="C60" s="254"/>
      <c r="D60" s="320"/>
      <c r="E60" s="320"/>
      <c r="F60" s="320"/>
      <c r="G60" s="93"/>
      <c r="H60" s="269"/>
      <c r="I60" s="269"/>
      <c r="J60" s="300"/>
      <c r="K60" s="301"/>
      <c r="L60" s="318">
        <f t="shared" ref="L60:AJ60" si="168">IF(ISERROR(L56/L$526),"",L56/L$526)</f>
        <v>0.12868217054263567</v>
      </c>
      <c r="M60" s="318">
        <f t="shared" si="168"/>
        <v>9.356014580801944E-2</v>
      </c>
      <c r="N60" s="318">
        <f t="shared" si="168"/>
        <v>0.10569105691056911</v>
      </c>
      <c r="O60" s="339">
        <f t="shared" si="168"/>
        <v>0.10965323336457357</v>
      </c>
      <c r="P60" s="318">
        <f t="shared" si="168"/>
        <v>0.12442396313364056</v>
      </c>
      <c r="Q60" s="318">
        <f t="shared" si="168"/>
        <v>0.12957998212689903</v>
      </c>
      <c r="R60" s="318">
        <f t="shared" si="168"/>
        <v>0.13214285714285715</v>
      </c>
      <c r="S60" s="339">
        <f t="shared" si="168"/>
        <v>0.14935064935064934</v>
      </c>
      <c r="T60" s="318">
        <f t="shared" si="168"/>
        <v>0.17467652495378927</v>
      </c>
      <c r="U60" s="318">
        <f t="shared" si="168"/>
        <v>0.17305976806422838</v>
      </c>
      <c r="V60" s="404">
        <f t="shared" si="168"/>
        <v>0.15094339622641509</v>
      </c>
      <c r="W60" s="339">
        <f t="shared" si="168"/>
        <v>0.16648764769065522</v>
      </c>
      <c r="X60" s="318">
        <f t="shared" si="168"/>
        <v>0.19120654396728015</v>
      </c>
      <c r="Y60" s="318">
        <f t="shared" si="168"/>
        <v>0.21389396709323583</v>
      </c>
      <c r="Z60" s="318">
        <f t="shared" si="168"/>
        <v>0.23504273504273504</v>
      </c>
      <c r="AA60" s="420">
        <f t="shared" si="168"/>
        <v>0.25985663082437277</v>
      </c>
      <c r="AB60" s="652">
        <f t="shared" si="168"/>
        <v>0.27649769585253459</v>
      </c>
      <c r="AC60" s="317">
        <f t="shared" si="168"/>
        <v>0.28535353535353536</v>
      </c>
      <c r="AD60" s="317">
        <f t="shared" si="168"/>
        <v>0.26341072858286629</v>
      </c>
      <c r="AE60" s="420">
        <f t="shared" si="168"/>
        <v>0.25444702242846096</v>
      </c>
      <c r="AF60" s="652">
        <f t="shared" si="168"/>
        <v>0.25601926163723915</v>
      </c>
      <c r="AG60" s="317">
        <f t="shared" si="168"/>
        <v>0.25426241660489252</v>
      </c>
      <c r="AH60" s="317">
        <f t="shared" si="168"/>
        <v>0.2613861386138614</v>
      </c>
      <c r="AI60" s="339">
        <f>IF(ISERROR(AI56/AI$526),"",AI56/AI$526)</f>
        <v>0.26740403383214051</v>
      </c>
      <c r="AJ60" s="652">
        <f t="shared" si="168"/>
        <v>0.334963883800588</v>
      </c>
      <c r="AK60" s="317">
        <f>IF(ISERROR(AK56/AK$526),"",AK56/AK$526)</f>
        <v>0.22775564409030544</v>
      </c>
      <c r="AL60" s="317">
        <f t="shared" ref="AL60:AN60" si="169">IF(ISERROR(AL56/AL$526),"",AL56/AL$526)</f>
        <v>0.26018396846254926</v>
      </c>
      <c r="AM60" s="420">
        <f t="shared" si="169"/>
        <v>0.24657534246575341</v>
      </c>
      <c r="AN60" s="652">
        <f t="shared" si="169"/>
        <v>0.22942347052853829</v>
      </c>
      <c r="AO60" s="317">
        <f>IF(ISERROR(AO56/AO$526),"",AO56/AO$526)</f>
        <v>0.14503171247357294</v>
      </c>
      <c r="AP60" s="317">
        <f t="shared" ref="AP60:AQ60" si="170">IF(ISERROR(AP56/AP$526),"",AP56/AP$526)</f>
        <v>0.16038882138517618</v>
      </c>
      <c r="AQ60" s="420">
        <f t="shared" si="170"/>
        <v>0.16229508196721312</v>
      </c>
      <c r="AR60" s="652">
        <f t="shared" ref="AR60:AU60" si="171">IF(ISERROR(AR56/AR$526),"",AR56/AR$526)</f>
        <v>0.24614179468593678</v>
      </c>
      <c r="AS60" s="317">
        <f t="shared" si="171"/>
        <v>0.26212672044600799</v>
      </c>
      <c r="AT60" s="317">
        <f t="shared" si="171"/>
        <v>0.29046722691394622</v>
      </c>
      <c r="AU60" s="424">
        <f t="shared" si="171"/>
        <v>0.30439373509707446</v>
      </c>
      <c r="AV60" s="652">
        <f t="shared" ref="AV60:AY60" si="172">IF(ISERROR(AV56/AV$526),"",AV56/AV$526)</f>
        <v>0.31154937213724831</v>
      </c>
      <c r="AW60" s="317">
        <f t="shared" si="172"/>
        <v>0.32018864853675733</v>
      </c>
      <c r="AX60" s="317">
        <f t="shared" si="172"/>
        <v>0.38111039948899844</v>
      </c>
      <c r="AY60" s="424">
        <f t="shared" si="172"/>
        <v>0.42495375317003281</v>
      </c>
      <c r="AZ60" s="20"/>
      <c r="BA60" s="652"/>
      <c r="BB60" s="317"/>
      <c r="BC60" s="256">
        <f t="shared" ref="BC60:BJ60" si="173">IF(ISERROR(BC56/BC$526),"",BC56/BC$526)</f>
        <v>0.1082693947144075</v>
      </c>
      <c r="BD60" s="256">
        <f t="shared" si="173"/>
        <v>0.13380281690140844</v>
      </c>
      <c r="BE60" s="256">
        <f t="shared" si="173"/>
        <v>0.16642823080591321</v>
      </c>
      <c r="BF60" s="255">
        <f t="shared" si="173"/>
        <v>0.22625057365764112</v>
      </c>
      <c r="BG60" s="1615">
        <f t="shared" si="173"/>
        <v>0.26936656282450677</v>
      </c>
      <c r="BH60" s="1615">
        <f t="shared" si="173"/>
        <v>0.26013812643881706</v>
      </c>
      <c r="BI60" s="1614">
        <f t="shared" si="173"/>
        <v>0.2665779409171386</v>
      </c>
      <c r="BJ60" s="1715">
        <f t="shared" si="173"/>
        <v>0.17321939339392178</v>
      </c>
      <c r="BK60" s="1715">
        <f t="shared" ref="BK60:BM60" si="174">IF(ISERROR(BK56/BK$526),"",BK56/BK$526)</f>
        <v>0.18141956655689351</v>
      </c>
      <c r="BL60" s="1715">
        <f t="shared" si="174"/>
        <v>0.42048209296454692</v>
      </c>
      <c r="BM60" s="1715">
        <f t="shared" si="174"/>
        <v>0.44795068259585935</v>
      </c>
      <c r="BN60" s="1715">
        <f t="shared" ref="BN60" si="175">IF(ISERROR(BN56/BN$526),"",BN56/BN$526)</f>
        <v>0.46012001377268347</v>
      </c>
      <c r="BO60" s="299"/>
    </row>
    <row r="61" spans="1:67" ht="14.25" hidden="1" customHeight="1" outlineLevel="1">
      <c r="A61" s="1347"/>
      <c r="B61" s="431"/>
      <c r="C61" s="254"/>
      <c r="D61" s="320"/>
      <c r="E61" s="320"/>
      <c r="F61" s="320"/>
      <c r="G61" s="93"/>
      <c r="H61" s="269"/>
      <c r="I61" s="269"/>
      <c r="J61" s="300"/>
      <c r="K61" s="301"/>
      <c r="L61" s="318"/>
      <c r="M61" s="318"/>
      <c r="N61" s="318"/>
      <c r="O61" s="339"/>
      <c r="P61" s="318"/>
      <c r="Q61" s="318"/>
      <c r="R61" s="318"/>
      <c r="S61" s="339"/>
      <c r="T61" s="318"/>
      <c r="U61" s="318"/>
      <c r="V61" s="404"/>
      <c r="W61" s="339"/>
      <c r="X61" s="318"/>
      <c r="Y61" s="318"/>
      <c r="Z61" s="318"/>
      <c r="AA61" s="317"/>
      <c r="AB61" s="652"/>
      <c r="AC61" s="317"/>
      <c r="AD61" s="317"/>
      <c r="AE61" s="317"/>
      <c r="AF61" s="652"/>
      <c r="AG61" s="317"/>
      <c r="AH61" s="317"/>
      <c r="AI61" s="339"/>
      <c r="AJ61" s="652"/>
      <c r="AK61" s="317"/>
      <c r="AL61" s="317"/>
      <c r="AM61" s="317"/>
      <c r="AN61" s="652"/>
      <c r="AO61" s="317"/>
      <c r="AP61" s="317"/>
      <c r="AQ61" s="317"/>
      <c r="AR61" s="652"/>
      <c r="AS61" s="317"/>
      <c r="AT61" s="317"/>
      <c r="AU61" s="339"/>
      <c r="AV61" s="652"/>
      <c r="AW61" s="317"/>
      <c r="AX61" s="317"/>
      <c r="AY61" s="339"/>
      <c r="AZ61" s="20"/>
      <c r="BA61" s="652"/>
      <c r="BB61" s="317"/>
      <c r="BC61" s="256"/>
      <c r="BD61" s="256"/>
      <c r="BE61" s="256"/>
      <c r="BF61" s="255">
        <f>+BF63/BF16</f>
        <v>0.26557761235180588</v>
      </c>
      <c r="BG61" s="1615"/>
      <c r="BH61" s="1615"/>
      <c r="BI61" s="1614"/>
      <c r="BJ61" s="1715"/>
      <c r="BK61" s="1715"/>
      <c r="BL61" s="1715"/>
      <c r="BM61" s="1715"/>
      <c r="BN61" s="1715"/>
      <c r="BO61" s="299"/>
    </row>
    <row r="62" spans="1:67" ht="14.25" hidden="1" customHeight="1" outlineLevel="1">
      <c r="A62" s="1347"/>
      <c r="B62" s="436" t="s">
        <v>478</v>
      </c>
      <c r="C62" s="254"/>
      <c r="D62" s="320"/>
      <c r="E62" s="320"/>
      <c r="F62" s="320"/>
      <c r="G62" s="93"/>
      <c r="H62" s="269"/>
      <c r="I62" s="269"/>
      <c r="J62" s="300"/>
      <c r="K62" s="301"/>
      <c r="L62" s="318"/>
      <c r="M62" s="318"/>
      <c r="N62" s="318"/>
      <c r="O62" s="339"/>
      <c r="P62" s="318"/>
      <c r="Q62" s="318"/>
      <c r="R62" s="318"/>
      <c r="S62" s="339"/>
      <c r="T62" s="318"/>
      <c r="U62" s="318"/>
      <c r="V62" s="404"/>
      <c r="W62" s="339"/>
      <c r="X62" s="318"/>
      <c r="Y62" s="318"/>
      <c r="Z62" s="318"/>
      <c r="AA62" s="317"/>
      <c r="AB62" s="652"/>
      <c r="AC62" s="317"/>
      <c r="AD62" s="317"/>
      <c r="AE62" s="317"/>
      <c r="AF62" s="652"/>
      <c r="AG62" s="317"/>
      <c r="AH62" s="317"/>
      <c r="AI62" s="339"/>
      <c r="AJ62" s="652"/>
      <c r="AK62" s="317"/>
      <c r="AL62" s="317"/>
      <c r="AM62" s="317"/>
      <c r="AN62" s="652"/>
      <c r="AO62" s="317"/>
      <c r="AP62" s="317"/>
      <c r="AQ62" s="317"/>
      <c r="AR62" s="652"/>
      <c r="AS62" s="317"/>
      <c r="AT62" s="317"/>
      <c r="AU62" s="339"/>
      <c r="AV62" s="652"/>
      <c r="AW62" s="317"/>
      <c r="AX62" s="317"/>
      <c r="AY62" s="339"/>
      <c r="AZ62" s="20"/>
      <c r="BA62" s="652"/>
      <c r="BB62" s="317"/>
      <c r="BC62" s="256"/>
      <c r="BD62" s="256"/>
      <c r="BE62" s="256"/>
      <c r="BF62" s="255">
        <f>+BF64/BF16</f>
        <v>6.5739591949269371E-2</v>
      </c>
      <c r="BG62" s="1615"/>
      <c r="BH62" s="1615"/>
      <c r="BI62" s="1614"/>
      <c r="BJ62" s="1715"/>
      <c r="BK62" s="1715"/>
      <c r="BL62" s="1715"/>
      <c r="BM62" s="1715"/>
      <c r="BN62" s="1715"/>
      <c r="BO62" s="299"/>
    </row>
    <row r="63" spans="1:67" s="511" customFormat="1" hidden="1" outlineLevel="1">
      <c r="A63" s="1349"/>
      <c r="B63" s="572" t="s">
        <v>445</v>
      </c>
      <c r="C63" s="505"/>
      <c r="D63" s="506"/>
      <c r="E63" s="506"/>
      <c r="F63" s="506"/>
      <c r="G63" s="507"/>
      <c r="H63" s="421"/>
      <c r="I63" s="421"/>
      <c r="J63" s="465"/>
      <c r="K63" s="508"/>
      <c r="L63" s="480">
        <f t="shared" ref="L63:W63" si="176">+L65-L64</f>
        <v>83</v>
      </c>
      <c r="M63" s="480">
        <f t="shared" si="176"/>
        <v>77</v>
      </c>
      <c r="N63" s="480">
        <f t="shared" si="176"/>
        <v>104</v>
      </c>
      <c r="O63" s="530">
        <f t="shared" si="176"/>
        <v>117</v>
      </c>
      <c r="P63" s="480">
        <f t="shared" si="176"/>
        <v>130</v>
      </c>
      <c r="Q63" s="480">
        <f t="shared" si="176"/>
        <v>140</v>
      </c>
      <c r="R63" s="480">
        <f t="shared" si="176"/>
        <v>143</v>
      </c>
      <c r="S63" s="530">
        <f t="shared" si="176"/>
        <v>156</v>
      </c>
      <c r="T63" s="480">
        <f t="shared" si="176"/>
        <v>184</v>
      </c>
      <c r="U63" s="480">
        <f t="shared" si="176"/>
        <v>187</v>
      </c>
      <c r="V63" s="531">
        <f t="shared" si="176"/>
        <v>150</v>
      </c>
      <c r="W63" s="530">
        <f t="shared" si="176"/>
        <v>140</v>
      </c>
      <c r="X63" s="480">
        <f t="shared" ref="X63:AD63" si="177">+X65-X64</f>
        <v>164.56410256410257</v>
      </c>
      <c r="Y63" s="480">
        <f t="shared" si="177"/>
        <v>189.12820512820514</v>
      </c>
      <c r="Z63" s="531">
        <f t="shared" si="177"/>
        <v>216.66666666666666</v>
      </c>
      <c r="AA63" s="1121">
        <f t="shared" si="177"/>
        <v>220</v>
      </c>
      <c r="AB63" s="1104">
        <f t="shared" si="177"/>
        <v>227.97</v>
      </c>
      <c r="AC63" s="795">
        <f t="shared" si="177"/>
        <v>292.18049999999999</v>
      </c>
      <c r="AD63" s="1121">
        <f t="shared" si="177"/>
        <v>291.5444</v>
      </c>
      <c r="AE63" s="1121">
        <f>+AE65-AE64</f>
        <v>284.802392</v>
      </c>
      <c r="AF63" s="1104">
        <f>AE63*(1+AF68)</f>
        <v>279.10634415999999</v>
      </c>
      <c r="AG63" s="795">
        <f>AF63*(1+AG68)</f>
        <v>293.06166136799999</v>
      </c>
      <c r="AH63" s="795">
        <f>+AG63*(1+AH68)</f>
        <v>286.174712325852</v>
      </c>
      <c r="AI63" s="530">
        <f>+AH63*(1+AI68)</f>
        <v>279.44960658619448</v>
      </c>
      <c r="AJ63" s="1104">
        <f t="shared" ref="AJ63:AJ64" si="178">+AI63*(1+AJ68)</f>
        <v>273.86061445447058</v>
      </c>
      <c r="AK63" s="795">
        <f>AJ63*(1+AK68)</f>
        <v>287.55364517719414</v>
      </c>
      <c r="AL63" s="795">
        <f>+AK63*(1+AL68)</f>
        <v>280.79613451553007</v>
      </c>
      <c r="AM63" s="795">
        <f>+AL63*(1+AM68)</f>
        <v>274.19742535441515</v>
      </c>
      <c r="AN63" s="1104">
        <f t="shared" ref="AN63:AN64" si="179">+AM63*(1+AN68)</f>
        <v>268.71347684732683</v>
      </c>
      <c r="AO63" s="795">
        <f>AN63*(1+AO68)</f>
        <v>282.14915068969316</v>
      </c>
      <c r="AP63" s="795">
        <f>+AO63*(1+AP68)</f>
        <v>275.5186456484854</v>
      </c>
      <c r="AQ63" s="795">
        <f>+AP63*(1+AQ68)</f>
        <v>269.04395747574603</v>
      </c>
      <c r="AR63" s="1104">
        <f t="shared" ref="AR63:AR64" si="180">+AQ63*(1+AR68)</f>
        <v>255.5917596019587</v>
      </c>
      <c r="AS63" s="795">
        <f t="shared" ref="AS63:AS64" si="181">+AR63*(1+AS68)</f>
        <v>268.37134758205667</v>
      </c>
      <c r="AT63" s="795">
        <f t="shared" ref="AT63:AT64" si="182">+AS63*(1+AT68)</f>
        <v>276.42248800951836</v>
      </c>
      <c r="AU63" s="530">
        <f t="shared" ref="AU63:AU64" si="183">+AT63*(1+AU68)</f>
        <v>268.12981336923281</v>
      </c>
      <c r="AV63" s="1104">
        <f t="shared" ref="AV63:AV64" si="184">+AU63*(1+AV68)</f>
        <v>254.72332270077115</v>
      </c>
      <c r="AW63" s="795">
        <f t="shared" ref="AW63:AW64" si="185">+AV63*(1+AW68)</f>
        <v>267.45948883580974</v>
      </c>
      <c r="AX63" s="795">
        <f t="shared" ref="AX63:AX64" si="186">+AW63*(1+AX68)</f>
        <v>275.48327350088402</v>
      </c>
      <c r="AY63" s="530">
        <f t="shared" ref="AY63:AY64" si="187">+AX63*(1+AY68)</f>
        <v>267.21877529585748</v>
      </c>
      <c r="AZ63" s="1903"/>
      <c r="BA63" s="1126"/>
      <c r="BB63" s="509"/>
      <c r="BC63" s="795">
        <f>SUM(L63:O63)</f>
        <v>381</v>
      </c>
      <c r="BD63" s="795">
        <f>SUM(P63:S63)</f>
        <v>569</v>
      </c>
      <c r="BE63" s="795">
        <f>SUM(T63:W63)</f>
        <v>661</v>
      </c>
      <c r="BF63" s="1104">
        <f>SUM(X63:AA63)</f>
        <v>790.35897435897436</v>
      </c>
      <c r="BG63" s="795">
        <f>SUM(AB63:AE63)</f>
        <v>1096.497292</v>
      </c>
      <c r="BH63" s="795">
        <f>SUM(AF63:AI63)</f>
        <v>1137.7923244400465</v>
      </c>
      <c r="BI63" s="1104">
        <f>SUM(AJ63:AM63)</f>
        <v>1116.40781950161</v>
      </c>
      <c r="BJ63" s="795">
        <f t="shared" ref="BJ63:BK65" si="188">SUM(AN63:AQ63)</f>
        <v>1095.4252306612514</v>
      </c>
      <c r="BK63" s="795">
        <f t="shared" si="188"/>
        <v>1082.3035134158833</v>
      </c>
      <c r="BL63" s="795">
        <f>SUM(AP63:AV63)</f>
        <v>1867.8013343877692</v>
      </c>
      <c r="BM63" s="795">
        <f t="shared" ref="BM63:BN64" si="189">+BL63*(1+BM68)</f>
        <v>1811.7672943561361</v>
      </c>
      <c r="BN63" s="795">
        <f t="shared" si="189"/>
        <v>1757.414275525452</v>
      </c>
      <c r="BO63" s="510"/>
    </row>
    <row r="64" spans="1:67" s="512" customFormat="1" ht="14.25" hidden="1" customHeight="1" outlineLevel="1">
      <c r="A64" s="1350"/>
      <c r="B64" s="573" t="s">
        <v>446</v>
      </c>
      <c r="C64" s="513"/>
      <c r="D64" s="514"/>
      <c r="E64" s="514"/>
      <c r="F64" s="514"/>
      <c r="G64" s="515"/>
      <c r="H64" s="516"/>
      <c r="I64" s="516"/>
      <c r="J64" s="478"/>
      <c r="K64" s="517"/>
      <c r="L64" s="478"/>
      <c r="M64" s="478"/>
      <c r="N64" s="478"/>
      <c r="O64" s="517"/>
      <c r="P64" s="504">
        <v>5</v>
      </c>
      <c r="Q64" s="504">
        <v>5</v>
      </c>
      <c r="R64" s="504">
        <v>5</v>
      </c>
      <c r="S64" s="606">
        <v>5</v>
      </c>
      <c r="T64" s="504">
        <v>5</v>
      </c>
      <c r="U64" s="504">
        <v>7</v>
      </c>
      <c r="V64" s="607">
        <v>10</v>
      </c>
      <c r="W64" s="606">
        <v>15</v>
      </c>
      <c r="X64" s="504">
        <f>+Y64/2</f>
        <v>22.435897435897434</v>
      </c>
      <c r="Y64" s="504">
        <f>+Z64/1.3</f>
        <v>44.871794871794869</v>
      </c>
      <c r="Z64" s="607">
        <f>+AA64/1.2</f>
        <v>58.333333333333336</v>
      </c>
      <c r="AA64" s="1234">
        <v>70</v>
      </c>
      <c r="AB64" s="1251">
        <v>72.03</v>
      </c>
      <c r="AC64" s="1252">
        <v>46.819500000000005</v>
      </c>
      <c r="AD64" s="1252">
        <v>37.455600000000004</v>
      </c>
      <c r="AE64" s="1234">
        <f>AD64*(1+AE69)</f>
        <v>44.197608000000002</v>
      </c>
      <c r="AF64" s="1342">
        <f>AF56-AF63</f>
        <v>39.893655840000008</v>
      </c>
      <c r="AG64" s="914">
        <f>AG56-AG63</f>
        <v>49.938338632000011</v>
      </c>
      <c r="AH64" s="914">
        <f>+AG64*(1+AH69)</f>
        <v>109.86434499040003</v>
      </c>
      <c r="AI64" s="608">
        <f>+AH64*(1+AI69)</f>
        <v>241.70155897888009</v>
      </c>
      <c r="AJ64" s="1144">
        <f t="shared" si="178"/>
        <v>217.53140308099208</v>
      </c>
      <c r="AK64" s="914">
        <f>AK56-AK63</f>
        <v>55.446354822805858</v>
      </c>
      <c r="AL64" s="914">
        <f>+AK64*(1+AL69)</f>
        <v>121.9819806101729</v>
      </c>
      <c r="AM64" s="914">
        <f>+AL64*(1+AM69)</f>
        <v>268.36035734238038</v>
      </c>
      <c r="AN64" s="1144">
        <f t="shared" si="179"/>
        <v>241.52432160814234</v>
      </c>
      <c r="AO64" s="914">
        <f>AO56-AO63</f>
        <v>60.850849310306842</v>
      </c>
      <c r="AP64" s="914">
        <f>+AO64*(1+AP69)</f>
        <v>133.87186848267507</v>
      </c>
      <c r="AQ64" s="914">
        <f>+AP64*(1+AQ69)</f>
        <v>294.5181106618852</v>
      </c>
      <c r="AR64" s="1144">
        <f t="shared" si="180"/>
        <v>288.62774844864748</v>
      </c>
      <c r="AS64" s="914">
        <f t="shared" si="181"/>
        <v>308.83169084005283</v>
      </c>
      <c r="AT64" s="914">
        <f t="shared" si="182"/>
        <v>416.92278263407132</v>
      </c>
      <c r="AU64" s="608">
        <f t="shared" si="183"/>
        <v>479.46120002918201</v>
      </c>
      <c r="AV64" s="1144">
        <f t="shared" si="184"/>
        <v>469.87197602859834</v>
      </c>
      <c r="AW64" s="914">
        <f t="shared" si="185"/>
        <v>502.76301435060026</v>
      </c>
      <c r="AX64" s="914">
        <f t="shared" si="186"/>
        <v>678.73006937331036</v>
      </c>
      <c r="AY64" s="608">
        <f t="shared" si="187"/>
        <v>780.53957977930691</v>
      </c>
      <c r="AZ64" s="1904"/>
      <c r="BA64" s="917"/>
      <c r="BB64" s="518"/>
      <c r="BC64" s="914">
        <f>SUM(L64:O64)</f>
        <v>0</v>
      </c>
      <c r="BD64" s="914">
        <f>SUM(P64:S64)</f>
        <v>20</v>
      </c>
      <c r="BE64" s="914">
        <f>SUM(T64:W64)</f>
        <v>37</v>
      </c>
      <c r="BF64" s="1144">
        <f>SUM(X64:AA64)</f>
        <v>195.64102564102564</v>
      </c>
      <c r="BG64" s="914">
        <f>SUM(AB64:AE64)</f>
        <v>200.50270800000001</v>
      </c>
      <c r="BH64" s="914">
        <f>SUM(AF64:AI64)</f>
        <v>441.39789844128012</v>
      </c>
      <c r="BI64" s="1144">
        <f>SUM(AJ64:AM64)</f>
        <v>663.32009585635126</v>
      </c>
      <c r="BJ64" s="914">
        <f t="shared" si="188"/>
        <v>730.7651500630094</v>
      </c>
      <c r="BK64" s="914">
        <f t="shared" si="188"/>
        <v>777.86857690351462</v>
      </c>
      <c r="BL64" s="914">
        <f>SUM(AP64:AV64)</f>
        <v>2392.1053771251122</v>
      </c>
      <c r="BM64" s="914">
        <f t="shared" si="189"/>
        <v>2750.9211836938789</v>
      </c>
      <c r="BN64" s="914">
        <f t="shared" si="189"/>
        <v>3163.5593612479606</v>
      </c>
      <c r="BO64" s="519"/>
    </row>
    <row r="65" spans="1:67" s="520" customFormat="1" ht="14.25" hidden="1" customHeight="1" outlineLevel="1">
      <c r="A65" s="1351"/>
      <c r="B65" s="574" t="s">
        <v>437</v>
      </c>
      <c r="C65" s="521"/>
      <c r="D65" s="522"/>
      <c r="E65" s="522"/>
      <c r="F65" s="522"/>
      <c r="G65" s="523"/>
      <c r="H65" s="524"/>
      <c r="I65" s="524"/>
      <c r="J65" s="466"/>
      <c r="K65" s="525"/>
      <c r="L65" s="482">
        <f t="shared" ref="L65:W65" si="190">+L56</f>
        <v>83</v>
      </c>
      <c r="M65" s="482">
        <f t="shared" si="190"/>
        <v>77</v>
      </c>
      <c r="N65" s="482">
        <f t="shared" si="190"/>
        <v>104</v>
      </c>
      <c r="O65" s="528">
        <f t="shared" si="190"/>
        <v>117</v>
      </c>
      <c r="P65" s="482">
        <f t="shared" si="190"/>
        <v>135</v>
      </c>
      <c r="Q65" s="482">
        <f t="shared" si="190"/>
        <v>145</v>
      </c>
      <c r="R65" s="482">
        <f t="shared" si="190"/>
        <v>148</v>
      </c>
      <c r="S65" s="528">
        <f t="shared" si="190"/>
        <v>161</v>
      </c>
      <c r="T65" s="482">
        <f t="shared" si="190"/>
        <v>189</v>
      </c>
      <c r="U65" s="482">
        <f t="shared" si="190"/>
        <v>194</v>
      </c>
      <c r="V65" s="529">
        <f t="shared" si="190"/>
        <v>160</v>
      </c>
      <c r="W65" s="528">
        <f t="shared" si="190"/>
        <v>155</v>
      </c>
      <c r="X65" s="482">
        <f>+X56</f>
        <v>187</v>
      </c>
      <c r="Y65" s="482">
        <f>+Y56</f>
        <v>234</v>
      </c>
      <c r="Z65" s="482">
        <f>+Z56</f>
        <v>275</v>
      </c>
      <c r="AA65" s="1050">
        <f>+AA56</f>
        <v>290</v>
      </c>
      <c r="AB65" s="1102">
        <f>AB56</f>
        <v>300</v>
      </c>
      <c r="AC65" s="915">
        <f>AC56</f>
        <v>339</v>
      </c>
      <c r="AD65" s="915">
        <f>AD56</f>
        <v>329</v>
      </c>
      <c r="AE65" s="1050">
        <f>+AE56</f>
        <v>329</v>
      </c>
      <c r="AF65" s="1102">
        <f>AF56</f>
        <v>319</v>
      </c>
      <c r="AG65" s="915">
        <f>AG56</f>
        <v>343</v>
      </c>
      <c r="AH65" s="915">
        <f t="shared" ref="AH65:AJ65" si="191">+SUM(AH63:AH64)</f>
        <v>396.03905731625201</v>
      </c>
      <c r="AI65" s="528">
        <f>+SUM(AI63:AI64)</f>
        <v>521.15116556507451</v>
      </c>
      <c r="AJ65" s="1102">
        <f t="shared" si="191"/>
        <v>491.39201753546263</v>
      </c>
      <c r="AK65" s="915">
        <f>AK56</f>
        <v>343</v>
      </c>
      <c r="AL65" s="915">
        <f t="shared" ref="AL65:AM65" si="192">+SUM(AL63:AL64)</f>
        <v>402.77811512570298</v>
      </c>
      <c r="AM65" s="915">
        <f t="shared" si="192"/>
        <v>542.55778269679558</v>
      </c>
      <c r="AN65" s="1102">
        <f t="shared" ref="AN65" si="193">+SUM(AN63:AN64)</f>
        <v>510.23779845546915</v>
      </c>
      <c r="AO65" s="915">
        <f>AO56</f>
        <v>343</v>
      </c>
      <c r="AP65" s="915">
        <f t="shared" ref="AP65:AQ65" si="194">+SUM(AP63:AP64)</f>
        <v>409.39051413116044</v>
      </c>
      <c r="AQ65" s="915">
        <f t="shared" si="194"/>
        <v>563.56206813763129</v>
      </c>
      <c r="AR65" s="1102">
        <f t="shared" ref="AR65:AU65" si="195">+SUM(AR63:AR64)</f>
        <v>544.21950805060624</v>
      </c>
      <c r="AS65" s="915">
        <f t="shared" si="195"/>
        <v>577.20303842210956</v>
      </c>
      <c r="AT65" s="915">
        <f t="shared" si="195"/>
        <v>693.34527064358963</v>
      </c>
      <c r="AU65" s="528">
        <f t="shared" si="195"/>
        <v>747.59101339841482</v>
      </c>
      <c r="AV65" s="1102">
        <f t="shared" ref="AV65:AY65" si="196">+SUM(AV63:AV64)</f>
        <v>724.59529872936946</v>
      </c>
      <c r="AW65" s="915">
        <f t="shared" si="196"/>
        <v>770.22250318640999</v>
      </c>
      <c r="AX65" s="915">
        <f t="shared" si="196"/>
        <v>954.21334287419438</v>
      </c>
      <c r="AY65" s="528">
        <f t="shared" si="196"/>
        <v>1047.7583550751644</v>
      </c>
      <c r="AZ65" s="1905"/>
      <c r="BA65" s="918"/>
      <c r="BB65" s="526"/>
      <c r="BC65" s="915">
        <f>SUM(L65:O65)</f>
        <v>381</v>
      </c>
      <c r="BD65" s="915">
        <f>SUM(P65:S65)</f>
        <v>589</v>
      </c>
      <c r="BE65" s="915">
        <f>SUM(T65:W65)</f>
        <v>698</v>
      </c>
      <c r="BF65" s="1102">
        <f>SUM(X65:AA65)</f>
        <v>986</v>
      </c>
      <c r="BG65" s="915">
        <f>SUM(AB65:AE65)</f>
        <v>1297</v>
      </c>
      <c r="BH65" s="915">
        <f>SUM(AF65:AI65)</f>
        <v>1579.1902228813265</v>
      </c>
      <c r="BI65" s="1102">
        <f>SUM(AJ65:AM65)</f>
        <v>1779.7279153579611</v>
      </c>
      <c r="BJ65" s="915">
        <f t="shared" si="188"/>
        <v>1826.1903807242609</v>
      </c>
      <c r="BK65" s="915">
        <f t="shared" si="188"/>
        <v>1860.172090319398</v>
      </c>
      <c r="BL65" s="915">
        <f>SUM(AP65:AV65)</f>
        <v>4259.9067115128819</v>
      </c>
      <c r="BM65" s="915">
        <f t="shared" ref="BM65:BN65" si="197">+SUM(BM63:BM64)</f>
        <v>4562.688478050015</v>
      </c>
      <c r="BN65" s="915">
        <f t="shared" si="197"/>
        <v>4920.9736367734131</v>
      </c>
      <c r="BO65" s="527"/>
    </row>
    <row r="66" spans="1:67" s="520" customFormat="1" ht="14.25" hidden="1" customHeight="1" outlineLevel="1">
      <c r="A66" s="1351"/>
      <c r="B66" s="574"/>
      <c r="C66" s="521"/>
      <c r="D66" s="522"/>
      <c r="E66" s="522"/>
      <c r="F66" s="522"/>
      <c r="G66" s="523"/>
      <c r="H66" s="524"/>
      <c r="I66" s="524"/>
      <c r="J66" s="466"/>
      <c r="K66" s="525"/>
      <c r="L66" s="482"/>
      <c r="M66" s="482"/>
      <c r="N66" s="482"/>
      <c r="O66" s="528"/>
      <c r="P66" s="482"/>
      <c r="Q66" s="482"/>
      <c r="R66" s="482"/>
      <c r="S66" s="528"/>
      <c r="T66" s="482"/>
      <c r="U66" s="482"/>
      <c r="V66" s="529"/>
      <c r="W66" s="528"/>
      <c r="X66" s="482"/>
      <c r="Y66" s="482"/>
      <c r="Z66" s="816"/>
      <c r="AA66" s="1235"/>
      <c r="AB66" s="918"/>
      <c r="AC66" s="526"/>
      <c r="AD66" s="526"/>
      <c r="AE66" s="526"/>
      <c r="AF66" s="918"/>
      <c r="AG66" s="526"/>
      <c r="AH66" s="526"/>
      <c r="AI66" s="525"/>
      <c r="AJ66" s="655"/>
      <c r="AK66" s="526"/>
      <c r="AL66" s="526"/>
      <c r="AM66" s="1586"/>
      <c r="AN66" s="1640"/>
      <c r="AO66" s="1637"/>
      <c r="AP66" s="1637"/>
      <c r="AQ66" s="1637"/>
      <c r="AR66" s="918"/>
      <c r="AS66" s="526"/>
      <c r="AT66" s="526"/>
      <c r="AU66" s="525"/>
      <c r="AV66" s="918"/>
      <c r="AW66" s="526"/>
      <c r="AX66" s="526"/>
      <c r="AY66" s="525"/>
      <c r="AZ66" s="1905"/>
      <c r="BA66" s="918"/>
      <c r="BB66" s="526"/>
      <c r="BC66" s="526"/>
      <c r="BD66" s="526"/>
      <c r="BE66" s="526"/>
      <c r="BF66" s="918"/>
      <c r="BG66" s="1637"/>
      <c r="BH66" s="1637"/>
      <c r="BI66" s="1648"/>
      <c r="BJ66" s="1637"/>
      <c r="BK66" s="1637"/>
      <c r="BL66" s="1637"/>
      <c r="BM66" s="1637"/>
      <c r="BN66" s="1637"/>
      <c r="BO66" s="527"/>
    </row>
    <row r="67" spans="1:67" s="520" customFormat="1" ht="14.25" hidden="1" customHeight="1" outlineLevel="1">
      <c r="A67" s="1351"/>
      <c r="B67" s="572" t="s">
        <v>465</v>
      </c>
      <c r="C67" s="521"/>
      <c r="D67" s="522"/>
      <c r="E67" s="522"/>
      <c r="F67" s="522"/>
      <c r="G67" s="523"/>
      <c r="H67" s="524"/>
      <c r="I67" s="524"/>
      <c r="J67" s="466"/>
      <c r="K67" s="525"/>
      <c r="L67" s="482"/>
      <c r="M67" s="482"/>
      <c r="N67" s="482"/>
      <c r="O67" s="528"/>
      <c r="P67" s="482"/>
      <c r="Q67" s="482"/>
      <c r="R67" s="482"/>
      <c r="S67" s="528"/>
      <c r="T67" s="482"/>
      <c r="U67" s="482"/>
      <c r="V67" s="529"/>
      <c r="W67" s="528"/>
      <c r="X67" s="482"/>
      <c r="Y67" s="482"/>
      <c r="Z67" s="654"/>
      <c r="AA67" s="526"/>
      <c r="AB67" s="918"/>
      <c r="AC67" s="526"/>
      <c r="AD67" s="1253"/>
      <c r="AE67" s="526"/>
      <c r="AF67" s="918"/>
      <c r="AG67" s="526"/>
      <c r="AH67" s="526"/>
      <c r="AI67" s="525"/>
      <c r="AJ67" s="918"/>
      <c r="AK67" s="526"/>
      <c r="AL67" s="526"/>
      <c r="AM67" s="1586"/>
      <c r="AN67" s="1648"/>
      <c r="AO67" s="1637"/>
      <c r="AP67" s="1637"/>
      <c r="AQ67" s="1637"/>
      <c r="AR67" s="918"/>
      <c r="AS67" s="526"/>
      <c r="AT67" s="526"/>
      <c r="AU67" s="525"/>
      <c r="AV67" s="918"/>
      <c r="AW67" s="526"/>
      <c r="AX67" s="526"/>
      <c r="AY67" s="525"/>
      <c r="AZ67" s="1905"/>
      <c r="BA67" s="918"/>
      <c r="BB67" s="526"/>
      <c r="BC67" s="526"/>
      <c r="BD67" s="526"/>
      <c r="BE67" s="526"/>
      <c r="BF67" s="918"/>
      <c r="BG67" s="1637"/>
      <c r="BH67" s="1637"/>
      <c r="BI67" s="1648"/>
      <c r="BJ67" s="1637"/>
      <c r="BK67" s="1637"/>
      <c r="BL67" s="1637"/>
      <c r="BM67" s="1637"/>
      <c r="BN67" s="1637"/>
      <c r="BO67" s="527"/>
    </row>
    <row r="68" spans="1:67" s="603" customFormat="1" ht="14.25" hidden="1" customHeight="1" outlineLevel="1">
      <c r="A68" s="1352"/>
      <c r="B68" s="1832" t="s">
        <v>445</v>
      </c>
      <c r="C68" s="604"/>
      <c r="D68" s="422"/>
      <c r="E68" s="422"/>
      <c r="F68" s="422"/>
      <c r="G68" s="423"/>
      <c r="H68" s="404"/>
      <c r="I68" s="404"/>
      <c r="J68" s="318"/>
      <c r="K68" s="339"/>
      <c r="L68" s="318"/>
      <c r="M68" s="318">
        <f>+M63/L63-1</f>
        <v>-7.2289156626506035E-2</v>
      </c>
      <c r="N68" s="318">
        <f t="shared" ref="N68:AF70" si="198">+N63/M63-1</f>
        <v>0.35064935064935066</v>
      </c>
      <c r="O68" s="339">
        <f t="shared" si="198"/>
        <v>0.125</v>
      </c>
      <c r="P68" s="318">
        <f t="shared" si="198"/>
        <v>0.11111111111111116</v>
      </c>
      <c r="Q68" s="318">
        <f t="shared" si="198"/>
        <v>7.6923076923076872E-2</v>
      </c>
      <c r="R68" s="318">
        <f t="shared" si="198"/>
        <v>2.1428571428571352E-2</v>
      </c>
      <c r="S68" s="339">
        <f t="shared" si="198"/>
        <v>9.0909090909090828E-2</v>
      </c>
      <c r="T68" s="318">
        <f t="shared" si="198"/>
        <v>0.17948717948717952</v>
      </c>
      <c r="U68" s="318">
        <f t="shared" si="198"/>
        <v>1.6304347826086918E-2</v>
      </c>
      <c r="V68" s="404">
        <f t="shared" si="198"/>
        <v>-0.19786096256684493</v>
      </c>
      <c r="W68" s="339">
        <f t="shared" si="198"/>
        <v>-6.6666666666666652E-2</v>
      </c>
      <c r="X68" s="318">
        <f t="shared" si="198"/>
        <v>0.1754578754578755</v>
      </c>
      <c r="Y68" s="318">
        <f t="shared" si="198"/>
        <v>0.1492676846369585</v>
      </c>
      <c r="Z68" s="318">
        <f t="shared" ref="Z68:AG69" si="199">+Z63/Y63-1</f>
        <v>0.14560737527114953</v>
      </c>
      <c r="AA68" s="317">
        <f t="shared" si="199"/>
        <v>1.538461538461533E-2</v>
      </c>
      <c r="AB68" s="652">
        <f t="shared" si="199"/>
        <v>3.6227272727272775E-2</v>
      </c>
      <c r="AC68" s="317">
        <f t="shared" si="199"/>
        <v>0.28166206079747336</v>
      </c>
      <c r="AD68" s="317">
        <f t="shared" si="199"/>
        <v>-2.1770788947242936E-3</v>
      </c>
      <c r="AE68" s="317">
        <f>AE63/AD63-1</f>
        <v>-2.3125150062906386E-2</v>
      </c>
      <c r="AF68" s="652">
        <v>-0.02</v>
      </c>
      <c r="AG68" s="256">
        <v>0.05</v>
      </c>
      <c r="AH68" s="317">
        <v>-2.35E-2</v>
      </c>
      <c r="AI68" s="339">
        <v>-2.35E-2</v>
      </c>
      <c r="AJ68" s="1145">
        <v>-0.02</v>
      </c>
      <c r="AK68" s="256">
        <v>0.05</v>
      </c>
      <c r="AL68" s="317">
        <v>-2.35E-2</v>
      </c>
      <c r="AM68" s="1146">
        <v>-2.35E-2</v>
      </c>
      <c r="AN68" s="1145">
        <v>-0.02</v>
      </c>
      <c r="AO68" s="1715">
        <v>0.05</v>
      </c>
      <c r="AP68" s="317">
        <v>-2.35E-2</v>
      </c>
      <c r="AQ68" s="1822">
        <v>-2.35E-2</v>
      </c>
      <c r="AR68" s="1145">
        <v>-0.05</v>
      </c>
      <c r="AS68" s="1146">
        <v>0.05</v>
      </c>
      <c r="AT68" s="1146">
        <v>0.03</v>
      </c>
      <c r="AU68" s="449">
        <v>-0.03</v>
      </c>
      <c r="AV68" s="1145">
        <v>-0.05</v>
      </c>
      <c r="AW68" s="1146">
        <v>0.05</v>
      </c>
      <c r="AX68" s="1146">
        <v>0.03</v>
      </c>
      <c r="AY68" s="449">
        <v>-0.03</v>
      </c>
      <c r="AZ68" s="1906"/>
      <c r="BA68" s="652"/>
      <c r="BB68" s="317"/>
      <c r="BC68" s="317"/>
      <c r="BD68" s="317"/>
      <c r="BE68" s="317"/>
      <c r="BF68" s="652">
        <f>+BF63/BE63-1</f>
        <v>0.19570192792583119</v>
      </c>
      <c r="BG68" s="317">
        <f>+BG63/BF63-1</f>
        <v>0.38734085089540615</v>
      </c>
      <c r="BH68" s="317">
        <f t="shared" ref="BF68:BN70" si="200">+BH63/BG63-1</f>
        <v>3.7660861309310567E-2</v>
      </c>
      <c r="BI68" s="652">
        <f t="shared" si="200"/>
        <v>-1.8794734749999931E-2</v>
      </c>
      <c r="BJ68" s="317">
        <f t="shared" si="200"/>
        <v>-1.8794734750000042E-2</v>
      </c>
      <c r="BK68" s="317">
        <f t="shared" si="200"/>
        <v>-1.1978651648773098E-2</v>
      </c>
      <c r="BL68" s="317">
        <f t="shared" si="200"/>
        <v>0.72576482588766433</v>
      </c>
      <c r="BM68" s="317">
        <v>-0.03</v>
      </c>
      <c r="BN68" s="317">
        <v>-0.03</v>
      </c>
      <c r="BO68" s="605"/>
    </row>
    <row r="69" spans="1:67" s="603" customFormat="1" ht="14.25" hidden="1" customHeight="1" outlineLevel="1">
      <c r="A69" s="1352"/>
      <c r="B69" s="1832" t="s">
        <v>446</v>
      </c>
      <c r="C69" s="604"/>
      <c r="D69" s="422"/>
      <c r="E69" s="422"/>
      <c r="F69" s="422"/>
      <c r="G69" s="423"/>
      <c r="H69" s="404"/>
      <c r="I69" s="404"/>
      <c r="J69" s="318"/>
      <c r="K69" s="339"/>
      <c r="L69" s="318"/>
      <c r="M69" s="318"/>
      <c r="N69" s="318"/>
      <c r="O69" s="339"/>
      <c r="P69" s="318"/>
      <c r="Q69" s="318">
        <f t="shared" ref="Q69:Y69" si="201">+Q64/P64-1</f>
        <v>0</v>
      </c>
      <c r="R69" s="318">
        <f t="shared" si="201"/>
        <v>0</v>
      </c>
      <c r="S69" s="339">
        <f t="shared" si="201"/>
        <v>0</v>
      </c>
      <c r="T69" s="318">
        <f t="shared" si="201"/>
        <v>0</v>
      </c>
      <c r="U69" s="318">
        <f t="shared" si="201"/>
        <v>0.39999999999999991</v>
      </c>
      <c r="V69" s="404">
        <f t="shared" si="201"/>
        <v>0.4285714285714286</v>
      </c>
      <c r="W69" s="339">
        <f t="shared" si="201"/>
        <v>0.5</v>
      </c>
      <c r="X69" s="318">
        <f t="shared" si="201"/>
        <v>0.49572649572649552</v>
      </c>
      <c r="Y69" s="318">
        <f t="shared" si="201"/>
        <v>1</v>
      </c>
      <c r="Z69" s="318">
        <f t="shared" si="199"/>
        <v>0.30000000000000004</v>
      </c>
      <c r="AA69" s="317">
        <f t="shared" si="199"/>
        <v>0.19999999999999996</v>
      </c>
      <c r="AB69" s="652">
        <f t="shared" si="199"/>
        <v>2.8999999999999915E-2</v>
      </c>
      <c r="AC69" s="317">
        <f t="shared" si="199"/>
        <v>-0.35</v>
      </c>
      <c r="AD69" s="317">
        <f t="shared" si="199"/>
        <v>-0.19999999999999996</v>
      </c>
      <c r="AE69" s="317">
        <v>0.18</v>
      </c>
      <c r="AF69" s="652">
        <f t="shared" si="199"/>
        <v>-9.7379753221033871E-2</v>
      </c>
      <c r="AG69" s="317">
        <f t="shared" si="199"/>
        <v>0.25178647031713108</v>
      </c>
      <c r="AH69" s="317">
        <v>1.2</v>
      </c>
      <c r="AI69" s="339">
        <v>1.2</v>
      </c>
      <c r="AJ69" s="1145">
        <v>-0.1</v>
      </c>
      <c r="AK69" s="317">
        <f>+AK64/AJ64-1</f>
        <v>-0.7451110320740133</v>
      </c>
      <c r="AL69" s="317">
        <v>1.2</v>
      </c>
      <c r="AM69" s="1146">
        <v>1.2</v>
      </c>
      <c r="AN69" s="1145">
        <v>-0.1</v>
      </c>
      <c r="AO69" s="317">
        <f>+AO64/AN64-1</f>
        <v>-0.74805498301312512</v>
      </c>
      <c r="AP69" s="317">
        <v>1.2</v>
      </c>
      <c r="AQ69" s="1822">
        <v>1.2</v>
      </c>
      <c r="AR69" s="1145">
        <v>-0.02</v>
      </c>
      <c r="AS69" s="1146">
        <v>7.0000000000000007E-2</v>
      </c>
      <c r="AT69" s="1146">
        <v>0.35</v>
      </c>
      <c r="AU69" s="449">
        <v>0.15</v>
      </c>
      <c r="AV69" s="1145">
        <v>-0.02</v>
      </c>
      <c r="AW69" s="1146">
        <v>7.0000000000000007E-2</v>
      </c>
      <c r="AX69" s="1146">
        <v>0.35</v>
      </c>
      <c r="AY69" s="449">
        <v>0.15</v>
      </c>
      <c r="AZ69" s="1906"/>
      <c r="BA69" s="652"/>
      <c r="BB69" s="317"/>
      <c r="BC69" s="317"/>
      <c r="BD69" s="317"/>
      <c r="BE69" s="317"/>
      <c r="BF69" s="652">
        <f t="shared" si="200"/>
        <v>4.2875952875952876</v>
      </c>
      <c r="BG69" s="317">
        <f t="shared" si="200"/>
        <v>2.4850014678899246E-2</v>
      </c>
      <c r="BH69" s="317">
        <f t="shared" si="200"/>
        <v>1.2014560443806079</v>
      </c>
      <c r="BI69" s="652">
        <f t="shared" si="200"/>
        <v>0.5027713049807232</v>
      </c>
      <c r="BJ69" s="317">
        <f t="shared" si="200"/>
        <v>0.10167799020107493</v>
      </c>
      <c r="BK69" s="317">
        <f t="shared" si="200"/>
        <v>6.4457680879341117E-2</v>
      </c>
      <c r="BL69" s="317">
        <f t="shared" si="200"/>
        <v>2.0752050515363916</v>
      </c>
      <c r="BM69" s="317">
        <v>0.15</v>
      </c>
      <c r="BN69" s="317">
        <v>0.15</v>
      </c>
      <c r="BO69" s="605"/>
    </row>
    <row r="70" spans="1:67" s="603" customFormat="1" ht="14.25" hidden="1" customHeight="1" outlineLevel="1">
      <c r="A70" s="1352"/>
      <c r="B70" s="633" t="s">
        <v>467</v>
      </c>
      <c r="C70" s="604"/>
      <c r="D70" s="422"/>
      <c r="E70" s="422"/>
      <c r="F70" s="422"/>
      <c r="G70" s="423"/>
      <c r="H70" s="404"/>
      <c r="I70" s="404"/>
      <c r="J70" s="318"/>
      <c r="K70" s="339"/>
      <c r="L70" s="318"/>
      <c r="M70" s="318">
        <f>+M65/L65-1</f>
        <v>-7.2289156626506035E-2</v>
      </c>
      <c r="N70" s="318">
        <f t="shared" si="198"/>
        <v>0.35064935064935066</v>
      </c>
      <c r="O70" s="339">
        <f t="shared" si="198"/>
        <v>0.125</v>
      </c>
      <c r="P70" s="318">
        <f t="shared" si="198"/>
        <v>0.15384615384615374</v>
      </c>
      <c r="Q70" s="318">
        <f t="shared" si="198"/>
        <v>7.4074074074074181E-2</v>
      </c>
      <c r="R70" s="318">
        <f t="shared" si="198"/>
        <v>2.0689655172413834E-2</v>
      </c>
      <c r="S70" s="339">
        <f t="shared" si="198"/>
        <v>8.783783783783794E-2</v>
      </c>
      <c r="T70" s="318">
        <f t="shared" si="198"/>
        <v>0.17391304347826098</v>
      </c>
      <c r="U70" s="318">
        <f t="shared" si="198"/>
        <v>2.6455026455026509E-2</v>
      </c>
      <c r="V70" s="404">
        <f t="shared" si="198"/>
        <v>-0.17525773195876293</v>
      </c>
      <c r="W70" s="339">
        <f t="shared" si="198"/>
        <v>-3.125E-2</v>
      </c>
      <c r="X70" s="318">
        <f t="shared" si="198"/>
        <v>0.20645161290322589</v>
      </c>
      <c r="Y70" s="318">
        <f t="shared" si="198"/>
        <v>0.25133689839572182</v>
      </c>
      <c r="Z70" s="318">
        <f t="shared" si="198"/>
        <v>0.17521367521367526</v>
      </c>
      <c r="AA70" s="317">
        <f t="shared" si="198"/>
        <v>5.4545454545454453E-2</v>
      </c>
      <c r="AB70" s="958">
        <f t="shared" si="198"/>
        <v>3.4482758620689724E-2</v>
      </c>
      <c r="AC70" s="317">
        <f t="shared" si="198"/>
        <v>0.12999999999999989</v>
      </c>
      <c r="AD70" s="317">
        <f t="shared" si="198"/>
        <v>-2.9498525073746285E-2</v>
      </c>
      <c r="AE70" s="317">
        <f t="shared" si="198"/>
        <v>0</v>
      </c>
      <c r="AF70" s="958">
        <f t="shared" si="198"/>
        <v>-3.039513677811545E-2</v>
      </c>
      <c r="AG70" s="317">
        <f t="shared" ref="AG70:AQ70" si="202">+AG65/AF65-1</f>
        <v>7.5235109717868287E-2</v>
      </c>
      <c r="AH70" s="317">
        <f t="shared" si="202"/>
        <v>0.15463282016399993</v>
      </c>
      <c r="AI70" s="339">
        <f t="shared" si="202"/>
        <v>0.31590850936935699</v>
      </c>
      <c r="AJ70" s="652">
        <f t="shared" si="202"/>
        <v>-5.7102717975013206E-2</v>
      </c>
      <c r="AK70" s="317">
        <f t="shared" si="202"/>
        <v>-0.30198296317410878</v>
      </c>
      <c r="AL70" s="317">
        <f t="shared" si="202"/>
        <v>0.17428021902537316</v>
      </c>
      <c r="AM70" s="317">
        <f t="shared" si="202"/>
        <v>0.34703888399564309</v>
      </c>
      <c r="AN70" s="652">
        <f t="shared" si="202"/>
        <v>-5.9569662941114321E-2</v>
      </c>
      <c r="AO70" s="317">
        <f t="shared" si="202"/>
        <v>-0.32776442466965683</v>
      </c>
      <c r="AP70" s="317">
        <f t="shared" si="202"/>
        <v>0.19355835023661938</v>
      </c>
      <c r="AQ70" s="317">
        <f t="shared" si="202"/>
        <v>0.37658799773039542</v>
      </c>
      <c r="AR70" s="652">
        <f t="shared" ref="AR70:AU70" si="203">+AR65/AQ65-1</f>
        <v>-3.4321969452176249E-2</v>
      </c>
      <c r="AS70" s="317">
        <f t="shared" si="203"/>
        <v>6.0607034263895354E-2</v>
      </c>
      <c r="AT70" s="317">
        <f t="shared" si="203"/>
        <v>0.20121555932722779</v>
      </c>
      <c r="AU70" s="339">
        <f t="shared" si="203"/>
        <v>7.8237705010192338E-2</v>
      </c>
      <c r="AV70" s="652">
        <f t="shared" ref="AV70" si="204">+AV65/AU65-1</f>
        <v>-3.0759752668121254E-2</v>
      </c>
      <c r="AW70" s="317">
        <f t="shared" ref="AW70" si="205">+AW65/AV65-1</f>
        <v>6.2969225079228641E-2</v>
      </c>
      <c r="AX70" s="317">
        <f t="shared" ref="AX70" si="206">+AX65/AW65-1</f>
        <v>0.23888011441708645</v>
      </c>
      <c r="AY70" s="339">
        <f t="shared" ref="AY70" si="207">+AY65/AX65-1</f>
        <v>9.8033645095762623E-2</v>
      </c>
      <c r="AZ70" s="1906"/>
      <c r="BA70" s="652"/>
      <c r="BB70" s="317"/>
      <c r="BC70" s="317"/>
      <c r="BD70" s="317"/>
      <c r="BE70" s="317"/>
      <c r="BF70" s="652">
        <f t="shared" si="200"/>
        <v>0.41260744985673359</v>
      </c>
      <c r="BG70" s="317">
        <f t="shared" si="200"/>
        <v>0.3154158215010141</v>
      </c>
      <c r="BH70" s="1337">
        <f t="shared" si="200"/>
        <v>0.2175714902708763</v>
      </c>
      <c r="BI70" s="1562">
        <f t="shared" si="200"/>
        <v>0.12698767353735363</v>
      </c>
      <c r="BJ70" s="1337">
        <f t="shared" si="200"/>
        <v>2.6106499181901333E-2</v>
      </c>
      <c r="BK70" s="1337">
        <f t="shared" si="200"/>
        <v>1.8607977543754206E-2</v>
      </c>
      <c r="BL70" s="1337">
        <f t="shared" si="200"/>
        <v>1.290060545302258</v>
      </c>
      <c r="BM70" s="1337">
        <f t="shared" si="200"/>
        <v>7.1077088547228273E-2</v>
      </c>
      <c r="BN70" s="1337">
        <f t="shared" si="200"/>
        <v>7.8525010078382751E-2</v>
      </c>
      <c r="BO70" s="605"/>
    </row>
    <row r="71" spans="1:67" s="520" customFormat="1" ht="14.25" hidden="1" customHeight="1" outlineLevel="1">
      <c r="A71" s="1351"/>
      <c r="B71" s="602"/>
      <c r="C71" s="521"/>
      <c r="D71" s="522"/>
      <c r="E71" s="522"/>
      <c r="F71" s="522"/>
      <c r="G71" s="523"/>
      <c r="H71" s="524"/>
      <c r="I71" s="524"/>
      <c r="J71" s="466"/>
      <c r="K71" s="525"/>
      <c r="L71" s="482"/>
      <c r="M71" s="482"/>
      <c r="N71" s="482"/>
      <c r="O71" s="528"/>
      <c r="P71" s="482"/>
      <c r="Q71" s="482"/>
      <c r="R71" s="482"/>
      <c r="S71" s="528"/>
      <c r="T71" s="482"/>
      <c r="U71" s="482"/>
      <c r="V71" s="529"/>
      <c r="W71" s="528"/>
      <c r="X71" s="482"/>
      <c r="Y71" s="482"/>
      <c r="Z71" s="466"/>
      <c r="AA71" s="526"/>
      <c r="AB71" s="918"/>
      <c r="AC71" s="526"/>
      <c r="AD71" s="526"/>
      <c r="AE71" s="526"/>
      <c r="AF71" s="918"/>
      <c r="AG71" s="526"/>
      <c r="AH71" s="526"/>
      <c r="AI71" s="525"/>
      <c r="AJ71" s="918"/>
      <c r="AK71" s="526"/>
      <c r="AL71" s="526"/>
      <c r="AM71" s="1586"/>
      <c r="AN71" s="1648"/>
      <c r="AO71" s="1637"/>
      <c r="AP71" s="1637"/>
      <c r="AQ71" s="1637"/>
      <c r="AR71" s="918"/>
      <c r="AS71" s="526"/>
      <c r="AT71" s="526"/>
      <c r="AU71" s="525"/>
      <c r="AV71" s="918"/>
      <c r="AW71" s="526"/>
      <c r="AX71" s="526"/>
      <c r="AY71" s="525"/>
      <c r="AZ71" s="1905"/>
      <c r="BA71" s="918"/>
      <c r="BB71" s="526"/>
      <c r="BC71" s="526"/>
      <c r="BD71" s="526"/>
      <c r="BE71" s="526"/>
      <c r="BF71" s="918"/>
      <c r="BG71" s="1637"/>
      <c r="BH71" s="1637"/>
      <c r="BI71" s="1648"/>
      <c r="BJ71" s="1637"/>
      <c r="BK71" s="1637"/>
      <c r="BL71" s="1637"/>
      <c r="BM71" s="1637"/>
      <c r="BN71" s="1637"/>
      <c r="BO71" s="527"/>
    </row>
    <row r="72" spans="1:67" s="520" customFormat="1" ht="14.25" hidden="1" customHeight="1" outlineLevel="1">
      <c r="A72" s="1351"/>
      <c r="B72" s="572" t="s">
        <v>466</v>
      </c>
      <c r="C72" s="521"/>
      <c r="D72" s="522"/>
      <c r="E72" s="522"/>
      <c r="F72" s="522"/>
      <c r="G72" s="523"/>
      <c r="H72" s="524"/>
      <c r="I72" s="524"/>
      <c r="J72" s="466"/>
      <c r="K72" s="525"/>
      <c r="L72" s="482"/>
      <c r="M72" s="482"/>
      <c r="N72" s="482"/>
      <c r="O72" s="528"/>
      <c r="P72" s="482"/>
      <c r="Q72" s="482"/>
      <c r="R72" s="482"/>
      <c r="S72" s="528"/>
      <c r="T72" s="482"/>
      <c r="U72" s="482"/>
      <c r="V72" s="529"/>
      <c r="W72" s="528"/>
      <c r="X72" s="482"/>
      <c r="Y72" s="482"/>
      <c r="Z72" s="466"/>
      <c r="AA72" s="526"/>
      <c r="AB72" s="918"/>
      <c r="AC72" s="526"/>
      <c r="AD72" s="526"/>
      <c r="AE72" s="526"/>
      <c r="AF72" s="918"/>
      <c r="AG72" s="526"/>
      <c r="AH72" s="526"/>
      <c r="AI72" s="525"/>
      <c r="AJ72" s="918"/>
      <c r="AK72" s="526"/>
      <c r="AL72" s="526"/>
      <c r="AM72" s="1586"/>
      <c r="AN72" s="1648"/>
      <c r="AO72" s="1637"/>
      <c r="AP72" s="1637"/>
      <c r="AQ72" s="1637"/>
      <c r="AR72" s="918"/>
      <c r="AS72" s="526"/>
      <c r="AT72" s="526"/>
      <c r="AU72" s="525"/>
      <c r="AV72" s="918"/>
      <c r="AW72" s="526"/>
      <c r="AX72" s="526"/>
      <c r="AY72" s="525"/>
      <c r="AZ72" s="1905"/>
      <c r="BA72" s="918"/>
      <c r="BB72" s="526"/>
      <c r="BC72" s="526"/>
      <c r="BD72" s="526"/>
      <c r="BE72" s="526"/>
      <c r="BF72" s="918"/>
      <c r="BG72" s="1637"/>
      <c r="BH72" s="1637"/>
      <c r="BI72" s="1648"/>
      <c r="BJ72" s="1637"/>
      <c r="BK72" s="1637"/>
      <c r="BL72" s="1637"/>
      <c r="BM72" s="1637"/>
      <c r="BN72" s="1637"/>
      <c r="BO72" s="527"/>
    </row>
    <row r="73" spans="1:67" s="603" customFormat="1" ht="14.25" hidden="1" customHeight="1" outlineLevel="1">
      <c r="A73" s="1352"/>
      <c r="B73" s="633" t="s">
        <v>445</v>
      </c>
      <c r="C73" s="604"/>
      <c r="D73" s="422"/>
      <c r="E73" s="422"/>
      <c r="F73" s="422"/>
      <c r="G73" s="423"/>
      <c r="H73" s="404"/>
      <c r="I73" s="404"/>
      <c r="J73" s="318"/>
      <c r="K73" s="339"/>
      <c r="L73" s="318"/>
      <c r="M73" s="318"/>
      <c r="N73" s="318"/>
      <c r="O73" s="339"/>
      <c r="P73" s="318">
        <f>+P63/L63-1</f>
        <v>0.56626506024096379</v>
      </c>
      <c r="Q73" s="318">
        <f t="shared" ref="Q73:AE75" si="208">+Q63/M63-1</f>
        <v>0.81818181818181812</v>
      </c>
      <c r="R73" s="318">
        <f t="shared" si="208"/>
        <v>0.375</v>
      </c>
      <c r="S73" s="339">
        <f t="shared" si="208"/>
        <v>0.33333333333333326</v>
      </c>
      <c r="T73" s="318">
        <f t="shared" si="208"/>
        <v>0.41538461538461546</v>
      </c>
      <c r="U73" s="318">
        <f t="shared" si="208"/>
        <v>0.33571428571428563</v>
      </c>
      <c r="V73" s="404">
        <f t="shared" si="208"/>
        <v>4.8951048951048959E-2</v>
      </c>
      <c r="W73" s="339">
        <f t="shared" si="208"/>
        <v>-0.10256410256410253</v>
      </c>
      <c r="X73" s="318">
        <f t="shared" si="208"/>
        <v>-0.10562987736900775</v>
      </c>
      <c r="Y73" s="318">
        <f t="shared" si="208"/>
        <v>1.138077608665844E-2</v>
      </c>
      <c r="Z73" s="318">
        <f t="shared" si="208"/>
        <v>0.44444444444444442</v>
      </c>
      <c r="AA73" s="317">
        <f t="shared" si="208"/>
        <v>0.5714285714285714</v>
      </c>
      <c r="AB73" s="652">
        <f t="shared" si="208"/>
        <v>0.38529604238080384</v>
      </c>
      <c r="AC73" s="317">
        <f t="shared" si="208"/>
        <v>0.54488062635574819</v>
      </c>
      <c r="AD73" s="317">
        <f t="shared" si="208"/>
        <v>0.34558953846153839</v>
      </c>
      <c r="AE73" s="317">
        <f t="shared" si="208"/>
        <v>0.29455632727272718</v>
      </c>
      <c r="AF73" s="652">
        <f t="shared" ref="AF73:AQ75" si="209">+AF63/AB63-1</f>
        <v>0.22431172592885029</v>
      </c>
      <c r="AG73" s="317">
        <f t="shared" si="209"/>
        <v>3.0158116917453626E-3</v>
      </c>
      <c r="AH73" s="317">
        <f t="shared" si="209"/>
        <v>-1.8418078598484433E-2</v>
      </c>
      <c r="AI73" s="339">
        <f t="shared" si="209"/>
        <v>-1.8794734750000042E-2</v>
      </c>
      <c r="AJ73" s="652">
        <f t="shared" ref="AJ73:AJ75" si="210">+AJ63/AF63-1</f>
        <v>-1.8794734750000042E-2</v>
      </c>
      <c r="AK73" s="317">
        <f t="shared" si="209"/>
        <v>-1.8794734749999931E-2</v>
      </c>
      <c r="AL73" s="317">
        <f t="shared" si="209"/>
        <v>-1.8794734749999931E-2</v>
      </c>
      <c r="AM73" s="317">
        <f t="shared" si="209"/>
        <v>-1.879473474999982E-2</v>
      </c>
      <c r="AN73" s="652">
        <f t="shared" si="209"/>
        <v>-1.879473474999982E-2</v>
      </c>
      <c r="AO73" s="317">
        <f t="shared" si="209"/>
        <v>-1.8794734750000042E-2</v>
      </c>
      <c r="AP73" s="317">
        <f t="shared" si="209"/>
        <v>-1.879473474999982E-2</v>
      </c>
      <c r="AQ73" s="317">
        <f t="shared" si="209"/>
        <v>-1.879473474999982E-2</v>
      </c>
      <c r="AR73" s="652">
        <f t="shared" ref="AR73:AR75" si="211">+AR63/AN63-1</f>
        <v>-4.8831630624999955E-2</v>
      </c>
      <c r="AS73" s="317">
        <f t="shared" ref="AS73:AS75" si="212">+AS63/AO63-1</f>
        <v>-4.8831630624999733E-2</v>
      </c>
      <c r="AT73" s="317">
        <f t="shared" ref="AT73:AT75" si="213">+AT63/AP63-1</f>
        <v>3.2805125000001656E-3</v>
      </c>
      <c r="AU73" s="339">
        <f t="shared" ref="AU73:AU75" si="214">+AU63/AQ63-1</f>
        <v>-3.3977499999999772E-3</v>
      </c>
      <c r="AV73" s="652">
        <f t="shared" ref="AV73:AV75" si="215">+AV63/AR63-1</f>
        <v>-3.3977499999999772E-3</v>
      </c>
      <c r="AW73" s="317">
        <f t="shared" ref="AW73:AW75" si="216">+AW63/AS63-1</f>
        <v>-3.3977499999999772E-3</v>
      </c>
      <c r="AX73" s="317">
        <f t="shared" ref="AX73:AX75" si="217">+AX63/AT63-1</f>
        <v>-3.3977499999999772E-3</v>
      </c>
      <c r="AY73" s="339">
        <f t="shared" ref="AY73:AY75" si="218">+AY63/AU63-1</f>
        <v>-3.3977500000000882E-3</v>
      </c>
      <c r="AZ73" s="1906"/>
      <c r="BA73" s="652"/>
      <c r="BB73" s="317"/>
      <c r="BC73" s="317"/>
      <c r="BD73" s="317">
        <f t="shared" ref="BD73:BL73" si="219">+BD63/BC63-1</f>
        <v>0.49343832020997369</v>
      </c>
      <c r="BE73" s="317">
        <f t="shared" si="219"/>
        <v>0.16168717047451664</v>
      </c>
      <c r="BF73" s="652">
        <f t="shared" si="219"/>
        <v>0.19570192792583119</v>
      </c>
      <c r="BG73" s="317">
        <f t="shared" si="219"/>
        <v>0.38734085089540615</v>
      </c>
      <c r="BH73" s="317">
        <f t="shared" si="219"/>
        <v>3.7660861309310567E-2</v>
      </c>
      <c r="BI73" s="652">
        <f t="shared" si="219"/>
        <v>-1.8794734749999931E-2</v>
      </c>
      <c r="BJ73" s="317">
        <f t="shared" si="219"/>
        <v>-1.8794734750000042E-2</v>
      </c>
      <c r="BK73" s="317">
        <f t="shared" si="219"/>
        <v>-1.1978651648773098E-2</v>
      </c>
      <c r="BL73" s="317">
        <f t="shared" si="219"/>
        <v>0.72576482588766433</v>
      </c>
      <c r="BM73" s="317">
        <f t="shared" ref="BM73:BN75" si="220">+BM63/BI63-1</f>
        <v>0.62285435725893645</v>
      </c>
      <c r="BN73" s="317">
        <f t="shared" si="220"/>
        <v>0.60432152403920103</v>
      </c>
      <c r="BO73" s="605"/>
    </row>
    <row r="74" spans="1:67" s="603" customFormat="1" ht="14.25" hidden="1" customHeight="1" outlineLevel="1">
      <c r="A74" s="1352"/>
      <c r="B74" s="633" t="s">
        <v>446</v>
      </c>
      <c r="C74" s="604"/>
      <c r="D74" s="422"/>
      <c r="E74" s="422"/>
      <c r="F74" s="422"/>
      <c r="G74" s="423"/>
      <c r="H74" s="404"/>
      <c r="I74" s="404"/>
      <c r="J74" s="318"/>
      <c r="K74" s="339"/>
      <c r="L74" s="318"/>
      <c r="M74" s="318"/>
      <c r="N74" s="318"/>
      <c r="O74" s="339"/>
      <c r="P74" s="318"/>
      <c r="Q74" s="318"/>
      <c r="R74" s="318"/>
      <c r="S74" s="339"/>
      <c r="T74" s="318">
        <f t="shared" si="208"/>
        <v>0</v>
      </c>
      <c r="U74" s="318">
        <f t="shared" si="208"/>
        <v>0.39999999999999991</v>
      </c>
      <c r="V74" s="404">
        <f t="shared" si="208"/>
        <v>1</v>
      </c>
      <c r="W74" s="339">
        <f t="shared" si="208"/>
        <v>2</v>
      </c>
      <c r="X74" s="318">
        <f t="shared" si="208"/>
        <v>3.4871794871794872</v>
      </c>
      <c r="Y74" s="318">
        <f t="shared" si="208"/>
        <v>5.4102564102564097</v>
      </c>
      <c r="Z74" s="318">
        <f t="shared" si="208"/>
        <v>4.8333333333333339</v>
      </c>
      <c r="AA74" s="317">
        <f t="shared" si="208"/>
        <v>3.666666666666667</v>
      </c>
      <c r="AB74" s="652">
        <f t="shared" si="208"/>
        <v>2.2104800000000004</v>
      </c>
      <c r="AC74" s="317">
        <f t="shared" si="208"/>
        <v>4.3406000000000278E-2</v>
      </c>
      <c r="AD74" s="317">
        <f t="shared" si="208"/>
        <v>-0.357904</v>
      </c>
      <c r="AE74" s="317">
        <f t="shared" si="208"/>
        <v>-0.36860559999999998</v>
      </c>
      <c r="AF74" s="652">
        <f t="shared" si="209"/>
        <v>-0.44615221657642634</v>
      </c>
      <c r="AG74" s="317">
        <f t="shared" si="209"/>
        <v>6.6614095238095361E-2</v>
      </c>
      <c r="AH74" s="317">
        <f t="shared" si="209"/>
        <v>1.9331887619047623</v>
      </c>
      <c r="AI74" s="339">
        <f t="shared" si="209"/>
        <v>4.468657013720744</v>
      </c>
      <c r="AJ74" s="652">
        <f t="shared" si="210"/>
        <v>4.4527818647014232</v>
      </c>
      <c r="AK74" s="317">
        <f t="shared" si="209"/>
        <v>0.11029634428559798</v>
      </c>
      <c r="AL74" s="317">
        <f t="shared" si="209"/>
        <v>0.11029634428559798</v>
      </c>
      <c r="AM74" s="317">
        <f t="shared" si="209"/>
        <v>0.11029634428559776</v>
      </c>
      <c r="AN74" s="652">
        <f t="shared" si="209"/>
        <v>0.11029634428559776</v>
      </c>
      <c r="AO74" s="317">
        <f t="shared" si="209"/>
        <v>9.7472493994826825E-2</v>
      </c>
      <c r="AP74" s="317">
        <f t="shared" si="209"/>
        <v>9.7472493994826825E-2</v>
      </c>
      <c r="AQ74" s="317">
        <f t="shared" si="209"/>
        <v>9.7472493994827047E-2</v>
      </c>
      <c r="AR74" s="652">
        <f t="shared" si="211"/>
        <v>0.19502560457214502</v>
      </c>
      <c r="AS74" s="317">
        <f t="shared" si="212"/>
        <v>4.0752240000000013</v>
      </c>
      <c r="AT74" s="317">
        <f t="shared" si="213"/>
        <v>2.1143420000000006</v>
      </c>
      <c r="AU74" s="339">
        <f t="shared" si="214"/>
        <v>0.6279515</v>
      </c>
      <c r="AV74" s="652">
        <f t="shared" si="215"/>
        <v>0.6279515</v>
      </c>
      <c r="AW74" s="317">
        <f t="shared" si="216"/>
        <v>0.6279515</v>
      </c>
      <c r="AX74" s="317">
        <f t="shared" si="217"/>
        <v>0.6279515</v>
      </c>
      <c r="AY74" s="339">
        <f t="shared" si="218"/>
        <v>0.6279515</v>
      </c>
      <c r="AZ74" s="1906"/>
      <c r="BA74" s="652"/>
      <c r="BB74" s="317"/>
      <c r="BC74" s="317"/>
      <c r="BD74" s="317"/>
      <c r="BE74" s="317">
        <f t="shared" ref="BD74:BL75" si="221">+BE64/BD64-1</f>
        <v>0.85000000000000009</v>
      </c>
      <c r="BF74" s="652">
        <f t="shared" si="221"/>
        <v>4.2875952875952876</v>
      </c>
      <c r="BG74" s="317">
        <f t="shared" si="221"/>
        <v>2.4850014678899246E-2</v>
      </c>
      <c r="BH74" s="317">
        <f t="shared" si="221"/>
        <v>1.2014560443806079</v>
      </c>
      <c r="BI74" s="652">
        <f t="shared" si="221"/>
        <v>0.5027713049807232</v>
      </c>
      <c r="BJ74" s="317">
        <f t="shared" si="221"/>
        <v>0.10167799020107493</v>
      </c>
      <c r="BK74" s="317">
        <f t="shared" si="221"/>
        <v>6.4457680879341117E-2</v>
      </c>
      <c r="BL74" s="317">
        <f t="shared" si="221"/>
        <v>2.0752050515363916</v>
      </c>
      <c r="BM74" s="317">
        <f t="shared" si="220"/>
        <v>3.1472001238593847</v>
      </c>
      <c r="BN74" s="317">
        <f t="shared" si="220"/>
        <v>3.3291054054441247</v>
      </c>
      <c r="BO74" s="605"/>
    </row>
    <row r="75" spans="1:67" s="603" customFormat="1" ht="14.25" hidden="1" customHeight="1" outlineLevel="1">
      <c r="A75" s="1352"/>
      <c r="B75" s="633" t="s">
        <v>467</v>
      </c>
      <c r="C75" s="604"/>
      <c r="D75" s="422"/>
      <c r="E75" s="422"/>
      <c r="F75" s="422"/>
      <c r="G75" s="423"/>
      <c r="H75" s="404"/>
      <c r="I75" s="404"/>
      <c r="J75" s="318"/>
      <c r="K75" s="339"/>
      <c r="L75" s="318"/>
      <c r="M75" s="318"/>
      <c r="N75" s="318"/>
      <c r="O75" s="339"/>
      <c r="P75" s="318">
        <f>+P65/L65-1</f>
        <v>0.62650602409638556</v>
      </c>
      <c r="Q75" s="318">
        <f t="shared" si="208"/>
        <v>0.88311688311688319</v>
      </c>
      <c r="R75" s="318">
        <f t="shared" si="208"/>
        <v>0.42307692307692313</v>
      </c>
      <c r="S75" s="339">
        <f t="shared" si="208"/>
        <v>0.37606837606837606</v>
      </c>
      <c r="T75" s="318">
        <f t="shared" si="208"/>
        <v>0.39999999999999991</v>
      </c>
      <c r="U75" s="318">
        <f t="shared" si="208"/>
        <v>0.33793103448275863</v>
      </c>
      <c r="V75" s="404">
        <f t="shared" si="208"/>
        <v>8.1081081081081141E-2</v>
      </c>
      <c r="W75" s="339">
        <f t="shared" si="208"/>
        <v>-3.7267080745341574E-2</v>
      </c>
      <c r="X75" s="318">
        <f t="shared" si="208"/>
        <v>-1.0582010582010581E-2</v>
      </c>
      <c r="Y75" s="318">
        <f t="shared" si="208"/>
        <v>0.20618556701030921</v>
      </c>
      <c r="Z75" s="318">
        <f t="shared" si="208"/>
        <v>0.71875</v>
      </c>
      <c r="AA75" s="317">
        <f t="shared" si="208"/>
        <v>0.87096774193548376</v>
      </c>
      <c r="AB75" s="652">
        <f t="shared" si="208"/>
        <v>0.60427807486631013</v>
      </c>
      <c r="AC75" s="317">
        <f t="shared" si="208"/>
        <v>0.44871794871794868</v>
      </c>
      <c r="AD75" s="317">
        <f t="shared" si="208"/>
        <v>0.1963636363636363</v>
      </c>
      <c r="AE75" s="317">
        <f t="shared" si="208"/>
        <v>0.13448275862068959</v>
      </c>
      <c r="AF75" s="652">
        <f t="shared" si="209"/>
        <v>6.3333333333333242E-2</v>
      </c>
      <c r="AG75" s="317">
        <f t="shared" si="209"/>
        <v>1.1799410029498469E-2</v>
      </c>
      <c r="AH75" s="317">
        <f t="shared" si="209"/>
        <v>0.20376613166034052</v>
      </c>
      <c r="AI75" s="339">
        <f t="shared" si="209"/>
        <v>0.58404609594247581</v>
      </c>
      <c r="AJ75" s="652">
        <f t="shared" si="210"/>
        <v>0.54041384807355053</v>
      </c>
      <c r="AK75" s="317">
        <f t="shared" si="209"/>
        <v>0</v>
      </c>
      <c r="AL75" s="317">
        <f t="shared" si="209"/>
        <v>1.7016144455847426E-2</v>
      </c>
      <c r="AM75" s="317">
        <f t="shared" si="209"/>
        <v>4.1075638981849405E-2</v>
      </c>
      <c r="AN75" s="652">
        <f t="shared" si="209"/>
        <v>3.8351825523186278E-2</v>
      </c>
      <c r="AO75" s="317">
        <f t="shared" si="209"/>
        <v>0</v>
      </c>
      <c r="AP75" s="317">
        <f t="shared" si="209"/>
        <v>1.6416976884143342E-2</v>
      </c>
      <c r="AQ75" s="317">
        <f t="shared" si="209"/>
        <v>3.8713453406627796E-2</v>
      </c>
      <c r="AR75" s="652">
        <f t="shared" si="211"/>
        <v>6.6599749563835742E-2</v>
      </c>
      <c r="AS75" s="317">
        <f t="shared" si="212"/>
        <v>0.68280769219273929</v>
      </c>
      <c r="AT75" s="317">
        <f t="shared" si="213"/>
        <v>0.69360365399540203</v>
      </c>
      <c r="AU75" s="339">
        <f t="shared" si="214"/>
        <v>0.32654601092818858</v>
      </c>
      <c r="AV75" s="652">
        <f t="shared" si="215"/>
        <v>0.33143940636172542</v>
      </c>
      <c r="AW75" s="317">
        <f t="shared" si="216"/>
        <v>0.33440479677992441</v>
      </c>
      <c r="AX75" s="317">
        <f t="shared" si="217"/>
        <v>0.37624554933281229</v>
      </c>
      <c r="AY75" s="339">
        <f t="shared" si="218"/>
        <v>0.40151277409320718</v>
      </c>
      <c r="AZ75" s="1906"/>
      <c r="BA75" s="652"/>
      <c r="BB75" s="317"/>
      <c r="BC75" s="317"/>
      <c r="BD75" s="317">
        <f t="shared" si="221"/>
        <v>0.54593175853018372</v>
      </c>
      <c r="BE75" s="317">
        <f t="shared" si="221"/>
        <v>0.18505942275042453</v>
      </c>
      <c r="BF75" s="652">
        <f t="shared" si="221"/>
        <v>0.41260744985673359</v>
      </c>
      <c r="BG75" s="317">
        <f t="shared" si="221"/>
        <v>0.3154158215010141</v>
      </c>
      <c r="BH75" s="317">
        <f t="shared" si="221"/>
        <v>0.2175714902708763</v>
      </c>
      <c r="BI75" s="652">
        <f t="shared" si="221"/>
        <v>0.12698767353735363</v>
      </c>
      <c r="BJ75" s="317">
        <f t="shared" si="221"/>
        <v>2.6106499181901333E-2</v>
      </c>
      <c r="BK75" s="317">
        <f t="shared" si="221"/>
        <v>1.8607977543754206E-2</v>
      </c>
      <c r="BL75" s="317">
        <f t="shared" si="221"/>
        <v>1.290060545302258</v>
      </c>
      <c r="BM75" s="317">
        <f t="shared" si="220"/>
        <v>1.5637000120506115</v>
      </c>
      <c r="BN75" s="317">
        <f t="shared" si="220"/>
        <v>1.6946662783437572</v>
      </c>
      <c r="BO75" s="605"/>
    </row>
    <row r="76" spans="1:67" ht="14.25" hidden="1" customHeight="1" outlineLevel="1">
      <c r="A76" s="1347"/>
      <c r="B76" s="601"/>
      <c r="C76" s="254"/>
      <c r="D76" s="320"/>
      <c r="E76" s="320"/>
      <c r="F76" s="320"/>
      <c r="G76" s="93"/>
      <c r="H76" s="269"/>
      <c r="I76" s="269"/>
      <c r="J76" s="300"/>
      <c r="K76" s="301"/>
      <c r="L76" s="318"/>
      <c r="M76" s="318"/>
      <c r="N76" s="318"/>
      <c r="O76" s="339"/>
      <c r="P76" s="318"/>
      <c r="Q76" s="318"/>
      <c r="R76" s="318"/>
      <c r="S76" s="339"/>
      <c r="T76" s="318"/>
      <c r="U76" s="318"/>
      <c r="V76" s="404"/>
      <c r="W76" s="339"/>
      <c r="X76" s="318"/>
      <c r="Y76" s="318"/>
      <c r="Z76" s="318"/>
      <c r="AA76" s="317"/>
      <c r="AB76" s="652"/>
      <c r="AC76" s="317"/>
      <c r="AD76" s="317"/>
      <c r="AE76" s="317"/>
      <c r="AF76" s="652"/>
      <c r="AG76" s="317"/>
      <c r="AH76" s="317"/>
      <c r="AI76" s="339"/>
      <c r="AJ76" s="652"/>
      <c r="AK76" s="317"/>
      <c r="AL76" s="317"/>
      <c r="AM76" s="317"/>
      <c r="AN76" s="652"/>
      <c r="AO76" s="317"/>
      <c r="AP76" s="317"/>
      <c r="AQ76" s="317"/>
      <c r="AR76" s="652"/>
      <c r="AS76" s="317"/>
      <c r="AT76" s="317"/>
      <c r="AU76" s="339"/>
      <c r="AV76" s="652"/>
      <c r="AW76" s="317"/>
      <c r="AX76" s="317"/>
      <c r="AY76" s="339"/>
      <c r="AZ76" s="20"/>
      <c r="BA76" s="652"/>
      <c r="BB76" s="317"/>
      <c r="BC76" s="256"/>
      <c r="BD76" s="256"/>
      <c r="BE76" s="256"/>
      <c r="BF76" s="255"/>
      <c r="BG76" s="1615"/>
      <c r="BH76" s="1615"/>
      <c r="BI76" s="1614"/>
      <c r="BJ76" s="1715"/>
      <c r="BK76" s="1715"/>
      <c r="BL76" s="1715"/>
      <c r="BM76" s="1715"/>
      <c r="BN76" s="1715"/>
      <c r="BO76" s="299"/>
    </row>
    <row r="77" spans="1:67" ht="14.25" hidden="1" customHeight="1" outlineLevel="1">
      <c r="A77" s="1347"/>
      <c r="B77" s="436" t="s">
        <v>447</v>
      </c>
      <c r="C77" s="254"/>
      <c r="D77" s="320"/>
      <c r="E77" s="320"/>
      <c r="F77" s="320"/>
      <c r="G77" s="93"/>
      <c r="H77" s="269"/>
      <c r="I77" s="269"/>
      <c r="J77" s="300"/>
      <c r="K77" s="301"/>
      <c r="L77" s="318"/>
      <c r="M77" s="318"/>
      <c r="N77" s="318"/>
      <c r="O77" s="339"/>
      <c r="P77" s="318"/>
      <c r="Q77" s="318"/>
      <c r="R77" s="318"/>
      <c r="S77" s="339"/>
      <c r="T77" s="318"/>
      <c r="U77" s="318"/>
      <c r="V77" s="404"/>
      <c r="W77" s="339"/>
      <c r="X77" s="318"/>
      <c r="Y77" s="318"/>
      <c r="Z77" s="318"/>
      <c r="AA77" s="317"/>
      <c r="AB77" s="652"/>
      <c r="AC77" s="317"/>
      <c r="AD77" s="317"/>
      <c r="AE77" s="317"/>
      <c r="AF77" s="652"/>
      <c r="AG77" s="317"/>
      <c r="AH77" s="317"/>
      <c r="AI77" s="339"/>
      <c r="AJ77" s="652"/>
      <c r="AK77" s="317"/>
      <c r="AL77" s="317"/>
      <c r="AM77" s="317"/>
      <c r="AN77" s="652"/>
      <c r="AO77" s="317"/>
      <c r="AP77" s="317"/>
      <c r="AQ77" s="317"/>
      <c r="AR77" s="652"/>
      <c r="AS77" s="317"/>
      <c r="AT77" s="317"/>
      <c r="AU77" s="339"/>
      <c r="AV77" s="652"/>
      <c r="AW77" s="317"/>
      <c r="AX77" s="317"/>
      <c r="AY77" s="339"/>
      <c r="AZ77" s="20"/>
      <c r="BA77" s="652"/>
      <c r="BB77" s="317"/>
      <c r="BC77" s="256"/>
      <c r="BD77" s="256"/>
      <c r="BE77" s="256"/>
      <c r="BF77" s="255"/>
      <c r="BG77" s="1615"/>
      <c r="BH77" s="1615"/>
      <c r="BI77" s="1614"/>
      <c r="BJ77" s="1715"/>
      <c r="BK77" s="1715"/>
      <c r="BL77" s="1715"/>
      <c r="BM77" s="1715"/>
      <c r="BN77" s="1715"/>
      <c r="BO77" s="299"/>
    </row>
    <row r="78" spans="1:67" ht="14.25" hidden="1" customHeight="1" outlineLevel="1">
      <c r="A78" s="1347"/>
      <c r="B78" s="437" t="s">
        <v>445</v>
      </c>
      <c r="C78" s="254"/>
      <c r="D78" s="453"/>
      <c r="E78" s="453"/>
      <c r="F78" s="453"/>
      <c r="G78" s="454"/>
      <c r="H78" s="455"/>
      <c r="I78" s="455"/>
      <c r="J78" s="456"/>
      <c r="K78" s="457"/>
      <c r="L78" s="499"/>
      <c r="M78" s="499"/>
      <c r="N78" s="499"/>
      <c r="O78" s="500"/>
      <c r="P78" s="499"/>
      <c r="Q78" s="499"/>
      <c r="R78" s="499"/>
      <c r="S78" s="500"/>
      <c r="T78" s="499"/>
      <c r="U78" s="499"/>
      <c r="V78" s="501"/>
      <c r="W78" s="500"/>
      <c r="X78" s="499">
        <f t="shared" ref="X78:AH78" si="222">+X63/X$65</f>
        <v>0.88002193884546831</v>
      </c>
      <c r="Y78" s="499">
        <f t="shared" si="222"/>
        <v>0.80824019285557747</v>
      </c>
      <c r="Z78" s="499">
        <f t="shared" si="222"/>
        <v>0.78787878787878785</v>
      </c>
      <c r="AA78" s="556">
        <f t="shared" si="222"/>
        <v>0.75862068965517238</v>
      </c>
      <c r="AB78" s="686">
        <f t="shared" si="222"/>
        <v>0.75990000000000002</v>
      </c>
      <c r="AC78" s="556">
        <f t="shared" si="222"/>
        <v>0.86188938053097341</v>
      </c>
      <c r="AD78" s="556">
        <f t="shared" si="222"/>
        <v>0.88615319148936167</v>
      </c>
      <c r="AE78" s="556">
        <f>+AE63/AE$65</f>
        <v>0.86566076595744679</v>
      </c>
      <c r="AF78" s="686">
        <f t="shared" si="222"/>
        <v>0.87494151774294671</v>
      </c>
      <c r="AG78" s="556">
        <f t="shared" si="222"/>
        <v>0.85440717599999993</v>
      </c>
      <c r="AH78" s="556">
        <f t="shared" si="222"/>
        <v>0.72259214599970822</v>
      </c>
      <c r="AI78" s="500">
        <f>+AI63/AI$65</f>
        <v>0.53621602531233425</v>
      </c>
      <c r="AJ78" s="686">
        <f t="shared" ref="AJ78:AL79" si="223">+AJ63/AJ$65</f>
        <v>0.55731596094701863</v>
      </c>
      <c r="AK78" s="556">
        <f t="shared" si="223"/>
        <v>0.83834881975858355</v>
      </c>
      <c r="AL78" s="556">
        <f t="shared" si="223"/>
        <v>0.69714843972566987</v>
      </c>
      <c r="AM78" s="556">
        <f t="shared" ref="AM78:AP78" si="224">+AM63/AM$65</f>
        <v>0.5053792132360736</v>
      </c>
      <c r="AN78" s="686">
        <f t="shared" si="224"/>
        <v>0.52664361139206883</v>
      </c>
      <c r="AO78" s="556">
        <f t="shared" si="224"/>
        <v>0.82259227606324536</v>
      </c>
      <c r="AP78" s="556">
        <f t="shared" si="224"/>
        <v>0.67299714120932175</v>
      </c>
      <c r="AQ78" s="556">
        <f t="shared" ref="AQ78" si="225">+AQ63/AQ$65</f>
        <v>0.4773989817392057</v>
      </c>
      <c r="AR78" s="686">
        <f t="shared" ref="AR78:AU78" si="226">+AR63/AR$65</f>
        <v>0.46964828680524179</v>
      </c>
      <c r="AS78" s="556">
        <f t="shared" si="226"/>
        <v>0.46495137710241269</v>
      </c>
      <c r="AT78" s="556">
        <f t="shared" si="226"/>
        <v>0.39867941661004253</v>
      </c>
      <c r="AU78" s="500">
        <f t="shared" si="226"/>
        <v>0.35865842227070482</v>
      </c>
      <c r="AV78" s="686">
        <f t="shared" ref="AV78:AY78" si="227">+AV63/AV$65</f>
        <v>0.35153874603857771</v>
      </c>
      <c r="AW78" s="556">
        <f t="shared" si="227"/>
        <v>0.34724964244660472</v>
      </c>
      <c r="AX78" s="556">
        <f t="shared" si="227"/>
        <v>0.28870197169020761</v>
      </c>
      <c r="AY78" s="500">
        <f t="shared" si="227"/>
        <v>0.25503855349995053</v>
      </c>
      <c r="AZ78" s="20"/>
      <c r="BA78" s="652"/>
      <c r="BB78" s="317"/>
      <c r="BC78" s="256"/>
      <c r="BD78" s="256"/>
      <c r="BE78" s="256"/>
      <c r="BF78" s="255"/>
      <c r="BG78" s="1615"/>
      <c r="BH78" s="1615"/>
      <c r="BI78" s="1614"/>
      <c r="BJ78" s="1715"/>
      <c r="BK78" s="1715"/>
      <c r="BL78" s="1715"/>
      <c r="BM78" s="1715">
        <f t="shared" ref="BM78:BN78" si="228">+BM63/BM$65</f>
        <v>0.39708327734231869</v>
      </c>
      <c r="BN78" s="1715">
        <f t="shared" si="228"/>
        <v>0.35712735024480935</v>
      </c>
      <c r="BO78" s="299"/>
    </row>
    <row r="79" spans="1:67" ht="14.25" hidden="1" customHeight="1" outlineLevel="1">
      <c r="A79" s="1347"/>
      <c r="B79" s="437" t="s">
        <v>446</v>
      </c>
      <c r="C79" s="254"/>
      <c r="D79" s="453"/>
      <c r="E79" s="453"/>
      <c r="F79" s="453"/>
      <c r="G79" s="454"/>
      <c r="H79" s="455"/>
      <c r="I79" s="455"/>
      <c r="J79" s="456"/>
      <c r="K79" s="457"/>
      <c r="L79" s="499"/>
      <c r="M79" s="499"/>
      <c r="N79" s="499"/>
      <c r="O79" s="500"/>
      <c r="P79" s="499"/>
      <c r="Q79" s="499"/>
      <c r="R79" s="499"/>
      <c r="S79" s="500"/>
      <c r="T79" s="499"/>
      <c r="U79" s="499"/>
      <c r="V79" s="501"/>
      <c r="W79" s="500"/>
      <c r="X79" s="499">
        <f t="shared" ref="X79:AH79" si="229">+X64/X$65</f>
        <v>0.11997806115453173</v>
      </c>
      <c r="Y79" s="499">
        <f t="shared" si="229"/>
        <v>0.19175980714442251</v>
      </c>
      <c r="Z79" s="499">
        <f t="shared" si="229"/>
        <v>0.21212121212121213</v>
      </c>
      <c r="AA79" s="556">
        <f t="shared" si="229"/>
        <v>0.2413793103448276</v>
      </c>
      <c r="AB79" s="686">
        <f t="shared" si="229"/>
        <v>0.24010000000000001</v>
      </c>
      <c r="AC79" s="556">
        <f t="shared" si="229"/>
        <v>0.13811061946902656</v>
      </c>
      <c r="AD79" s="556">
        <f t="shared" si="229"/>
        <v>0.1138468085106383</v>
      </c>
      <c r="AE79" s="556">
        <f>+AE64/AE$65</f>
        <v>0.13433923404255321</v>
      </c>
      <c r="AF79" s="686">
        <f t="shared" si="229"/>
        <v>0.12505848225705332</v>
      </c>
      <c r="AG79" s="556">
        <f t="shared" si="229"/>
        <v>0.14559282400000004</v>
      </c>
      <c r="AH79" s="556">
        <f t="shared" si="229"/>
        <v>0.27740785400029178</v>
      </c>
      <c r="AI79" s="500">
        <f>+AI64/AI$65</f>
        <v>0.46378397468766586</v>
      </c>
      <c r="AJ79" s="686">
        <f t="shared" si="223"/>
        <v>0.44268403905298143</v>
      </c>
      <c r="AK79" s="556">
        <f t="shared" si="223"/>
        <v>0.1616511802414165</v>
      </c>
      <c r="AL79" s="556">
        <f t="shared" si="223"/>
        <v>0.30285156027433008</v>
      </c>
      <c r="AM79" s="556">
        <f t="shared" ref="AM79:AP79" si="230">+AM64/AM$65</f>
        <v>0.49462078676392629</v>
      </c>
      <c r="AN79" s="686">
        <f t="shared" si="230"/>
        <v>0.47335638860793122</v>
      </c>
      <c r="AO79" s="556">
        <f t="shared" si="230"/>
        <v>0.17740772393675464</v>
      </c>
      <c r="AP79" s="556">
        <f t="shared" si="230"/>
        <v>0.32700285879067836</v>
      </c>
      <c r="AQ79" s="556">
        <f t="shared" ref="AQ79" si="231">+AQ64/AQ$65</f>
        <v>0.52260101826079419</v>
      </c>
      <c r="AR79" s="686">
        <f t="shared" ref="AR79:AU79" si="232">+AR64/AR$65</f>
        <v>0.53035171319475816</v>
      </c>
      <c r="AS79" s="556">
        <f t="shared" si="232"/>
        <v>0.53504862289758714</v>
      </c>
      <c r="AT79" s="556">
        <f t="shared" si="232"/>
        <v>0.60132058338995753</v>
      </c>
      <c r="AU79" s="500">
        <f t="shared" si="232"/>
        <v>0.64134157772929523</v>
      </c>
      <c r="AV79" s="686">
        <f t="shared" ref="AV79:AY79" si="233">+AV64/AV$65</f>
        <v>0.64846125396142229</v>
      </c>
      <c r="AW79" s="556">
        <f t="shared" si="233"/>
        <v>0.65275035755339528</v>
      </c>
      <c r="AX79" s="556">
        <f t="shared" si="233"/>
        <v>0.71129802830979239</v>
      </c>
      <c r="AY79" s="500">
        <f t="shared" si="233"/>
        <v>0.74496144650004947</v>
      </c>
      <c r="AZ79" s="20"/>
      <c r="BA79" s="652"/>
      <c r="BB79" s="317"/>
      <c r="BC79" s="256"/>
      <c r="BD79" s="256"/>
      <c r="BE79" s="256"/>
      <c r="BF79" s="255"/>
      <c r="BG79" s="1615"/>
      <c r="BH79" s="1615"/>
      <c r="BI79" s="1614"/>
      <c r="BJ79" s="1715"/>
      <c r="BK79" s="1715"/>
      <c r="BL79" s="1715"/>
      <c r="BM79" s="1715">
        <f t="shared" ref="BM79:BN79" si="234">+BM64/BM$65</f>
        <v>0.60291672265768126</v>
      </c>
      <c r="BN79" s="1715">
        <f t="shared" si="234"/>
        <v>0.64287264975519054</v>
      </c>
      <c r="BO79" s="299"/>
    </row>
    <row r="80" spans="1:67" ht="14.25" hidden="1" customHeight="1" outlineLevel="1">
      <c r="A80" s="1347"/>
      <c r="B80" s="601"/>
      <c r="C80" s="254"/>
      <c r="D80" s="320"/>
      <c r="E80" s="320"/>
      <c r="F80" s="320"/>
      <c r="G80" s="93"/>
      <c r="H80" s="269"/>
      <c r="I80" s="269"/>
      <c r="J80" s="300"/>
      <c r="K80" s="301"/>
      <c r="L80" s="318"/>
      <c r="M80" s="318"/>
      <c r="N80" s="318"/>
      <c r="O80" s="339"/>
      <c r="P80" s="318"/>
      <c r="Q80" s="318"/>
      <c r="R80" s="318"/>
      <c r="S80" s="339"/>
      <c r="T80" s="318"/>
      <c r="U80" s="318"/>
      <c r="V80" s="404"/>
      <c r="W80" s="339"/>
      <c r="X80" s="318"/>
      <c r="Y80" s="318"/>
      <c r="Z80" s="318"/>
      <c r="AA80" s="317"/>
      <c r="AB80" s="401"/>
      <c r="AC80" s="402"/>
      <c r="AD80" s="402"/>
      <c r="AE80" s="402"/>
      <c r="AF80" s="401"/>
      <c r="AG80" s="402"/>
      <c r="AH80" s="402"/>
      <c r="AI80" s="1369"/>
      <c r="AJ80" s="401"/>
      <c r="AK80" s="402"/>
      <c r="AL80" s="402"/>
      <c r="AM80" s="402"/>
      <c r="AN80" s="401"/>
      <c r="AO80" s="402"/>
      <c r="AP80" s="402"/>
      <c r="AQ80" s="402"/>
      <c r="AR80" s="401"/>
      <c r="AS80" s="402"/>
      <c r="AT80" s="402"/>
      <c r="AU80" s="1369"/>
      <c r="AV80" s="401"/>
      <c r="AW80" s="402"/>
      <c r="AX80" s="402"/>
      <c r="AY80" s="1369"/>
      <c r="AZ80" s="20"/>
      <c r="BA80" s="652"/>
      <c r="BB80" s="317"/>
      <c r="BC80" s="256"/>
      <c r="BD80" s="256"/>
      <c r="BE80" s="256"/>
      <c r="BF80" s="255"/>
      <c r="BG80" s="1615"/>
      <c r="BH80" s="1615"/>
      <c r="BI80" s="1614"/>
      <c r="BJ80" s="1715"/>
      <c r="BK80" s="1715"/>
      <c r="BL80" s="1715"/>
      <c r="BM80" s="1715"/>
      <c r="BN80" s="1715"/>
      <c r="BO80" s="299"/>
    </row>
    <row r="81" spans="1:67" ht="14.25" hidden="1" customHeight="1" outlineLevel="2">
      <c r="A81" s="1347"/>
      <c r="B81" s="573"/>
      <c r="C81" s="254"/>
      <c r="D81" s="320"/>
      <c r="E81" s="320"/>
      <c r="F81" s="320"/>
      <c r="G81" s="93"/>
      <c r="H81" s="269"/>
      <c r="I81" s="269"/>
      <c r="J81" s="300"/>
      <c r="K81" s="301"/>
      <c r="L81" s="318"/>
      <c r="M81" s="318"/>
      <c r="N81" s="318"/>
      <c r="O81" s="339"/>
      <c r="P81" s="318"/>
      <c r="Q81" s="318"/>
      <c r="R81" s="318"/>
      <c r="S81" s="339"/>
      <c r="T81" s="318"/>
      <c r="U81" s="318"/>
      <c r="V81" s="404"/>
      <c r="W81" s="339"/>
      <c r="X81" s="318"/>
      <c r="Y81" s="318"/>
      <c r="Z81" s="318"/>
      <c r="AA81" s="317"/>
      <c r="AB81" s="652"/>
      <c r="AC81" s="317"/>
      <c r="AD81" s="317"/>
      <c r="AE81" s="317"/>
      <c r="AF81" s="652"/>
      <c r="AG81" s="317"/>
      <c r="AH81" s="317"/>
      <c r="AI81" s="339"/>
      <c r="AJ81" s="652"/>
      <c r="AK81" s="317"/>
      <c r="AL81" s="317"/>
      <c r="AM81" s="317"/>
      <c r="AN81" s="652"/>
      <c r="AO81" s="317"/>
      <c r="AP81" s="317"/>
      <c r="AQ81" s="317"/>
      <c r="AR81" s="652"/>
      <c r="AS81" s="317"/>
      <c r="AT81" s="317"/>
      <c r="AU81" s="339"/>
      <c r="AV81" s="652"/>
      <c r="AW81" s="317"/>
      <c r="AX81" s="317"/>
      <c r="AY81" s="339"/>
      <c r="AZ81" s="20"/>
      <c r="BA81" s="652"/>
      <c r="BB81" s="317"/>
      <c r="BC81" s="256"/>
      <c r="BD81" s="256"/>
      <c r="BE81" s="256"/>
      <c r="BF81" s="255"/>
      <c r="BG81" s="1615"/>
      <c r="BH81" s="1615"/>
      <c r="BI81" s="1614"/>
      <c r="BJ81" s="1715"/>
      <c r="BK81" s="1715"/>
      <c r="BL81" s="1715"/>
      <c r="BM81" s="1715"/>
      <c r="BN81" s="1715"/>
      <c r="BO81" s="299"/>
    </row>
    <row r="82" spans="1:67" ht="14.25" hidden="1" customHeight="1" outlineLevel="2">
      <c r="A82" s="1347"/>
      <c r="B82" s="436" t="s">
        <v>454</v>
      </c>
      <c r="C82" s="254"/>
      <c r="D82" s="320"/>
      <c r="E82" s="320"/>
      <c r="F82" s="320"/>
      <c r="G82" s="93"/>
      <c r="H82" s="269"/>
      <c r="I82" s="269"/>
      <c r="J82" s="300"/>
      <c r="K82" s="301"/>
      <c r="L82" s="318"/>
      <c r="M82" s="318"/>
      <c r="N82" s="318"/>
      <c r="O82" s="339"/>
      <c r="P82" s="318"/>
      <c r="Q82" s="318"/>
      <c r="R82" s="318"/>
      <c r="S82" s="339"/>
      <c r="T82" s="318"/>
      <c r="U82" s="318"/>
      <c r="V82" s="404"/>
      <c r="W82" s="339"/>
      <c r="X82" s="318"/>
      <c r="Y82" s="318"/>
      <c r="Z82" s="318"/>
      <c r="AA82" s="317"/>
      <c r="AB82" s="652"/>
      <c r="AC82" s="317"/>
      <c r="AD82" s="317"/>
      <c r="AE82" s="317"/>
      <c r="AF82" s="652"/>
      <c r="AG82" s="317"/>
      <c r="AH82" s="317"/>
      <c r="AI82" s="339"/>
      <c r="AJ82" s="652"/>
      <c r="AK82" s="317"/>
      <c r="AL82" s="317"/>
      <c r="AM82" s="317"/>
      <c r="AN82" s="652"/>
      <c r="AO82" s="317"/>
      <c r="AP82" s="317"/>
      <c r="AQ82" s="317"/>
      <c r="AR82" s="652"/>
      <c r="AS82" s="317"/>
      <c r="AT82" s="317"/>
      <c r="AU82" s="339"/>
      <c r="AV82" s="652"/>
      <c r="AW82" s="317"/>
      <c r="AX82" s="317"/>
      <c r="AY82" s="339"/>
      <c r="AZ82" s="20"/>
      <c r="BA82" s="652"/>
      <c r="BB82" s="317"/>
      <c r="BC82" s="256"/>
      <c r="BD82" s="256"/>
      <c r="BE82" s="256"/>
      <c r="BF82" s="255"/>
      <c r="BG82" s="1615"/>
      <c r="BH82" s="1615"/>
      <c r="BI82" s="1614"/>
      <c r="BJ82" s="1715"/>
      <c r="BK82" s="1715"/>
      <c r="BL82" s="1715"/>
      <c r="BM82" s="1715"/>
      <c r="BN82" s="1715"/>
      <c r="BO82" s="299"/>
    </row>
    <row r="83" spans="1:67" s="460" customFormat="1" ht="14.25" hidden="1" customHeight="1" outlineLevel="2">
      <c r="A83" s="1353"/>
      <c r="B83" s="575" t="s">
        <v>449</v>
      </c>
      <c r="C83" s="452"/>
      <c r="D83" s="453"/>
      <c r="E83" s="453"/>
      <c r="F83" s="453"/>
      <c r="G83" s="454"/>
      <c r="H83" s="455"/>
      <c r="I83" s="455"/>
      <c r="J83" s="456"/>
      <c r="K83" s="457"/>
      <c r="L83" s="496"/>
      <c r="M83" s="496"/>
      <c r="N83" s="496"/>
      <c r="O83" s="497"/>
      <c r="P83" s="496"/>
      <c r="Q83" s="496"/>
      <c r="R83" s="496"/>
      <c r="S83" s="497"/>
      <c r="T83" s="496"/>
      <c r="U83" s="496"/>
      <c r="V83" s="498"/>
      <c r="W83" s="497"/>
      <c r="X83" s="499"/>
      <c r="Y83" s="502">
        <v>0.33</v>
      </c>
      <c r="Z83" s="499"/>
      <c r="AA83" s="556"/>
      <c r="AB83" s="1103"/>
      <c r="AC83" s="458"/>
      <c r="AD83" s="458"/>
      <c r="AE83" s="458"/>
      <c r="AF83" s="1103"/>
      <c r="AG83" s="458"/>
      <c r="AH83" s="458"/>
      <c r="AI83" s="497"/>
      <c r="AJ83" s="1103"/>
      <c r="AK83" s="458"/>
      <c r="AL83" s="458"/>
      <c r="AM83" s="458"/>
      <c r="AN83" s="1103"/>
      <c r="AO83" s="458"/>
      <c r="AP83" s="458"/>
      <c r="AQ83" s="458"/>
      <c r="AR83" s="1103"/>
      <c r="AS83" s="458"/>
      <c r="AT83" s="458"/>
      <c r="AU83" s="497"/>
      <c r="AV83" s="1103"/>
      <c r="AW83" s="458"/>
      <c r="AX83" s="458"/>
      <c r="AY83" s="497"/>
      <c r="AZ83" s="1907"/>
      <c r="BA83" s="1103"/>
      <c r="BB83" s="458"/>
      <c r="BC83" s="916"/>
      <c r="BD83" s="916"/>
      <c r="BE83" s="916"/>
      <c r="BF83" s="1212"/>
      <c r="BG83" s="1631"/>
      <c r="BH83" s="1631"/>
      <c r="BI83" s="1657"/>
      <c r="BJ83" s="1631"/>
      <c r="BK83" s="1631"/>
      <c r="BL83" s="1631"/>
      <c r="BM83" s="1631"/>
      <c r="BN83" s="1631"/>
      <c r="BO83" s="459"/>
    </row>
    <row r="84" spans="1:67" s="460" customFormat="1" ht="14.25" hidden="1" customHeight="1" outlineLevel="2">
      <c r="A84" s="1353"/>
      <c r="B84" s="575" t="s">
        <v>450</v>
      </c>
      <c r="C84" s="452"/>
      <c r="D84" s="453"/>
      <c r="E84" s="453"/>
      <c r="F84" s="453"/>
      <c r="G84" s="454"/>
      <c r="H84" s="455"/>
      <c r="I84" s="455"/>
      <c r="J84" s="456"/>
      <c r="K84" s="457"/>
      <c r="L84" s="496"/>
      <c r="M84" s="496"/>
      <c r="N84" s="496"/>
      <c r="O84" s="497"/>
      <c r="P84" s="496"/>
      <c r="Q84" s="496"/>
      <c r="R84" s="496"/>
      <c r="S84" s="497"/>
      <c r="T84" s="496"/>
      <c r="U84" s="496"/>
      <c r="V84" s="498"/>
      <c r="W84" s="497"/>
      <c r="X84" s="499"/>
      <c r="Y84" s="502">
        <v>0.18</v>
      </c>
      <c r="Z84" s="499"/>
      <c r="AA84" s="556"/>
      <c r="AB84" s="1103"/>
      <c r="AC84" s="458"/>
      <c r="AD84" s="458"/>
      <c r="AE84" s="458"/>
      <c r="AF84" s="1103"/>
      <c r="AG84" s="458"/>
      <c r="AH84" s="458"/>
      <c r="AI84" s="497"/>
      <c r="AJ84" s="1103"/>
      <c r="AK84" s="458"/>
      <c r="AL84" s="458"/>
      <c r="AM84" s="458"/>
      <c r="AN84" s="1103"/>
      <c r="AO84" s="458"/>
      <c r="AP84" s="458"/>
      <c r="AQ84" s="458"/>
      <c r="AR84" s="1103"/>
      <c r="AS84" s="458"/>
      <c r="AT84" s="458"/>
      <c r="AU84" s="497"/>
      <c r="AV84" s="1103"/>
      <c r="AW84" s="458"/>
      <c r="AX84" s="458"/>
      <c r="AY84" s="497"/>
      <c r="AZ84" s="1907"/>
      <c r="BA84" s="1103"/>
      <c r="BB84" s="458"/>
      <c r="BC84" s="916"/>
      <c r="BD84" s="916"/>
      <c r="BE84" s="916"/>
      <c r="BF84" s="1212"/>
      <c r="BG84" s="1631"/>
      <c r="BH84" s="1631"/>
      <c r="BI84" s="1657"/>
      <c r="BJ84" s="1631"/>
      <c r="BK84" s="1631"/>
      <c r="BL84" s="1631"/>
      <c r="BM84" s="1631"/>
      <c r="BN84" s="1631"/>
      <c r="BO84" s="459"/>
    </row>
    <row r="85" spans="1:67" s="460" customFormat="1" ht="14.25" hidden="1" customHeight="1" outlineLevel="2">
      <c r="A85" s="1353"/>
      <c r="B85" s="575" t="s">
        <v>451</v>
      </c>
      <c r="C85" s="452"/>
      <c r="D85" s="453"/>
      <c r="E85" s="453"/>
      <c r="F85" s="453"/>
      <c r="G85" s="454"/>
      <c r="H85" s="455"/>
      <c r="I85" s="455"/>
      <c r="J85" s="456"/>
      <c r="K85" s="457"/>
      <c r="L85" s="496"/>
      <c r="M85" s="496"/>
      <c r="N85" s="496"/>
      <c r="O85" s="497"/>
      <c r="P85" s="496"/>
      <c r="Q85" s="496"/>
      <c r="R85" s="496"/>
      <c r="S85" s="497"/>
      <c r="T85" s="496"/>
      <c r="U85" s="496"/>
      <c r="V85" s="498"/>
      <c r="W85" s="497"/>
      <c r="X85" s="499"/>
      <c r="Y85" s="502">
        <v>0.15</v>
      </c>
      <c r="Z85" s="499"/>
      <c r="AA85" s="556"/>
      <c r="AB85" s="1103"/>
      <c r="AC85" s="458"/>
      <c r="AD85" s="458"/>
      <c r="AE85" s="458"/>
      <c r="AF85" s="1103"/>
      <c r="AG85" s="458"/>
      <c r="AH85" s="458"/>
      <c r="AI85" s="497"/>
      <c r="AJ85" s="1103"/>
      <c r="AK85" s="458"/>
      <c r="AL85" s="458"/>
      <c r="AM85" s="458"/>
      <c r="AN85" s="1103"/>
      <c r="AO85" s="458"/>
      <c r="AP85" s="458"/>
      <c r="AQ85" s="458"/>
      <c r="AR85" s="1103"/>
      <c r="AS85" s="458"/>
      <c r="AT85" s="458"/>
      <c r="AU85" s="497"/>
      <c r="AV85" s="1103"/>
      <c r="AW85" s="458"/>
      <c r="AX85" s="458"/>
      <c r="AY85" s="497"/>
      <c r="AZ85" s="1907"/>
      <c r="BA85" s="1103"/>
      <c r="BB85" s="458"/>
      <c r="BC85" s="916"/>
      <c r="BD85" s="916"/>
      <c r="BE85" s="916"/>
      <c r="BF85" s="1212"/>
      <c r="BG85" s="1631"/>
      <c r="BH85" s="1631"/>
      <c r="BI85" s="1657"/>
      <c r="BJ85" s="1631"/>
      <c r="BK85" s="1631"/>
      <c r="BL85" s="1631"/>
      <c r="BM85" s="1631"/>
      <c r="BN85" s="1631"/>
      <c r="BO85" s="459"/>
    </row>
    <row r="86" spans="1:67" s="460" customFormat="1" ht="14.25" hidden="1" customHeight="1" outlineLevel="2">
      <c r="A86" s="1353"/>
      <c r="B86" s="575" t="s">
        <v>452</v>
      </c>
      <c r="C86" s="452"/>
      <c r="D86" s="453"/>
      <c r="E86" s="453"/>
      <c r="F86" s="453"/>
      <c r="G86" s="454"/>
      <c r="H86" s="455"/>
      <c r="I86" s="455"/>
      <c r="J86" s="456"/>
      <c r="K86" s="457"/>
      <c r="L86" s="496"/>
      <c r="M86" s="496"/>
      <c r="N86" s="496"/>
      <c r="O86" s="497"/>
      <c r="P86" s="496"/>
      <c r="Q86" s="496"/>
      <c r="R86" s="496"/>
      <c r="S86" s="497"/>
      <c r="T86" s="496"/>
      <c r="U86" s="496"/>
      <c r="V86" s="498"/>
      <c r="W86" s="497"/>
      <c r="X86" s="499"/>
      <c r="Y86" s="502">
        <v>0.12</v>
      </c>
      <c r="Z86" s="499"/>
      <c r="AA86" s="556"/>
      <c r="AB86" s="1103"/>
      <c r="AC86" s="458"/>
      <c r="AD86" s="458"/>
      <c r="AE86" s="458"/>
      <c r="AF86" s="1103"/>
      <c r="AG86" s="458"/>
      <c r="AH86" s="458"/>
      <c r="AI86" s="497"/>
      <c r="AJ86" s="1103"/>
      <c r="AK86" s="458"/>
      <c r="AL86" s="458"/>
      <c r="AM86" s="458"/>
      <c r="AN86" s="1103"/>
      <c r="AO86" s="458"/>
      <c r="AP86" s="458"/>
      <c r="AQ86" s="458"/>
      <c r="AR86" s="1103"/>
      <c r="AS86" s="458"/>
      <c r="AT86" s="458"/>
      <c r="AU86" s="497"/>
      <c r="AV86" s="1103"/>
      <c r="AW86" s="458"/>
      <c r="AX86" s="458"/>
      <c r="AY86" s="497"/>
      <c r="AZ86" s="1907"/>
      <c r="BA86" s="1103"/>
      <c r="BB86" s="458"/>
      <c r="BC86" s="916"/>
      <c r="BD86" s="916"/>
      <c r="BE86" s="916"/>
      <c r="BF86" s="1212"/>
      <c r="BG86" s="1631"/>
      <c r="BH86" s="1631"/>
      <c r="BI86" s="1657"/>
      <c r="BJ86" s="1631"/>
      <c r="BK86" s="1631"/>
      <c r="BL86" s="1631"/>
      <c r="BM86" s="1631"/>
      <c r="BN86" s="1631"/>
      <c r="BO86" s="459"/>
    </row>
    <row r="87" spans="1:67" s="543" customFormat="1" ht="14.25" hidden="1" customHeight="1" outlineLevel="2">
      <c r="A87" s="1354"/>
      <c r="B87" s="577" t="s">
        <v>453</v>
      </c>
      <c r="C87" s="544"/>
      <c r="D87" s="545"/>
      <c r="E87" s="545"/>
      <c r="F87" s="545"/>
      <c r="G87" s="546"/>
      <c r="H87" s="547"/>
      <c r="I87" s="547"/>
      <c r="J87" s="548"/>
      <c r="K87" s="549"/>
      <c r="L87" s="548"/>
      <c r="M87" s="548"/>
      <c r="N87" s="548"/>
      <c r="O87" s="549"/>
      <c r="P87" s="548"/>
      <c r="Q87" s="548"/>
      <c r="R87" s="548"/>
      <c r="S87" s="549"/>
      <c r="T87" s="548"/>
      <c r="U87" s="548"/>
      <c r="V87" s="547"/>
      <c r="W87" s="549"/>
      <c r="X87" s="579"/>
      <c r="Y87" s="580">
        <v>0.02</v>
      </c>
      <c r="Z87" s="579"/>
      <c r="AA87" s="1236"/>
      <c r="AB87" s="919"/>
      <c r="AC87" s="550"/>
      <c r="AD87" s="550"/>
      <c r="AE87" s="550"/>
      <c r="AF87" s="919"/>
      <c r="AG87" s="550"/>
      <c r="AH87" s="550"/>
      <c r="AI87" s="549"/>
      <c r="AJ87" s="919"/>
      <c r="AK87" s="550"/>
      <c r="AL87" s="550"/>
      <c r="AM87" s="1588"/>
      <c r="AN87" s="1649"/>
      <c r="AO87" s="1639"/>
      <c r="AP87" s="1639"/>
      <c r="AQ87" s="1639"/>
      <c r="AR87" s="919"/>
      <c r="AS87" s="550"/>
      <c r="AT87" s="550"/>
      <c r="AU87" s="549"/>
      <c r="AV87" s="919"/>
      <c r="AW87" s="550"/>
      <c r="AX87" s="550"/>
      <c r="AY87" s="549"/>
      <c r="AZ87" s="1908"/>
      <c r="BA87" s="919"/>
      <c r="BB87" s="550"/>
      <c r="BC87" s="550"/>
      <c r="BD87" s="550"/>
      <c r="BE87" s="550"/>
      <c r="BF87" s="919"/>
      <c r="BG87" s="1639"/>
      <c r="BH87" s="1639"/>
      <c r="BI87" s="1649"/>
      <c r="BJ87" s="1639"/>
      <c r="BK87" s="1639"/>
      <c r="BL87" s="1639"/>
      <c r="BM87" s="1639"/>
      <c r="BN87" s="1639"/>
      <c r="BO87" s="551"/>
    </row>
    <row r="88" spans="1:67" s="532" customFormat="1" ht="14.25" hidden="1" customHeight="1" outlineLevel="2">
      <c r="A88" s="1355"/>
      <c r="B88" s="576" t="s">
        <v>456</v>
      </c>
      <c r="C88" s="533"/>
      <c r="D88" s="534"/>
      <c r="E88" s="534"/>
      <c r="F88" s="534"/>
      <c r="G88" s="535"/>
      <c r="H88" s="536"/>
      <c r="I88" s="536"/>
      <c r="J88" s="537"/>
      <c r="K88" s="538"/>
      <c r="L88" s="537"/>
      <c r="M88" s="537"/>
      <c r="N88" s="537"/>
      <c r="O88" s="538"/>
      <c r="P88" s="537"/>
      <c r="Q88" s="537"/>
      <c r="R88" s="537"/>
      <c r="S88" s="538"/>
      <c r="T88" s="537"/>
      <c r="U88" s="537"/>
      <c r="V88" s="536"/>
      <c r="W88" s="538"/>
      <c r="X88" s="541">
        <f>+X78</f>
        <v>0.88002193884546831</v>
      </c>
      <c r="Y88" s="541">
        <f>+Y78</f>
        <v>0.80824019285557747</v>
      </c>
      <c r="Z88" s="541"/>
      <c r="AA88" s="562"/>
      <c r="AB88" s="920"/>
      <c r="AC88" s="539"/>
      <c r="AD88" s="539"/>
      <c r="AE88" s="539"/>
      <c r="AF88" s="920"/>
      <c r="AG88" s="539"/>
      <c r="AH88" s="539"/>
      <c r="AI88" s="538"/>
      <c r="AJ88" s="920"/>
      <c r="AK88" s="539"/>
      <c r="AL88" s="539"/>
      <c r="AM88" s="1587"/>
      <c r="AN88" s="1650"/>
      <c r="AO88" s="1638"/>
      <c r="AP88" s="1638"/>
      <c r="AQ88" s="1638"/>
      <c r="AR88" s="920"/>
      <c r="AS88" s="539"/>
      <c r="AT88" s="539"/>
      <c r="AU88" s="538"/>
      <c r="AV88" s="920"/>
      <c r="AW88" s="539"/>
      <c r="AX88" s="539"/>
      <c r="AY88" s="538"/>
      <c r="AZ88" s="1909"/>
      <c r="BA88" s="920"/>
      <c r="BB88" s="539"/>
      <c r="BC88" s="539"/>
      <c r="BD88" s="539"/>
      <c r="BE88" s="539"/>
      <c r="BF88" s="920"/>
      <c r="BG88" s="1638"/>
      <c r="BH88" s="1638"/>
      <c r="BI88" s="1650"/>
      <c r="BJ88" s="1638"/>
      <c r="BK88" s="1638"/>
      <c r="BL88" s="1638"/>
      <c r="BM88" s="1638"/>
      <c r="BN88" s="1638"/>
      <c r="BO88" s="540"/>
    </row>
    <row r="89" spans="1:67" s="460" customFormat="1" ht="14.25" hidden="1" customHeight="1" outlineLevel="2">
      <c r="A89" s="1353"/>
      <c r="B89" s="575"/>
      <c r="C89" s="452"/>
      <c r="D89" s="453"/>
      <c r="E89" s="453"/>
      <c r="F89" s="453"/>
      <c r="G89" s="454"/>
      <c r="H89" s="455"/>
      <c r="I89" s="455"/>
      <c r="J89" s="456"/>
      <c r="K89" s="457"/>
      <c r="L89" s="496"/>
      <c r="M89" s="496"/>
      <c r="N89" s="496"/>
      <c r="O89" s="497"/>
      <c r="P89" s="496"/>
      <c r="Q89" s="496"/>
      <c r="R89" s="496"/>
      <c r="S89" s="497"/>
      <c r="T89" s="496"/>
      <c r="U89" s="496"/>
      <c r="V89" s="498"/>
      <c r="W89" s="497"/>
      <c r="X89" s="496"/>
      <c r="Y89" s="496"/>
      <c r="Z89" s="496"/>
      <c r="AA89" s="458"/>
      <c r="AB89" s="1103"/>
      <c r="AC89" s="458"/>
      <c r="AD89" s="458"/>
      <c r="AE89" s="458"/>
      <c r="AF89" s="1103"/>
      <c r="AG89" s="458"/>
      <c r="AH89" s="458"/>
      <c r="AI89" s="497"/>
      <c r="AJ89" s="1103"/>
      <c r="AK89" s="458"/>
      <c r="AL89" s="458"/>
      <c r="AM89" s="458"/>
      <c r="AN89" s="1103"/>
      <c r="AO89" s="458"/>
      <c r="AP89" s="458"/>
      <c r="AQ89" s="458"/>
      <c r="AR89" s="1103"/>
      <c r="AS89" s="458"/>
      <c r="AT89" s="458"/>
      <c r="AU89" s="497"/>
      <c r="AV89" s="1103"/>
      <c r="AW89" s="458"/>
      <c r="AX89" s="458"/>
      <c r="AY89" s="497"/>
      <c r="AZ89" s="1907"/>
      <c r="BA89" s="1103"/>
      <c r="BB89" s="458"/>
      <c r="BC89" s="916"/>
      <c r="BD89" s="916"/>
      <c r="BE89" s="916"/>
      <c r="BF89" s="1212"/>
      <c r="BG89" s="1631"/>
      <c r="BH89" s="1631"/>
      <c r="BI89" s="1657"/>
      <c r="BJ89" s="1631"/>
      <c r="BK89" s="1631"/>
      <c r="BL89" s="1631"/>
      <c r="BM89" s="1631"/>
      <c r="BN89" s="1631"/>
      <c r="BO89" s="459"/>
    </row>
    <row r="90" spans="1:67" s="460" customFormat="1" ht="14.25" hidden="1" customHeight="1" outlineLevel="2">
      <c r="A90" s="1353"/>
      <c r="B90" s="576" t="s">
        <v>455</v>
      </c>
      <c r="C90" s="452"/>
      <c r="D90" s="453"/>
      <c r="E90" s="453"/>
      <c r="F90" s="453"/>
      <c r="G90" s="454"/>
      <c r="H90" s="455"/>
      <c r="I90" s="455"/>
      <c r="J90" s="456"/>
      <c r="K90" s="457"/>
      <c r="L90" s="496"/>
      <c r="M90" s="496"/>
      <c r="N90" s="496"/>
      <c r="O90" s="497"/>
      <c r="P90" s="496"/>
      <c r="Q90" s="496"/>
      <c r="R90" s="496"/>
      <c r="S90" s="497"/>
      <c r="T90" s="496"/>
      <c r="U90" s="496"/>
      <c r="V90" s="498"/>
      <c r="W90" s="497"/>
      <c r="X90" s="496"/>
      <c r="Y90" s="496"/>
      <c r="Z90" s="496"/>
      <c r="AA90" s="458"/>
      <c r="AB90" s="1103"/>
      <c r="AC90" s="458"/>
      <c r="AD90" s="458"/>
      <c r="AE90" s="458"/>
      <c r="AF90" s="1103"/>
      <c r="AG90" s="458"/>
      <c r="AH90" s="458"/>
      <c r="AI90" s="497"/>
      <c r="AJ90" s="1103"/>
      <c r="AK90" s="458"/>
      <c r="AL90" s="458"/>
      <c r="AM90" s="458"/>
      <c r="AN90" s="1103"/>
      <c r="AO90" s="458"/>
      <c r="AP90" s="458"/>
      <c r="AQ90" s="458"/>
      <c r="AR90" s="1103"/>
      <c r="AS90" s="458"/>
      <c r="AT90" s="458"/>
      <c r="AU90" s="497"/>
      <c r="AV90" s="1103"/>
      <c r="AW90" s="458"/>
      <c r="AX90" s="458"/>
      <c r="AY90" s="497"/>
      <c r="AZ90" s="1907"/>
      <c r="BA90" s="1103"/>
      <c r="BB90" s="458"/>
      <c r="BC90" s="916"/>
      <c r="BD90" s="916"/>
      <c r="BE90" s="916"/>
      <c r="BF90" s="1212"/>
      <c r="BG90" s="1631"/>
      <c r="BH90" s="1631"/>
      <c r="BI90" s="1657"/>
      <c r="BJ90" s="1631"/>
      <c r="BK90" s="1631"/>
      <c r="BL90" s="1631"/>
      <c r="BM90" s="1631"/>
      <c r="BN90" s="1631"/>
      <c r="BO90" s="459"/>
    </row>
    <row r="91" spans="1:67" s="460" customFormat="1" ht="14.25" hidden="1" customHeight="1" outlineLevel="2">
      <c r="A91" s="1353"/>
      <c r="B91" s="575" t="s">
        <v>448</v>
      </c>
      <c r="C91" s="452"/>
      <c r="D91" s="453"/>
      <c r="E91" s="453"/>
      <c r="F91" s="453"/>
      <c r="G91" s="454"/>
      <c r="H91" s="455"/>
      <c r="I91" s="455"/>
      <c r="J91" s="456"/>
      <c r="K91" s="457"/>
      <c r="L91" s="496"/>
      <c r="M91" s="496"/>
      <c r="N91" s="496"/>
      <c r="O91" s="497"/>
      <c r="P91" s="496"/>
      <c r="Q91" s="496"/>
      <c r="R91" s="496"/>
      <c r="S91" s="497"/>
      <c r="T91" s="496"/>
      <c r="U91" s="496"/>
      <c r="V91" s="498"/>
      <c r="W91" s="497"/>
      <c r="X91" s="496">
        <f>+X79</f>
        <v>0.11997806115453173</v>
      </c>
      <c r="Y91" s="496">
        <f>+Y79</f>
        <v>0.19175980714442251</v>
      </c>
      <c r="Z91" s="496"/>
      <c r="AA91" s="458"/>
      <c r="AB91" s="1103"/>
      <c r="AC91" s="458"/>
      <c r="AD91" s="458"/>
      <c r="AE91" s="458"/>
      <c r="AF91" s="1103"/>
      <c r="AG91" s="458"/>
      <c r="AH91" s="458"/>
      <c r="AI91" s="497"/>
      <c r="AJ91" s="1103"/>
      <c r="AK91" s="458"/>
      <c r="AL91" s="458"/>
      <c r="AM91" s="458"/>
      <c r="AN91" s="1103"/>
      <c r="AO91" s="458"/>
      <c r="AP91" s="458"/>
      <c r="AQ91" s="458"/>
      <c r="AR91" s="1103"/>
      <c r="AS91" s="458"/>
      <c r="AT91" s="458"/>
      <c r="AU91" s="497"/>
      <c r="AV91" s="1103"/>
      <c r="AW91" s="458"/>
      <c r="AX91" s="458"/>
      <c r="AY91" s="497"/>
      <c r="AZ91" s="1907"/>
      <c r="BA91" s="1103"/>
      <c r="BB91" s="458"/>
      <c r="BC91" s="916"/>
      <c r="BD91" s="916"/>
      <c r="BE91" s="916"/>
      <c r="BF91" s="1212"/>
      <c r="BG91" s="1631"/>
      <c r="BH91" s="1631"/>
      <c r="BI91" s="1657"/>
      <c r="BJ91" s="1631"/>
      <c r="BK91" s="1631"/>
      <c r="BL91" s="1631"/>
      <c r="BM91" s="1631"/>
      <c r="BN91" s="1631"/>
      <c r="BO91" s="459"/>
    </row>
    <row r="92" spans="1:67" s="543" customFormat="1" ht="14.25" hidden="1" customHeight="1" outlineLevel="2">
      <c r="A92" s="1354"/>
      <c r="B92" s="577" t="s">
        <v>457</v>
      </c>
      <c r="C92" s="544"/>
      <c r="D92" s="545"/>
      <c r="E92" s="545"/>
      <c r="F92" s="545"/>
      <c r="G92" s="546"/>
      <c r="H92" s="547"/>
      <c r="I92" s="547"/>
      <c r="J92" s="548"/>
      <c r="K92" s="549"/>
      <c r="L92" s="548"/>
      <c r="M92" s="548"/>
      <c r="N92" s="548"/>
      <c r="O92" s="549"/>
      <c r="P92" s="548"/>
      <c r="Q92" s="548"/>
      <c r="R92" s="548"/>
      <c r="S92" s="549"/>
      <c r="T92" s="548"/>
      <c r="U92" s="548"/>
      <c r="V92" s="547"/>
      <c r="W92" s="549"/>
      <c r="X92" s="548">
        <v>0</v>
      </c>
      <c r="Y92" s="548">
        <v>0</v>
      </c>
      <c r="Z92" s="548"/>
      <c r="AA92" s="550"/>
      <c r="AB92" s="919"/>
      <c r="AC92" s="550"/>
      <c r="AD92" s="550"/>
      <c r="AE92" s="550"/>
      <c r="AF92" s="919"/>
      <c r="AG92" s="550"/>
      <c r="AH92" s="550"/>
      <c r="AI92" s="549"/>
      <c r="AJ92" s="919"/>
      <c r="AK92" s="550"/>
      <c r="AL92" s="550"/>
      <c r="AM92" s="1588"/>
      <c r="AN92" s="1649"/>
      <c r="AO92" s="1639"/>
      <c r="AP92" s="1639"/>
      <c r="AQ92" s="1639"/>
      <c r="AR92" s="919"/>
      <c r="AS92" s="550"/>
      <c r="AT92" s="550"/>
      <c r="AU92" s="549"/>
      <c r="AV92" s="919"/>
      <c r="AW92" s="550"/>
      <c r="AX92" s="550"/>
      <c r="AY92" s="549"/>
      <c r="AZ92" s="1908"/>
      <c r="BA92" s="919"/>
      <c r="BB92" s="550"/>
      <c r="BC92" s="550"/>
      <c r="BD92" s="550"/>
      <c r="BE92" s="550"/>
      <c r="BF92" s="919"/>
      <c r="BG92" s="1639"/>
      <c r="BH92" s="1639"/>
      <c r="BI92" s="1649"/>
      <c r="BJ92" s="1639"/>
      <c r="BK92" s="1639"/>
      <c r="BL92" s="1639"/>
      <c r="BM92" s="1639"/>
      <c r="BN92" s="1639"/>
      <c r="BO92" s="551"/>
    </row>
    <row r="93" spans="1:67" s="460" customFormat="1" ht="14.25" hidden="1" customHeight="1" outlineLevel="2">
      <c r="A93" s="1353"/>
      <c r="B93" s="576" t="s">
        <v>458</v>
      </c>
      <c r="C93" s="452"/>
      <c r="D93" s="453"/>
      <c r="E93" s="453"/>
      <c r="F93" s="453"/>
      <c r="G93" s="454"/>
      <c r="H93" s="455"/>
      <c r="I93" s="455"/>
      <c r="J93" s="456"/>
      <c r="K93" s="457"/>
      <c r="L93" s="496"/>
      <c r="M93" s="496"/>
      <c r="N93" s="496"/>
      <c r="O93" s="497"/>
      <c r="P93" s="496"/>
      <c r="Q93" s="496"/>
      <c r="R93" s="496"/>
      <c r="S93" s="497"/>
      <c r="T93" s="496"/>
      <c r="U93" s="496"/>
      <c r="V93" s="498"/>
      <c r="W93" s="497"/>
      <c r="X93" s="496">
        <f>+X79</f>
        <v>0.11997806115453173</v>
      </c>
      <c r="Y93" s="496">
        <f>+Y79</f>
        <v>0.19175980714442251</v>
      </c>
      <c r="Z93" s="496"/>
      <c r="AA93" s="458"/>
      <c r="AB93" s="1103"/>
      <c r="AC93" s="458"/>
      <c r="AD93" s="458"/>
      <c r="AE93" s="458"/>
      <c r="AF93" s="1103"/>
      <c r="AG93" s="458"/>
      <c r="AH93" s="458"/>
      <c r="AI93" s="497"/>
      <c r="AJ93" s="1103"/>
      <c r="AK93" s="458"/>
      <c r="AL93" s="458"/>
      <c r="AM93" s="458"/>
      <c r="AN93" s="1103"/>
      <c r="AO93" s="458"/>
      <c r="AP93" s="458"/>
      <c r="AQ93" s="458"/>
      <c r="AR93" s="1103"/>
      <c r="AS93" s="458"/>
      <c r="AT93" s="458"/>
      <c r="AU93" s="497"/>
      <c r="AV93" s="1103"/>
      <c r="AW93" s="458"/>
      <c r="AX93" s="458"/>
      <c r="AY93" s="497"/>
      <c r="AZ93" s="1907"/>
      <c r="BA93" s="1103"/>
      <c r="BB93" s="458"/>
      <c r="BC93" s="916"/>
      <c r="BD93" s="916"/>
      <c r="BE93" s="916"/>
      <c r="BF93" s="1212"/>
      <c r="BG93" s="1631"/>
      <c r="BH93" s="1631"/>
      <c r="BI93" s="1657"/>
      <c r="BJ93" s="1631"/>
      <c r="BK93" s="1631"/>
      <c r="BL93" s="1631"/>
      <c r="BM93" s="1631"/>
      <c r="BN93" s="1631"/>
      <c r="BO93" s="459"/>
    </row>
    <row r="94" spans="1:67" s="460" customFormat="1" ht="14.25" hidden="1" customHeight="1" outlineLevel="2">
      <c r="A94" s="1353"/>
      <c r="B94" s="575"/>
      <c r="C94" s="452"/>
      <c r="D94" s="453"/>
      <c r="E94" s="453"/>
      <c r="F94" s="453"/>
      <c r="G94" s="454"/>
      <c r="H94" s="455"/>
      <c r="I94" s="455"/>
      <c r="J94" s="456"/>
      <c r="K94" s="457"/>
      <c r="L94" s="496"/>
      <c r="M94" s="496"/>
      <c r="N94" s="496"/>
      <c r="O94" s="497"/>
      <c r="P94" s="496"/>
      <c r="Q94" s="496"/>
      <c r="R94" s="496"/>
      <c r="S94" s="497"/>
      <c r="T94" s="496"/>
      <c r="U94" s="496"/>
      <c r="V94" s="498"/>
      <c r="W94" s="497"/>
      <c r="X94" s="496"/>
      <c r="Y94" s="496"/>
      <c r="Z94" s="496"/>
      <c r="AA94" s="458"/>
      <c r="AB94" s="1103"/>
      <c r="AC94" s="458"/>
      <c r="AD94" s="458"/>
      <c r="AE94" s="458"/>
      <c r="AF94" s="1103"/>
      <c r="AG94" s="458"/>
      <c r="AH94" s="458"/>
      <c r="AI94" s="497"/>
      <c r="AJ94" s="1103"/>
      <c r="AK94" s="458"/>
      <c r="AL94" s="458"/>
      <c r="AM94" s="458"/>
      <c r="AN94" s="1103"/>
      <c r="AO94" s="458"/>
      <c r="AP94" s="458"/>
      <c r="AQ94" s="458"/>
      <c r="AR94" s="1103"/>
      <c r="AS94" s="458"/>
      <c r="AT94" s="458"/>
      <c r="AU94" s="497"/>
      <c r="AV94" s="1103"/>
      <c r="AW94" s="458"/>
      <c r="AX94" s="458"/>
      <c r="AY94" s="497"/>
      <c r="AZ94" s="1907"/>
      <c r="BA94" s="1103"/>
      <c r="BB94" s="458"/>
      <c r="BC94" s="916"/>
      <c r="BD94" s="916"/>
      <c r="BE94" s="916"/>
      <c r="BF94" s="1212"/>
      <c r="BG94" s="1631"/>
      <c r="BH94" s="1631"/>
      <c r="BI94" s="1657"/>
      <c r="BJ94" s="1631"/>
      <c r="BK94" s="1631"/>
      <c r="BL94" s="1631"/>
      <c r="BM94" s="1631"/>
      <c r="BN94" s="1631"/>
      <c r="BO94" s="459"/>
    </row>
    <row r="95" spans="1:67" s="460" customFormat="1" ht="14.25" hidden="1" customHeight="1" outlineLevel="2">
      <c r="A95" s="1353"/>
      <c r="B95" s="575"/>
      <c r="C95" s="452"/>
      <c r="D95" s="453"/>
      <c r="E95" s="453"/>
      <c r="F95" s="453"/>
      <c r="G95" s="454"/>
      <c r="H95" s="455"/>
      <c r="I95" s="455"/>
      <c r="J95" s="456"/>
      <c r="K95" s="457"/>
      <c r="L95" s="496"/>
      <c r="M95" s="496"/>
      <c r="N95" s="496"/>
      <c r="O95" s="497"/>
      <c r="P95" s="496"/>
      <c r="Q95" s="496"/>
      <c r="R95" s="496"/>
      <c r="S95" s="497"/>
      <c r="T95" s="496"/>
      <c r="U95" s="496"/>
      <c r="V95" s="498"/>
      <c r="W95" s="497"/>
      <c r="X95" s="496"/>
      <c r="Y95" s="496"/>
      <c r="Z95" s="496"/>
      <c r="AA95" s="458"/>
      <c r="AB95" s="1103"/>
      <c r="AC95" s="458"/>
      <c r="AD95" s="458"/>
      <c r="AE95" s="458"/>
      <c r="AF95" s="1103"/>
      <c r="AG95" s="458"/>
      <c r="AH95" s="458"/>
      <c r="AI95" s="497"/>
      <c r="AJ95" s="1103"/>
      <c r="AK95" s="458"/>
      <c r="AL95" s="458"/>
      <c r="AM95" s="458"/>
      <c r="AN95" s="1103"/>
      <c r="AO95" s="458"/>
      <c r="AP95" s="458"/>
      <c r="AQ95" s="458"/>
      <c r="AR95" s="1103"/>
      <c r="AS95" s="458"/>
      <c r="AT95" s="458"/>
      <c r="AU95" s="497"/>
      <c r="AV95" s="1103"/>
      <c r="AW95" s="458"/>
      <c r="AX95" s="458"/>
      <c r="AY95" s="497"/>
      <c r="AZ95" s="1907"/>
      <c r="BA95" s="1103"/>
      <c r="BB95" s="458"/>
      <c r="BC95" s="916"/>
      <c r="BD95" s="916"/>
      <c r="BE95" s="916"/>
      <c r="BF95" s="1212"/>
      <c r="BG95" s="1631"/>
      <c r="BH95" s="1631"/>
      <c r="BI95" s="1657"/>
      <c r="BJ95" s="1631"/>
      <c r="BK95" s="1631"/>
      <c r="BL95" s="1631"/>
      <c r="BM95" s="1631"/>
      <c r="BN95" s="1631"/>
      <c r="BO95" s="459"/>
    </row>
    <row r="96" spans="1:67" s="460" customFormat="1" ht="14.25" hidden="1" customHeight="1" outlineLevel="2">
      <c r="A96" s="1353"/>
      <c r="B96" s="436" t="s">
        <v>459</v>
      </c>
      <c r="C96" s="452"/>
      <c r="D96" s="453"/>
      <c r="E96" s="453"/>
      <c r="F96" s="453"/>
      <c r="G96" s="454"/>
      <c r="H96" s="455"/>
      <c r="I96" s="455"/>
      <c r="J96" s="456"/>
      <c r="K96" s="457"/>
      <c r="L96" s="496"/>
      <c r="M96" s="496"/>
      <c r="N96" s="496"/>
      <c r="O96" s="497"/>
      <c r="P96" s="496"/>
      <c r="Q96" s="496"/>
      <c r="R96" s="496"/>
      <c r="S96" s="497"/>
      <c r="T96" s="496"/>
      <c r="U96" s="496"/>
      <c r="V96" s="498"/>
      <c r="W96" s="497"/>
      <c r="X96" s="496"/>
      <c r="Y96" s="496"/>
      <c r="Z96" s="496"/>
      <c r="AA96" s="458"/>
      <c r="AB96" s="1103"/>
      <c r="AC96" s="458"/>
      <c r="AD96" s="458"/>
      <c r="AE96" s="458"/>
      <c r="AF96" s="1103"/>
      <c r="AG96" s="458"/>
      <c r="AH96" s="458"/>
      <c r="AI96" s="497"/>
      <c r="AJ96" s="1103"/>
      <c r="AK96" s="458"/>
      <c r="AL96" s="458"/>
      <c r="AM96" s="458"/>
      <c r="AN96" s="1103"/>
      <c r="AO96" s="458"/>
      <c r="AP96" s="458"/>
      <c r="AQ96" s="458"/>
      <c r="AR96" s="1103"/>
      <c r="AS96" s="458"/>
      <c r="AT96" s="458"/>
      <c r="AU96" s="497"/>
      <c r="AV96" s="1103"/>
      <c r="AW96" s="458"/>
      <c r="AX96" s="458"/>
      <c r="AY96" s="497"/>
      <c r="AZ96" s="1907"/>
      <c r="BA96" s="1103"/>
      <c r="BB96" s="458"/>
      <c r="BC96" s="916"/>
      <c r="BD96" s="916"/>
      <c r="BE96" s="916"/>
      <c r="BF96" s="1212"/>
      <c r="BG96" s="1631"/>
      <c r="BH96" s="1631"/>
      <c r="BI96" s="1657"/>
      <c r="BJ96" s="1631"/>
      <c r="BK96" s="1631"/>
      <c r="BL96" s="1631"/>
      <c r="BM96" s="1631"/>
      <c r="BN96" s="1631"/>
      <c r="BO96" s="459"/>
    </row>
    <row r="97" spans="1:67" s="460" customFormat="1" ht="14.25" hidden="1" customHeight="1" outlineLevel="2">
      <c r="A97" s="1353"/>
      <c r="B97" s="575" t="s">
        <v>449</v>
      </c>
      <c r="C97" s="452"/>
      <c r="D97" s="453"/>
      <c r="E97" s="453"/>
      <c r="F97" s="453"/>
      <c r="G97" s="454"/>
      <c r="H97" s="455"/>
      <c r="I97" s="455"/>
      <c r="J97" s="456"/>
      <c r="K97" s="457"/>
      <c r="L97" s="496"/>
      <c r="M97" s="496"/>
      <c r="N97" s="496"/>
      <c r="O97" s="497"/>
      <c r="P97" s="496"/>
      <c r="Q97" s="496"/>
      <c r="R97" s="496"/>
      <c r="S97" s="497"/>
      <c r="T97" s="496"/>
      <c r="U97" s="496"/>
      <c r="V97" s="498"/>
      <c r="W97" s="497"/>
      <c r="X97" s="496"/>
      <c r="Y97" s="480">
        <f t="shared" ref="Y97:Y102" si="235">+Y83*Y$56</f>
        <v>77.22</v>
      </c>
      <c r="Z97" s="496"/>
      <c r="AA97" s="458"/>
      <c r="AB97" s="1103"/>
      <c r="AC97" s="458"/>
      <c r="AD97" s="458"/>
      <c r="AE97" s="458"/>
      <c r="AF97" s="1103"/>
      <c r="AG97" s="458"/>
      <c r="AH97" s="458"/>
      <c r="AI97" s="497"/>
      <c r="AJ97" s="1103"/>
      <c r="AK97" s="458"/>
      <c r="AL97" s="458"/>
      <c r="AM97" s="458"/>
      <c r="AN97" s="1103"/>
      <c r="AO97" s="458"/>
      <c r="AP97" s="458"/>
      <c r="AQ97" s="458"/>
      <c r="AR97" s="1103"/>
      <c r="AS97" s="458"/>
      <c r="AT97" s="458"/>
      <c r="AU97" s="497"/>
      <c r="AV97" s="1103"/>
      <c r="AW97" s="458"/>
      <c r="AX97" s="458"/>
      <c r="AY97" s="497"/>
      <c r="AZ97" s="1907"/>
      <c r="BA97" s="1103"/>
      <c r="BB97" s="458"/>
      <c r="BC97" s="916"/>
      <c r="BD97" s="916"/>
      <c r="BE97" s="916"/>
      <c r="BF97" s="1212"/>
      <c r="BG97" s="1631"/>
      <c r="BH97" s="1631"/>
      <c r="BI97" s="1657"/>
      <c r="BJ97" s="1631"/>
      <c r="BK97" s="1631"/>
      <c r="BL97" s="1631"/>
      <c r="BM97" s="1631"/>
      <c r="BN97" s="1631"/>
      <c r="BO97" s="459"/>
    </row>
    <row r="98" spans="1:67" s="460" customFormat="1" ht="14.25" hidden="1" customHeight="1" outlineLevel="2">
      <c r="A98" s="1353"/>
      <c r="B98" s="575" t="s">
        <v>450</v>
      </c>
      <c r="C98" s="452"/>
      <c r="D98" s="453"/>
      <c r="E98" s="453"/>
      <c r="F98" s="453"/>
      <c r="G98" s="454"/>
      <c r="H98" s="455"/>
      <c r="I98" s="455"/>
      <c r="J98" s="456"/>
      <c r="K98" s="457"/>
      <c r="L98" s="496"/>
      <c r="M98" s="496"/>
      <c r="N98" s="496"/>
      <c r="O98" s="497"/>
      <c r="P98" s="496"/>
      <c r="Q98" s="496"/>
      <c r="R98" s="496"/>
      <c r="S98" s="497"/>
      <c r="T98" s="496"/>
      <c r="U98" s="496"/>
      <c r="V98" s="498"/>
      <c r="W98" s="497"/>
      <c r="X98" s="496"/>
      <c r="Y98" s="480">
        <f t="shared" si="235"/>
        <v>42.12</v>
      </c>
      <c r="Z98" s="496"/>
      <c r="AA98" s="458"/>
      <c r="AB98" s="1103"/>
      <c r="AC98" s="458"/>
      <c r="AD98" s="458"/>
      <c r="AE98" s="458"/>
      <c r="AF98" s="1103"/>
      <c r="AG98" s="458"/>
      <c r="AH98" s="458"/>
      <c r="AI98" s="497"/>
      <c r="AJ98" s="1103"/>
      <c r="AK98" s="458"/>
      <c r="AL98" s="458"/>
      <c r="AM98" s="458"/>
      <c r="AN98" s="1103"/>
      <c r="AO98" s="458"/>
      <c r="AP98" s="458"/>
      <c r="AQ98" s="458"/>
      <c r="AR98" s="1103"/>
      <c r="AS98" s="458"/>
      <c r="AT98" s="458"/>
      <c r="AU98" s="497"/>
      <c r="AV98" s="1103"/>
      <c r="AW98" s="458"/>
      <c r="AX98" s="458"/>
      <c r="AY98" s="497"/>
      <c r="AZ98" s="1907"/>
      <c r="BA98" s="1103"/>
      <c r="BB98" s="458"/>
      <c r="BC98" s="916"/>
      <c r="BD98" s="916"/>
      <c r="BE98" s="916"/>
      <c r="BF98" s="1212"/>
      <c r="BG98" s="1631"/>
      <c r="BH98" s="1631"/>
      <c r="BI98" s="1657"/>
      <c r="BJ98" s="1631"/>
      <c r="BK98" s="1631"/>
      <c r="BL98" s="1631"/>
      <c r="BM98" s="1631"/>
      <c r="BN98" s="1631"/>
      <c r="BO98" s="459"/>
    </row>
    <row r="99" spans="1:67" s="460" customFormat="1" ht="14.25" hidden="1" customHeight="1" outlineLevel="2">
      <c r="A99" s="1353"/>
      <c r="B99" s="575" t="s">
        <v>451</v>
      </c>
      <c r="C99" s="452"/>
      <c r="D99" s="453"/>
      <c r="E99" s="453"/>
      <c r="F99" s="453"/>
      <c r="G99" s="454"/>
      <c r="H99" s="455"/>
      <c r="I99" s="455"/>
      <c r="J99" s="456"/>
      <c r="K99" s="457"/>
      <c r="L99" s="496"/>
      <c r="M99" s="496"/>
      <c r="N99" s="496"/>
      <c r="O99" s="497"/>
      <c r="P99" s="496"/>
      <c r="Q99" s="496"/>
      <c r="R99" s="496"/>
      <c r="S99" s="497"/>
      <c r="T99" s="496"/>
      <c r="U99" s="496"/>
      <c r="V99" s="498"/>
      <c r="W99" s="497"/>
      <c r="X99" s="496"/>
      <c r="Y99" s="480">
        <f t="shared" si="235"/>
        <v>35.1</v>
      </c>
      <c r="Z99" s="496"/>
      <c r="AA99" s="458"/>
      <c r="AB99" s="1103"/>
      <c r="AC99" s="458"/>
      <c r="AD99" s="458"/>
      <c r="AE99" s="458"/>
      <c r="AF99" s="1103"/>
      <c r="AG99" s="458"/>
      <c r="AH99" s="458"/>
      <c r="AI99" s="497"/>
      <c r="AJ99" s="1103"/>
      <c r="AK99" s="458"/>
      <c r="AL99" s="458"/>
      <c r="AM99" s="458"/>
      <c r="AN99" s="1103"/>
      <c r="AO99" s="458"/>
      <c r="AP99" s="458"/>
      <c r="AQ99" s="458"/>
      <c r="AR99" s="1103"/>
      <c r="AS99" s="458"/>
      <c r="AT99" s="458"/>
      <c r="AU99" s="497"/>
      <c r="AV99" s="1103"/>
      <c r="AW99" s="458"/>
      <c r="AX99" s="458"/>
      <c r="AY99" s="497"/>
      <c r="AZ99" s="1907"/>
      <c r="BA99" s="1103"/>
      <c r="BB99" s="458"/>
      <c r="BC99" s="916"/>
      <c r="BD99" s="916"/>
      <c r="BE99" s="916"/>
      <c r="BF99" s="1212"/>
      <c r="BG99" s="1631"/>
      <c r="BH99" s="1631"/>
      <c r="BI99" s="1657"/>
      <c r="BJ99" s="1631"/>
      <c r="BK99" s="1631"/>
      <c r="BL99" s="1631"/>
      <c r="BM99" s="1631"/>
      <c r="BN99" s="1631"/>
      <c r="BO99" s="459"/>
    </row>
    <row r="100" spans="1:67" s="460" customFormat="1" ht="14.25" hidden="1" customHeight="1" outlineLevel="2">
      <c r="A100" s="1353"/>
      <c r="B100" s="575" t="s">
        <v>452</v>
      </c>
      <c r="C100" s="452"/>
      <c r="D100" s="453"/>
      <c r="E100" s="453"/>
      <c r="F100" s="453"/>
      <c r="G100" s="454"/>
      <c r="H100" s="455"/>
      <c r="I100" s="455"/>
      <c r="J100" s="456"/>
      <c r="K100" s="457"/>
      <c r="L100" s="496"/>
      <c r="M100" s="496"/>
      <c r="N100" s="496"/>
      <c r="O100" s="497"/>
      <c r="P100" s="496"/>
      <c r="Q100" s="496"/>
      <c r="R100" s="496"/>
      <c r="S100" s="497"/>
      <c r="T100" s="496"/>
      <c r="U100" s="496"/>
      <c r="V100" s="498"/>
      <c r="W100" s="497"/>
      <c r="X100" s="496"/>
      <c r="Y100" s="480">
        <f t="shared" si="235"/>
        <v>28.08</v>
      </c>
      <c r="Z100" s="496"/>
      <c r="AA100" s="458"/>
      <c r="AB100" s="1103"/>
      <c r="AC100" s="458"/>
      <c r="AD100" s="458"/>
      <c r="AE100" s="458"/>
      <c r="AF100" s="1103"/>
      <c r="AG100" s="458"/>
      <c r="AH100" s="458"/>
      <c r="AI100" s="497"/>
      <c r="AJ100" s="1103"/>
      <c r="AK100" s="458"/>
      <c r="AL100" s="458"/>
      <c r="AM100" s="458"/>
      <c r="AN100" s="1103"/>
      <c r="AO100" s="458"/>
      <c r="AP100" s="458"/>
      <c r="AQ100" s="458"/>
      <c r="AR100" s="1103"/>
      <c r="AS100" s="458"/>
      <c r="AT100" s="458"/>
      <c r="AU100" s="497"/>
      <c r="AV100" s="1103"/>
      <c r="AW100" s="458"/>
      <c r="AX100" s="458"/>
      <c r="AY100" s="497"/>
      <c r="AZ100" s="1907"/>
      <c r="BA100" s="1103"/>
      <c r="BB100" s="458"/>
      <c r="BC100" s="916"/>
      <c r="BD100" s="916"/>
      <c r="BE100" s="916"/>
      <c r="BF100" s="1212"/>
      <c r="BG100" s="1631"/>
      <c r="BH100" s="1631"/>
      <c r="BI100" s="1657"/>
      <c r="BJ100" s="1631"/>
      <c r="BK100" s="1631"/>
      <c r="BL100" s="1631"/>
      <c r="BM100" s="1631"/>
      <c r="BN100" s="1631"/>
      <c r="BO100" s="459"/>
    </row>
    <row r="101" spans="1:67" s="543" customFormat="1" ht="14.25" hidden="1" customHeight="1" outlineLevel="2">
      <c r="A101" s="1354"/>
      <c r="B101" s="577" t="s">
        <v>453</v>
      </c>
      <c r="C101" s="544"/>
      <c r="D101" s="545"/>
      <c r="E101" s="545"/>
      <c r="F101" s="545"/>
      <c r="G101" s="546"/>
      <c r="H101" s="547"/>
      <c r="I101" s="547"/>
      <c r="J101" s="548"/>
      <c r="K101" s="549"/>
      <c r="L101" s="548"/>
      <c r="M101" s="548"/>
      <c r="N101" s="548"/>
      <c r="O101" s="549"/>
      <c r="P101" s="548"/>
      <c r="Q101" s="548"/>
      <c r="R101" s="548"/>
      <c r="S101" s="549"/>
      <c r="T101" s="548"/>
      <c r="U101" s="548"/>
      <c r="V101" s="547"/>
      <c r="W101" s="549"/>
      <c r="X101" s="548"/>
      <c r="Y101" s="503">
        <f t="shared" si="235"/>
        <v>4.68</v>
      </c>
      <c r="Z101" s="548"/>
      <c r="AA101" s="550"/>
      <c r="AB101" s="919"/>
      <c r="AC101" s="550"/>
      <c r="AD101" s="550"/>
      <c r="AE101" s="550"/>
      <c r="AF101" s="919"/>
      <c r="AG101" s="550"/>
      <c r="AH101" s="550"/>
      <c r="AI101" s="549"/>
      <c r="AJ101" s="919"/>
      <c r="AK101" s="550"/>
      <c r="AL101" s="550"/>
      <c r="AM101" s="1588"/>
      <c r="AN101" s="1649"/>
      <c r="AO101" s="1639"/>
      <c r="AP101" s="1639"/>
      <c r="AQ101" s="1639"/>
      <c r="AR101" s="919"/>
      <c r="AS101" s="550"/>
      <c r="AT101" s="550"/>
      <c r="AU101" s="549"/>
      <c r="AV101" s="919"/>
      <c r="AW101" s="550"/>
      <c r="AX101" s="550"/>
      <c r="AY101" s="549"/>
      <c r="AZ101" s="1908"/>
      <c r="BA101" s="919"/>
      <c r="BB101" s="550"/>
      <c r="BC101" s="550"/>
      <c r="BD101" s="550"/>
      <c r="BE101" s="550"/>
      <c r="BF101" s="919"/>
      <c r="BG101" s="1639"/>
      <c r="BH101" s="1639"/>
      <c r="BI101" s="1649"/>
      <c r="BJ101" s="1639"/>
      <c r="BK101" s="1639"/>
      <c r="BL101" s="1639"/>
      <c r="BM101" s="1639"/>
      <c r="BN101" s="1639"/>
      <c r="BO101" s="551"/>
    </row>
    <row r="102" spans="1:67" s="532" customFormat="1" ht="14.25" hidden="1" customHeight="1" outlineLevel="2">
      <c r="A102" s="1355"/>
      <c r="B102" s="576" t="s">
        <v>456</v>
      </c>
      <c r="C102" s="533"/>
      <c r="D102" s="534"/>
      <c r="E102" s="534"/>
      <c r="F102" s="534"/>
      <c r="G102" s="535"/>
      <c r="H102" s="536"/>
      <c r="I102" s="536"/>
      <c r="J102" s="537"/>
      <c r="K102" s="538"/>
      <c r="L102" s="537"/>
      <c r="M102" s="537"/>
      <c r="N102" s="537"/>
      <c r="O102" s="538"/>
      <c r="P102" s="537"/>
      <c r="Q102" s="537"/>
      <c r="R102" s="537"/>
      <c r="S102" s="538"/>
      <c r="T102" s="537"/>
      <c r="U102" s="537"/>
      <c r="V102" s="536"/>
      <c r="W102" s="538"/>
      <c r="X102" s="537"/>
      <c r="Y102" s="482">
        <f t="shared" si="235"/>
        <v>189.12820512820514</v>
      </c>
      <c r="Z102" s="537"/>
      <c r="AA102" s="539"/>
      <c r="AB102" s="920"/>
      <c r="AC102" s="539"/>
      <c r="AD102" s="539"/>
      <c r="AE102" s="539"/>
      <c r="AF102" s="920"/>
      <c r="AG102" s="539"/>
      <c r="AH102" s="539"/>
      <c r="AI102" s="538"/>
      <c r="AJ102" s="920"/>
      <c r="AK102" s="539"/>
      <c r="AL102" s="539"/>
      <c r="AM102" s="1587"/>
      <c r="AN102" s="1650"/>
      <c r="AO102" s="1638"/>
      <c r="AP102" s="1638"/>
      <c r="AQ102" s="1638"/>
      <c r="AR102" s="920"/>
      <c r="AS102" s="539"/>
      <c r="AT102" s="539"/>
      <c r="AU102" s="538"/>
      <c r="AV102" s="920"/>
      <c r="AW102" s="539"/>
      <c r="AX102" s="539"/>
      <c r="AY102" s="538"/>
      <c r="AZ102" s="1909"/>
      <c r="BA102" s="920"/>
      <c r="BB102" s="539"/>
      <c r="BC102" s="539"/>
      <c r="BD102" s="539"/>
      <c r="BE102" s="539"/>
      <c r="BF102" s="920"/>
      <c r="BG102" s="1638"/>
      <c r="BH102" s="1638"/>
      <c r="BI102" s="1650"/>
      <c r="BJ102" s="1638"/>
      <c r="BK102" s="1638"/>
      <c r="BL102" s="1638"/>
      <c r="BM102" s="1638"/>
      <c r="BN102" s="1638"/>
      <c r="BO102" s="540"/>
    </row>
    <row r="103" spans="1:67" s="460" customFormat="1" ht="14.25" hidden="1" customHeight="1" outlineLevel="2">
      <c r="A103" s="1353"/>
      <c r="B103" s="575"/>
      <c r="C103" s="452"/>
      <c r="D103" s="453"/>
      <c r="E103" s="453"/>
      <c r="F103" s="453"/>
      <c r="G103" s="454"/>
      <c r="H103" s="455"/>
      <c r="I103" s="455"/>
      <c r="J103" s="456"/>
      <c r="K103" s="457"/>
      <c r="L103" s="496"/>
      <c r="M103" s="496"/>
      <c r="N103" s="496"/>
      <c r="O103" s="497"/>
      <c r="P103" s="496"/>
      <c r="Q103" s="496"/>
      <c r="R103" s="496"/>
      <c r="S103" s="497"/>
      <c r="T103" s="496"/>
      <c r="U103" s="496"/>
      <c r="V103" s="498"/>
      <c r="W103" s="497"/>
      <c r="X103" s="496"/>
      <c r="Y103" s="496"/>
      <c r="Z103" s="496"/>
      <c r="AA103" s="458"/>
      <c r="AB103" s="1103"/>
      <c r="AC103" s="458"/>
      <c r="AD103" s="458"/>
      <c r="AE103" s="458"/>
      <c r="AF103" s="1103"/>
      <c r="AG103" s="458"/>
      <c r="AH103" s="458"/>
      <c r="AI103" s="497"/>
      <c r="AJ103" s="1103"/>
      <c r="AK103" s="458"/>
      <c r="AL103" s="458"/>
      <c r="AM103" s="458"/>
      <c r="AN103" s="1103"/>
      <c r="AO103" s="458"/>
      <c r="AP103" s="458"/>
      <c r="AQ103" s="458"/>
      <c r="AR103" s="1103"/>
      <c r="AS103" s="458"/>
      <c r="AT103" s="458"/>
      <c r="AU103" s="497"/>
      <c r="AV103" s="1103"/>
      <c r="AW103" s="458"/>
      <c r="AX103" s="458"/>
      <c r="AY103" s="497"/>
      <c r="AZ103" s="1907"/>
      <c r="BA103" s="1103"/>
      <c r="BB103" s="458"/>
      <c r="BC103" s="916"/>
      <c r="BD103" s="916"/>
      <c r="BE103" s="916"/>
      <c r="BF103" s="1212"/>
      <c r="BG103" s="1631"/>
      <c r="BH103" s="1631"/>
      <c r="BI103" s="1657"/>
      <c r="BJ103" s="1631"/>
      <c r="BK103" s="1631"/>
      <c r="BL103" s="1631"/>
      <c r="BM103" s="1631"/>
      <c r="BN103" s="1631"/>
      <c r="BO103" s="459"/>
    </row>
    <row r="104" spans="1:67" s="460" customFormat="1" ht="14.25" hidden="1" customHeight="1" outlineLevel="2">
      <c r="A104" s="1353"/>
      <c r="B104" s="576" t="s">
        <v>460</v>
      </c>
      <c r="C104" s="452"/>
      <c r="D104" s="453"/>
      <c r="E104" s="453"/>
      <c r="F104" s="453"/>
      <c r="G104" s="454"/>
      <c r="H104" s="455"/>
      <c r="I104" s="455"/>
      <c r="J104" s="456"/>
      <c r="K104" s="457"/>
      <c r="L104" s="496"/>
      <c r="M104" s="496"/>
      <c r="N104" s="496"/>
      <c r="O104" s="497"/>
      <c r="P104" s="496"/>
      <c r="Q104" s="496"/>
      <c r="R104" s="496"/>
      <c r="S104" s="497"/>
      <c r="T104" s="496"/>
      <c r="U104" s="496"/>
      <c r="V104" s="498"/>
      <c r="W104" s="497"/>
      <c r="X104" s="496"/>
      <c r="Y104" s="496"/>
      <c r="Z104" s="496"/>
      <c r="AA104" s="458"/>
      <c r="AB104" s="1103"/>
      <c r="AC104" s="458"/>
      <c r="AD104" s="458"/>
      <c r="AE104" s="458"/>
      <c r="AF104" s="1103"/>
      <c r="AG104" s="458"/>
      <c r="AH104" s="458"/>
      <c r="AI104" s="497"/>
      <c r="AJ104" s="1103"/>
      <c r="AK104" s="458"/>
      <c r="AL104" s="458"/>
      <c r="AM104" s="458"/>
      <c r="AN104" s="1103"/>
      <c r="AO104" s="458"/>
      <c r="AP104" s="458"/>
      <c r="AQ104" s="458"/>
      <c r="AR104" s="1103"/>
      <c r="AS104" s="458"/>
      <c r="AT104" s="458"/>
      <c r="AU104" s="497"/>
      <c r="AV104" s="1103"/>
      <c r="AW104" s="458"/>
      <c r="AX104" s="458"/>
      <c r="AY104" s="497"/>
      <c r="AZ104" s="1907"/>
      <c r="BA104" s="1103"/>
      <c r="BB104" s="458"/>
      <c r="BC104" s="916"/>
      <c r="BD104" s="916"/>
      <c r="BE104" s="916"/>
      <c r="BF104" s="1212"/>
      <c r="BG104" s="1631"/>
      <c r="BH104" s="1631"/>
      <c r="BI104" s="1657"/>
      <c r="BJ104" s="1631"/>
      <c r="BK104" s="1631"/>
      <c r="BL104" s="1631"/>
      <c r="BM104" s="1631"/>
      <c r="BN104" s="1631"/>
      <c r="BO104" s="459"/>
    </row>
    <row r="105" spans="1:67" s="552" customFormat="1" ht="14.25" hidden="1" customHeight="1" outlineLevel="2">
      <c r="A105" s="1353"/>
      <c r="B105" s="575" t="s">
        <v>448</v>
      </c>
      <c r="C105" s="553"/>
      <c r="D105" s="554"/>
      <c r="E105" s="554"/>
      <c r="F105" s="554"/>
      <c r="G105" s="555"/>
      <c r="H105" s="501"/>
      <c r="I105" s="501"/>
      <c r="J105" s="499"/>
      <c r="K105" s="500"/>
      <c r="L105" s="499"/>
      <c r="M105" s="499"/>
      <c r="N105" s="499"/>
      <c r="O105" s="500"/>
      <c r="P105" s="499"/>
      <c r="Q105" s="499"/>
      <c r="R105" s="499"/>
      <c r="S105" s="500"/>
      <c r="T105" s="499"/>
      <c r="U105" s="499"/>
      <c r="V105" s="501"/>
      <c r="W105" s="500"/>
      <c r="X105" s="499"/>
      <c r="Y105" s="480">
        <f>+Y91*Y$56</f>
        <v>44.871794871794869</v>
      </c>
      <c r="Z105" s="499"/>
      <c r="AA105" s="556"/>
      <c r="AB105" s="686"/>
      <c r="AC105" s="556"/>
      <c r="AD105" s="556"/>
      <c r="AE105" s="556"/>
      <c r="AF105" s="686"/>
      <c r="AG105" s="556"/>
      <c r="AH105" s="556"/>
      <c r="AI105" s="500"/>
      <c r="AJ105" s="686"/>
      <c r="AK105" s="556"/>
      <c r="AL105" s="556"/>
      <c r="AM105" s="556"/>
      <c r="AN105" s="686"/>
      <c r="AO105" s="556"/>
      <c r="AP105" s="556"/>
      <c r="AQ105" s="556"/>
      <c r="AR105" s="686"/>
      <c r="AS105" s="556"/>
      <c r="AT105" s="556"/>
      <c r="AU105" s="500"/>
      <c r="AV105" s="686"/>
      <c r="AW105" s="556"/>
      <c r="AX105" s="556"/>
      <c r="AY105" s="500"/>
      <c r="AZ105" s="1910"/>
      <c r="BA105" s="686"/>
      <c r="BB105" s="556"/>
      <c r="BC105" s="556"/>
      <c r="BD105" s="556"/>
      <c r="BE105" s="556"/>
      <c r="BF105" s="686"/>
      <c r="BG105" s="556"/>
      <c r="BH105" s="556"/>
      <c r="BI105" s="686"/>
      <c r="BJ105" s="556"/>
      <c r="BK105" s="556"/>
      <c r="BL105" s="556"/>
      <c r="BM105" s="556"/>
      <c r="BN105" s="556"/>
      <c r="BO105" s="557"/>
    </row>
    <row r="106" spans="1:67" s="563" customFormat="1" ht="14.25" hidden="1" customHeight="1" outlineLevel="2">
      <c r="A106" s="1354"/>
      <c r="B106" s="578" t="s">
        <v>457</v>
      </c>
      <c r="C106" s="564"/>
      <c r="D106" s="565"/>
      <c r="E106" s="565"/>
      <c r="F106" s="565"/>
      <c r="G106" s="566"/>
      <c r="H106" s="567"/>
      <c r="I106" s="567"/>
      <c r="J106" s="568"/>
      <c r="K106" s="569"/>
      <c r="L106" s="568"/>
      <c r="M106" s="568"/>
      <c r="N106" s="568"/>
      <c r="O106" s="569"/>
      <c r="P106" s="568"/>
      <c r="Q106" s="568"/>
      <c r="R106" s="568"/>
      <c r="S106" s="569"/>
      <c r="T106" s="568"/>
      <c r="U106" s="568"/>
      <c r="V106" s="567"/>
      <c r="W106" s="569"/>
      <c r="X106" s="568"/>
      <c r="Y106" s="481">
        <f>+Y92*Y$56</f>
        <v>0</v>
      </c>
      <c r="Z106" s="568"/>
      <c r="AA106" s="570"/>
      <c r="AB106" s="690"/>
      <c r="AC106" s="570"/>
      <c r="AD106" s="570"/>
      <c r="AE106" s="570"/>
      <c r="AF106" s="690"/>
      <c r="AG106" s="570"/>
      <c r="AH106" s="570"/>
      <c r="AI106" s="569"/>
      <c r="AJ106" s="690"/>
      <c r="AK106" s="570"/>
      <c r="AL106" s="570"/>
      <c r="AM106" s="570"/>
      <c r="AN106" s="690"/>
      <c r="AO106" s="570"/>
      <c r="AP106" s="570"/>
      <c r="AQ106" s="570"/>
      <c r="AR106" s="690"/>
      <c r="AS106" s="570"/>
      <c r="AT106" s="570"/>
      <c r="AU106" s="569"/>
      <c r="AV106" s="690"/>
      <c r="AW106" s="570"/>
      <c r="AX106" s="570"/>
      <c r="AY106" s="569"/>
      <c r="AZ106" s="1911"/>
      <c r="BA106" s="690"/>
      <c r="BB106" s="570"/>
      <c r="BC106" s="570"/>
      <c r="BD106" s="570"/>
      <c r="BE106" s="570"/>
      <c r="BF106" s="690"/>
      <c r="BG106" s="570"/>
      <c r="BH106" s="570"/>
      <c r="BI106" s="690"/>
      <c r="BJ106" s="570"/>
      <c r="BK106" s="570"/>
      <c r="BL106" s="570"/>
      <c r="BM106" s="570"/>
      <c r="BN106" s="570"/>
      <c r="BO106" s="571"/>
    </row>
    <row r="107" spans="1:67" s="532" customFormat="1" ht="14.25" hidden="1" customHeight="1" outlineLevel="2">
      <c r="A107" s="1355"/>
      <c r="B107" s="576" t="s">
        <v>458</v>
      </c>
      <c r="C107" s="558"/>
      <c r="D107" s="559"/>
      <c r="E107" s="559"/>
      <c r="F107" s="559"/>
      <c r="G107" s="560"/>
      <c r="H107" s="561"/>
      <c r="I107" s="561"/>
      <c r="J107" s="541"/>
      <c r="K107" s="542"/>
      <c r="L107" s="541"/>
      <c r="M107" s="541"/>
      <c r="N107" s="541"/>
      <c r="O107" s="542"/>
      <c r="P107" s="541"/>
      <c r="Q107" s="541"/>
      <c r="R107" s="541"/>
      <c r="S107" s="542"/>
      <c r="T107" s="541"/>
      <c r="U107" s="541"/>
      <c r="V107" s="561"/>
      <c r="W107" s="542"/>
      <c r="X107" s="541"/>
      <c r="Y107" s="482">
        <f>+Y93*Y$56</f>
        <v>44.871794871794869</v>
      </c>
      <c r="Z107" s="541"/>
      <c r="AA107" s="562"/>
      <c r="AB107" s="637"/>
      <c r="AC107" s="562"/>
      <c r="AD107" s="562"/>
      <c r="AE107" s="562"/>
      <c r="AF107" s="637"/>
      <c r="AG107" s="562"/>
      <c r="AH107" s="562"/>
      <c r="AI107" s="542"/>
      <c r="AJ107" s="637"/>
      <c r="AK107" s="562"/>
      <c r="AL107" s="562"/>
      <c r="AM107" s="562"/>
      <c r="AN107" s="637"/>
      <c r="AO107" s="562"/>
      <c r="AP107" s="562"/>
      <c r="AQ107" s="562"/>
      <c r="AR107" s="637"/>
      <c r="AS107" s="562"/>
      <c r="AT107" s="562"/>
      <c r="AU107" s="542"/>
      <c r="AV107" s="637"/>
      <c r="AW107" s="562"/>
      <c r="AX107" s="562"/>
      <c r="AY107" s="542"/>
      <c r="AZ107" s="1909"/>
      <c r="BA107" s="637"/>
      <c r="BB107" s="562"/>
      <c r="BC107" s="562"/>
      <c r="BD107" s="562"/>
      <c r="BE107" s="562"/>
      <c r="BF107" s="637"/>
      <c r="BG107" s="562"/>
      <c r="BH107" s="562"/>
      <c r="BI107" s="637"/>
      <c r="BJ107" s="562"/>
      <c r="BK107" s="562"/>
      <c r="BL107" s="562"/>
      <c r="BM107" s="562"/>
      <c r="BN107" s="562"/>
      <c r="BO107" s="540"/>
    </row>
    <row r="108" spans="1:67" s="460" customFormat="1" ht="14.25" hidden="1" customHeight="1" outlineLevel="2">
      <c r="A108" s="1353"/>
      <c r="B108" s="575"/>
      <c r="C108" s="452"/>
      <c r="D108" s="453"/>
      <c r="E108" s="453"/>
      <c r="F108" s="453"/>
      <c r="G108" s="454"/>
      <c r="H108" s="455"/>
      <c r="I108" s="455"/>
      <c r="J108" s="456"/>
      <c r="K108" s="457"/>
      <c r="L108" s="496"/>
      <c r="M108" s="496"/>
      <c r="N108" s="496"/>
      <c r="O108" s="497"/>
      <c r="P108" s="496"/>
      <c r="Q108" s="496"/>
      <c r="R108" s="496"/>
      <c r="S108" s="497"/>
      <c r="T108" s="496"/>
      <c r="U108" s="496"/>
      <c r="V108" s="498"/>
      <c r="W108" s="497"/>
      <c r="X108" s="496"/>
      <c r="Y108" s="496"/>
      <c r="Z108" s="496"/>
      <c r="AA108" s="458"/>
      <c r="AB108" s="1103"/>
      <c r="AC108" s="458"/>
      <c r="AD108" s="458"/>
      <c r="AE108" s="458"/>
      <c r="AF108" s="1103"/>
      <c r="AG108" s="458"/>
      <c r="AH108" s="458"/>
      <c r="AI108" s="497"/>
      <c r="AJ108" s="1103"/>
      <c r="AK108" s="458"/>
      <c r="AL108" s="458"/>
      <c r="AM108" s="458"/>
      <c r="AN108" s="1103"/>
      <c r="AO108" s="458"/>
      <c r="AP108" s="458"/>
      <c r="AQ108" s="458"/>
      <c r="AR108" s="1103"/>
      <c r="AS108" s="458"/>
      <c r="AT108" s="458"/>
      <c r="AU108" s="497"/>
      <c r="AV108" s="1103"/>
      <c r="AW108" s="458"/>
      <c r="AX108" s="458"/>
      <c r="AY108" s="497"/>
      <c r="AZ108" s="1907"/>
      <c r="BA108" s="1103"/>
      <c r="BB108" s="458"/>
      <c r="BC108" s="916"/>
      <c r="BD108" s="916"/>
      <c r="BE108" s="916"/>
      <c r="BF108" s="1212"/>
      <c r="BG108" s="1631"/>
      <c r="BH108" s="1631"/>
      <c r="BI108" s="1657"/>
      <c r="BJ108" s="1631"/>
      <c r="BK108" s="1631"/>
      <c r="BL108" s="1631"/>
      <c r="BM108" s="1631"/>
      <c r="BN108" s="1631"/>
      <c r="BO108" s="459"/>
    </row>
    <row r="109" spans="1:67" ht="14.25" hidden="1" customHeight="1" outlineLevel="2">
      <c r="A109" s="1347"/>
      <c r="B109" s="437"/>
      <c r="C109" s="254"/>
      <c r="D109" s="320"/>
      <c r="E109" s="320"/>
      <c r="F109" s="320"/>
      <c r="G109" s="93"/>
      <c r="H109" s="269"/>
      <c r="I109" s="269"/>
      <c r="J109" s="300"/>
      <c r="K109" s="301"/>
      <c r="L109" s="337"/>
      <c r="M109" s="337"/>
      <c r="N109" s="337"/>
      <c r="O109" s="338"/>
      <c r="P109" s="337"/>
      <c r="Q109" s="337"/>
      <c r="R109" s="337"/>
      <c r="S109" s="338"/>
      <c r="T109" s="337"/>
      <c r="U109" s="337"/>
      <c r="V109" s="405"/>
      <c r="W109" s="338"/>
      <c r="X109" s="337"/>
      <c r="Y109" s="337"/>
      <c r="Z109" s="300"/>
      <c r="AA109" s="256"/>
      <c r="AB109" s="255"/>
      <c r="AC109" s="256"/>
      <c r="AD109" s="256"/>
      <c r="AE109" s="256"/>
      <c r="AF109" s="255"/>
      <c r="AG109" s="256"/>
      <c r="AH109" s="256"/>
      <c r="AI109" s="301"/>
      <c r="AJ109" s="255"/>
      <c r="AK109" s="256"/>
      <c r="AL109" s="256"/>
      <c r="AM109" s="1575"/>
      <c r="AN109" s="1614"/>
      <c r="AO109" s="1715"/>
      <c r="AP109" s="1715"/>
      <c r="AQ109" s="1715"/>
      <c r="AR109" s="1515"/>
      <c r="AS109" s="1516"/>
      <c r="AT109" s="1516"/>
      <c r="AU109" s="1517"/>
      <c r="AV109" s="1515"/>
      <c r="AW109" s="1516"/>
      <c r="AX109" s="1516"/>
      <c r="AY109" s="1517"/>
      <c r="AZ109" s="20"/>
      <c r="BA109" s="652"/>
      <c r="BB109" s="317"/>
      <c r="BC109" s="256"/>
      <c r="BD109" s="256"/>
      <c r="BE109" s="256"/>
      <c r="BF109" s="255"/>
      <c r="BG109" s="1615"/>
      <c r="BH109" s="1615"/>
      <c r="BI109" s="1614"/>
      <c r="BJ109" s="1715"/>
      <c r="BK109" s="1715"/>
      <c r="BL109" s="1715"/>
      <c r="BM109" s="1715"/>
      <c r="BN109" s="1715"/>
      <c r="BO109" s="299"/>
    </row>
    <row r="110" spans="1:67" ht="14.25" hidden="1" customHeight="1" outlineLevel="1">
      <c r="A110" s="1347"/>
      <c r="B110" s="1344" t="s">
        <v>408</v>
      </c>
      <c r="C110" s="719"/>
      <c r="D110" s="717"/>
      <c r="E110" s="717"/>
      <c r="F110" s="717"/>
      <c r="G110" s="718"/>
      <c r="H110" s="717"/>
      <c r="I110" s="717"/>
      <c r="J110" s="717"/>
      <c r="K110" s="718"/>
      <c r="L110" s="720"/>
      <c r="M110" s="720"/>
      <c r="N110" s="720"/>
      <c r="O110" s="721"/>
      <c r="P110" s="720"/>
      <c r="Q110" s="720"/>
      <c r="R110" s="720"/>
      <c r="S110" s="721"/>
      <c r="T110" s="720"/>
      <c r="U110" s="720"/>
      <c r="V110" s="720"/>
      <c r="W110" s="721"/>
      <c r="X110" s="720"/>
      <c r="Y110" s="720"/>
      <c r="Z110" s="717"/>
      <c r="AA110" s="717"/>
      <c r="AB110" s="1143"/>
      <c r="AC110" s="717"/>
      <c r="AD110" s="717"/>
      <c r="AE110" s="717"/>
      <c r="AF110" s="1143"/>
      <c r="AG110" s="717"/>
      <c r="AH110" s="717"/>
      <c r="AI110" s="718"/>
      <c r="AJ110" s="1143"/>
      <c r="AK110" s="717"/>
      <c r="AL110" s="717"/>
      <c r="AM110" s="717"/>
      <c r="AN110" s="1143"/>
      <c r="AO110" s="717"/>
      <c r="AP110" s="717"/>
      <c r="AQ110" s="717"/>
      <c r="AR110" s="1143"/>
      <c r="AS110" s="717"/>
      <c r="AT110" s="717"/>
      <c r="AU110" s="718"/>
      <c r="AV110" s="1143"/>
      <c r="AW110" s="717"/>
      <c r="AX110" s="717"/>
      <c r="AY110" s="718"/>
      <c r="AZ110" s="20"/>
      <c r="BA110" s="1123"/>
      <c r="BB110" s="1107"/>
      <c r="BC110" s="1108"/>
      <c r="BD110" s="1108"/>
      <c r="BE110" s="1108"/>
      <c r="BF110" s="1211"/>
      <c r="BG110" s="1659"/>
      <c r="BH110" s="1659"/>
      <c r="BI110" s="1664"/>
      <c r="BJ110" s="1659"/>
      <c r="BK110" s="1659"/>
      <c r="BL110" s="1659"/>
      <c r="BM110" s="1659"/>
      <c r="BN110" s="1659"/>
      <c r="BO110" s="299"/>
    </row>
    <row r="111" spans="1:67" s="316" customFormat="1" ht="14.25" hidden="1" customHeight="1" outlineLevel="1">
      <c r="A111" s="1347"/>
      <c r="B111" s="434"/>
      <c r="C111" s="34"/>
      <c r="D111" s="320"/>
      <c r="E111" s="320"/>
      <c r="F111" s="320"/>
      <c r="G111" s="93"/>
      <c r="H111" s="269"/>
      <c r="I111" s="269"/>
      <c r="J111" s="269"/>
      <c r="K111" s="91"/>
      <c r="L111" s="405"/>
      <c r="M111" s="405"/>
      <c r="N111" s="405"/>
      <c r="O111" s="415"/>
      <c r="P111" s="405"/>
      <c r="Q111" s="405"/>
      <c r="R111" s="405"/>
      <c r="S111" s="415"/>
      <c r="T111" s="405"/>
      <c r="U111" s="405"/>
      <c r="V111" s="405"/>
      <c r="W111" s="415"/>
      <c r="X111" s="405"/>
      <c r="Y111" s="405"/>
      <c r="Z111" s="416"/>
      <c r="AA111" s="418"/>
      <c r="AB111" s="1125"/>
      <c r="AC111" s="418"/>
      <c r="AD111" s="418"/>
      <c r="AE111" s="418"/>
      <c r="AF111" s="1125"/>
      <c r="AG111" s="418"/>
      <c r="AH111" s="418"/>
      <c r="AI111" s="417"/>
      <c r="AJ111" s="1125"/>
      <c r="AK111" s="418"/>
      <c r="AL111" s="418"/>
      <c r="AM111" s="1583"/>
      <c r="AN111" s="1665"/>
      <c r="AO111" s="1630"/>
      <c r="AP111" s="1630"/>
      <c r="AQ111" s="1630"/>
      <c r="AR111" s="1125"/>
      <c r="AS111" s="418"/>
      <c r="AT111" s="418"/>
      <c r="AU111" s="417"/>
      <c r="AV111" s="1125"/>
      <c r="AW111" s="418"/>
      <c r="AX111" s="418"/>
      <c r="AY111" s="417"/>
      <c r="AZ111" s="177"/>
      <c r="BA111" s="958"/>
      <c r="BB111" s="420"/>
      <c r="BC111" s="90"/>
      <c r="BD111" s="90"/>
      <c r="BE111" s="90"/>
      <c r="BF111" s="159"/>
      <c r="BG111" s="1603"/>
      <c r="BH111" s="1603"/>
      <c r="BI111" s="1607"/>
      <c r="BJ111" s="1603"/>
      <c r="BK111" s="1603"/>
      <c r="BL111" s="1806"/>
      <c r="BM111" s="1806"/>
      <c r="BN111" s="1806"/>
      <c r="BO111" s="419"/>
    </row>
    <row r="112" spans="1:67" s="363" customFormat="1" ht="14.25" hidden="1" customHeight="1" outlineLevel="2">
      <c r="A112" s="1348"/>
      <c r="B112" s="859" t="s">
        <v>501</v>
      </c>
      <c r="C112" s="382"/>
      <c r="D112" s="365"/>
      <c r="E112" s="365"/>
      <c r="F112" s="365"/>
      <c r="G112" s="366"/>
      <c r="H112" s="367"/>
      <c r="I112" s="367"/>
      <c r="J112" s="368"/>
      <c r="K112" s="369"/>
      <c r="L112" s="370">
        <v>91</v>
      </c>
      <c r="M112" s="370">
        <v>124</v>
      </c>
      <c r="N112" s="370">
        <v>144</v>
      </c>
      <c r="O112" s="371">
        <v>156</v>
      </c>
      <c r="P112" s="370">
        <v>166</v>
      </c>
      <c r="Q112" s="370">
        <v>163</v>
      </c>
      <c r="R112" s="370">
        <v>159</v>
      </c>
      <c r="S112" s="371">
        <v>149</v>
      </c>
      <c r="T112" s="370">
        <v>138</v>
      </c>
      <c r="U112" s="370">
        <v>157</v>
      </c>
      <c r="V112" s="403">
        <v>173</v>
      </c>
      <c r="W112" s="371">
        <v>149</v>
      </c>
      <c r="X112" s="370">
        <v>137</v>
      </c>
      <c r="Y112" s="370">
        <v>146</v>
      </c>
      <c r="Z112" s="346">
        <v>165</v>
      </c>
      <c r="AA112" s="1233">
        <v>156</v>
      </c>
      <c r="AB112" s="923"/>
      <c r="AC112" s="348"/>
      <c r="AD112" s="348"/>
      <c r="AE112" s="348"/>
      <c r="AF112" s="923"/>
      <c r="AG112" s="348"/>
      <c r="AH112" s="348"/>
      <c r="AI112" s="349"/>
      <c r="AJ112" s="923"/>
      <c r="AK112" s="348"/>
      <c r="AL112" s="348"/>
      <c r="AM112" s="348"/>
      <c r="AN112" s="923"/>
      <c r="AO112" s="348"/>
      <c r="AP112" s="348"/>
      <c r="AQ112" s="348"/>
      <c r="AR112" s="923"/>
      <c r="AS112" s="348"/>
      <c r="AT112" s="348"/>
      <c r="AU112" s="349"/>
      <c r="AV112" s="923"/>
      <c r="AW112" s="348"/>
      <c r="AX112" s="348"/>
      <c r="AY112" s="349"/>
      <c r="AZ112" s="1901"/>
      <c r="BA112" s="1124"/>
      <c r="BB112" s="372"/>
      <c r="BC112" s="340">
        <f>SUM(L112:O112)</f>
        <v>515</v>
      </c>
      <c r="BD112" s="340">
        <f>SUM(P112:S112)</f>
        <v>637</v>
      </c>
      <c r="BE112" s="340">
        <f>SUM(T112:W112)</f>
        <v>617</v>
      </c>
      <c r="BF112" s="361">
        <f>SUM(X112:AA112)</f>
        <v>604</v>
      </c>
      <c r="BG112" s="340">
        <f>SUM(AB112:AE112)</f>
        <v>0</v>
      </c>
      <c r="BH112" s="340">
        <f>SUM(AF112:AI112)</f>
        <v>0</v>
      </c>
      <c r="BI112" s="361">
        <f>SUM(AG112:AJ112)</f>
        <v>0</v>
      </c>
      <c r="BJ112" s="340">
        <f>SUM(AH112:AK112)</f>
        <v>0</v>
      </c>
      <c r="BK112" s="340">
        <f>SUM(AI112:AL112)</f>
        <v>0</v>
      </c>
      <c r="BL112" s="340">
        <f>SUM(AJ112:AM112)</f>
        <v>0</v>
      </c>
      <c r="BM112" s="340"/>
      <c r="BN112" s="340"/>
      <c r="BO112" s="364"/>
    </row>
    <row r="113" spans="1:67" s="861" customFormat="1" ht="14.25" hidden="1" customHeight="1" outlineLevel="2">
      <c r="A113" s="1356"/>
      <c r="B113" s="493" t="s">
        <v>34</v>
      </c>
      <c r="C113" s="862"/>
      <c r="D113" s="863"/>
      <c r="E113" s="863"/>
      <c r="F113" s="863"/>
      <c r="G113" s="864"/>
      <c r="H113" s="865"/>
      <c r="I113" s="865"/>
      <c r="J113" s="866"/>
      <c r="K113" s="867"/>
      <c r="L113" s="883"/>
      <c r="M113" s="883"/>
      <c r="N113" s="883"/>
      <c r="O113" s="884"/>
      <c r="P113" s="868">
        <f>+P381</f>
        <v>7</v>
      </c>
      <c r="Q113" s="868">
        <f t="shared" ref="Q113:AA113" si="236">+Q381</f>
        <v>8</v>
      </c>
      <c r="R113" s="868">
        <f t="shared" si="236"/>
        <v>10</v>
      </c>
      <c r="S113" s="869">
        <f t="shared" si="236"/>
        <v>10</v>
      </c>
      <c r="T113" s="868">
        <f t="shared" si="236"/>
        <v>8</v>
      </c>
      <c r="U113" s="868">
        <f t="shared" si="236"/>
        <v>9</v>
      </c>
      <c r="V113" s="870">
        <f t="shared" si="236"/>
        <v>10</v>
      </c>
      <c r="W113" s="869">
        <f t="shared" si="236"/>
        <v>11</v>
      </c>
      <c r="X113" s="868">
        <f t="shared" si="236"/>
        <v>8</v>
      </c>
      <c r="Y113" s="868">
        <f t="shared" si="236"/>
        <v>10</v>
      </c>
      <c r="Z113" s="871">
        <f t="shared" si="236"/>
        <v>6</v>
      </c>
      <c r="AA113" s="1237">
        <f t="shared" si="236"/>
        <v>6</v>
      </c>
      <c r="AB113" s="1147"/>
      <c r="AC113" s="871"/>
      <c r="AD113" s="871"/>
      <c r="AE113" s="871"/>
      <c r="AF113" s="1147"/>
      <c r="AG113" s="871"/>
      <c r="AH113" s="871"/>
      <c r="AI113" s="872"/>
      <c r="AJ113" s="1147"/>
      <c r="AK113" s="871"/>
      <c r="AL113" s="871"/>
      <c r="AM113" s="871"/>
      <c r="AN113" s="1147"/>
      <c r="AO113" s="871"/>
      <c r="AP113" s="871"/>
      <c r="AQ113" s="871"/>
      <c r="AR113" s="1147"/>
      <c r="AS113" s="871"/>
      <c r="AT113" s="871"/>
      <c r="AU113" s="872"/>
      <c r="AV113" s="1147"/>
      <c r="AW113" s="871"/>
      <c r="AX113" s="871"/>
      <c r="AY113" s="872"/>
      <c r="AZ113" s="1912"/>
      <c r="BA113" s="1127"/>
      <c r="BB113" s="873"/>
      <c r="BC113" s="874"/>
      <c r="BD113" s="874"/>
      <c r="BE113" s="874"/>
      <c r="BF113" s="921"/>
      <c r="BG113" s="874"/>
      <c r="BH113" s="874"/>
      <c r="BI113" s="921"/>
      <c r="BJ113" s="874"/>
      <c r="BK113" s="874"/>
      <c r="BL113" s="874"/>
      <c r="BM113" s="874"/>
      <c r="BN113" s="874"/>
      <c r="BO113" s="876"/>
    </row>
    <row r="114" spans="1:67" s="363" customFormat="1" ht="14.25" hidden="1" customHeight="1" outlineLevel="1">
      <c r="A114" s="1348"/>
      <c r="B114" s="436" t="s">
        <v>408</v>
      </c>
      <c r="C114" s="382"/>
      <c r="D114" s="365"/>
      <c r="E114" s="365"/>
      <c r="F114" s="365"/>
      <c r="G114" s="366"/>
      <c r="H114" s="367"/>
      <c r="I114" s="367"/>
      <c r="J114" s="368"/>
      <c r="K114" s="369"/>
      <c r="L114" s="370"/>
      <c r="M114" s="370"/>
      <c r="N114" s="370"/>
      <c r="O114" s="371"/>
      <c r="P114" s="880">
        <f>+P112+P113</f>
        <v>173</v>
      </c>
      <c r="Q114" s="880">
        <f t="shared" ref="Q114:Z114" si="237">+Q112+Q113</f>
        <v>171</v>
      </c>
      <c r="R114" s="880">
        <f t="shared" si="237"/>
        <v>169</v>
      </c>
      <c r="S114" s="881">
        <f t="shared" si="237"/>
        <v>159</v>
      </c>
      <c r="T114" s="880">
        <f t="shared" si="237"/>
        <v>146</v>
      </c>
      <c r="U114" s="880">
        <f t="shared" si="237"/>
        <v>166</v>
      </c>
      <c r="V114" s="882">
        <f t="shared" si="237"/>
        <v>183</v>
      </c>
      <c r="W114" s="881">
        <f t="shared" si="237"/>
        <v>160</v>
      </c>
      <c r="X114" s="880">
        <f t="shared" si="237"/>
        <v>145</v>
      </c>
      <c r="Y114" s="880">
        <f t="shared" si="237"/>
        <v>156</v>
      </c>
      <c r="Z114" s="348">
        <f t="shared" si="237"/>
        <v>171</v>
      </c>
      <c r="AA114" s="1238">
        <f>+AA112+AA113</f>
        <v>162</v>
      </c>
      <c r="AB114" s="1250">
        <v>153</v>
      </c>
      <c r="AC114" s="346">
        <v>180</v>
      </c>
      <c r="AD114" s="346">
        <v>202</v>
      </c>
      <c r="AE114" s="346">
        <v>194</v>
      </c>
      <c r="AF114" s="1250">
        <v>182</v>
      </c>
      <c r="AG114" s="346">
        <v>210</v>
      </c>
      <c r="AH114" s="346">
        <v>238</v>
      </c>
      <c r="AI114" s="347">
        <v>253</v>
      </c>
      <c r="AJ114" s="923">
        <f t="shared" ref="AJ114:AN114" si="238">+AI114*(1+AJ115)</f>
        <v>235.29</v>
      </c>
      <c r="AK114" s="346">
        <v>210</v>
      </c>
      <c r="AL114" s="346">
        <v>238</v>
      </c>
      <c r="AM114" s="348">
        <v>238</v>
      </c>
      <c r="AN114" s="923">
        <f t="shared" si="238"/>
        <v>221.33999999999997</v>
      </c>
      <c r="AO114" s="346">
        <v>210</v>
      </c>
      <c r="AP114" s="346">
        <v>238</v>
      </c>
      <c r="AQ114" s="1821">
        <v>238</v>
      </c>
      <c r="AR114" s="923">
        <f t="shared" ref="AR114" si="239">+AQ114*(1+AR115)</f>
        <v>226.1</v>
      </c>
      <c r="AS114" s="348">
        <f t="shared" ref="AS114" si="240">+AR114*(1+AS115)</f>
        <v>239.666</v>
      </c>
      <c r="AT114" s="348">
        <f t="shared" ref="AT114" si="241">+AS114*(1+AT115)</f>
        <v>258.83928000000003</v>
      </c>
      <c r="AU114" s="349">
        <f t="shared" ref="AU114" si="242">+AT114*(1+AU115)</f>
        <v>258.83928000000003</v>
      </c>
      <c r="AV114" s="923">
        <f t="shared" ref="AV114" si="243">+AU114*(1+AV115)</f>
        <v>245.89731600000002</v>
      </c>
      <c r="AW114" s="348">
        <f t="shared" ref="AW114" si="244">+AV114*(1+AW115)</f>
        <v>260.65115496000004</v>
      </c>
      <c r="AX114" s="348">
        <f t="shared" ref="AX114" si="245">+AW114*(1+AX115)</f>
        <v>281.50324735680005</v>
      </c>
      <c r="AY114" s="349">
        <f t="shared" ref="AY114" si="246">+AX114*(1+AY115)</f>
        <v>281.50324735680005</v>
      </c>
      <c r="AZ114" s="1901"/>
      <c r="BA114" s="1124"/>
      <c r="BB114" s="372"/>
      <c r="BC114" s="340"/>
      <c r="BD114" s="340">
        <f>SUM(P114:S114)</f>
        <v>672</v>
      </c>
      <c r="BE114" s="340">
        <f>SUM(T114:W114)</f>
        <v>655</v>
      </c>
      <c r="BF114" s="361">
        <f>SUM(X114:AA114)</f>
        <v>634</v>
      </c>
      <c r="BG114" s="340">
        <f>SUM(AB114:AE114)</f>
        <v>729</v>
      </c>
      <c r="BH114" s="340">
        <f>SUM(AF114:AI114)</f>
        <v>883</v>
      </c>
      <c r="BI114" s="361">
        <f>SUM(AJ114:AM114)</f>
        <v>921.29</v>
      </c>
      <c r="BJ114" s="340">
        <f>SUM(AN114:AQ114)</f>
        <v>907.33999999999992</v>
      </c>
      <c r="BK114" s="340">
        <f>SUM(AO114:AR114)</f>
        <v>912.1</v>
      </c>
      <c r="BL114" s="340">
        <f>SUM(AP114:AV114)</f>
        <v>1705.3418760000004</v>
      </c>
      <c r="BM114" s="340">
        <f t="shared" ref="BM114:BN114" si="247">+BL114*(1+BM115)</f>
        <v>1705.3418760000004</v>
      </c>
      <c r="BN114" s="340">
        <f t="shared" si="247"/>
        <v>1705.3418760000004</v>
      </c>
      <c r="BO114" s="364"/>
    </row>
    <row r="115" spans="1:67" ht="14.25" hidden="1" customHeight="1" outlineLevel="1">
      <c r="A115" s="1347"/>
      <c r="B115" s="431" t="s">
        <v>228</v>
      </c>
      <c r="C115" s="254"/>
      <c r="D115" s="320"/>
      <c r="E115" s="320"/>
      <c r="F115" s="320"/>
      <c r="G115" s="93"/>
      <c r="H115" s="269"/>
      <c r="I115" s="269"/>
      <c r="J115" s="300"/>
      <c r="K115" s="301"/>
      <c r="L115" s="337"/>
      <c r="M115" s="318"/>
      <c r="N115" s="318"/>
      <c r="O115" s="339"/>
      <c r="P115" s="318"/>
      <c r="Q115" s="318">
        <f t="shared" ref="Q115:X115" si="248">Q114/P114-1</f>
        <v>-1.1560693641618491E-2</v>
      </c>
      <c r="R115" s="318">
        <f t="shared" si="248"/>
        <v>-1.1695906432748537E-2</v>
      </c>
      <c r="S115" s="339">
        <f t="shared" si="248"/>
        <v>-5.9171597633136064E-2</v>
      </c>
      <c r="T115" s="318">
        <f t="shared" si="248"/>
        <v>-8.1761006289308158E-2</v>
      </c>
      <c r="U115" s="318">
        <f t="shared" si="248"/>
        <v>0.13698630136986312</v>
      </c>
      <c r="V115" s="404">
        <f t="shared" si="248"/>
        <v>0.10240963855421681</v>
      </c>
      <c r="W115" s="339">
        <f t="shared" si="248"/>
        <v>-0.12568306010928965</v>
      </c>
      <c r="X115" s="318">
        <f t="shared" si="248"/>
        <v>-9.375E-2</v>
      </c>
      <c r="Y115" s="318">
        <v>0.04</v>
      </c>
      <c r="Z115" s="318">
        <f t="shared" ref="Z115:AQ115" si="249">Z114/Y114-1</f>
        <v>9.6153846153846256E-2</v>
      </c>
      <c r="AA115" s="317">
        <f t="shared" si="249"/>
        <v>-5.2631578947368474E-2</v>
      </c>
      <c r="AB115" s="652">
        <f t="shared" si="249"/>
        <v>-5.555555555555558E-2</v>
      </c>
      <c r="AC115" s="317">
        <f t="shared" si="249"/>
        <v>0.17647058823529416</v>
      </c>
      <c r="AD115" s="317">
        <f t="shared" si="249"/>
        <v>0.12222222222222223</v>
      </c>
      <c r="AE115" s="317">
        <f t="shared" si="249"/>
        <v>-3.9603960396039639E-2</v>
      </c>
      <c r="AF115" s="652">
        <f t="shared" si="249"/>
        <v>-6.1855670103092786E-2</v>
      </c>
      <c r="AG115" s="317">
        <f t="shared" si="249"/>
        <v>0.15384615384615374</v>
      </c>
      <c r="AH115" s="317">
        <f t="shared" si="249"/>
        <v>0.1333333333333333</v>
      </c>
      <c r="AI115" s="339">
        <f t="shared" si="249"/>
        <v>6.3025210084033612E-2</v>
      </c>
      <c r="AJ115" s="1145">
        <v>-7.0000000000000007E-2</v>
      </c>
      <c r="AK115" s="317">
        <f t="shared" si="249"/>
        <v>-0.10748438097666702</v>
      </c>
      <c r="AL115" s="317">
        <f t="shared" si="249"/>
        <v>0.1333333333333333</v>
      </c>
      <c r="AM115" s="1146">
        <f t="shared" si="249"/>
        <v>0</v>
      </c>
      <c r="AN115" s="1145">
        <v>-7.0000000000000007E-2</v>
      </c>
      <c r="AO115" s="317">
        <f t="shared" si="249"/>
        <v>-5.123339658444015E-2</v>
      </c>
      <c r="AP115" s="317">
        <f t="shared" si="249"/>
        <v>0.1333333333333333</v>
      </c>
      <c r="AQ115" s="1146">
        <f t="shared" si="249"/>
        <v>0</v>
      </c>
      <c r="AR115" s="1145">
        <v>-0.05</v>
      </c>
      <c r="AS115" s="1146">
        <v>0.06</v>
      </c>
      <c r="AT115" s="1146">
        <v>0.08</v>
      </c>
      <c r="AU115" s="449">
        <v>0</v>
      </c>
      <c r="AV115" s="1145">
        <v>-0.05</v>
      </c>
      <c r="AW115" s="1146">
        <v>0.06</v>
      </c>
      <c r="AX115" s="1146">
        <v>0.08</v>
      </c>
      <c r="AY115" s="449">
        <v>0</v>
      </c>
      <c r="AZ115" s="20"/>
      <c r="BA115" s="652"/>
      <c r="BB115" s="317"/>
      <c r="BC115" s="256"/>
      <c r="BD115" s="256"/>
      <c r="BE115" s="256"/>
      <c r="BF115" s="255"/>
      <c r="BG115" s="1615"/>
      <c r="BH115" s="1615"/>
      <c r="BI115" s="1614"/>
      <c r="BJ115" s="1715"/>
      <c r="BK115" s="1715"/>
      <c r="BL115" s="1715"/>
      <c r="BM115" s="1715">
        <v>0</v>
      </c>
      <c r="BN115" s="1715">
        <v>0</v>
      </c>
      <c r="BO115" s="299"/>
    </row>
    <row r="116" spans="1:67" ht="14.25" hidden="1" customHeight="1" outlineLevel="1">
      <c r="A116" s="1347"/>
      <c r="B116" s="435" t="s">
        <v>229</v>
      </c>
      <c r="C116" s="254"/>
      <c r="D116" s="320"/>
      <c r="E116" s="320"/>
      <c r="F116" s="320"/>
      <c r="G116" s="93"/>
      <c r="H116" s="269"/>
      <c r="I116" s="269"/>
      <c r="J116" s="300"/>
      <c r="K116" s="301"/>
      <c r="L116" s="318" t="str">
        <f t="shared" ref="L116:AQ116" si="250">IF(ISERROR(L114/H114-1),"",L114/H114-1)</f>
        <v/>
      </c>
      <c r="M116" s="318" t="str">
        <f t="shared" si="250"/>
        <v/>
      </c>
      <c r="N116" s="318" t="str">
        <f t="shared" si="250"/>
        <v/>
      </c>
      <c r="O116" s="339" t="str">
        <f t="shared" si="250"/>
        <v/>
      </c>
      <c r="P116" s="318" t="str">
        <f t="shared" si="250"/>
        <v/>
      </c>
      <c r="Q116" s="318" t="str">
        <f t="shared" si="250"/>
        <v/>
      </c>
      <c r="R116" s="318" t="str">
        <f t="shared" si="250"/>
        <v/>
      </c>
      <c r="S116" s="339" t="str">
        <f t="shared" si="250"/>
        <v/>
      </c>
      <c r="T116" s="318">
        <f t="shared" si="250"/>
        <v>-0.15606936416184969</v>
      </c>
      <c r="U116" s="318">
        <f t="shared" si="250"/>
        <v>-2.9239766081871399E-2</v>
      </c>
      <c r="V116" s="404">
        <f t="shared" si="250"/>
        <v>8.2840236686390512E-2</v>
      </c>
      <c r="W116" s="339">
        <f t="shared" si="250"/>
        <v>6.2893081761006275E-3</v>
      </c>
      <c r="X116" s="318">
        <f t="shared" si="250"/>
        <v>-6.8493150684931781E-3</v>
      </c>
      <c r="Y116" s="318">
        <f t="shared" si="250"/>
        <v>-6.0240963855421659E-2</v>
      </c>
      <c r="Z116" s="318">
        <f t="shared" si="250"/>
        <v>-6.557377049180324E-2</v>
      </c>
      <c r="AA116" s="317">
        <f t="shared" si="250"/>
        <v>1.2499999999999956E-2</v>
      </c>
      <c r="AB116" s="652">
        <f t="shared" si="250"/>
        <v>5.5172413793103559E-2</v>
      </c>
      <c r="AC116" s="317">
        <f t="shared" si="250"/>
        <v>0.15384615384615374</v>
      </c>
      <c r="AD116" s="317">
        <f t="shared" si="250"/>
        <v>0.18128654970760238</v>
      </c>
      <c r="AE116" s="317">
        <f t="shared" si="250"/>
        <v>0.19753086419753085</v>
      </c>
      <c r="AF116" s="652">
        <f t="shared" si="250"/>
        <v>0.18954248366013071</v>
      </c>
      <c r="AG116" s="317">
        <f t="shared" si="250"/>
        <v>0.16666666666666674</v>
      </c>
      <c r="AH116" s="317">
        <f t="shared" si="250"/>
        <v>0.17821782178217815</v>
      </c>
      <c r="AI116" s="339">
        <f t="shared" si="250"/>
        <v>0.30412371134020622</v>
      </c>
      <c r="AJ116" s="652">
        <f t="shared" ref="AJ116:AN116" si="251">IF(ISERROR(AJ114/AF114-1),"",AJ114/AF114-1)</f>
        <v>0.29280219780219774</v>
      </c>
      <c r="AK116" s="317">
        <f t="shared" si="250"/>
        <v>0</v>
      </c>
      <c r="AL116" s="317">
        <f t="shared" si="250"/>
        <v>0</v>
      </c>
      <c r="AM116" s="317">
        <f t="shared" si="250"/>
        <v>-5.9288537549407105E-2</v>
      </c>
      <c r="AN116" s="652">
        <f t="shared" si="251"/>
        <v>-5.9288537549407216E-2</v>
      </c>
      <c r="AO116" s="317">
        <f t="shared" si="250"/>
        <v>0</v>
      </c>
      <c r="AP116" s="317">
        <f t="shared" si="250"/>
        <v>0</v>
      </c>
      <c r="AQ116" s="317">
        <f t="shared" si="250"/>
        <v>0</v>
      </c>
      <c r="AR116" s="652">
        <f t="shared" ref="AR116" si="252">IF(ISERROR(AR114/AN114-1),"",AR114/AN114-1)</f>
        <v>2.1505376344086002E-2</v>
      </c>
      <c r="AS116" s="317">
        <f t="shared" ref="AS116" si="253">IF(ISERROR(AS114/AO114-1),"",AS114/AO114-1)</f>
        <v>0.14126666666666665</v>
      </c>
      <c r="AT116" s="317">
        <f t="shared" ref="AT116" si="254">IF(ISERROR(AT114/AP114-1),"",AT114/AP114-1)</f>
        <v>8.7560000000000082E-2</v>
      </c>
      <c r="AU116" s="339">
        <f t="shared" ref="AU116" si="255">IF(ISERROR(AU114/AQ114-1),"",AU114/AQ114-1)</f>
        <v>8.7560000000000082E-2</v>
      </c>
      <c r="AV116" s="652">
        <f t="shared" ref="AV116" si="256">IF(ISERROR(AV114/AR114-1),"",AV114/AR114-1)</f>
        <v>8.7560000000000082E-2</v>
      </c>
      <c r="AW116" s="317">
        <f t="shared" ref="AW116" si="257">IF(ISERROR(AW114/AS114-1),"",AW114/AS114-1)</f>
        <v>8.7560000000000082E-2</v>
      </c>
      <c r="AX116" s="317">
        <f t="shared" ref="AX116" si="258">IF(ISERROR(AX114/AT114-1),"",AX114/AT114-1)</f>
        <v>8.7560000000000082E-2</v>
      </c>
      <c r="AY116" s="339">
        <f t="shared" ref="AY116" si="259">IF(ISERROR(AY114/AU114-1),"",AY114/AU114-1)</f>
        <v>8.7560000000000082E-2</v>
      </c>
      <c r="AZ116" s="20"/>
      <c r="BA116" s="652"/>
      <c r="BB116" s="317"/>
      <c r="BC116" s="256"/>
      <c r="BD116" s="256"/>
      <c r="BE116" s="256">
        <f t="shared" ref="BE116:BL116" si="260">BE114/BD114-1</f>
        <v>-2.5297619047619069E-2</v>
      </c>
      <c r="BF116" s="255">
        <f t="shared" si="260"/>
        <v>-3.2061068702290085E-2</v>
      </c>
      <c r="BG116" s="1615">
        <f t="shared" si="260"/>
        <v>0.14984227129337535</v>
      </c>
      <c r="BH116" s="1337">
        <f t="shared" si="260"/>
        <v>0.2112482853223594</v>
      </c>
      <c r="BI116" s="1562">
        <f t="shared" si="260"/>
        <v>4.3363533408833588E-2</v>
      </c>
      <c r="BJ116" s="1337">
        <f t="shared" si="260"/>
        <v>-1.514181202444409E-2</v>
      </c>
      <c r="BK116" s="1337">
        <f t="shared" si="260"/>
        <v>5.2461039962969913E-3</v>
      </c>
      <c r="BL116" s="1337">
        <f t="shared" si="260"/>
        <v>0.86968739831158914</v>
      </c>
      <c r="BM116" s="1337">
        <f t="shared" ref="BM116:BN116" si="261">IF(ISERROR(BM114/BI114-1),"",BM114/BI114-1)</f>
        <v>0.8510369981221988</v>
      </c>
      <c r="BN116" s="1337">
        <f t="shared" si="261"/>
        <v>0.87949597284369752</v>
      </c>
      <c r="BO116" s="299"/>
    </row>
    <row r="117" spans="1:67" ht="14.25" hidden="1" customHeight="1" outlineLevel="1">
      <c r="A117" s="1347"/>
      <c r="B117" s="431" t="s">
        <v>342</v>
      </c>
      <c r="C117" s="254"/>
      <c r="D117" s="320"/>
      <c r="E117" s="320"/>
      <c r="F117" s="320"/>
      <c r="G117" s="93"/>
      <c r="H117" s="269"/>
      <c r="I117" s="269"/>
      <c r="J117" s="300"/>
      <c r="K117" s="301"/>
      <c r="L117" s="318" t="str">
        <f t="shared" ref="L117:AC117" si="262">IF(ISERROR(L114/L$15),"",L114/L$15)</f>
        <v/>
      </c>
      <c r="M117" s="318" t="str">
        <f t="shared" si="262"/>
        <v/>
      </c>
      <c r="N117" s="318" t="str">
        <f t="shared" si="262"/>
        <v/>
      </c>
      <c r="O117" s="339" t="str">
        <f t="shared" si="262"/>
        <v/>
      </c>
      <c r="P117" s="318" t="str">
        <f t="shared" si="262"/>
        <v/>
      </c>
      <c r="Q117" s="318" t="str">
        <f t="shared" si="262"/>
        <v/>
      </c>
      <c r="R117" s="318" t="str">
        <f t="shared" si="262"/>
        <v/>
      </c>
      <c r="S117" s="339" t="str">
        <f t="shared" si="262"/>
        <v/>
      </c>
      <c r="T117" s="318" t="str">
        <f t="shared" si="262"/>
        <v/>
      </c>
      <c r="U117" s="318" t="str">
        <f t="shared" si="262"/>
        <v/>
      </c>
      <c r="V117" s="404" t="str">
        <f t="shared" si="262"/>
        <v/>
      </c>
      <c r="W117" s="339" t="str">
        <f t="shared" si="262"/>
        <v/>
      </c>
      <c r="X117" s="318" t="str">
        <f t="shared" si="262"/>
        <v/>
      </c>
      <c r="Y117" s="404" t="str">
        <f t="shared" si="262"/>
        <v/>
      </c>
      <c r="Z117" s="404" t="str">
        <f t="shared" si="262"/>
        <v/>
      </c>
      <c r="AA117" s="420" t="str">
        <f t="shared" si="262"/>
        <v/>
      </c>
      <c r="AB117" s="958" t="str">
        <f t="shared" si="262"/>
        <v/>
      </c>
      <c r="AC117" s="420" t="str">
        <f t="shared" si="262"/>
        <v/>
      </c>
      <c r="AD117" s="420" t="str">
        <f t="shared" ref="AD117:AI117" si="263">IF(ISERROR(AD114/AD$15),"",AD114/AD$15)</f>
        <v/>
      </c>
      <c r="AE117" s="420" t="str">
        <f t="shared" si="263"/>
        <v/>
      </c>
      <c r="AF117" s="958" t="str">
        <f t="shared" si="263"/>
        <v/>
      </c>
      <c r="AG117" s="420" t="str">
        <f t="shared" si="263"/>
        <v/>
      </c>
      <c r="AH117" s="420" t="str">
        <f t="shared" si="263"/>
        <v/>
      </c>
      <c r="AI117" s="424" t="str">
        <f t="shared" si="263"/>
        <v/>
      </c>
      <c r="AJ117" s="958" t="str">
        <f t="shared" ref="AJ117:AL117" si="264">IF(ISERROR(AJ114/AJ$15),"",AJ114/AJ$15)</f>
        <v/>
      </c>
      <c r="AK117" s="420" t="str">
        <f t="shared" si="264"/>
        <v/>
      </c>
      <c r="AL117" s="420" t="str">
        <f t="shared" si="264"/>
        <v/>
      </c>
      <c r="AM117" s="420" t="str">
        <f t="shared" ref="AM117:AP117" si="265">IF(ISERROR(AM114/AM$15),"",AM114/AM$15)</f>
        <v/>
      </c>
      <c r="AN117" s="958" t="str">
        <f t="shared" si="265"/>
        <v/>
      </c>
      <c r="AO117" s="420" t="str">
        <f t="shared" si="265"/>
        <v/>
      </c>
      <c r="AP117" s="420" t="str">
        <f t="shared" si="265"/>
        <v/>
      </c>
      <c r="AQ117" s="420" t="str">
        <f t="shared" ref="AQ117" si="266">IF(ISERROR(AQ114/AQ$15),"",AQ114/AQ$15)</f>
        <v/>
      </c>
      <c r="AR117" s="958" t="str">
        <f t="shared" ref="AR117:AU117" si="267">IF(ISERROR(AR114/AR$15),"",AR114/AR$15)</f>
        <v/>
      </c>
      <c r="AS117" s="420" t="str">
        <f t="shared" si="267"/>
        <v/>
      </c>
      <c r="AT117" s="420" t="str">
        <f t="shared" si="267"/>
        <v/>
      </c>
      <c r="AU117" s="424" t="str">
        <f t="shared" si="267"/>
        <v/>
      </c>
      <c r="AV117" s="958" t="str">
        <f t="shared" ref="AV117:AY117" si="268">IF(ISERROR(AV114/AV$15),"",AV114/AV$15)</f>
        <v/>
      </c>
      <c r="AW117" s="420" t="str">
        <f t="shared" si="268"/>
        <v/>
      </c>
      <c r="AX117" s="420" t="str">
        <f t="shared" si="268"/>
        <v/>
      </c>
      <c r="AY117" s="424" t="str">
        <f t="shared" si="268"/>
        <v/>
      </c>
      <c r="AZ117" s="20"/>
      <c r="BA117" s="652"/>
      <c r="BB117" s="317"/>
      <c r="BC117" s="256"/>
      <c r="BD117" s="256">
        <f t="shared" ref="BD117:BI117" si="269">IF(ISERROR(BD114/BD$454),"",BD114/BD$454)</f>
        <v>0.26006191950464397</v>
      </c>
      <c r="BE117" s="256">
        <f t="shared" si="269"/>
        <v>0.24689031285337354</v>
      </c>
      <c r="BF117" s="255">
        <f t="shared" si="269"/>
        <v>0.21303763440860216</v>
      </c>
      <c r="BG117" s="1615">
        <f t="shared" si="269"/>
        <v>0.20634022077554487</v>
      </c>
      <c r="BH117" s="1615">
        <f t="shared" si="269"/>
        <v>0.20983840304182511</v>
      </c>
      <c r="BI117" s="1614">
        <f t="shared" si="269"/>
        <v>0.19518855932203388</v>
      </c>
      <c r="BJ117" s="1715">
        <f>IF(ISERROR(BJ114/BJ$454),"",BJ114/BJ$454)</f>
        <v>0.11221122928518426</v>
      </c>
      <c r="BK117" s="1715">
        <f>IF(ISERROR(BK114/BK$454),"",BK114/BK$454)</f>
        <v>0.10429959977129789</v>
      </c>
      <c r="BL117" s="1715">
        <f>IF(ISERROR(BL114/BL$454),"",BL114/BL$454)</f>
        <v>0.18335706725356499</v>
      </c>
      <c r="BM117" s="1715" t="str">
        <f t="shared" ref="BM117:BN117" si="270">IF(ISERROR(BM114/BM$15),"",BM114/BM$15)</f>
        <v/>
      </c>
      <c r="BN117" s="1715" t="str">
        <f t="shared" si="270"/>
        <v/>
      </c>
      <c r="BO117" s="299"/>
    </row>
    <row r="118" spans="1:67" ht="14.25" hidden="1" customHeight="1" outlineLevel="1">
      <c r="A118" s="1347"/>
      <c r="B118" s="431" t="s">
        <v>343</v>
      </c>
      <c r="C118" s="254"/>
      <c r="D118" s="320"/>
      <c r="E118" s="320"/>
      <c r="F118" s="320"/>
      <c r="G118" s="93"/>
      <c r="H118" s="269"/>
      <c r="I118" s="269"/>
      <c r="J118" s="300"/>
      <c r="K118" s="301"/>
      <c r="L118" s="318">
        <f t="shared" ref="L118:AJ118" si="271">IF(ISERROR(L114/L$526),"",L114/L$526)</f>
        <v>0</v>
      </c>
      <c r="M118" s="318">
        <f t="shared" si="271"/>
        <v>0</v>
      </c>
      <c r="N118" s="318">
        <f t="shared" si="271"/>
        <v>0</v>
      </c>
      <c r="O118" s="339">
        <f t="shared" si="271"/>
        <v>0</v>
      </c>
      <c r="P118" s="318">
        <f t="shared" si="271"/>
        <v>0.15944700460829492</v>
      </c>
      <c r="Q118" s="318">
        <f t="shared" si="271"/>
        <v>0.15281501340482573</v>
      </c>
      <c r="R118" s="318">
        <f t="shared" si="271"/>
        <v>0.15089285714285713</v>
      </c>
      <c r="S118" s="339">
        <f t="shared" si="271"/>
        <v>0.14749536178107606</v>
      </c>
      <c r="T118" s="318">
        <f t="shared" si="271"/>
        <v>0.13493530499075784</v>
      </c>
      <c r="U118" s="318">
        <f t="shared" si="271"/>
        <v>0.1480820695807315</v>
      </c>
      <c r="V118" s="404">
        <f t="shared" si="271"/>
        <v>0.17264150943396225</v>
      </c>
      <c r="W118" s="339">
        <f t="shared" si="271"/>
        <v>0.17185821697099893</v>
      </c>
      <c r="X118" s="318">
        <f t="shared" si="271"/>
        <v>0.14826175869120656</v>
      </c>
      <c r="Y118" s="318">
        <f t="shared" si="271"/>
        <v>0.14259597806215721</v>
      </c>
      <c r="Z118" s="318">
        <f t="shared" si="271"/>
        <v>0.14615384615384616</v>
      </c>
      <c r="AA118" s="317">
        <f t="shared" si="271"/>
        <v>0.14516129032258066</v>
      </c>
      <c r="AB118" s="652">
        <f t="shared" si="271"/>
        <v>0.14101382488479264</v>
      </c>
      <c r="AC118" s="317">
        <f t="shared" si="271"/>
        <v>0.15151515151515152</v>
      </c>
      <c r="AD118" s="317">
        <f t="shared" si="271"/>
        <v>0.16172938350680544</v>
      </c>
      <c r="AE118" s="317">
        <f t="shared" si="271"/>
        <v>0.15003866976024749</v>
      </c>
      <c r="AF118" s="652">
        <f t="shared" si="271"/>
        <v>0.14606741573033707</v>
      </c>
      <c r="AG118" s="317">
        <f t="shared" si="271"/>
        <v>0.15567086730911786</v>
      </c>
      <c r="AH118" s="317">
        <f t="shared" si="271"/>
        <v>0.15709570957095709</v>
      </c>
      <c r="AI118" s="339">
        <f>IF(ISERROR(AI114/AI$526),"",AI114/AI$526)</f>
        <v>0.16460637605725439</v>
      </c>
      <c r="AJ118" s="652">
        <f t="shared" si="271"/>
        <v>0.16038854805725972</v>
      </c>
      <c r="AK118" s="317">
        <f>IF(ISERROR(AK114/AK$526),"",AK114/AK$526)</f>
        <v>0.1394422310756972</v>
      </c>
      <c r="AL118" s="317">
        <f t="shared" ref="AL118:AN118" si="272">IF(ISERROR(AL114/AL$526),"",AL114/AL$526)</f>
        <v>0.15637319316688567</v>
      </c>
      <c r="AM118" s="317">
        <f t="shared" si="272"/>
        <v>0.14819427148194272</v>
      </c>
      <c r="AN118" s="652">
        <f t="shared" si="272"/>
        <v>9.952338129496402E-2</v>
      </c>
      <c r="AO118" s="317">
        <f>IF(ISERROR(AO114/AO$526),"",AO114/AO$526)</f>
        <v>8.8794926004228336E-2</v>
      </c>
      <c r="AP118" s="317">
        <f t="shared" ref="AP118:AQ118" si="273">IF(ISERROR(AP114/AP$526),"",AP114/AP$526)</f>
        <v>9.6395301741595787E-2</v>
      </c>
      <c r="AQ118" s="317">
        <f t="shared" si="273"/>
        <v>9.7540983606557372E-2</v>
      </c>
      <c r="AR118" s="652">
        <f t="shared" ref="AR118:AU118" si="274">IF(ISERROR(AR114/AR$526),"",AR114/AR$526)</f>
        <v>0.10226142017186793</v>
      </c>
      <c r="AS118" s="317">
        <f t="shared" si="274"/>
        <v>0.10884014532243415</v>
      </c>
      <c r="AT118" s="317">
        <f t="shared" si="274"/>
        <v>0.10843706744868037</v>
      </c>
      <c r="AU118" s="339">
        <f t="shared" si="274"/>
        <v>0.10539058631921826</v>
      </c>
      <c r="AV118" s="652">
        <f t="shared" ref="AV118:AY118" si="275">IF(ISERROR(AV114/AV$526),"",AV114/AV$526)</f>
        <v>0.10572681680984444</v>
      </c>
      <c r="AW118" s="317">
        <f t="shared" si="275"/>
        <v>0.1083551060906732</v>
      </c>
      <c r="AX118" s="317">
        <f t="shared" si="275"/>
        <v>0.11243168612005558</v>
      </c>
      <c r="AY118" s="339">
        <f t="shared" si="275"/>
        <v>0.11417314012756551</v>
      </c>
      <c r="AZ118" s="20"/>
      <c r="BA118" s="652"/>
      <c r="BB118" s="317"/>
      <c r="BC118" s="256"/>
      <c r="BD118" s="256">
        <f t="shared" ref="BD118:BJ118" si="276">IF(ISERROR(BD114/BD$526),"",BD114/BD$526)</f>
        <v>0.15265788278055428</v>
      </c>
      <c r="BE118" s="256">
        <f t="shared" si="276"/>
        <v>0.15617548879351453</v>
      </c>
      <c r="BF118" s="255">
        <f t="shared" si="276"/>
        <v>0.14547957778797613</v>
      </c>
      <c r="BG118" s="1615">
        <f t="shared" si="276"/>
        <v>0.15140186915887852</v>
      </c>
      <c r="BH118" s="1615">
        <f t="shared" si="276"/>
        <v>0.15636621214804322</v>
      </c>
      <c r="BI118" s="1614">
        <f t="shared" si="276"/>
        <v>0.15100639239468938</v>
      </c>
      <c r="BJ118" s="1715">
        <f t="shared" si="276"/>
        <v>9.5529585175826479E-2</v>
      </c>
      <c r="BK118" s="1715">
        <f t="shared" ref="BK118:BM118" si="277">IF(ISERROR(BK114/BK$526),"",BK114/BK$526)</f>
        <v>9.8541486603284364E-2</v>
      </c>
      <c r="BL118" s="1715">
        <f t="shared" si="277"/>
        <v>0.17579646608417571</v>
      </c>
      <c r="BM118" s="1715">
        <f t="shared" si="277"/>
        <v>0.16742520579445305</v>
      </c>
      <c r="BN118" s="1715">
        <f t="shared" ref="BN118" si="278">IF(ISERROR(BN114/BN$526),"",BN114/BN$526)</f>
        <v>0.15945257694709816</v>
      </c>
      <c r="BO118" s="299"/>
    </row>
    <row r="119" spans="1:67" ht="14.25" hidden="1" customHeight="1" outlineLevel="1">
      <c r="A119" s="1347"/>
      <c r="B119" s="431"/>
      <c r="C119" s="254"/>
      <c r="D119" s="320"/>
      <c r="E119" s="320"/>
      <c r="F119" s="320"/>
      <c r="G119" s="93"/>
      <c r="H119" s="269"/>
      <c r="I119" s="269"/>
      <c r="J119" s="300"/>
      <c r="K119" s="301"/>
      <c r="L119" s="318"/>
      <c r="M119" s="318"/>
      <c r="N119" s="318"/>
      <c r="O119" s="339"/>
      <c r="P119" s="318"/>
      <c r="Q119" s="318"/>
      <c r="R119" s="318"/>
      <c r="S119" s="339"/>
      <c r="T119" s="318"/>
      <c r="U119" s="318"/>
      <c r="V119" s="404"/>
      <c r="W119" s="339"/>
      <c r="X119" s="318"/>
      <c r="Y119" s="318"/>
      <c r="Z119" s="318"/>
      <c r="AA119" s="317"/>
      <c r="AB119" s="652"/>
      <c r="AC119" s="317"/>
      <c r="AD119" s="317"/>
      <c r="AE119" s="317"/>
      <c r="AF119" s="652"/>
      <c r="AG119" s="317"/>
      <c r="AH119" s="317"/>
      <c r="AI119" s="339"/>
      <c r="AJ119" s="652"/>
      <c r="AK119" s="317"/>
      <c r="AL119" s="317"/>
      <c r="AM119" s="317"/>
      <c r="AN119" s="652"/>
      <c r="AO119" s="317"/>
      <c r="AP119" s="317"/>
      <c r="AQ119" s="317"/>
      <c r="AR119" s="652"/>
      <c r="AS119" s="317"/>
      <c r="AT119" s="317"/>
      <c r="AU119" s="339"/>
      <c r="AV119" s="652"/>
      <c r="AW119" s="317"/>
      <c r="AX119" s="317"/>
      <c r="AY119" s="339"/>
      <c r="AZ119" s="20"/>
      <c r="BA119" s="652"/>
      <c r="BB119" s="317"/>
      <c r="BC119" s="256"/>
      <c r="BD119" s="256"/>
      <c r="BE119" s="256"/>
      <c r="BF119" s="255"/>
      <c r="BG119" s="1615"/>
      <c r="BH119" s="1615"/>
      <c r="BI119" s="1614"/>
      <c r="BJ119" s="1715"/>
      <c r="BK119" s="1715"/>
      <c r="BL119" s="1715"/>
      <c r="BM119" s="1715"/>
      <c r="BN119" s="1715"/>
      <c r="BO119" s="299"/>
    </row>
    <row r="120" spans="1:67" ht="14.25" hidden="1" customHeight="1" outlineLevel="2">
      <c r="A120" s="1347"/>
      <c r="B120" s="436" t="s">
        <v>443</v>
      </c>
      <c r="C120" s="254"/>
      <c r="D120" s="320"/>
      <c r="E120" s="320"/>
      <c r="F120" s="320"/>
      <c r="G120" s="93"/>
      <c r="H120" s="269"/>
      <c r="I120" s="269"/>
      <c r="J120" s="300"/>
      <c r="K120" s="301"/>
      <c r="L120" s="318"/>
      <c r="M120" s="318"/>
      <c r="N120" s="318"/>
      <c r="O120" s="339"/>
      <c r="P120" s="318"/>
      <c r="Q120" s="318"/>
      <c r="R120" s="318"/>
      <c r="S120" s="339"/>
      <c r="T120" s="318"/>
      <c r="U120" s="318"/>
      <c r="V120" s="404"/>
      <c r="W120" s="339"/>
      <c r="X120" s="318"/>
      <c r="Y120" s="318"/>
      <c r="Z120" s="318"/>
      <c r="AA120" s="317"/>
      <c r="AB120" s="652"/>
      <c r="AC120" s="317"/>
      <c r="AD120" s="317"/>
      <c r="AE120" s="317"/>
      <c r="AF120" s="652"/>
      <c r="AG120" s="317"/>
      <c r="AH120" s="317"/>
      <c r="AI120" s="339"/>
      <c r="AJ120" s="652"/>
      <c r="AK120" s="317"/>
      <c r="AL120" s="317"/>
      <c r="AM120" s="317"/>
      <c r="AN120" s="652"/>
      <c r="AO120" s="317"/>
      <c r="AP120" s="317"/>
      <c r="AQ120" s="317"/>
      <c r="AR120" s="652"/>
      <c r="AS120" s="317"/>
      <c r="AT120" s="317"/>
      <c r="AU120" s="339"/>
      <c r="AV120" s="652"/>
      <c r="AW120" s="317"/>
      <c r="AX120" s="317"/>
      <c r="AY120" s="339"/>
      <c r="AZ120" s="20"/>
      <c r="BA120" s="652"/>
      <c r="BB120" s="317"/>
      <c r="BC120" s="256"/>
      <c r="BD120" s="256"/>
      <c r="BE120" s="256"/>
      <c r="BF120" s="255"/>
      <c r="BG120" s="1615"/>
      <c r="BH120" s="1615"/>
      <c r="BI120" s="1614"/>
      <c r="BJ120" s="1715"/>
      <c r="BK120" s="1715"/>
      <c r="BL120" s="1715"/>
      <c r="BM120" s="1715"/>
      <c r="BN120" s="1715"/>
      <c r="BO120" s="299"/>
    </row>
    <row r="121" spans="1:67" ht="14.25" hidden="1" customHeight="1" outlineLevel="2">
      <c r="A121" s="1347"/>
      <c r="B121" s="437" t="s">
        <v>434</v>
      </c>
      <c r="C121" s="254"/>
      <c r="D121" s="320"/>
      <c r="E121" s="320"/>
      <c r="F121" s="320"/>
      <c r="G121" s="93"/>
      <c r="H121" s="269"/>
      <c r="I121" s="269"/>
      <c r="J121" s="300"/>
      <c r="K121" s="301"/>
      <c r="L121" s="318"/>
      <c r="M121" s="318"/>
      <c r="N121" s="318"/>
      <c r="O121" s="339"/>
      <c r="P121" s="318"/>
      <c r="Q121" s="318"/>
      <c r="R121" s="318"/>
      <c r="S121" s="339"/>
      <c r="T121" s="318"/>
      <c r="U121" s="318"/>
      <c r="V121" s="404"/>
      <c r="W121" s="339"/>
      <c r="X121" s="318"/>
      <c r="Y121" s="318"/>
      <c r="Z121" s="318"/>
      <c r="AA121" s="317"/>
      <c r="AB121" s="652"/>
      <c r="AC121" s="317"/>
      <c r="AD121" s="317"/>
      <c r="AE121" s="317"/>
      <c r="AF121" s="652"/>
      <c r="AG121" s="317"/>
      <c r="AH121" s="317"/>
      <c r="AI121" s="339"/>
      <c r="AJ121" s="652"/>
      <c r="AK121" s="317"/>
      <c r="AL121" s="317"/>
      <c r="AM121" s="317"/>
      <c r="AN121" s="652"/>
      <c r="AO121" s="317"/>
      <c r="AP121" s="317"/>
      <c r="AQ121" s="317"/>
      <c r="AR121" s="652"/>
      <c r="AS121" s="317"/>
      <c r="AT121" s="317"/>
      <c r="AU121" s="339"/>
      <c r="AV121" s="652"/>
      <c r="AW121" s="317"/>
      <c r="AX121" s="317"/>
      <c r="AY121" s="339"/>
      <c r="AZ121" s="20"/>
      <c r="BA121" s="652"/>
      <c r="BB121" s="317"/>
      <c r="BC121" s="256"/>
      <c r="BD121" s="256"/>
      <c r="BE121" s="256"/>
      <c r="BF121" s="302">
        <v>0.5</v>
      </c>
      <c r="BG121" s="1615"/>
      <c r="BH121" s="1615"/>
      <c r="BI121" s="1614"/>
      <c r="BJ121" s="1715"/>
      <c r="BK121" s="1715"/>
      <c r="BL121" s="1715"/>
      <c r="BM121" s="1715"/>
      <c r="BN121" s="1715"/>
      <c r="BO121" s="299"/>
    </row>
    <row r="122" spans="1:67" ht="14.25" hidden="1" customHeight="1" outlineLevel="2">
      <c r="A122" s="1347"/>
      <c r="B122" s="437" t="s">
        <v>435</v>
      </c>
      <c r="C122" s="254"/>
      <c r="D122" s="320"/>
      <c r="E122" s="320"/>
      <c r="F122" s="320"/>
      <c r="G122" s="93"/>
      <c r="H122" s="269"/>
      <c r="I122" s="269"/>
      <c r="J122" s="300"/>
      <c r="K122" s="301"/>
      <c r="L122" s="318"/>
      <c r="M122" s="318"/>
      <c r="N122" s="318"/>
      <c r="O122" s="339"/>
      <c r="P122" s="318"/>
      <c r="Q122" s="318"/>
      <c r="R122" s="318"/>
      <c r="S122" s="339"/>
      <c r="T122" s="318"/>
      <c r="U122" s="318"/>
      <c r="V122" s="404"/>
      <c r="W122" s="339"/>
      <c r="X122" s="318"/>
      <c r="Y122" s="318"/>
      <c r="Z122" s="318"/>
      <c r="AA122" s="317"/>
      <c r="AB122" s="652"/>
      <c r="AC122" s="317"/>
      <c r="AD122" s="317"/>
      <c r="AE122" s="317"/>
      <c r="AF122" s="652"/>
      <c r="AG122" s="317"/>
      <c r="AH122" s="317"/>
      <c r="AI122" s="339"/>
      <c r="AJ122" s="652"/>
      <c r="AK122" s="317"/>
      <c r="AL122" s="317"/>
      <c r="AM122" s="317"/>
      <c r="AN122" s="652"/>
      <c r="AO122" s="317"/>
      <c r="AP122" s="317"/>
      <c r="AQ122" s="317"/>
      <c r="AR122" s="652"/>
      <c r="AS122" s="317"/>
      <c r="AT122" s="317"/>
      <c r="AU122" s="339"/>
      <c r="AV122" s="652"/>
      <c r="AW122" s="317"/>
      <c r="AX122" s="317"/>
      <c r="AY122" s="339"/>
      <c r="AZ122" s="20"/>
      <c r="BA122" s="652"/>
      <c r="BB122" s="317"/>
      <c r="BC122" s="256"/>
      <c r="BD122" s="256"/>
      <c r="BE122" s="256"/>
      <c r="BF122" s="302">
        <v>0.3</v>
      </c>
      <c r="BG122" s="1615"/>
      <c r="BH122" s="1615"/>
      <c r="BI122" s="1614"/>
      <c r="BJ122" s="1715"/>
      <c r="BK122" s="1715"/>
      <c r="BL122" s="1715"/>
      <c r="BM122" s="1715"/>
      <c r="BN122" s="1715"/>
      <c r="BO122" s="299"/>
    </row>
    <row r="123" spans="1:67" ht="14.25" hidden="1" customHeight="1" outlineLevel="2">
      <c r="A123" s="1347"/>
      <c r="B123" s="437" t="s">
        <v>436</v>
      </c>
      <c r="C123" s="254"/>
      <c r="D123" s="320"/>
      <c r="E123" s="320"/>
      <c r="F123" s="320"/>
      <c r="G123" s="93"/>
      <c r="H123" s="269"/>
      <c r="I123" s="269"/>
      <c r="J123" s="300"/>
      <c r="K123" s="301"/>
      <c r="L123" s="318"/>
      <c r="M123" s="318"/>
      <c r="N123" s="318"/>
      <c r="O123" s="339"/>
      <c r="P123" s="318"/>
      <c r="Q123" s="318"/>
      <c r="R123" s="318"/>
      <c r="S123" s="339"/>
      <c r="T123" s="318"/>
      <c r="U123" s="318"/>
      <c r="V123" s="404"/>
      <c r="W123" s="339"/>
      <c r="X123" s="318"/>
      <c r="Y123" s="318"/>
      <c r="Z123" s="318"/>
      <c r="AA123" s="317"/>
      <c r="AB123" s="652"/>
      <c r="AC123" s="317"/>
      <c r="AD123" s="317"/>
      <c r="AE123" s="317"/>
      <c r="AF123" s="652"/>
      <c r="AG123" s="317"/>
      <c r="AH123" s="317"/>
      <c r="AI123" s="339"/>
      <c r="AJ123" s="652"/>
      <c r="AK123" s="317"/>
      <c r="AL123" s="317"/>
      <c r="AM123" s="317"/>
      <c r="AN123" s="652"/>
      <c r="AO123" s="317"/>
      <c r="AP123" s="317"/>
      <c r="AQ123" s="317"/>
      <c r="AR123" s="652"/>
      <c r="AS123" s="317"/>
      <c r="AT123" s="317"/>
      <c r="AU123" s="339"/>
      <c r="AV123" s="652"/>
      <c r="AW123" s="317"/>
      <c r="AX123" s="317"/>
      <c r="AY123" s="339"/>
      <c r="AZ123" s="20"/>
      <c r="BA123" s="652"/>
      <c r="BB123" s="317"/>
      <c r="BC123" s="256"/>
      <c r="BD123" s="256"/>
      <c r="BE123" s="256"/>
      <c r="BF123" s="302">
        <v>0.2</v>
      </c>
      <c r="BG123" s="1615"/>
      <c r="BH123" s="1615"/>
      <c r="BI123" s="1614"/>
      <c r="BJ123" s="1715"/>
      <c r="BK123" s="1715"/>
      <c r="BL123" s="1715"/>
      <c r="BM123" s="1715"/>
      <c r="BN123" s="1715"/>
      <c r="BO123" s="299"/>
    </row>
    <row r="124" spans="1:67" ht="14.25" hidden="1" customHeight="1" outlineLevel="2">
      <c r="A124" s="1347"/>
      <c r="B124" s="431"/>
      <c r="C124" s="254"/>
      <c r="D124" s="320"/>
      <c r="E124" s="320"/>
      <c r="F124" s="320"/>
      <c r="G124" s="93"/>
      <c r="H124" s="269"/>
      <c r="I124" s="269"/>
      <c r="J124" s="300"/>
      <c r="K124" s="301"/>
      <c r="L124" s="318"/>
      <c r="M124" s="318"/>
      <c r="N124" s="318"/>
      <c r="O124" s="339"/>
      <c r="P124" s="318"/>
      <c r="Q124" s="318"/>
      <c r="R124" s="318"/>
      <c r="S124" s="339"/>
      <c r="T124" s="318"/>
      <c r="U124" s="318"/>
      <c r="V124" s="404"/>
      <c r="W124" s="339"/>
      <c r="X124" s="318"/>
      <c r="Y124" s="318"/>
      <c r="Z124" s="318"/>
      <c r="AA124" s="317"/>
      <c r="AB124" s="652"/>
      <c r="AC124" s="317"/>
      <c r="AD124" s="317"/>
      <c r="AE124" s="317"/>
      <c r="AF124" s="652"/>
      <c r="AG124" s="317"/>
      <c r="AH124" s="317"/>
      <c r="AI124" s="339"/>
      <c r="AJ124" s="652"/>
      <c r="AK124" s="317"/>
      <c r="AL124" s="317"/>
      <c r="AM124" s="317"/>
      <c r="AN124" s="652"/>
      <c r="AO124" s="317"/>
      <c r="AP124" s="317"/>
      <c r="AQ124" s="317"/>
      <c r="AR124" s="652"/>
      <c r="AS124" s="317"/>
      <c r="AT124" s="317"/>
      <c r="AU124" s="339"/>
      <c r="AV124" s="652"/>
      <c r="AW124" s="317"/>
      <c r="AX124" s="317"/>
      <c r="AY124" s="339"/>
      <c r="AZ124" s="20"/>
      <c r="BA124" s="652"/>
      <c r="BB124" s="317"/>
      <c r="BC124" s="256"/>
      <c r="BD124" s="256"/>
      <c r="BE124" s="256"/>
      <c r="BF124" s="255"/>
      <c r="BG124" s="1615"/>
      <c r="BH124" s="1615"/>
      <c r="BI124" s="1614"/>
      <c r="BJ124" s="1715"/>
      <c r="BK124" s="1715"/>
      <c r="BL124" s="1715"/>
      <c r="BM124" s="1715"/>
      <c r="BN124" s="1715"/>
      <c r="BO124" s="299"/>
    </row>
    <row r="125" spans="1:67" ht="14.25" hidden="1" customHeight="1" outlineLevel="2">
      <c r="A125" s="1347"/>
      <c r="B125" s="436" t="s">
        <v>444</v>
      </c>
      <c r="C125" s="254"/>
      <c r="D125" s="320"/>
      <c r="E125" s="320"/>
      <c r="F125" s="320"/>
      <c r="G125" s="93"/>
      <c r="H125" s="269"/>
      <c r="I125" s="269"/>
      <c r="J125" s="300"/>
      <c r="K125" s="301"/>
      <c r="L125" s="318"/>
      <c r="M125" s="318"/>
      <c r="N125" s="318"/>
      <c r="O125" s="339"/>
      <c r="P125" s="318"/>
      <c r="Q125" s="318"/>
      <c r="R125" s="318"/>
      <c r="S125" s="339"/>
      <c r="T125" s="318"/>
      <c r="U125" s="318"/>
      <c r="V125" s="404"/>
      <c r="W125" s="339"/>
      <c r="X125" s="318"/>
      <c r="Y125" s="318"/>
      <c r="Z125" s="318"/>
      <c r="AA125" s="317"/>
      <c r="AB125" s="652"/>
      <c r="AC125" s="317"/>
      <c r="AD125" s="317"/>
      <c r="AE125" s="317"/>
      <c r="AF125" s="652"/>
      <c r="AG125" s="317"/>
      <c r="AH125" s="317"/>
      <c r="AI125" s="339"/>
      <c r="AJ125" s="652"/>
      <c r="AK125" s="317"/>
      <c r="AL125" s="317"/>
      <c r="AM125" s="317"/>
      <c r="AN125" s="652"/>
      <c r="AO125" s="317"/>
      <c r="AP125" s="317"/>
      <c r="AQ125" s="317"/>
      <c r="AR125" s="652"/>
      <c r="AS125" s="317"/>
      <c r="AT125" s="317"/>
      <c r="AU125" s="339"/>
      <c r="AV125" s="652"/>
      <c r="AW125" s="317"/>
      <c r="AX125" s="317"/>
      <c r="AY125" s="339"/>
      <c r="AZ125" s="20"/>
      <c r="BA125" s="652"/>
      <c r="BB125" s="317"/>
      <c r="BC125" s="256"/>
      <c r="BD125" s="256"/>
      <c r="BE125" s="256"/>
      <c r="BF125" s="255"/>
      <c r="BG125" s="1615"/>
      <c r="BH125" s="1615"/>
      <c r="BI125" s="1614"/>
      <c r="BJ125" s="1715"/>
      <c r="BK125" s="1715"/>
      <c r="BL125" s="1715"/>
      <c r="BM125" s="1715"/>
      <c r="BN125" s="1715"/>
      <c r="BO125" s="299"/>
    </row>
    <row r="126" spans="1:67" ht="14.25" hidden="1" customHeight="1" outlineLevel="2">
      <c r="A126" s="1347"/>
      <c r="B126" s="437" t="s">
        <v>434</v>
      </c>
      <c r="C126" s="254"/>
      <c r="D126" s="320"/>
      <c r="E126" s="320"/>
      <c r="F126" s="320"/>
      <c r="G126" s="93"/>
      <c r="H126" s="269"/>
      <c r="I126" s="269"/>
      <c r="J126" s="300"/>
      <c r="K126" s="301"/>
      <c r="L126" s="318"/>
      <c r="M126" s="318"/>
      <c r="N126" s="318"/>
      <c r="O126" s="339"/>
      <c r="P126" s="318"/>
      <c r="Q126" s="318"/>
      <c r="R126" s="318"/>
      <c r="S126" s="339"/>
      <c r="T126" s="318"/>
      <c r="U126" s="318"/>
      <c r="V126" s="404"/>
      <c r="W126" s="339"/>
      <c r="X126" s="318"/>
      <c r="Y126" s="318"/>
      <c r="Z126" s="318"/>
      <c r="AA126" s="317"/>
      <c r="AB126" s="652"/>
      <c r="AC126" s="317"/>
      <c r="AD126" s="317"/>
      <c r="AE126" s="317"/>
      <c r="AF126" s="652"/>
      <c r="AG126" s="317"/>
      <c r="AH126" s="317"/>
      <c r="AI126" s="339"/>
      <c r="AJ126" s="652"/>
      <c r="AK126" s="317"/>
      <c r="AL126" s="317"/>
      <c r="AM126" s="317"/>
      <c r="AN126" s="652"/>
      <c r="AO126" s="317"/>
      <c r="AP126" s="317"/>
      <c r="AQ126" s="317"/>
      <c r="AR126" s="652"/>
      <c r="AS126" s="317"/>
      <c r="AT126" s="317"/>
      <c r="AU126" s="339"/>
      <c r="AV126" s="652"/>
      <c r="AW126" s="317"/>
      <c r="AX126" s="317"/>
      <c r="AY126" s="339"/>
      <c r="AZ126" s="20"/>
      <c r="BA126" s="652"/>
      <c r="BB126" s="317"/>
      <c r="BC126" s="256"/>
      <c r="BD126" s="256"/>
      <c r="BE126" s="256"/>
      <c r="BF126" s="1104">
        <f>+BF121*BF$112</f>
        <v>302</v>
      </c>
      <c r="BG126" s="1615"/>
      <c r="BH126" s="1615"/>
      <c r="BI126" s="1614"/>
      <c r="BJ126" s="1715"/>
      <c r="BK126" s="1715"/>
      <c r="BL126" s="1715"/>
      <c r="BM126" s="1715"/>
      <c r="BN126" s="1715"/>
      <c r="BO126" s="299"/>
    </row>
    <row r="127" spans="1:67" ht="14.25" hidden="1" customHeight="1" outlineLevel="2">
      <c r="A127" s="1347"/>
      <c r="B127" s="437" t="s">
        <v>435</v>
      </c>
      <c r="C127" s="254"/>
      <c r="D127" s="320"/>
      <c r="E127" s="320"/>
      <c r="F127" s="320"/>
      <c r="G127" s="93"/>
      <c r="H127" s="269"/>
      <c r="I127" s="269"/>
      <c r="J127" s="300"/>
      <c r="K127" s="301"/>
      <c r="L127" s="318"/>
      <c r="M127" s="318"/>
      <c r="N127" s="318"/>
      <c r="O127" s="339"/>
      <c r="P127" s="318"/>
      <c r="Q127" s="318"/>
      <c r="R127" s="318"/>
      <c r="S127" s="339"/>
      <c r="T127" s="318"/>
      <c r="U127" s="318"/>
      <c r="V127" s="404"/>
      <c r="W127" s="339"/>
      <c r="X127" s="318"/>
      <c r="Y127" s="318"/>
      <c r="Z127" s="318"/>
      <c r="AA127" s="317"/>
      <c r="AB127" s="652"/>
      <c r="AC127" s="317"/>
      <c r="AD127" s="317"/>
      <c r="AE127" s="317"/>
      <c r="AF127" s="652"/>
      <c r="AG127" s="317"/>
      <c r="AH127" s="317"/>
      <c r="AI127" s="339"/>
      <c r="AJ127" s="652"/>
      <c r="AK127" s="317"/>
      <c r="AL127" s="317"/>
      <c r="AM127" s="317"/>
      <c r="AN127" s="652"/>
      <c r="AO127" s="317"/>
      <c r="AP127" s="317"/>
      <c r="AQ127" s="317"/>
      <c r="AR127" s="652"/>
      <c r="AS127" s="317"/>
      <c r="AT127" s="317"/>
      <c r="AU127" s="339"/>
      <c r="AV127" s="652"/>
      <c r="AW127" s="317"/>
      <c r="AX127" s="317"/>
      <c r="AY127" s="339"/>
      <c r="AZ127" s="20"/>
      <c r="BA127" s="652"/>
      <c r="BB127" s="317"/>
      <c r="BC127" s="256"/>
      <c r="BD127" s="256"/>
      <c r="BE127" s="256"/>
      <c r="BF127" s="1104">
        <f>+BF122*BF$112</f>
        <v>181.2</v>
      </c>
      <c r="BG127" s="1615"/>
      <c r="BH127" s="1615"/>
      <c r="BI127" s="1614"/>
      <c r="BJ127" s="1715"/>
      <c r="BK127" s="1715"/>
      <c r="BL127" s="1715"/>
      <c r="BM127" s="1715"/>
      <c r="BN127" s="1715"/>
      <c r="BO127" s="299"/>
    </row>
    <row r="128" spans="1:67" s="468" customFormat="1" ht="14.25" hidden="1" customHeight="1" outlineLevel="2">
      <c r="A128" s="1357"/>
      <c r="B128" s="469" t="s">
        <v>436</v>
      </c>
      <c r="C128" s="470"/>
      <c r="D128" s="471"/>
      <c r="E128" s="471"/>
      <c r="F128" s="471"/>
      <c r="G128" s="472"/>
      <c r="H128" s="473"/>
      <c r="I128" s="473"/>
      <c r="J128" s="474"/>
      <c r="K128" s="475"/>
      <c r="L128" s="474"/>
      <c r="M128" s="474"/>
      <c r="N128" s="474"/>
      <c r="O128" s="475"/>
      <c r="P128" s="474"/>
      <c r="Q128" s="474"/>
      <c r="R128" s="474"/>
      <c r="S128" s="475"/>
      <c r="T128" s="474"/>
      <c r="U128" s="474"/>
      <c r="V128" s="473"/>
      <c r="W128" s="475"/>
      <c r="X128" s="474"/>
      <c r="Y128" s="474"/>
      <c r="Z128" s="474"/>
      <c r="AA128" s="477"/>
      <c r="AB128" s="922"/>
      <c r="AC128" s="477"/>
      <c r="AD128" s="477"/>
      <c r="AE128" s="477"/>
      <c r="AF128" s="922"/>
      <c r="AG128" s="477"/>
      <c r="AH128" s="477"/>
      <c r="AI128" s="475"/>
      <c r="AJ128" s="922"/>
      <c r="AK128" s="477"/>
      <c r="AL128" s="477"/>
      <c r="AM128" s="1584"/>
      <c r="AN128" s="1642"/>
      <c r="AO128" s="1635"/>
      <c r="AP128" s="1635"/>
      <c r="AQ128" s="1635"/>
      <c r="AR128" s="922"/>
      <c r="AS128" s="477"/>
      <c r="AT128" s="477"/>
      <c r="AU128" s="475"/>
      <c r="AV128" s="922"/>
      <c r="AW128" s="477"/>
      <c r="AX128" s="477"/>
      <c r="AY128" s="475"/>
      <c r="AZ128" s="476"/>
      <c r="BA128" s="922"/>
      <c r="BB128" s="477"/>
      <c r="BC128" s="477"/>
      <c r="BD128" s="477"/>
      <c r="BE128" s="477"/>
      <c r="BF128" s="1144">
        <f>+BF123*BF$112</f>
        <v>120.80000000000001</v>
      </c>
      <c r="BG128" s="1635"/>
      <c r="BH128" s="1635"/>
      <c r="BI128" s="1642"/>
      <c r="BJ128" s="1635"/>
      <c r="BK128" s="1635"/>
      <c r="BL128" s="1635"/>
      <c r="BM128" s="1635"/>
      <c r="BN128" s="1635"/>
      <c r="BO128" s="479"/>
    </row>
    <row r="129" spans="1:67" s="107" customFormat="1" ht="14.25" hidden="1" customHeight="1" outlineLevel="2">
      <c r="A129" s="1358"/>
      <c r="B129" s="436" t="s">
        <v>437</v>
      </c>
      <c r="C129" s="483"/>
      <c r="D129" s="484"/>
      <c r="E129" s="484"/>
      <c r="F129" s="484"/>
      <c r="G129" s="485"/>
      <c r="H129" s="486"/>
      <c r="I129" s="486"/>
      <c r="J129" s="487"/>
      <c r="K129" s="488"/>
      <c r="L129" s="487"/>
      <c r="M129" s="487"/>
      <c r="N129" s="487"/>
      <c r="O129" s="488"/>
      <c r="P129" s="487"/>
      <c r="Q129" s="487"/>
      <c r="R129" s="487"/>
      <c r="S129" s="488"/>
      <c r="T129" s="487"/>
      <c r="U129" s="487"/>
      <c r="V129" s="486"/>
      <c r="W129" s="488"/>
      <c r="X129" s="487"/>
      <c r="Y129" s="487"/>
      <c r="Z129" s="487"/>
      <c r="AA129" s="489"/>
      <c r="AB129" s="643"/>
      <c r="AC129" s="489"/>
      <c r="AD129" s="489"/>
      <c r="AE129" s="489"/>
      <c r="AF129" s="643"/>
      <c r="AG129" s="489"/>
      <c r="AH129" s="489"/>
      <c r="AI129" s="488"/>
      <c r="AJ129" s="643"/>
      <c r="AK129" s="489"/>
      <c r="AL129" s="489"/>
      <c r="AM129" s="489"/>
      <c r="AN129" s="643"/>
      <c r="AO129" s="489"/>
      <c r="AP129" s="489"/>
      <c r="AQ129" s="489"/>
      <c r="AR129" s="643"/>
      <c r="AS129" s="489"/>
      <c r="AT129" s="489"/>
      <c r="AU129" s="488"/>
      <c r="AV129" s="643"/>
      <c r="AW129" s="489"/>
      <c r="AX129" s="489"/>
      <c r="AY129" s="488"/>
      <c r="AZ129" s="1898"/>
      <c r="BA129" s="643"/>
      <c r="BB129" s="489"/>
      <c r="BC129" s="489"/>
      <c r="BD129" s="489"/>
      <c r="BE129" s="489"/>
      <c r="BF129" s="1102">
        <f>+SUM(BF126:BF128)</f>
        <v>604</v>
      </c>
      <c r="BG129" s="489"/>
      <c r="BH129" s="489"/>
      <c r="BI129" s="643"/>
      <c r="BJ129" s="489"/>
      <c r="BK129" s="489"/>
      <c r="BL129" s="489"/>
      <c r="BM129" s="489"/>
      <c r="BN129" s="489"/>
      <c r="BO129" s="467"/>
    </row>
    <row r="130" spans="1:67" ht="14.25" hidden="1" customHeight="1" outlineLevel="2">
      <c r="A130" s="1347"/>
      <c r="B130" s="431"/>
      <c r="C130" s="254"/>
      <c r="D130" s="320"/>
      <c r="E130" s="320"/>
      <c r="F130" s="320"/>
      <c r="G130" s="93"/>
      <c r="H130" s="269"/>
      <c r="I130" s="269"/>
      <c r="J130" s="300"/>
      <c r="K130" s="301"/>
      <c r="L130" s="318"/>
      <c r="M130" s="318"/>
      <c r="N130" s="318"/>
      <c r="O130" s="339"/>
      <c r="P130" s="318"/>
      <c r="Q130" s="318"/>
      <c r="R130" s="318"/>
      <c r="S130" s="339"/>
      <c r="T130" s="318"/>
      <c r="U130" s="318"/>
      <c r="V130" s="404"/>
      <c r="W130" s="339"/>
      <c r="X130" s="318"/>
      <c r="Y130" s="318"/>
      <c r="Z130" s="318"/>
      <c r="AA130" s="317"/>
      <c r="AB130" s="652"/>
      <c r="AC130" s="317"/>
      <c r="AD130" s="317"/>
      <c r="AE130" s="317"/>
      <c r="AF130" s="652"/>
      <c r="AG130" s="317"/>
      <c r="AH130" s="317"/>
      <c r="AI130" s="339"/>
      <c r="AJ130" s="652"/>
      <c r="AK130" s="317"/>
      <c r="AL130" s="317"/>
      <c r="AM130" s="317"/>
      <c r="AN130" s="652"/>
      <c r="AO130" s="317"/>
      <c r="AP130" s="317"/>
      <c r="AQ130" s="317"/>
      <c r="AR130" s="652"/>
      <c r="AS130" s="317"/>
      <c r="AT130" s="317"/>
      <c r="AU130" s="339"/>
      <c r="AV130" s="652"/>
      <c r="AW130" s="317"/>
      <c r="AX130" s="317"/>
      <c r="AY130" s="339"/>
      <c r="AZ130" s="20"/>
      <c r="BA130" s="652"/>
      <c r="BB130" s="317"/>
      <c r="BC130" s="256"/>
      <c r="BD130" s="256"/>
      <c r="BE130" s="256"/>
      <c r="BF130" s="255"/>
      <c r="BG130" s="1615"/>
      <c r="BH130" s="1615"/>
      <c r="BI130" s="1614"/>
      <c r="BJ130" s="1715"/>
      <c r="BK130" s="1715"/>
      <c r="BL130" s="1715"/>
      <c r="BM130" s="1715"/>
      <c r="BN130" s="1715"/>
      <c r="BO130" s="299"/>
    </row>
    <row r="131" spans="1:67" ht="14.25" hidden="1" customHeight="1" outlineLevel="2">
      <c r="A131" s="1347"/>
      <c r="B131" s="431"/>
      <c r="C131" s="254"/>
      <c r="D131" s="320"/>
      <c r="E131" s="320"/>
      <c r="F131" s="320"/>
      <c r="G131" s="93"/>
      <c r="H131" s="269"/>
      <c r="I131" s="269"/>
      <c r="J131" s="300"/>
      <c r="K131" s="301"/>
      <c r="L131" s="318"/>
      <c r="M131" s="318"/>
      <c r="N131" s="318"/>
      <c r="O131" s="339"/>
      <c r="P131" s="318"/>
      <c r="Q131" s="318"/>
      <c r="R131" s="318"/>
      <c r="S131" s="339"/>
      <c r="T131" s="318"/>
      <c r="U131" s="318"/>
      <c r="V131" s="404"/>
      <c r="W131" s="339"/>
      <c r="X131" s="318"/>
      <c r="Y131" s="318"/>
      <c r="Z131" s="318"/>
      <c r="AA131" s="317"/>
      <c r="AB131" s="652"/>
      <c r="AC131" s="317"/>
      <c r="AD131" s="317"/>
      <c r="AE131" s="317"/>
      <c r="AF131" s="652"/>
      <c r="AG131" s="317"/>
      <c r="AH131" s="317"/>
      <c r="AI131" s="339"/>
      <c r="AJ131" s="652"/>
      <c r="AK131" s="317"/>
      <c r="AL131" s="317"/>
      <c r="AM131" s="317"/>
      <c r="AN131" s="652"/>
      <c r="AO131" s="317"/>
      <c r="AP131" s="317"/>
      <c r="AQ131" s="317"/>
      <c r="AR131" s="652"/>
      <c r="AS131" s="317"/>
      <c r="AT131" s="317"/>
      <c r="AU131" s="339"/>
      <c r="AV131" s="652"/>
      <c r="AW131" s="317"/>
      <c r="AX131" s="317"/>
      <c r="AY131" s="339"/>
      <c r="AZ131" s="20"/>
      <c r="BA131" s="652"/>
      <c r="BB131" s="317"/>
      <c r="BC131" s="256"/>
      <c r="BD131" s="256"/>
      <c r="BE131" s="256"/>
      <c r="BF131" s="255"/>
      <c r="BG131" s="1615"/>
      <c r="BH131" s="1615"/>
      <c r="BI131" s="1614"/>
      <c r="BJ131" s="1715"/>
      <c r="BK131" s="1715"/>
      <c r="BL131" s="1715"/>
      <c r="BM131" s="1715"/>
      <c r="BN131" s="1715"/>
      <c r="BO131" s="299"/>
    </row>
    <row r="132" spans="1:67" ht="14.25" hidden="1" customHeight="1" outlineLevel="2">
      <c r="A132" s="1347"/>
      <c r="B132" s="431"/>
      <c r="C132" s="254"/>
      <c r="D132" s="320"/>
      <c r="E132" s="320"/>
      <c r="F132" s="320"/>
      <c r="G132" s="93"/>
      <c r="H132" s="269"/>
      <c r="I132" s="269"/>
      <c r="J132" s="300"/>
      <c r="K132" s="301"/>
      <c r="L132" s="318"/>
      <c r="M132" s="318"/>
      <c r="N132" s="318"/>
      <c r="O132" s="339"/>
      <c r="P132" s="318"/>
      <c r="Q132" s="318"/>
      <c r="R132" s="318"/>
      <c r="S132" s="339"/>
      <c r="T132" s="318"/>
      <c r="U132" s="318"/>
      <c r="V132" s="404"/>
      <c r="W132" s="339"/>
      <c r="X132" s="318"/>
      <c r="Y132" s="318"/>
      <c r="Z132" s="318"/>
      <c r="AA132" s="317"/>
      <c r="AB132" s="652"/>
      <c r="AC132" s="317"/>
      <c r="AD132" s="317"/>
      <c r="AE132" s="317"/>
      <c r="AF132" s="652"/>
      <c r="AG132" s="317"/>
      <c r="AH132" s="317"/>
      <c r="AI132" s="339"/>
      <c r="AJ132" s="652"/>
      <c r="AK132" s="317"/>
      <c r="AL132" s="317"/>
      <c r="AM132" s="317"/>
      <c r="AN132" s="652"/>
      <c r="AO132" s="317"/>
      <c r="AP132" s="317"/>
      <c r="AQ132" s="317"/>
      <c r="AR132" s="652"/>
      <c r="AS132" s="317"/>
      <c r="AT132" s="317"/>
      <c r="AU132" s="339"/>
      <c r="AV132" s="652"/>
      <c r="AW132" s="317"/>
      <c r="AX132" s="317"/>
      <c r="AY132" s="339"/>
      <c r="AZ132" s="20"/>
      <c r="BA132" s="652"/>
      <c r="BB132" s="317"/>
      <c r="BC132" s="256"/>
      <c r="BD132" s="256"/>
      <c r="BE132" s="256"/>
      <c r="BF132" s="255"/>
      <c r="BG132" s="1615"/>
      <c r="BH132" s="1615"/>
      <c r="BI132" s="1614"/>
      <c r="BJ132" s="1715"/>
      <c r="BK132" s="1715"/>
      <c r="BL132" s="1715"/>
      <c r="BM132" s="1715"/>
      <c r="BN132" s="1715"/>
      <c r="BO132" s="299"/>
    </row>
    <row r="133" spans="1:67" ht="14.25" hidden="1" customHeight="1" outlineLevel="1">
      <c r="A133" s="1347"/>
      <c r="B133" s="1344" t="s">
        <v>409</v>
      </c>
      <c r="C133" s="710"/>
      <c r="D133" s="711"/>
      <c r="E133" s="711"/>
      <c r="F133" s="711"/>
      <c r="G133" s="712"/>
      <c r="H133" s="713"/>
      <c r="I133" s="713"/>
      <c r="J133" s="713"/>
      <c r="K133" s="714"/>
      <c r="L133" s="715"/>
      <c r="M133" s="715"/>
      <c r="N133" s="715"/>
      <c r="O133" s="716"/>
      <c r="P133" s="715"/>
      <c r="Q133" s="715"/>
      <c r="R133" s="715"/>
      <c r="S133" s="716"/>
      <c r="T133" s="715"/>
      <c r="U133" s="715"/>
      <c r="V133" s="715"/>
      <c r="W133" s="716"/>
      <c r="X133" s="715"/>
      <c r="Y133" s="715"/>
      <c r="Z133" s="713"/>
      <c r="AA133" s="713"/>
      <c r="AB133" s="1148"/>
      <c r="AC133" s="713"/>
      <c r="AD133" s="713"/>
      <c r="AE133" s="713"/>
      <c r="AF133" s="1148"/>
      <c r="AG133" s="713"/>
      <c r="AH133" s="713"/>
      <c r="AI133" s="714"/>
      <c r="AJ133" s="1148"/>
      <c r="AK133" s="713"/>
      <c r="AL133" s="713"/>
      <c r="AM133" s="1590"/>
      <c r="AN133" s="1594"/>
      <c r="AO133" s="1590"/>
      <c r="AP133" s="1590"/>
      <c r="AQ133" s="1590"/>
      <c r="AR133" s="1148"/>
      <c r="AS133" s="713"/>
      <c r="AT133" s="713"/>
      <c r="AU133" s="714"/>
      <c r="AV133" s="1148"/>
      <c r="AW133" s="713"/>
      <c r="AX133" s="713"/>
      <c r="AY133" s="714"/>
      <c r="AZ133" s="20"/>
      <c r="BA133" s="1128"/>
      <c r="BB133" s="1110"/>
      <c r="BC133" s="1110"/>
      <c r="BD133" s="1110"/>
      <c r="BE133" s="1110"/>
      <c r="BF133" s="1128"/>
      <c r="BG133" s="1110"/>
      <c r="BH133" s="1110"/>
      <c r="BI133" s="1128"/>
      <c r="BJ133" s="1110"/>
      <c r="BK133" s="1110"/>
      <c r="BL133" s="1110"/>
      <c r="BM133" s="1110"/>
      <c r="BN133" s="1110"/>
      <c r="BO133" s="299"/>
    </row>
    <row r="134" spans="1:67" ht="14.25" hidden="1" customHeight="1" outlineLevel="1">
      <c r="A134" s="1347"/>
      <c r="B134" s="434"/>
      <c r="C134" s="34"/>
      <c r="D134" s="320"/>
      <c r="E134" s="320"/>
      <c r="F134" s="320"/>
      <c r="G134" s="93"/>
      <c r="H134" s="269"/>
      <c r="I134" s="269"/>
      <c r="J134" s="269"/>
      <c r="K134" s="91"/>
      <c r="L134" s="405"/>
      <c r="M134" s="405"/>
      <c r="N134" s="405"/>
      <c r="O134" s="415"/>
      <c r="P134" s="405"/>
      <c r="Q134" s="405"/>
      <c r="R134" s="405"/>
      <c r="S134" s="415"/>
      <c r="T134" s="405"/>
      <c r="U134" s="405"/>
      <c r="V134" s="405"/>
      <c r="W134" s="415"/>
      <c r="X134" s="405"/>
      <c r="Y134" s="405"/>
      <c r="Z134" s="416"/>
      <c r="AA134" s="418"/>
      <c r="AB134" s="1125"/>
      <c r="AC134" s="418"/>
      <c r="AD134" s="418"/>
      <c r="AE134" s="418"/>
      <c r="AF134" s="1125"/>
      <c r="AG134" s="418"/>
      <c r="AH134" s="418"/>
      <c r="AI134" s="417"/>
      <c r="AJ134" s="1125"/>
      <c r="AK134" s="418"/>
      <c r="AL134" s="418"/>
      <c r="AM134" s="1583"/>
      <c r="AN134" s="1665"/>
      <c r="AO134" s="1630"/>
      <c r="AP134" s="1630"/>
      <c r="AQ134" s="1630"/>
      <c r="AR134" s="1125"/>
      <c r="AS134" s="418"/>
      <c r="AT134" s="418"/>
      <c r="AU134" s="417"/>
      <c r="AV134" s="1125"/>
      <c r="AW134" s="418"/>
      <c r="AX134" s="418"/>
      <c r="AY134" s="417"/>
      <c r="AZ134" s="20"/>
      <c r="BA134" s="696"/>
      <c r="BB134" s="697"/>
      <c r="BC134" s="1199"/>
      <c r="BD134" s="1199"/>
      <c r="BE134" s="1199"/>
      <c r="BF134" s="1198"/>
      <c r="BG134" s="1615"/>
      <c r="BH134" s="1615"/>
      <c r="BI134" s="1614"/>
      <c r="BJ134" s="1715"/>
      <c r="BK134" s="1715"/>
      <c r="BL134" s="1715"/>
      <c r="BM134" s="1715"/>
      <c r="BN134" s="1715"/>
      <c r="BO134" s="299"/>
    </row>
    <row r="135" spans="1:67" s="363" customFormat="1" ht="14.25" hidden="1" customHeight="1" outlineLevel="2">
      <c r="A135" s="1348"/>
      <c r="B135" s="859" t="s">
        <v>496</v>
      </c>
      <c r="C135" s="382"/>
      <c r="D135" s="365"/>
      <c r="E135" s="365"/>
      <c r="F135" s="365"/>
      <c r="G135" s="366"/>
      <c r="H135" s="367"/>
      <c r="I135" s="367"/>
      <c r="J135" s="368"/>
      <c r="K135" s="369"/>
      <c r="L135" s="370">
        <v>99</v>
      </c>
      <c r="M135" s="370">
        <v>124</v>
      </c>
      <c r="N135" s="370">
        <v>129</v>
      </c>
      <c r="O135" s="371">
        <v>147</v>
      </c>
      <c r="P135" s="370">
        <v>166</v>
      </c>
      <c r="Q135" s="370">
        <v>181</v>
      </c>
      <c r="R135" s="370">
        <v>178</v>
      </c>
      <c r="S135" s="371">
        <v>164</v>
      </c>
      <c r="T135" s="370">
        <v>177</v>
      </c>
      <c r="U135" s="370">
        <v>177</v>
      </c>
      <c r="V135" s="403">
        <v>170</v>
      </c>
      <c r="W135" s="371">
        <v>137</v>
      </c>
      <c r="X135" s="370">
        <v>157</v>
      </c>
      <c r="Y135" s="370">
        <v>179</v>
      </c>
      <c r="Z135" s="346">
        <v>222</v>
      </c>
      <c r="AA135" s="1233">
        <v>195</v>
      </c>
      <c r="AB135" s="923"/>
      <c r="AC135" s="348"/>
      <c r="AD135" s="348"/>
      <c r="AE135" s="348"/>
      <c r="AF135" s="923"/>
      <c r="AG135" s="348"/>
      <c r="AH135" s="348"/>
      <c r="AI135" s="349"/>
      <c r="AJ135" s="923"/>
      <c r="AK135" s="348"/>
      <c r="AL135" s="348"/>
      <c r="AM135" s="348"/>
      <c r="AN135" s="923"/>
      <c r="AO135" s="348"/>
      <c r="AP135" s="348"/>
      <c r="AQ135" s="348"/>
      <c r="AR135" s="923"/>
      <c r="AS135" s="348"/>
      <c r="AT135" s="348"/>
      <c r="AU135" s="349"/>
      <c r="AV135" s="923"/>
      <c r="AW135" s="348"/>
      <c r="AX135" s="348"/>
      <c r="AY135" s="349"/>
      <c r="AZ135" s="1901"/>
      <c r="BA135" s="1124"/>
      <c r="BB135" s="372"/>
      <c r="BC135" s="340">
        <f>SUM(L135:O135)</f>
        <v>499</v>
      </c>
      <c r="BD135" s="340">
        <f>SUM(P135:S135)</f>
        <v>689</v>
      </c>
      <c r="BE135" s="340">
        <f>SUM(T135:W135)</f>
        <v>661</v>
      </c>
      <c r="BF135" s="361">
        <f>SUM(X135:AA135)</f>
        <v>753</v>
      </c>
      <c r="BG135" s="340">
        <f>SUM(AB135:AE135)</f>
        <v>0</v>
      </c>
      <c r="BH135" s="340">
        <f>SUM(AF135:AI135)</f>
        <v>0</v>
      </c>
      <c r="BI135" s="361">
        <f>SUM(AG135:AJ135)</f>
        <v>0</v>
      </c>
      <c r="BJ135" s="340">
        <f>SUM(AH135:AK135)</f>
        <v>0</v>
      </c>
      <c r="BK135" s="340">
        <f>SUM(AI135:AL135)</f>
        <v>0</v>
      </c>
      <c r="BL135" s="340">
        <f>SUM(AJ135:AM135)</f>
        <v>0</v>
      </c>
      <c r="BM135" s="340"/>
      <c r="BN135" s="340"/>
      <c r="BO135" s="364"/>
    </row>
    <row r="136" spans="1:67" s="861" customFormat="1" ht="14.25" hidden="1" customHeight="1" outlineLevel="2">
      <c r="A136" s="1356"/>
      <c r="B136" s="493" t="s">
        <v>497</v>
      </c>
      <c r="C136" s="862"/>
      <c r="D136" s="863"/>
      <c r="E136" s="863"/>
      <c r="F136" s="863"/>
      <c r="G136" s="864"/>
      <c r="H136" s="865"/>
      <c r="I136" s="865"/>
      <c r="J136" s="866"/>
      <c r="K136" s="867"/>
      <c r="L136" s="868"/>
      <c r="M136" s="868"/>
      <c r="N136" s="868"/>
      <c r="O136" s="869"/>
      <c r="P136" s="868">
        <f t="shared" ref="P136:AA136" si="279">+P135-P137</f>
        <v>71</v>
      </c>
      <c r="Q136" s="868">
        <f t="shared" si="279"/>
        <v>75</v>
      </c>
      <c r="R136" s="868">
        <f t="shared" si="279"/>
        <v>76</v>
      </c>
      <c r="S136" s="869">
        <f t="shared" si="279"/>
        <v>75</v>
      </c>
      <c r="T136" s="868">
        <f t="shared" si="279"/>
        <v>81</v>
      </c>
      <c r="U136" s="868">
        <f t="shared" si="279"/>
        <v>77</v>
      </c>
      <c r="V136" s="868">
        <f t="shared" si="279"/>
        <v>71</v>
      </c>
      <c r="W136" s="869">
        <f t="shared" si="279"/>
        <v>62</v>
      </c>
      <c r="X136" s="868">
        <f t="shared" si="279"/>
        <v>72</v>
      </c>
      <c r="Y136" s="868">
        <f t="shared" si="279"/>
        <v>72</v>
      </c>
      <c r="Z136" s="870">
        <f t="shared" si="279"/>
        <v>103</v>
      </c>
      <c r="AA136" s="1237">
        <f t="shared" si="279"/>
        <v>89</v>
      </c>
      <c r="AB136" s="1147"/>
      <c r="AC136" s="871"/>
      <c r="AD136" s="871"/>
      <c r="AE136" s="871"/>
      <c r="AF136" s="1147"/>
      <c r="AG136" s="871"/>
      <c r="AH136" s="871"/>
      <c r="AI136" s="872"/>
      <c r="AJ136" s="1147"/>
      <c r="AK136" s="871"/>
      <c r="AL136" s="871"/>
      <c r="AM136" s="871"/>
      <c r="AN136" s="1147"/>
      <c r="AO136" s="871"/>
      <c r="AP136" s="871"/>
      <c r="AQ136" s="871"/>
      <c r="AR136" s="1147"/>
      <c r="AS136" s="871"/>
      <c r="AT136" s="871"/>
      <c r="AU136" s="872"/>
      <c r="AV136" s="1147"/>
      <c r="AW136" s="871"/>
      <c r="AX136" s="871"/>
      <c r="AY136" s="872"/>
      <c r="AZ136" s="1912"/>
      <c r="BA136" s="1127"/>
      <c r="BB136" s="873"/>
      <c r="BC136" s="874"/>
      <c r="BD136" s="874">
        <f>+SUM(P136:S136)</f>
        <v>297</v>
      </c>
      <c r="BE136" s="874">
        <f>+SUM(T136:W136)</f>
        <v>291</v>
      </c>
      <c r="BF136" s="921">
        <f>+SUM(X136:AA136)</f>
        <v>336</v>
      </c>
      <c r="BG136" s="874"/>
      <c r="BH136" s="874"/>
      <c r="BI136" s="921"/>
      <c r="BJ136" s="874"/>
      <c r="BK136" s="874"/>
      <c r="BL136" s="874"/>
      <c r="BM136" s="874"/>
      <c r="BN136" s="874"/>
      <c r="BO136" s="876"/>
    </row>
    <row r="137" spans="1:67" s="363" customFormat="1" ht="14.25" hidden="1" customHeight="1" outlineLevel="1">
      <c r="A137" s="1348"/>
      <c r="B137" s="436" t="s">
        <v>409</v>
      </c>
      <c r="C137" s="382"/>
      <c r="D137" s="365"/>
      <c r="E137" s="365"/>
      <c r="F137" s="365"/>
      <c r="G137" s="366"/>
      <c r="H137" s="367"/>
      <c r="I137" s="367"/>
      <c r="J137" s="368"/>
      <c r="K137" s="369"/>
      <c r="L137" s="370"/>
      <c r="M137" s="370"/>
      <c r="N137" s="370"/>
      <c r="O137" s="371"/>
      <c r="P137" s="370">
        <v>95</v>
      </c>
      <c r="Q137" s="370">
        <v>106</v>
      </c>
      <c r="R137" s="370">
        <v>102</v>
      </c>
      <c r="S137" s="371">
        <v>89</v>
      </c>
      <c r="T137" s="370">
        <v>96</v>
      </c>
      <c r="U137" s="370">
        <v>100</v>
      </c>
      <c r="V137" s="370">
        <v>99</v>
      </c>
      <c r="W137" s="371">
        <v>75</v>
      </c>
      <c r="X137" s="370">
        <v>85</v>
      </c>
      <c r="Y137" s="370">
        <v>107</v>
      </c>
      <c r="Z137" s="403">
        <v>119</v>
      </c>
      <c r="AA137" s="1233">
        <v>106</v>
      </c>
      <c r="AB137" s="1250">
        <v>93</v>
      </c>
      <c r="AC137" s="346">
        <v>106</v>
      </c>
      <c r="AD137" s="346">
        <v>130</v>
      </c>
      <c r="AE137" s="346">
        <v>159</v>
      </c>
      <c r="AF137" s="1250">
        <v>135</v>
      </c>
      <c r="AG137" s="346">
        <v>147</v>
      </c>
      <c r="AH137" s="346">
        <v>217</v>
      </c>
      <c r="AI137" s="347">
        <v>213</v>
      </c>
      <c r="AJ137" s="923">
        <f t="shared" ref="AJ137:AN137" si="280">+AI137*(1+AJ138)</f>
        <v>185.31</v>
      </c>
      <c r="AK137" s="346">
        <v>147</v>
      </c>
      <c r="AL137" s="346">
        <v>217</v>
      </c>
      <c r="AM137" s="348">
        <v>217</v>
      </c>
      <c r="AN137" s="923">
        <f t="shared" si="280"/>
        <v>188.79</v>
      </c>
      <c r="AO137" s="346">
        <v>147</v>
      </c>
      <c r="AP137" s="346">
        <v>217</v>
      </c>
      <c r="AQ137" s="1821">
        <v>217</v>
      </c>
      <c r="AR137" s="923">
        <f t="shared" ref="AR137" si="281">+AQ137*(1+AR138)</f>
        <v>190.96</v>
      </c>
      <c r="AS137" s="348">
        <f t="shared" ref="AS137" si="282">+AR137*(1+AS138)</f>
        <v>194.7792</v>
      </c>
      <c r="AT137" s="348">
        <f t="shared" ref="AT137" si="283">+AS137*(1+AT138)</f>
        <v>214.25712000000001</v>
      </c>
      <c r="AU137" s="349">
        <f t="shared" ref="AU137" si="284">+AT137*(1+AU138)</f>
        <v>224.96997600000003</v>
      </c>
      <c r="AV137" s="923">
        <f t="shared" ref="AV137" si="285">+AU137*(1+AV138)</f>
        <v>197.97357888000002</v>
      </c>
      <c r="AW137" s="348">
        <f t="shared" ref="AW137" si="286">+AV137*(1+AW138)</f>
        <v>201.93305045760002</v>
      </c>
      <c r="AX137" s="348">
        <f t="shared" ref="AX137" si="287">+AW137*(1+AX138)</f>
        <v>222.12635550336003</v>
      </c>
      <c r="AY137" s="349">
        <f t="shared" ref="AY137" si="288">+AX137*(1+AY138)</f>
        <v>233.23267327852804</v>
      </c>
      <c r="AZ137" s="1901"/>
      <c r="BA137" s="1124"/>
      <c r="BB137" s="372"/>
      <c r="BC137" s="340"/>
      <c r="BD137" s="340">
        <f>+BD135-BD136</f>
        <v>392</v>
      </c>
      <c r="BE137" s="340">
        <f>+BE135-BE136</f>
        <v>370</v>
      </c>
      <c r="BF137" s="361">
        <f>+BF135-BF136</f>
        <v>417</v>
      </c>
      <c r="BG137" s="340">
        <f>SUM(AB137:AE137)</f>
        <v>488</v>
      </c>
      <c r="BH137" s="340">
        <f>SUM(AF137:AI137)</f>
        <v>712</v>
      </c>
      <c r="BI137" s="361">
        <f>SUM(AJ137:AM137)</f>
        <v>766.31</v>
      </c>
      <c r="BJ137" s="340">
        <f>SUM(AN137:AQ137)</f>
        <v>769.79</v>
      </c>
      <c r="BK137" s="340">
        <f>SUM(AO137:AR137)</f>
        <v>771.96</v>
      </c>
      <c r="BL137" s="340">
        <f>SUM(AP137:AV137)</f>
        <v>1456.9398748800002</v>
      </c>
      <c r="BM137" s="340">
        <f t="shared" ref="BM137:BN137" si="289">+BL137*(1+BM138)</f>
        <v>1529.7868686240001</v>
      </c>
      <c r="BN137" s="340">
        <f t="shared" si="289"/>
        <v>1606.2762120552002</v>
      </c>
      <c r="BO137" s="364"/>
    </row>
    <row r="138" spans="1:67" ht="14.25" hidden="1" customHeight="1" outlineLevel="1">
      <c r="A138" s="1347"/>
      <c r="B138" s="431" t="s">
        <v>228</v>
      </c>
      <c r="C138" s="254"/>
      <c r="D138" s="320"/>
      <c r="E138" s="320"/>
      <c r="F138" s="320"/>
      <c r="G138" s="93"/>
      <c r="H138" s="269"/>
      <c r="I138" s="269"/>
      <c r="J138" s="300"/>
      <c r="K138" s="301"/>
      <c r="L138" s="300"/>
      <c r="M138" s="318"/>
      <c r="N138" s="318"/>
      <c r="O138" s="339"/>
      <c r="P138" s="318"/>
      <c r="Q138" s="318">
        <f t="shared" ref="Q138:AQ138" si="290">Q137/P137-1</f>
        <v>0.11578947368421044</v>
      </c>
      <c r="R138" s="318">
        <f t="shared" si="290"/>
        <v>-3.7735849056603765E-2</v>
      </c>
      <c r="S138" s="339">
        <f t="shared" si="290"/>
        <v>-0.12745098039215685</v>
      </c>
      <c r="T138" s="318">
        <f t="shared" si="290"/>
        <v>7.8651685393258397E-2</v>
      </c>
      <c r="U138" s="318">
        <f t="shared" si="290"/>
        <v>4.1666666666666741E-2</v>
      </c>
      <c r="V138" s="404">
        <f t="shared" si="290"/>
        <v>-1.0000000000000009E-2</v>
      </c>
      <c r="W138" s="339">
        <f t="shared" si="290"/>
        <v>-0.24242424242424243</v>
      </c>
      <c r="X138" s="318">
        <f t="shared" si="290"/>
        <v>0.1333333333333333</v>
      </c>
      <c r="Y138" s="318">
        <f t="shared" si="290"/>
        <v>0.25882352941176467</v>
      </c>
      <c r="Z138" s="318">
        <f t="shared" si="290"/>
        <v>0.11214953271028039</v>
      </c>
      <c r="AA138" s="317">
        <f>AA137/Z137-1</f>
        <v>-0.10924369747899154</v>
      </c>
      <c r="AB138" s="652">
        <f t="shared" si="290"/>
        <v>-0.12264150943396224</v>
      </c>
      <c r="AC138" s="317">
        <f t="shared" si="290"/>
        <v>0.13978494623655924</v>
      </c>
      <c r="AD138" s="317">
        <f t="shared" si="290"/>
        <v>0.22641509433962259</v>
      </c>
      <c r="AE138" s="317">
        <f t="shared" si="290"/>
        <v>0.22307692307692317</v>
      </c>
      <c r="AF138" s="652">
        <f t="shared" si="290"/>
        <v>-0.15094339622641506</v>
      </c>
      <c r="AG138" s="317">
        <f t="shared" si="290"/>
        <v>8.8888888888888795E-2</v>
      </c>
      <c r="AH138" s="317">
        <f t="shared" si="290"/>
        <v>0.47619047619047628</v>
      </c>
      <c r="AI138" s="339">
        <f t="shared" si="290"/>
        <v>-1.8433179723502335E-2</v>
      </c>
      <c r="AJ138" s="1145">
        <v>-0.13</v>
      </c>
      <c r="AK138" s="317">
        <f t="shared" si="290"/>
        <v>-0.20673466083859482</v>
      </c>
      <c r="AL138" s="317">
        <f t="shared" si="290"/>
        <v>0.47619047619047628</v>
      </c>
      <c r="AM138" s="1146">
        <f t="shared" si="290"/>
        <v>0</v>
      </c>
      <c r="AN138" s="1145">
        <v>-0.13</v>
      </c>
      <c r="AO138" s="317">
        <f t="shared" si="290"/>
        <v>-0.22135706340378192</v>
      </c>
      <c r="AP138" s="317">
        <f t="shared" si="290"/>
        <v>0.47619047619047628</v>
      </c>
      <c r="AQ138" s="1146">
        <f t="shared" si="290"/>
        <v>0</v>
      </c>
      <c r="AR138" s="1145">
        <v>-0.12</v>
      </c>
      <c r="AS138" s="1146">
        <v>0.02</v>
      </c>
      <c r="AT138" s="1146">
        <v>0.1</v>
      </c>
      <c r="AU138" s="449">
        <v>0.05</v>
      </c>
      <c r="AV138" s="1145">
        <v>-0.12</v>
      </c>
      <c r="AW138" s="1146">
        <v>0.02</v>
      </c>
      <c r="AX138" s="1146">
        <v>0.1</v>
      </c>
      <c r="AY138" s="449">
        <v>0.05</v>
      </c>
      <c r="AZ138" s="20"/>
      <c r="BA138" s="652"/>
      <c r="BB138" s="317"/>
      <c r="BC138" s="256"/>
      <c r="BD138" s="256"/>
      <c r="BE138" s="256"/>
      <c r="BF138" s="255"/>
      <c r="BG138" s="1615"/>
      <c r="BH138" s="1615"/>
      <c r="BI138" s="1614"/>
      <c r="BJ138" s="1715"/>
      <c r="BK138" s="1715"/>
      <c r="BL138" s="1715"/>
      <c r="BM138" s="1715">
        <v>0.05</v>
      </c>
      <c r="BN138" s="1715">
        <v>0.05</v>
      </c>
      <c r="BO138" s="299"/>
    </row>
    <row r="139" spans="1:67" ht="14.25" hidden="1" customHeight="1" outlineLevel="1">
      <c r="A139" s="1347"/>
      <c r="B139" s="435" t="s">
        <v>229</v>
      </c>
      <c r="C139" s="254"/>
      <c r="D139" s="320"/>
      <c r="E139" s="320"/>
      <c r="F139" s="320"/>
      <c r="G139" s="93"/>
      <c r="H139" s="269"/>
      <c r="I139" s="269"/>
      <c r="J139" s="300"/>
      <c r="K139" s="301"/>
      <c r="L139" s="318" t="str">
        <f t="shared" ref="L139:AQ139" si="291">IF(ISERROR(L137/H137-1),"",L137/H137-1)</f>
        <v/>
      </c>
      <c r="M139" s="318" t="str">
        <f t="shared" si="291"/>
        <v/>
      </c>
      <c r="N139" s="318" t="str">
        <f t="shared" si="291"/>
        <v/>
      </c>
      <c r="O139" s="339" t="str">
        <f t="shared" si="291"/>
        <v/>
      </c>
      <c r="P139" s="318" t="str">
        <f t="shared" si="291"/>
        <v/>
      </c>
      <c r="Q139" s="318" t="str">
        <f t="shared" si="291"/>
        <v/>
      </c>
      <c r="R139" s="318" t="str">
        <f t="shared" si="291"/>
        <v/>
      </c>
      <c r="S139" s="339" t="str">
        <f t="shared" si="291"/>
        <v/>
      </c>
      <c r="T139" s="318">
        <f t="shared" si="291"/>
        <v>1.0526315789473717E-2</v>
      </c>
      <c r="U139" s="318">
        <f t="shared" si="291"/>
        <v>-5.6603773584905648E-2</v>
      </c>
      <c r="V139" s="404">
        <f t="shared" si="291"/>
        <v>-2.9411764705882359E-2</v>
      </c>
      <c r="W139" s="339">
        <f t="shared" si="291"/>
        <v>-0.15730337078651691</v>
      </c>
      <c r="X139" s="318">
        <f t="shared" si="291"/>
        <v>-0.11458333333333337</v>
      </c>
      <c r="Y139" s="318">
        <f t="shared" si="291"/>
        <v>7.0000000000000062E-2</v>
      </c>
      <c r="Z139" s="318">
        <f t="shared" si="291"/>
        <v>0.20202020202020199</v>
      </c>
      <c r="AA139" s="317">
        <f t="shared" si="291"/>
        <v>0.41333333333333333</v>
      </c>
      <c r="AB139" s="652">
        <f t="shared" si="291"/>
        <v>9.4117647058823639E-2</v>
      </c>
      <c r="AC139" s="317">
        <f t="shared" si="291"/>
        <v>-9.3457943925233655E-3</v>
      </c>
      <c r="AD139" s="317">
        <f t="shared" si="291"/>
        <v>9.243697478991586E-2</v>
      </c>
      <c r="AE139" s="317">
        <f t="shared" si="291"/>
        <v>0.5</v>
      </c>
      <c r="AF139" s="652">
        <f t="shared" si="291"/>
        <v>0.45161290322580649</v>
      </c>
      <c r="AG139" s="317">
        <f t="shared" si="291"/>
        <v>0.3867924528301887</v>
      </c>
      <c r="AH139" s="317">
        <f t="shared" si="291"/>
        <v>0.6692307692307693</v>
      </c>
      <c r="AI139" s="339">
        <f t="shared" si="291"/>
        <v>0.33962264150943389</v>
      </c>
      <c r="AJ139" s="652">
        <f t="shared" ref="AJ139:AN139" si="292">IF(ISERROR(AJ137/AF137-1),"",AJ137/AF137-1)</f>
        <v>0.3726666666666667</v>
      </c>
      <c r="AK139" s="317">
        <f t="shared" si="291"/>
        <v>0</v>
      </c>
      <c r="AL139" s="317">
        <f t="shared" si="291"/>
        <v>0</v>
      </c>
      <c r="AM139" s="317">
        <f t="shared" si="291"/>
        <v>1.8779342723004744E-2</v>
      </c>
      <c r="AN139" s="652">
        <f t="shared" si="292"/>
        <v>1.8779342723004744E-2</v>
      </c>
      <c r="AO139" s="317">
        <f t="shared" si="291"/>
        <v>0</v>
      </c>
      <c r="AP139" s="317">
        <f t="shared" si="291"/>
        <v>0</v>
      </c>
      <c r="AQ139" s="317">
        <f t="shared" si="291"/>
        <v>0</v>
      </c>
      <c r="AR139" s="652">
        <f t="shared" ref="AR139" si="293">IF(ISERROR(AR137/AN137-1),"",AR137/AN137-1)</f>
        <v>1.1494252873563315E-2</v>
      </c>
      <c r="AS139" s="317">
        <f t="shared" ref="AS139" si="294">IF(ISERROR(AS137/AO137-1),"",AS137/AO137-1)</f>
        <v>0.32502857142857144</v>
      </c>
      <c r="AT139" s="317">
        <f t="shared" ref="AT139" si="295">IF(ISERROR(AT137/AP137-1),"",AT137/AP137-1)</f>
        <v>-1.2639999999999985E-2</v>
      </c>
      <c r="AU139" s="339">
        <f t="shared" ref="AU139" si="296">IF(ISERROR(AU137/AQ137-1),"",AU137/AQ137-1)</f>
        <v>3.6728000000000094E-2</v>
      </c>
      <c r="AV139" s="652">
        <f t="shared" ref="AV139" si="297">IF(ISERROR(AV137/AR137-1),"",AV137/AR137-1)</f>
        <v>3.6728000000000094E-2</v>
      </c>
      <c r="AW139" s="317">
        <f t="shared" ref="AW139" si="298">IF(ISERROR(AW137/AS137-1),"",AW137/AS137-1)</f>
        <v>3.6728000000000094E-2</v>
      </c>
      <c r="AX139" s="317">
        <f t="shared" ref="AX139" si="299">IF(ISERROR(AX137/AT137-1),"",AX137/AT137-1)</f>
        <v>3.6728000000000094E-2</v>
      </c>
      <c r="AY139" s="339">
        <f t="shared" ref="AY139" si="300">IF(ISERROR(AY137/AU137-1),"",AY137/AU137-1)</f>
        <v>3.6728000000000094E-2</v>
      </c>
      <c r="AZ139" s="20"/>
      <c r="BA139" s="652"/>
      <c r="BB139" s="317"/>
      <c r="BC139" s="256"/>
      <c r="BD139" s="256"/>
      <c r="BE139" s="256">
        <f t="shared" ref="BE139:BL139" si="301">BE137/BD137-1</f>
        <v>-5.6122448979591844E-2</v>
      </c>
      <c r="BF139" s="255">
        <f t="shared" si="301"/>
        <v>0.12702702702702706</v>
      </c>
      <c r="BG139" s="1615">
        <f t="shared" si="301"/>
        <v>0.17026378896882499</v>
      </c>
      <c r="BH139" s="1337">
        <f t="shared" si="301"/>
        <v>0.45901639344262302</v>
      </c>
      <c r="BI139" s="1562">
        <f t="shared" si="301"/>
        <v>7.6278089887640288E-2</v>
      </c>
      <c r="BJ139" s="1337">
        <f t="shared" si="301"/>
        <v>4.5412431000508846E-3</v>
      </c>
      <c r="BK139" s="1337">
        <f t="shared" si="301"/>
        <v>2.818950622897276E-3</v>
      </c>
      <c r="BL139" s="1337">
        <f t="shared" si="301"/>
        <v>0.88732560609358013</v>
      </c>
      <c r="BM139" s="1337">
        <f t="shared" ref="BM139:BN139" si="302">IF(ISERROR(BM137/BI137-1),"",BM137/BI137-1)</f>
        <v>0.99630289128942628</v>
      </c>
      <c r="BN139" s="1337">
        <f t="shared" si="302"/>
        <v>1.0866420868746025</v>
      </c>
      <c r="BO139" s="299"/>
    </row>
    <row r="140" spans="1:67" ht="14.25" hidden="1" customHeight="1" outlineLevel="1">
      <c r="A140" s="1347"/>
      <c r="B140" s="431" t="s">
        <v>342</v>
      </c>
      <c r="C140" s="254"/>
      <c r="D140" s="320"/>
      <c r="E140" s="320"/>
      <c r="F140" s="320"/>
      <c r="G140" s="93"/>
      <c r="H140" s="269"/>
      <c r="I140" s="269"/>
      <c r="J140" s="300"/>
      <c r="K140" s="301"/>
      <c r="L140" s="318" t="str">
        <f t="shared" ref="L140:U140" si="303">IF(ISERROR(L135/L$15),"",L135/L$15)</f>
        <v/>
      </c>
      <c r="M140" s="318" t="str">
        <f t="shared" si="303"/>
        <v/>
      </c>
      <c r="N140" s="318" t="str">
        <f t="shared" si="303"/>
        <v/>
      </c>
      <c r="O140" s="339" t="str">
        <f t="shared" si="303"/>
        <v/>
      </c>
      <c r="P140" s="318" t="str">
        <f t="shared" si="303"/>
        <v/>
      </c>
      <c r="Q140" s="318" t="str">
        <f t="shared" si="303"/>
        <v/>
      </c>
      <c r="R140" s="318" t="str">
        <f t="shared" si="303"/>
        <v/>
      </c>
      <c r="S140" s="339" t="str">
        <f t="shared" si="303"/>
        <v/>
      </c>
      <c r="T140" s="318" t="str">
        <f t="shared" si="303"/>
        <v/>
      </c>
      <c r="U140" s="318" t="str">
        <f t="shared" si="303"/>
        <v/>
      </c>
      <c r="V140" s="404" t="str">
        <f t="shared" ref="V140:AG140" si="304">IF(ISERROR(V135/V$15),"",V135/V$15)</f>
        <v/>
      </c>
      <c r="W140" s="339" t="str">
        <f t="shared" si="304"/>
        <v/>
      </c>
      <c r="X140" s="318" t="str">
        <f t="shared" si="304"/>
        <v/>
      </c>
      <c r="Y140" s="318" t="str">
        <f t="shared" si="304"/>
        <v/>
      </c>
      <c r="Z140" s="318" t="str">
        <f t="shared" si="304"/>
        <v/>
      </c>
      <c r="AA140" s="90" t="str">
        <f t="shared" si="304"/>
        <v/>
      </c>
      <c r="AB140" s="958" t="str">
        <f t="shared" si="304"/>
        <v/>
      </c>
      <c r="AC140" s="420" t="str">
        <f t="shared" si="304"/>
        <v/>
      </c>
      <c r="AD140" s="420" t="str">
        <f t="shared" si="304"/>
        <v/>
      </c>
      <c r="AE140" s="420" t="str">
        <f t="shared" si="304"/>
        <v/>
      </c>
      <c r="AF140" s="958" t="str">
        <f t="shared" si="304"/>
        <v/>
      </c>
      <c r="AG140" s="420" t="str">
        <f t="shared" si="304"/>
        <v/>
      </c>
      <c r="AH140" s="420" t="str">
        <f>IF(ISERROR(AH135/AH$15),"",AH135/AH$15)</f>
        <v/>
      </c>
      <c r="AI140" s="424" t="str">
        <f>IF(ISERROR(AI135/AI$15),"",AI135/AI$15)</f>
        <v/>
      </c>
      <c r="AJ140" s="159" t="str">
        <f t="shared" ref="AJ140:AK140" si="305">IF(ISERROR(AJ135/AJ$15),"",AJ135/AJ$15)</f>
        <v/>
      </c>
      <c r="AK140" s="420" t="str">
        <f t="shared" si="305"/>
        <v/>
      </c>
      <c r="AL140" s="420" t="str">
        <f>IF(ISERROR(AL135/AL$15),"",AL135/AL$15)</f>
        <v/>
      </c>
      <c r="AM140" s="1573" t="str">
        <f>IF(ISERROR(AM135/AM$15),"",AM135/AM$15)</f>
        <v/>
      </c>
      <c r="AN140" s="1607" t="str">
        <f t="shared" ref="AN140:AO140" si="306">IF(ISERROR(AN135/AN$15),"",AN135/AN$15)</f>
        <v/>
      </c>
      <c r="AO140" s="420" t="str">
        <f t="shared" si="306"/>
        <v/>
      </c>
      <c r="AP140" s="420" t="str">
        <f>IF(ISERROR(AP135/AP$15),"",AP135/AP$15)</f>
        <v/>
      </c>
      <c r="AQ140" s="1806" t="str">
        <f>IF(ISERROR(AQ135/AQ$15),"",AQ135/AQ$15)</f>
        <v/>
      </c>
      <c r="AR140" s="159" t="str">
        <f t="shared" ref="AR140:AU140" si="307">IF(ISERROR(AR135/AR$15),"",AR135/AR$15)</f>
        <v/>
      </c>
      <c r="AS140" s="1506" t="str">
        <f t="shared" si="307"/>
        <v/>
      </c>
      <c r="AT140" s="1506" t="str">
        <f t="shared" si="307"/>
        <v/>
      </c>
      <c r="AU140" s="91" t="str">
        <f t="shared" si="307"/>
        <v/>
      </c>
      <c r="AV140" s="159" t="str">
        <f t="shared" ref="AV140:AY140" si="308">IF(ISERROR(AV135/AV$15),"",AV135/AV$15)</f>
        <v/>
      </c>
      <c r="AW140" s="1506" t="str">
        <f t="shared" si="308"/>
        <v/>
      </c>
      <c r="AX140" s="1506" t="str">
        <f t="shared" si="308"/>
        <v/>
      </c>
      <c r="AY140" s="91" t="str">
        <f t="shared" si="308"/>
        <v/>
      </c>
      <c r="AZ140" s="20"/>
      <c r="BA140" s="652"/>
      <c r="BB140" s="317"/>
      <c r="BC140" s="256"/>
      <c r="BD140" s="256">
        <f t="shared" ref="BD140:BI140" si="309">IF(ISERROR(BD137/BD$454),"",BD137/BD$454)</f>
        <v>0.15170278637770898</v>
      </c>
      <c r="BE140" s="256">
        <f t="shared" si="309"/>
        <v>0.13946475687900489</v>
      </c>
      <c r="BF140" s="255">
        <f t="shared" si="309"/>
        <v>0.14012096774193547</v>
      </c>
      <c r="BG140" s="1615">
        <f t="shared" si="309"/>
        <v>0.13812623832437024</v>
      </c>
      <c r="BH140" s="1615">
        <f t="shared" si="309"/>
        <v>0.16920152091254753</v>
      </c>
      <c r="BI140" s="1614">
        <f t="shared" si="309"/>
        <v>0.16235381355932202</v>
      </c>
      <c r="BJ140" s="1715">
        <f>IF(ISERROR(BJ137/BJ$454),"",BJ137/BJ$454)</f>
        <v>9.5200346277516695E-2</v>
      </c>
      <c r="BK140" s="1715">
        <f>IF(ISERROR(BK137/BK$454),"",BK137/BK$454)</f>
        <v>8.8274442538593484E-2</v>
      </c>
      <c r="BL140" s="1715">
        <f>IF(ISERROR(BL137/BL$454),"",BL137/BL$454)</f>
        <v>0.15664907217863491</v>
      </c>
      <c r="BM140" s="1715" t="str">
        <f t="shared" ref="BM140:BN140" si="310">IF(ISERROR(BM135/BM$15),"",BM135/BM$15)</f>
        <v/>
      </c>
      <c r="BN140" s="1715" t="str">
        <f t="shared" si="310"/>
        <v/>
      </c>
      <c r="BO140" s="299"/>
    </row>
    <row r="141" spans="1:67" ht="14.25" hidden="1" customHeight="1" outlineLevel="1">
      <c r="A141" s="1347"/>
      <c r="B141" s="431" t="s">
        <v>343</v>
      </c>
      <c r="C141" s="254"/>
      <c r="D141" s="320"/>
      <c r="E141" s="320"/>
      <c r="F141" s="320"/>
      <c r="G141" s="93"/>
      <c r="H141" s="269"/>
      <c r="I141" s="269"/>
      <c r="J141" s="300"/>
      <c r="K141" s="301"/>
      <c r="L141" s="318">
        <f t="shared" ref="L141:AJ141" si="311">IF(ISERROR(L135/L$526),"",L135/L$526)</f>
        <v>0.15348837209302327</v>
      </c>
      <c r="M141" s="318">
        <f t="shared" si="311"/>
        <v>0.15066828675577157</v>
      </c>
      <c r="N141" s="318">
        <f t="shared" si="311"/>
        <v>0.13109756097560976</v>
      </c>
      <c r="O141" s="339">
        <f t="shared" si="311"/>
        <v>0.13776944704779756</v>
      </c>
      <c r="P141" s="318">
        <f t="shared" si="311"/>
        <v>0.15299539170506912</v>
      </c>
      <c r="Q141" s="318">
        <f t="shared" si="311"/>
        <v>0.16175156389633602</v>
      </c>
      <c r="R141" s="318">
        <f t="shared" si="311"/>
        <v>0.15892857142857142</v>
      </c>
      <c r="S141" s="339">
        <f t="shared" si="311"/>
        <v>0.15213358070500926</v>
      </c>
      <c r="T141" s="318">
        <f t="shared" si="311"/>
        <v>0.16358595194085027</v>
      </c>
      <c r="U141" s="318">
        <f t="shared" si="311"/>
        <v>0.15789473684210525</v>
      </c>
      <c r="V141" s="404">
        <f t="shared" si="311"/>
        <v>0.16037735849056603</v>
      </c>
      <c r="W141" s="339">
        <f t="shared" si="311"/>
        <v>0.14715359828141783</v>
      </c>
      <c r="X141" s="318">
        <f t="shared" si="311"/>
        <v>0.16053169734151329</v>
      </c>
      <c r="Y141" s="318">
        <f t="shared" si="311"/>
        <v>0.16361974405850091</v>
      </c>
      <c r="Z141" s="318">
        <f t="shared" si="311"/>
        <v>0.18974358974358974</v>
      </c>
      <c r="AA141" s="317">
        <f t="shared" si="311"/>
        <v>0.17473118279569894</v>
      </c>
      <c r="AB141" s="652">
        <f t="shared" si="311"/>
        <v>0</v>
      </c>
      <c r="AC141" s="317">
        <f t="shared" si="311"/>
        <v>0</v>
      </c>
      <c r="AD141" s="317">
        <f t="shared" si="311"/>
        <v>0</v>
      </c>
      <c r="AE141" s="317">
        <f t="shared" si="311"/>
        <v>0</v>
      </c>
      <c r="AF141" s="652">
        <f t="shared" si="311"/>
        <v>0</v>
      </c>
      <c r="AG141" s="317">
        <f t="shared" si="311"/>
        <v>0</v>
      </c>
      <c r="AH141" s="317">
        <f t="shared" si="311"/>
        <v>0</v>
      </c>
      <c r="AI141" s="339">
        <f>IF(ISERROR(AI135/AI$526),"",AI135/AI$526)</f>
        <v>0</v>
      </c>
      <c r="AJ141" s="652">
        <f t="shared" si="311"/>
        <v>0</v>
      </c>
      <c r="AK141" s="317">
        <f>IF(ISERROR(AK135/AK$526),"",AK135/AK$526)</f>
        <v>0</v>
      </c>
      <c r="AL141" s="317">
        <f t="shared" ref="AL141:AN141" si="312">IF(ISERROR(AL135/AL$526),"",AL135/AL$526)</f>
        <v>0</v>
      </c>
      <c r="AM141" s="317">
        <f t="shared" si="312"/>
        <v>0</v>
      </c>
      <c r="AN141" s="652">
        <f t="shared" si="312"/>
        <v>0</v>
      </c>
      <c r="AO141" s="317">
        <f>IF(ISERROR(AO135/AO$526),"",AO135/AO$526)</f>
        <v>0</v>
      </c>
      <c r="AP141" s="317">
        <f t="shared" ref="AP141:AQ141" si="313">IF(ISERROR(AP135/AP$526),"",AP135/AP$526)</f>
        <v>0</v>
      </c>
      <c r="AQ141" s="317">
        <f t="shared" si="313"/>
        <v>0</v>
      </c>
      <c r="AR141" s="652">
        <f t="shared" ref="AR141:AU141" si="314">IF(ISERROR(AR135/AR$526),"",AR135/AR$526)</f>
        <v>0</v>
      </c>
      <c r="AS141" s="317">
        <f t="shared" si="314"/>
        <v>0</v>
      </c>
      <c r="AT141" s="317">
        <f t="shared" si="314"/>
        <v>0</v>
      </c>
      <c r="AU141" s="339">
        <f t="shared" si="314"/>
        <v>0</v>
      </c>
      <c r="AV141" s="652">
        <f t="shared" ref="AV141:AY141" si="315">IF(ISERROR(AV135/AV$526),"",AV135/AV$526)</f>
        <v>0</v>
      </c>
      <c r="AW141" s="317">
        <f t="shared" si="315"/>
        <v>0</v>
      </c>
      <c r="AX141" s="317">
        <f t="shared" si="315"/>
        <v>0</v>
      </c>
      <c r="AY141" s="339">
        <f t="shared" si="315"/>
        <v>0</v>
      </c>
      <c r="AZ141" s="20"/>
      <c r="BA141" s="652"/>
      <c r="BB141" s="317"/>
      <c r="BC141" s="256">
        <f>IF(ISERROR(BC135/BC$526),"",BC135/BC$526)</f>
        <v>0.14180164819551008</v>
      </c>
      <c r="BD141" s="256">
        <f>IF(ISERROR(BD135/BD$526),"",BD135/BD$526)</f>
        <v>0.15651976374375284</v>
      </c>
      <c r="BE141" s="256">
        <f>IF(ISERROR(BE135/BE$526),"",BE135/BE$526)</f>
        <v>0.15760610395803529</v>
      </c>
      <c r="BF141" s="255">
        <f>IF(ISERROR(BF135/BF$526),"",BF135/BF$526)</f>
        <v>0.17278568150527765</v>
      </c>
      <c r="BG141" s="1615">
        <f>BG137/BG459</f>
        <v>0.10134994807892005</v>
      </c>
      <c r="BH141" s="1615">
        <f>IF(ISERROR(BH135/BH$526),"",BH135/BH$526)</f>
        <v>0</v>
      </c>
      <c r="BI141" s="1614">
        <f>IF(ISERROR(BI135/BI$526),"",BI135/BI$526)</f>
        <v>0</v>
      </c>
      <c r="BJ141" s="1715">
        <f>IF(ISERROR(BJ135/BJ$526),"",BJ135/BJ$526)</f>
        <v>0</v>
      </c>
      <c r="BK141" s="1715">
        <f>IF(ISERROR(BK135/BK$526),"",BK135/BK$526)</f>
        <v>0</v>
      </c>
      <c r="BL141" s="1715">
        <f>IF(ISERROR(BL135/BL$526),"",BL135/BL$526)</f>
        <v>0</v>
      </c>
      <c r="BM141" s="1715">
        <f t="shared" ref="BM141:BN141" si="316">IF(ISERROR(BM135/BM$526),"",BM135/BM$526)</f>
        <v>0</v>
      </c>
      <c r="BN141" s="1715">
        <f t="shared" si="316"/>
        <v>0</v>
      </c>
      <c r="BO141" s="299"/>
    </row>
    <row r="142" spans="1:67" ht="14.25" hidden="1" customHeight="1" outlineLevel="1">
      <c r="A142" s="1347"/>
      <c r="B142" s="431"/>
      <c r="C142" s="254"/>
      <c r="D142" s="320"/>
      <c r="E142" s="320"/>
      <c r="F142" s="320"/>
      <c r="G142" s="93"/>
      <c r="H142" s="269"/>
      <c r="I142" s="269"/>
      <c r="J142" s="300"/>
      <c r="K142" s="301"/>
      <c r="L142" s="255"/>
      <c r="M142" s="300"/>
      <c r="N142" s="300"/>
      <c r="O142" s="301"/>
      <c r="P142" s="300"/>
      <c r="Q142" s="300"/>
      <c r="R142" s="300"/>
      <c r="S142" s="301"/>
      <c r="T142" s="300"/>
      <c r="U142" s="300"/>
      <c r="V142" s="269"/>
      <c r="W142" s="301"/>
      <c r="X142" s="300"/>
      <c r="Y142" s="300"/>
      <c r="Z142" s="300"/>
      <c r="AA142" s="256"/>
      <c r="AB142" s="255"/>
      <c r="AC142" s="256"/>
      <c r="AD142" s="256"/>
      <c r="AE142" s="256"/>
      <c r="AF142" s="255"/>
      <c r="AG142" s="256"/>
      <c r="AH142" s="256"/>
      <c r="AI142" s="301"/>
      <c r="AJ142" s="255"/>
      <c r="AK142" s="256"/>
      <c r="AL142" s="256"/>
      <c r="AM142" s="1575"/>
      <c r="AN142" s="1614"/>
      <c r="AO142" s="1715"/>
      <c r="AP142" s="1715"/>
      <c r="AQ142" s="1715"/>
      <c r="AR142" s="1515"/>
      <c r="AS142" s="1516"/>
      <c r="AT142" s="1516"/>
      <c r="AU142" s="1517"/>
      <c r="AV142" s="1515"/>
      <c r="AW142" s="1516"/>
      <c r="AX142" s="1516"/>
      <c r="AY142" s="1517"/>
      <c r="AZ142" s="20"/>
      <c r="BA142" s="652"/>
      <c r="BB142" s="317"/>
      <c r="BC142" s="256"/>
      <c r="BD142" s="256"/>
      <c r="BE142" s="256"/>
      <c r="BF142" s="255"/>
      <c r="BG142" s="1615"/>
      <c r="BH142" s="1615"/>
      <c r="BI142" s="1614"/>
      <c r="BJ142" s="1715"/>
      <c r="BK142" s="1715"/>
      <c r="BL142" s="1715"/>
      <c r="BM142" s="1715"/>
      <c r="BN142" s="1715"/>
      <c r="BO142" s="299"/>
    </row>
    <row r="143" spans="1:67" s="1327" customFormat="1" ht="14.25" customHeight="1" collapsed="1">
      <c r="A143" s="1347"/>
      <c r="B143" s="435"/>
      <c r="C143" s="34"/>
      <c r="D143" s="320"/>
      <c r="E143" s="320"/>
      <c r="F143" s="320"/>
      <c r="G143" s="93"/>
      <c r="H143" s="269"/>
      <c r="I143" s="269"/>
      <c r="J143" s="269"/>
      <c r="K143" s="91"/>
      <c r="L143" s="159"/>
      <c r="M143" s="269"/>
      <c r="N143" s="269"/>
      <c r="O143" s="91"/>
      <c r="P143" s="269"/>
      <c r="Q143" s="269"/>
      <c r="R143" s="269"/>
      <c r="S143" s="91"/>
      <c r="T143" s="269"/>
      <c r="U143" s="269"/>
      <c r="V143" s="269"/>
      <c r="W143" s="91"/>
      <c r="X143" s="269"/>
      <c r="Y143" s="269"/>
      <c r="Z143" s="269"/>
      <c r="AA143" s="90"/>
      <c r="AB143" s="159"/>
      <c r="AC143" s="90"/>
      <c r="AD143" s="90"/>
      <c r="AE143" s="90"/>
      <c r="AF143" s="1045"/>
      <c r="AG143" s="257"/>
      <c r="AH143" s="257"/>
      <c r="AI143" s="258"/>
      <c r="AJ143" s="159"/>
      <c r="AK143" s="90"/>
      <c r="AL143" s="257"/>
      <c r="AM143" s="1573"/>
      <c r="AN143" s="1607"/>
      <c r="AO143" s="1603"/>
      <c r="AP143" s="1616"/>
      <c r="AQ143" s="1806"/>
      <c r="AR143" s="159"/>
      <c r="AS143" s="1506"/>
      <c r="AT143" s="1506"/>
      <c r="AU143" s="91"/>
      <c r="AV143" s="159"/>
      <c r="AW143" s="1506"/>
      <c r="AX143" s="1506"/>
      <c r="AY143" s="91"/>
      <c r="AZ143" s="177"/>
      <c r="BA143" s="958"/>
      <c r="BB143" s="420"/>
      <c r="BC143" s="1603"/>
      <c r="BD143" s="1603"/>
      <c r="BE143" s="1603"/>
      <c r="BF143" s="1607"/>
      <c r="BG143" s="1603"/>
      <c r="BH143" s="1603"/>
      <c r="BI143" s="1607"/>
      <c r="BJ143" s="1603"/>
      <c r="BK143" s="1603"/>
      <c r="BL143" s="1806"/>
      <c r="BM143" s="1806"/>
      <c r="BN143" s="1806"/>
      <c r="BO143" s="419"/>
    </row>
    <row r="144" spans="1:67" s="592" customFormat="1" ht="14.25" customHeight="1">
      <c r="B144" s="1032" t="s">
        <v>206</v>
      </c>
      <c r="C144" s="1033"/>
      <c r="D144" s="1034"/>
      <c r="E144" s="1034"/>
      <c r="F144" s="1034"/>
      <c r="G144" s="1035"/>
      <c r="H144" s="1034"/>
      <c r="I144" s="1034"/>
      <c r="J144" s="1034"/>
      <c r="K144" s="1035"/>
      <c r="L144" s="1036"/>
      <c r="M144" s="1034"/>
      <c r="N144" s="1034"/>
      <c r="O144" s="1035"/>
      <c r="P144" s="1034"/>
      <c r="Q144" s="1034"/>
      <c r="R144" s="1034"/>
      <c r="S144" s="1035"/>
      <c r="T144" s="1034"/>
      <c r="U144" s="1034"/>
      <c r="V144" s="1034"/>
      <c r="W144" s="1035"/>
      <c r="X144" s="1034"/>
      <c r="Y144" s="1034"/>
      <c r="Z144" s="1034"/>
      <c r="AA144" s="1034"/>
      <c r="AB144" s="1036"/>
      <c r="AC144" s="1034"/>
      <c r="AD144" s="1034"/>
      <c r="AE144" s="1035"/>
      <c r="AF144" s="1036"/>
      <c r="AG144" s="1034"/>
      <c r="AH144" s="1034"/>
      <c r="AI144" s="1034"/>
      <c r="AJ144" s="1036"/>
      <c r="AK144" s="1034"/>
      <c r="AL144" s="1034"/>
      <c r="AM144" s="1034"/>
      <c r="AN144" s="1036"/>
      <c r="AO144" s="1034"/>
      <c r="AP144" s="1034"/>
      <c r="AQ144" s="1034"/>
      <c r="AR144" s="1036"/>
      <c r="AS144" s="1034"/>
      <c r="AT144" s="1034"/>
      <c r="AU144" s="1035"/>
      <c r="AV144" s="1036"/>
      <c r="AW144" s="1034"/>
      <c r="AX144" s="1034"/>
      <c r="AY144" s="1035"/>
      <c r="AZ144" s="1913"/>
      <c r="BA144" s="1036"/>
      <c r="BB144" s="1034"/>
      <c r="BC144" s="1034"/>
      <c r="BD144" s="1034"/>
      <c r="BE144" s="1034"/>
      <c r="BF144" s="1036"/>
      <c r="BG144" s="1034"/>
      <c r="BH144" s="1034"/>
      <c r="BI144" s="1036"/>
      <c r="BJ144" s="1034"/>
      <c r="BK144" s="1034"/>
      <c r="BL144" s="1034"/>
      <c r="BM144" s="1034"/>
      <c r="BN144" s="1034"/>
      <c r="BO144" s="613"/>
    </row>
    <row r="145" spans="2:67" s="994" customFormat="1" ht="14.25" customHeight="1">
      <c r="B145" s="1285"/>
      <c r="C145" s="1286"/>
      <c r="D145" s="1231"/>
      <c r="E145" s="1231"/>
      <c r="F145" s="1231"/>
      <c r="G145" s="1232"/>
      <c r="H145" s="1231"/>
      <c r="I145" s="1231"/>
      <c r="J145" s="1231"/>
      <c r="K145" s="1232"/>
      <c r="L145" s="1230"/>
      <c r="M145" s="1231"/>
      <c r="N145" s="1231"/>
      <c r="O145" s="1232"/>
      <c r="P145" s="1231"/>
      <c r="Q145" s="1231"/>
      <c r="R145" s="1231"/>
      <c r="S145" s="1232"/>
      <c r="T145" s="1231"/>
      <c r="U145" s="1231"/>
      <c r="V145" s="1231"/>
      <c r="W145" s="1232"/>
      <c r="X145" s="1231"/>
      <c r="Y145" s="1231"/>
      <c r="Z145" s="1231"/>
      <c r="AA145" s="1231"/>
      <c r="AB145" s="1230"/>
      <c r="AC145" s="1231"/>
      <c r="AD145" s="1231"/>
      <c r="AE145" s="1232"/>
      <c r="AF145" s="1230"/>
      <c r="AG145" s="1231"/>
      <c r="AH145" s="1231"/>
      <c r="AI145" s="1231"/>
      <c r="AJ145" s="1230"/>
      <c r="AK145" s="1231"/>
      <c r="AL145" s="1231"/>
      <c r="AM145" s="1231"/>
      <c r="AN145" s="1230"/>
      <c r="AO145" s="1231"/>
      <c r="AP145" s="1231"/>
      <c r="AQ145" s="1231"/>
      <c r="AR145" s="1230"/>
      <c r="AS145" s="1231"/>
      <c r="AT145" s="1231"/>
      <c r="AU145" s="1232"/>
      <c r="AV145" s="1230"/>
      <c r="AW145" s="1231"/>
      <c r="AX145" s="1231"/>
      <c r="AY145" s="1232"/>
      <c r="AZ145" s="980"/>
      <c r="BA145" s="1230"/>
      <c r="BB145" s="1231"/>
      <c r="BC145" s="1231"/>
      <c r="BD145" s="1231"/>
      <c r="BE145" s="1231"/>
      <c r="BF145" s="1230"/>
      <c r="BG145" s="1231"/>
      <c r="BH145" s="1231"/>
      <c r="BI145" s="1230"/>
      <c r="BJ145" s="1231"/>
      <c r="BK145" s="1231"/>
      <c r="BL145" s="1231"/>
      <c r="BM145" s="1231"/>
      <c r="BN145" s="1231"/>
      <c r="BO145" s="995"/>
    </row>
    <row r="146" spans="2:67" s="592" customFormat="1" ht="14.25" customHeight="1">
      <c r="B146" s="572" t="s">
        <v>6</v>
      </c>
      <c r="C146" s="609"/>
      <c r="D146" s="614"/>
      <c r="E146" s="614"/>
      <c r="F146" s="614"/>
      <c r="G146" s="980"/>
      <c r="H146" s="614"/>
      <c r="I146" s="614"/>
      <c r="J146" s="612"/>
      <c r="K146" s="611"/>
      <c r="L146" s="612"/>
      <c r="M146" s="612"/>
      <c r="N146" s="612"/>
      <c r="O146" s="611"/>
      <c r="P146" s="612">
        <v>631</v>
      </c>
      <c r="Q146" s="612">
        <v>652</v>
      </c>
      <c r="R146" s="612">
        <v>649</v>
      </c>
      <c r="S146" s="611">
        <v>652</v>
      </c>
      <c r="T146" s="612">
        <v>669</v>
      </c>
      <c r="U146" s="612">
        <v>711</v>
      </c>
      <c r="V146" s="614">
        <v>665</v>
      </c>
      <c r="W146" s="611">
        <v>608</v>
      </c>
      <c r="X146" s="612">
        <v>646</v>
      </c>
      <c r="Y146" s="612">
        <v>741</v>
      </c>
      <c r="Z146" s="612">
        <v>804</v>
      </c>
      <c r="AA146" s="612">
        <v>785</v>
      </c>
      <c r="AB146" s="616">
        <v>776</v>
      </c>
      <c r="AC146" s="612">
        <v>878</v>
      </c>
      <c r="AD146" s="612">
        <v>922</v>
      </c>
      <c r="AE146" s="611">
        <v>957</v>
      </c>
      <c r="AF146" s="616">
        <v>912</v>
      </c>
      <c r="AG146" s="612">
        <v>988</v>
      </c>
      <c r="AH146" s="612">
        <v>1139</v>
      </c>
      <c r="AI146" s="612">
        <v>1169</v>
      </c>
      <c r="AJ146" s="616">
        <v>1104</v>
      </c>
      <c r="AK146" s="612">
        <v>1146</v>
      </c>
      <c r="AL146" s="612">
        <v>1164</v>
      </c>
      <c r="AM146" s="612">
        <v>1306</v>
      </c>
      <c r="AN146" s="616">
        <v>1104</v>
      </c>
      <c r="AO146" s="612">
        <v>1146</v>
      </c>
      <c r="AP146" s="612">
        <v>2099</v>
      </c>
      <c r="AQ146" s="614">
        <v>2062</v>
      </c>
      <c r="AR146" s="616">
        <v>2011</v>
      </c>
      <c r="AS146" s="612">
        <f t="shared" ref="AS146:AU146" si="317">AS24+AS32+AS40+AS48</f>
        <v>2098</v>
      </c>
      <c r="AT146" s="612">
        <f t="shared" si="317"/>
        <v>2288</v>
      </c>
      <c r="AU146" s="611">
        <f t="shared" si="317"/>
        <v>2348</v>
      </c>
      <c r="AV146" s="616">
        <f t="shared" ref="AV146:AY146" si="318">AV24+AV32+AV40+AV48</f>
        <v>2225.7800000000002</v>
      </c>
      <c r="AW146" s="612">
        <f t="shared" si="318"/>
        <v>2305.5272</v>
      </c>
      <c r="AX146" s="612">
        <f t="shared" si="318"/>
        <v>2403.7714639999999</v>
      </c>
      <c r="AY146" s="611">
        <f t="shared" si="318"/>
        <v>2365.5820715999998</v>
      </c>
      <c r="AZ146" s="611"/>
      <c r="BA146" s="616"/>
      <c r="BB146" s="612"/>
      <c r="BC146" s="612"/>
      <c r="BD146" s="705">
        <f>SUM(P146:S146)</f>
        <v>2584</v>
      </c>
      <c r="BE146" s="705">
        <f>SUM(T146:W146)</f>
        <v>2653</v>
      </c>
      <c r="BF146" s="736">
        <f>SUM(X146:AA146)</f>
        <v>2976</v>
      </c>
      <c r="BG146" s="939">
        <f>SUM(AB146:AE146)</f>
        <v>3533</v>
      </c>
      <c r="BH146" s="877">
        <f>SUM(AF146:AI146)</f>
        <v>4208</v>
      </c>
      <c r="BI146" s="1157">
        <f>SUM(AJ146:AM146)</f>
        <v>4720</v>
      </c>
      <c r="BJ146" s="877">
        <f>SUM(AN146:AQ146)</f>
        <v>6411</v>
      </c>
      <c r="BK146" s="877">
        <f>SUM(AR146:AU146)</f>
        <v>8745</v>
      </c>
      <c r="BL146" s="877">
        <f>SUM(AV146:AY146)</f>
        <v>9300.6607356000004</v>
      </c>
      <c r="BM146" s="877">
        <f t="shared" ref="BM146:BN146" si="319">BM24+BM32+BM40+BM48</f>
        <v>9816.353296964</v>
      </c>
      <c r="BN146" s="877">
        <f t="shared" si="319"/>
        <v>10295.946220764921</v>
      </c>
      <c r="BO146" s="613"/>
    </row>
    <row r="147" spans="2:67" s="913" customFormat="1" ht="14.25" customHeight="1">
      <c r="B147" s="575" t="s">
        <v>489</v>
      </c>
      <c r="C147" s="646"/>
      <c r="D147" s="647"/>
      <c r="E147" s="647"/>
      <c r="F147" s="647"/>
      <c r="G147" s="927"/>
      <c r="H147" s="647"/>
      <c r="I147" s="647"/>
      <c r="J147" s="738"/>
      <c r="K147" s="650"/>
      <c r="L147" s="651"/>
      <c r="M147" s="738"/>
      <c r="N147" s="738"/>
      <c r="O147" s="650"/>
      <c r="P147" s="738">
        <v>0.58199999999999996</v>
      </c>
      <c r="Q147" s="738">
        <v>0.58299999999999996</v>
      </c>
      <c r="R147" s="738">
        <v>0.57899999999999996</v>
      </c>
      <c r="S147" s="650">
        <v>0.60499999999999998</v>
      </c>
      <c r="T147" s="738">
        <v>0.61799999999999999</v>
      </c>
      <c r="U147" s="738">
        <v>0.63400000000000001</v>
      </c>
      <c r="V147" s="647">
        <v>0.627</v>
      </c>
      <c r="W147" s="650">
        <v>0.65300000000000002</v>
      </c>
      <c r="X147" s="738">
        <v>0.66100000000000003</v>
      </c>
      <c r="Y147" s="738">
        <v>0.67700000000000005</v>
      </c>
      <c r="Z147" s="738">
        <v>0.68700000000000006</v>
      </c>
      <c r="AA147" s="738">
        <v>0.70299999999999996</v>
      </c>
      <c r="AB147" s="651">
        <v>0.71499999999999997</v>
      </c>
      <c r="AC147" s="738">
        <v>0.73899999999999999</v>
      </c>
      <c r="AD147" s="738">
        <v>0.73799999999999999</v>
      </c>
      <c r="AE147" s="650">
        <v>0.74</v>
      </c>
      <c r="AF147" s="651">
        <v>0.73199999999999998</v>
      </c>
      <c r="AG147" s="738">
        <v>0.73199999999999998</v>
      </c>
      <c r="AH147" s="738">
        <v>0.73799999999999999</v>
      </c>
      <c r="AI147" s="738">
        <v>0.73799999999999999</v>
      </c>
      <c r="AJ147" s="651">
        <v>0.73199999999999998</v>
      </c>
      <c r="AK147" s="738">
        <v>0.73199999999999998</v>
      </c>
      <c r="AL147" s="738">
        <v>0.73799999999999999</v>
      </c>
      <c r="AM147" s="738">
        <v>0.73799999999999999</v>
      </c>
      <c r="AN147" s="651">
        <v>0.73199999999999998</v>
      </c>
      <c r="AO147" s="738">
        <v>0.73199999999999998</v>
      </c>
      <c r="AP147" s="738">
        <v>0.73799999999999999</v>
      </c>
      <c r="AQ147" s="647">
        <v>0.84499999999999997</v>
      </c>
      <c r="AR147" s="651">
        <v>0.91</v>
      </c>
      <c r="AS147" s="738">
        <v>0.73199999999999998</v>
      </c>
      <c r="AT147" s="738">
        <v>0.73799999999999999</v>
      </c>
      <c r="AU147" s="650">
        <v>0.73799999999999999</v>
      </c>
      <c r="AV147" s="651">
        <v>0.73199999999999998</v>
      </c>
      <c r="AW147" s="738">
        <v>0.73199999999999998</v>
      </c>
      <c r="AX147" s="738">
        <v>0.73799999999999999</v>
      </c>
      <c r="AY147" s="650">
        <v>0.73799999999999999</v>
      </c>
      <c r="AZ147" s="650"/>
      <c r="BA147" s="651"/>
      <c r="BB147" s="738"/>
      <c r="BC147" s="738"/>
      <c r="BD147" s="1112"/>
      <c r="BE147" s="1112"/>
      <c r="BF147" s="1213"/>
      <c r="BG147" s="1213"/>
      <c r="BH147" s="738"/>
      <c r="BI147" s="651"/>
      <c r="BJ147" s="738"/>
      <c r="BK147" s="738"/>
      <c r="BL147" s="738"/>
      <c r="BM147" s="738">
        <v>0.73799999999999999</v>
      </c>
      <c r="BN147" s="738">
        <v>0.73799999999999999</v>
      </c>
      <c r="BO147" s="986"/>
    </row>
    <row r="148" spans="2:67" s="913" customFormat="1" ht="14.25" hidden="1" customHeight="1" outlineLevel="1">
      <c r="B148" s="575"/>
      <c r="C148" s="646"/>
      <c r="D148" s="647"/>
      <c r="E148" s="647"/>
      <c r="F148" s="647"/>
      <c r="G148" s="927"/>
      <c r="H148" s="647"/>
      <c r="I148" s="647"/>
      <c r="J148" s="738"/>
      <c r="K148" s="650"/>
      <c r="L148" s="651"/>
      <c r="M148" s="738"/>
      <c r="N148" s="738"/>
      <c r="O148" s="650"/>
      <c r="P148" s="738"/>
      <c r="Q148" s="738"/>
      <c r="R148" s="738"/>
      <c r="S148" s="650"/>
      <c r="T148" s="738"/>
      <c r="U148" s="738"/>
      <c r="V148" s="647"/>
      <c r="W148" s="650"/>
      <c r="X148" s="738"/>
      <c r="Y148" s="738"/>
      <c r="Z148" s="738"/>
      <c r="AA148" s="738"/>
      <c r="AB148" s="651"/>
      <c r="AC148" s="738"/>
      <c r="AD148" s="738"/>
      <c r="AE148" s="650"/>
      <c r="AF148" s="651"/>
      <c r="AG148" s="738"/>
      <c r="AH148" s="738"/>
      <c r="AI148" s="738"/>
      <c r="AJ148" s="651"/>
      <c r="AK148" s="738"/>
      <c r="AL148" s="738"/>
      <c r="AM148" s="738"/>
      <c r="AN148" s="651"/>
      <c r="AO148" s="738"/>
      <c r="AP148" s="738"/>
      <c r="AQ148" s="647"/>
      <c r="AR148" s="651"/>
      <c r="AS148" s="738"/>
      <c r="AT148" s="738"/>
      <c r="AU148" s="650"/>
      <c r="AV148" s="651"/>
      <c r="AW148" s="738"/>
      <c r="AX148" s="738"/>
      <c r="AY148" s="650"/>
      <c r="AZ148" s="650"/>
      <c r="BA148" s="651"/>
      <c r="BB148" s="738"/>
      <c r="BC148" s="738"/>
      <c r="BD148" s="1112"/>
      <c r="BE148" s="1112"/>
      <c r="BF148" s="1213"/>
      <c r="BG148" s="1213"/>
      <c r="BH148" s="738"/>
      <c r="BI148" s="651"/>
      <c r="BJ148" s="738"/>
      <c r="BK148" s="738"/>
      <c r="BL148" s="738"/>
      <c r="BM148" s="738"/>
      <c r="BN148" s="738"/>
      <c r="BO148" s="986"/>
    </row>
    <row r="149" spans="2:67" s="592" customFormat="1" ht="14.25" hidden="1" customHeight="1" outlineLevel="1">
      <c r="B149" s="572" t="s">
        <v>7</v>
      </c>
      <c r="C149" s="609"/>
      <c r="D149" s="614"/>
      <c r="E149" s="614"/>
      <c r="F149" s="614"/>
      <c r="G149" s="980"/>
      <c r="H149" s="614"/>
      <c r="I149" s="614"/>
      <c r="J149" s="612"/>
      <c r="K149" s="611"/>
      <c r="L149" s="616"/>
      <c r="M149" s="612"/>
      <c r="N149" s="612"/>
      <c r="O149" s="611"/>
      <c r="P149" s="612">
        <v>308</v>
      </c>
      <c r="Q149" s="612">
        <v>351</v>
      </c>
      <c r="R149" s="612">
        <v>377</v>
      </c>
      <c r="S149" s="611">
        <v>385</v>
      </c>
      <c r="T149" s="612">
        <v>392</v>
      </c>
      <c r="U149" s="612">
        <v>407</v>
      </c>
      <c r="V149" s="614">
        <v>378</v>
      </c>
      <c r="W149" s="611">
        <v>309</v>
      </c>
      <c r="X149" s="612">
        <v>347</v>
      </c>
      <c r="Y149" s="612">
        <v>449</v>
      </c>
      <c r="Z149" s="612">
        <v>433</v>
      </c>
      <c r="AA149" s="612">
        <v>427</v>
      </c>
      <c r="AB149" s="616">
        <v>417</v>
      </c>
      <c r="AC149" s="612">
        <v>472</v>
      </c>
      <c r="AD149" s="612">
        <v>493</v>
      </c>
      <c r="AE149" s="611">
        <v>523</v>
      </c>
      <c r="AF149" s="616">
        <v>508</v>
      </c>
      <c r="AG149" s="612">
        <v>545</v>
      </c>
      <c r="AH149" s="612">
        <v>605</v>
      </c>
      <c r="AI149" s="612">
        <v>595</v>
      </c>
      <c r="AJ149" s="616">
        <v>597</v>
      </c>
      <c r="AK149" s="612">
        <v>545</v>
      </c>
      <c r="AL149" s="612">
        <v>605</v>
      </c>
      <c r="AM149" s="612">
        <v>605</v>
      </c>
      <c r="AN149" s="616">
        <v>597</v>
      </c>
      <c r="AO149" s="612">
        <v>545</v>
      </c>
      <c r="AP149" s="612">
        <v>605</v>
      </c>
      <c r="AQ149" s="614">
        <v>605</v>
      </c>
      <c r="AR149" s="616">
        <v>1030</v>
      </c>
      <c r="AS149" s="612"/>
      <c r="AT149" s="612"/>
      <c r="AU149" s="611"/>
      <c r="AV149" s="616"/>
      <c r="AW149" s="612"/>
      <c r="AX149" s="612"/>
      <c r="AY149" s="611"/>
      <c r="AZ149" s="611"/>
      <c r="BA149" s="616"/>
      <c r="BB149" s="612"/>
      <c r="BC149" s="612"/>
      <c r="BD149" s="705">
        <f t="shared" ref="BD149:BD155" si="320">SUM(P149:S149)</f>
        <v>1421</v>
      </c>
      <c r="BE149" s="705">
        <f t="shared" ref="BE149:BE155" si="321">SUM(T149:W149)</f>
        <v>1486</v>
      </c>
      <c r="BF149" s="736">
        <f t="shared" ref="BF149:BF155" si="322">SUM(X149:AA149)</f>
        <v>1656</v>
      </c>
      <c r="BG149" s="1214"/>
      <c r="BH149" s="612"/>
      <c r="BI149" s="616"/>
      <c r="BJ149" s="612"/>
      <c r="BK149" s="612"/>
      <c r="BL149" s="612"/>
      <c r="BM149" s="612"/>
      <c r="BN149" s="612"/>
      <c r="BO149" s="613"/>
    </row>
    <row r="150" spans="2:67" s="592" customFormat="1" ht="14.25" hidden="1" customHeight="1" outlineLevel="2">
      <c r="B150" s="572" t="s">
        <v>8</v>
      </c>
      <c r="C150" s="609"/>
      <c r="D150" s="614"/>
      <c r="E150" s="614"/>
      <c r="F150" s="614"/>
      <c r="G150" s="980"/>
      <c r="H150" s="614"/>
      <c r="I150" s="614"/>
      <c r="J150" s="612"/>
      <c r="K150" s="611"/>
      <c r="L150" s="616"/>
      <c r="M150" s="612"/>
      <c r="N150" s="612"/>
      <c r="O150" s="611"/>
      <c r="P150" s="612">
        <v>-8</v>
      </c>
      <c r="Q150" s="612">
        <v>-1</v>
      </c>
      <c r="R150" s="612">
        <v>0</v>
      </c>
      <c r="S150" s="611">
        <v>-1</v>
      </c>
      <c r="T150" s="612">
        <v>-1</v>
      </c>
      <c r="U150" s="612">
        <v>0</v>
      </c>
      <c r="V150" s="614">
        <v>-11</v>
      </c>
      <c r="W150" s="611">
        <v>-4</v>
      </c>
      <c r="X150" s="612">
        <v>-2</v>
      </c>
      <c r="Y150" s="612">
        <v>-6</v>
      </c>
      <c r="Z150" s="612">
        <v>-1</v>
      </c>
      <c r="AA150" s="612">
        <v>0</v>
      </c>
      <c r="AB150" s="616">
        <v>0</v>
      </c>
      <c r="AC150" s="612">
        <v>0</v>
      </c>
      <c r="AD150" s="612">
        <v>0</v>
      </c>
      <c r="AE150" s="611">
        <v>-3</v>
      </c>
      <c r="AF150" s="616">
        <v>-1</v>
      </c>
      <c r="AG150" s="612">
        <v>0</v>
      </c>
      <c r="AH150" s="612">
        <v>0</v>
      </c>
      <c r="AI150" s="612">
        <v>-1</v>
      </c>
      <c r="AJ150" s="616">
        <v>0</v>
      </c>
      <c r="AK150" s="612">
        <v>0</v>
      </c>
      <c r="AL150" s="612">
        <v>0</v>
      </c>
      <c r="AM150" s="612">
        <v>0</v>
      </c>
      <c r="AN150" s="616">
        <v>0</v>
      </c>
      <c r="AO150" s="612">
        <v>0</v>
      </c>
      <c r="AP150" s="612">
        <v>0</v>
      </c>
      <c r="AQ150" s="614">
        <v>0</v>
      </c>
      <c r="AR150" s="616">
        <v>-58</v>
      </c>
      <c r="AS150" s="612"/>
      <c r="AT150" s="612"/>
      <c r="AU150" s="611"/>
      <c r="AV150" s="616"/>
      <c r="AW150" s="612"/>
      <c r="AX150" s="612"/>
      <c r="AY150" s="611"/>
      <c r="AZ150" s="611"/>
      <c r="BA150" s="616"/>
      <c r="BB150" s="612"/>
      <c r="BC150" s="612"/>
      <c r="BD150" s="705">
        <f t="shared" si="320"/>
        <v>-10</v>
      </c>
      <c r="BE150" s="705">
        <f t="shared" si="321"/>
        <v>-16</v>
      </c>
      <c r="BF150" s="736">
        <f t="shared" si="322"/>
        <v>-9</v>
      </c>
      <c r="BG150" s="1214"/>
      <c r="BH150" s="612"/>
      <c r="BI150" s="616"/>
      <c r="BJ150" s="612"/>
      <c r="BK150" s="612"/>
      <c r="BL150" s="612"/>
      <c r="BM150" s="612"/>
      <c r="BN150" s="612"/>
      <c r="BO150" s="613"/>
    </row>
    <row r="151" spans="2:67" s="592" customFormat="1" ht="14.25" hidden="1" customHeight="1" outlineLevel="2">
      <c r="B151" s="572" t="s">
        <v>349</v>
      </c>
      <c r="C151" s="609"/>
      <c r="D151" s="614"/>
      <c r="E151" s="614"/>
      <c r="F151" s="614"/>
      <c r="G151" s="980"/>
      <c r="H151" s="614"/>
      <c r="I151" s="614"/>
      <c r="J151" s="612"/>
      <c r="K151" s="611"/>
      <c r="L151" s="616"/>
      <c r="M151" s="612"/>
      <c r="N151" s="612"/>
      <c r="O151" s="611"/>
      <c r="P151" s="612">
        <v>0</v>
      </c>
      <c r="Q151" s="612">
        <v>0</v>
      </c>
      <c r="R151" s="612">
        <v>-2</v>
      </c>
      <c r="S151" s="611">
        <v>2</v>
      </c>
      <c r="T151" s="612">
        <v>0</v>
      </c>
      <c r="U151" s="612">
        <v>0</v>
      </c>
      <c r="V151" s="614">
        <v>0</v>
      </c>
      <c r="W151" s="611">
        <v>-17</v>
      </c>
      <c r="X151" s="612">
        <v>0</v>
      </c>
      <c r="Y151" s="612">
        <v>0</v>
      </c>
      <c r="Z151" s="612">
        <v>0</v>
      </c>
      <c r="AA151" s="612">
        <v>-1</v>
      </c>
      <c r="AB151" s="616">
        <v>-1</v>
      </c>
      <c r="AC151" s="612">
        <v>3</v>
      </c>
      <c r="AD151" s="612">
        <v>-4</v>
      </c>
      <c r="AE151" s="611">
        <v>-3</v>
      </c>
      <c r="AF151" s="616">
        <v>0</v>
      </c>
      <c r="AG151" s="612">
        <v>0</v>
      </c>
      <c r="AH151" s="612">
        <v>0</v>
      </c>
      <c r="AI151" s="612">
        <v>0</v>
      </c>
      <c r="AJ151" s="616">
        <v>-1</v>
      </c>
      <c r="AK151" s="612">
        <v>0</v>
      </c>
      <c r="AL151" s="612">
        <v>0</v>
      </c>
      <c r="AM151" s="612">
        <v>0</v>
      </c>
      <c r="AN151" s="616">
        <v>-1</v>
      </c>
      <c r="AO151" s="612">
        <v>0</v>
      </c>
      <c r="AP151" s="612">
        <v>0</v>
      </c>
      <c r="AQ151" s="614">
        <v>0</v>
      </c>
      <c r="AR151" s="616">
        <v>0</v>
      </c>
      <c r="AS151" s="612"/>
      <c r="AT151" s="612"/>
      <c r="AU151" s="611"/>
      <c r="AV151" s="616"/>
      <c r="AW151" s="612"/>
      <c r="AX151" s="612"/>
      <c r="AY151" s="611"/>
      <c r="AZ151" s="611"/>
      <c r="BA151" s="616"/>
      <c r="BB151" s="612"/>
      <c r="BC151" s="612"/>
      <c r="BD151" s="705">
        <f t="shared" si="320"/>
        <v>0</v>
      </c>
      <c r="BE151" s="705">
        <f t="shared" si="321"/>
        <v>-17</v>
      </c>
      <c r="BF151" s="736">
        <f t="shared" si="322"/>
        <v>-1</v>
      </c>
      <c r="BG151" s="1214"/>
      <c r="BH151" s="612"/>
      <c r="BI151" s="616"/>
      <c r="BJ151" s="612"/>
      <c r="BK151" s="612"/>
      <c r="BL151" s="612"/>
      <c r="BM151" s="612"/>
      <c r="BN151" s="612"/>
      <c r="BO151" s="613"/>
    </row>
    <row r="152" spans="2:67" s="592" customFormat="1" ht="14.25" hidden="1" customHeight="1" outlineLevel="2">
      <c r="B152" s="572" t="s">
        <v>9</v>
      </c>
      <c r="C152" s="609"/>
      <c r="D152" s="614"/>
      <c r="E152" s="614"/>
      <c r="F152" s="614"/>
      <c r="G152" s="980"/>
      <c r="H152" s="614"/>
      <c r="I152" s="614"/>
      <c r="J152" s="612"/>
      <c r="K152" s="611"/>
      <c r="L152" s="616"/>
      <c r="M152" s="612"/>
      <c r="N152" s="612"/>
      <c r="O152" s="611"/>
      <c r="P152" s="612">
        <v>0</v>
      </c>
      <c r="Q152" s="612"/>
      <c r="R152" s="612">
        <v>-1</v>
      </c>
      <c r="S152" s="611">
        <v>0</v>
      </c>
      <c r="T152" s="612">
        <v>0</v>
      </c>
      <c r="U152" s="612">
        <v>2</v>
      </c>
      <c r="V152" s="614">
        <v>-1</v>
      </c>
      <c r="W152" s="611">
        <v>0</v>
      </c>
      <c r="X152" s="612">
        <v>0</v>
      </c>
      <c r="Y152" s="612">
        <v>0</v>
      </c>
      <c r="Z152" s="612">
        <v>-1</v>
      </c>
      <c r="AA152" s="612">
        <v>0</v>
      </c>
      <c r="AB152" s="616">
        <v>-1</v>
      </c>
      <c r="AC152" s="612">
        <v>-2</v>
      </c>
      <c r="AD152" s="612">
        <v>-1</v>
      </c>
      <c r="AE152" s="611">
        <v>-2</v>
      </c>
      <c r="AF152" s="616">
        <v>-2</v>
      </c>
      <c r="AG152" s="612">
        <v>-2</v>
      </c>
      <c r="AH152" s="612">
        <v>-1</v>
      </c>
      <c r="AI152" s="612">
        <v>-2</v>
      </c>
      <c r="AJ152" s="616">
        <v>-1</v>
      </c>
      <c r="AK152" s="612">
        <v>-2</v>
      </c>
      <c r="AL152" s="612">
        <v>-1</v>
      </c>
      <c r="AM152" s="612">
        <v>-1</v>
      </c>
      <c r="AN152" s="616">
        <v>-1</v>
      </c>
      <c r="AO152" s="612">
        <v>-2</v>
      </c>
      <c r="AP152" s="612">
        <v>-1</v>
      </c>
      <c r="AQ152" s="614">
        <v>-1</v>
      </c>
      <c r="AR152" s="616">
        <v>-8</v>
      </c>
      <c r="AS152" s="612"/>
      <c r="AT152" s="612"/>
      <c r="AU152" s="611"/>
      <c r="AV152" s="616"/>
      <c r="AW152" s="612"/>
      <c r="AX152" s="612"/>
      <c r="AY152" s="611"/>
      <c r="AZ152" s="611"/>
      <c r="BA152" s="616"/>
      <c r="BB152" s="612"/>
      <c r="BC152" s="612"/>
      <c r="BD152" s="705">
        <f t="shared" si="320"/>
        <v>-1</v>
      </c>
      <c r="BE152" s="705">
        <f t="shared" si="321"/>
        <v>1</v>
      </c>
      <c r="BF152" s="736">
        <f t="shared" si="322"/>
        <v>-1</v>
      </c>
      <c r="BG152" s="1214"/>
      <c r="BH152" s="612"/>
      <c r="BI152" s="616"/>
      <c r="BJ152" s="612"/>
      <c r="BK152" s="612"/>
      <c r="BL152" s="612"/>
      <c r="BM152" s="612"/>
      <c r="BN152" s="612"/>
      <c r="BO152" s="613"/>
    </row>
    <row r="153" spans="2:67" s="592" customFormat="1" ht="14.25" hidden="1" customHeight="1" outlineLevel="2">
      <c r="B153" s="572" t="s">
        <v>10</v>
      </c>
      <c r="C153" s="609"/>
      <c r="D153" s="614"/>
      <c r="E153" s="614"/>
      <c r="F153" s="614"/>
      <c r="G153" s="980"/>
      <c r="H153" s="614"/>
      <c r="I153" s="614"/>
      <c r="J153" s="612"/>
      <c r="K153" s="611"/>
      <c r="L153" s="616"/>
      <c r="M153" s="612"/>
      <c r="N153" s="612"/>
      <c r="O153" s="611"/>
      <c r="P153" s="612">
        <v>-1</v>
      </c>
      <c r="Q153" s="612">
        <v>0</v>
      </c>
      <c r="R153" s="612">
        <v>0</v>
      </c>
      <c r="S153" s="611">
        <v>-1</v>
      </c>
      <c r="T153" s="612">
        <v>0</v>
      </c>
      <c r="U153" s="612">
        <v>0</v>
      </c>
      <c r="V153" s="614">
        <v>0</v>
      </c>
      <c r="W153" s="611">
        <v>0</v>
      </c>
      <c r="X153" s="612">
        <v>0</v>
      </c>
      <c r="Y153" s="612">
        <v>-2</v>
      </c>
      <c r="Z153" s="612">
        <v>-1</v>
      </c>
      <c r="AA153" s="612">
        <v>0</v>
      </c>
      <c r="AB153" s="616">
        <v>0</v>
      </c>
      <c r="AC153" s="612">
        <v>-1</v>
      </c>
      <c r="AD153" s="612">
        <v>-1</v>
      </c>
      <c r="AE153" s="611">
        <v>-10</v>
      </c>
      <c r="AF153" s="616">
        <v>0</v>
      </c>
      <c r="AG153" s="612">
        <v>0</v>
      </c>
      <c r="AH153" s="612">
        <v>-1</v>
      </c>
      <c r="AI153" s="612">
        <v>1</v>
      </c>
      <c r="AJ153" s="616">
        <v>0</v>
      </c>
      <c r="AK153" s="612">
        <v>0</v>
      </c>
      <c r="AL153" s="612">
        <v>-1</v>
      </c>
      <c r="AM153" s="612">
        <v>-1</v>
      </c>
      <c r="AN153" s="616">
        <v>0</v>
      </c>
      <c r="AO153" s="612">
        <v>0</v>
      </c>
      <c r="AP153" s="612">
        <v>-1</v>
      </c>
      <c r="AQ153" s="614">
        <v>-1</v>
      </c>
      <c r="AR153" s="616">
        <v>0</v>
      </c>
      <c r="AS153" s="612"/>
      <c r="AT153" s="612"/>
      <c r="AU153" s="611"/>
      <c r="AV153" s="616"/>
      <c r="AW153" s="612"/>
      <c r="AX153" s="612"/>
      <c r="AY153" s="611"/>
      <c r="AZ153" s="611"/>
      <c r="BA153" s="616"/>
      <c r="BB153" s="612"/>
      <c r="BC153" s="612"/>
      <c r="BD153" s="705">
        <f t="shared" si="320"/>
        <v>-2</v>
      </c>
      <c r="BE153" s="705">
        <f t="shared" si="321"/>
        <v>0</v>
      </c>
      <c r="BF153" s="736">
        <f t="shared" si="322"/>
        <v>-3</v>
      </c>
      <c r="BG153" s="1214"/>
      <c r="BH153" s="612"/>
      <c r="BI153" s="616"/>
      <c r="BJ153" s="612"/>
      <c r="BK153" s="612"/>
      <c r="BL153" s="612"/>
      <c r="BM153" s="612"/>
      <c r="BN153" s="612"/>
      <c r="BO153" s="613"/>
    </row>
    <row r="154" spans="2:67" s="594" customFormat="1" ht="14.25" hidden="1" customHeight="1" outlineLevel="2">
      <c r="B154" s="634" t="s">
        <v>11</v>
      </c>
      <c r="C154" s="617"/>
      <c r="D154" s="618"/>
      <c r="E154" s="618"/>
      <c r="F154" s="618"/>
      <c r="G154" s="981"/>
      <c r="H154" s="618"/>
      <c r="I154" s="618"/>
      <c r="J154" s="623"/>
      <c r="K154" s="621"/>
      <c r="L154" s="622"/>
      <c r="M154" s="623"/>
      <c r="N154" s="623"/>
      <c r="O154" s="621"/>
      <c r="P154" s="623">
        <v>0</v>
      </c>
      <c r="Q154" s="623">
        <v>0</v>
      </c>
      <c r="R154" s="623">
        <v>0</v>
      </c>
      <c r="S154" s="621">
        <v>0</v>
      </c>
      <c r="T154" s="623">
        <v>0</v>
      </c>
      <c r="U154" s="623">
        <v>0</v>
      </c>
      <c r="V154" s="618">
        <v>0</v>
      </c>
      <c r="W154" s="621">
        <v>0</v>
      </c>
      <c r="X154" s="623">
        <v>0</v>
      </c>
      <c r="Y154" s="1287">
        <v>46</v>
      </c>
      <c r="Z154" s="623">
        <v>0</v>
      </c>
      <c r="AA154" s="623">
        <v>0</v>
      </c>
      <c r="AB154" s="1254">
        <v>-46</v>
      </c>
      <c r="AC154" s="623">
        <v>0</v>
      </c>
      <c r="AD154" s="623">
        <v>0</v>
      </c>
      <c r="AE154" s="621">
        <v>0</v>
      </c>
      <c r="AF154" s="1178">
        <v>0</v>
      </c>
      <c r="AG154" s="623">
        <v>0</v>
      </c>
      <c r="AH154" s="623">
        <v>0</v>
      </c>
      <c r="AI154" s="623">
        <v>0</v>
      </c>
      <c r="AJ154" s="1178">
        <v>0</v>
      </c>
      <c r="AK154" s="623">
        <v>0</v>
      </c>
      <c r="AL154" s="623">
        <v>0</v>
      </c>
      <c r="AM154" s="623">
        <v>0</v>
      </c>
      <c r="AN154" s="1178">
        <v>0</v>
      </c>
      <c r="AO154" s="623">
        <v>0</v>
      </c>
      <c r="AP154" s="623">
        <v>0</v>
      </c>
      <c r="AQ154" s="618">
        <v>0</v>
      </c>
      <c r="AR154" s="622">
        <v>0</v>
      </c>
      <c r="AS154" s="623"/>
      <c r="AT154" s="623"/>
      <c r="AU154" s="621"/>
      <c r="AV154" s="622"/>
      <c r="AW154" s="623"/>
      <c r="AX154" s="623"/>
      <c r="AY154" s="621"/>
      <c r="AZ154" s="621"/>
      <c r="BA154" s="622"/>
      <c r="BB154" s="623"/>
      <c r="BC154" s="623"/>
      <c r="BD154" s="705">
        <f t="shared" si="320"/>
        <v>0</v>
      </c>
      <c r="BE154" s="705">
        <f t="shared" si="321"/>
        <v>0</v>
      </c>
      <c r="BF154" s="736">
        <f t="shared" si="322"/>
        <v>46</v>
      </c>
      <c r="BG154" s="1340"/>
      <c r="BH154" s="623"/>
      <c r="BI154" s="622"/>
      <c r="BJ154" s="623"/>
      <c r="BK154" s="623"/>
      <c r="BL154" s="623"/>
      <c r="BM154" s="623"/>
      <c r="BN154" s="623"/>
      <c r="BO154" s="624"/>
    </row>
    <row r="155" spans="2:67" s="592" customFormat="1" ht="14.25" hidden="1" customHeight="1" outlineLevel="1">
      <c r="B155" s="572" t="s">
        <v>12</v>
      </c>
      <c r="C155" s="609"/>
      <c r="D155" s="614"/>
      <c r="E155" s="614"/>
      <c r="F155" s="614"/>
      <c r="G155" s="980"/>
      <c r="H155" s="614"/>
      <c r="I155" s="614"/>
      <c r="J155" s="612"/>
      <c r="K155" s="611"/>
      <c r="L155" s="616"/>
      <c r="M155" s="612"/>
      <c r="N155" s="612"/>
      <c r="O155" s="611"/>
      <c r="P155" s="1239">
        <f>+P149-SUM(P150:P154)</f>
        <v>317</v>
      </c>
      <c r="Q155" s="1239">
        <f t="shared" ref="Q155:Z155" si="323">+Q149-SUM(Q150:Q154)</f>
        <v>352</v>
      </c>
      <c r="R155" s="1239">
        <f t="shared" si="323"/>
        <v>380</v>
      </c>
      <c r="S155" s="987">
        <f t="shared" si="323"/>
        <v>385</v>
      </c>
      <c r="T155" s="1239">
        <f t="shared" si="323"/>
        <v>393</v>
      </c>
      <c r="U155" s="1239">
        <f t="shared" si="323"/>
        <v>405</v>
      </c>
      <c r="V155" s="1288">
        <f t="shared" si="323"/>
        <v>390</v>
      </c>
      <c r="W155" s="987">
        <f t="shared" si="323"/>
        <v>330</v>
      </c>
      <c r="X155" s="1239">
        <f t="shared" si="323"/>
        <v>349</v>
      </c>
      <c r="Y155" s="1239">
        <f t="shared" si="323"/>
        <v>411</v>
      </c>
      <c r="Z155" s="1239">
        <f t="shared" si="323"/>
        <v>436</v>
      </c>
      <c r="AA155" s="1239">
        <f t="shared" ref="AA155:AF155" si="324">+AA149-SUM(AA150:AA154)</f>
        <v>428</v>
      </c>
      <c r="AB155" s="1255">
        <f t="shared" si="324"/>
        <v>465</v>
      </c>
      <c r="AC155" s="1239">
        <f t="shared" si="324"/>
        <v>472</v>
      </c>
      <c r="AD155" s="1239">
        <f t="shared" si="324"/>
        <v>499</v>
      </c>
      <c r="AE155" s="987">
        <f t="shared" si="324"/>
        <v>541</v>
      </c>
      <c r="AF155" s="1255">
        <f t="shared" si="324"/>
        <v>511</v>
      </c>
      <c r="AG155" s="1239">
        <f t="shared" ref="AG155:AL155" si="325">+AG149-SUM(AG150:AG154)</f>
        <v>547</v>
      </c>
      <c r="AH155" s="1239">
        <f t="shared" si="325"/>
        <v>607</v>
      </c>
      <c r="AI155" s="1239">
        <f t="shared" si="325"/>
        <v>597</v>
      </c>
      <c r="AJ155" s="1255">
        <f t="shared" si="325"/>
        <v>599</v>
      </c>
      <c r="AK155" s="1239">
        <f t="shared" si="325"/>
        <v>547</v>
      </c>
      <c r="AL155" s="1239">
        <f t="shared" si="325"/>
        <v>607</v>
      </c>
      <c r="AM155" s="612">
        <f t="shared" ref="AM155:AP155" si="326">+AM149-SUM(AM150:AM154)</f>
        <v>607</v>
      </c>
      <c r="AN155" s="1255">
        <f t="shared" si="326"/>
        <v>599</v>
      </c>
      <c r="AO155" s="1239">
        <f t="shared" si="326"/>
        <v>547</v>
      </c>
      <c r="AP155" s="1239">
        <f t="shared" si="326"/>
        <v>607</v>
      </c>
      <c r="AQ155" s="614">
        <f t="shared" ref="AQ155:AR155" si="327">+AQ149-SUM(AQ150:AQ154)</f>
        <v>607</v>
      </c>
      <c r="AR155" s="616">
        <f t="shared" si="327"/>
        <v>1096</v>
      </c>
      <c r="AS155" s="612">
        <f t="shared" ref="AS155:AU155" si="328">+AS146-AS161</f>
        <v>1142.9419542132532</v>
      </c>
      <c r="AT155" s="612">
        <f t="shared" si="328"/>
        <v>1250.9325631238862</v>
      </c>
      <c r="AU155" s="611">
        <f t="shared" si="328"/>
        <v>1266.5029872144594</v>
      </c>
      <c r="AV155" s="616">
        <f t="shared" ref="AV155:AY155" si="329">+AV146-AV161</f>
        <v>1156.3824222315591</v>
      </c>
      <c r="AW155" s="612">
        <f t="shared" si="329"/>
        <v>1192.5258914101107</v>
      </c>
      <c r="AX155" s="612">
        <f t="shared" si="329"/>
        <v>1189.026365445744</v>
      </c>
      <c r="AY155" s="611">
        <f t="shared" si="329"/>
        <v>1102.6094652586651</v>
      </c>
      <c r="AZ155" s="611"/>
      <c r="BA155" s="616"/>
      <c r="BB155" s="612"/>
      <c r="BC155" s="612"/>
      <c r="BD155" s="705">
        <f t="shared" si="320"/>
        <v>1434</v>
      </c>
      <c r="BE155" s="705">
        <f t="shared" si="321"/>
        <v>1518</v>
      </c>
      <c r="BF155" s="736">
        <f t="shared" si="322"/>
        <v>1624</v>
      </c>
      <c r="BG155" s="1214"/>
      <c r="BH155" s="612"/>
      <c r="BI155" s="616"/>
      <c r="BJ155" s="612"/>
      <c r="BK155" s="612"/>
      <c r="BL155" s="612"/>
      <c r="BM155" s="612">
        <f t="shared" ref="BM155:BN155" si="330">+BM146-BM161</f>
        <v>9500.3138910146517</v>
      </c>
      <c r="BN155" s="612">
        <f t="shared" si="330"/>
        <v>9648.40425181918</v>
      </c>
      <c r="BO155" s="613"/>
    </row>
    <row r="156" spans="2:67" s="592" customFormat="1" ht="14.25" hidden="1" customHeight="1" outlineLevel="1">
      <c r="B156" s="572"/>
      <c r="C156" s="609"/>
      <c r="D156" s="614"/>
      <c r="E156" s="614"/>
      <c r="F156" s="614"/>
      <c r="G156" s="980"/>
      <c r="H156" s="614"/>
      <c r="I156" s="614"/>
      <c r="J156" s="612"/>
      <c r="K156" s="611"/>
      <c r="L156" s="616"/>
      <c r="M156" s="612"/>
      <c r="N156" s="612"/>
      <c r="O156" s="611"/>
      <c r="P156" s="1240"/>
      <c r="Q156" s="1240"/>
      <c r="R156" s="1240"/>
      <c r="S156" s="993"/>
      <c r="T156" s="1240"/>
      <c r="U156" s="1240"/>
      <c r="V156" s="1289"/>
      <c r="W156" s="993"/>
      <c r="X156" s="1240"/>
      <c r="Y156" s="1240"/>
      <c r="Z156" s="1240"/>
      <c r="AA156" s="1240"/>
      <c r="AB156" s="1256"/>
      <c r="AC156" s="612"/>
      <c r="AD156" s="612"/>
      <c r="AE156" s="611"/>
      <c r="AF156" s="616"/>
      <c r="AG156" s="612"/>
      <c r="AH156" s="612"/>
      <c r="AI156" s="612"/>
      <c r="AJ156" s="616"/>
      <c r="AK156" s="612"/>
      <c r="AL156" s="612"/>
      <c r="AM156" s="612"/>
      <c r="AN156" s="616"/>
      <c r="AO156" s="612"/>
      <c r="AP156" s="612"/>
      <c r="AQ156" s="614"/>
      <c r="AR156" s="616"/>
      <c r="AS156" s="612"/>
      <c r="AT156" s="612"/>
      <c r="AU156" s="611"/>
      <c r="AV156" s="616"/>
      <c r="AW156" s="612"/>
      <c r="AX156" s="612"/>
      <c r="AY156" s="611"/>
      <c r="AZ156" s="611"/>
      <c r="BA156" s="616"/>
      <c r="BB156" s="612"/>
      <c r="BC156" s="612"/>
      <c r="BD156" s="705"/>
      <c r="BE156" s="705"/>
      <c r="BF156" s="736"/>
      <c r="BG156" s="1214"/>
      <c r="BH156" s="612"/>
      <c r="BI156" s="616"/>
      <c r="BJ156" s="612"/>
      <c r="BK156" s="612"/>
      <c r="BL156" s="612"/>
      <c r="BM156" s="612"/>
      <c r="BN156" s="612"/>
      <c r="BO156" s="613"/>
    </row>
    <row r="157" spans="2:67" s="592" customFormat="1" ht="14.25" hidden="1" customHeight="1" outlineLevel="1">
      <c r="B157" s="572"/>
      <c r="C157" s="609"/>
      <c r="D157" s="614"/>
      <c r="E157" s="614"/>
      <c r="F157" s="614"/>
      <c r="G157" s="980"/>
      <c r="H157" s="614"/>
      <c r="I157" s="614"/>
      <c r="J157" s="612"/>
      <c r="K157" s="611"/>
      <c r="L157" s="616"/>
      <c r="M157" s="612"/>
      <c r="N157" s="612"/>
      <c r="O157" s="611"/>
      <c r="P157" s="612"/>
      <c r="Q157" s="612"/>
      <c r="R157" s="612"/>
      <c r="S157" s="611"/>
      <c r="T157" s="612"/>
      <c r="U157" s="612"/>
      <c r="V157" s="614"/>
      <c r="W157" s="611"/>
      <c r="X157" s="612"/>
      <c r="Y157" s="612"/>
      <c r="Z157" s="738"/>
      <c r="AA157" s="612"/>
      <c r="AB157" s="616"/>
      <c r="AC157" s="612"/>
      <c r="AD157" s="612"/>
      <c r="AE157" s="611"/>
      <c r="AF157" s="616"/>
      <c r="AG157" s="612"/>
      <c r="AH157" s="612"/>
      <c r="AI157" s="612"/>
      <c r="AJ157" s="616"/>
      <c r="AK157" s="612"/>
      <c r="AL157" s="612"/>
      <c r="AM157" s="612"/>
      <c r="AN157" s="616"/>
      <c r="AO157" s="612"/>
      <c r="AP157" s="612"/>
      <c r="AQ157" s="614"/>
      <c r="AR157" s="616"/>
      <c r="AS157" s="612"/>
      <c r="AT157" s="612"/>
      <c r="AU157" s="611"/>
      <c r="AV157" s="616"/>
      <c r="AW157" s="612"/>
      <c r="AX157" s="612"/>
      <c r="AY157" s="611"/>
      <c r="AZ157" s="611"/>
      <c r="BA157" s="616"/>
      <c r="BB157" s="612"/>
      <c r="BC157" s="612"/>
      <c r="BD157" s="1111"/>
      <c r="BE157" s="1111"/>
      <c r="BF157" s="1214"/>
      <c r="BG157" s="1214"/>
      <c r="BH157" s="612"/>
      <c r="BI157" s="616"/>
      <c r="BJ157" s="612"/>
      <c r="BK157" s="612"/>
      <c r="BL157" s="612"/>
      <c r="BM157" s="612"/>
      <c r="BN157" s="612"/>
      <c r="BO157" s="613"/>
    </row>
    <row r="158" spans="2:67" s="913" customFormat="1" ht="14.25" hidden="1" customHeight="1" outlineLevel="1">
      <c r="B158" s="575" t="s">
        <v>13</v>
      </c>
      <c r="C158" s="646"/>
      <c r="D158" s="647"/>
      <c r="E158" s="647"/>
      <c r="F158" s="647"/>
      <c r="G158" s="927"/>
      <c r="H158" s="647"/>
      <c r="I158" s="647"/>
      <c r="J158" s="738"/>
      <c r="K158" s="650"/>
      <c r="L158" s="651"/>
      <c r="M158" s="738"/>
      <c r="N158" s="738"/>
      <c r="O158" s="650"/>
      <c r="P158" s="738">
        <f t="shared" ref="P158:AA158" si="331">+P149/P$146</f>
        <v>0.48811410459587956</v>
      </c>
      <c r="Q158" s="738">
        <f t="shared" si="331"/>
        <v>0.53834355828220859</v>
      </c>
      <c r="R158" s="738">
        <f t="shared" si="331"/>
        <v>0.58089368258859786</v>
      </c>
      <c r="S158" s="650">
        <f t="shared" si="331"/>
        <v>0.5904907975460123</v>
      </c>
      <c r="T158" s="738">
        <f t="shared" si="331"/>
        <v>0.58594917787742895</v>
      </c>
      <c r="U158" s="738">
        <f t="shared" si="331"/>
        <v>0.57243319268635728</v>
      </c>
      <c r="V158" s="647">
        <f t="shared" si="331"/>
        <v>0.56842105263157894</v>
      </c>
      <c r="W158" s="650">
        <f t="shared" si="331"/>
        <v>0.50822368421052633</v>
      </c>
      <c r="X158" s="738">
        <f t="shared" si="331"/>
        <v>0.53715170278637769</v>
      </c>
      <c r="Y158" s="738">
        <f t="shared" si="331"/>
        <v>0.60593792172739536</v>
      </c>
      <c r="Z158" s="738">
        <f t="shared" si="331"/>
        <v>0.53855721393034828</v>
      </c>
      <c r="AA158" s="738">
        <f t="shared" si="331"/>
        <v>0.54394904458598725</v>
      </c>
      <c r="AB158" s="651">
        <f t="shared" ref="AB158:AG158" si="332">+AB149/AB$146</f>
        <v>0.53737113402061853</v>
      </c>
      <c r="AC158" s="738">
        <f t="shared" si="332"/>
        <v>0.5375854214123007</v>
      </c>
      <c r="AD158" s="738">
        <f t="shared" si="332"/>
        <v>0.53470715835141003</v>
      </c>
      <c r="AE158" s="650">
        <f t="shared" si="332"/>
        <v>0.54649947753396033</v>
      </c>
      <c r="AF158" s="651">
        <f t="shared" si="332"/>
        <v>0.55701754385964908</v>
      </c>
      <c r="AG158" s="738">
        <f t="shared" si="332"/>
        <v>0.55161943319838058</v>
      </c>
      <c r="AH158" s="738">
        <f t="shared" ref="AH158:AM158" si="333">+AH149/AH$146</f>
        <v>0.5311676909569798</v>
      </c>
      <c r="AI158" s="738">
        <f t="shared" si="333"/>
        <v>0.50898203592814373</v>
      </c>
      <c r="AJ158" s="651">
        <f t="shared" si="333"/>
        <v>0.54076086956521741</v>
      </c>
      <c r="AK158" s="738">
        <f t="shared" si="333"/>
        <v>0.4755671902268761</v>
      </c>
      <c r="AL158" s="738">
        <f t="shared" si="333"/>
        <v>0.51975945017182135</v>
      </c>
      <c r="AM158" s="738">
        <f t="shared" si="333"/>
        <v>0.46324655436447165</v>
      </c>
      <c r="AN158" s="651">
        <f t="shared" ref="AN158:AQ158" si="334">+AN149/AN$146</f>
        <v>0.54076086956521741</v>
      </c>
      <c r="AO158" s="738">
        <f t="shared" si="334"/>
        <v>0.4755671902268761</v>
      </c>
      <c r="AP158" s="738">
        <f t="shared" si="334"/>
        <v>0.28823249166269654</v>
      </c>
      <c r="AQ158" s="647">
        <f t="shared" si="334"/>
        <v>0.29340446168768186</v>
      </c>
      <c r="AR158" s="651">
        <f t="shared" ref="AR158" si="335">+AR149/AR$146</f>
        <v>0.51218299353555441</v>
      </c>
      <c r="AS158" s="738"/>
      <c r="AT158" s="738"/>
      <c r="AU158" s="650"/>
      <c r="AV158" s="651"/>
      <c r="AW158" s="738"/>
      <c r="AX158" s="738"/>
      <c r="AY158" s="650"/>
      <c r="AZ158" s="650"/>
      <c r="BA158" s="651"/>
      <c r="BB158" s="738"/>
      <c r="BC158" s="738"/>
      <c r="BD158" s="738">
        <f>+BD149/BD$146</f>
        <v>0.54992260061919507</v>
      </c>
      <c r="BE158" s="738">
        <f>+BE149/BE$146</f>
        <v>0.56012061816811154</v>
      </c>
      <c r="BF158" s="651">
        <f>+BF149/BF$146</f>
        <v>0.55645161290322576</v>
      </c>
      <c r="BG158" s="1213"/>
      <c r="BH158" s="738"/>
      <c r="BI158" s="651"/>
      <c r="BJ158" s="738"/>
      <c r="BK158" s="738"/>
      <c r="BL158" s="738"/>
      <c r="BM158" s="738"/>
      <c r="BN158" s="738"/>
      <c r="BO158" s="986"/>
    </row>
    <row r="159" spans="2:67" s="913" customFormat="1" ht="14.25" hidden="1" customHeight="1" outlineLevel="1">
      <c r="B159" s="575" t="s">
        <v>14</v>
      </c>
      <c r="C159" s="646"/>
      <c r="D159" s="647"/>
      <c r="E159" s="647"/>
      <c r="F159" s="647"/>
      <c r="G159" s="927"/>
      <c r="H159" s="647"/>
      <c r="I159" s="647"/>
      <c r="J159" s="738"/>
      <c r="K159" s="650"/>
      <c r="L159" s="651"/>
      <c r="M159" s="738"/>
      <c r="N159" s="738"/>
      <c r="O159" s="650"/>
      <c r="P159" s="738">
        <f t="shared" ref="P159:Z159" si="336">+P155/P$146</f>
        <v>0.50237717908082413</v>
      </c>
      <c r="Q159" s="738">
        <f t="shared" si="336"/>
        <v>0.53987730061349692</v>
      </c>
      <c r="R159" s="738">
        <f t="shared" si="336"/>
        <v>0.58551617873651773</v>
      </c>
      <c r="S159" s="650">
        <f t="shared" si="336"/>
        <v>0.5904907975460123</v>
      </c>
      <c r="T159" s="738">
        <f t="shared" si="336"/>
        <v>0.58744394618834084</v>
      </c>
      <c r="U159" s="738">
        <f t="shared" si="336"/>
        <v>0.569620253164557</v>
      </c>
      <c r="V159" s="647">
        <f t="shared" si="336"/>
        <v>0.5864661654135338</v>
      </c>
      <c r="W159" s="650">
        <f t="shared" si="336"/>
        <v>0.54276315789473684</v>
      </c>
      <c r="X159" s="738">
        <f t="shared" si="336"/>
        <v>0.54024767801857587</v>
      </c>
      <c r="Y159" s="738">
        <f t="shared" si="336"/>
        <v>0.55465587044534415</v>
      </c>
      <c r="Z159" s="738">
        <f t="shared" si="336"/>
        <v>0.54228855721393032</v>
      </c>
      <c r="AA159" s="738">
        <f>+AA155/AA$146</f>
        <v>0.54522292993630572</v>
      </c>
      <c r="AB159" s="1257">
        <f>+(AB146-AB161)/AB146</f>
        <v>0.53994845360824739</v>
      </c>
      <c r="AC159" s="738">
        <f>+AC155/AC$146</f>
        <v>0.5375854214123007</v>
      </c>
      <c r="AD159" s="738">
        <f>+AD155/AD146</f>
        <v>0.54121475054229939</v>
      </c>
      <c r="AE159" s="650">
        <f>+AE155/AE$146</f>
        <v>0.5653082549634274</v>
      </c>
      <c r="AF159" s="651">
        <f>+AF155/AF146</f>
        <v>0.5603070175438597</v>
      </c>
      <c r="AG159" s="738">
        <f>+AG155/AG$146</f>
        <v>0.55364372469635625</v>
      </c>
      <c r="AH159" s="738">
        <f>+AH155/AH146</f>
        <v>0.53292361720807724</v>
      </c>
      <c r="AI159" s="738">
        <f>+AI155/AI146</f>
        <v>0.51069289991445677</v>
      </c>
      <c r="AJ159" s="651">
        <f>+AJ155/AJ146</f>
        <v>0.54257246376811596</v>
      </c>
      <c r="AK159" s="738">
        <f>+AK155/AK$146</f>
        <v>0.47731239092495636</v>
      </c>
      <c r="AL159" s="738">
        <f>+AL155/AL146</f>
        <v>0.52147766323024058</v>
      </c>
      <c r="AM159" s="738">
        <f>+AM155/AM146</f>
        <v>0.46477794793261867</v>
      </c>
      <c r="AN159" s="651">
        <f>+AN155/AN146</f>
        <v>0.54257246376811596</v>
      </c>
      <c r="AO159" s="738">
        <f>+AO155/AO$146</f>
        <v>0.47731239092495636</v>
      </c>
      <c r="AP159" s="738">
        <f>+AP155/AP146</f>
        <v>0.28918532634587901</v>
      </c>
      <c r="AQ159" s="647">
        <f>+AQ155/AQ146</f>
        <v>0.29437439379243452</v>
      </c>
      <c r="AR159" s="651">
        <f>+AR155/AR146</f>
        <v>0.54500248632521131</v>
      </c>
      <c r="AS159" s="738">
        <f t="shared" ref="AS159:AU159" si="337">+AS155/AS146</f>
        <v>0.54477690858591665</v>
      </c>
      <c r="AT159" s="738">
        <f t="shared" si="337"/>
        <v>0.5467362601065936</v>
      </c>
      <c r="AU159" s="650">
        <f t="shared" si="337"/>
        <v>0.53939650222080893</v>
      </c>
      <c r="AV159" s="651">
        <f t="shared" ref="AV159:AY159" si="338">+AV155/AV146</f>
        <v>0.51954030597433665</v>
      </c>
      <c r="AW159" s="738">
        <f t="shared" si="338"/>
        <v>0.51724650718070497</v>
      </c>
      <c r="AX159" s="738">
        <f t="shared" si="338"/>
        <v>0.49465033729418795</v>
      </c>
      <c r="AY159" s="650">
        <f t="shared" si="338"/>
        <v>0.46610492973211337</v>
      </c>
      <c r="AZ159" s="650"/>
      <c r="BA159" s="651"/>
      <c r="BB159" s="738"/>
      <c r="BC159" s="738"/>
      <c r="BD159" s="738">
        <f>+BD155/BD$146</f>
        <v>0.554953560371517</v>
      </c>
      <c r="BE159" s="738">
        <f>+BE155/BE$146</f>
        <v>0.57218243497926879</v>
      </c>
      <c r="BF159" s="651">
        <f>+BF155/BF$146</f>
        <v>0.54569892473118276</v>
      </c>
      <c r="BG159" s="1213"/>
      <c r="BH159" s="738"/>
      <c r="BI159" s="651"/>
      <c r="BJ159" s="738"/>
      <c r="BK159" s="738"/>
      <c r="BL159" s="738"/>
      <c r="BM159" s="738">
        <f t="shared" ref="BM159:BN159" si="339">+BM155/BM146</f>
        <v>0.96780480526846024</v>
      </c>
      <c r="BN159" s="738">
        <f t="shared" si="339"/>
        <v>0.93710709486421218</v>
      </c>
      <c r="BO159" s="986"/>
    </row>
    <row r="160" spans="2:67" s="592" customFormat="1" ht="14.25" hidden="1" customHeight="1" outlineLevel="1">
      <c r="B160" s="575"/>
      <c r="C160" s="609"/>
      <c r="D160" s="614"/>
      <c r="E160" s="614"/>
      <c r="F160" s="614"/>
      <c r="G160" s="980"/>
      <c r="H160" s="614"/>
      <c r="I160" s="614"/>
      <c r="J160" s="612"/>
      <c r="K160" s="611"/>
      <c r="L160" s="616"/>
      <c r="M160" s="612"/>
      <c r="N160" s="612"/>
      <c r="O160" s="611"/>
      <c r="P160" s="612"/>
      <c r="Q160" s="612"/>
      <c r="R160" s="612"/>
      <c r="S160" s="611"/>
      <c r="T160" s="612"/>
      <c r="U160" s="612"/>
      <c r="V160" s="614"/>
      <c r="W160" s="611"/>
      <c r="X160" s="612"/>
      <c r="Y160" s="612"/>
      <c r="Z160" s="612"/>
      <c r="AA160" s="612"/>
      <c r="AB160" s="616"/>
      <c r="AC160" s="612"/>
      <c r="AD160" s="612"/>
      <c r="AE160" s="611"/>
      <c r="AF160" s="616"/>
      <c r="AG160" s="612"/>
      <c r="AH160" s="612"/>
      <c r="AI160" s="612"/>
      <c r="AJ160" s="616"/>
      <c r="AK160" s="612"/>
      <c r="AL160" s="612"/>
      <c r="AM160" s="612"/>
      <c r="AN160" s="616"/>
      <c r="AO160" s="612"/>
      <c r="AP160" s="612"/>
      <c r="AQ160" s="614"/>
      <c r="AR160" s="616"/>
      <c r="AS160" s="612"/>
      <c r="AT160" s="612"/>
      <c r="AU160" s="611"/>
      <c r="AV160" s="616"/>
      <c r="AW160" s="612"/>
      <c r="AX160" s="612"/>
      <c r="AY160" s="611"/>
      <c r="AZ160" s="611"/>
      <c r="BA160" s="616"/>
      <c r="BB160" s="612"/>
      <c r="BC160" s="612"/>
      <c r="BD160" s="1111"/>
      <c r="BE160" s="1111"/>
      <c r="BF160" s="1214"/>
      <c r="BG160" s="1214"/>
      <c r="BH160" s="612"/>
      <c r="BI160" s="616"/>
      <c r="BJ160" s="612"/>
      <c r="BK160" s="612"/>
      <c r="BL160" s="612"/>
      <c r="BM160" s="612"/>
      <c r="BN160" s="612"/>
      <c r="BO160" s="613"/>
    </row>
    <row r="161" spans="2:67" s="592" customFormat="1" ht="14.25" hidden="1" customHeight="1" outlineLevel="1">
      <c r="B161" s="575" t="s">
        <v>22</v>
      </c>
      <c r="C161" s="609"/>
      <c r="D161" s="614"/>
      <c r="E161" s="614"/>
      <c r="F161" s="614"/>
      <c r="G161" s="980"/>
      <c r="H161" s="614"/>
      <c r="I161" s="614"/>
      <c r="J161" s="612"/>
      <c r="K161" s="611"/>
      <c r="L161" s="616"/>
      <c r="M161" s="612"/>
      <c r="N161" s="612"/>
      <c r="O161" s="611"/>
      <c r="P161" s="1241">
        <f t="shared" ref="P161:AA161" si="340">+P146-P155</f>
        <v>314</v>
      </c>
      <c r="Q161" s="1241">
        <f t="shared" si="340"/>
        <v>300</v>
      </c>
      <c r="R161" s="1241">
        <f t="shared" si="340"/>
        <v>269</v>
      </c>
      <c r="S161" s="989">
        <f t="shared" si="340"/>
        <v>267</v>
      </c>
      <c r="T161" s="1241">
        <f t="shared" si="340"/>
        <v>276</v>
      </c>
      <c r="U161" s="1241">
        <f t="shared" si="340"/>
        <v>306</v>
      </c>
      <c r="V161" s="1246">
        <f t="shared" si="340"/>
        <v>275</v>
      </c>
      <c r="W161" s="989">
        <f t="shared" si="340"/>
        <v>278</v>
      </c>
      <c r="X161" s="1241">
        <f t="shared" si="340"/>
        <v>297</v>
      </c>
      <c r="Y161" s="1241">
        <f t="shared" si="340"/>
        <v>330</v>
      </c>
      <c r="Z161" s="1241">
        <f t="shared" si="340"/>
        <v>368</v>
      </c>
      <c r="AA161" s="1241">
        <f t="shared" si="340"/>
        <v>357</v>
      </c>
      <c r="AB161" s="1258">
        <f>+AB146-AB155-AB154</f>
        <v>357</v>
      </c>
      <c r="AC161" s="1241">
        <f t="shared" ref="AC161:AH161" si="341">+AC146-AC155</f>
        <v>406</v>
      </c>
      <c r="AD161" s="1241">
        <f t="shared" si="341"/>
        <v>423</v>
      </c>
      <c r="AE161" s="989">
        <f t="shared" si="341"/>
        <v>416</v>
      </c>
      <c r="AF161" s="1391">
        <f t="shared" si="341"/>
        <v>401</v>
      </c>
      <c r="AG161" s="1241">
        <f t="shared" si="341"/>
        <v>441</v>
      </c>
      <c r="AH161" s="1241">
        <f t="shared" si="341"/>
        <v>532</v>
      </c>
      <c r="AI161" s="1241">
        <f>+AI146-AI155</f>
        <v>572</v>
      </c>
      <c r="AJ161" s="1391">
        <f>+AJ146-AJ155</f>
        <v>505</v>
      </c>
      <c r="AK161" s="1241">
        <f>+AK146-AK155</f>
        <v>599</v>
      </c>
      <c r="AL161" s="1241">
        <f t="shared" ref="AL161:AM161" si="342">+AL146-AL155</f>
        <v>557</v>
      </c>
      <c r="AM161" s="1150">
        <f t="shared" si="342"/>
        <v>699</v>
      </c>
      <c r="AN161" s="1391">
        <f>+AN146-AN155</f>
        <v>505</v>
      </c>
      <c r="AO161" s="1241">
        <f>+AO146-AO155</f>
        <v>599</v>
      </c>
      <c r="AP161" s="1241">
        <f t="shared" ref="AP161:AR161" si="343">+AP146-AP155</f>
        <v>1492</v>
      </c>
      <c r="AQ161" s="1041">
        <f t="shared" si="343"/>
        <v>1455</v>
      </c>
      <c r="AR161" s="1391">
        <f t="shared" si="343"/>
        <v>915</v>
      </c>
      <c r="AS161" s="1150">
        <f t="shared" ref="AS161" si="344">+AR161+AS175*(1-AS167)+AS176*(1-AS168)+AS177*(1-AS169)+AS178*(1-AS170)+AS179*(1-AS171)-AS172</f>
        <v>955.05804578674667</v>
      </c>
      <c r="AT161" s="1150">
        <f t="shared" ref="AT161" si="345">+AS161+AT175*(1-AT167)+AT176*(1-AT168)+AT177*(1-AT169)+AT178*(1-AT170)+AT179*(1-AT171)-AT172</f>
        <v>1037.0674368761138</v>
      </c>
      <c r="AU161" s="1043">
        <f t="shared" ref="AU161" si="346">+AT161+AU175*(1-AU167)+AU176*(1-AU168)+AU177*(1-AU169)+AU178*(1-AU170)+AU179*(1-AU171)-AU172</f>
        <v>1081.4970127855406</v>
      </c>
      <c r="AV161" s="1149">
        <f t="shared" ref="AV161" si="347">+AU161+AV175*(1-AV167)+AV176*(1-AV168)+AV177*(1-AV169)+AV178*(1-AV170)+AV179*(1-AV171)-AV172</f>
        <v>1069.3975777684411</v>
      </c>
      <c r="AW161" s="1150">
        <f t="shared" ref="AW161" si="348">+AV161+AW175*(1-AW167)+AW176*(1-AW168)+AW177*(1-AW169)+AW178*(1-AW170)+AW179*(1-AW171)-AW172</f>
        <v>1113.0013085898893</v>
      </c>
      <c r="AX161" s="1150">
        <f t="shared" ref="AX161" si="349">+AW161+AX175*(1-AX167)+AX176*(1-AX168)+AX177*(1-AX169)+AX178*(1-AX170)+AX179*(1-AX171)-AX172</f>
        <v>1214.7450985542559</v>
      </c>
      <c r="AY161" s="1043">
        <f t="shared" ref="AY161" si="350">+AX161+AY175*(1-AY167)+AY176*(1-AY168)+AY177*(1-AY169)+AY178*(1-AY170)+AY179*(1-AY171)-AY172</f>
        <v>1262.9726063413348</v>
      </c>
      <c r="AZ161" s="611"/>
      <c r="BA161" s="616"/>
      <c r="BB161" s="612"/>
      <c r="BC161" s="612"/>
      <c r="BD161" s="705">
        <f>SUM(P161:S161)</f>
        <v>1150</v>
      </c>
      <c r="BE161" s="705">
        <f>SUM(T161:W161)</f>
        <v>1135</v>
      </c>
      <c r="BF161" s="736">
        <f>SUM(X161:AA161)</f>
        <v>1352</v>
      </c>
      <c r="BG161" s="1214"/>
      <c r="BH161" s="612"/>
      <c r="BI161" s="616"/>
      <c r="BJ161" s="612"/>
      <c r="BK161" s="612"/>
      <c r="BL161" s="612"/>
      <c r="BM161" s="612">
        <f t="shared" ref="BM161:BN161" si="351">+BL161+BM175*(1-BM167)+BM176*(1-BM168)+BM177*(1-BM169)+BM178*(1-BM170)+BM179*(1-BM171)-BM172</f>
        <v>316.03940594934829</v>
      </c>
      <c r="BN161" s="612">
        <f t="shared" si="351"/>
        <v>647.5419689457417</v>
      </c>
      <c r="BO161" s="613"/>
    </row>
    <row r="162" spans="2:67" s="603" customFormat="1" ht="14.25" hidden="1" customHeight="1" outlineLevel="1">
      <c r="B162" s="992" t="s">
        <v>19</v>
      </c>
      <c r="C162" s="604"/>
      <c r="D162" s="420"/>
      <c r="E162" s="420"/>
      <c r="F162" s="420"/>
      <c r="G162" s="424"/>
      <c r="H162" s="420"/>
      <c r="I162" s="420"/>
      <c r="J162" s="317"/>
      <c r="K162" s="339"/>
      <c r="L162" s="652"/>
      <c r="M162" s="317"/>
      <c r="N162" s="317"/>
      <c r="O162" s="339"/>
      <c r="P162" s="317"/>
      <c r="Q162" s="317">
        <f>+Q161/P161-1</f>
        <v>-4.4585987261146487E-2</v>
      </c>
      <c r="R162" s="317">
        <f t="shared" ref="R162:AR162" si="352">+R161/Q161-1</f>
        <v>-0.10333333333333339</v>
      </c>
      <c r="S162" s="339">
        <f t="shared" si="352"/>
        <v>-7.4349442379182396E-3</v>
      </c>
      <c r="T162" s="317">
        <f t="shared" si="352"/>
        <v>3.3707865168539408E-2</v>
      </c>
      <c r="U162" s="317">
        <f t="shared" si="352"/>
        <v>0.10869565217391308</v>
      </c>
      <c r="V162" s="420">
        <f t="shared" si="352"/>
        <v>-0.10130718954248363</v>
      </c>
      <c r="W162" s="339">
        <f t="shared" si="352"/>
        <v>1.0909090909090979E-2</v>
      </c>
      <c r="X162" s="317">
        <f t="shared" si="352"/>
        <v>6.8345323741007213E-2</v>
      </c>
      <c r="Y162" s="317">
        <f t="shared" si="352"/>
        <v>0.11111111111111116</v>
      </c>
      <c r="Z162" s="1290">
        <f>+Z161/Y161-1</f>
        <v>0.11515151515151523</v>
      </c>
      <c r="AA162" s="317">
        <f t="shared" si="352"/>
        <v>-2.9891304347826053E-2</v>
      </c>
      <c r="AB162" s="652">
        <f t="shared" si="352"/>
        <v>0</v>
      </c>
      <c r="AC162" s="317">
        <f t="shared" si="352"/>
        <v>0.13725490196078427</v>
      </c>
      <c r="AD162" s="317">
        <f t="shared" si="352"/>
        <v>4.1871921182266014E-2</v>
      </c>
      <c r="AE162" s="339">
        <f t="shared" si="352"/>
        <v>-1.6548463356974019E-2</v>
      </c>
      <c r="AF162" s="652">
        <f t="shared" si="352"/>
        <v>-3.6057692307692291E-2</v>
      </c>
      <c r="AG162" s="317">
        <f t="shared" si="352"/>
        <v>9.9750623441396513E-2</v>
      </c>
      <c r="AH162" s="317">
        <f t="shared" si="352"/>
        <v>0.20634920634920628</v>
      </c>
      <c r="AI162" s="317">
        <f t="shared" si="352"/>
        <v>7.5187969924812137E-2</v>
      </c>
      <c r="AJ162" s="652">
        <f t="shared" si="352"/>
        <v>-0.11713286713286708</v>
      </c>
      <c r="AK162" s="317">
        <f t="shared" si="352"/>
        <v>0.18613861386138608</v>
      </c>
      <c r="AL162" s="317">
        <f t="shared" si="352"/>
        <v>-7.0116861435726263E-2</v>
      </c>
      <c r="AM162" s="317">
        <f t="shared" si="352"/>
        <v>0.25493716337522443</v>
      </c>
      <c r="AN162" s="652">
        <f t="shared" si="352"/>
        <v>-0.27753934191702434</v>
      </c>
      <c r="AO162" s="317">
        <f t="shared" si="352"/>
        <v>0.18613861386138608</v>
      </c>
      <c r="AP162" s="317">
        <f t="shared" si="352"/>
        <v>1.4908180300500833</v>
      </c>
      <c r="AQ162" s="420">
        <f t="shared" si="352"/>
        <v>-2.479892761394098E-2</v>
      </c>
      <c r="AR162" s="652">
        <f t="shared" si="352"/>
        <v>-0.37113402061855671</v>
      </c>
      <c r="AS162" s="317"/>
      <c r="AT162" s="317"/>
      <c r="AU162" s="339"/>
      <c r="AV162" s="652"/>
      <c r="AW162" s="317"/>
      <c r="AX162" s="317"/>
      <c r="AY162" s="339"/>
      <c r="AZ162" s="339"/>
      <c r="BA162" s="652"/>
      <c r="BB162" s="317"/>
      <c r="BC162" s="317"/>
      <c r="BD162" s="1113"/>
      <c r="BE162" s="1113"/>
      <c r="BF162" s="1215"/>
      <c r="BG162" s="1215"/>
      <c r="BH162" s="317"/>
      <c r="BI162" s="652"/>
      <c r="BJ162" s="317"/>
      <c r="BK162" s="317"/>
      <c r="BL162" s="317"/>
      <c r="BM162" s="317"/>
      <c r="BN162" s="317"/>
      <c r="BO162" s="605"/>
    </row>
    <row r="163" spans="2:67" s="603" customFormat="1" ht="14.25" hidden="1" customHeight="1" outlineLevel="1">
      <c r="B163" s="992" t="s">
        <v>20</v>
      </c>
      <c r="C163" s="604"/>
      <c r="D163" s="420"/>
      <c r="E163" s="420"/>
      <c r="F163" s="420"/>
      <c r="G163" s="424"/>
      <c r="H163" s="420"/>
      <c r="I163" s="420"/>
      <c r="J163" s="317"/>
      <c r="K163" s="339"/>
      <c r="L163" s="652"/>
      <c r="M163" s="317"/>
      <c r="N163" s="317"/>
      <c r="O163" s="339"/>
      <c r="P163" s="317"/>
      <c r="Q163" s="317">
        <f>+Q146/P146-1</f>
        <v>3.3280507131537185E-2</v>
      </c>
      <c r="R163" s="317">
        <f t="shared" ref="R163:AR163" si="353">+R146/Q146-1</f>
        <v>-4.6012269938650041E-3</v>
      </c>
      <c r="S163" s="339">
        <f t="shared" si="353"/>
        <v>4.6224961479199855E-3</v>
      </c>
      <c r="T163" s="317">
        <f t="shared" si="353"/>
        <v>2.6073619631901801E-2</v>
      </c>
      <c r="U163" s="317">
        <f t="shared" si="353"/>
        <v>6.2780269058295923E-2</v>
      </c>
      <c r="V163" s="420">
        <f t="shared" si="353"/>
        <v>-6.469760900140642E-2</v>
      </c>
      <c r="W163" s="339">
        <f t="shared" si="353"/>
        <v>-8.5714285714285743E-2</v>
      </c>
      <c r="X163" s="317">
        <f t="shared" si="353"/>
        <v>6.25E-2</v>
      </c>
      <c r="Y163" s="317">
        <f t="shared" si="353"/>
        <v>0.14705882352941169</v>
      </c>
      <c r="Z163" s="317">
        <f>+Z146/Y146-1</f>
        <v>8.5020242914979782E-2</v>
      </c>
      <c r="AA163" s="317">
        <f t="shared" si="353"/>
        <v>-2.3631840796019876E-2</v>
      </c>
      <c r="AB163" s="652">
        <f t="shared" si="353"/>
        <v>-1.1464968152866239E-2</v>
      </c>
      <c r="AC163" s="317">
        <f t="shared" si="353"/>
        <v>0.13144329896907214</v>
      </c>
      <c r="AD163" s="317">
        <f t="shared" si="353"/>
        <v>5.0113895216400861E-2</v>
      </c>
      <c r="AE163" s="339">
        <f t="shared" si="353"/>
        <v>3.7960954446854656E-2</v>
      </c>
      <c r="AF163" s="652">
        <f t="shared" si="353"/>
        <v>-4.7021943573667735E-2</v>
      </c>
      <c r="AG163" s="317">
        <f t="shared" si="353"/>
        <v>8.3333333333333259E-2</v>
      </c>
      <c r="AH163" s="317">
        <f t="shared" si="353"/>
        <v>0.15283400809716596</v>
      </c>
      <c r="AI163" s="317">
        <f t="shared" si="353"/>
        <v>2.6338893766461702E-2</v>
      </c>
      <c r="AJ163" s="652">
        <f t="shared" si="353"/>
        <v>-5.5603079555175405E-2</v>
      </c>
      <c r="AK163" s="317">
        <f t="shared" si="353"/>
        <v>3.8043478260869623E-2</v>
      </c>
      <c r="AL163" s="317">
        <f t="shared" si="353"/>
        <v>1.5706806282722585E-2</v>
      </c>
      <c r="AM163" s="317">
        <f t="shared" si="353"/>
        <v>0.12199312714776633</v>
      </c>
      <c r="AN163" s="652">
        <f t="shared" si="353"/>
        <v>-0.15467075038284839</v>
      </c>
      <c r="AO163" s="317">
        <f t="shared" si="353"/>
        <v>3.8043478260869623E-2</v>
      </c>
      <c r="AP163" s="317">
        <f t="shared" si="353"/>
        <v>0.831588132635253</v>
      </c>
      <c r="AQ163" s="420">
        <f t="shared" si="353"/>
        <v>-1.7627441638875641E-2</v>
      </c>
      <c r="AR163" s="652">
        <f t="shared" si="353"/>
        <v>-2.4733268671192965E-2</v>
      </c>
      <c r="AS163" s="317"/>
      <c r="AT163" s="317"/>
      <c r="AU163" s="339"/>
      <c r="AV163" s="652"/>
      <c r="AW163" s="317"/>
      <c r="AX163" s="317"/>
      <c r="AY163" s="339"/>
      <c r="AZ163" s="339"/>
      <c r="BA163" s="652"/>
      <c r="BB163" s="317"/>
      <c r="BC163" s="317"/>
      <c r="BD163" s="1113"/>
      <c r="BE163" s="1113"/>
      <c r="BF163" s="1215"/>
      <c r="BG163" s="1215"/>
      <c r="BH163" s="317"/>
      <c r="BI163" s="652"/>
      <c r="BJ163" s="317"/>
      <c r="BK163" s="317"/>
      <c r="BL163" s="317"/>
      <c r="BM163" s="317"/>
      <c r="BN163" s="317"/>
      <c r="BO163" s="605"/>
    </row>
    <row r="164" spans="2:67" s="603" customFormat="1" ht="14.25" hidden="1" customHeight="1" outlineLevel="1">
      <c r="B164" s="992" t="s">
        <v>33</v>
      </c>
      <c r="C164" s="604"/>
      <c r="D164" s="420"/>
      <c r="E164" s="420"/>
      <c r="F164" s="420"/>
      <c r="G164" s="424"/>
      <c r="H164" s="420"/>
      <c r="I164" s="420"/>
      <c r="J164" s="317"/>
      <c r="K164" s="339"/>
      <c r="L164" s="652"/>
      <c r="M164" s="317"/>
      <c r="N164" s="317"/>
      <c r="O164" s="339"/>
      <c r="P164" s="317"/>
      <c r="Q164" s="1242">
        <f>+IF((Q155-P155)&gt;0,(Q155-P155)/(Q146-P146),"NA")</f>
        <v>1.6666666666666667</v>
      </c>
      <c r="R164" s="1242">
        <f t="shared" ref="R164:AQ164" si="354">+IF((R155-Q155)&gt;0,(R155-Q155)/(R146-Q146),"NA")</f>
        <v>-9.3333333333333339</v>
      </c>
      <c r="S164" s="1011">
        <f t="shared" si="354"/>
        <v>1.6666666666666667</v>
      </c>
      <c r="T164" s="1242">
        <f t="shared" si="354"/>
        <v>0.47058823529411764</v>
      </c>
      <c r="U164" s="1242">
        <f t="shared" si="354"/>
        <v>0.2857142857142857</v>
      </c>
      <c r="V164" s="1243" t="str">
        <f t="shared" si="354"/>
        <v>NA</v>
      </c>
      <c r="W164" s="1011" t="str">
        <f t="shared" si="354"/>
        <v>NA</v>
      </c>
      <c r="X164" s="1242">
        <f t="shared" si="354"/>
        <v>0.5</v>
      </c>
      <c r="Y164" s="1242">
        <f t="shared" si="354"/>
        <v>0.65263157894736845</v>
      </c>
      <c r="Z164" s="1242">
        <f>+IF((Z155-Y155)&gt;0,(Z155-Y155)/(Z146-Y146),"NA")</f>
        <v>0.3968253968253968</v>
      </c>
      <c r="AA164" s="1242" t="str">
        <f t="shared" si="354"/>
        <v>NA</v>
      </c>
      <c r="AB164" s="1259">
        <f t="shared" si="354"/>
        <v>-4.1111111111111107</v>
      </c>
      <c r="AC164" s="1260">
        <f t="shared" si="354"/>
        <v>6.8627450980392163E-2</v>
      </c>
      <c r="AD164" s="1260">
        <f t="shared" si="354"/>
        <v>0.61363636363636365</v>
      </c>
      <c r="AE164" s="1011">
        <f t="shared" si="354"/>
        <v>1.2</v>
      </c>
      <c r="AF164" s="1259" t="str">
        <f t="shared" si="354"/>
        <v>NA</v>
      </c>
      <c r="AG164" s="1260">
        <f t="shared" si="354"/>
        <v>0.47368421052631576</v>
      </c>
      <c r="AH164" s="1260">
        <f t="shared" si="354"/>
        <v>0.39735099337748342</v>
      </c>
      <c r="AI164" s="1260" t="str">
        <f t="shared" si="354"/>
        <v>NA</v>
      </c>
      <c r="AJ164" s="1259">
        <f t="shared" si="354"/>
        <v>-3.0769230769230771E-2</v>
      </c>
      <c r="AK164" s="1260" t="str">
        <f t="shared" si="354"/>
        <v>NA</v>
      </c>
      <c r="AL164" s="1260">
        <f t="shared" si="354"/>
        <v>3.3333333333333335</v>
      </c>
      <c r="AM164" s="1152" t="str">
        <f t="shared" si="354"/>
        <v>NA</v>
      </c>
      <c r="AN164" s="1259" t="str">
        <f t="shared" si="354"/>
        <v>NA</v>
      </c>
      <c r="AO164" s="1260" t="str">
        <f t="shared" si="354"/>
        <v>NA</v>
      </c>
      <c r="AP164" s="1260">
        <f t="shared" si="354"/>
        <v>6.2959076600209857E-2</v>
      </c>
      <c r="AQ164" s="1834" t="str">
        <f t="shared" si="354"/>
        <v>NA</v>
      </c>
      <c r="AR164" s="1151">
        <f t="shared" ref="AR164" si="355">+IF((AR155-AQ155)&gt;0,(AR155-AQ155)/(AR146-AQ146),"NA")</f>
        <v>-9.5882352941176467</v>
      </c>
      <c r="AS164" s="1152">
        <f t="shared" ref="AS164" si="356">+IF((AS155-AR155)&gt;0,(AS155-AR155)/(AS146-AR146),"NA")</f>
        <v>0.53956269210635877</v>
      </c>
      <c r="AT164" s="1152">
        <f t="shared" ref="AT164" si="357">+IF((AT155-AS155)&gt;0,(AT155-AS155)/(AT146-AS146),"NA")</f>
        <v>0.56837162584543688</v>
      </c>
      <c r="AU164" s="1018">
        <f t="shared" ref="AU164" si="358">+IF((AU155-AT155)&gt;0,(AU155-AT155)/(AU146-AT146),"NA")</f>
        <v>0.25950706817621949</v>
      </c>
      <c r="AV164" s="1151" t="str">
        <f t="shared" ref="AV164" si="359">+IF((AV155-AU155)&gt;0,(AV155-AU155)/(AV146-AU146),"NA")</f>
        <v>NA</v>
      </c>
      <c r="AW164" s="1152">
        <f t="shared" ref="AW164" si="360">+IF((AW155-AV155)&gt;0,(AW155-AV155)/(AW146-AV146),"NA")</f>
        <v>0.4532255574935764</v>
      </c>
      <c r="AX164" s="1152" t="str">
        <f t="shared" ref="AX164" si="361">+IF((AX155-AW155)&gt;0,(AX155-AW155)/(AX146-AW146),"NA")</f>
        <v>NA</v>
      </c>
      <c r="AY164" s="1018" t="str">
        <f t="shared" ref="AY164" si="362">+IF((AY155-AX155)&gt;0,(AY155-AX155)/(AY146-AX146),"NA")</f>
        <v>NA</v>
      </c>
      <c r="AZ164" s="339"/>
      <c r="BA164" s="652"/>
      <c r="BB164" s="317"/>
      <c r="BC164" s="317"/>
      <c r="BD164" s="1113"/>
      <c r="BE164" s="1113"/>
      <c r="BF164" s="1215"/>
      <c r="BG164" s="1215"/>
      <c r="BH164" s="317"/>
      <c r="BI164" s="652"/>
      <c r="BJ164" s="317"/>
      <c r="BK164" s="317"/>
      <c r="BL164" s="317"/>
      <c r="BM164" s="317">
        <f t="shared" ref="BM164:BN164" si="363">+IF((BM155-BL155)&gt;0,(BM155-BL155)/(BM146-BL146),"NA")</f>
        <v>18.42243732561597</v>
      </c>
      <c r="BN164" s="317">
        <f t="shared" si="363"/>
        <v>0.30878345666751433</v>
      </c>
      <c r="BO164" s="605"/>
    </row>
    <row r="165" spans="2:67" s="1012" customFormat="1" ht="14.25" hidden="1" customHeight="1" outlineLevel="1">
      <c r="B165" s="1013"/>
      <c r="C165" s="957"/>
      <c r="D165" s="420"/>
      <c r="E165" s="420"/>
      <c r="F165" s="420"/>
      <c r="G165" s="424"/>
      <c r="H165" s="420"/>
      <c r="I165" s="420"/>
      <c r="J165" s="420"/>
      <c r="K165" s="424"/>
      <c r="L165" s="958"/>
      <c r="M165" s="420"/>
      <c r="N165" s="420"/>
      <c r="O165" s="424"/>
      <c r="P165" s="420"/>
      <c r="Q165" s="1243"/>
      <c r="R165" s="1243"/>
      <c r="S165" s="1014"/>
      <c r="T165" s="1243"/>
      <c r="U165" s="1243"/>
      <c r="V165" s="1243"/>
      <c r="W165" s="1014"/>
      <c r="X165" s="1243"/>
      <c r="Y165" s="1243"/>
      <c r="Z165" s="1243"/>
      <c r="AA165" s="1243"/>
      <c r="AB165" s="1261"/>
      <c r="AC165" s="1142"/>
      <c r="AD165" s="1142"/>
      <c r="AE165" s="1184"/>
      <c r="AF165" s="1141"/>
      <c r="AG165" s="1142"/>
      <c r="AH165" s="1142"/>
      <c r="AI165" s="1142"/>
      <c r="AJ165" s="1141"/>
      <c r="AK165" s="1142"/>
      <c r="AL165" s="1142"/>
      <c r="AM165" s="1142"/>
      <c r="AN165" s="1141"/>
      <c r="AO165" s="1142"/>
      <c r="AP165" s="1142"/>
      <c r="AQ165" s="1142"/>
      <c r="AR165" s="1141"/>
      <c r="AS165" s="1142"/>
      <c r="AT165" s="1142"/>
      <c r="AU165" s="423"/>
      <c r="AV165" s="1141"/>
      <c r="AW165" s="1142"/>
      <c r="AX165" s="1142"/>
      <c r="AY165" s="423"/>
      <c r="AZ165" s="424"/>
      <c r="BA165" s="958"/>
      <c r="BB165" s="420"/>
      <c r="BC165" s="420"/>
      <c r="BD165" s="1114"/>
      <c r="BE165" s="1114"/>
      <c r="BF165" s="1216"/>
      <c r="BG165" s="1216"/>
      <c r="BH165" s="420"/>
      <c r="BI165" s="958"/>
      <c r="BJ165" s="420"/>
      <c r="BK165" s="420"/>
      <c r="BL165" s="420"/>
      <c r="BM165" s="420"/>
      <c r="BN165" s="420"/>
      <c r="BO165" s="1015"/>
    </row>
    <row r="166" spans="2:67" s="1012" customFormat="1" ht="14.25" hidden="1" customHeight="1" outlineLevel="1">
      <c r="B166" s="1016" t="s">
        <v>38</v>
      </c>
      <c r="C166" s="957"/>
      <c r="D166" s="420"/>
      <c r="E166" s="420"/>
      <c r="F166" s="420"/>
      <c r="G166" s="424"/>
      <c r="H166" s="420"/>
      <c r="I166" s="420"/>
      <c r="J166" s="420"/>
      <c r="K166" s="424"/>
      <c r="L166" s="958"/>
      <c r="M166" s="420"/>
      <c r="N166" s="420"/>
      <c r="O166" s="424"/>
      <c r="P166" s="420"/>
      <c r="Q166" s="1243"/>
      <c r="R166" s="1243"/>
      <c r="S166" s="1014"/>
      <c r="T166" s="1243"/>
      <c r="U166" s="1243"/>
      <c r="V166" s="1243"/>
      <c r="W166" s="1014"/>
      <c r="X166" s="1243"/>
      <c r="Y166" s="1243"/>
      <c r="Z166" s="1243"/>
      <c r="AA166" s="1243"/>
      <c r="AB166" s="1261"/>
      <c r="AC166" s="1142"/>
      <c r="AD166" s="1142"/>
      <c r="AE166" s="423"/>
      <c r="AF166" s="1141"/>
      <c r="AG166" s="1142"/>
      <c r="AH166" s="1142"/>
      <c r="AI166" s="1142"/>
      <c r="AJ166" s="1141"/>
      <c r="AK166" s="1142"/>
      <c r="AL166" s="1142"/>
      <c r="AM166" s="1142"/>
      <c r="AN166" s="1141"/>
      <c r="AO166" s="1142"/>
      <c r="AP166" s="1142"/>
      <c r="AQ166" s="1142"/>
      <c r="AR166" s="1141"/>
      <c r="AS166" s="1142"/>
      <c r="AT166" s="1142"/>
      <c r="AU166" s="423"/>
      <c r="AV166" s="1141"/>
      <c r="AW166" s="1142"/>
      <c r="AX166" s="1142"/>
      <c r="AY166" s="423"/>
      <c r="AZ166" s="424"/>
      <c r="BA166" s="958"/>
      <c r="BB166" s="420"/>
      <c r="BC166" s="420"/>
      <c r="BD166" s="1114"/>
      <c r="BE166" s="1114"/>
      <c r="BF166" s="1216"/>
      <c r="BG166" s="1216"/>
      <c r="BH166" s="420"/>
      <c r="BI166" s="958"/>
      <c r="BJ166" s="420"/>
      <c r="BK166" s="420"/>
      <c r="BL166" s="420"/>
      <c r="BM166" s="420"/>
      <c r="BN166" s="420"/>
      <c r="BO166" s="1015"/>
    </row>
    <row r="167" spans="2:67" s="603" customFormat="1" ht="14.25" hidden="1" customHeight="1" outlineLevel="1">
      <c r="B167" s="1019" t="s">
        <v>445</v>
      </c>
      <c r="C167" s="604"/>
      <c r="D167" s="420"/>
      <c r="E167" s="420"/>
      <c r="F167" s="420"/>
      <c r="G167" s="424"/>
      <c r="H167" s="420"/>
      <c r="I167" s="420"/>
      <c r="J167" s="317"/>
      <c r="K167" s="339"/>
      <c r="L167" s="652"/>
      <c r="M167" s="317"/>
      <c r="N167" s="317"/>
      <c r="O167" s="339"/>
      <c r="P167" s="317"/>
      <c r="Q167" s="1242"/>
      <c r="R167" s="1242"/>
      <c r="S167" s="1011"/>
      <c r="T167" s="1242"/>
      <c r="U167" s="1242"/>
      <c r="V167" s="1243"/>
      <c r="W167" s="1011"/>
      <c r="X167" s="1242"/>
      <c r="Y167" s="1242"/>
      <c r="Z167" s="1242"/>
      <c r="AA167" s="1242"/>
      <c r="AB167" s="1262"/>
      <c r="AC167" s="1154">
        <v>0.55000000000000004</v>
      </c>
      <c r="AD167" s="1154">
        <v>0.55000000000000004</v>
      </c>
      <c r="AE167" s="1020">
        <v>0.55000000000000004</v>
      </c>
      <c r="AF167" s="1153">
        <v>0.55000000000000004</v>
      </c>
      <c r="AG167" s="1154">
        <v>0.55000000000000004</v>
      </c>
      <c r="AH167" s="1154">
        <v>0.55000000000000004</v>
      </c>
      <c r="AI167" s="1154">
        <v>0.55000000000000004</v>
      </c>
      <c r="AJ167" s="1153">
        <v>0.55000000000000004</v>
      </c>
      <c r="AK167" s="1154">
        <v>0.55000000000000004</v>
      </c>
      <c r="AL167" s="1154">
        <v>0.55000000000000004</v>
      </c>
      <c r="AM167" s="1154">
        <v>0.55000000000000004</v>
      </c>
      <c r="AN167" s="1153">
        <v>0.55000000000000004</v>
      </c>
      <c r="AO167" s="1154">
        <v>0.55000000000000004</v>
      </c>
      <c r="AP167" s="1154">
        <v>0.55000000000000004</v>
      </c>
      <c r="AQ167" s="1835">
        <v>0.55000000000000004</v>
      </c>
      <c r="AR167" s="1153">
        <v>0.55000000000000004</v>
      </c>
      <c r="AS167" s="1154">
        <v>0.55000000000000004</v>
      </c>
      <c r="AT167" s="1154">
        <v>0.55000000000000004</v>
      </c>
      <c r="AU167" s="1020">
        <v>0.55000000000000004</v>
      </c>
      <c r="AV167" s="1153">
        <v>0.55000000000000004</v>
      </c>
      <c r="AW167" s="1154">
        <v>0.55000000000000004</v>
      </c>
      <c r="AX167" s="1154">
        <v>0.55000000000000004</v>
      </c>
      <c r="AY167" s="1020">
        <v>0.55000000000000004</v>
      </c>
      <c r="AZ167" s="339"/>
      <c r="BA167" s="652"/>
      <c r="BB167" s="317"/>
      <c r="BC167" s="317"/>
      <c r="BD167" s="1113"/>
      <c r="BE167" s="1113"/>
      <c r="BF167" s="1215"/>
      <c r="BG167" s="1215"/>
      <c r="BH167" s="317"/>
      <c r="BI167" s="652"/>
      <c r="BJ167" s="317"/>
      <c r="BK167" s="317"/>
      <c r="BL167" s="317"/>
      <c r="BM167" s="317">
        <v>0.55000000000000004</v>
      </c>
      <c r="BN167" s="317">
        <v>0.55000000000000004</v>
      </c>
      <c r="BO167" s="605"/>
    </row>
    <row r="168" spans="2:67" s="603" customFormat="1" ht="14.25" hidden="1" customHeight="1" outlineLevel="1">
      <c r="B168" s="1019" t="s">
        <v>408</v>
      </c>
      <c r="C168" s="604"/>
      <c r="D168" s="420"/>
      <c r="E168" s="420"/>
      <c r="F168" s="420"/>
      <c r="G168" s="424"/>
      <c r="H168" s="420"/>
      <c r="I168" s="420"/>
      <c r="J168" s="317"/>
      <c r="K168" s="339"/>
      <c r="L168" s="652"/>
      <c r="M168" s="317"/>
      <c r="N168" s="317"/>
      <c r="O168" s="339"/>
      <c r="P168" s="317"/>
      <c r="Q168" s="1242"/>
      <c r="R168" s="1242"/>
      <c r="S168" s="1011"/>
      <c r="T168" s="1242"/>
      <c r="U168" s="1242"/>
      <c r="V168" s="1243"/>
      <c r="W168" s="1011"/>
      <c r="X168" s="1242"/>
      <c r="Y168" s="1242"/>
      <c r="Z168" s="1242"/>
      <c r="AA168" s="1242"/>
      <c r="AB168" s="1262"/>
      <c r="AC168" s="1154">
        <v>0.55000000000000004</v>
      </c>
      <c r="AD168" s="1154">
        <v>0.55000000000000004</v>
      </c>
      <c r="AE168" s="1020">
        <v>0.55000000000000004</v>
      </c>
      <c r="AF168" s="1153">
        <v>0.55000000000000004</v>
      </c>
      <c r="AG168" s="1154">
        <v>0.55000000000000004</v>
      </c>
      <c r="AH168" s="1154">
        <v>0.55000000000000004</v>
      </c>
      <c r="AI168" s="1154">
        <v>0.55000000000000004</v>
      </c>
      <c r="AJ168" s="1153">
        <v>0.55000000000000004</v>
      </c>
      <c r="AK168" s="1154">
        <v>0.55000000000000004</v>
      </c>
      <c r="AL168" s="1154">
        <v>0.55000000000000004</v>
      </c>
      <c r="AM168" s="1154">
        <v>0.55000000000000004</v>
      </c>
      <c r="AN168" s="1153">
        <v>0.55000000000000004</v>
      </c>
      <c r="AO168" s="1154">
        <v>0.55000000000000004</v>
      </c>
      <c r="AP168" s="1154">
        <v>0.55000000000000004</v>
      </c>
      <c r="AQ168" s="1835">
        <v>0.55000000000000004</v>
      </c>
      <c r="AR168" s="1153">
        <v>0.55000000000000004</v>
      </c>
      <c r="AS168" s="1154">
        <v>0.55000000000000004</v>
      </c>
      <c r="AT168" s="1154">
        <v>0.55000000000000004</v>
      </c>
      <c r="AU168" s="1020">
        <v>0.55000000000000004</v>
      </c>
      <c r="AV168" s="1153">
        <v>0.55000000000000004</v>
      </c>
      <c r="AW168" s="1154">
        <v>0.55000000000000004</v>
      </c>
      <c r="AX168" s="1154">
        <v>0.55000000000000004</v>
      </c>
      <c r="AY168" s="1020">
        <v>0.55000000000000004</v>
      </c>
      <c r="AZ168" s="339"/>
      <c r="BA168" s="652"/>
      <c r="BB168" s="317"/>
      <c r="BC168" s="317"/>
      <c r="BD168" s="1113"/>
      <c r="BE168" s="1113"/>
      <c r="BF168" s="1215"/>
      <c r="BG168" s="1215"/>
      <c r="BH168" s="317"/>
      <c r="BI168" s="652"/>
      <c r="BJ168" s="317"/>
      <c r="BK168" s="317"/>
      <c r="BL168" s="317"/>
      <c r="BM168" s="317">
        <v>0.55000000000000004</v>
      </c>
      <c r="BN168" s="317">
        <v>0.55000000000000004</v>
      </c>
      <c r="BO168" s="605"/>
    </row>
    <row r="169" spans="2:67" s="603" customFormat="1" ht="14.25" hidden="1" customHeight="1" outlineLevel="1">
      <c r="B169" s="1019" t="s">
        <v>32</v>
      </c>
      <c r="C169" s="604"/>
      <c r="D169" s="420"/>
      <c r="E169" s="420"/>
      <c r="F169" s="420"/>
      <c r="G169" s="424"/>
      <c r="H169" s="420"/>
      <c r="I169" s="420"/>
      <c r="J169" s="317"/>
      <c r="K169" s="339"/>
      <c r="L169" s="652"/>
      <c r="M169" s="317"/>
      <c r="N169" s="317"/>
      <c r="O169" s="339"/>
      <c r="P169" s="317"/>
      <c r="Q169" s="1242"/>
      <c r="R169" s="1242"/>
      <c r="S169" s="1011"/>
      <c r="T169" s="1242"/>
      <c r="U169" s="1242"/>
      <c r="V169" s="1243"/>
      <c r="W169" s="1011"/>
      <c r="X169" s="1242"/>
      <c r="Y169" s="1242"/>
      <c r="Z169" s="1242"/>
      <c r="AA169" s="1242"/>
      <c r="AB169" s="1262"/>
      <c r="AC169" s="1154">
        <v>0.5</v>
      </c>
      <c r="AD169" s="1154">
        <v>0.5</v>
      </c>
      <c r="AE169" s="1020">
        <v>0.5</v>
      </c>
      <c r="AF169" s="1153">
        <v>0.5</v>
      </c>
      <c r="AG169" s="1154">
        <v>0.5</v>
      </c>
      <c r="AH169" s="1154">
        <v>0.5</v>
      </c>
      <c r="AI169" s="1154">
        <v>0.5</v>
      </c>
      <c r="AJ169" s="1153">
        <v>0.5</v>
      </c>
      <c r="AK169" s="1154">
        <v>0.5</v>
      </c>
      <c r="AL169" s="1154">
        <v>0.5</v>
      </c>
      <c r="AM169" s="1154">
        <v>0.5</v>
      </c>
      <c r="AN169" s="1153">
        <v>0.5</v>
      </c>
      <c r="AO169" s="1154">
        <v>0.5</v>
      </c>
      <c r="AP169" s="1154">
        <v>0.5</v>
      </c>
      <c r="AQ169" s="1835">
        <v>0.5</v>
      </c>
      <c r="AR169" s="1153">
        <v>0.5</v>
      </c>
      <c r="AS169" s="1154">
        <v>0.5</v>
      </c>
      <c r="AT169" s="1154">
        <v>0.5</v>
      </c>
      <c r="AU169" s="1020">
        <v>0.5</v>
      </c>
      <c r="AV169" s="1153">
        <v>0.5</v>
      </c>
      <c r="AW169" s="1154">
        <v>0.5</v>
      </c>
      <c r="AX169" s="1154">
        <v>0.5</v>
      </c>
      <c r="AY169" s="1020">
        <v>0.5</v>
      </c>
      <c r="AZ169" s="339"/>
      <c r="BA169" s="652"/>
      <c r="BB169" s="317"/>
      <c r="BC169" s="317"/>
      <c r="BD169" s="1113"/>
      <c r="BE169" s="1113"/>
      <c r="BF169" s="1215"/>
      <c r="BG169" s="1215"/>
      <c r="BH169" s="317"/>
      <c r="BI169" s="652"/>
      <c r="BJ169" s="317"/>
      <c r="BK169" s="317"/>
      <c r="BL169" s="317"/>
      <c r="BM169" s="317">
        <v>0.5</v>
      </c>
      <c r="BN169" s="317">
        <v>0.5</v>
      </c>
      <c r="BO169" s="605"/>
    </row>
    <row r="170" spans="2:67" s="603" customFormat="1" ht="14.25" hidden="1" customHeight="1" outlineLevel="1">
      <c r="B170" s="1019" t="s">
        <v>448</v>
      </c>
      <c r="C170" s="604"/>
      <c r="D170" s="420"/>
      <c r="E170" s="420"/>
      <c r="F170" s="420"/>
      <c r="G170" s="424"/>
      <c r="H170" s="420"/>
      <c r="I170" s="420"/>
      <c r="J170" s="317"/>
      <c r="K170" s="339"/>
      <c r="L170" s="652"/>
      <c r="M170" s="317"/>
      <c r="N170" s="317"/>
      <c r="O170" s="339"/>
      <c r="P170" s="317"/>
      <c r="Q170" s="1242"/>
      <c r="R170" s="1242"/>
      <c r="S170" s="1011"/>
      <c r="T170" s="1242"/>
      <c r="U170" s="1242"/>
      <c r="V170" s="1243"/>
      <c r="W170" s="1011"/>
      <c r="X170" s="1242"/>
      <c r="Y170" s="1242"/>
      <c r="Z170" s="1242"/>
      <c r="AA170" s="1242"/>
      <c r="AB170" s="1262"/>
      <c r="AC170" s="1154">
        <v>0.5</v>
      </c>
      <c r="AD170" s="1154">
        <v>0.5</v>
      </c>
      <c r="AE170" s="1020">
        <v>0.5</v>
      </c>
      <c r="AF170" s="1153">
        <v>0.5</v>
      </c>
      <c r="AG170" s="1154">
        <v>0.5</v>
      </c>
      <c r="AH170" s="1154">
        <v>0.5</v>
      </c>
      <c r="AI170" s="1154">
        <v>0.5</v>
      </c>
      <c r="AJ170" s="1153">
        <v>0.5</v>
      </c>
      <c r="AK170" s="1154">
        <v>0.5</v>
      </c>
      <c r="AL170" s="1154">
        <v>0.5</v>
      </c>
      <c r="AM170" s="1154">
        <v>0.5</v>
      </c>
      <c r="AN170" s="1153">
        <v>0.5</v>
      </c>
      <c r="AO170" s="1154">
        <v>0.5</v>
      </c>
      <c r="AP170" s="1154">
        <v>0.5</v>
      </c>
      <c r="AQ170" s="1835">
        <v>0.5</v>
      </c>
      <c r="AR170" s="1153">
        <v>0.5</v>
      </c>
      <c r="AS170" s="1154">
        <v>0.5</v>
      </c>
      <c r="AT170" s="1154">
        <v>0.5</v>
      </c>
      <c r="AU170" s="1020">
        <v>0.5</v>
      </c>
      <c r="AV170" s="1153">
        <v>0.5</v>
      </c>
      <c r="AW170" s="1154">
        <v>0.5</v>
      </c>
      <c r="AX170" s="1154">
        <v>0.5</v>
      </c>
      <c r="AY170" s="1020">
        <v>0.5</v>
      </c>
      <c r="AZ170" s="339"/>
      <c r="BA170" s="652"/>
      <c r="BB170" s="317"/>
      <c r="BC170" s="317"/>
      <c r="BD170" s="1113"/>
      <c r="BE170" s="1113"/>
      <c r="BF170" s="1215"/>
      <c r="BG170" s="1215"/>
      <c r="BH170" s="317"/>
      <c r="BI170" s="652"/>
      <c r="BJ170" s="317"/>
      <c r="BK170" s="317"/>
      <c r="BL170" s="317"/>
      <c r="BM170" s="317">
        <v>0.5</v>
      </c>
      <c r="BN170" s="317">
        <v>0.5</v>
      </c>
      <c r="BO170" s="605"/>
    </row>
    <row r="171" spans="2:67" s="603" customFormat="1" ht="14.25" hidden="1" customHeight="1" outlineLevel="1">
      <c r="B171" s="1019" t="s">
        <v>409</v>
      </c>
      <c r="C171" s="604"/>
      <c r="D171" s="420"/>
      <c r="E171" s="420"/>
      <c r="F171" s="420"/>
      <c r="G171" s="424"/>
      <c r="H171" s="420"/>
      <c r="I171" s="420"/>
      <c r="J171" s="317"/>
      <c r="K171" s="339"/>
      <c r="L171" s="652"/>
      <c r="M171" s="317"/>
      <c r="N171" s="317"/>
      <c r="O171" s="339"/>
      <c r="P171" s="317"/>
      <c r="Q171" s="1242"/>
      <c r="R171" s="1242"/>
      <c r="S171" s="1011"/>
      <c r="T171" s="1242"/>
      <c r="U171" s="1242"/>
      <c r="V171" s="1243"/>
      <c r="W171" s="1011"/>
      <c r="X171" s="1242"/>
      <c r="Y171" s="1242"/>
      <c r="Z171" s="1242"/>
      <c r="AA171" s="1242"/>
      <c r="AB171" s="1262"/>
      <c r="AC171" s="1154">
        <v>0.45</v>
      </c>
      <c r="AD171" s="1154">
        <v>0.4</v>
      </c>
      <c r="AE171" s="1020">
        <v>0.4</v>
      </c>
      <c r="AF171" s="1153">
        <v>0.45</v>
      </c>
      <c r="AG171" s="1154">
        <v>0.45</v>
      </c>
      <c r="AH171" s="1154">
        <v>0.4</v>
      </c>
      <c r="AI171" s="1154">
        <v>0.4</v>
      </c>
      <c r="AJ171" s="1153">
        <v>0.45</v>
      </c>
      <c r="AK171" s="1154">
        <v>0.45</v>
      </c>
      <c r="AL171" s="1154">
        <v>0.4</v>
      </c>
      <c r="AM171" s="1154">
        <v>0.4</v>
      </c>
      <c r="AN171" s="1153">
        <v>0.45</v>
      </c>
      <c r="AO171" s="1154">
        <v>0.45</v>
      </c>
      <c r="AP171" s="1154">
        <v>0.4</v>
      </c>
      <c r="AQ171" s="1835">
        <v>0.4</v>
      </c>
      <c r="AR171" s="1153">
        <v>0.45</v>
      </c>
      <c r="AS171" s="1154">
        <v>0.45</v>
      </c>
      <c r="AT171" s="1154">
        <v>0.45</v>
      </c>
      <c r="AU171" s="1020">
        <v>0.45</v>
      </c>
      <c r="AV171" s="1153">
        <v>0.45</v>
      </c>
      <c r="AW171" s="1154">
        <v>0.45</v>
      </c>
      <c r="AX171" s="1154">
        <v>0.45</v>
      </c>
      <c r="AY171" s="1020">
        <v>0.45</v>
      </c>
      <c r="AZ171" s="339"/>
      <c r="BA171" s="652"/>
      <c r="BB171" s="317"/>
      <c r="BC171" s="317"/>
      <c r="BD171" s="1113"/>
      <c r="BE171" s="1113"/>
      <c r="BF171" s="1215"/>
      <c r="BG171" s="1215"/>
      <c r="BH171" s="317"/>
      <c r="BI171" s="652"/>
      <c r="BJ171" s="317"/>
      <c r="BK171" s="317"/>
      <c r="BL171" s="317"/>
      <c r="BM171" s="317">
        <v>0.45</v>
      </c>
      <c r="BN171" s="317">
        <v>0.45</v>
      </c>
      <c r="BO171" s="605"/>
    </row>
    <row r="172" spans="2:67" s="603" customFormat="1" ht="14.25" hidden="1" customHeight="1" outlineLevel="1">
      <c r="B172" s="1019" t="s">
        <v>37</v>
      </c>
      <c r="C172" s="604"/>
      <c r="D172" s="420"/>
      <c r="E172" s="420"/>
      <c r="F172" s="420"/>
      <c r="G172" s="424"/>
      <c r="H172" s="420"/>
      <c r="I172" s="420"/>
      <c r="J172" s="317"/>
      <c r="K172" s="339"/>
      <c r="L172" s="652"/>
      <c r="M172" s="317"/>
      <c r="N172" s="317"/>
      <c r="O172" s="339"/>
      <c r="P172" s="317"/>
      <c r="Q172" s="1242"/>
      <c r="R172" s="1242"/>
      <c r="S172" s="1011"/>
      <c r="T172" s="1242"/>
      <c r="U172" s="1242"/>
      <c r="V172" s="1243"/>
      <c r="W172" s="1011"/>
      <c r="X172" s="1242"/>
      <c r="Y172" s="1242"/>
      <c r="Z172" s="1242"/>
      <c r="AA172" s="1242"/>
      <c r="AB172" s="1262"/>
      <c r="AC172" s="1156">
        <v>0</v>
      </c>
      <c r="AD172" s="1156">
        <v>5</v>
      </c>
      <c r="AE172" s="1042">
        <v>20</v>
      </c>
      <c r="AF172" s="1155"/>
      <c r="AG172" s="1156"/>
      <c r="AH172" s="1156">
        <v>5</v>
      </c>
      <c r="AI172" s="1156">
        <v>5</v>
      </c>
      <c r="AJ172" s="1155"/>
      <c r="AK172" s="1156"/>
      <c r="AL172" s="1156">
        <v>5</v>
      </c>
      <c r="AM172" s="1156">
        <v>5</v>
      </c>
      <c r="AN172" s="1155"/>
      <c r="AO172" s="1156"/>
      <c r="AP172" s="1156">
        <v>5</v>
      </c>
      <c r="AQ172" s="1836">
        <v>5</v>
      </c>
      <c r="AR172" s="1155">
        <v>0</v>
      </c>
      <c r="AS172" s="1156">
        <v>0</v>
      </c>
      <c r="AT172" s="1156">
        <v>0</v>
      </c>
      <c r="AU172" s="1042">
        <v>0</v>
      </c>
      <c r="AV172" s="1155">
        <v>0</v>
      </c>
      <c r="AW172" s="1156">
        <v>0</v>
      </c>
      <c r="AX172" s="1156">
        <v>0</v>
      </c>
      <c r="AY172" s="1042">
        <v>0</v>
      </c>
      <c r="AZ172" s="339"/>
      <c r="BA172" s="652"/>
      <c r="BB172" s="317"/>
      <c r="BC172" s="317"/>
      <c r="BD172" s="1113"/>
      <c r="BE172" s="1113"/>
      <c r="BF172" s="1215"/>
      <c r="BG172" s="1215"/>
      <c r="BH172" s="317"/>
      <c r="BI172" s="652"/>
      <c r="BJ172" s="317"/>
      <c r="BK172" s="317"/>
      <c r="BL172" s="317"/>
      <c r="BM172" s="317">
        <v>0</v>
      </c>
      <c r="BN172" s="317">
        <v>0</v>
      </c>
      <c r="BO172" s="605"/>
    </row>
    <row r="173" spans="2:67" s="592" customFormat="1" ht="14.25" hidden="1" customHeight="1" outlineLevel="1">
      <c r="B173" s="575"/>
      <c r="C173" s="609"/>
      <c r="D173" s="614"/>
      <c r="E173" s="614"/>
      <c r="F173" s="614"/>
      <c r="G173" s="980"/>
      <c r="H173" s="614"/>
      <c r="I173" s="614"/>
      <c r="J173" s="612"/>
      <c r="K173" s="611"/>
      <c r="L173" s="616"/>
      <c r="M173" s="612"/>
      <c r="N173" s="612"/>
      <c r="O173" s="611"/>
      <c r="P173" s="612"/>
      <c r="Q173" s="612"/>
      <c r="R173" s="612"/>
      <c r="S173" s="611"/>
      <c r="T173" s="612"/>
      <c r="U173" s="612"/>
      <c r="V173" s="614"/>
      <c r="W173" s="611"/>
      <c r="X173" s="612"/>
      <c r="Y173" s="612"/>
      <c r="Z173" s="1260"/>
      <c r="AA173" s="612"/>
      <c r="AB173" s="616"/>
      <c r="AC173" s="612"/>
      <c r="AD173" s="612"/>
      <c r="AE173" s="611"/>
      <c r="AF173" s="616"/>
      <c r="AG173" s="612"/>
      <c r="AH173" s="612"/>
      <c r="AI173" s="612"/>
      <c r="AJ173" s="616"/>
      <c r="AK173" s="612"/>
      <c r="AL173" s="612"/>
      <c r="AM173" s="612"/>
      <c r="AN173" s="616"/>
      <c r="AO173" s="612"/>
      <c r="AP173" s="612"/>
      <c r="AQ173" s="614"/>
      <c r="AR173" s="616"/>
      <c r="AS173" s="612"/>
      <c r="AT173" s="612"/>
      <c r="AU173" s="611"/>
      <c r="AV173" s="616"/>
      <c r="AW173" s="612"/>
      <c r="AX173" s="612"/>
      <c r="AY173" s="611"/>
      <c r="AZ173" s="611"/>
      <c r="BA173" s="616"/>
      <c r="BB173" s="612"/>
      <c r="BC173" s="612"/>
      <c r="BD173" s="1111"/>
      <c r="BE173" s="1111"/>
      <c r="BF173" s="1214"/>
      <c r="BG173" s="1214"/>
      <c r="BH173" s="612"/>
      <c r="BI173" s="616"/>
      <c r="BJ173" s="612"/>
      <c r="BK173" s="612"/>
      <c r="BL173" s="612"/>
      <c r="BM173" s="612"/>
      <c r="BN173" s="612"/>
      <c r="BO173" s="613"/>
    </row>
    <row r="174" spans="2:67" s="592" customFormat="1" ht="14.25" hidden="1" customHeight="1" outlineLevel="2">
      <c r="B174" s="576" t="s">
        <v>35</v>
      </c>
      <c r="C174" s="609"/>
      <c r="D174" s="614"/>
      <c r="E174" s="614"/>
      <c r="F174" s="614"/>
      <c r="G174" s="980"/>
      <c r="H174" s="614"/>
      <c r="I174" s="614"/>
      <c r="J174" s="612"/>
      <c r="K174" s="611"/>
      <c r="L174" s="616"/>
      <c r="M174" s="612"/>
      <c r="N174" s="612"/>
      <c r="O174" s="611"/>
      <c r="P174" s="612"/>
      <c r="Q174" s="612"/>
      <c r="R174" s="612"/>
      <c r="S174" s="611"/>
      <c r="T174" s="612"/>
      <c r="U174" s="612"/>
      <c r="V174" s="614"/>
      <c r="W174" s="611"/>
      <c r="X174" s="612"/>
      <c r="Y174" s="612"/>
      <c r="Z174" s="1260"/>
      <c r="AA174" s="612"/>
      <c r="AB174" s="616"/>
      <c r="AC174" s="612"/>
      <c r="AD174" s="612"/>
      <c r="AE174" s="611"/>
      <c r="AF174" s="616"/>
      <c r="AG174" s="612"/>
      <c r="AH174" s="612"/>
      <c r="AI174" s="612"/>
      <c r="AJ174" s="616"/>
      <c r="AK174" s="612"/>
      <c r="AL174" s="612"/>
      <c r="AM174" s="612"/>
      <c r="AN174" s="616"/>
      <c r="AO174" s="612"/>
      <c r="AP174" s="612"/>
      <c r="AQ174" s="614"/>
      <c r="AR174" s="616"/>
      <c r="AS174" s="612"/>
      <c r="AT174" s="612"/>
      <c r="AU174" s="611"/>
      <c r="AV174" s="616"/>
      <c r="AW174" s="612"/>
      <c r="AX174" s="612"/>
      <c r="AY174" s="611"/>
      <c r="AZ174" s="611"/>
      <c r="BA174" s="616"/>
      <c r="BB174" s="612"/>
      <c r="BC174" s="612"/>
      <c r="BD174" s="1111"/>
      <c r="BE174" s="1111"/>
      <c r="BF174" s="1214"/>
      <c r="BG174" s="1214"/>
      <c r="BH174" s="612"/>
      <c r="BI174" s="616"/>
      <c r="BJ174" s="612"/>
      <c r="BK174" s="612"/>
      <c r="BL174" s="612"/>
      <c r="BM174" s="612"/>
      <c r="BN174" s="612"/>
      <c r="BO174" s="613"/>
    </row>
    <row r="175" spans="2:67" s="592" customFormat="1" ht="14.25" hidden="1" customHeight="1" outlineLevel="2">
      <c r="B175" s="1017" t="s">
        <v>445</v>
      </c>
      <c r="C175" s="609"/>
      <c r="D175" s="614"/>
      <c r="E175" s="614"/>
      <c r="F175" s="614"/>
      <c r="G175" s="980"/>
      <c r="H175" s="614"/>
      <c r="I175" s="614"/>
      <c r="J175" s="612"/>
      <c r="K175" s="611"/>
      <c r="L175" s="616"/>
      <c r="M175" s="612"/>
      <c r="N175" s="612"/>
      <c r="O175" s="611"/>
      <c r="P175" s="612"/>
      <c r="Q175" s="612"/>
      <c r="R175" s="612"/>
      <c r="S175" s="611"/>
      <c r="T175" s="612">
        <f>+T63-S63</f>
        <v>28</v>
      </c>
      <c r="U175" s="612">
        <f t="shared" ref="U175:AQ175" si="364">+U63-T63</f>
        <v>3</v>
      </c>
      <c r="V175" s="614">
        <f t="shared" si="364"/>
        <v>-37</v>
      </c>
      <c r="W175" s="611">
        <f t="shared" si="364"/>
        <v>-10</v>
      </c>
      <c r="X175" s="612">
        <f t="shared" si="364"/>
        <v>24.564102564102569</v>
      </c>
      <c r="Y175" s="612">
        <f t="shared" si="364"/>
        <v>24.564102564102569</v>
      </c>
      <c r="Z175" s="1291">
        <f t="shared" si="364"/>
        <v>27.538461538461519</v>
      </c>
      <c r="AA175" s="612">
        <f t="shared" si="364"/>
        <v>3.3333333333333428</v>
      </c>
      <c r="AB175" s="616">
        <f t="shared" si="364"/>
        <v>7.9699999999999989</v>
      </c>
      <c r="AC175" s="612">
        <f t="shared" si="364"/>
        <v>64.210499999999996</v>
      </c>
      <c r="AD175" s="612">
        <f t="shared" si="364"/>
        <v>-0.636099999999999</v>
      </c>
      <c r="AE175" s="611">
        <f t="shared" si="364"/>
        <v>-6.7420079999999984</v>
      </c>
      <c r="AF175" s="616">
        <f t="shared" si="364"/>
        <v>-5.6960478400000056</v>
      </c>
      <c r="AG175" s="612">
        <f t="shared" si="364"/>
        <v>13.955317207999997</v>
      </c>
      <c r="AH175" s="612">
        <f t="shared" si="364"/>
        <v>-6.8869490421479895</v>
      </c>
      <c r="AI175" s="612">
        <f t="shared" si="364"/>
        <v>-6.725105739657522</v>
      </c>
      <c r="AJ175" s="616">
        <f t="shared" si="364"/>
        <v>-5.5889921317238986</v>
      </c>
      <c r="AK175" s="612">
        <f t="shared" si="364"/>
        <v>13.693030722723563</v>
      </c>
      <c r="AL175" s="612">
        <f t="shared" si="364"/>
        <v>-6.757510661664071</v>
      </c>
      <c r="AM175" s="612">
        <f t="shared" si="364"/>
        <v>-6.5987091611149253</v>
      </c>
      <c r="AN175" s="616">
        <f t="shared" si="364"/>
        <v>-5.4839485070883143</v>
      </c>
      <c r="AO175" s="612">
        <f t="shared" si="364"/>
        <v>13.435673842366327</v>
      </c>
      <c r="AP175" s="612">
        <f t="shared" si="364"/>
        <v>-6.6305050412077549</v>
      </c>
      <c r="AQ175" s="614">
        <f t="shared" si="364"/>
        <v>-6.474688172739377</v>
      </c>
      <c r="AR175" s="616">
        <f t="shared" ref="AR175" si="365">+AR63-AQ63</f>
        <v>-13.452197873787327</v>
      </c>
      <c r="AS175" s="612">
        <f t="shared" ref="AS175" si="366">+AS63-AR63</f>
        <v>12.779587980097972</v>
      </c>
      <c r="AT175" s="612">
        <f t="shared" ref="AT175" si="367">+AT63-AS63</f>
        <v>8.0511404274616893</v>
      </c>
      <c r="AU175" s="611">
        <f t="shared" ref="AU175" si="368">+AU63-AT63</f>
        <v>-8.2926746402855542</v>
      </c>
      <c r="AV175" s="616">
        <f t="shared" ref="AV175" si="369">+AV63-AU63</f>
        <v>-13.406490668461657</v>
      </c>
      <c r="AW175" s="612">
        <f t="shared" ref="AW175" si="370">+AW63-AV63</f>
        <v>12.736166135038587</v>
      </c>
      <c r="AX175" s="612">
        <f t="shared" ref="AX175" si="371">+AX63-AW63</f>
        <v>8.0237846650742881</v>
      </c>
      <c r="AY175" s="611">
        <f t="shared" ref="AY175" si="372">+AY63-AX63</f>
        <v>-8.2644982050265412</v>
      </c>
      <c r="AZ175" s="611"/>
      <c r="BA175" s="616"/>
      <c r="BB175" s="612"/>
      <c r="BC175" s="612"/>
      <c r="BD175" s="612"/>
      <c r="BE175" s="612"/>
      <c r="BF175" s="616"/>
      <c r="BG175" s="616"/>
      <c r="BH175" s="612"/>
      <c r="BI175" s="616"/>
      <c r="BJ175" s="612"/>
      <c r="BK175" s="612"/>
      <c r="BL175" s="612"/>
      <c r="BM175" s="612">
        <f t="shared" ref="BM175:BN175" si="373">+BM63-BL63</f>
        <v>-56.03404003163314</v>
      </c>
      <c r="BN175" s="612">
        <f t="shared" si="373"/>
        <v>-54.35301883068405</v>
      </c>
      <c r="BO175" s="613"/>
    </row>
    <row r="176" spans="2:67" s="592" customFormat="1" ht="14.25" hidden="1" customHeight="1" outlineLevel="2">
      <c r="B176" s="1017" t="s">
        <v>408</v>
      </c>
      <c r="C176" s="609"/>
      <c r="D176" s="614"/>
      <c r="E176" s="614"/>
      <c r="F176" s="614"/>
      <c r="G176" s="980"/>
      <c r="H176" s="614"/>
      <c r="I176" s="614"/>
      <c r="J176" s="612"/>
      <c r="K176" s="611"/>
      <c r="L176" s="616"/>
      <c r="M176" s="612"/>
      <c r="N176" s="612"/>
      <c r="O176" s="611"/>
      <c r="P176" s="612"/>
      <c r="Q176" s="612"/>
      <c r="R176" s="612"/>
      <c r="S176" s="611"/>
      <c r="T176" s="612">
        <f>+T114-S114</f>
        <v>-13</v>
      </c>
      <c r="U176" s="612">
        <f t="shared" ref="U176:AQ176" si="374">+U114-T114</f>
        <v>20</v>
      </c>
      <c r="V176" s="614">
        <f t="shared" si="374"/>
        <v>17</v>
      </c>
      <c r="W176" s="611">
        <f t="shared" si="374"/>
        <v>-23</v>
      </c>
      <c r="X176" s="612">
        <f t="shared" si="374"/>
        <v>-15</v>
      </c>
      <c r="Y176" s="612">
        <f t="shared" si="374"/>
        <v>11</v>
      </c>
      <c r="Z176" s="1291">
        <f t="shared" si="374"/>
        <v>15</v>
      </c>
      <c r="AA176" s="612">
        <f t="shared" si="374"/>
        <v>-9</v>
      </c>
      <c r="AB176" s="616">
        <f t="shared" si="374"/>
        <v>-9</v>
      </c>
      <c r="AC176" s="612">
        <f t="shared" si="374"/>
        <v>27</v>
      </c>
      <c r="AD176" s="612">
        <f t="shared" si="374"/>
        <v>22</v>
      </c>
      <c r="AE176" s="611">
        <f t="shared" si="374"/>
        <v>-8</v>
      </c>
      <c r="AF176" s="616">
        <f t="shared" si="374"/>
        <v>-12</v>
      </c>
      <c r="AG176" s="612">
        <f t="shared" si="374"/>
        <v>28</v>
      </c>
      <c r="AH176" s="612">
        <f t="shared" si="374"/>
        <v>28</v>
      </c>
      <c r="AI176" s="612">
        <f t="shared" si="374"/>
        <v>15</v>
      </c>
      <c r="AJ176" s="616">
        <f t="shared" si="374"/>
        <v>-17.710000000000008</v>
      </c>
      <c r="AK176" s="612">
        <f t="shared" si="374"/>
        <v>-25.289999999999992</v>
      </c>
      <c r="AL176" s="612">
        <f t="shared" si="374"/>
        <v>28</v>
      </c>
      <c r="AM176" s="612">
        <f t="shared" si="374"/>
        <v>0</v>
      </c>
      <c r="AN176" s="616">
        <f t="shared" si="374"/>
        <v>-16.660000000000025</v>
      </c>
      <c r="AO176" s="612">
        <f t="shared" si="374"/>
        <v>-11.339999999999975</v>
      </c>
      <c r="AP176" s="612">
        <f t="shared" si="374"/>
        <v>28</v>
      </c>
      <c r="AQ176" s="614">
        <f t="shared" si="374"/>
        <v>0</v>
      </c>
      <c r="AR176" s="616">
        <f t="shared" ref="AR176" si="375">+AR114-AQ114</f>
        <v>-11.900000000000006</v>
      </c>
      <c r="AS176" s="612">
        <f t="shared" ref="AS176" si="376">+AS114-AR114</f>
        <v>13.566000000000003</v>
      </c>
      <c r="AT176" s="612">
        <f t="shared" ref="AT176" si="377">+AT114-AS114</f>
        <v>19.173280000000034</v>
      </c>
      <c r="AU176" s="611">
        <f t="shared" ref="AU176" si="378">+AU114-AT114</f>
        <v>0</v>
      </c>
      <c r="AV176" s="616">
        <f t="shared" ref="AV176" si="379">+AV114-AU114</f>
        <v>-12.941964000000013</v>
      </c>
      <c r="AW176" s="612">
        <f t="shared" ref="AW176" si="380">+AW114-AV114</f>
        <v>14.753838960000024</v>
      </c>
      <c r="AX176" s="612">
        <f t="shared" ref="AX176" si="381">+AX114-AW114</f>
        <v>20.852092396800003</v>
      </c>
      <c r="AY176" s="611">
        <f t="shared" ref="AY176" si="382">+AY114-AX114</f>
        <v>0</v>
      </c>
      <c r="AZ176" s="611"/>
      <c r="BA176" s="616"/>
      <c r="BB176" s="612"/>
      <c r="BC176" s="612"/>
      <c r="BD176" s="612"/>
      <c r="BE176" s="612"/>
      <c r="BF176" s="616"/>
      <c r="BG176" s="616"/>
      <c r="BH176" s="612"/>
      <c r="BI176" s="616"/>
      <c r="BJ176" s="612"/>
      <c r="BK176" s="612"/>
      <c r="BL176" s="612"/>
      <c r="BM176" s="612">
        <f t="shared" ref="BM176:BN176" si="383">+BM114-BL114</f>
        <v>0</v>
      </c>
      <c r="BN176" s="612">
        <f t="shared" si="383"/>
        <v>0</v>
      </c>
      <c r="BO176" s="613"/>
    </row>
    <row r="177" spans="2:67" s="592" customFormat="1" ht="14.25" hidden="1" customHeight="1" outlineLevel="2">
      <c r="B177" s="1017" t="s">
        <v>32</v>
      </c>
      <c r="C177" s="609"/>
      <c r="D177" s="614"/>
      <c r="E177" s="614"/>
      <c r="F177" s="614"/>
      <c r="G177" s="980"/>
      <c r="H177" s="614"/>
      <c r="I177" s="614"/>
      <c r="J177" s="612"/>
      <c r="K177" s="611"/>
      <c r="L177" s="616"/>
      <c r="M177" s="612"/>
      <c r="N177" s="612"/>
      <c r="O177" s="611"/>
      <c r="P177" s="612"/>
      <c r="Q177" s="612"/>
      <c r="R177" s="612"/>
      <c r="S177" s="611"/>
      <c r="T177" s="612">
        <f t="shared" ref="T177:AQ177" si="384">+T24-S24</f>
        <v>-5</v>
      </c>
      <c r="U177" s="612">
        <f t="shared" si="384"/>
        <v>13</v>
      </c>
      <c r="V177" s="614">
        <f t="shared" si="384"/>
        <v>-28</v>
      </c>
      <c r="W177" s="611">
        <f t="shared" si="384"/>
        <v>-5</v>
      </c>
      <c r="X177" s="612">
        <f t="shared" si="384"/>
        <v>11</v>
      </c>
      <c r="Y177" s="612">
        <f t="shared" si="384"/>
        <v>15</v>
      </c>
      <c r="Z177" s="1291">
        <f t="shared" si="384"/>
        <v>-5</v>
      </c>
      <c r="AA177" s="612">
        <f t="shared" si="384"/>
        <v>-12</v>
      </c>
      <c r="AB177" s="616">
        <f t="shared" si="384"/>
        <v>3</v>
      </c>
      <c r="AC177" s="612">
        <f t="shared" si="384"/>
        <v>23</v>
      </c>
      <c r="AD177" s="612">
        <f t="shared" si="384"/>
        <v>8</v>
      </c>
      <c r="AE177" s="611">
        <f t="shared" si="384"/>
        <v>14</v>
      </c>
      <c r="AF177" s="616">
        <f t="shared" si="384"/>
        <v>1</v>
      </c>
      <c r="AG177" s="612">
        <f t="shared" si="384"/>
        <v>12</v>
      </c>
      <c r="AH177" s="612">
        <f t="shared" si="384"/>
        <v>0</v>
      </c>
      <c r="AI177" s="612">
        <f t="shared" si="384"/>
        <v>4</v>
      </c>
      <c r="AJ177" s="616">
        <f t="shared" si="384"/>
        <v>10</v>
      </c>
      <c r="AK177" s="612">
        <f t="shared" si="384"/>
        <v>8</v>
      </c>
      <c r="AL177" s="612">
        <f t="shared" si="384"/>
        <v>-2</v>
      </c>
      <c r="AM177" s="612">
        <f t="shared" si="384"/>
        <v>114</v>
      </c>
      <c r="AN177" s="616">
        <f t="shared" si="384"/>
        <v>383</v>
      </c>
      <c r="AO177" s="612">
        <f t="shared" si="384"/>
        <v>53</v>
      </c>
      <c r="AP177" s="612">
        <f t="shared" si="384"/>
        <v>-5</v>
      </c>
      <c r="AQ177" s="614">
        <f t="shared" si="384"/>
        <v>10</v>
      </c>
      <c r="AR177" s="616">
        <f t="shared" ref="AR177" si="385">+AR24-AQ24</f>
        <v>43</v>
      </c>
      <c r="AS177" s="612">
        <f t="shared" ref="AS177" si="386">+AS24-AR24</f>
        <v>32</v>
      </c>
      <c r="AT177" s="612">
        <f t="shared" ref="AT177" si="387">+AT24-AS24</f>
        <v>10</v>
      </c>
      <c r="AU177" s="611">
        <f t="shared" ref="AU177" si="388">+AU24-AT24</f>
        <v>22</v>
      </c>
      <c r="AV177" s="616">
        <f t="shared" ref="AV177" si="389">+AV24-AU24</f>
        <v>38.800000000000068</v>
      </c>
      <c r="AW177" s="612">
        <f t="shared" ref="AW177" si="390">+AW24-AV24</f>
        <v>25.219999999999914</v>
      </c>
      <c r="AX177" s="612">
        <f t="shared" ref="AX177" si="391">+AX24-AW24</f>
        <v>-20.680399999999963</v>
      </c>
      <c r="AY177" s="611">
        <f t="shared" ref="AY177" si="392">+AY24-AX24</f>
        <v>-10.133396000000062</v>
      </c>
      <c r="AZ177" s="611"/>
      <c r="BA177" s="616"/>
      <c r="BB177" s="612"/>
      <c r="BC177" s="612"/>
      <c r="BD177" s="612"/>
      <c r="BE177" s="612"/>
      <c r="BF177" s="616"/>
      <c r="BG177" s="616"/>
      <c r="BH177" s="612"/>
      <c r="BI177" s="616"/>
      <c r="BJ177" s="612"/>
      <c r="BK177" s="612"/>
      <c r="BL177" s="612"/>
      <c r="BM177" s="612">
        <f t="shared" ref="BM177:BN177" si="393">+BM24-BL24</f>
        <v>243.56194823999977</v>
      </c>
      <c r="BN177" s="612">
        <f t="shared" si="393"/>
        <v>215.14638761200058</v>
      </c>
      <c r="BO177" s="613"/>
    </row>
    <row r="178" spans="2:67" s="592" customFormat="1" ht="14.25" hidden="1" customHeight="1" outlineLevel="2">
      <c r="B178" s="1017" t="s">
        <v>448</v>
      </c>
      <c r="C178" s="609"/>
      <c r="D178" s="614"/>
      <c r="E178" s="614"/>
      <c r="F178" s="614"/>
      <c r="G178" s="980"/>
      <c r="H178" s="614"/>
      <c r="I178" s="614"/>
      <c r="J178" s="612"/>
      <c r="K178" s="611"/>
      <c r="L178" s="616"/>
      <c r="M178" s="612"/>
      <c r="N178" s="612"/>
      <c r="O178" s="611"/>
      <c r="P178" s="612"/>
      <c r="Q178" s="612"/>
      <c r="R178" s="612"/>
      <c r="S178" s="611"/>
      <c r="T178" s="612">
        <f>+T64-S64</f>
        <v>0</v>
      </c>
      <c r="U178" s="612">
        <f t="shared" ref="U178:AQ178" si="394">+U64-T64</f>
        <v>2</v>
      </c>
      <c r="V178" s="614">
        <f t="shared" si="394"/>
        <v>3</v>
      </c>
      <c r="W178" s="611">
        <f t="shared" si="394"/>
        <v>5</v>
      </c>
      <c r="X178" s="612">
        <f t="shared" si="394"/>
        <v>7.4358974358974343</v>
      </c>
      <c r="Y178" s="612">
        <f t="shared" si="394"/>
        <v>22.435897435897434</v>
      </c>
      <c r="Z178" s="1291">
        <f t="shared" si="394"/>
        <v>13.461538461538467</v>
      </c>
      <c r="AA178" s="612">
        <f t="shared" si="394"/>
        <v>11.666666666666664</v>
      </c>
      <c r="AB178" s="616">
        <f t="shared" si="394"/>
        <v>2.0300000000000011</v>
      </c>
      <c r="AC178" s="612">
        <f t="shared" si="394"/>
        <v>-25.210499999999996</v>
      </c>
      <c r="AD178" s="612">
        <f t="shared" si="394"/>
        <v>-9.363900000000001</v>
      </c>
      <c r="AE178" s="611">
        <f t="shared" si="394"/>
        <v>6.7420079999999984</v>
      </c>
      <c r="AF178" s="616">
        <f t="shared" si="394"/>
        <v>-4.3039521599999944</v>
      </c>
      <c r="AG178" s="612">
        <f t="shared" si="394"/>
        <v>10.044682792000003</v>
      </c>
      <c r="AH178" s="612">
        <f t="shared" si="394"/>
        <v>59.926006358400016</v>
      </c>
      <c r="AI178" s="612">
        <f t="shared" si="394"/>
        <v>131.83721398848007</v>
      </c>
      <c r="AJ178" s="616">
        <f t="shared" si="394"/>
        <v>-24.170155897888009</v>
      </c>
      <c r="AK178" s="612">
        <f t="shared" si="394"/>
        <v>-162.08504825818622</v>
      </c>
      <c r="AL178" s="612">
        <f t="shared" si="394"/>
        <v>66.535625787367039</v>
      </c>
      <c r="AM178" s="612">
        <f t="shared" si="394"/>
        <v>146.37837673220747</v>
      </c>
      <c r="AN178" s="616">
        <f t="shared" si="394"/>
        <v>-26.836035734238038</v>
      </c>
      <c r="AO178" s="612">
        <f t="shared" si="394"/>
        <v>-180.6734722978355</v>
      </c>
      <c r="AP178" s="612">
        <f t="shared" si="394"/>
        <v>73.021019172368227</v>
      </c>
      <c r="AQ178" s="614">
        <f t="shared" si="394"/>
        <v>160.64624217921013</v>
      </c>
      <c r="AR178" s="616">
        <f t="shared" ref="AR178" si="395">+AR64-AQ64</f>
        <v>-5.8903622132377222</v>
      </c>
      <c r="AS178" s="612">
        <f t="shared" ref="AS178" si="396">+AS64-AR64</f>
        <v>20.203942391405349</v>
      </c>
      <c r="AT178" s="612">
        <f t="shared" ref="AT178" si="397">+AT64-AS64</f>
        <v>108.0910917940185</v>
      </c>
      <c r="AU178" s="611">
        <f t="shared" ref="AU178" si="398">+AU64-AT64</f>
        <v>62.538417395110685</v>
      </c>
      <c r="AV178" s="616">
        <f t="shared" ref="AV178" si="399">+AV64-AU64</f>
        <v>-9.5892240005836697</v>
      </c>
      <c r="AW178" s="612">
        <f t="shared" ref="AW178" si="400">+AW64-AV64</f>
        <v>32.891038322001918</v>
      </c>
      <c r="AX178" s="612">
        <f t="shared" ref="AX178" si="401">+AX64-AW64</f>
        <v>175.9670550227101</v>
      </c>
      <c r="AY178" s="611">
        <f t="shared" ref="AY178" si="402">+AY64-AX64</f>
        <v>101.80951040599655</v>
      </c>
      <c r="AZ178" s="611"/>
      <c r="BA178" s="616"/>
      <c r="BB178" s="612"/>
      <c r="BC178" s="612"/>
      <c r="BD178" s="612"/>
      <c r="BE178" s="612"/>
      <c r="BF178" s="616"/>
      <c r="BG178" s="616"/>
      <c r="BH178" s="612"/>
      <c r="BI178" s="616"/>
      <c r="BJ178" s="612"/>
      <c r="BK178" s="612"/>
      <c r="BL178" s="612"/>
      <c r="BM178" s="612">
        <f t="shared" ref="BM178:BN178" si="403">+BM64-BL64</f>
        <v>358.81580656876667</v>
      </c>
      <c r="BN178" s="612">
        <f t="shared" si="403"/>
        <v>412.63817755408172</v>
      </c>
      <c r="BO178" s="613"/>
    </row>
    <row r="179" spans="2:67" s="592" customFormat="1" ht="14.25" hidden="1" customHeight="1" outlineLevel="2">
      <c r="B179" s="1017" t="s">
        <v>409</v>
      </c>
      <c r="C179" s="609"/>
      <c r="D179" s="614"/>
      <c r="E179" s="614"/>
      <c r="F179" s="614"/>
      <c r="G179" s="980"/>
      <c r="H179" s="614"/>
      <c r="I179" s="614"/>
      <c r="J179" s="612"/>
      <c r="K179" s="611"/>
      <c r="L179" s="616"/>
      <c r="M179" s="612"/>
      <c r="N179" s="612"/>
      <c r="O179" s="611"/>
      <c r="P179" s="612"/>
      <c r="Q179" s="612"/>
      <c r="R179" s="612"/>
      <c r="S179" s="611"/>
      <c r="T179" s="612">
        <f>+T137-S137</f>
        <v>7</v>
      </c>
      <c r="U179" s="612">
        <f t="shared" ref="U179:AQ179" si="404">+U137-T137</f>
        <v>4</v>
      </c>
      <c r="V179" s="614">
        <f t="shared" si="404"/>
        <v>-1</v>
      </c>
      <c r="W179" s="611">
        <f t="shared" si="404"/>
        <v>-24</v>
      </c>
      <c r="X179" s="612">
        <f t="shared" si="404"/>
        <v>10</v>
      </c>
      <c r="Y179" s="612">
        <f t="shared" si="404"/>
        <v>22</v>
      </c>
      <c r="Z179" s="1291">
        <f t="shared" si="404"/>
        <v>12</v>
      </c>
      <c r="AA179" s="612">
        <f t="shared" si="404"/>
        <v>-13</v>
      </c>
      <c r="AB179" s="616">
        <f t="shared" si="404"/>
        <v>-13</v>
      </c>
      <c r="AC179" s="612">
        <f t="shared" si="404"/>
        <v>13</v>
      </c>
      <c r="AD179" s="612">
        <f t="shared" si="404"/>
        <v>24</v>
      </c>
      <c r="AE179" s="611">
        <f t="shared" si="404"/>
        <v>29</v>
      </c>
      <c r="AF179" s="616">
        <f t="shared" si="404"/>
        <v>-24</v>
      </c>
      <c r="AG179" s="612">
        <f t="shared" si="404"/>
        <v>12</v>
      </c>
      <c r="AH179" s="612">
        <f t="shared" si="404"/>
        <v>70</v>
      </c>
      <c r="AI179" s="612">
        <f t="shared" si="404"/>
        <v>-4</v>
      </c>
      <c r="AJ179" s="616">
        <f t="shared" si="404"/>
        <v>-27.689999999999998</v>
      </c>
      <c r="AK179" s="612">
        <f t="shared" si="404"/>
        <v>-38.31</v>
      </c>
      <c r="AL179" s="612">
        <f t="shared" si="404"/>
        <v>70</v>
      </c>
      <c r="AM179" s="612">
        <f t="shared" si="404"/>
        <v>0</v>
      </c>
      <c r="AN179" s="616">
        <f t="shared" si="404"/>
        <v>-28.210000000000008</v>
      </c>
      <c r="AO179" s="612">
        <f t="shared" si="404"/>
        <v>-41.789999999999992</v>
      </c>
      <c r="AP179" s="612">
        <f t="shared" si="404"/>
        <v>70</v>
      </c>
      <c r="AQ179" s="614">
        <f t="shared" si="404"/>
        <v>0</v>
      </c>
      <c r="AR179" s="616">
        <f t="shared" ref="AR179" si="405">+AR137-AQ137</f>
        <v>-26.039999999999992</v>
      </c>
      <c r="AS179" s="612">
        <f t="shared" ref="AS179" si="406">+AS137-AR137</f>
        <v>3.819199999999995</v>
      </c>
      <c r="AT179" s="612">
        <f t="shared" ref="AT179" si="407">+AT137-AS137</f>
        <v>19.477920000000012</v>
      </c>
      <c r="AU179" s="611">
        <f t="shared" ref="AU179" si="408">+AU137-AT137</f>
        <v>10.712856000000016</v>
      </c>
      <c r="AV179" s="616">
        <f t="shared" ref="AV179" si="409">+AV137-AU137</f>
        <v>-26.996397120000012</v>
      </c>
      <c r="AW179" s="612">
        <f t="shared" ref="AW179" si="410">+AW137-AV137</f>
        <v>3.9594715775999987</v>
      </c>
      <c r="AX179" s="612">
        <f t="shared" ref="AX179" si="411">+AX137-AW137</f>
        <v>20.193305045760013</v>
      </c>
      <c r="AY179" s="611">
        <f t="shared" ref="AY179" si="412">+AY137-AX137</f>
        <v>11.106317775168009</v>
      </c>
      <c r="AZ179" s="611"/>
      <c r="BA179" s="616"/>
      <c r="BB179" s="612"/>
      <c r="BC179" s="612"/>
      <c r="BD179" s="612"/>
      <c r="BE179" s="612"/>
      <c r="BF179" s="616"/>
      <c r="BG179" s="616"/>
      <c r="BH179" s="612"/>
      <c r="BI179" s="616"/>
      <c r="BJ179" s="612"/>
      <c r="BK179" s="612"/>
      <c r="BL179" s="612"/>
      <c r="BM179" s="612">
        <f t="shared" ref="BM179:BN179" si="413">+BM137-BL137</f>
        <v>72.846993743999974</v>
      </c>
      <c r="BN179" s="612">
        <f t="shared" si="413"/>
        <v>76.489343431200041</v>
      </c>
      <c r="BO179" s="613"/>
    </row>
    <row r="180" spans="2:67" s="592" customFormat="1" ht="14.25" hidden="1" customHeight="1" outlineLevel="2">
      <c r="B180" s="991"/>
      <c r="C180" s="609"/>
      <c r="D180" s="614"/>
      <c r="E180" s="614"/>
      <c r="F180" s="614"/>
      <c r="G180" s="980"/>
      <c r="H180" s="614"/>
      <c r="I180" s="614"/>
      <c r="J180" s="612"/>
      <c r="K180" s="611"/>
      <c r="L180" s="616"/>
      <c r="M180" s="612"/>
      <c r="N180" s="612"/>
      <c r="O180" s="611"/>
      <c r="P180" s="612"/>
      <c r="Q180" s="612"/>
      <c r="R180" s="612"/>
      <c r="S180" s="611"/>
      <c r="T180" s="612"/>
      <c r="U180" s="612"/>
      <c r="V180" s="614"/>
      <c r="W180" s="611"/>
      <c r="X180" s="612"/>
      <c r="Y180" s="612"/>
      <c r="Z180" s="1260"/>
      <c r="AA180" s="612"/>
      <c r="AB180" s="616"/>
      <c r="AC180" s="612"/>
      <c r="AD180" s="612"/>
      <c r="AE180" s="611"/>
      <c r="AF180" s="616"/>
      <c r="AG180" s="612"/>
      <c r="AH180" s="612"/>
      <c r="AI180" s="612"/>
      <c r="AJ180" s="616"/>
      <c r="AK180" s="612"/>
      <c r="AL180" s="612"/>
      <c r="AM180" s="612"/>
      <c r="AN180" s="616"/>
      <c r="AO180" s="612"/>
      <c r="AP180" s="612"/>
      <c r="AQ180" s="614"/>
      <c r="AR180" s="616"/>
      <c r="AS180" s="612"/>
      <c r="AT180" s="612"/>
      <c r="AU180" s="611"/>
      <c r="AV180" s="616"/>
      <c r="AW180" s="612"/>
      <c r="AX180" s="612"/>
      <c r="AY180" s="611"/>
      <c r="AZ180" s="611"/>
      <c r="BA180" s="616"/>
      <c r="BB180" s="612"/>
      <c r="BC180" s="612"/>
      <c r="BD180" s="1111"/>
      <c r="BE180" s="1111"/>
      <c r="BF180" s="1214"/>
      <c r="BG180" s="1214"/>
      <c r="BH180" s="612"/>
      <c r="BI180" s="616"/>
      <c r="BJ180" s="612"/>
      <c r="BK180" s="612"/>
      <c r="BL180" s="612"/>
      <c r="BM180" s="612"/>
      <c r="BN180" s="612"/>
      <c r="BO180" s="613"/>
    </row>
    <row r="181" spans="2:67" s="592" customFormat="1" ht="14.25" hidden="1" customHeight="1" outlineLevel="1">
      <c r="B181" s="576" t="s">
        <v>41</v>
      </c>
      <c r="C181" s="609"/>
      <c r="D181" s="614"/>
      <c r="E181" s="614"/>
      <c r="F181" s="614"/>
      <c r="G181" s="980"/>
      <c r="H181" s="614"/>
      <c r="I181" s="614"/>
      <c r="J181" s="612"/>
      <c r="K181" s="611"/>
      <c r="L181" s="616"/>
      <c r="M181" s="612"/>
      <c r="N181" s="612"/>
      <c r="O181" s="611"/>
      <c r="P181" s="612"/>
      <c r="Q181" s="612"/>
      <c r="R181" s="612"/>
      <c r="S181" s="611"/>
      <c r="T181" s="612"/>
      <c r="U181" s="612"/>
      <c r="V181" s="614"/>
      <c r="W181" s="611"/>
      <c r="X181" s="612"/>
      <c r="Y181" s="612"/>
      <c r="Z181" s="612"/>
      <c r="AA181" s="612"/>
      <c r="AB181" s="616"/>
      <c r="AC181" s="612"/>
      <c r="AD181" s="612"/>
      <c r="AE181" s="611"/>
      <c r="AF181" s="616"/>
      <c r="AG181" s="612"/>
      <c r="AH181" s="612"/>
      <c r="AI181" s="612"/>
      <c r="AJ181" s="616"/>
      <c r="AK181" s="612"/>
      <c r="AL181" s="612"/>
      <c r="AM181" s="612"/>
      <c r="AN181" s="616"/>
      <c r="AO181" s="612"/>
      <c r="AP181" s="612"/>
      <c r="AQ181" s="614"/>
      <c r="AR181" s="616"/>
      <c r="AS181" s="612"/>
      <c r="AT181" s="612"/>
      <c r="AU181" s="611"/>
      <c r="AV181" s="616"/>
      <c r="AW181" s="612"/>
      <c r="AX181" s="612"/>
      <c r="AY181" s="611"/>
      <c r="AZ181" s="611"/>
      <c r="BA181" s="616"/>
      <c r="BB181" s="612"/>
      <c r="BC181" s="612"/>
      <c r="BD181" s="1111"/>
      <c r="BE181" s="1111"/>
      <c r="BF181" s="1214"/>
      <c r="BG181" s="1214"/>
      <c r="BH181" s="612"/>
      <c r="BI181" s="616"/>
      <c r="BJ181" s="612"/>
      <c r="BK181" s="612"/>
      <c r="BL181" s="612"/>
      <c r="BM181" s="612"/>
      <c r="BN181" s="612"/>
      <c r="BO181" s="613"/>
    </row>
    <row r="182" spans="2:67" s="592" customFormat="1" ht="14.25" hidden="1" customHeight="1" outlineLevel="1">
      <c r="B182" s="575" t="s">
        <v>445</v>
      </c>
      <c r="C182" s="609"/>
      <c r="D182" s="614"/>
      <c r="E182" s="614"/>
      <c r="F182" s="614"/>
      <c r="G182" s="980"/>
      <c r="H182" s="614"/>
      <c r="I182" s="614"/>
      <c r="J182" s="612"/>
      <c r="K182" s="611"/>
      <c r="L182" s="616"/>
      <c r="M182" s="612"/>
      <c r="N182" s="612"/>
      <c r="O182" s="611"/>
      <c r="P182" s="738">
        <f t="shared" ref="P182:AG182" si="414">+P63/P$146</f>
        <v>0.20602218700475436</v>
      </c>
      <c r="Q182" s="738">
        <f t="shared" si="414"/>
        <v>0.21472392638036811</v>
      </c>
      <c r="R182" s="738">
        <f t="shared" si="414"/>
        <v>0.22033898305084745</v>
      </c>
      <c r="S182" s="650">
        <f t="shared" si="414"/>
        <v>0.2392638036809816</v>
      </c>
      <c r="T182" s="738">
        <f t="shared" si="414"/>
        <v>0.27503736920777277</v>
      </c>
      <c r="U182" s="738">
        <f t="shared" si="414"/>
        <v>0.26300984528832633</v>
      </c>
      <c r="V182" s="647">
        <f t="shared" si="414"/>
        <v>0.22556390977443608</v>
      </c>
      <c r="W182" s="650">
        <f t="shared" si="414"/>
        <v>0.23026315789473684</v>
      </c>
      <c r="X182" s="738">
        <f t="shared" si="414"/>
        <v>0.25474319282368818</v>
      </c>
      <c r="Y182" s="738">
        <f t="shared" si="414"/>
        <v>0.25523374511228764</v>
      </c>
      <c r="Z182" s="738">
        <f t="shared" si="414"/>
        <v>0.26948590381426202</v>
      </c>
      <c r="AA182" s="738">
        <f t="shared" si="414"/>
        <v>0.28025477707006369</v>
      </c>
      <c r="AB182" s="651">
        <f t="shared" si="414"/>
        <v>0.29377577319587628</v>
      </c>
      <c r="AC182" s="738">
        <f>+AC63/AC$146</f>
        <v>0.33277961275626422</v>
      </c>
      <c r="AD182" s="738">
        <f t="shared" si="414"/>
        <v>0.31620867678958786</v>
      </c>
      <c r="AE182" s="650">
        <f>+AE63/AE$146</f>
        <v>0.29759915569487982</v>
      </c>
      <c r="AF182" s="651">
        <f t="shared" si="414"/>
        <v>0.30603765807017541</v>
      </c>
      <c r="AG182" s="738">
        <f t="shared" si="414"/>
        <v>0.29662111474493924</v>
      </c>
      <c r="AH182" s="738">
        <f t="shared" ref="AH182:AM182" si="415">+AH63/AH$146</f>
        <v>0.25125084488661281</v>
      </c>
      <c r="AI182" s="738">
        <f t="shared" si="415"/>
        <v>0.23905013394884045</v>
      </c>
      <c r="AJ182" s="651">
        <f t="shared" si="415"/>
        <v>0.24806215077397697</v>
      </c>
      <c r="AK182" s="738">
        <f t="shared" si="415"/>
        <v>0.25091941114938404</v>
      </c>
      <c r="AL182" s="738">
        <f t="shared" si="415"/>
        <v>0.24123379253911517</v>
      </c>
      <c r="AM182" s="738">
        <f t="shared" si="415"/>
        <v>0.20995208679511113</v>
      </c>
      <c r="AN182" s="651">
        <f t="shared" ref="AN182:AQ182" si="416">+AN63/AN$146</f>
        <v>0.24339988844866561</v>
      </c>
      <c r="AO182" s="738">
        <f t="shared" si="416"/>
        <v>0.24620344737320521</v>
      </c>
      <c r="AP182" s="738">
        <f t="shared" si="416"/>
        <v>0.1312618607186686</v>
      </c>
      <c r="AQ182" s="647">
        <f t="shared" si="416"/>
        <v>0.13047718597271873</v>
      </c>
      <c r="AR182" s="651">
        <f t="shared" ref="AR182:AU182" si="417">+AR63/AR$146</f>
        <v>0.1270968471417</v>
      </c>
      <c r="AS182" s="738">
        <f t="shared" si="417"/>
        <v>0.12791770618782491</v>
      </c>
      <c r="AT182" s="738">
        <f t="shared" si="417"/>
        <v>0.1208140244796846</v>
      </c>
      <c r="AU182" s="650">
        <f t="shared" si="417"/>
        <v>0.11419498014021841</v>
      </c>
      <c r="AV182" s="651">
        <f t="shared" ref="AV182:AY182" si="418">+AV63/AV$146</f>
        <v>0.11444227313605618</v>
      </c>
      <c r="AW182" s="738">
        <f t="shared" si="418"/>
        <v>0.11600795203622397</v>
      </c>
      <c r="AX182" s="738">
        <f t="shared" si="418"/>
        <v>0.11460460265322629</v>
      </c>
      <c r="AY182" s="650">
        <f t="shared" si="418"/>
        <v>0.11296110944699531</v>
      </c>
      <c r="AZ182" s="611"/>
      <c r="BA182" s="616"/>
      <c r="BB182" s="612"/>
      <c r="BC182" s="612"/>
      <c r="BD182" s="738">
        <f>+BD63/BD$146</f>
        <v>0.22020123839009287</v>
      </c>
      <c r="BE182" s="738">
        <f>+BE63/BE$146</f>
        <v>0.24915190350546551</v>
      </c>
      <c r="BF182" s="651">
        <f>+BF63/BF$146</f>
        <v>0.26557761235180588</v>
      </c>
      <c r="BG182" s="1214"/>
      <c r="BH182" s="612"/>
      <c r="BI182" s="616"/>
      <c r="BJ182" s="612"/>
      <c r="BK182" s="612"/>
      <c r="BL182" s="612"/>
      <c r="BM182" s="612">
        <f t="shared" ref="BM182:BN182" si="419">+BM63/BM$146</f>
        <v>0.18456622735007705</v>
      </c>
      <c r="BN182" s="612">
        <f t="shared" si="419"/>
        <v>0.17068992376641295</v>
      </c>
      <c r="BO182" s="613"/>
    </row>
    <row r="183" spans="2:67" s="592" customFormat="1" ht="14.25" hidden="1" customHeight="1" outlineLevel="1">
      <c r="B183" s="575" t="s">
        <v>408</v>
      </c>
      <c r="C183" s="609"/>
      <c r="D183" s="614"/>
      <c r="E183" s="614"/>
      <c r="F183" s="614"/>
      <c r="G183" s="980"/>
      <c r="H183" s="614"/>
      <c r="I183" s="614"/>
      <c r="J183" s="612"/>
      <c r="K183" s="611"/>
      <c r="L183" s="616"/>
      <c r="M183" s="612"/>
      <c r="N183" s="612"/>
      <c r="O183" s="611"/>
      <c r="P183" s="738">
        <f t="shared" ref="P183:AG183" si="420">+P114/P$146</f>
        <v>0.27416798732171155</v>
      </c>
      <c r="Q183" s="738">
        <f t="shared" si="420"/>
        <v>0.26226993865030673</v>
      </c>
      <c r="R183" s="738">
        <f t="shared" si="420"/>
        <v>0.26040061633281975</v>
      </c>
      <c r="S183" s="650">
        <f t="shared" si="420"/>
        <v>0.24386503067484663</v>
      </c>
      <c r="T183" s="738">
        <f t="shared" si="420"/>
        <v>0.21823617339312407</v>
      </c>
      <c r="U183" s="738">
        <f t="shared" si="420"/>
        <v>0.23347398030942335</v>
      </c>
      <c r="V183" s="647">
        <f t="shared" si="420"/>
        <v>0.27518796992481204</v>
      </c>
      <c r="W183" s="650">
        <f t="shared" si="420"/>
        <v>0.26315789473684209</v>
      </c>
      <c r="X183" s="738">
        <f t="shared" si="420"/>
        <v>0.22445820433436534</v>
      </c>
      <c r="Y183" s="738">
        <f t="shared" si="420"/>
        <v>0.21052631578947367</v>
      </c>
      <c r="Z183" s="738">
        <f t="shared" si="420"/>
        <v>0.21268656716417911</v>
      </c>
      <c r="AA183" s="738">
        <f t="shared" si="420"/>
        <v>0.20636942675159237</v>
      </c>
      <c r="AB183" s="651">
        <f t="shared" si="420"/>
        <v>0.19716494845360824</v>
      </c>
      <c r="AC183" s="738">
        <f t="shared" si="420"/>
        <v>0.20501138952164008</v>
      </c>
      <c r="AD183" s="738">
        <f t="shared" si="420"/>
        <v>0.21908893709327548</v>
      </c>
      <c r="AE183" s="650">
        <f>+AE114/AE$146</f>
        <v>0.20271682340647859</v>
      </c>
      <c r="AF183" s="651">
        <f t="shared" si="420"/>
        <v>0.19956140350877194</v>
      </c>
      <c r="AG183" s="738">
        <f t="shared" si="420"/>
        <v>0.2125506072874494</v>
      </c>
      <c r="AH183" s="738">
        <f t="shared" ref="AH183:AM183" si="421">+AH114/AH$146</f>
        <v>0.20895522388059701</v>
      </c>
      <c r="AI183" s="738">
        <f t="shared" si="421"/>
        <v>0.21642429426860565</v>
      </c>
      <c r="AJ183" s="651">
        <f t="shared" si="421"/>
        <v>0.21312499999999998</v>
      </c>
      <c r="AK183" s="738">
        <f t="shared" si="421"/>
        <v>0.18324607329842932</v>
      </c>
      <c r="AL183" s="738">
        <f t="shared" si="421"/>
        <v>0.20446735395189003</v>
      </c>
      <c r="AM183" s="738">
        <f t="shared" si="421"/>
        <v>0.18223583460949463</v>
      </c>
      <c r="AN183" s="651">
        <f t="shared" ref="AN183:AQ183" si="422">+AN114/AN$146</f>
        <v>0.20048913043478259</v>
      </c>
      <c r="AO183" s="738">
        <f t="shared" si="422"/>
        <v>0.18324607329842932</v>
      </c>
      <c r="AP183" s="738">
        <f t="shared" si="422"/>
        <v>0.11338732729871367</v>
      </c>
      <c r="AQ183" s="647">
        <f t="shared" si="422"/>
        <v>0.11542192046556742</v>
      </c>
      <c r="AR183" s="651">
        <f t="shared" ref="AR183:AU183" si="423">+AR114/AR$146</f>
        <v>0.11243162605668822</v>
      </c>
      <c r="AS183" s="738">
        <f t="shared" si="423"/>
        <v>0.11423546234509056</v>
      </c>
      <c r="AT183" s="738">
        <f t="shared" si="423"/>
        <v>0.11312905594405595</v>
      </c>
      <c r="AU183" s="650">
        <f t="shared" si="423"/>
        <v>0.11023819420783647</v>
      </c>
      <c r="AV183" s="651">
        <f t="shared" ref="AV183:AY183" si="424">+AV114/AV$146</f>
        <v>0.11047691865323617</v>
      </c>
      <c r="AW183" s="738">
        <f t="shared" si="424"/>
        <v>0.11305490343380033</v>
      </c>
      <c r="AX183" s="738">
        <f t="shared" si="424"/>
        <v>0.11710898959103379</v>
      </c>
      <c r="AY183" s="650">
        <f t="shared" si="424"/>
        <v>0.1189995691700524</v>
      </c>
      <c r="AZ183" s="611"/>
      <c r="BA183" s="616"/>
      <c r="BB183" s="612"/>
      <c r="BC183" s="612"/>
      <c r="BD183" s="738">
        <f>+BD114/BD$146</f>
        <v>0.26006191950464397</v>
      </c>
      <c r="BE183" s="738">
        <f>+BE114/BE$146</f>
        <v>0.24689031285337354</v>
      </c>
      <c r="BF183" s="651">
        <f>+BF114/BF$146</f>
        <v>0.21303763440860216</v>
      </c>
      <c r="BG183" s="1214"/>
      <c r="BH183" s="612"/>
      <c r="BI183" s="616"/>
      <c r="BJ183" s="612"/>
      <c r="BK183" s="612"/>
      <c r="BL183" s="612"/>
      <c r="BM183" s="612">
        <f t="shared" ref="BM183:BN183" si="425">+BM114/BM$146</f>
        <v>0.17372458227715054</v>
      </c>
      <c r="BN183" s="612">
        <f t="shared" si="425"/>
        <v>0.16563236048772842</v>
      </c>
      <c r="BO183" s="613"/>
    </row>
    <row r="184" spans="2:67" s="592" customFormat="1" ht="14.25" hidden="1" customHeight="1" outlineLevel="1">
      <c r="B184" s="575" t="s">
        <v>32</v>
      </c>
      <c r="C184" s="609"/>
      <c r="D184" s="614"/>
      <c r="E184" s="614"/>
      <c r="F184" s="614"/>
      <c r="G184" s="980"/>
      <c r="H184" s="614"/>
      <c r="I184" s="614"/>
      <c r="J184" s="612"/>
      <c r="K184" s="611"/>
      <c r="L184" s="616"/>
      <c r="M184" s="612"/>
      <c r="N184" s="612"/>
      <c r="O184" s="611"/>
      <c r="P184" s="738">
        <f t="shared" ref="P184:AH184" si="426">+P24/P$146</f>
        <v>0.36133122028526149</v>
      </c>
      <c r="Q184" s="738">
        <f t="shared" si="426"/>
        <v>0.35276073619631904</v>
      </c>
      <c r="R184" s="738">
        <f t="shared" si="426"/>
        <v>0.3543913713405239</v>
      </c>
      <c r="S184" s="650">
        <f t="shared" si="426"/>
        <v>0.3726993865030675</v>
      </c>
      <c r="T184" s="738">
        <f t="shared" si="426"/>
        <v>0.35575485799701045</v>
      </c>
      <c r="U184" s="738">
        <f t="shared" si="426"/>
        <v>0.3530239099859353</v>
      </c>
      <c r="V184" s="647">
        <f t="shared" si="426"/>
        <v>0.33533834586466166</v>
      </c>
      <c r="W184" s="650">
        <f t="shared" si="426"/>
        <v>0.35855263157894735</v>
      </c>
      <c r="X184" s="738">
        <f t="shared" si="426"/>
        <v>0.35448916408668729</v>
      </c>
      <c r="Y184" s="738">
        <f t="shared" si="426"/>
        <v>0.32928475033738192</v>
      </c>
      <c r="Z184" s="738">
        <f t="shared" si="426"/>
        <v>0.29726368159203981</v>
      </c>
      <c r="AA184" s="738">
        <f t="shared" si="426"/>
        <v>0.28917197452229298</v>
      </c>
      <c r="AB184" s="651">
        <f t="shared" si="426"/>
        <v>0.29639175257731959</v>
      </c>
      <c r="AC184" s="738">
        <f t="shared" si="426"/>
        <v>0.28815489749430523</v>
      </c>
      <c r="AD184" s="738">
        <f t="shared" si="426"/>
        <v>0.28308026030368766</v>
      </c>
      <c r="AE184" s="650">
        <f t="shared" si="426"/>
        <v>0.28735632183908044</v>
      </c>
      <c r="AF184" s="651">
        <f t="shared" si="426"/>
        <v>0.30263157894736842</v>
      </c>
      <c r="AG184" s="738">
        <f t="shared" si="426"/>
        <v>0.291497975708502</v>
      </c>
      <c r="AH184" s="738">
        <f t="shared" si="426"/>
        <v>0.25285338015803338</v>
      </c>
      <c r="AI184" s="738">
        <f>+AI24/AI$146</f>
        <v>0.24978614200171087</v>
      </c>
      <c r="AJ184" s="651">
        <f>+AJ24/AJ$146</f>
        <v>0.27355072463768115</v>
      </c>
      <c r="AK184" s="738">
        <f>+AK24/AK$146</f>
        <v>0.27050610820244331</v>
      </c>
      <c r="AL184" s="738">
        <f t="shared" ref="AL184:AM184" si="427">+AL24/AL$146</f>
        <v>0.26460481099656358</v>
      </c>
      <c r="AM184" s="738">
        <f t="shared" si="427"/>
        <v>0.32312404287901991</v>
      </c>
      <c r="AN184" s="651">
        <f>+AN24/AN$146</f>
        <v>0.72916666666666663</v>
      </c>
      <c r="AO184" s="738">
        <f>+AO24/AO$146</f>
        <v>0.74869109947643975</v>
      </c>
      <c r="AP184" s="738">
        <f t="shared" ref="AP184:AQ184" si="428">+AP24/AP$146</f>
        <v>0.40638399237732253</v>
      </c>
      <c r="AQ184" s="647">
        <f t="shared" si="428"/>
        <v>0.41852570320077592</v>
      </c>
      <c r="AR184" s="651">
        <f t="shared" ref="AR184:AU184" si="429">+AR24/AR$146</f>
        <v>0.45052212829438093</v>
      </c>
      <c r="AS184" s="738">
        <f t="shared" si="429"/>
        <v>0.4470924690181125</v>
      </c>
      <c r="AT184" s="738">
        <f t="shared" si="429"/>
        <v>0.41433566433566432</v>
      </c>
      <c r="AU184" s="650">
        <f t="shared" si="429"/>
        <v>0.41311754684838159</v>
      </c>
      <c r="AV184" s="651">
        <f t="shared" ref="AV184:AY184" si="430">+AV24/AV$146</f>
        <v>0.45323437177079495</v>
      </c>
      <c r="AW184" s="738">
        <f t="shared" si="430"/>
        <v>0.44849611837153774</v>
      </c>
      <c r="AX184" s="738">
        <f t="shared" si="430"/>
        <v>0.42156237195434154</v>
      </c>
      <c r="AY184" s="650">
        <f t="shared" si="430"/>
        <v>0.42408429453536783</v>
      </c>
      <c r="AZ184" s="611"/>
      <c r="BA184" s="616"/>
      <c r="BB184" s="612"/>
      <c r="BC184" s="612"/>
      <c r="BD184" s="738">
        <f>+BD24/BD$146</f>
        <v>0.36029411764705882</v>
      </c>
      <c r="BE184" s="738">
        <f>+BE24/BE$146</f>
        <v>0.35054655107425559</v>
      </c>
      <c r="BF184" s="651">
        <f>+BF24/BF$146</f>
        <v>0.31552419354838712</v>
      </c>
      <c r="BG184" s="1214"/>
      <c r="BH184" s="612"/>
      <c r="BI184" s="616"/>
      <c r="BJ184" s="612"/>
      <c r="BK184" s="612"/>
      <c r="BL184" s="612"/>
      <c r="BM184" s="612">
        <f t="shared" ref="BM184:BN184" si="431">+BM24/BM$146</f>
        <v>0.43834279615535116</v>
      </c>
      <c r="BN184" s="612">
        <f t="shared" si="431"/>
        <v>0.43882068174947569</v>
      </c>
      <c r="BO184" s="613"/>
    </row>
    <row r="185" spans="2:67" s="592" customFormat="1" ht="14.25" hidden="1" customHeight="1" outlineLevel="1">
      <c r="B185" s="575" t="s">
        <v>448</v>
      </c>
      <c r="C185" s="609"/>
      <c r="D185" s="614"/>
      <c r="E185" s="614"/>
      <c r="F185" s="614"/>
      <c r="G185" s="980"/>
      <c r="H185" s="614"/>
      <c r="I185" s="614"/>
      <c r="J185" s="612"/>
      <c r="K185" s="611"/>
      <c r="L185" s="616"/>
      <c r="M185" s="612"/>
      <c r="N185" s="612"/>
      <c r="O185" s="611"/>
      <c r="P185" s="738">
        <f t="shared" ref="P185:AG185" si="432">+P64/P$146</f>
        <v>7.9239302694136295E-3</v>
      </c>
      <c r="Q185" s="738">
        <f t="shared" si="432"/>
        <v>7.6687116564417178E-3</v>
      </c>
      <c r="R185" s="738">
        <f t="shared" si="432"/>
        <v>7.7041602465331279E-3</v>
      </c>
      <c r="S185" s="650">
        <f t="shared" si="432"/>
        <v>7.6687116564417178E-3</v>
      </c>
      <c r="T185" s="738">
        <f t="shared" si="432"/>
        <v>7.4738415545590429E-3</v>
      </c>
      <c r="U185" s="738">
        <f t="shared" si="432"/>
        <v>9.8452883263009851E-3</v>
      </c>
      <c r="V185" s="647">
        <f t="shared" si="432"/>
        <v>1.5037593984962405E-2</v>
      </c>
      <c r="W185" s="650">
        <f t="shared" si="432"/>
        <v>2.4671052631578948E-2</v>
      </c>
      <c r="X185" s="738">
        <f t="shared" si="432"/>
        <v>3.4730491386838133E-2</v>
      </c>
      <c r="Y185" s="738">
        <f t="shared" si="432"/>
        <v>6.0555728571922901E-2</v>
      </c>
      <c r="Z185" s="738">
        <f t="shared" si="432"/>
        <v>7.2553897180762855E-2</v>
      </c>
      <c r="AA185" s="738">
        <f t="shared" si="432"/>
        <v>8.9171974522292988E-2</v>
      </c>
      <c r="AB185" s="651">
        <f t="shared" si="432"/>
        <v>9.2822164948453606E-2</v>
      </c>
      <c r="AC185" s="738">
        <f t="shared" si="432"/>
        <v>5.3325170842824607E-2</v>
      </c>
      <c r="AD185" s="738">
        <f t="shared" si="432"/>
        <v>4.0624295010845989E-2</v>
      </c>
      <c r="AE185" s="650">
        <f>+AE64/AE$146</f>
        <v>4.6183498432601881E-2</v>
      </c>
      <c r="AF185" s="651">
        <f t="shared" si="432"/>
        <v>4.3743043684210538E-2</v>
      </c>
      <c r="AG185" s="738">
        <f t="shared" si="432"/>
        <v>5.0544877157894748E-2</v>
      </c>
      <c r="AH185" s="738">
        <f t="shared" ref="AH185:AM185" si="433">+AH64/AH$146</f>
        <v>9.6456843714135237E-2</v>
      </c>
      <c r="AI185" s="738">
        <f t="shared" si="433"/>
        <v>0.20675924634634738</v>
      </c>
      <c r="AJ185" s="651">
        <f t="shared" si="433"/>
        <v>0.19703931438495659</v>
      </c>
      <c r="AK185" s="738">
        <f t="shared" si="433"/>
        <v>4.838250857138382E-2</v>
      </c>
      <c r="AL185" s="738">
        <f t="shared" si="433"/>
        <v>0.10479551598812105</v>
      </c>
      <c r="AM185" s="738">
        <f t="shared" si="433"/>
        <v>0.20548266258987777</v>
      </c>
      <c r="AN185" s="651">
        <f t="shared" ref="AN185:AQ185" si="434">+AN64/AN$146</f>
        <v>0.21877203044215793</v>
      </c>
      <c r="AO185" s="738">
        <f t="shared" si="434"/>
        <v>5.3098472347562688E-2</v>
      </c>
      <c r="AP185" s="738">
        <f t="shared" si="434"/>
        <v>6.3778879696367349E-2</v>
      </c>
      <c r="AQ185" s="647">
        <f t="shared" si="434"/>
        <v>0.14283128548103066</v>
      </c>
      <c r="AR185" s="651">
        <f t="shared" ref="AR185:AU185" si="435">+AR64/AR$146</f>
        <v>0.14352448953189831</v>
      </c>
      <c r="AS185" s="738">
        <f t="shared" si="435"/>
        <v>0.14720290316494414</v>
      </c>
      <c r="AT185" s="738">
        <f t="shared" si="435"/>
        <v>0.18222149590649969</v>
      </c>
      <c r="AU185" s="650">
        <f t="shared" si="435"/>
        <v>0.20419982965467717</v>
      </c>
      <c r="AV185" s="651">
        <f t="shared" ref="AV185:AY185" si="436">+AV64/AV$146</f>
        <v>0.21110441105077693</v>
      </c>
      <c r="AW185" s="738">
        <f t="shared" si="436"/>
        <v>0.21806856772307881</v>
      </c>
      <c r="AX185" s="738">
        <f t="shared" si="436"/>
        <v>0.28236048207505904</v>
      </c>
      <c r="AY185" s="650">
        <f t="shared" si="436"/>
        <v>0.32995666865676587</v>
      </c>
      <c r="AZ185" s="611"/>
      <c r="BA185" s="616"/>
      <c r="BB185" s="612"/>
      <c r="BC185" s="612"/>
      <c r="BD185" s="738">
        <f>+BD64/BD$146</f>
        <v>7.7399380804953561E-3</v>
      </c>
      <c r="BE185" s="738">
        <f>+BE64/BE$146</f>
        <v>1.394647568790049E-2</v>
      </c>
      <c r="BF185" s="651">
        <f>+BF64/BF$146</f>
        <v>6.5739591949269371E-2</v>
      </c>
      <c r="BG185" s="1214"/>
      <c r="BH185" s="612"/>
      <c r="BI185" s="616"/>
      <c r="BJ185" s="612"/>
      <c r="BK185" s="612"/>
      <c r="BL185" s="612"/>
      <c r="BM185" s="612">
        <f t="shared" ref="BM185:BN185" si="437">+BM64/BM$146</f>
        <v>0.28023860801186562</v>
      </c>
      <c r="BN185" s="612">
        <f t="shared" si="437"/>
        <v>0.30726261515116277</v>
      </c>
      <c r="BO185" s="613"/>
    </row>
    <row r="186" spans="2:67" s="592" customFormat="1" ht="14.25" hidden="1" customHeight="1" outlineLevel="1">
      <c r="B186" s="575" t="s">
        <v>409</v>
      </c>
      <c r="C186" s="609"/>
      <c r="D186" s="614"/>
      <c r="E186" s="614"/>
      <c r="F186" s="614"/>
      <c r="G186" s="980"/>
      <c r="H186" s="614"/>
      <c r="I186" s="614"/>
      <c r="J186" s="612"/>
      <c r="K186" s="611"/>
      <c r="L186" s="616"/>
      <c r="M186" s="612"/>
      <c r="N186" s="612"/>
      <c r="O186" s="611"/>
      <c r="P186" s="738">
        <f t="shared" ref="P186:AG186" si="438">+P137/P$146</f>
        <v>0.15055467511885895</v>
      </c>
      <c r="Q186" s="738">
        <f t="shared" si="438"/>
        <v>0.16257668711656442</v>
      </c>
      <c r="R186" s="738">
        <f t="shared" si="438"/>
        <v>0.15716486902927582</v>
      </c>
      <c r="S186" s="650">
        <f t="shared" si="438"/>
        <v>0.13650306748466257</v>
      </c>
      <c r="T186" s="738">
        <f t="shared" si="438"/>
        <v>0.14349775784753363</v>
      </c>
      <c r="U186" s="738">
        <f t="shared" si="438"/>
        <v>0.14064697609001406</v>
      </c>
      <c r="V186" s="647">
        <f t="shared" si="438"/>
        <v>0.14887218045112782</v>
      </c>
      <c r="W186" s="650">
        <f t="shared" si="438"/>
        <v>0.12335526315789473</v>
      </c>
      <c r="X186" s="738">
        <f t="shared" si="438"/>
        <v>0.13157894736842105</v>
      </c>
      <c r="Y186" s="738">
        <f t="shared" si="438"/>
        <v>0.14439946018893388</v>
      </c>
      <c r="Z186" s="738">
        <f t="shared" si="438"/>
        <v>0.14800995024875621</v>
      </c>
      <c r="AA186" s="738">
        <f t="shared" si="438"/>
        <v>0.13503184713375796</v>
      </c>
      <c r="AB186" s="651">
        <f t="shared" si="438"/>
        <v>0.11984536082474227</v>
      </c>
      <c r="AC186" s="738">
        <f t="shared" si="438"/>
        <v>0.12072892938496584</v>
      </c>
      <c r="AD186" s="738">
        <f t="shared" si="438"/>
        <v>0.14099783080260303</v>
      </c>
      <c r="AE186" s="650">
        <f>+AE137/AE$146</f>
        <v>0.16614420062695925</v>
      </c>
      <c r="AF186" s="651">
        <f t="shared" si="438"/>
        <v>0.14802631578947367</v>
      </c>
      <c r="AG186" s="738">
        <f t="shared" si="438"/>
        <v>0.14878542510121456</v>
      </c>
      <c r="AH186" s="738">
        <f t="shared" ref="AH186:AM186" si="439">+AH137/AH$146</f>
        <v>0.19051799824407376</v>
      </c>
      <c r="AI186" s="738">
        <f t="shared" si="439"/>
        <v>0.18220701454234389</v>
      </c>
      <c r="AJ186" s="651">
        <f t="shared" si="439"/>
        <v>0.16785326086956523</v>
      </c>
      <c r="AK186" s="738">
        <f t="shared" si="439"/>
        <v>0.12827225130890052</v>
      </c>
      <c r="AL186" s="738">
        <f t="shared" si="439"/>
        <v>0.18642611683848798</v>
      </c>
      <c r="AM186" s="738">
        <f t="shared" si="439"/>
        <v>0.16615620214395099</v>
      </c>
      <c r="AN186" s="651">
        <f t="shared" ref="AN186:AQ186" si="440">+AN137/AN$146</f>
        <v>0.17100543478260868</v>
      </c>
      <c r="AO186" s="738">
        <f t="shared" si="440"/>
        <v>0.12827225130890052</v>
      </c>
      <c r="AP186" s="738">
        <f t="shared" si="440"/>
        <v>0.10338256312529776</v>
      </c>
      <c r="AQ186" s="647">
        <f t="shared" si="440"/>
        <v>0.1052376333656644</v>
      </c>
      <c r="AR186" s="651">
        <f t="shared" ref="AR186:AU186" si="441">+AR137/AR$146</f>
        <v>9.4957732471407263E-2</v>
      </c>
      <c r="AS186" s="738">
        <f t="shared" si="441"/>
        <v>9.2840419447092468E-2</v>
      </c>
      <c r="AT186" s="738">
        <f t="shared" si="441"/>
        <v>9.3643846153846161E-2</v>
      </c>
      <c r="AU186" s="650">
        <f t="shared" si="441"/>
        <v>9.5813448040885874E-2</v>
      </c>
      <c r="AV186" s="651">
        <f t="shared" ref="AV186:AY186" si="442">+AV137/AV$146</f>
        <v>8.894570841682467E-2</v>
      </c>
      <c r="AW186" s="738">
        <f t="shared" si="442"/>
        <v>8.7586496683968867E-2</v>
      </c>
      <c r="AX186" s="738">
        <f t="shared" si="442"/>
        <v>9.2407435078595321E-2</v>
      </c>
      <c r="AY186" s="650">
        <f t="shared" si="442"/>
        <v>9.859420058961528E-2</v>
      </c>
      <c r="AZ186" s="611"/>
      <c r="BA186" s="616"/>
      <c r="BB186" s="612"/>
      <c r="BC186" s="612"/>
      <c r="BD186" s="738">
        <f>+BD137/BD$146</f>
        <v>0.15170278637770898</v>
      </c>
      <c r="BE186" s="738">
        <f>+BE137/BE$146</f>
        <v>0.13946475687900489</v>
      </c>
      <c r="BF186" s="651">
        <f>+BF137/BF$146</f>
        <v>0.14012096774193547</v>
      </c>
      <c r="BG186" s="1214"/>
      <c r="BH186" s="612"/>
      <c r="BI186" s="616"/>
      <c r="BJ186" s="612"/>
      <c r="BK186" s="612"/>
      <c r="BL186" s="612"/>
      <c r="BM186" s="612">
        <f t="shared" ref="BM186:BN186" si="443">+BM137/BM$146</f>
        <v>0.15584064900120623</v>
      </c>
      <c r="BN186" s="612">
        <f t="shared" si="443"/>
        <v>0.15601054799758504</v>
      </c>
      <c r="BO186" s="613"/>
    </row>
    <row r="187" spans="2:67" s="592" customFormat="1" ht="14.25" hidden="1" customHeight="1" outlineLevel="1">
      <c r="B187" s="575"/>
      <c r="C187" s="609"/>
      <c r="D187" s="614"/>
      <c r="E187" s="614"/>
      <c r="F187" s="614"/>
      <c r="G187" s="980"/>
      <c r="H187" s="614"/>
      <c r="I187" s="614"/>
      <c r="J187" s="612"/>
      <c r="K187" s="611"/>
      <c r="L187" s="616"/>
      <c r="M187" s="612"/>
      <c r="N187" s="612"/>
      <c r="O187" s="611"/>
      <c r="P187" s="612"/>
      <c r="Q187" s="612"/>
      <c r="R187" s="612"/>
      <c r="S187" s="611"/>
      <c r="T187" s="612"/>
      <c r="U187" s="612"/>
      <c r="V187" s="614"/>
      <c r="W187" s="611"/>
      <c r="X187" s="612"/>
      <c r="Y187" s="612"/>
      <c r="Z187" s="612"/>
      <c r="AA187" s="612"/>
      <c r="AB187" s="616"/>
      <c r="AC187" s="612"/>
      <c r="AD187" s="612"/>
      <c r="AE187" s="611"/>
      <c r="AF187" s="616"/>
      <c r="AG187" s="612"/>
      <c r="AH187" s="612"/>
      <c r="AI187" s="612"/>
      <c r="AJ187" s="616"/>
      <c r="AK187" s="612"/>
      <c r="AL187" s="612"/>
      <c r="AM187" s="612"/>
      <c r="AN187" s="616"/>
      <c r="AO187" s="612"/>
      <c r="AP187" s="612"/>
      <c r="AQ187" s="614"/>
      <c r="AR187" s="616"/>
      <c r="AS187" s="612"/>
      <c r="AT187" s="612"/>
      <c r="AU187" s="611"/>
      <c r="AV187" s="616"/>
      <c r="AW187" s="612"/>
      <c r="AX187" s="612"/>
      <c r="AY187" s="611"/>
      <c r="AZ187" s="611"/>
      <c r="BA187" s="616"/>
      <c r="BB187" s="612"/>
      <c r="BC187" s="612"/>
      <c r="BD187" s="1111"/>
      <c r="BE187" s="1111"/>
      <c r="BF187" s="1214"/>
      <c r="BG187" s="1214"/>
      <c r="BH187" s="612"/>
      <c r="BI187" s="616"/>
      <c r="BJ187" s="612"/>
      <c r="BK187" s="612"/>
      <c r="BL187" s="612"/>
      <c r="BM187" s="612"/>
      <c r="BN187" s="612"/>
      <c r="BO187" s="613"/>
    </row>
    <row r="188" spans="2:67" s="592" customFormat="1" ht="14.25" hidden="1" customHeight="1" outlineLevel="1">
      <c r="B188" s="451" t="s">
        <v>240</v>
      </c>
      <c r="C188" s="609"/>
      <c r="D188" s="614"/>
      <c r="E188" s="614"/>
      <c r="F188" s="614"/>
      <c r="G188" s="980"/>
      <c r="H188" s="614"/>
      <c r="I188" s="614"/>
      <c r="J188" s="612"/>
      <c r="K188" s="611"/>
      <c r="L188" s="616"/>
      <c r="M188" s="612"/>
      <c r="N188" s="612"/>
      <c r="O188" s="611"/>
      <c r="P188" s="1244">
        <v>1.3827448111111111</v>
      </c>
      <c r="Q188" s="1244">
        <v>1.2729250015384614</v>
      </c>
      <c r="R188" s="1244">
        <v>1.2928556166666665</v>
      </c>
      <c r="S188" s="962">
        <v>1.3575457727272731</v>
      </c>
      <c r="T188" s="1244">
        <v>1.3691401984375</v>
      </c>
      <c r="U188" s="1244">
        <v>1.439557256923077</v>
      </c>
      <c r="V188" s="1244">
        <v>1.4121048500000002</v>
      </c>
      <c r="W188" s="962">
        <v>1.3472326323076924</v>
      </c>
      <c r="X188" s="1244">
        <v>1.3109626384615385</v>
      </c>
      <c r="Y188" s="1244">
        <v>1.2828779723076924</v>
      </c>
      <c r="Z188" s="1292">
        <v>1.2508319584615399</v>
      </c>
      <c r="AA188" s="1244">
        <v>1.2973996106060606</v>
      </c>
      <c r="AB188" s="1263">
        <v>1.3200836888888894</v>
      </c>
      <c r="AC188" s="1264">
        <v>1.3200836888888894</v>
      </c>
      <c r="AD188" s="1264">
        <v>1.3200836888888894</v>
      </c>
      <c r="AE188" s="1330">
        <v>1.3200836888888894</v>
      </c>
      <c r="AF188" s="1341">
        <v>1.3200836888888894</v>
      </c>
      <c r="AG188" s="1264">
        <v>1.3200836888888894</v>
      </c>
      <c r="AH188" s="1264">
        <v>1.3200836888888894</v>
      </c>
      <c r="AI188" s="1264">
        <v>1.3200836888888894</v>
      </c>
      <c r="AJ188" s="1341">
        <v>1.3200836888888894</v>
      </c>
      <c r="AK188" s="1264">
        <v>1.3200836888888894</v>
      </c>
      <c r="AL188" s="1264">
        <v>1.3200836888888894</v>
      </c>
      <c r="AM188" s="612">
        <v>1.3200836888888894</v>
      </c>
      <c r="AN188" s="1341">
        <v>1.3200836888888894</v>
      </c>
      <c r="AO188" s="1264">
        <v>1.3200836888888894</v>
      </c>
      <c r="AP188" s="1264">
        <v>1.3200836888888894</v>
      </c>
      <c r="AQ188" s="614">
        <v>1.3200836888888894</v>
      </c>
      <c r="AR188" s="616"/>
      <c r="AS188" s="612"/>
      <c r="AT188" s="612"/>
      <c r="AU188" s="611"/>
      <c r="AV188" s="616"/>
      <c r="AW188" s="612"/>
      <c r="AX188" s="612"/>
      <c r="AY188" s="611"/>
      <c r="AZ188" s="611"/>
      <c r="BA188" s="616"/>
      <c r="BB188" s="612"/>
      <c r="BC188" s="612"/>
      <c r="BD188" s="972">
        <f>AVERAGE(P188:S188)</f>
        <v>1.326517800510878</v>
      </c>
      <c r="BE188" s="972">
        <f>AVERAGE(T188:W188)</f>
        <v>1.3920087344170675</v>
      </c>
      <c r="BF188" s="1217">
        <f>AVERAGE(X188:AA188)</f>
        <v>1.2855180449592079</v>
      </c>
      <c r="BG188" s="1214"/>
      <c r="BH188" s="612"/>
      <c r="BI188" s="616"/>
      <c r="BJ188" s="612"/>
      <c r="BK188" s="612"/>
      <c r="BL188" s="612"/>
      <c r="BM188" s="612"/>
      <c r="BN188" s="612"/>
      <c r="BO188" s="613"/>
    </row>
    <row r="189" spans="2:67" s="592" customFormat="1" ht="14.25" hidden="1" customHeight="1" outlineLevel="1">
      <c r="B189" s="942" t="s">
        <v>242</v>
      </c>
      <c r="C189" s="609"/>
      <c r="D189" s="614"/>
      <c r="E189" s="614"/>
      <c r="F189" s="614"/>
      <c r="G189" s="980"/>
      <c r="H189" s="614"/>
      <c r="I189" s="614"/>
      <c r="J189" s="612"/>
      <c r="K189" s="611"/>
      <c r="L189" s="616"/>
      <c r="M189" s="612"/>
      <c r="N189" s="612"/>
      <c r="O189" s="611"/>
      <c r="P189" s="612"/>
      <c r="Q189" s="795">
        <f t="shared" ref="Q189:AQ189" si="444">+(P188-Q188)/P188*P161*0.275</f>
        <v>6.8580554274351178</v>
      </c>
      <c r="R189" s="795">
        <f t="shared" si="444"/>
        <v>-1.2917302638330137</v>
      </c>
      <c r="S189" s="530">
        <f t="shared" si="444"/>
        <v>-3.7014607299472275</v>
      </c>
      <c r="T189" s="795">
        <f t="shared" si="444"/>
        <v>-0.6271027650604617</v>
      </c>
      <c r="U189" s="795">
        <f t="shared" si="444"/>
        <v>-3.9036577445865368</v>
      </c>
      <c r="V189" s="1121">
        <f t="shared" si="444"/>
        <v>1.6047434247350374</v>
      </c>
      <c r="W189" s="530">
        <f t="shared" si="444"/>
        <v>3.4742189738819858</v>
      </c>
      <c r="X189" s="795">
        <f t="shared" si="444"/>
        <v>2.0581753759844963</v>
      </c>
      <c r="Y189" s="795">
        <f t="shared" si="444"/>
        <v>1.7497181390365579</v>
      </c>
      <c r="Z189" s="795">
        <f t="shared" si="444"/>
        <v>2.2669153413765404</v>
      </c>
      <c r="AA189" s="795">
        <f t="shared" si="444"/>
        <v>-3.7676095219231569</v>
      </c>
      <c r="AB189" s="1104">
        <f t="shared" si="444"/>
        <v>-1.7165176921676468</v>
      </c>
      <c r="AC189" s="795">
        <f t="shared" si="444"/>
        <v>0</v>
      </c>
      <c r="AD189" s="795">
        <f t="shared" si="444"/>
        <v>0</v>
      </c>
      <c r="AE189" s="530">
        <f t="shared" si="444"/>
        <v>0</v>
      </c>
      <c r="AF189" s="1104">
        <f t="shared" si="444"/>
        <v>0</v>
      </c>
      <c r="AG189" s="795">
        <f t="shared" si="444"/>
        <v>0</v>
      </c>
      <c r="AH189" s="795">
        <f t="shared" si="444"/>
        <v>0</v>
      </c>
      <c r="AI189" s="795">
        <f t="shared" si="444"/>
        <v>0</v>
      </c>
      <c r="AJ189" s="1104">
        <f t="shared" si="444"/>
        <v>0</v>
      </c>
      <c r="AK189" s="795">
        <f t="shared" si="444"/>
        <v>0</v>
      </c>
      <c r="AL189" s="795">
        <f t="shared" si="444"/>
        <v>0</v>
      </c>
      <c r="AM189" s="612">
        <f t="shared" si="444"/>
        <v>0</v>
      </c>
      <c r="AN189" s="1104">
        <f t="shared" si="444"/>
        <v>0</v>
      </c>
      <c r="AO189" s="795">
        <f t="shared" si="444"/>
        <v>0</v>
      </c>
      <c r="AP189" s="795">
        <f t="shared" si="444"/>
        <v>0</v>
      </c>
      <c r="AQ189" s="614">
        <f t="shared" si="444"/>
        <v>0</v>
      </c>
      <c r="AR189" s="616"/>
      <c r="AS189" s="612"/>
      <c r="AT189" s="612"/>
      <c r="AU189" s="611"/>
      <c r="AV189" s="616"/>
      <c r="AW189" s="612"/>
      <c r="AX189" s="612"/>
      <c r="AY189" s="611"/>
      <c r="AZ189" s="611"/>
      <c r="BA189" s="616"/>
      <c r="BB189" s="612"/>
      <c r="BC189" s="612"/>
      <c r="BD189" s="341">
        <f>SUM(P189:S189)</f>
        <v>1.8648644336548768</v>
      </c>
      <c r="BE189" s="341">
        <f>SUM(T189:W189)</f>
        <v>0.54820188897002486</v>
      </c>
      <c r="BF189" s="939">
        <f>SUM(X189:AA189)</f>
        <v>2.3071993344744377</v>
      </c>
      <c r="BG189" s="1214"/>
      <c r="BH189" s="612"/>
      <c r="BI189" s="616"/>
      <c r="BJ189" s="612"/>
      <c r="BK189" s="612"/>
      <c r="BL189" s="612"/>
      <c r="BM189" s="612"/>
      <c r="BN189" s="612"/>
      <c r="BO189" s="613"/>
    </row>
    <row r="190" spans="2:67" s="592" customFormat="1" ht="14.25" hidden="1" customHeight="1" outlineLevel="1">
      <c r="B190" s="942" t="s">
        <v>243</v>
      </c>
      <c r="C190" s="609"/>
      <c r="D190" s="614"/>
      <c r="E190" s="614"/>
      <c r="F190" s="614"/>
      <c r="G190" s="980"/>
      <c r="H190" s="614"/>
      <c r="I190" s="614"/>
      <c r="J190" s="612"/>
      <c r="K190" s="611"/>
      <c r="L190" s="616"/>
      <c r="M190" s="612"/>
      <c r="N190" s="612"/>
      <c r="O190" s="611"/>
      <c r="P190" s="612"/>
      <c r="Q190" s="795">
        <f t="shared" ref="Q190:AQ190" si="445">+Q161-P161+Q189</f>
        <v>-7.1419445725648822</v>
      </c>
      <c r="R190" s="795">
        <f t="shared" si="445"/>
        <v>-32.291730263833017</v>
      </c>
      <c r="S190" s="530">
        <f t="shared" si="445"/>
        <v>-5.7014607299472271</v>
      </c>
      <c r="T190" s="795">
        <f t="shared" si="445"/>
        <v>8.3728972349395381</v>
      </c>
      <c r="U190" s="795">
        <f t="shared" si="445"/>
        <v>26.096342255413465</v>
      </c>
      <c r="V190" s="1121">
        <f t="shared" si="445"/>
        <v>-29.395256575264963</v>
      </c>
      <c r="W190" s="530">
        <f t="shared" si="445"/>
        <v>6.4742189738819853</v>
      </c>
      <c r="X190" s="795">
        <f t="shared" si="445"/>
        <v>21.058175375984497</v>
      </c>
      <c r="Y190" s="795">
        <f t="shared" si="445"/>
        <v>34.74971813903656</v>
      </c>
      <c r="Z190" s="795">
        <f t="shared" si="445"/>
        <v>40.266915341376539</v>
      </c>
      <c r="AA190" s="795">
        <f t="shared" si="445"/>
        <v>-14.767609521923157</v>
      </c>
      <c r="AB190" s="1104">
        <f t="shared" si="445"/>
        <v>-1.7165176921676468</v>
      </c>
      <c r="AC190" s="795">
        <f t="shared" si="445"/>
        <v>49</v>
      </c>
      <c r="AD190" s="795">
        <f t="shared" si="445"/>
        <v>17</v>
      </c>
      <c r="AE190" s="530">
        <f t="shared" si="445"/>
        <v>-7</v>
      </c>
      <c r="AF190" s="1104">
        <f t="shared" si="445"/>
        <v>-15</v>
      </c>
      <c r="AG190" s="795">
        <f t="shared" si="445"/>
        <v>40</v>
      </c>
      <c r="AH190" s="795">
        <f t="shared" si="445"/>
        <v>91</v>
      </c>
      <c r="AI190" s="795">
        <f t="shared" si="445"/>
        <v>40</v>
      </c>
      <c r="AJ190" s="1104">
        <f t="shared" si="445"/>
        <v>-67</v>
      </c>
      <c r="AK190" s="795">
        <f t="shared" si="445"/>
        <v>94</v>
      </c>
      <c r="AL190" s="795">
        <f t="shared" si="445"/>
        <v>-42</v>
      </c>
      <c r="AM190" s="612">
        <f t="shared" si="445"/>
        <v>142</v>
      </c>
      <c r="AN190" s="1104">
        <f t="shared" si="445"/>
        <v>-194</v>
      </c>
      <c r="AO190" s="795">
        <f t="shared" si="445"/>
        <v>94</v>
      </c>
      <c r="AP190" s="795">
        <f t="shared" si="445"/>
        <v>893</v>
      </c>
      <c r="AQ190" s="614">
        <f t="shared" si="445"/>
        <v>-37</v>
      </c>
      <c r="AR190" s="616"/>
      <c r="AS190" s="612"/>
      <c r="AT190" s="612"/>
      <c r="AU190" s="611"/>
      <c r="AV190" s="616"/>
      <c r="AW190" s="612"/>
      <c r="AX190" s="612"/>
      <c r="AY190" s="611"/>
      <c r="AZ190" s="611"/>
      <c r="BA190" s="616"/>
      <c r="BB190" s="612"/>
      <c r="BC190" s="612"/>
      <c r="BD190" s="705">
        <f>SUM(P190:S190)</f>
        <v>-45.135135566345127</v>
      </c>
      <c r="BE190" s="705">
        <f>SUM(T190:W190)</f>
        <v>11.548201888970027</v>
      </c>
      <c r="BF190" s="736">
        <f>SUM(X190:AA190)</f>
        <v>81.307199334474433</v>
      </c>
      <c r="BG190" s="1214"/>
      <c r="BH190" s="612"/>
      <c r="BI190" s="616"/>
      <c r="BJ190" s="612"/>
      <c r="BK190" s="612"/>
      <c r="BL190" s="612"/>
      <c r="BM190" s="612"/>
      <c r="BN190" s="612"/>
      <c r="BO190" s="613"/>
    </row>
    <row r="191" spans="2:67" s="592" customFormat="1" ht="14.25" hidden="1" customHeight="1" outlineLevel="1">
      <c r="B191" s="974" t="s">
        <v>241</v>
      </c>
      <c r="C191" s="609"/>
      <c r="D191" s="614"/>
      <c r="E191" s="614"/>
      <c r="F191" s="614"/>
      <c r="G191" s="980"/>
      <c r="H191" s="614"/>
      <c r="I191" s="614"/>
      <c r="J191" s="612"/>
      <c r="K191" s="611"/>
      <c r="L191" s="616"/>
      <c r="M191" s="612"/>
      <c r="N191" s="612"/>
      <c r="O191" s="611"/>
      <c r="P191" s="612"/>
      <c r="Q191" s="317">
        <f t="shared" ref="Q191:AQ191" si="446">+Q190/P161</f>
        <v>-2.2745046409442301E-2</v>
      </c>
      <c r="R191" s="317">
        <f t="shared" si="446"/>
        <v>-0.10763910087944339</v>
      </c>
      <c r="S191" s="339">
        <f t="shared" si="446"/>
        <v>-2.1195021300919058E-2</v>
      </c>
      <c r="T191" s="317">
        <f t="shared" si="446"/>
        <v>3.1359165673930857E-2</v>
      </c>
      <c r="U191" s="317">
        <f t="shared" si="446"/>
        <v>9.4551964693527044E-2</v>
      </c>
      <c r="V191" s="420">
        <f t="shared" si="446"/>
        <v>-9.6062929984526021E-2</v>
      </c>
      <c r="W191" s="339">
        <f t="shared" si="446"/>
        <v>2.3542614450479945E-2</v>
      </c>
      <c r="X191" s="317">
        <f t="shared" si="446"/>
        <v>7.5748832287714021E-2</v>
      </c>
      <c r="Y191" s="317">
        <f t="shared" si="446"/>
        <v>0.11700241797655407</v>
      </c>
      <c r="Z191" s="317">
        <f t="shared" si="446"/>
        <v>0.12202095557992891</v>
      </c>
      <c r="AA191" s="317">
        <f t="shared" si="446"/>
        <v>-4.0129373700878143E-2</v>
      </c>
      <c r="AB191" s="652">
        <f t="shared" si="446"/>
        <v>-4.8081728071922882E-3</v>
      </c>
      <c r="AC191" s="317">
        <f t="shared" si="446"/>
        <v>0.13725490196078433</v>
      </c>
      <c r="AD191" s="317">
        <f t="shared" si="446"/>
        <v>4.1871921182266007E-2</v>
      </c>
      <c r="AE191" s="339">
        <f t="shared" si="446"/>
        <v>-1.6548463356973995E-2</v>
      </c>
      <c r="AF191" s="652">
        <f t="shared" si="446"/>
        <v>-3.6057692307692304E-2</v>
      </c>
      <c r="AG191" s="317">
        <f t="shared" si="446"/>
        <v>9.9750623441396513E-2</v>
      </c>
      <c r="AH191" s="317">
        <f t="shared" si="446"/>
        <v>0.20634920634920634</v>
      </c>
      <c r="AI191" s="317">
        <f t="shared" si="446"/>
        <v>7.5187969924812026E-2</v>
      </c>
      <c r="AJ191" s="652">
        <f t="shared" si="446"/>
        <v>-0.11713286713286714</v>
      </c>
      <c r="AK191" s="317">
        <f t="shared" si="446"/>
        <v>0.18613861386138614</v>
      </c>
      <c r="AL191" s="317">
        <f t="shared" si="446"/>
        <v>-7.0116861435726208E-2</v>
      </c>
      <c r="AM191" s="612">
        <f t="shared" si="446"/>
        <v>0.25493716337522443</v>
      </c>
      <c r="AN191" s="652">
        <f t="shared" si="446"/>
        <v>-0.27753934191702434</v>
      </c>
      <c r="AO191" s="317">
        <f t="shared" si="446"/>
        <v>0.18613861386138614</v>
      </c>
      <c r="AP191" s="317">
        <f t="shared" si="446"/>
        <v>1.4908180300500835</v>
      </c>
      <c r="AQ191" s="614">
        <f t="shared" si="446"/>
        <v>-2.4798927613941018E-2</v>
      </c>
      <c r="AR191" s="616"/>
      <c r="AS191" s="612"/>
      <c r="AT191" s="612"/>
      <c r="AU191" s="611"/>
      <c r="AV191" s="616"/>
      <c r="AW191" s="612"/>
      <c r="AX191" s="612"/>
      <c r="AY191" s="611"/>
      <c r="AZ191" s="611"/>
      <c r="BA191" s="616"/>
      <c r="BB191" s="612"/>
      <c r="BC191" s="612"/>
      <c r="BD191" s="1111"/>
      <c r="BE191" s="1111"/>
      <c r="BF191" s="1214"/>
      <c r="BG191" s="1214"/>
      <c r="BH191" s="612"/>
      <c r="BI191" s="616"/>
      <c r="BJ191" s="612"/>
      <c r="BK191" s="612"/>
      <c r="BL191" s="612"/>
      <c r="BM191" s="612"/>
      <c r="BN191" s="612"/>
      <c r="BO191" s="613"/>
    </row>
    <row r="192" spans="2:67" s="592" customFormat="1" ht="14.25" hidden="1" customHeight="1" outlineLevel="1">
      <c r="B192" s="574"/>
      <c r="C192" s="609"/>
      <c r="D192" s="614"/>
      <c r="E192" s="614"/>
      <c r="F192" s="614"/>
      <c r="G192" s="980"/>
      <c r="H192" s="614"/>
      <c r="I192" s="614"/>
      <c r="J192" s="612"/>
      <c r="K192" s="611"/>
      <c r="L192" s="616"/>
      <c r="M192" s="612"/>
      <c r="N192" s="612"/>
      <c r="O192" s="611"/>
      <c r="P192" s="612"/>
      <c r="Q192" s="612"/>
      <c r="R192" s="612"/>
      <c r="S192" s="611"/>
      <c r="T192" s="612"/>
      <c r="U192" s="612"/>
      <c r="V192" s="614"/>
      <c r="W192" s="611"/>
      <c r="X192" s="612"/>
      <c r="Y192" s="612"/>
      <c r="Z192" s="612"/>
      <c r="AA192" s="612"/>
      <c r="AB192" s="616"/>
      <c r="AC192" s="612"/>
      <c r="AD192" s="612"/>
      <c r="AE192" s="611"/>
      <c r="AF192" s="616"/>
      <c r="AG192" s="612"/>
      <c r="AH192" s="612"/>
      <c r="AI192" s="612"/>
      <c r="AJ192" s="616"/>
      <c r="AK192" s="612"/>
      <c r="AL192" s="612"/>
      <c r="AM192" s="612"/>
      <c r="AN192" s="616"/>
      <c r="AO192" s="612"/>
      <c r="AP192" s="612"/>
      <c r="AQ192" s="614"/>
      <c r="AR192" s="616"/>
      <c r="AS192" s="612"/>
      <c r="AT192" s="612"/>
      <c r="AU192" s="611"/>
      <c r="AV192" s="616"/>
      <c r="AW192" s="612"/>
      <c r="AX192" s="612"/>
      <c r="AY192" s="611"/>
      <c r="AZ192" s="611"/>
      <c r="BA192" s="616"/>
      <c r="BB192" s="612"/>
      <c r="BC192" s="612"/>
      <c r="BD192" s="1111"/>
      <c r="BE192" s="1111"/>
      <c r="BF192" s="1214"/>
      <c r="BG192" s="1214"/>
      <c r="BH192" s="612"/>
      <c r="BI192" s="616"/>
      <c r="BJ192" s="612"/>
      <c r="BK192" s="612"/>
      <c r="BL192" s="612"/>
      <c r="BM192" s="612"/>
      <c r="BN192" s="612"/>
      <c r="BO192" s="613"/>
    </row>
    <row r="193" spans="2:67" s="592" customFormat="1" ht="14.25" hidden="1" customHeight="1" outlineLevel="1">
      <c r="B193" s="572" t="s">
        <v>15</v>
      </c>
      <c r="C193" s="609"/>
      <c r="D193" s="614"/>
      <c r="E193" s="614"/>
      <c r="F193" s="614"/>
      <c r="G193" s="980"/>
      <c r="H193" s="614"/>
      <c r="I193" s="614"/>
      <c r="J193" s="612"/>
      <c r="K193" s="611"/>
      <c r="L193" s="616"/>
      <c r="M193" s="612"/>
      <c r="N193" s="612"/>
      <c r="O193" s="611"/>
      <c r="P193" s="612">
        <v>35</v>
      </c>
      <c r="Q193" s="612">
        <v>77</v>
      </c>
      <c r="R193" s="612">
        <v>103</v>
      </c>
      <c r="S193" s="611">
        <v>99</v>
      </c>
      <c r="T193" s="612">
        <v>99</v>
      </c>
      <c r="U193" s="612">
        <v>97</v>
      </c>
      <c r="V193" s="614">
        <v>74</v>
      </c>
      <c r="W193" s="611">
        <v>18</v>
      </c>
      <c r="X193" s="612">
        <v>63</v>
      </c>
      <c r="Y193" s="612">
        <v>154</v>
      </c>
      <c r="Z193" s="612">
        <v>157</v>
      </c>
      <c r="AA193" s="612">
        <v>105</v>
      </c>
      <c r="AB193" s="616">
        <v>123</v>
      </c>
      <c r="AC193" s="612">
        <v>178</v>
      </c>
      <c r="AD193" s="612">
        <v>184</v>
      </c>
      <c r="AE193" s="611">
        <v>227</v>
      </c>
      <c r="AF193" s="616">
        <v>200</v>
      </c>
      <c r="AG193" s="612">
        <v>232</v>
      </c>
      <c r="AH193" s="612">
        <v>184</v>
      </c>
      <c r="AI193" s="612">
        <v>184</v>
      </c>
      <c r="AJ193" s="616">
        <v>266</v>
      </c>
      <c r="AK193" s="612">
        <v>232</v>
      </c>
      <c r="AL193" s="612">
        <v>184</v>
      </c>
      <c r="AM193" s="612">
        <v>184</v>
      </c>
      <c r="AN193" s="616">
        <v>266</v>
      </c>
      <c r="AO193" s="612">
        <v>232</v>
      </c>
      <c r="AP193" s="612">
        <v>184</v>
      </c>
      <c r="AQ193" s="614">
        <v>184</v>
      </c>
      <c r="AR193" s="616">
        <v>81</v>
      </c>
      <c r="AS193" s="612"/>
      <c r="AT193" s="612"/>
      <c r="AU193" s="611"/>
      <c r="AV193" s="616"/>
      <c r="AW193" s="612"/>
      <c r="AX193" s="612"/>
      <c r="AY193" s="611"/>
      <c r="AZ193" s="611"/>
      <c r="BA193" s="616"/>
      <c r="BB193" s="612"/>
      <c r="BC193" s="612"/>
      <c r="BD193" s="705">
        <f t="shared" ref="BD193:BD199" si="447">SUM(P193:S193)</f>
        <v>314</v>
      </c>
      <c r="BE193" s="705">
        <f t="shared" ref="BE193:BE199" si="448">SUM(T193:W193)</f>
        <v>288</v>
      </c>
      <c r="BF193" s="736">
        <f t="shared" ref="BF193:BF199" si="449">SUM(X193:AA193)</f>
        <v>479</v>
      </c>
      <c r="BG193" s="1214"/>
      <c r="BH193" s="612"/>
      <c r="BI193" s="616"/>
      <c r="BJ193" s="612"/>
      <c r="BK193" s="612"/>
      <c r="BL193" s="612"/>
      <c r="BM193" s="612"/>
      <c r="BN193" s="612"/>
      <c r="BO193" s="613"/>
    </row>
    <row r="194" spans="2:67" s="592" customFormat="1" ht="14.25" hidden="1" customHeight="1" outlineLevel="2">
      <c r="B194" s="572" t="s">
        <v>8</v>
      </c>
      <c r="C194" s="609"/>
      <c r="D194" s="614"/>
      <c r="E194" s="614"/>
      <c r="F194" s="614"/>
      <c r="G194" s="980"/>
      <c r="H194" s="614"/>
      <c r="I194" s="614"/>
      <c r="J194" s="612"/>
      <c r="K194" s="611"/>
      <c r="L194" s="616"/>
      <c r="M194" s="612"/>
      <c r="N194" s="612"/>
      <c r="O194" s="611"/>
      <c r="P194" s="612">
        <v>-59</v>
      </c>
      <c r="Q194" s="612">
        <v>-56</v>
      </c>
      <c r="R194" s="612">
        <v>-46</v>
      </c>
      <c r="S194" s="611">
        <v>-50</v>
      </c>
      <c r="T194" s="612">
        <v>-50</v>
      </c>
      <c r="U194" s="612">
        <v>-45</v>
      </c>
      <c r="V194" s="614">
        <v>-60</v>
      </c>
      <c r="W194" s="611">
        <v>-51</v>
      </c>
      <c r="X194" s="612">
        <v>-48</v>
      </c>
      <c r="Y194" s="612">
        <v>-52</v>
      </c>
      <c r="Z194" s="612">
        <v>-45</v>
      </c>
      <c r="AA194" s="612">
        <v>-45</v>
      </c>
      <c r="AB194" s="616">
        <v>-46</v>
      </c>
      <c r="AC194" s="612">
        <v>-45</v>
      </c>
      <c r="AD194" s="612">
        <v>-46</v>
      </c>
      <c r="AE194" s="611">
        <v>-26</v>
      </c>
      <c r="AF194" s="616">
        <v>-24</v>
      </c>
      <c r="AG194" s="612">
        <v>-22</v>
      </c>
      <c r="AH194" s="612">
        <v>-22</v>
      </c>
      <c r="AI194" s="612">
        <v>-16</v>
      </c>
      <c r="AJ194" s="616">
        <v>-14</v>
      </c>
      <c r="AK194" s="612">
        <v>-22</v>
      </c>
      <c r="AL194" s="612">
        <v>-22</v>
      </c>
      <c r="AM194" s="612">
        <v>-22</v>
      </c>
      <c r="AN194" s="616">
        <v>-14</v>
      </c>
      <c r="AO194" s="612">
        <v>-22</v>
      </c>
      <c r="AP194" s="612">
        <v>-22</v>
      </c>
      <c r="AQ194" s="614">
        <v>-22</v>
      </c>
      <c r="AR194" s="616">
        <v>-429</v>
      </c>
      <c r="AS194" s="612"/>
      <c r="AT194" s="612"/>
      <c r="AU194" s="611"/>
      <c r="AV194" s="616"/>
      <c r="AW194" s="612"/>
      <c r="AX194" s="612"/>
      <c r="AY194" s="611"/>
      <c r="AZ194" s="611"/>
      <c r="BA194" s="616"/>
      <c r="BB194" s="612"/>
      <c r="BC194" s="612"/>
      <c r="BD194" s="705">
        <f t="shared" si="447"/>
        <v>-211</v>
      </c>
      <c r="BE194" s="705">
        <f t="shared" si="448"/>
        <v>-206</v>
      </c>
      <c r="BF194" s="736">
        <f t="shared" si="449"/>
        <v>-190</v>
      </c>
      <c r="BG194" s="1214"/>
      <c r="BH194" s="612"/>
      <c r="BI194" s="616"/>
      <c r="BJ194" s="612"/>
      <c r="BK194" s="612"/>
      <c r="BL194" s="612"/>
      <c r="BM194" s="612"/>
      <c r="BN194" s="612"/>
      <c r="BO194" s="613"/>
    </row>
    <row r="195" spans="2:67" s="592" customFormat="1" ht="14.25" hidden="1" customHeight="1" outlineLevel="2">
      <c r="B195" s="572" t="s">
        <v>349</v>
      </c>
      <c r="C195" s="609"/>
      <c r="D195" s="614"/>
      <c r="E195" s="614"/>
      <c r="F195" s="614"/>
      <c r="G195" s="980"/>
      <c r="H195" s="614"/>
      <c r="I195" s="614"/>
      <c r="J195" s="612"/>
      <c r="K195" s="611"/>
      <c r="L195" s="616"/>
      <c r="M195" s="612"/>
      <c r="N195" s="612"/>
      <c r="O195" s="611"/>
      <c r="P195" s="612">
        <v>-2</v>
      </c>
      <c r="Q195" s="612">
        <v>3</v>
      </c>
      <c r="R195" s="612">
        <v>4</v>
      </c>
      <c r="S195" s="611">
        <v>3</v>
      </c>
      <c r="T195" s="612">
        <v>-1</v>
      </c>
      <c r="U195" s="612">
        <v>-3</v>
      </c>
      <c r="V195" s="614">
        <v>-1</v>
      </c>
      <c r="W195" s="611">
        <v>-35</v>
      </c>
      <c r="X195" s="612">
        <v>0</v>
      </c>
      <c r="Y195" s="612">
        <v>1</v>
      </c>
      <c r="Z195" s="612">
        <v>1</v>
      </c>
      <c r="AA195" s="612">
        <v>-26</v>
      </c>
      <c r="AB195" s="616">
        <v>-1</v>
      </c>
      <c r="AC195" s="612">
        <v>3</v>
      </c>
      <c r="AD195" s="612">
        <v>-4</v>
      </c>
      <c r="AE195" s="611">
        <v>-2</v>
      </c>
      <c r="AF195" s="616">
        <v>-2</v>
      </c>
      <c r="AG195" s="612">
        <v>1</v>
      </c>
      <c r="AH195" s="612">
        <v>0</v>
      </c>
      <c r="AI195" s="612">
        <v>-2</v>
      </c>
      <c r="AJ195" s="616">
        <v>-11</v>
      </c>
      <c r="AK195" s="612">
        <v>1</v>
      </c>
      <c r="AL195" s="612">
        <v>0</v>
      </c>
      <c r="AM195" s="612">
        <v>0</v>
      </c>
      <c r="AN195" s="616">
        <v>-11</v>
      </c>
      <c r="AO195" s="612">
        <v>1</v>
      </c>
      <c r="AP195" s="612">
        <v>0</v>
      </c>
      <c r="AQ195" s="614">
        <v>0</v>
      </c>
      <c r="AR195" s="616">
        <v>9</v>
      </c>
      <c r="AS195" s="612"/>
      <c r="AT195" s="612"/>
      <c r="AU195" s="611"/>
      <c r="AV195" s="616"/>
      <c r="AW195" s="612"/>
      <c r="AX195" s="612"/>
      <c r="AY195" s="611"/>
      <c r="AZ195" s="611"/>
      <c r="BA195" s="616"/>
      <c r="BB195" s="612"/>
      <c r="BC195" s="612"/>
      <c r="BD195" s="705">
        <f t="shared" si="447"/>
        <v>8</v>
      </c>
      <c r="BE195" s="705">
        <f t="shared" si="448"/>
        <v>-40</v>
      </c>
      <c r="BF195" s="736">
        <f t="shared" si="449"/>
        <v>-24</v>
      </c>
      <c r="BG195" s="1214"/>
      <c r="BH195" s="612"/>
      <c r="BI195" s="616"/>
      <c r="BJ195" s="612"/>
      <c r="BK195" s="612"/>
      <c r="BL195" s="612"/>
      <c r="BM195" s="612"/>
      <c r="BN195" s="612"/>
      <c r="BO195" s="613"/>
    </row>
    <row r="196" spans="2:67" s="592" customFormat="1" ht="14.25" hidden="1" customHeight="1" outlineLevel="2">
      <c r="B196" s="572" t="s">
        <v>9</v>
      </c>
      <c r="C196" s="609"/>
      <c r="D196" s="614"/>
      <c r="E196" s="614"/>
      <c r="F196" s="614"/>
      <c r="G196" s="980"/>
      <c r="H196" s="614"/>
      <c r="I196" s="614"/>
      <c r="J196" s="612"/>
      <c r="K196" s="611"/>
      <c r="L196" s="616"/>
      <c r="M196" s="612"/>
      <c r="N196" s="612"/>
      <c r="O196" s="611"/>
      <c r="P196" s="612">
        <v>-5</v>
      </c>
      <c r="Q196" s="612">
        <v>-4</v>
      </c>
      <c r="R196" s="612">
        <v>-5</v>
      </c>
      <c r="S196" s="611">
        <v>0</v>
      </c>
      <c r="T196" s="612">
        <v>-4</v>
      </c>
      <c r="U196" s="612">
        <v>-2</v>
      </c>
      <c r="V196" s="614">
        <v>-2</v>
      </c>
      <c r="W196" s="611">
        <v>-7</v>
      </c>
      <c r="X196" s="612">
        <v>-7</v>
      </c>
      <c r="Y196" s="612">
        <v>-9</v>
      </c>
      <c r="Z196" s="612">
        <v>-9</v>
      </c>
      <c r="AA196" s="612">
        <v>-12</v>
      </c>
      <c r="AB196" s="616">
        <v>-12</v>
      </c>
      <c r="AC196" s="612">
        <v>-16</v>
      </c>
      <c r="AD196" s="612">
        <v>-16</v>
      </c>
      <c r="AE196" s="611">
        <v>-24</v>
      </c>
      <c r="AF196" s="616">
        <v>-22</v>
      </c>
      <c r="AG196" s="612">
        <v>-29</v>
      </c>
      <c r="AH196" s="612">
        <v>-26</v>
      </c>
      <c r="AI196" s="612">
        <v>-27</v>
      </c>
      <c r="AJ196" s="616">
        <v>-28</v>
      </c>
      <c r="AK196" s="612">
        <v>-29</v>
      </c>
      <c r="AL196" s="612">
        <v>-26</v>
      </c>
      <c r="AM196" s="612">
        <v>-26</v>
      </c>
      <c r="AN196" s="616">
        <v>-28</v>
      </c>
      <c r="AO196" s="612">
        <v>-29</v>
      </c>
      <c r="AP196" s="612">
        <v>-26</v>
      </c>
      <c r="AQ196" s="614">
        <v>-26</v>
      </c>
      <c r="AR196" s="616">
        <v>-67</v>
      </c>
      <c r="AS196" s="612"/>
      <c r="AT196" s="612"/>
      <c r="AU196" s="611"/>
      <c r="AV196" s="616"/>
      <c r="AW196" s="612"/>
      <c r="AX196" s="612"/>
      <c r="AY196" s="611"/>
      <c r="AZ196" s="611"/>
      <c r="BA196" s="616"/>
      <c r="BB196" s="612"/>
      <c r="BC196" s="612"/>
      <c r="BD196" s="705">
        <f t="shared" si="447"/>
        <v>-14</v>
      </c>
      <c r="BE196" s="705">
        <f t="shared" si="448"/>
        <v>-15</v>
      </c>
      <c r="BF196" s="736">
        <f t="shared" si="449"/>
        <v>-37</v>
      </c>
      <c r="BG196" s="1214"/>
      <c r="BH196" s="612"/>
      <c r="BI196" s="616"/>
      <c r="BJ196" s="612"/>
      <c r="BK196" s="612"/>
      <c r="BL196" s="612"/>
      <c r="BM196" s="612"/>
      <c r="BN196" s="612"/>
      <c r="BO196" s="613"/>
    </row>
    <row r="197" spans="2:67" s="592" customFormat="1" ht="14.25" hidden="1" customHeight="1" outlineLevel="2">
      <c r="B197" s="572" t="s">
        <v>10</v>
      </c>
      <c r="C197" s="609"/>
      <c r="D197" s="614"/>
      <c r="E197" s="614"/>
      <c r="F197" s="614"/>
      <c r="G197" s="980"/>
      <c r="H197" s="614"/>
      <c r="I197" s="614"/>
      <c r="J197" s="612"/>
      <c r="K197" s="611"/>
      <c r="L197" s="616"/>
      <c r="M197" s="612"/>
      <c r="N197" s="612"/>
      <c r="O197" s="611"/>
      <c r="P197" s="612">
        <v>-1</v>
      </c>
      <c r="Q197" s="612">
        <v>0</v>
      </c>
      <c r="R197" s="612">
        <v>-2</v>
      </c>
      <c r="S197" s="611">
        <v>0</v>
      </c>
      <c r="T197" s="612">
        <v>-1</v>
      </c>
      <c r="U197" s="612">
        <v>-1</v>
      </c>
      <c r="V197" s="614">
        <v>0</v>
      </c>
      <c r="W197" s="611">
        <v>0</v>
      </c>
      <c r="X197" s="612">
        <v>-2</v>
      </c>
      <c r="Y197" s="612">
        <v>-9</v>
      </c>
      <c r="Z197" s="612">
        <v>16</v>
      </c>
      <c r="AA197" s="612">
        <v>-3</v>
      </c>
      <c r="AB197" s="616">
        <v>-1</v>
      </c>
      <c r="AC197" s="612">
        <v>-2</v>
      </c>
      <c r="AD197" s="612">
        <v>-1</v>
      </c>
      <c r="AE197" s="611">
        <v>-11</v>
      </c>
      <c r="AF197" s="616">
        <v>-1</v>
      </c>
      <c r="AG197" s="612">
        <v>7</v>
      </c>
      <c r="AH197" s="612">
        <v>-1</v>
      </c>
      <c r="AI197" s="612">
        <v>1</v>
      </c>
      <c r="AJ197" s="616"/>
      <c r="AK197" s="612">
        <v>7</v>
      </c>
      <c r="AL197" s="612">
        <v>-1</v>
      </c>
      <c r="AM197" s="612">
        <v>-1</v>
      </c>
      <c r="AN197" s="616"/>
      <c r="AO197" s="612">
        <v>7</v>
      </c>
      <c r="AP197" s="612">
        <v>-1</v>
      </c>
      <c r="AQ197" s="614">
        <v>-1</v>
      </c>
      <c r="AR197" s="616">
        <v>0</v>
      </c>
      <c r="AS197" s="612"/>
      <c r="AT197" s="612"/>
      <c r="AU197" s="611"/>
      <c r="AV197" s="616"/>
      <c r="AW197" s="612"/>
      <c r="AX197" s="612"/>
      <c r="AY197" s="611"/>
      <c r="AZ197" s="611"/>
      <c r="BA197" s="616"/>
      <c r="BB197" s="612"/>
      <c r="BC197" s="612"/>
      <c r="BD197" s="705">
        <f t="shared" si="447"/>
        <v>-3</v>
      </c>
      <c r="BE197" s="705">
        <f t="shared" si="448"/>
        <v>-2</v>
      </c>
      <c r="BF197" s="736">
        <f t="shared" si="449"/>
        <v>2</v>
      </c>
      <c r="BG197" s="1214"/>
      <c r="BH197" s="612"/>
      <c r="BI197" s="616"/>
      <c r="BJ197" s="612"/>
      <c r="BK197" s="612"/>
      <c r="BL197" s="612"/>
      <c r="BM197" s="612"/>
      <c r="BN197" s="612"/>
      <c r="BO197" s="613"/>
    </row>
    <row r="198" spans="2:67" s="594" customFormat="1" ht="14.25" hidden="1" customHeight="1" outlineLevel="2">
      <c r="B198" s="634" t="s">
        <v>11</v>
      </c>
      <c r="C198" s="617"/>
      <c r="D198" s="618"/>
      <c r="E198" s="618"/>
      <c r="F198" s="618"/>
      <c r="G198" s="981"/>
      <c r="H198" s="618"/>
      <c r="I198" s="618"/>
      <c r="J198" s="623"/>
      <c r="K198" s="621"/>
      <c r="L198" s="622"/>
      <c r="M198" s="623"/>
      <c r="N198" s="623"/>
      <c r="O198" s="621"/>
      <c r="P198" s="623">
        <v>0</v>
      </c>
      <c r="Q198" s="623">
        <v>0</v>
      </c>
      <c r="R198" s="623">
        <v>0</v>
      </c>
      <c r="S198" s="621">
        <v>0</v>
      </c>
      <c r="T198" s="623">
        <v>0</v>
      </c>
      <c r="U198" s="623">
        <v>0</v>
      </c>
      <c r="V198" s="618">
        <v>0</v>
      </c>
      <c r="W198" s="621">
        <v>0</v>
      </c>
      <c r="X198" s="623">
        <v>0</v>
      </c>
      <c r="Y198" s="623">
        <v>46</v>
      </c>
      <c r="Z198" s="623">
        <v>0</v>
      </c>
      <c r="AA198" s="623">
        <v>0</v>
      </c>
      <c r="AB198" s="622">
        <v>-46</v>
      </c>
      <c r="AC198" s="623">
        <v>0</v>
      </c>
      <c r="AD198" s="623">
        <v>0</v>
      </c>
      <c r="AE198" s="621">
        <v>0</v>
      </c>
      <c r="AF198" s="622">
        <v>0</v>
      </c>
      <c r="AG198" s="623">
        <v>0</v>
      </c>
      <c r="AH198" s="623">
        <v>0</v>
      </c>
      <c r="AI198" s="623">
        <v>0</v>
      </c>
      <c r="AJ198" s="622">
        <v>0</v>
      </c>
      <c r="AK198" s="623">
        <v>0</v>
      </c>
      <c r="AL198" s="623">
        <v>0</v>
      </c>
      <c r="AM198" s="623">
        <v>0</v>
      </c>
      <c r="AN198" s="622">
        <v>0</v>
      </c>
      <c r="AO198" s="623">
        <v>0</v>
      </c>
      <c r="AP198" s="623">
        <v>0</v>
      </c>
      <c r="AQ198" s="618">
        <v>0</v>
      </c>
      <c r="AR198" s="622">
        <v>-2</v>
      </c>
      <c r="AS198" s="623"/>
      <c r="AT198" s="623"/>
      <c r="AU198" s="621"/>
      <c r="AV198" s="622"/>
      <c r="AW198" s="623"/>
      <c r="AX198" s="623"/>
      <c r="AY198" s="621"/>
      <c r="AZ198" s="621"/>
      <c r="BA198" s="622"/>
      <c r="BB198" s="623"/>
      <c r="BC198" s="623"/>
      <c r="BD198" s="705">
        <f t="shared" si="447"/>
        <v>0</v>
      </c>
      <c r="BE198" s="705">
        <f t="shared" si="448"/>
        <v>0</v>
      </c>
      <c r="BF198" s="736">
        <f t="shared" si="449"/>
        <v>46</v>
      </c>
      <c r="BG198" s="1340"/>
      <c r="BH198" s="623"/>
      <c r="BI198" s="622"/>
      <c r="BJ198" s="623"/>
      <c r="BK198" s="623"/>
      <c r="BL198" s="623"/>
      <c r="BM198" s="623"/>
      <c r="BN198" s="623"/>
      <c r="BO198" s="624"/>
    </row>
    <row r="199" spans="2:67" s="592" customFormat="1" ht="14.25" hidden="1" customHeight="1" outlineLevel="1">
      <c r="B199" s="572" t="s">
        <v>16</v>
      </c>
      <c r="C199" s="609"/>
      <c r="D199" s="614"/>
      <c r="E199" s="614"/>
      <c r="F199" s="614"/>
      <c r="G199" s="980"/>
      <c r="H199" s="614"/>
      <c r="I199" s="614"/>
      <c r="J199" s="612"/>
      <c r="K199" s="611"/>
      <c r="L199" s="616"/>
      <c r="M199" s="612"/>
      <c r="N199" s="612"/>
      <c r="O199" s="611"/>
      <c r="P199" s="612">
        <v>102</v>
      </c>
      <c r="Q199" s="612">
        <v>134</v>
      </c>
      <c r="R199" s="612">
        <v>152</v>
      </c>
      <c r="S199" s="611">
        <v>146</v>
      </c>
      <c r="T199" s="612">
        <v>155</v>
      </c>
      <c r="U199" s="612">
        <v>148</v>
      </c>
      <c r="V199" s="614">
        <v>137</v>
      </c>
      <c r="W199" s="611">
        <v>111</v>
      </c>
      <c r="X199" s="612">
        <v>120</v>
      </c>
      <c r="Y199" s="612">
        <v>177</v>
      </c>
      <c r="Z199" s="612">
        <v>194</v>
      </c>
      <c r="AA199" s="612">
        <v>191</v>
      </c>
      <c r="AB199" s="616">
        <v>229</v>
      </c>
      <c r="AC199" s="612">
        <v>238</v>
      </c>
      <c r="AD199" s="612">
        <v>251</v>
      </c>
      <c r="AE199" s="611">
        <v>290</v>
      </c>
      <c r="AF199" s="616">
        <v>249</v>
      </c>
      <c r="AG199" s="612">
        <v>275</v>
      </c>
      <c r="AH199" s="612">
        <v>323</v>
      </c>
      <c r="AI199" s="612">
        <v>321</v>
      </c>
      <c r="AJ199" s="616">
        <v>319</v>
      </c>
      <c r="AK199" s="612">
        <v>275</v>
      </c>
      <c r="AL199" s="612">
        <v>323</v>
      </c>
      <c r="AM199" s="612">
        <v>323</v>
      </c>
      <c r="AN199" s="616">
        <v>319</v>
      </c>
      <c r="AO199" s="612">
        <v>275</v>
      </c>
      <c r="AP199" s="612">
        <v>323</v>
      </c>
      <c r="AQ199" s="614">
        <v>323</v>
      </c>
      <c r="AR199" s="616">
        <v>570</v>
      </c>
      <c r="AS199" s="612"/>
      <c r="AT199" s="612"/>
      <c r="AU199" s="611"/>
      <c r="AV199" s="616"/>
      <c r="AW199" s="612"/>
      <c r="AX199" s="612"/>
      <c r="AY199" s="611"/>
      <c r="AZ199" s="611"/>
      <c r="BA199" s="616"/>
      <c r="BB199" s="612"/>
      <c r="BC199" s="612"/>
      <c r="BD199" s="705">
        <f t="shared" si="447"/>
        <v>534</v>
      </c>
      <c r="BE199" s="705">
        <f t="shared" si="448"/>
        <v>551</v>
      </c>
      <c r="BF199" s="736">
        <f t="shared" si="449"/>
        <v>682</v>
      </c>
      <c r="BG199" s="1214"/>
      <c r="BH199" s="612"/>
      <c r="BI199" s="616"/>
      <c r="BJ199" s="612"/>
      <c r="BK199" s="612"/>
      <c r="BL199" s="612"/>
      <c r="BM199" s="612"/>
      <c r="BN199" s="612"/>
      <c r="BO199" s="613"/>
    </row>
    <row r="200" spans="2:67" s="592" customFormat="1" ht="14.25" hidden="1" customHeight="1" outlineLevel="1">
      <c r="B200" s="572"/>
      <c r="C200" s="609"/>
      <c r="D200" s="614"/>
      <c r="E200" s="614"/>
      <c r="F200" s="614"/>
      <c r="G200" s="980"/>
      <c r="H200" s="614"/>
      <c r="I200" s="614"/>
      <c r="J200" s="612"/>
      <c r="K200" s="611"/>
      <c r="L200" s="616"/>
      <c r="M200" s="612"/>
      <c r="N200" s="612"/>
      <c r="O200" s="611"/>
      <c r="P200" s="1240"/>
      <c r="Q200" s="1240"/>
      <c r="R200" s="1240"/>
      <c r="S200" s="993"/>
      <c r="T200" s="1240"/>
      <c r="U200" s="1240"/>
      <c r="V200" s="1289"/>
      <c r="W200" s="993"/>
      <c r="X200" s="1240"/>
      <c r="Y200" s="1240"/>
      <c r="Z200" s="1240"/>
      <c r="AA200" s="1240"/>
      <c r="AB200" s="1256"/>
      <c r="AC200" s="612"/>
      <c r="AD200" s="612"/>
      <c r="AE200" s="993"/>
      <c r="AF200" s="616"/>
      <c r="AG200" s="612"/>
      <c r="AH200" s="612"/>
      <c r="AI200" s="612"/>
      <c r="AJ200" s="616"/>
      <c r="AK200" s="612"/>
      <c r="AL200" s="612"/>
      <c r="AM200" s="612"/>
      <c r="AN200" s="616"/>
      <c r="AO200" s="612"/>
      <c r="AP200" s="612"/>
      <c r="AQ200" s="614"/>
      <c r="AR200" s="616"/>
      <c r="AS200" s="612"/>
      <c r="AT200" s="612"/>
      <c r="AU200" s="611"/>
      <c r="AV200" s="616"/>
      <c r="AW200" s="612"/>
      <c r="AX200" s="612"/>
      <c r="AY200" s="611"/>
      <c r="AZ200" s="611"/>
      <c r="BA200" s="616"/>
      <c r="BB200" s="612"/>
      <c r="BC200" s="612"/>
      <c r="BD200" s="705"/>
      <c r="BE200" s="705"/>
      <c r="BF200" s="736"/>
      <c r="BG200" s="1214"/>
      <c r="BH200" s="612"/>
      <c r="BI200" s="616"/>
      <c r="BJ200" s="612"/>
      <c r="BK200" s="612"/>
      <c r="BL200" s="612"/>
      <c r="BM200" s="612"/>
      <c r="BN200" s="612"/>
      <c r="BO200" s="613"/>
    </row>
    <row r="201" spans="2:67" s="913" customFormat="1" ht="14.25" hidden="1" customHeight="1" outlineLevel="1">
      <c r="B201" s="640" t="s">
        <v>17</v>
      </c>
      <c r="C201" s="646"/>
      <c r="D201" s="647"/>
      <c r="E201" s="647"/>
      <c r="F201" s="647"/>
      <c r="G201" s="927"/>
      <c r="H201" s="647"/>
      <c r="I201" s="647"/>
      <c r="J201" s="738"/>
      <c r="K201" s="650"/>
      <c r="L201" s="651"/>
      <c r="M201" s="738"/>
      <c r="N201" s="738"/>
      <c r="O201" s="650"/>
      <c r="P201" s="738">
        <f t="shared" ref="P201:AB201" si="450">+P193/P146</f>
        <v>5.5467511885895403E-2</v>
      </c>
      <c r="Q201" s="738">
        <f t="shared" si="450"/>
        <v>0.11809815950920245</v>
      </c>
      <c r="R201" s="738">
        <f t="shared" si="450"/>
        <v>0.15870570107858242</v>
      </c>
      <c r="S201" s="650">
        <f t="shared" si="450"/>
        <v>0.15184049079754602</v>
      </c>
      <c r="T201" s="738">
        <f t="shared" si="450"/>
        <v>0.14798206278026907</v>
      </c>
      <c r="U201" s="738">
        <f t="shared" si="450"/>
        <v>0.13642756680731363</v>
      </c>
      <c r="V201" s="647">
        <f t="shared" si="450"/>
        <v>0.11127819548872181</v>
      </c>
      <c r="W201" s="650">
        <f t="shared" si="450"/>
        <v>2.9605263157894735E-2</v>
      </c>
      <c r="X201" s="738">
        <f t="shared" si="450"/>
        <v>9.7523219814241488E-2</v>
      </c>
      <c r="Y201" s="738">
        <f t="shared" si="450"/>
        <v>0.2078272604588394</v>
      </c>
      <c r="Z201" s="738">
        <f t="shared" si="450"/>
        <v>0.19527363184079602</v>
      </c>
      <c r="AA201" s="738">
        <f t="shared" si="450"/>
        <v>0.13375796178343949</v>
      </c>
      <c r="AB201" s="651">
        <f t="shared" si="450"/>
        <v>0.15850515463917525</v>
      </c>
      <c r="AC201" s="738">
        <f t="shared" ref="AC201:AH201" si="451">+AC193/AC146</f>
        <v>0.20273348519362186</v>
      </c>
      <c r="AD201" s="738">
        <f t="shared" si="451"/>
        <v>0.19956616052060738</v>
      </c>
      <c r="AE201" s="650">
        <f t="shared" si="451"/>
        <v>0.23719958202716823</v>
      </c>
      <c r="AF201" s="651">
        <f t="shared" si="451"/>
        <v>0.21929824561403508</v>
      </c>
      <c r="AG201" s="738">
        <f t="shared" si="451"/>
        <v>0.23481781376518218</v>
      </c>
      <c r="AH201" s="738">
        <f t="shared" si="451"/>
        <v>0.16154521510096576</v>
      </c>
      <c r="AI201" s="738">
        <f>+AI193/AI146</f>
        <v>0.15739948674080412</v>
      </c>
      <c r="AJ201" s="651">
        <f>+AJ193/AJ146</f>
        <v>0.24094202898550723</v>
      </c>
      <c r="AK201" s="738">
        <f>+AK193/AK146</f>
        <v>0.2024432809773124</v>
      </c>
      <c r="AL201" s="738">
        <f t="shared" ref="AL201:AM201" si="452">+AL193/AL146</f>
        <v>0.15807560137457044</v>
      </c>
      <c r="AM201" s="738">
        <f t="shared" si="452"/>
        <v>0.14088820826952528</v>
      </c>
      <c r="AN201" s="651">
        <f>+AN193/AN146</f>
        <v>0.24094202898550723</v>
      </c>
      <c r="AO201" s="738">
        <f>+AO193/AO146</f>
        <v>0.2024432809773124</v>
      </c>
      <c r="AP201" s="738">
        <f t="shared" ref="AP201:AQ201" si="453">+AP193/AP146</f>
        <v>8.7660790852787038E-2</v>
      </c>
      <c r="AQ201" s="647">
        <f t="shared" si="453"/>
        <v>8.9233753637245394E-2</v>
      </c>
      <c r="AR201" s="651">
        <f t="shared" ref="AR201" si="454">+AR193/AR146</f>
        <v>4.0278468423669819E-2</v>
      </c>
      <c r="AS201" s="738"/>
      <c r="AT201" s="738"/>
      <c r="AU201" s="650"/>
      <c r="AV201" s="651"/>
      <c r="AW201" s="738"/>
      <c r="AX201" s="738"/>
      <c r="AY201" s="650"/>
      <c r="AZ201" s="650"/>
      <c r="BA201" s="651"/>
      <c r="BB201" s="738"/>
      <c r="BC201" s="738"/>
      <c r="BD201" s="1112"/>
      <c r="BE201" s="1112"/>
      <c r="BF201" s="1213"/>
      <c r="BG201" s="1213"/>
      <c r="BH201" s="738"/>
      <c r="BI201" s="651"/>
      <c r="BJ201" s="738"/>
      <c r="BK201" s="738"/>
      <c r="BL201" s="738"/>
      <c r="BM201" s="738"/>
      <c r="BN201" s="738"/>
      <c r="BO201" s="986"/>
    </row>
    <row r="202" spans="2:67" s="913" customFormat="1" ht="14.25" hidden="1" customHeight="1" outlineLevel="1">
      <c r="B202" s="640" t="s">
        <v>18</v>
      </c>
      <c r="C202" s="646"/>
      <c r="D202" s="647"/>
      <c r="E202" s="647"/>
      <c r="F202" s="647"/>
      <c r="G202" s="927"/>
      <c r="H202" s="647"/>
      <c r="I202" s="647"/>
      <c r="J202" s="738"/>
      <c r="K202" s="650"/>
      <c r="L202" s="651"/>
      <c r="M202" s="738"/>
      <c r="N202" s="738"/>
      <c r="O202" s="650"/>
      <c r="P202" s="738">
        <f t="shared" ref="P202:AA202" si="455">+P199/P146</f>
        <v>0.16164817749603805</v>
      </c>
      <c r="Q202" s="738">
        <f t="shared" si="455"/>
        <v>0.20552147239263804</v>
      </c>
      <c r="R202" s="738">
        <f t="shared" si="455"/>
        <v>0.23420647149460708</v>
      </c>
      <c r="S202" s="650">
        <f t="shared" si="455"/>
        <v>0.22392638036809817</v>
      </c>
      <c r="T202" s="738">
        <f t="shared" si="455"/>
        <v>0.23168908819133036</v>
      </c>
      <c r="U202" s="738">
        <f t="shared" si="455"/>
        <v>0.20815752461322082</v>
      </c>
      <c r="V202" s="647">
        <f t="shared" si="455"/>
        <v>0.20601503759398496</v>
      </c>
      <c r="W202" s="650">
        <f t="shared" si="455"/>
        <v>0.18256578947368421</v>
      </c>
      <c r="X202" s="738">
        <f t="shared" si="455"/>
        <v>0.18575851393188855</v>
      </c>
      <c r="Y202" s="738">
        <f t="shared" si="455"/>
        <v>0.23886639676113361</v>
      </c>
      <c r="Z202" s="738">
        <f t="shared" si="455"/>
        <v>0.24129353233830847</v>
      </c>
      <c r="AA202" s="738">
        <f t="shared" si="455"/>
        <v>0.24331210191082803</v>
      </c>
      <c r="AB202" s="1265">
        <f>+(AB199+AB198)/AB146</f>
        <v>0.23582474226804123</v>
      </c>
      <c r="AC202" s="738">
        <f t="shared" ref="AC202:AH202" si="456">+AC199/AC146</f>
        <v>0.27107061503416857</v>
      </c>
      <c r="AD202" s="738">
        <f t="shared" si="456"/>
        <v>0.27223427331887201</v>
      </c>
      <c r="AE202" s="650">
        <f t="shared" si="456"/>
        <v>0.30303030303030304</v>
      </c>
      <c r="AF202" s="651">
        <f t="shared" si="456"/>
        <v>0.27302631578947367</v>
      </c>
      <c r="AG202" s="738">
        <f t="shared" si="456"/>
        <v>0.27834008097165991</v>
      </c>
      <c r="AH202" s="738">
        <f t="shared" si="456"/>
        <v>0.28358208955223879</v>
      </c>
      <c r="AI202" s="738">
        <f>+AI199/AI146</f>
        <v>0.27459366980325062</v>
      </c>
      <c r="AJ202" s="651">
        <f>+AJ199/AJ146</f>
        <v>0.28894927536231885</v>
      </c>
      <c r="AK202" s="738">
        <f>+AK199/AK146</f>
        <v>0.23996509598603841</v>
      </c>
      <c r="AL202" s="738">
        <f t="shared" ref="AL202:AM202" si="457">+AL199/AL146</f>
        <v>0.27749140893470792</v>
      </c>
      <c r="AM202" s="738">
        <f t="shared" si="457"/>
        <v>0.24732006125574271</v>
      </c>
      <c r="AN202" s="651">
        <f>+AN199/AN146</f>
        <v>0.28894927536231885</v>
      </c>
      <c r="AO202" s="738">
        <f>+AO199/AO146</f>
        <v>0.23996509598603841</v>
      </c>
      <c r="AP202" s="738">
        <f t="shared" ref="AP202:AQ202" si="458">+AP199/AP146</f>
        <v>0.15388280133396856</v>
      </c>
      <c r="AQ202" s="647">
        <f t="shared" si="458"/>
        <v>0.15664403491755577</v>
      </c>
      <c r="AR202" s="651">
        <f t="shared" ref="AR202" si="459">+AR199/AR146</f>
        <v>0.28344107409249131</v>
      </c>
      <c r="AS202" s="738"/>
      <c r="AT202" s="738"/>
      <c r="AU202" s="650"/>
      <c r="AV202" s="651"/>
      <c r="AW202" s="738"/>
      <c r="AX202" s="738"/>
      <c r="AY202" s="650"/>
      <c r="AZ202" s="650"/>
      <c r="BA202" s="651"/>
      <c r="BB202" s="738"/>
      <c r="BC202" s="738"/>
      <c r="BD202" s="1112"/>
      <c r="BE202" s="1112"/>
      <c r="BF202" s="1213"/>
      <c r="BG202" s="1213"/>
      <c r="BH202" s="738"/>
      <c r="BI202" s="651"/>
      <c r="BJ202" s="738"/>
      <c r="BK202" s="738"/>
      <c r="BL202" s="738"/>
      <c r="BM202" s="738"/>
      <c r="BN202" s="738"/>
      <c r="BO202" s="986"/>
    </row>
    <row r="203" spans="2:67" s="592" customFormat="1" ht="14.25" hidden="1" customHeight="1" outlineLevel="1">
      <c r="B203" s="572"/>
      <c r="C203" s="609"/>
      <c r="D203" s="614"/>
      <c r="E203" s="614"/>
      <c r="F203" s="614"/>
      <c r="G203" s="980"/>
      <c r="H203" s="614"/>
      <c r="I203" s="614"/>
      <c r="J203" s="612"/>
      <c r="K203" s="611"/>
      <c r="L203" s="616"/>
      <c r="M203" s="612"/>
      <c r="N203" s="612"/>
      <c r="O203" s="611"/>
      <c r="P203" s="612"/>
      <c r="Q203" s="612"/>
      <c r="R203" s="612"/>
      <c r="S203" s="611"/>
      <c r="T203" s="612"/>
      <c r="U203" s="612"/>
      <c r="V203" s="614"/>
      <c r="W203" s="611"/>
      <c r="X203" s="612"/>
      <c r="Y203" s="612"/>
      <c r="Z203" s="612"/>
      <c r="AA203" s="612"/>
      <c r="AB203" s="616"/>
      <c r="AC203" s="612"/>
      <c r="AD203" s="612"/>
      <c r="AE203" s="611"/>
      <c r="AF203" s="616"/>
      <c r="AG203" s="612"/>
      <c r="AH203" s="612"/>
      <c r="AI203" s="612"/>
      <c r="AJ203" s="616"/>
      <c r="AK203" s="612"/>
      <c r="AL203" s="612"/>
      <c r="AM203" s="612"/>
      <c r="AN203" s="616"/>
      <c r="AO203" s="612"/>
      <c r="AP203" s="612"/>
      <c r="AQ203" s="614"/>
      <c r="AR203" s="616"/>
      <c r="AS203" s="612"/>
      <c r="AT203" s="612"/>
      <c r="AU203" s="611"/>
      <c r="AV203" s="616"/>
      <c r="AW203" s="612"/>
      <c r="AX203" s="612"/>
      <c r="AY203" s="611"/>
      <c r="AZ203" s="611"/>
      <c r="BA203" s="616"/>
      <c r="BB203" s="612"/>
      <c r="BC203" s="612"/>
      <c r="BD203" s="1111"/>
      <c r="BE203" s="1111"/>
      <c r="BF203" s="1214"/>
      <c r="BG203" s="1214"/>
      <c r="BH203" s="612"/>
      <c r="BI203" s="616"/>
      <c r="BJ203" s="612"/>
      <c r="BK203" s="612"/>
      <c r="BL203" s="612"/>
      <c r="BM203" s="612"/>
      <c r="BN203" s="612"/>
      <c r="BO203" s="613"/>
    </row>
    <row r="204" spans="2:67" s="592" customFormat="1" ht="14.25" hidden="1" customHeight="1" outlineLevel="1">
      <c r="B204" s="572" t="s">
        <v>23</v>
      </c>
      <c r="C204" s="609"/>
      <c r="D204" s="614"/>
      <c r="E204" s="614"/>
      <c r="F204" s="614"/>
      <c r="G204" s="980"/>
      <c r="H204" s="614"/>
      <c r="I204" s="614"/>
      <c r="J204" s="612"/>
      <c r="K204" s="611"/>
      <c r="L204" s="616"/>
      <c r="M204" s="612"/>
      <c r="N204" s="612"/>
      <c r="O204" s="611"/>
      <c r="P204" s="1241">
        <f t="shared" ref="P204:AA204" si="460">+P146-P199-P161</f>
        <v>215</v>
      </c>
      <c r="Q204" s="1241">
        <f t="shared" si="460"/>
        <v>218</v>
      </c>
      <c r="R204" s="1241">
        <f t="shared" si="460"/>
        <v>228</v>
      </c>
      <c r="S204" s="989">
        <f t="shared" si="460"/>
        <v>239</v>
      </c>
      <c r="T204" s="1241">
        <f t="shared" si="460"/>
        <v>238</v>
      </c>
      <c r="U204" s="1241">
        <f t="shared" si="460"/>
        <v>257</v>
      </c>
      <c r="V204" s="1246">
        <f t="shared" si="460"/>
        <v>253</v>
      </c>
      <c r="W204" s="989">
        <f t="shared" si="460"/>
        <v>219</v>
      </c>
      <c r="X204" s="1241">
        <f t="shared" si="460"/>
        <v>229</v>
      </c>
      <c r="Y204" s="1241">
        <f t="shared" si="460"/>
        <v>234</v>
      </c>
      <c r="Z204" s="1241">
        <f t="shared" si="460"/>
        <v>242</v>
      </c>
      <c r="AA204" s="1241">
        <f t="shared" si="460"/>
        <v>237</v>
      </c>
      <c r="AB204" s="1181">
        <f>+AB146-AB199-AB161-AB198</f>
        <v>236</v>
      </c>
      <c r="AC204" s="1241">
        <f t="shared" ref="AC204:AH204" si="461">+AC146-AC199-AC161</f>
        <v>234</v>
      </c>
      <c r="AD204" s="1241">
        <f t="shared" si="461"/>
        <v>248</v>
      </c>
      <c r="AE204" s="989">
        <f t="shared" si="461"/>
        <v>251</v>
      </c>
      <c r="AF204" s="1391">
        <f t="shared" si="461"/>
        <v>262</v>
      </c>
      <c r="AG204" s="1241">
        <f t="shared" si="461"/>
        <v>272</v>
      </c>
      <c r="AH204" s="1241">
        <f t="shared" si="461"/>
        <v>284</v>
      </c>
      <c r="AI204" s="1241">
        <f>+AI146-AI199-AI161</f>
        <v>276</v>
      </c>
      <c r="AJ204" s="1391">
        <f>+AJ146-AJ199-AJ161</f>
        <v>280</v>
      </c>
      <c r="AK204" s="1241">
        <f>+AK146-AK199-AK161</f>
        <v>272</v>
      </c>
      <c r="AL204" s="1241">
        <f t="shared" ref="AL204:AM204" si="462">+AL146-AL199-AL161</f>
        <v>284</v>
      </c>
      <c r="AM204" s="612">
        <f t="shared" si="462"/>
        <v>284</v>
      </c>
      <c r="AN204" s="1391">
        <f>+AN146-AN199-AN161</f>
        <v>280</v>
      </c>
      <c r="AO204" s="1241">
        <f>+AO146-AO199-AO161</f>
        <v>272</v>
      </c>
      <c r="AP204" s="1241">
        <f t="shared" ref="AP204:AQ204" si="463">+AP146-AP199-AP161</f>
        <v>284</v>
      </c>
      <c r="AQ204" s="614">
        <f t="shared" si="463"/>
        <v>284</v>
      </c>
      <c r="AR204" s="616">
        <f>+AR146-AR199-AR161</f>
        <v>526</v>
      </c>
      <c r="AS204" s="612"/>
      <c r="AT204" s="612"/>
      <c r="AU204" s="611"/>
      <c r="AV204" s="616"/>
      <c r="AW204" s="612"/>
      <c r="AX204" s="612"/>
      <c r="AY204" s="611"/>
      <c r="AZ204" s="611"/>
      <c r="BA204" s="616"/>
      <c r="BB204" s="612"/>
      <c r="BC204" s="612"/>
      <c r="BD204" s="705">
        <f>SUM(P204:S204)</f>
        <v>900</v>
      </c>
      <c r="BE204" s="705">
        <f>SUM(T204:W204)</f>
        <v>967</v>
      </c>
      <c r="BF204" s="736">
        <f>SUM(X204:AA204)</f>
        <v>942</v>
      </c>
      <c r="BG204" s="1214"/>
      <c r="BH204" s="612"/>
      <c r="BI204" s="616"/>
      <c r="BJ204" s="612"/>
      <c r="BK204" s="612"/>
      <c r="BL204" s="612"/>
      <c r="BM204" s="612"/>
      <c r="BN204" s="612"/>
      <c r="BO204" s="613"/>
    </row>
    <row r="205" spans="2:67" s="592" customFormat="1" ht="14.25" hidden="1" customHeight="1" outlineLevel="1">
      <c r="B205" s="992" t="s">
        <v>21</v>
      </c>
      <c r="C205" s="609"/>
      <c r="D205" s="614"/>
      <c r="E205" s="614"/>
      <c r="F205" s="614"/>
      <c r="G205" s="980"/>
      <c r="H205" s="614"/>
      <c r="I205" s="614"/>
      <c r="J205" s="612"/>
      <c r="K205" s="611"/>
      <c r="L205" s="616"/>
      <c r="M205" s="612"/>
      <c r="N205" s="612"/>
      <c r="O205" s="611"/>
      <c r="P205" s="317"/>
      <c r="Q205" s="317">
        <f t="shared" ref="Q205:AR205" si="464">+Q204/P204-1</f>
        <v>1.3953488372093092E-2</v>
      </c>
      <c r="R205" s="317">
        <f t="shared" si="464"/>
        <v>4.587155963302747E-2</v>
      </c>
      <c r="S205" s="339">
        <f t="shared" si="464"/>
        <v>4.8245614035087758E-2</v>
      </c>
      <c r="T205" s="317">
        <f t="shared" si="464"/>
        <v>-4.1841004184099972E-3</v>
      </c>
      <c r="U205" s="317">
        <f t="shared" si="464"/>
        <v>7.9831932773109182E-2</v>
      </c>
      <c r="V205" s="420">
        <f t="shared" si="464"/>
        <v>-1.5564202334630295E-2</v>
      </c>
      <c r="W205" s="339">
        <f t="shared" si="464"/>
        <v>-0.13438735177865613</v>
      </c>
      <c r="X205" s="317">
        <f t="shared" si="464"/>
        <v>4.5662100456621113E-2</v>
      </c>
      <c r="Y205" s="317">
        <f t="shared" si="464"/>
        <v>2.1834061135371119E-2</v>
      </c>
      <c r="Z205" s="317">
        <f t="shared" si="464"/>
        <v>3.4188034188034289E-2</v>
      </c>
      <c r="AA205" s="317">
        <f t="shared" si="464"/>
        <v>-2.0661157024793431E-2</v>
      </c>
      <c r="AB205" s="652">
        <f t="shared" si="464"/>
        <v>-4.2194092827003704E-3</v>
      </c>
      <c r="AC205" s="317">
        <f t="shared" si="464"/>
        <v>-8.4745762711864181E-3</v>
      </c>
      <c r="AD205" s="317">
        <f t="shared" si="464"/>
        <v>5.9829059829059839E-2</v>
      </c>
      <c r="AE205" s="339">
        <f t="shared" si="464"/>
        <v>1.2096774193548487E-2</v>
      </c>
      <c r="AF205" s="652">
        <f t="shared" si="464"/>
        <v>4.3824701195219085E-2</v>
      </c>
      <c r="AG205" s="317">
        <f t="shared" si="464"/>
        <v>3.8167938931297662E-2</v>
      </c>
      <c r="AH205" s="317">
        <f t="shared" si="464"/>
        <v>4.4117647058823595E-2</v>
      </c>
      <c r="AI205" s="317">
        <f t="shared" si="464"/>
        <v>-2.8169014084507005E-2</v>
      </c>
      <c r="AJ205" s="652">
        <f t="shared" si="464"/>
        <v>1.449275362318847E-2</v>
      </c>
      <c r="AK205" s="317">
        <f t="shared" si="464"/>
        <v>-2.8571428571428581E-2</v>
      </c>
      <c r="AL205" s="317">
        <f t="shared" si="464"/>
        <v>4.4117647058823595E-2</v>
      </c>
      <c r="AM205" s="612">
        <f t="shared" si="464"/>
        <v>0</v>
      </c>
      <c r="AN205" s="652">
        <f t="shared" si="464"/>
        <v>-1.4084507042253502E-2</v>
      </c>
      <c r="AO205" s="317">
        <f t="shared" si="464"/>
        <v>-2.8571428571428581E-2</v>
      </c>
      <c r="AP205" s="317">
        <f t="shared" si="464"/>
        <v>4.4117647058823595E-2</v>
      </c>
      <c r="AQ205" s="614">
        <f t="shared" si="464"/>
        <v>0</v>
      </c>
      <c r="AR205" s="616">
        <f t="shared" si="464"/>
        <v>0.852112676056338</v>
      </c>
      <c r="AS205" s="612"/>
      <c r="AT205" s="612"/>
      <c r="AU205" s="611"/>
      <c r="AV205" s="616"/>
      <c r="AW205" s="612"/>
      <c r="AX205" s="612"/>
      <c r="AY205" s="611"/>
      <c r="AZ205" s="611"/>
      <c r="BA205" s="616"/>
      <c r="BB205" s="612"/>
      <c r="BC205" s="612"/>
      <c r="BD205" s="1111"/>
      <c r="BE205" s="1111"/>
      <c r="BF205" s="1214"/>
      <c r="BG205" s="1214"/>
      <c r="BH205" s="612"/>
      <c r="BI205" s="616"/>
      <c r="BJ205" s="612"/>
      <c r="BK205" s="612"/>
      <c r="BL205" s="612"/>
      <c r="BM205" s="612"/>
      <c r="BN205" s="612"/>
      <c r="BO205" s="613"/>
    </row>
    <row r="206" spans="2:67" s="592" customFormat="1" ht="14.25" hidden="1" customHeight="1" outlineLevel="1">
      <c r="B206" s="992" t="s">
        <v>20</v>
      </c>
      <c r="C206" s="609"/>
      <c r="D206" s="614"/>
      <c r="E206" s="614"/>
      <c r="F206" s="614"/>
      <c r="G206" s="980"/>
      <c r="H206" s="614"/>
      <c r="I206" s="614"/>
      <c r="J206" s="612"/>
      <c r="K206" s="611"/>
      <c r="L206" s="616"/>
      <c r="M206" s="612"/>
      <c r="N206" s="612"/>
      <c r="O206" s="611"/>
      <c r="P206" s="317"/>
      <c r="Q206" s="317">
        <f>+Q146/P146-1</f>
        <v>3.3280507131537185E-2</v>
      </c>
      <c r="R206" s="317">
        <f t="shared" ref="R206:AR206" si="465">+R146/Q146-1</f>
        <v>-4.6012269938650041E-3</v>
      </c>
      <c r="S206" s="339">
        <f t="shared" si="465"/>
        <v>4.6224961479199855E-3</v>
      </c>
      <c r="T206" s="317">
        <f t="shared" si="465"/>
        <v>2.6073619631901801E-2</v>
      </c>
      <c r="U206" s="317">
        <f t="shared" si="465"/>
        <v>6.2780269058295923E-2</v>
      </c>
      <c r="V206" s="420">
        <f t="shared" si="465"/>
        <v>-6.469760900140642E-2</v>
      </c>
      <c r="W206" s="339">
        <f t="shared" si="465"/>
        <v>-8.5714285714285743E-2</v>
      </c>
      <c r="X206" s="317">
        <f t="shared" si="465"/>
        <v>6.25E-2</v>
      </c>
      <c r="Y206" s="317">
        <f t="shared" si="465"/>
        <v>0.14705882352941169</v>
      </c>
      <c r="Z206" s="317">
        <f t="shared" si="465"/>
        <v>8.5020242914979782E-2</v>
      </c>
      <c r="AA206" s="317">
        <f t="shared" si="465"/>
        <v>-2.3631840796019876E-2</v>
      </c>
      <c r="AB206" s="652">
        <f t="shared" si="465"/>
        <v>-1.1464968152866239E-2</v>
      </c>
      <c r="AC206" s="317">
        <f t="shared" si="465"/>
        <v>0.13144329896907214</v>
      </c>
      <c r="AD206" s="317">
        <f t="shared" si="465"/>
        <v>5.0113895216400861E-2</v>
      </c>
      <c r="AE206" s="339">
        <f t="shared" si="465"/>
        <v>3.7960954446854656E-2</v>
      </c>
      <c r="AF206" s="652">
        <f t="shared" si="465"/>
        <v>-4.7021943573667735E-2</v>
      </c>
      <c r="AG206" s="317">
        <f t="shared" si="465"/>
        <v>8.3333333333333259E-2</v>
      </c>
      <c r="AH206" s="317">
        <f t="shared" si="465"/>
        <v>0.15283400809716596</v>
      </c>
      <c r="AI206" s="317">
        <f t="shared" si="465"/>
        <v>2.6338893766461702E-2</v>
      </c>
      <c r="AJ206" s="652">
        <f t="shared" si="465"/>
        <v>-5.5603079555175405E-2</v>
      </c>
      <c r="AK206" s="317">
        <f t="shared" si="465"/>
        <v>3.8043478260869623E-2</v>
      </c>
      <c r="AL206" s="317">
        <f t="shared" si="465"/>
        <v>1.5706806282722585E-2</v>
      </c>
      <c r="AM206" s="612">
        <f t="shared" si="465"/>
        <v>0.12199312714776633</v>
      </c>
      <c r="AN206" s="652">
        <f t="shared" si="465"/>
        <v>-0.15467075038284839</v>
      </c>
      <c r="AO206" s="317">
        <f t="shared" si="465"/>
        <v>3.8043478260869623E-2</v>
      </c>
      <c r="AP206" s="317">
        <f t="shared" si="465"/>
        <v>0.831588132635253</v>
      </c>
      <c r="AQ206" s="614">
        <f t="shared" si="465"/>
        <v>-1.7627441638875641E-2</v>
      </c>
      <c r="AR206" s="616">
        <f t="shared" si="465"/>
        <v>-2.4733268671192965E-2</v>
      </c>
      <c r="AS206" s="612"/>
      <c r="AT206" s="612"/>
      <c r="AU206" s="611"/>
      <c r="AV206" s="616"/>
      <c r="AW206" s="612"/>
      <c r="AX206" s="612"/>
      <c r="AY206" s="611"/>
      <c r="AZ206" s="611"/>
      <c r="BA206" s="616"/>
      <c r="BB206" s="612"/>
      <c r="BC206" s="612"/>
      <c r="BD206" s="1111"/>
      <c r="BE206" s="1111"/>
      <c r="BF206" s="1214"/>
      <c r="BG206" s="1214"/>
      <c r="BH206" s="612"/>
      <c r="BI206" s="616"/>
      <c r="BJ206" s="612"/>
      <c r="BK206" s="612"/>
      <c r="BL206" s="612"/>
      <c r="BM206" s="612"/>
      <c r="BN206" s="612"/>
      <c r="BO206" s="613"/>
    </row>
    <row r="207" spans="2:67" s="592" customFormat="1" ht="14.25" hidden="1" customHeight="1" outlineLevel="1">
      <c r="B207" s="572"/>
      <c r="C207" s="609"/>
      <c r="D207" s="614"/>
      <c r="E207" s="614"/>
      <c r="F207" s="614"/>
      <c r="G207" s="980"/>
      <c r="H207" s="614"/>
      <c r="I207" s="614"/>
      <c r="J207" s="612"/>
      <c r="K207" s="611"/>
      <c r="L207" s="616"/>
      <c r="M207" s="612"/>
      <c r="N207" s="612"/>
      <c r="O207" s="611"/>
      <c r="P207" s="612"/>
      <c r="Q207" s="612"/>
      <c r="R207" s="612"/>
      <c r="S207" s="611"/>
      <c r="T207" s="612"/>
      <c r="U207" s="612"/>
      <c r="V207" s="614"/>
      <c r="W207" s="611"/>
      <c r="X207" s="612"/>
      <c r="Y207" s="612"/>
      <c r="Z207" s="612"/>
      <c r="AA207" s="612"/>
      <c r="AB207" s="616"/>
      <c r="AC207" s="612"/>
      <c r="AD207" s="612"/>
      <c r="AE207" s="611"/>
      <c r="AF207" s="616"/>
      <c r="AG207" s="612"/>
      <c r="AH207" s="612"/>
      <c r="AI207" s="612"/>
      <c r="AJ207" s="616"/>
      <c r="AK207" s="612"/>
      <c r="AL207" s="612"/>
      <c r="AM207" s="612"/>
      <c r="AN207" s="616"/>
      <c r="AO207" s="612"/>
      <c r="AP207" s="612"/>
      <c r="AQ207" s="614"/>
      <c r="AR207" s="616"/>
      <c r="AS207" s="612"/>
      <c r="AT207" s="612"/>
      <c r="AU207" s="611"/>
      <c r="AV207" s="616"/>
      <c r="AW207" s="612"/>
      <c r="AX207" s="612"/>
      <c r="AY207" s="611"/>
      <c r="AZ207" s="611"/>
      <c r="BA207" s="616"/>
      <c r="BB207" s="612"/>
      <c r="BC207" s="612"/>
      <c r="BD207" s="1111"/>
      <c r="BE207" s="1111"/>
      <c r="BF207" s="1214"/>
      <c r="BG207" s="1214"/>
      <c r="BH207" s="612"/>
      <c r="BI207" s="616"/>
      <c r="BJ207" s="612"/>
      <c r="BK207" s="612"/>
      <c r="BL207" s="612"/>
      <c r="BM207" s="612"/>
      <c r="BN207" s="612"/>
      <c r="BO207" s="613"/>
    </row>
    <row r="208" spans="2:67" s="592" customFormat="1" ht="14.25" hidden="1" customHeight="1" outlineLevel="1">
      <c r="B208" s="451" t="s">
        <v>240</v>
      </c>
      <c r="C208" s="609"/>
      <c r="D208" s="614"/>
      <c r="E208" s="614"/>
      <c r="F208" s="614"/>
      <c r="G208" s="980"/>
      <c r="H208" s="614"/>
      <c r="I208" s="614"/>
      <c r="J208" s="612"/>
      <c r="K208" s="611"/>
      <c r="L208" s="616"/>
      <c r="M208" s="612"/>
      <c r="N208" s="612"/>
      <c r="O208" s="611"/>
      <c r="P208" s="1244">
        <v>1.3827448111111111</v>
      </c>
      <c r="Q208" s="1244">
        <v>1.2729250015384614</v>
      </c>
      <c r="R208" s="1244">
        <v>1.2928556166666665</v>
      </c>
      <c r="S208" s="962">
        <v>1.3575457727272731</v>
      </c>
      <c r="T208" s="1244">
        <v>1.3691401984375</v>
      </c>
      <c r="U208" s="1244">
        <v>1.439557256923077</v>
      </c>
      <c r="V208" s="1244">
        <v>1.4121048500000002</v>
      </c>
      <c r="W208" s="962">
        <v>1.3472326323076924</v>
      </c>
      <c r="X208" s="1244">
        <v>1.3109626384615385</v>
      </c>
      <c r="Y208" s="1244">
        <v>1.2828779723076924</v>
      </c>
      <c r="Z208" s="1292">
        <v>1.2508319584615386</v>
      </c>
      <c r="AA208" s="1244">
        <v>1.2973996106060606</v>
      </c>
      <c r="AB208" s="1263">
        <v>1.3200836888888894</v>
      </c>
      <c r="AC208" s="1264">
        <v>1.3200836888888894</v>
      </c>
      <c r="AD208" s="1264">
        <v>1.3200836888888894</v>
      </c>
      <c r="AE208" s="1330">
        <v>1.3200836888888894</v>
      </c>
      <c r="AF208" s="1341">
        <v>1.3200836888888894</v>
      </c>
      <c r="AG208" s="1264">
        <v>1.3200836888888894</v>
      </c>
      <c r="AH208" s="1264">
        <v>1.3200836888888894</v>
      </c>
      <c r="AI208" s="1264">
        <v>1.3200836888888894</v>
      </c>
      <c r="AJ208" s="1341">
        <v>1.3200836888888894</v>
      </c>
      <c r="AK208" s="1264">
        <v>1.3200836888888894</v>
      </c>
      <c r="AL208" s="1264">
        <v>1.3200836888888894</v>
      </c>
      <c r="AM208" s="612">
        <v>1.3200836888888894</v>
      </c>
      <c r="AN208" s="1341">
        <v>1.3200836888888894</v>
      </c>
      <c r="AO208" s="1264">
        <v>1.3200836888888894</v>
      </c>
      <c r="AP208" s="1264">
        <v>1.3200836888888894</v>
      </c>
      <c r="AQ208" s="614">
        <v>1.3200836888888894</v>
      </c>
      <c r="AR208" s="616"/>
      <c r="AS208" s="612"/>
      <c r="AT208" s="612"/>
      <c r="AU208" s="611"/>
      <c r="AV208" s="616"/>
      <c r="AW208" s="612"/>
      <c r="AX208" s="612"/>
      <c r="AY208" s="611"/>
      <c r="AZ208" s="611"/>
      <c r="BA208" s="616"/>
      <c r="BB208" s="612"/>
      <c r="BC208" s="612"/>
      <c r="BD208" s="972">
        <f>AVERAGE(P208:S208)</f>
        <v>1.326517800510878</v>
      </c>
      <c r="BE208" s="972">
        <f>AVERAGE(T208:W208)</f>
        <v>1.3920087344170675</v>
      </c>
      <c r="BF208" s="1217">
        <f>AVERAGE(X208:AA208)</f>
        <v>1.2855180449592074</v>
      </c>
      <c r="BG208" s="1214"/>
      <c r="BH208" s="612"/>
      <c r="BI208" s="616"/>
      <c r="BJ208" s="612"/>
      <c r="BK208" s="612"/>
      <c r="BL208" s="612"/>
      <c r="BM208" s="612"/>
      <c r="BN208" s="612"/>
      <c r="BO208" s="613"/>
    </row>
    <row r="209" spans="1:67" s="592" customFormat="1" ht="14.25" hidden="1" customHeight="1" outlineLevel="1">
      <c r="B209" s="942" t="s">
        <v>242</v>
      </c>
      <c r="C209" s="609"/>
      <c r="D209" s="614"/>
      <c r="E209" s="614"/>
      <c r="F209" s="614"/>
      <c r="G209" s="980"/>
      <c r="H209" s="614"/>
      <c r="I209" s="614"/>
      <c r="J209" s="612"/>
      <c r="K209" s="611"/>
      <c r="L209" s="616"/>
      <c r="M209" s="612"/>
      <c r="N209" s="612"/>
      <c r="O209" s="611"/>
      <c r="P209" s="612"/>
      <c r="Q209" s="795">
        <f t="shared" ref="Q209:W209" si="466">+(P208-Q208)/P208*P204*0.65</f>
        <v>11.099169032820587</v>
      </c>
      <c r="R209" s="795">
        <f t="shared" si="466"/>
        <v>-2.2186445864865214</v>
      </c>
      <c r="S209" s="530">
        <f t="shared" si="466"/>
        <v>-7.4154306208608185</v>
      </c>
      <c r="T209" s="795">
        <f t="shared" si="466"/>
        <v>-1.3268016963179121</v>
      </c>
      <c r="U209" s="795">
        <f t="shared" si="466"/>
        <v>-7.9564671026025984</v>
      </c>
      <c r="V209" s="1121">
        <f t="shared" si="466"/>
        <v>3.1856493060248128</v>
      </c>
      <c r="W209" s="530">
        <f t="shared" si="466"/>
        <v>7.5548470777506447</v>
      </c>
      <c r="X209" s="795">
        <f t="shared" ref="X209:AQ209" si="467">+(W208-X208)/W208*W204*0.65</f>
        <v>3.8323252422680585</v>
      </c>
      <c r="Y209" s="795">
        <f t="shared" si="467"/>
        <v>3.1888037342588507</v>
      </c>
      <c r="Z209" s="795">
        <f t="shared" si="467"/>
        <v>3.7994250514973675</v>
      </c>
      <c r="AA209" s="795">
        <f t="shared" si="467"/>
        <v>-5.8561756699459497</v>
      </c>
      <c r="AB209" s="1104">
        <f t="shared" si="467"/>
        <v>-2.6934509852653523</v>
      </c>
      <c r="AC209" s="795">
        <f t="shared" si="467"/>
        <v>0</v>
      </c>
      <c r="AD209" s="795">
        <f t="shared" si="467"/>
        <v>0</v>
      </c>
      <c r="AE209" s="530">
        <f t="shared" si="467"/>
        <v>0</v>
      </c>
      <c r="AF209" s="1104">
        <f t="shared" si="467"/>
        <v>0</v>
      </c>
      <c r="AG209" s="795">
        <f t="shared" si="467"/>
        <v>0</v>
      </c>
      <c r="AH209" s="795">
        <f t="shared" si="467"/>
        <v>0</v>
      </c>
      <c r="AI209" s="795">
        <f t="shared" si="467"/>
        <v>0</v>
      </c>
      <c r="AJ209" s="1104">
        <f t="shared" si="467"/>
        <v>0</v>
      </c>
      <c r="AK209" s="795">
        <f t="shared" si="467"/>
        <v>0</v>
      </c>
      <c r="AL209" s="795">
        <f t="shared" si="467"/>
        <v>0</v>
      </c>
      <c r="AM209" s="612">
        <f t="shared" si="467"/>
        <v>0</v>
      </c>
      <c r="AN209" s="1104">
        <f t="shared" si="467"/>
        <v>0</v>
      </c>
      <c r="AO209" s="795">
        <f t="shared" si="467"/>
        <v>0</v>
      </c>
      <c r="AP209" s="795">
        <f t="shared" si="467"/>
        <v>0</v>
      </c>
      <c r="AQ209" s="614">
        <f t="shared" si="467"/>
        <v>0</v>
      </c>
      <c r="AR209" s="616"/>
      <c r="AS209" s="612"/>
      <c r="AT209" s="612"/>
      <c r="AU209" s="611"/>
      <c r="AV209" s="616"/>
      <c r="AW209" s="612"/>
      <c r="AX209" s="612"/>
      <c r="AY209" s="611"/>
      <c r="AZ209" s="611"/>
      <c r="BA209" s="616"/>
      <c r="BB209" s="612"/>
      <c r="BC209" s="612"/>
      <c r="BD209" s="705">
        <f>SUM(P209:S209)</f>
        <v>1.4650938254732475</v>
      </c>
      <c r="BE209" s="705">
        <f>SUM(T209:W209)</f>
        <v>1.4572275848549472</v>
      </c>
      <c r="BF209" s="736">
        <f>SUM(X209:AA209)</f>
        <v>4.9643783580783261</v>
      </c>
      <c r="BG209" s="1214"/>
      <c r="BH209" s="612"/>
      <c r="BI209" s="616"/>
      <c r="BJ209" s="612"/>
      <c r="BK209" s="612"/>
      <c r="BL209" s="612"/>
      <c r="BM209" s="612"/>
      <c r="BN209" s="612"/>
      <c r="BO209" s="613"/>
    </row>
    <row r="210" spans="1:67" s="592" customFormat="1" ht="14.25" hidden="1" customHeight="1" outlineLevel="1">
      <c r="B210" s="942" t="s">
        <v>243</v>
      </c>
      <c r="C210" s="609"/>
      <c r="D210" s="614"/>
      <c r="E210" s="614"/>
      <c r="F210" s="614"/>
      <c r="G210" s="980"/>
      <c r="H210" s="614"/>
      <c r="I210" s="614"/>
      <c r="J210" s="612"/>
      <c r="K210" s="611"/>
      <c r="L210" s="616"/>
      <c r="M210" s="612"/>
      <c r="N210" s="612"/>
      <c r="O210" s="611"/>
      <c r="P210" s="612"/>
      <c r="Q210" s="795">
        <f t="shared" ref="Q210:AQ210" si="468">+Q204-P204+Q209</f>
        <v>14.099169032820587</v>
      </c>
      <c r="R210" s="795">
        <f t="shared" si="468"/>
        <v>7.781355413513479</v>
      </c>
      <c r="S210" s="530">
        <f t="shared" si="468"/>
        <v>3.5845693791391815</v>
      </c>
      <c r="T210" s="795">
        <f t="shared" si="468"/>
        <v>-2.3268016963179123</v>
      </c>
      <c r="U210" s="795">
        <f t="shared" si="468"/>
        <v>11.043532897397402</v>
      </c>
      <c r="V210" s="1121">
        <f t="shared" si="468"/>
        <v>-0.81435069397518722</v>
      </c>
      <c r="W210" s="530">
        <f t="shared" si="468"/>
        <v>-26.445152922249356</v>
      </c>
      <c r="X210" s="795">
        <f t="shared" si="468"/>
        <v>13.832325242268059</v>
      </c>
      <c r="Y210" s="795">
        <f t="shared" si="468"/>
        <v>8.1888037342588511</v>
      </c>
      <c r="Z210" s="795">
        <f t="shared" si="468"/>
        <v>11.799425051497368</v>
      </c>
      <c r="AA210" s="795">
        <f t="shared" si="468"/>
        <v>-10.85617566994595</v>
      </c>
      <c r="AB210" s="1104">
        <f t="shared" si="468"/>
        <v>-3.6934509852653523</v>
      </c>
      <c r="AC210" s="795">
        <f t="shared" si="468"/>
        <v>-2</v>
      </c>
      <c r="AD210" s="795">
        <f t="shared" si="468"/>
        <v>14</v>
      </c>
      <c r="AE210" s="530">
        <f t="shared" si="468"/>
        <v>3</v>
      </c>
      <c r="AF210" s="1104">
        <f t="shared" si="468"/>
        <v>11</v>
      </c>
      <c r="AG210" s="795">
        <f t="shared" si="468"/>
        <v>10</v>
      </c>
      <c r="AH210" s="795">
        <f t="shared" si="468"/>
        <v>12</v>
      </c>
      <c r="AI210" s="795">
        <f t="shared" si="468"/>
        <v>-8</v>
      </c>
      <c r="AJ210" s="1104">
        <f t="shared" si="468"/>
        <v>4</v>
      </c>
      <c r="AK210" s="795">
        <f t="shared" si="468"/>
        <v>-8</v>
      </c>
      <c r="AL210" s="795">
        <f t="shared" si="468"/>
        <v>12</v>
      </c>
      <c r="AM210" s="612">
        <f t="shared" si="468"/>
        <v>0</v>
      </c>
      <c r="AN210" s="1104">
        <f t="shared" si="468"/>
        <v>-4</v>
      </c>
      <c r="AO210" s="795">
        <f t="shared" si="468"/>
        <v>-8</v>
      </c>
      <c r="AP210" s="795">
        <f t="shared" si="468"/>
        <v>12</v>
      </c>
      <c r="AQ210" s="614">
        <f t="shared" si="468"/>
        <v>0</v>
      </c>
      <c r="AR210" s="616"/>
      <c r="AS210" s="612"/>
      <c r="AT210" s="612"/>
      <c r="AU210" s="611"/>
      <c r="AV210" s="616"/>
      <c r="AW210" s="612"/>
      <c r="AX210" s="612"/>
      <c r="AY210" s="611"/>
      <c r="AZ210" s="611"/>
      <c r="BA210" s="616"/>
      <c r="BB210" s="612"/>
      <c r="BC210" s="612"/>
      <c r="BD210" s="705">
        <f>SUM(P210:S210)</f>
        <v>25.465093825473247</v>
      </c>
      <c r="BE210" s="705">
        <f>SUM(T210:W210)</f>
        <v>-18.542772415145052</v>
      </c>
      <c r="BF210" s="736">
        <f>SUM(X210:AA210)</f>
        <v>22.964378358078328</v>
      </c>
      <c r="BG210" s="1214"/>
      <c r="BH210" s="612"/>
      <c r="BI210" s="616"/>
      <c r="BJ210" s="612"/>
      <c r="BK210" s="612"/>
      <c r="BL210" s="612"/>
      <c r="BM210" s="612"/>
      <c r="BN210" s="612"/>
      <c r="BO210" s="613"/>
    </row>
    <row r="211" spans="1:67" s="592" customFormat="1" ht="14.25" hidden="1" customHeight="1" outlineLevel="1">
      <c r="B211" s="974" t="s">
        <v>241</v>
      </c>
      <c r="C211" s="609"/>
      <c r="D211" s="614"/>
      <c r="E211" s="614"/>
      <c r="F211" s="614"/>
      <c r="G211" s="980"/>
      <c r="H211" s="614"/>
      <c r="I211" s="614"/>
      <c r="J211" s="612"/>
      <c r="K211" s="611"/>
      <c r="L211" s="616"/>
      <c r="M211" s="612"/>
      <c r="N211" s="612"/>
      <c r="O211" s="611"/>
      <c r="P211" s="612"/>
      <c r="Q211" s="317">
        <f t="shared" ref="Q211:AQ211" si="469">+Q210/P204</f>
        <v>6.5577530385212038E-2</v>
      </c>
      <c r="R211" s="317">
        <f t="shared" si="469"/>
        <v>3.5694290887676512E-2</v>
      </c>
      <c r="S211" s="339">
        <f t="shared" si="469"/>
        <v>1.5721795522540268E-2</v>
      </c>
      <c r="T211" s="317">
        <f t="shared" si="469"/>
        <v>-9.7355719511209721E-3</v>
      </c>
      <c r="U211" s="317">
        <f t="shared" si="469"/>
        <v>4.6401398728560514E-2</v>
      </c>
      <c r="V211" s="420">
        <f t="shared" si="469"/>
        <v>-3.1686797430941138E-3</v>
      </c>
      <c r="W211" s="339">
        <f t="shared" si="469"/>
        <v>-0.10452629613537295</v>
      </c>
      <c r="X211" s="317">
        <f t="shared" si="469"/>
        <v>6.3161302476109862E-2</v>
      </c>
      <c r="Y211" s="317">
        <f t="shared" si="469"/>
        <v>3.5758968271872714E-2</v>
      </c>
      <c r="Z211" s="317">
        <f t="shared" si="469"/>
        <v>5.0424893382467383E-2</v>
      </c>
      <c r="AA211" s="317">
        <f t="shared" si="469"/>
        <v>-4.4860230041098965E-2</v>
      </c>
      <c r="AB211" s="652">
        <f t="shared" si="469"/>
        <v>-1.5584181372427647E-2</v>
      </c>
      <c r="AC211" s="317">
        <f t="shared" si="469"/>
        <v>-8.4745762711864406E-3</v>
      </c>
      <c r="AD211" s="317">
        <f t="shared" si="469"/>
        <v>5.9829059829059832E-2</v>
      </c>
      <c r="AE211" s="339">
        <f t="shared" si="469"/>
        <v>1.2096774193548387E-2</v>
      </c>
      <c r="AF211" s="652">
        <f t="shared" si="469"/>
        <v>4.3824701195219126E-2</v>
      </c>
      <c r="AG211" s="317">
        <f t="shared" si="469"/>
        <v>3.8167938931297711E-2</v>
      </c>
      <c r="AH211" s="317">
        <f t="shared" si="469"/>
        <v>4.4117647058823532E-2</v>
      </c>
      <c r="AI211" s="317">
        <f t="shared" si="469"/>
        <v>-2.8169014084507043E-2</v>
      </c>
      <c r="AJ211" s="652">
        <f t="shared" si="469"/>
        <v>1.4492753623188406E-2</v>
      </c>
      <c r="AK211" s="317">
        <f t="shared" si="469"/>
        <v>-2.8571428571428571E-2</v>
      </c>
      <c r="AL211" s="317">
        <f t="shared" si="469"/>
        <v>4.4117647058823532E-2</v>
      </c>
      <c r="AM211" s="612">
        <f t="shared" si="469"/>
        <v>0</v>
      </c>
      <c r="AN211" s="652">
        <f t="shared" si="469"/>
        <v>-1.4084507042253521E-2</v>
      </c>
      <c r="AO211" s="317">
        <f t="shared" si="469"/>
        <v>-2.8571428571428571E-2</v>
      </c>
      <c r="AP211" s="317">
        <f t="shared" si="469"/>
        <v>4.4117647058823532E-2</v>
      </c>
      <c r="AQ211" s="614">
        <f t="shared" si="469"/>
        <v>0</v>
      </c>
      <c r="AR211" s="616"/>
      <c r="AS211" s="612"/>
      <c r="AT211" s="612"/>
      <c r="AU211" s="611"/>
      <c r="AV211" s="616"/>
      <c r="AW211" s="612"/>
      <c r="AX211" s="612"/>
      <c r="AY211" s="611"/>
      <c r="AZ211" s="611"/>
      <c r="BA211" s="616"/>
      <c r="BB211" s="612"/>
      <c r="BC211" s="612"/>
      <c r="BD211" s="612"/>
      <c r="BE211" s="612"/>
      <c r="BF211" s="616"/>
      <c r="BG211" s="616"/>
      <c r="BH211" s="612"/>
      <c r="BI211" s="616"/>
      <c r="BJ211" s="612"/>
      <c r="BK211" s="612"/>
      <c r="BL211" s="612"/>
      <c r="BM211" s="612"/>
      <c r="BN211" s="612"/>
      <c r="BO211" s="613"/>
    </row>
    <row r="212" spans="1:67" ht="14.25" hidden="1" customHeight="1" outlineLevel="1">
      <c r="A212" s="1"/>
      <c r="B212" s="941"/>
      <c r="C212" s="254"/>
      <c r="D212" s="92"/>
      <c r="E212" s="92"/>
      <c r="F212" s="92"/>
      <c r="G212" s="93"/>
      <c r="H212" s="90"/>
      <c r="I212" s="90"/>
      <c r="J212" s="256"/>
      <c r="K212" s="301"/>
      <c r="L212" s="255"/>
      <c r="M212" s="256"/>
      <c r="N212" s="256"/>
      <c r="O212" s="301"/>
      <c r="P212" s="256"/>
      <c r="Q212" s="256"/>
      <c r="R212" s="256"/>
      <c r="S212" s="301"/>
      <c r="T212" s="256"/>
      <c r="U212" s="256"/>
      <c r="V212" s="90"/>
      <c r="W212" s="301"/>
      <c r="X212" s="256"/>
      <c r="Y212" s="256"/>
      <c r="Z212" s="256"/>
      <c r="AA212" s="256"/>
      <c r="AB212" s="159"/>
      <c r="AC212" s="256"/>
      <c r="AD212" s="256"/>
      <c r="AE212" s="301"/>
      <c r="AF212" s="255"/>
      <c r="AG212" s="256"/>
      <c r="AH212" s="256"/>
      <c r="AI212" s="256"/>
      <c r="AJ212" s="255"/>
      <c r="AK212" s="256"/>
      <c r="AL212" s="256"/>
      <c r="AM212" s="1575"/>
      <c r="AN212" s="1614"/>
      <c r="AO212" s="1715"/>
      <c r="AP212" s="1715"/>
      <c r="AQ212" s="1806"/>
      <c r="AR212" s="1515"/>
      <c r="AS212" s="1516"/>
      <c r="AT212" s="1516"/>
      <c r="AU212" s="1517"/>
      <c r="AV212" s="1515"/>
      <c r="AW212" s="1516"/>
      <c r="AX212" s="1516"/>
      <c r="AY212" s="1517"/>
      <c r="AZ212" s="246"/>
      <c r="BA212" s="652"/>
      <c r="BB212" s="317"/>
      <c r="BC212" s="1615"/>
      <c r="BD212" s="1615"/>
      <c r="BE212" s="1615"/>
      <c r="BF212" s="1614"/>
      <c r="BG212" s="1614"/>
      <c r="BH212" s="1615"/>
      <c r="BI212" s="1614"/>
      <c r="BJ212" s="1715"/>
      <c r="BK212" s="1715"/>
      <c r="BL212" s="1715"/>
      <c r="BM212" s="1715"/>
      <c r="BN212" s="1715"/>
      <c r="BO212" s="299"/>
    </row>
    <row r="213" spans="1:67" s="285" customFormat="1" ht="14.25" hidden="1" customHeight="1" outlineLevel="1">
      <c r="B213" s="437" t="s">
        <v>239</v>
      </c>
      <c r="C213" s="924"/>
      <c r="D213" s="647"/>
      <c r="E213" s="647"/>
      <c r="F213" s="647"/>
      <c r="G213" s="927"/>
      <c r="H213" s="647"/>
      <c r="I213" s="647"/>
      <c r="J213" s="738"/>
      <c r="K213" s="650"/>
      <c r="L213" s="616">
        <f t="shared" ref="L213:AE213" si="470">+L15</f>
        <v>0</v>
      </c>
      <c r="M213" s="612">
        <f t="shared" si="470"/>
        <v>0</v>
      </c>
      <c r="N213" s="612">
        <f t="shared" si="470"/>
        <v>0</v>
      </c>
      <c r="O213" s="611">
        <f t="shared" si="470"/>
        <v>0</v>
      </c>
      <c r="P213" s="612">
        <f t="shared" si="470"/>
        <v>0</v>
      </c>
      <c r="Q213" s="612">
        <f t="shared" si="470"/>
        <v>0</v>
      </c>
      <c r="R213" s="612">
        <f t="shared" si="470"/>
        <v>0</v>
      </c>
      <c r="S213" s="611">
        <f t="shared" si="470"/>
        <v>0</v>
      </c>
      <c r="T213" s="612">
        <f t="shared" si="470"/>
        <v>0</v>
      </c>
      <c r="U213" s="612">
        <f t="shared" si="470"/>
        <v>0</v>
      </c>
      <c r="V213" s="614">
        <f t="shared" si="470"/>
        <v>0</v>
      </c>
      <c r="W213" s="611">
        <f t="shared" si="470"/>
        <v>0</v>
      </c>
      <c r="X213" s="612">
        <f t="shared" si="470"/>
        <v>0</v>
      </c>
      <c r="Y213" s="612">
        <f t="shared" si="470"/>
        <v>0</v>
      </c>
      <c r="Z213" s="612">
        <f t="shared" si="470"/>
        <v>0</v>
      </c>
      <c r="AA213" s="612">
        <f t="shared" si="470"/>
        <v>0</v>
      </c>
      <c r="AB213" s="616">
        <f t="shared" si="470"/>
        <v>0</v>
      </c>
      <c r="AC213" s="612">
        <f t="shared" si="470"/>
        <v>0</v>
      </c>
      <c r="AD213" s="612">
        <f t="shared" si="470"/>
        <v>0</v>
      </c>
      <c r="AE213" s="611">
        <f t="shared" si="470"/>
        <v>0</v>
      </c>
      <c r="AF213" s="651"/>
      <c r="AG213" s="738"/>
      <c r="AH213" s="612">
        <f>+AH15</f>
        <v>0</v>
      </c>
      <c r="AI213" s="612">
        <f>+AI15</f>
        <v>0</v>
      </c>
      <c r="AJ213" s="651"/>
      <c r="AK213" s="738"/>
      <c r="AL213" s="612">
        <f>+AL15</f>
        <v>0</v>
      </c>
      <c r="AM213" s="738">
        <f>+AM15</f>
        <v>0</v>
      </c>
      <c r="AN213" s="651"/>
      <c r="AO213" s="738"/>
      <c r="AP213" s="612">
        <f>+AP15</f>
        <v>0</v>
      </c>
      <c r="AQ213" s="647">
        <f>+AQ15</f>
        <v>0</v>
      </c>
      <c r="AR213" s="651"/>
      <c r="AS213" s="738"/>
      <c r="AT213" s="738"/>
      <c r="AU213" s="650"/>
      <c r="AV213" s="651"/>
      <c r="AW213" s="738"/>
      <c r="AX213" s="738"/>
      <c r="AY213" s="650"/>
      <c r="AZ213" s="794"/>
      <c r="BA213" s="651"/>
      <c r="BB213" s="738"/>
      <c r="BC213" s="341">
        <f>SUM(L213:O213)</f>
        <v>0</v>
      </c>
      <c r="BD213" s="341">
        <f>SUM(P213:S213)</f>
        <v>0</v>
      </c>
      <c r="BE213" s="341">
        <f>SUM(T213:W213)</f>
        <v>0</v>
      </c>
      <c r="BF213" s="939">
        <f>SUM(X213:AA213)</f>
        <v>0</v>
      </c>
      <c r="BG213" s="939"/>
      <c r="BH213" s="738"/>
      <c r="BI213" s="651"/>
      <c r="BJ213" s="738"/>
      <c r="BK213" s="738"/>
      <c r="BL213" s="738"/>
      <c r="BM213" s="738"/>
      <c r="BN213" s="738"/>
      <c r="BO213" s="928"/>
    </row>
    <row r="214" spans="1:67" ht="14.25" customHeight="1" collapsed="1">
      <c r="A214" s="1"/>
      <c r="B214" s="941"/>
      <c r="C214" s="254"/>
      <c r="D214" s="92"/>
      <c r="E214" s="92"/>
      <c r="F214" s="92"/>
      <c r="G214" s="93"/>
      <c r="H214" s="90"/>
      <c r="I214" s="90"/>
      <c r="J214" s="256"/>
      <c r="K214" s="301"/>
      <c r="L214" s="255"/>
      <c r="M214" s="256"/>
      <c r="N214" s="256"/>
      <c r="O214" s="301"/>
      <c r="P214" s="256"/>
      <c r="Q214" s="256"/>
      <c r="R214" s="256"/>
      <c r="S214" s="301"/>
      <c r="T214" s="256"/>
      <c r="U214" s="256"/>
      <c r="V214" s="90"/>
      <c r="W214" s="301"/>
      <c r="X214" s="256"/>
      <c r="Y214" s="256"/>
      <c r="Z214" s="256"/>
      <c r="AA214" s="256"/>
      <c r="AB214" s="159"/>
      <c r="AC214" s="90"/>
      <c r="AD214" s="90"/>
      <c r="AE214" s="91"/>
      <c r="AF214" s="159"/>
      <c r="AG214" s="90"/>
      <c r="AH214" s="90"/>
      <c r="AI214" s="90"/>
      <c r="AJ214" s="159"/>
      <c r="AK214" s="90"/>
      <c r="AL214" s="90"/>
      <c r="AM214" s="1573"/>
      <c r="AN214" s="1607"/>
      <c r="AO214" s="1603"/>
      <c r="AP214" s="1603"/>
      <c r="AQ214" s="1806"/>
      <c r="AR214" s="159"/>
      <c r="AS214" s="1506"/>
      <c r="AT214" s="1506"/>
      <c r="AU214" s="91"/>
      <c r="AV214" s="159"/>
      <c r="AW214" s="1506"/>
      <c r="AX214" s="1506"/>
      <c r="AY214" s="91"/>
      <c r="AZ214" s="246"/>
      <c r="BA214" s="652"/>
      <c r="BB214" s="317"/>
      <c r="BC214" s="1615"/>
      <c r="BD214" s="1615"/>
      <c r="BE214" s="1615"/>
      <c r="BF214" s="1614"/>
      <c r="BG214" s="1614"/>
      <c r="BH214" s="1615"/>
      <c r="BI214" s="1614"/>
      <c r="BJ214" s="1715"/>
      <c r="BK214" s="1715"/>
      <c r="BL214" s="1715">
        <f>BL146/BK146-1</f>
        <v>6.3540392864493977E-2</v>
      </c>
      <c r="BM214" s="1715"/>
      <c r="BN214" s="1715"/>
      <c r="BO214" s="299"/>
    </row>
    <row r="215" spans="1:67" s="363" customFormat="1" ht="14.25" customHeight="1">
      <c r="B215" s="433" t="s">
        <v>534</v>
      </c>
      <c r="C215" s="351"/>
      <c r="D215" s="1293"/>
      <c r="E215" s="348"/>
      <c r="F215" s="340"/>
      <c r="G215" s="351"/>
      <c r="H215" s="1294"/>
      <c r="I215" s="340"/>
      <c r="J215" s="344"/>
      <c r="K215" s="345"/>
      <c r="L215" s="360">
        <v>98</v>
      </c>
      <c r="M215" s="344">
        <v>174</v>
      </c>
      <c r="N215" s="344">
        <v>242</v>
      </c>
      <c r="O215" s="345">
        <v>271</v>
      </c>
      <c r="P215" s="346">
        <v>330</v>
      </c>
      <c r="Q215" s="346">
        <v>379</v>
      </c>
      <c r="R215" s="346">
        <v>403</v>
      </c>
      <c r="S215" s="347">
        <v>413</v>
      </c>
      <c r="T215" s="346">
        <v>422</v>
      </c>
      <c r="U215" s="346">
        <v>433</v>
      </c>
      <c r="V215" s="346">
        <v>397</v>
      </c>
      <c r="W215" s="347">
        <v>321</v>
      </c>
      <c r="X215" s="346">
        <v>364</v>
      </c>
      <c r="Y215" s="346">
        <v>465</v>
      </c>
      <c r="Z215" s="346">
        <v>463</v>
      </c>
      <c r="AA215" s="346">
        <v>453</v>
      </c>
      <c r="AB215" s="1250">
        <v>417</v>
      </c>
      <c r="AC215" s="346">
        <v>472</v>
      </c>
      <c r="AD215" s="346">
        <v>493</v>
      </c>
      <c r="AE215" s="347">
        <v>523</v>
      </c>
      <c r="AF215" s="1250">
        <v>508</v>
      </c>
      <c r="AG215" s="346">
        <v>545</v>
      </c>
      <c r="AH215" s="346">
        <v>605</v>
      </c>
      <c r="AI215" s="346">
        <v>595</v>
      </c>
      <c r="AJ215" s="1250">
        <v>597</v>
      </c>
      <c r="AK215" s="346">
        <v>610</v>
      </c>
      <c r="AL215" s="346">
        <v>626</v>
      </c>
      <c r="AM215" s="1365">
        <v>713</v>
      </c>
      <c r="AN215" s="1250">
        <v>597</v>
      </c>
      <c r="AO215" s="346">
        <v>610</v>
      </c>
      <c r="AP215" s="346">
        <v>1132</v>
      </c>
      <c r="AQ215" s="1365">
        <f>AQ146*AQ216</f>
        <v>1125.8520000000001</v>
      </c>
      <c r="AR215" s="1250">
        <v>1096</v>
      </c>
      <c r="AS215" s="346">
        <v>1148</v>
      </c>
      <c r="AT215" s="346">
        <v>1269</v>
      </c>
      <c r="AU215" s="1935">
        <v>1316</v>
      </c>
      <c r="AV215" s="1520">
        <f t="shared" ref="AV215:AY215" si="471">AV146*AV216</f>
        <v>1255.3399199999999</v>
      </c>
      <c r="AW215" s="1365">
        <f t="shared" si="471"/>
        <v>1304.9283951999998</v>
      </c>
      <c r="AX215" s="1365">
        <f t="shared" si="471"/>
        <v>1365.3421915519998</v>
      </c>
      <c r="AY215" s="1364">
        <f t="shared" si="471"/>
        <v>1346.0161987403999</v>
      </c>
      <c r="AZ215" s="351"/>
      <c r="BA215" s="361"/>
      <c r="BB215" s="340"/>
      <c r="BC215" s="340">
        <f>SUM(L215:O215)</f>
        <v>785</v>
      </c>
      <c r="BD215" s="340">
        <f>SUM(P215:S215)</f>
        <v>1525</v>
      </c>
      <c r="BE215" s="340">
        <f>SUM(T215:W215)</f>
        <v>1573</v>
      </c>
      <c r="BF215" s="361">
        <f>SUM(X215:AA215)</f>
        <v>1745</v>
      </c>
      <c r="BG215" s="361">
        <f>SUM(AB215:AE215)</f>
        <v>1905</v>
      </c>
      <c r="BH215" s="348">
        <f>SUM(AF215:AI215)</f>
        <v>2253</v>
      </c>
      <c r="BI215" s="923">
        <f>SUM(AJ215:AM215)</f>
        <v>2546</v>
      </c>
      <c r="BJ215" s="348">
        <f>SUM(AN215:AQ215)</f>
        <v>3464.8519999999999</v>
      </c>
      <c r="BK215" s="348">
        <f>SUM(AR215:AU215)</f>
        <v>4829</v>
      </c>
      <c r="BL215" s="348">
        <f>SUM(AV215:AY215)</f>
        <v>5271.6267054923992</v>
      </c>
      <c r="BM215" s="348">
        <f t="shared" ref="BM215:BN215" si="472">BM146*BM216</f>
        <v>5534.4728658652166</v>
      </c>
      <c r="BN215" s="348">
        <f t="shared" si="472"/>
        <v>5773.980146769175</v>
      </c>
      <c r="BO215" s="364"/>
    </row>
    <row r="216" spans="1:67" ht="14.25" customHeight="1">
      <c r="A216" s="1"/>
      <c r="B216" s="1197" t="s">
        <v>236</v>
      </c>
      <c r="C216" s="1193"/>
      <c r="D216" s="257"/>
      <c r="E216" s="257"/>
      <c r="F216" s="277"/>
      <c r="G216" s="278"/>
      <c r="H216" s="257"/>
      <c r="I216" s="277"/>
      <c r="J216" s="277"/>
      <c r="K216" s="278"/>
      <c r="L216" s="277">
        <f t="shared" ref="L216:AE216" si="473">L215/L$16</f>
        <v>0.53551912568306015</v>
      </c>
      <c r="M216" s="277">
        <f t="shared" si="473"/>
        <v>0.84466019417475724</v>
      </c>
      <c r="N216" s="277">
        <f t="shared" si="473"/>
        <v>0.88321167883211682</v>
      </c>
      <c r="O216" s="278">
        <f t="shared" si="473"/>
        <v>0.81137724550898205</v>
      </c>
      <c r="P216" s="277">
        <f t="shared" si="473"/>
        <v>0.52297939778129954</v>
      </c>
      <c r="Q216" s="277">
        <f t="shared" si="473"/>
        <v>0.58128834355828218</v>
      </c>
      <c r="R216" s="277">
        <f t="shared" si="473"/>
        <v>0.62095531587057007</v>
      </c>
      <c r="S216" s="278">
        <f t="shared" si="473"/>
        <v>0.6334355828220859</v>
      </c>
      <c r="T216" s="277">
        <f t="shared" si="473"/>
        <v>0.63079222720478323</v>
      </c>
      <c r="U216" s="277">
        <f t="shared" si="473"/>
        <v>0.60900140646976086</v>
      </c>
      <c r="V216" s="257">
        <f t="shared" si="473"/>
        <v>0.59699248120300752</v>
      </c>
      <c r="W216" s="278">
        <f t="shared" si="473"/>
        <v>0.52796052631578949</v>
      </c>
      <c r="X216" s="277">
        <f t="shared" si="473"/>
        <v>0.56346749226006188</v>
      </c>
      <c r="Y216" s="277">
        <f t="shared" si="473"/>
        <v>0.62753036437246967</v>
      </c>
      <c r="Z216" s="277">
        <f t="shared" si="473"/>
        <v>0.57587064676616917</v>
      </c>
      <c r="AA216" s="277">
        <f t="shared" si="473"/>
        <v>0.5770700636942675</v>
      </c>
      <c r="AB216" s="1045">
        <f t="shared" si="473"/>
        <v>0.53737113402061853</v>
      </c>
      <c r="AC216" s="257">
        <f t="shared" si="473"/>
        <v>0.5375854214123007</v>
      </c>
      <c r="AD216" s="257">
        <f>AD215/AD$16</f>
        <v>0.53470715835141003</v>
      </c>
      <c r="AE216" s="258">
        <f t="shared" si="473"/>
        <v>0.54649947753396033</v>
      </c>
      <c r="AF216" s="1045">
        <f t="shared" ref="AF216:AK216" si="474">AF215/AF$16</f>
        <v>0.55701754385964908</v>
      </c>
      <c r="AG216" s="257">
        <f t="shared" si="474"/>
        <v>0.55161943319838058</v>
      </c>
      <c r="AH216" s="257">
        <f t="shared" si="474"/>
        <v>0.5311676909569798</v>
      </c>
      <c r="AI216" s="257">
        <f t="shared" si="474"/>
        <v>0.50898203592814373</v>
      </c>
      <c r="AJ216" s="1045">
        <f t="shared" si="474"/>
        <v>0.54076086956521741</v>
      </c>
      <c r="AK216" s="257">
        <f t="shared" si="474"/>
        <v>0.53228621291448519</v>
      </c>
      <c r="AL216" s="257">
        <f t="shared" ref="AL216" si="475">AL215/AL$16</f>
        <v>0.53780068728522334</v>
      </c>
      <c r="AM216" s="1571">
        <v>0.54600000000000004</v>
      </c>
      <c r="AN216" s="1652">
        <f t="shared" ref="AN216:AU216" si="476">AN215/AN$16</f>
        <v>0.31240188383045525</v>
      </c>
      <c r="AO216" s="1616">
        <f t="shared" si="476"/>
        <v>0.3028798411122145</v>
      </c>
      <c r="AP216" s="1616">
        <f t="shared" si="476"/>
        <v>0.53930443068127676</v>
      </c>
      <c r="AQ216" s="1833">
        <v>0.54600000000000004</v>
      </c>
      <c r="AR216" s="1842">
        <f t="shared" si="476"/>
        <v>0.54500248632521131</v>
      </c>
      <c r="AS216" s="1616">
        <f t="shared" si="476"/>
        <v>0.54718779790276451</v>
      </c>
      <c r="AT216" s="1616">
        <f t="shared" si="476"/>
        <v>0.55463286713286708</v>
      </c>
      <c r="AU216" s="1936">
        <f t="shared" si="476"/>
        <v>0.5604770017035775</v>
      </c>
      <c r="AV216" s="1939">
        <v>0.56399999999999995</v>
      </c>
      <c r="AW216" s="1373">
        <f>AV216+0.2%</f>
        <v>0.56599999999999995</v>
      </c>
      <c r="AX216" s="1373">
        <f>AW216+0.2%</f>
        <v>0.56799999999999995</v>
      </c>
      <c r="AY216" s="1373">
        <f>AX216+0.1%</f>
        <v>0.56899999999999995</v>
      </c>
      <c r="AZ216" s="246"/>
      <c r="BA216" s="401"/>
      <c r="BB216" s="402"/>
      <c r="BC216" s="1625"/>
      <c r="BD216" s="1625">
        <f t="shared" ref="BD216:BJ216" si="477">BD215/BD16</f>
        <v>0.59017027863777094</v>
      </c>
      <c r="BE216" s="1625">
        <f t="shared" si="477"/>
        <v>0.59291368262344513</v>
      </c>
      <c r="BF216" s="1627">
        <f t="shared" si="477"/>
        <v>0.58635752688172038</v>
      </c>
      <c r="BG216" s="1627">
        <f t="shared" si="477"/>
        <v>0.53920181149165014</v>
      </c>
      <c r="BH216" s="1625">
        <f t="shared" si="477"/>
        <v>0.53540874524714832</v>
      </c>
      <c r="BI216" s="1627">
        <f t="shared" si="477"/>
        <v>0.53940677966101691</v>
      </c>
      <c r="BJ216" s="1625">
        <f t="shared" si="477"/>
        <v>0.42850012367054163</v>
      </c>
      <c r="BK216" s="1625">
        <f t="shared" ref="BK216:BL216" si="478">BK215/BK16</f>
        <v>0.55220125786163521</v>
      </c>
      <c r="BL216" s="1625">
        <f t="shared" si="478"/>
        <v>0.56680131179436233</v>
      </c>
      <c r="BM216" s="1625">
        <f>BL216-0.3%</f>
        <v>0.56380131179436233</v>
      </c>
      <c r="BN216" s="1625">
        <f>BM216-0.3%</f>
        <v>0.56080131179436232</v>
      </c>
      <c r="BO216" s="299"/>
    </row>
    <row r="217" spans="1:67" ht="14.25" customHeight="1">
      <c r="A217" s="1"/>
      <c r="B217" s="431"/>
      <c r="C217" s="254"/>
      <c r="D217" s="320"/>
      <c r="E217" s="320"/>
      <c r="F217" s="320"/>
      <c r="G217" s="93"/>
      <c r="H217" s="269"/>
      <c r="I217" s="269"/>
      <c r="J217" s="300"/>
      <c r="K217" s="301"/>
      <c r="L217" s="255"/>
      <c r="M217" s="300"/>
      <c r="N217" s="300"/>
      <c r="O217" s="301"/>
      <c r="P217" s="300"/>
      <c r="Q217" s="300"/>
      <c r="R217" s="300"/>
      <c r="S217" s="301"/>
      <c r="T217" s="300"/>
      <c r="U217" s="300"/>
      <c r="V217" s="269"/>
      <c r="W217" s="301"/>
      <c r="X217" s="300"/>
      <c r="Y217" s="300"/>
      <c r="Z217" s="300"/>
      <c r="AA217" s="256"/>
      <c r="AB217" s="159"/>
      <c r="AC217" s="90"/>
      <c r="AD217" s="90"/>
      <c r="AE217" s="91"/>
      <c r="AF217" s="159"/>
      <c r="AG217" s="90"/>
      <c r="AH217" s="90"/>
      <c r="AI217" s="90"/>
      <c r="AJ217" s="159"/>
      <c r="AK217" s="90"/>
      <c r="AL217" s="90"/>
      <c r="AM217" s="1573"/>
      <c r="AN217" s="1607"/>
      <c r="AO217" s="1603"/>
      <c r="AP217" s="1603"/>
      <c r="AQ217" s="1806"/>
      <c r="AR217" s="159"/>
      <c r="AS217" s="1506"/>
      <c r="AT217" s="1506"/>
      <c r="AU217" s="91"/>
      <c r="AV217" s="159"/>
      <c r="AW217" s="1506"/>
      <c r="AX217" s="1506"/>
      <c r="AY217" s="91"/>
      <c r="AZ217" s="20"/>
      <c r="BA217" s="652"/>
      <c r="BB217" s="317"/>
      <c r="BC217" s="256"/>
      <c r="BD217" s="256"/>
      <c r="BE217" s="256"/>
      <c r="BF217" s="255"/>
      <c r="BG217" s="1515"/>
      <c r="BH217" s="1506"/>
      <c r="BI217" s="1607"/>
      <c r="BJ217" s="1603"/>
      <c r="BK217" s="1603"/>
      <c r="BL217" s="1806"/>
      <c r="BM217" s="1806"/>
      <c r="BN217" s="1806"/>
      <c r="BO217" s="299"/>
    </row>
    <row r="218" spans="1:67" s="932" customFormat="1" ht="14.25" hidden="1" customHeight="1" outlineLevel="1">
      <c r="B218" s="437" t="s">
        <v>235</v>
      </c>
      <c r="C218" s="933"/>
      <c r="D218" s="934"/>
      <c r="E218" s="934"/>
      <c r="F218" s="934"/>
      <c r="G218" s="935"/>
      <c r="H218" s="936"/>
      <c r="I218" s="936"/>
      <c r="J218" s="937"/>
      <c r="K218" s="938"/>
      <c r="L218" s="939">
        <f>SUM(L219:L223)</f>
        <v>-9</v>
      </c>
      <c r="M218" s="341">
        <f t="shared" ref="M218:AA218" si="479">SUM(M219:M223)</f>
        <v>-9</v>
      </c>
      <c r="N218" s="341">
        <f t="shared" si="479"/>
        <v>-9</v>
      </c>
      <c r="O218" s="398">
        <f t="shared" si="479"/>
        <v>-36</v>
      </c>
      <c r="P218" s="877">
        <f t="shared" si="479"/>
        <v>-10</v>
      </c>
      <c r="Q218" s="877">
        <f t="shared" si="479"/>
        <v>1</v>
      </c>
      <c r="R218" s="877">
        <f t="shared" si="479"/>
        <v>-1</v>
      </c>
      <c r="S218" s="878">
        <f t="shared" si="479"/>
        <v>0</v>
      </c>
      <c r="T218" s="877">
        <f t="shared" si="479"/>
        <v>-1</v>
      </c>
      <c r="U218" s="877">
        <f t="shared" si="479"/>
        <v>0</v>
      </c>
      <c r="V218" s="877">
        <f>SUM(V219:V223)</f>
        <v>-13</v>
      </c>
      <c r="W218" s="878">
        <f>SUM(W219:W223)</f>
        <v>-24</v>
      </c>
      <c r="X218" s="877">
        <f>SUM(X219:X223)</f>
        <v>-2</v>
      </c>
      <c r="Y218" s="877">
        <f>SUM(Y219:Y223)</f>
        <v>37</v>
      </c>
      <c r="Z218" s="877">
        <f t="shared" si="479"/>
        <v>-2</v>
      </c>
      <c r="AA218" s="877">
        <f t="shared" si="479"/>
        <v>-2</v>
      </c>
      <c r="AB218" s="1268">
        <f t="shared" ref="AB218:AG218" si="480">SUM(AB219:AB223)</f>
        <v>-48</v>
      </c>
      <c r="AC218" s="877">
        <f t="shared" si="480"/>
        <v>0</v>
      </c>
      <c r="AD218" s="877">
        <f t="shared" si="480"/>
        <v>-6</v>
      </c>
      <c r="AE218" s="878">
        <f t="shared" si="480"/>
        <v>-18</v>
      </c>
      <c r="AF218" s="1268">
        <f t="shared" si="480"/>
        <v>-3</v>
      </c>
      <c r="AG218" s="877">
        <f t="shared" si="480"/>
        <v>-2</v>
      </c>
      <c r="AH218" s="877">
        <f t="shared" ref="AH218:AM218" si="481">SUM(AH219:AH223)</f>
        <v>-2</v>
      </c>
      <c r="AI218" s="877">
        <f t="shared" si="481"/>
        <v>-2</v>
      </c>
      <c r="AJ218" s="1268">
        <f t="shared" si="481"/>
        <v>-2</v>
      </c>
      <c r="AK218" s="877">
        <f t="shared" si="481"/>
        <v>-5</v>
      </c>
      <c r="AL218" s="877">
        <f t="shared" si="481"/>
        <v>-2</v>
      </c>
      <c r="AM218" s="877">
        <f t="shared" si="481"/>
        <v>-2</v>
      </c>
      <c r="AN218" s="1268">
        <f t="shared" ref="AN218:AQ218" si="482">SUM(AN219:AN223)</f>
        <v>-2</v>
      </c>
      <c r="AO218" s="877">
        <f t="shared" si="482"/>
        <v>-5</v>
      </c>
      <c r="AP218" s="877">
        <f t="shared" si="482"/>
        <v>-2</v>
      </c>
      <c r="AQ218" s="877">
        <f t="shared" si="482"/>
        <v>-2</v>
      </c>
      <c r="AR218" s="1157"/>
      <c r="AS218" s="877"/>
      <c r="AT218" s="877"/>
      <c r="AU218" s="878"/>
      <c r="AV218" s="1157"/>
      <c r="AW218" s="877"/>
      <c r="AX218" s="877"/>
      <c r="AY218" s="878"/>
      <c r="AZ218" s="1914"/>
      <c r="BA218" s="1129"/>
      <c r="BB218" s="359"/>
      <c r="BC218" s="341">
        <f>SUM(L218:O218)</f>
        <v>-63</v>
      </c>
      <c r="BD218" s="341">
        <f>SUM(P218:S218)</f>
        <v>-10</v>
      </c>
      <c r="BE218" s="341">
        <f>SUM(T218:W218)</f>
        <v>-38</v>
      </c>
      <c r="BF218" s="939">
        <f>SUM(X218:AA218)</f>
        <v>31</v>
      </c>
      <c r="BG218" s="939"/>
      <c r="BH218" s="877"/>
      <c r="BI218" s="1157"/>
      <c r="BJ218" s="877"/>
      <c r="BK218" s="877"/>
      <c r="BL218" s="877"/>
      <c r="BM218" s="877"/>
      <c r="BN218" s="877"/>
      <c r="BO218" s="1929"/>
    </row>
    <row r="219" spans="1:67" s="353" customFormat="1" ht="14.25" hidden="1" customHeight="1" outlineLevel="2">
      <c r="A219" s="6"/>
      <c r="B219" s="437" t="s">
        <v>348</v>
      </c>
      <c r="C219" s="383"/>
      <c r="D219" s="354"/>
      <c r="E219" s="354"/>
      <c r="F219" s="354"/>
      <c r="G219" s="355"/>
      <c r="H219" s="356"/>
      <c r="I219" s="356"/>
      <c r="J219" s="357"/>
      <c r="K219" s="358"/>
      <c r="L219" s="362">
        <v>-1</v>
      </c>
      <c r="M219" s="342">
        <v>-1</v>
      </c>
      <c r="N219" s="342">
        <v>-1</v>
      </c>
      <c r="O219" s="343">
        <v>1</v>
      </c>
      <c r="P219" s="72">
        <v>-10</v>
      </c>
      <c r="Q219" s="72">
        <v>-1</v>
      </c>
      <c r="R219" s="72">
        <v>-1</v>
      </c>
      <c r="S219" s="73">
        <v>-1</v>
      </c>
      <c r="T219" s="72">
        <v>-1</v>
      </c>
      <c r="U219" s="72">
        <v>0</v>
      </c>
      <c r="V219" s="72">
        <v>-13</v>
      </c>
      <c r="W219" s="73">
        <v>-4</v>
      </c>
      <c r="X219" s="72">
        <v>-2</v>
      </c>
      <c r="Y219" s="72">
        <v>-7</v>
      </c>
      <c r="Z219" s="747">
        <v>-1</v>
      </c>
      <c r="AA219" s="72">
        <v>0</v>
      </c>
      <c r="AB219" s="1176">
        <v>0</v>
      </c>
      <c r="AC219" s="72">
        <v>0</v>
      </c>
      <c r="AD219" s="72">
        <v>0</v>
      </c>
      <c r="AE219" s="73">
        <v>-3</v>
      </c>
      <c r="AF219" s="1176">
        <v>-1</v>
      </c>
      <c r="AG219" s="72">
        <v>0</v>
      </c>
      <c r="AH219" s="72">
        <v>0</v>
      </c>
      <c r="AI219" s="72">
        <v>-1</v>
      </c>
      <c r="AJ219" s="1176">
        <v>0</v>
      </c>
      <c r="AK219" s="72">
        <v>-1</v>
      </c>
      <c r="AL219" s="72">
        <v>0</v>
      </c>
      <c r="AM219" s="747">
        <v>0</v>
      </c>
      <c r="AN219" s="1176">
        <v>0</v>
      </c>
      <c r="AO219" s="72">
        <v>-1</v>
      </c>
      <c r="AP219" s="72">
        <v>0</v>
      </c>
      <c r="AQ219" s="1823">
        <v>0</v>
      </c>
      <c r="AR219" s="1158"/>
      <c r="AS219" s="747"/>
      <c r="AT219" s="747"/>
      <c r="AU219" s="909"/>
      <c r="AV219" s="1158"/>
      <c r="AW219" s="747"/>
      <c r="AX219" s="747"/>
      <c r="AY219" s="909"/>
      <c r="AZ219" s="115"/>
      <c r="BA219" s="1129"/>
      <c r="BB219" s="359"/>
      <c r="BC219" s="341">
        <f>SUM(L219:O219)</f>
        <v>-2</v>
      </c>
      <c r="BD219" s="341">
        <f>SUM(P219:S219)</f>
        <v>-13</v>
      </c>
      <c r="BE219" s="341">
        <f>SUM(T219:W219)</f>
        <v>-18</v>
      </c>
      <c r="BF219" s="939">
        <f>SUM(X219:AA219)</f>
        <v>-10</v>
      </c>
      <c r="BG219" s="939"/>
      <c r="BH219" s="877"/>
      <c r="BI219" s="1157"/>
      <c r="BJ219" s="877"/>
      <c r="BK219" s="877"/>
      <c r="BL219" s="877"/>
      <c r="BM219" s="877"/>
      <c r="BN219" s="877"/>
      <c r="BO219" s="352"/>
    </row>
    <row r="220" spans="1:67" s="353" customFormat="1" ht="14.25" hidden="1" customHeight="1" outlineLevel="2">
      <c r="A220" s="6"/>
      <c r="B220" s="438" t="s">
        <v>349</v>
      </c>
      <c r="C220" s="383"/>
      <c r="D220" s="354"/>
      <c r="E220" s="354"/>
      <c r="F220" s="354"/>
      <c r="G220" s="355"/>
      <c r="H220" s="356"/>
      <c r="I220" s="356"/>
      <c r="J220" s="357"/>
      <c r="K220" s="358"/>
      <c r="L220" s="362">
        <v>0</v>
      </c>
      <c r="M220" s="342">
        <v>0</v>
      </c>
      <c r="N220" s="342">
        <v>-5</v>
      </c>
      <c r="O220" s="343">
        <v>-27</v>
      </c>
      <c r="P220" s="72">
        <v>1</v>
      </c>
      <c r="Q220" s="72">
        <v>2</v>
      </c>
      <c r="R220" s="72">
        <v>0</v>
      </c>
      <c r="S220" s="73">
        <v>2</v>
      </c>
      <c r="T220" s="72">
        <v>0</v>
      </c>
      <c r="U220" s="72">
        <v>0</v>
      </c>
      <c r="V220" s="72">
        <v>0</v>
      </c>
      <c r="W220" s="73">
        <v>-20</v>
      </c>
      <c r="X220" s="72">
        <v>0</v>
      </c>
      <c r="Y220" s="72">
        <v>0</v>
      </c>
      <c r="Z220" s="747">
        <v>0</v>
      </c>
      <c r="AA220" s="72">
        <v>-1</v>
      </c>
      <c r="AB220" s="1176">
        <v>-1</v>
      </c>
      <c r="AC220" s="72">
        <v>3</v>
      </c>
      <c r="AD220" s="72">
        <v>-4</v>
      </c>
      <c r="AE220" s="73">
        <v>-3</v>
      </c>
      <c r="AF220" s="1176">
        <v>0</v>
      </c>
      <c r="AG220" s="72">
        <v>0</v>
      </c>
      <c r="AH220" s="72">
        <v>0</v>
      </c>
      <c r="AI220" s="72">
        <v>0</v>
      </c>
      <c r="AJ220" s="1176">
        <v>-1</v>
      </c>
      <c r="AK220" s="72">
        <v>0</v>
      </c>
      <c r="AL220" s="72">
        <v>0</v>
      </c>
      <c r="AM220" s="747">
        <v>0</v>
      </c>
      <c r="AN220" s="1176">
        <v>-1</v>
      </c>
      <c r="AO220" s="72">
        <v>0</v>
      </c>
      <c r="AP220" s="72">
        <v>0</v>
      </c>
      <c r="AQ220" s="1823">
        <v>0</v>
      </c>
      <c r="AR220" s="1158"/>
      <c r="AS220" s="747"/>
      <c r="AT220" s="747"/>
      <c r="AU220" s="909"/>
      <c r="AV220" s="1158"/>
      <c r="AW220" s="747"/>
      <c r="AX220" s="747"/>
      <c r="AY220" s="909"/>
      <c r="AZ220" s="115"/>
      <c r="BA220" s="1129"/>
      <c r="BB220" s="359"/>
      <c r="BC220" s="341">
        <f>SUM(L220:O220)</f>
        <v>-32</v>
      </c>
      <c r="BD220" s="341">
        <f>SUM(P220:S220)</f>
        <v>5</v>
      </c>
      <c r="BE220" s="341">
        <f>SUM(T220:W220)</f>
        <v>-20</v>
      </c>
      <c r="BF220" s="939">
        <f>SUM(X220:AA220)</f>
        <v>-1</v>
      </c>
      <c r="BG220" s="939"/>
      <c r="BH220" s="877"/>
      <c r="BI220" s="1157"/>
      <c r="BJ220" s="877"/>
      <c r="BK220" s="877"/>
      <c r="BL220" s="877"/>
      <c r="BM220" s="877"/>
      <c r="BN220" s="877"/>
      <c r="BO220" s="352"/>
    </row>
    <row r="221" spans="1:67" s="353" customFormat="1" ht="14.25" hidden="1" customHeight="1" outlineLevel="2">
      <c r="A221" s="6"/>
      <c r="B221" s="438" t="s">
        <v>502</v>
      </c>
      <c r="C221" s="383"/>
      <c r="D221" s="354"/>
      <c r="E221" s="354"/>
      <c r="F221" s="354"/>
      <c r="G221" s="355"/>
      <c r="H221" s="356"/>
      <c r="I221" s="356"/>
      <c r="J221" s="357"/>
      <c r="K221" s="358"/>
      <c r="L221" s="362"/>
      <c r="M221" s="342"/>
      <c r="N221" s="342"/>
      <c r="O221" s="343"/>
      <c r="P221" s="72"/>
      <c r="Q221" s="72"/>
      <c r="R221" s="72"/>
      <c r="S221" s="73"/>
      <c r="T221" s="72"/>
      <c r="U221" s="72"/>
      <c r="V221" s="72"/>
      <c r="W221" s="73"/>
      <c r="X221" s="72"/>
      <c r="Y221" s="72"/>
      <c r="Z221" s="747"/>
      <c r="AA221" s="72"/>
      <c r="AB221" s="1176">
        <v>-1</v>
      </c>
      <c r="AC221" s="72">
        <v>-2</v>
      </c>
      <c r="AD221" s="72">
        <v>-1</v>
      </c>
      <c r="AE221" s="73">
        <v>-2</v>
      </c>
      <c r="AF221" s="1176">
        <v>-2</v>
      </c>
      <c r="AG221" s="72">
        <v>-2</v>
      </c>
      <c r="AH221" s="72">
        <v>-1</v>
      </c>
      <c r="AI221" s="72">
        <v>-2</v>
      </c>
      <c r="AJ221" s="1176">
        <v>-1</v>
      </c>
      <c r="AK221" s="72">
        <v>-3</v>
      </c>
      <c r="AL221" s="72">
        <v>-1</v>
      </c>
      <c r="AM221" s="747">
        <v>-1</v>
      </c>
      <c r="AN221" s="1176">
        <v>-1</v>
      </c>
      <c r="AO221" s="72">
        <v>-3</v>
      </c>
      <c r="AP221" s="72">
        <v>-1</v>
      </c>
      <c r="AQ221" s="1823">
        <v>-1</v>
      </c>
      <c r="AR221" s="1158"/>
      <c r="AS221" s="747"/>
      <c r="AT221" s="747"/>
      <c r="AU221" s="909"/>
      <c r="AV221" s="1158"/>
      <c r="AW221" s="747"/>
      <c r="AX221" s="747"/>
      <c r="AY221" s="909"/>
      <c r="AZ221" s="115"/>
      <c r="BA221" s="1129"/>
      <c r="BB221" s="359"/>
      <c r="BC221" s="341"/>
      <c r="BD221" s="341"/>
      <c r="BE221" s="341"/>
      <c r="BF221" s="939"/>
      <c r="BG221" s="939"/>
      <c r="BH221" s="877"/>
      <c r="BI221" s="1157"/>
      <c r="BJ221" s="877"/>
      <c r="BK221" s="877"/>
      <c r="BL221" s="877"/>
      <c r="BM221" s="877"/>
      <c r="BN221" s="877"/>
      <c r="BO221" s="352"/>
    </row>
    <row r="222" spans="1:67" s="353" customFormat="1" ht="14.25" hidden="1" customHeight="1" outlineLevel="2">
      <c r="A222" s="6"/>
      <c r="B222" s="438" t="s">
        <v>350</v>
      </c>
      <c r="C222" s="383"/>
      <c r="D222" s="354"/>
      <c r="E222" s="354"/>
      <c r="F222" s="354"/>
      <c r="G222" s="355"/>
      <c r="H222" s="356"/>
      <c r="I222" s="356"/>
      <c r="J222" s="357"/>
      <c r="K222" s="358"/>
      <c r="L222" s="362">
        <v>-8</v>
      </c>
      <c r="M222" s="342">
        <v>-8</v>
      </c>
      <c r="N222" s="342">
        <v>-3</v>
      </c>
      <c r="O222" s="343">
        <v>-10</v>
      </c>
      <c r="P222" s="72">
        <v>-1</v>
      </c>
      <c r="Q222" s="72">
        <v>0</v>
      </c>
      <c r="R222" s="72">
        <v>0</v>
      </c>
      <c r="S222" s="73">
        <v>-1</v>
      </c>
      <c r="T222" s="72">
        <v>0</v>
      </c>
      <c r="U222" s="72">
        <v>0</v>
      </c>
      <c r="V222" s="72">
        <v>0</v>
      </c>
      <c r="W222" s="73">
        <v>0</v>
      </c>
      <c r="X222" s="72">
        <v>0</v>
      </c>
      <c r="Y222" s="72">
        <v>-2</v>
      </c>
      <c r="Z222" s="747">
        <v>-1</v>
      </c>
      <c r="AA222" s="72">
        <v>-1</v>
      </c>
      <c r="AB222" s="1176">
        <v>-46</v>
      </c>
      <c r="AC222" s="72">
        <v>-1</v>
      </c>
      <c r="AD222" s="72">
        <v>-1</v>
      </c>
      <c r="AE222" s="73">
        <v>-10</v>
      </c>
      <c r="AF222" s="1176">
        <v>0</v>
      </c>
      <c r="AG222" s="72">
        <v>0</v>
      </c>
      <c r="AH222" s="72">
        <v>-1</v>
      </c>
      <c r="AI222" s="72">
        <v>1</v>
      </c>
      <c r="AJ222" s="1176">
        <v>0</v>
      </c>
      <c r="AK222" s="72">
        <v>-1</v>
      </c>
      <c r="AL222" s="72">
        <v>-1</v>
      </c>
      <c r="AM222" s="747">
        <v>-1</v>
      </c>
      <c r="AN222" s="1176">
        <v>0</v>
      </c>
      <c r="AO222" s="72">
        <v>-1</v>
      </c>
      <c r="AP222" s="72">
        <v>-1</v>
      </c>
      <c r="AQ222" s="1823">
        <v>-1</v>
      </c>
      <c r="AR222" s="1158"/>
      <c r="AS222" s="747"/>
      <c r="AT222" s="747"/>
      <c r="AU222" s="909"/>
      <c r="AV222" s="1158"/>
      <c r="AW222" s="747"/>
      <c r="AX222" s="747"/>
      <c r="AY222" s="909"/>
      <c r="AZ222" s="115"/>
      <c r="BA222" s="1129"/>
      <c r="BB222" s="359"/>
      <c r="BC222" s="341">
        <f>SUM(L222:O222)</f>
        <v>-29</v>
      </c>
      <c r="BD222" s="341">
        <f>SUM(P222:S222)</f>
        <v>-2</v>
      </c>
      <c r="BE222" s="341">
        <f>SUM(T222:W222)</f>
        <v>0</v>
      </c>
      <c r="BF222" s="939">
        <f>SUM(X222:AA222)</f>
        <v>-4</v>
      </c>
      <c r="BG222" s="939"/>
      <c r="BH222" s="877"/>
      <c r="BI222" s="1157"/>
      <c r="BJ222" s="877"/>
      <c r="BK222" s="877"/>
      <c r="BL222" s="877"/>
      <c r="BM222" s="877"/>
      <c r="BN222" s="877"/>
      <c r="BO222" s="352"/>
    </row>
    <row r="223" spans="1:67" s="353" customFormat="1" ht="14.25" hidden="1" customHeight="1" outlineLevel="2">
      <c r="A223" s="6"/>
      <c r="B223" s="438" t="s">
        <v>351</v>
      </c>
      <c r="C223" s="383"/>
      <c r="D223" s="354"/>
      <c r="E223" s="354"/>
      <c r="F223" s="354"/>
      <c r="G223" s="355"/>
      <c r="H223" s="356"/>
      <c r="I223" s="356"/>
      <c r="J223" s="357"/>
      <c r="K223" s="358"/>
      <c r="L223" s="362">
        <v>0</v>
      </c>
      <c r="M223" s="342">
        <v>0</v>
      </c>
      <c r="N223" s="342">
        <v>0</v>
      </c>
      <c r="O223" s="343">
        <v>0</v>
      </c>
      <c r="P223" s="72">
        <v>0</v>
      </c>
      <c r="Q223" s="72">
        <v>0</v>
      </c>
      <c r="R223" s="72">
        <v>0</v>
      </c>
      <c r="S223" s="73">
        <v>0</v>
      </c>
      <c r="T223" s="72">
        <v>0</v>
      </c>
      <c r="U223" s="72">
        <v>0</v>
      </c>
      <c r="V223" s="72">
        <v>0</v>
      </c>
      <c r="W223" s="73">
        <v>0</v>
      </c>
      <c r="X223" s="72">
        <v>0</v>
      </c>
      <c r="Y223" s="72">
        <v>46</v>
      </c>
      <c r="Z223" s="747">
        <v>0</v>
      </c>
      <c r="AA223" s="72">
        <v>0</v>
      </c>
      <c r="AB223" s="1176">
        <v>0</v>
      </c>
      <c r="AC223" s="72">
        <v>0</v>
      </c>
      <c r="AD223" s="747">
        <v>0</v>
      </c>
      <c r="AE223" s="73">
        <v>0</v>
      </c>
      <c r="AF223" s="1176">
        <v>0</v>
      </c>
      <c r="AG223" s="72">
        <v>0</v>
      </c>
      <c r="AH223" s="747">
        <v>0</v>
      </c>
      <c r="AI223" s="747">
        <v>0</v>
      </c>
      <c r="AJ223" s="1176">
        <v>0</v>
      </c>
      <c r="AK223" s="72">
        <v>0</v>
      </c>
      <c r="AL223" s="747">
        <v>0</v>
      </c>
      <c r="AM223" s="747">
        <v>0</v>
      </c>
      <c r="AN223" s="1176">
        <v>0</v>
      </c>
      <c r="AO223" s="72">
        <v>0</v>
      </c>
      <c r="AP223" s="747">
        <v>0</v>
      </c>
      <c r="AQ223" s="1823">
        <v>0</v>
      </c>
      <c r="AR223" s="1158"/>
      <c r="AS223" s="747"/>
      <c r="AT223" s="747"/>
      <c r="AU223" s="909"/>
      <c r="AV223" s="1158"/>
      <c r="AW223" s="747"/>
      <c r="AX223" s="747"/>
      <c r="AY223" s="909"/>
      <c r="AZ223" s="115"/>
      <c r="BA223" s="1129"/>
      <c r="BB223" s="359"/>
      <c r="BC223" s="341">
        <f>SUM(L223:O223)</f>
        <v>0</v>
      </c>
      <c r="BD223" s="341">
        <f>SUM(P223:S223)</f>
        <v>0</v>
      </c>
      <c r="BE223" s="341">
        <f>SUM(T223:W223)</f>
        <v>0</v>
      </c>
      <c r="BF223" s="939">
        <f>SUM(X223:AA223)</f>
        <v>46</v>
      </c>
      <c r="BG223" s="939"/>
      <c r="BH223" s="877"/>
      <c r="BI223" s="1157"/>
      <c r="BJ223" s="877"/>
      <c r="BK223" s="877"/>
      <c r="BL223" s="877"/>
      <c r="BM223" s="877"/>
      <c r="BN223" s="877"/>
      <c r="BO223" s="352"/>
    </row>
    <row r="224" spans="1:67" ht="14.25" hidden="1" customHeight="1" outlineLevel="2">
      <c r="A224" s="1"/>
      <c r="B224" s="431"/>
      <c r="C224" s="254"/>
      <c r="D224" s="320"/>
      <c r="E224" s="320"/>
      <c r="F224" s="320"/>
      <c r="G224" s="93"/>
      <c r="H224" s="269"/>
      <c r="I224" s="269"/>
      <c r="J224" s="300"/>
      <c r="K224" s="301"/>
      <c r="L224" s="361">
        <f t="shared" ref="L224:Y224" si="483">L225+L218-L215</f>
        <v>0</v>
      </c>
      <c r="M224" s="340">
        <f t="shared" si="483"/>
        <v>0</v>
      </c>
      <c r="N224" s="340">
        <f t="shared" si="483"/>
        <v>0</v>
      </c>
      <c r="O224" s="351">
        <f t="shared" si="483"/>
        <v>0</v>
      </c>
      <c r="P224" s="361">
        <f t="shared" si="483"/>
        <v>0</v>
      </c>
      <c r="Q224" s="340">
        <f t="shared" si="483"/>
        <v>0</v>
      </c>
      <c r="R224" s="340">
        <f t="shared" si="483"/>
        <v>0</v>
      </c>
      <c r="S224" s="351">
        <f t="shared" si="483"/>
        <v>0</v>
      </c>
      <c r="T224" s="361">
        <f t="shared" si="483"/>
        <v>0</v>
      </c>
      <c r="U224" s="340">
        <f t="shared" si="483"/>
        <v>0</v>
      </c>
      <c r="V224" s="348">
        <f t="shared" si="483"/>
        <v>0</v>
      </c>
      <c r="W224" s="351">
        <f t="shared" si="483"/>
        <v>0</v>
      </c>
      <c r="X224" s="361">
        <f t="shared" si="483"/>
        <v>0</v>
      </c>
      <c r="Y224" s="340">
        <f t="shared" si="483"/>
        <v>0</v>
      </c>
      <c r="Z224" s="348"/>
      <c r="AA224" s="340"/>
      <c r="AB224" s="949">
        <f>AB225+AB218-AB215</f>
        <v>0</v>
      </c>
      <c r="AC224" s="348"/>
      <c r="AD224" s="348"/>
      <c r="AE224" s="351"/>
      <c r="AF224" s="949">
        <f>AF225+AF218-AF215</f>
        <v>0</v>
      </c>
      <c r="AG224" s="348"/>
      <c r="AH224" s="348"/>
      <c r="AI224" s="348"/>
      <c r="AJ224" s="949">
        <f>AJ225+AJ218-AJ215</f>
        <v>0</v>
      </c>
      <c r="AK224" s="348"/>
      <c r="AL224" s="348"/>
      <c r="AM224" s="348"/>
      <c r="AN224" s="949">
        <f>AN225+AN218-AN215</f>
        <v>0</v>
      </c>
      <c r="AO224" s="348"/>
      <c r="AP224" s="348"/>
      <c r="AQ224" s="348"/>
      <c r="AR224" s="923"/>
      <c r="AS224" s="348"/>
      <c r="AT224" s="348"/>
      <c r="AU224" s="349"/>
      <c r="AV224" s="923"/>
      <c r="AW224" s="348"/>
      <c r="AX224" s="348"/>
      <c r="AY224" s="349"/>
      <c r="AZ224" s="20"/>
      <c r="BA224" s="652"/>
      <c r="BB224" s="317"/>
      <c r="BC224" s="256"/>
      <c r="BD224" s="256"/>
      <c r="BE224" s="256"/>
      <c r="BF224" s="255"/>
      <c r="BG224" s="1515"/>
      <c r="BH224" s="1506"/>
      <c r="BI224" s="1607"/>
      <c r="BJ224" s="1603"/>
      <c r="BK224" s="1603"/>
      <c r="BL224" s="1806"/>
      <c r="BM224" s="1806"/>
      <c r="BN224" s="1806"/>
      <c r="BO224" s="299"/>
    </row>
    <row r="225" spans="1:67" s="363" customFormat="1" ht="14.25" hidden="1" customHeight="1" outlineLevel="1">
      <c r="B225" s="436" t="s">
        <v>238</v>
      </c>
      <c r="C225" s="351"/>
      <c r="D225" s="365"/>
      <c r="E225" s="348"/>
      <c r="F225" s="340"/>
      <c r="G225" s="351"/>
      <c r="H225" s="367"/>
      <c r="I225" s="340"/>
      <c r="J225" s="344"/>
      <c r="K225" s="345"/>
      <c r="L225" s="361">
        <f t="shared" ref="L225:AA225" si="484">L215-L218</f>
        <v>107</v>
      </c>
      <c r="M225" s="340">
        <f t="shared" si="484"/>
        <v>183</v>
      </c>
      <c r="N225" s="340">
        <f t="shared" si="484"/>
        <v>251</v>
      </c>
      <c r="O225" s="351">
        <f t="shared" si="484"/>
        <v>307</v>
      </c>
      <c r="P225" s="348">
        <f t="shared" si="484"/>
        <v>340</v>
      </c>
      <c r="Q225" s="348">
        <f t="shared" si="484"/>
        <v>378</v>
      </c>
      <c r="R225" s="348">
        <f t="shared" si="484"/>
        <v>404</v>
      </c>
      <c r="S225" s="349">
        <f t="shared" si="484"/>
        <v>413</v>
      </c>
      <c r="T225" s="348">
        <f t="shared" si="484"/>
        <v>423</v>
      </c>
      <c r="U225" s="348">
        <f t="shared" si="484"/>
        <v>433</v>
      </c>
      <c r="V225" s="348">
        <f t="shared" si="484"/>
        <v>410</v>
      </c>
      <c r="W225" s="349">
        <f t="shared" si="484"/>
        <v>345</v>
      </c>
      <c r="X225" s="348">
        <f t="shared" si="484"/>
        <v>366</v>
      </c>
      <c r="Y225" s="348">
        <f t="shared" si="484"/>
        <v>428</v>
      </c>
      <c r="Z225" s="348">
        <f t="shared" si="484"/>
        <v>465</v>
      </c>
      <c r="AA225" s="348">
        <f t="shared" si="484"/>
        <v>455</v>
      </c>
      <c r="AB225" s="949">
        <f t="shared" ref="AB225:AG225" si="485">AB215-AB218</f>
        <v>465</v>
      </c>
      <c r="AC225" s="348">
        <f t="shared" si="485"/>
        <v>472</v>
      </c>
      <c r="AD225" s="348">
        <f t="shared" si="485"/>
        <v>499</v>
      </c>
      <c r="AE225" s="349">
        <f t="shared" si="485"/>
        <v>541</v>
      </c>
      <c r="AF225" s="949">
        <f t="shared" si="485"/>
        <v>511</v>
      </c>
      <c r="AG225" s="348">
        <f t="shared" si="485"/>
        <v>547</v>
      </c>
      <c r="AH225" s="348">
        <f t="shared" ref="AH225:AM225" si="486">AH215-AH218</f>
        <v>607</v>
      </c>
      <c r="AI225" s="348">
        <f t="shared" si="486"/>
        <v>597</v>
      </c>
      <c r="AJ225" s="949">
        <f t="shared" si="486"/>
        <v>599</v>
      </c>
      <c r="AK225" s="348">
        <f t="shared" si="486"/>
        <v>615</v>
      </c>
      <c r="AL225" s="348">
        <f t="shared" si="486"/>
        <v>628</v>
      </c>
      <c r="AM225" s="348">
        <f t="shared" si="486"/>
        <v>715</v>
      </c>
      <c r="AN225" s="949">
        <f t="shared" ref="AN225:AQ225" si="487">AN215-AN218</f>
        <v>599</v>
      </c>
      <c r="AO225" s="348">
        <f t="shared" si="487"/>
        <v>615</v>
      </c>
      <c r="AP225" s="348">
        <f t="shared" si="487"/>
        <v>1134</v>
      </c>
      <c r="AQ225" s="348">
        <f t="shared" si="487"/>
        <v>1127.8520000000001</v>
      </c>
      <c r="AR225" s="923"/>
      <c r="AS225" s="348"/>
      <c r="AT225" s="348"/>
      <c r="AU225" s="349"/>
      <c r="AV225" s="923"/>
      <c r="AW225" s="348"/>
      <c r="AX225" s="348"/>
      <c r="AY225" s="349"/>
      <c r="AZ225" s="1901"/>
      <c r="BA225" s="361"/>
      <c r="BB225" s="340"/>
      <c r="BC225" s="340">
        <f>SUM(L225:O225)</f>
        <v>848</v>
      </c>
      <c r="BD225" s="340">
        <f>SUM(P225:S225)</f>
        <v>1535</v>
      </c>
      <c r="BE225" s="340">
        <f>SUM(T225:W225)</f>
        <v>1611</v>
      </c>
      <c r="BF225" s="361">
        <f>SUM(X225:AA225)</f>
        <v>1714</v>
      </c>
      <c r="BG225" s="361"/>
      <c r="BH225" s="348"/>
      <c r="BI225" s="923"/>
      <c r="BJ225" s="348"/>
      <c r="BK225" s="348"/>
      <c r="BL225" s="348"/>
      <c r="BM225" s="348"/>
      <c r="BN225" s="348"/>
      <c r="BO225" s="364"/>
    </row>
    <row r="226" spans="1:67" s="603" customFormat="1" ht="14.25" hidden="1" customHeight="1" outlineLevel="1">
      <c r="B226" s="956" t="s">
        <v>236</v>
      </c>
      <c r="C226" s="957"/>
      <c r="D226" s="404"/>
      <c r="E226" s="404"/>
      <c r="F226" s="318"/>
      <c r="G226" s="339"/>
      <c r="H226" s="404"/>
      <c r="I226" s="318"/>
      <c r="J226" s="318"/>
      <c r="K226" s="339"/>
      <c r="L226" s="318">
        <f t="shared" ref="L226:AG226" si="488">L225/L$16</f>
        <v>0.58469945355191255</v>
      </c>
      <c r="M226" s="318">
        <f t="shared" si="488"/>
        <v>0.88834951456310685</v>
      </c>
      <c r="N226" s="318">
        <f t="shared" si="488"/>
        <v>0.91605839416058399</v>
      </c>
      <c r="O226" s="339">
        <f t="shared" si="488"/>
        <v>0.91916167664670656</v>
      </c>
      <c r="P226" s="318">
        <f t="shared" si="488"/>
        <v>0.53882725832012679</v>
      </c>
      <c r="Q226" s="318">
        <f t="shared" si="488"/>
        <v>0.57975460122699385</v>
      </c>
      <c r="R226" s="318">
        <f t="shared" si="488"/>
        <v>0.62249614791987673</v>
      </c>
      <c r="S226" s="339">
        <f t="shared" si="488"/>
        <v>0.6334355828220859</v>
      </c>
      <c r="T226" s="318">
        <f t="shared" si="488"/>
        <v>0.63228699551569512</v>
      </c>
      <c r="U226" s="318">
        <f t="shared" si="488"/>
        <v>0.60900140646976086</v>
      </c>
      <c r="V226" s="404">
        <f t="shared" si="488"/>
        <v>0.61654135338345861</v>
      </c>
      <c r="W226" s="339">
        <f t="shared" si="488"/>
        <v>0.56743421052631582</v>
      </c>
      <c r="X226" s="318">
        <f t="shared" si="488"/>
        <v>0.56656346749226005</v>
      </c>
      <c r="Y226" s="318">
        <f t="shared" si="488"/>
        <v>0.5775978407557355</v>
      </c>
      <c r="Z226" s="318">
        <f t="shared" si="488"/>
        <v>0.57835820895522383</v>
      </c>
      <c r="AA226" s="317">
        <f t="shared" si="488"/>
        <v>0.57961783439490444</v>
      </c>
      <c r="AB226" s="1269">
        <f t="shared" si="488"/>
        <v>0.59922680412371132</v>
      </c>
      <c r="AC226" s="317">
        <f t="shared" si="488"/>
        <v>0.5375854214123007</v>
      </c>
      <c r="AD226" s="317">
        <f>AD225/AD$16</f>
        <v>0.54121475054229939</v>
      </c>
      <c r="AE226" s="339">
        <f t="shared" si="488"/>
        <v>0.5653082549634274</v>
      </c>
      <c r="AF226" s="1269">
        <f>AF225/AF$16</f>
        <v>0.5603070175438597</v>
      </c>
      <c r="AG226" s="317">
        <f t="shared" si="488"/>
        <v>0.55364372469635625</v>
      </c>
      <c r="AH226" s="317">
        <f t="shared" ref="AH226:AM226" si="489">AH225/AH$16</f>
        <v>0.53292361720807724</v>
      </c>
      <c r="AI226" s="317">
        <f t="shared" si="489"/>
        <v>0.51069289991445677</v>
      </c>
      <c r="AJ226" s="1269">
        <f t="shared" si="489"/>
        <v>0.54257246376811596</v>
      </c>
      <c r="AK226" s="317">
        <f t="shared" si="489"/>
        <v>0.53664921465968585</v>
      </c>
      <c r="AL226" s="317">
        <f t="shared" si="489"/>
        <v>0.53951890034364258</v>
      </c>
      <c r="AM226" s="1185">
        <f t="shared" si="489"/>
        <v>0.54747320061255744</v>
      </c>
      <c r="AN226" s="1269">
        <f t="shared" ref="AN226:AQ226" si="490">AN225/AN$16</f>
        <v>0.31344845630559914</v>
      </c>
      <c r="AO226" s="317">
        <f t="shared" si="490"/>
        <v>0.30536246276067525</v>
      </c>
      <c r="AP226" s="317">
        <f t="shared" si="490"/>
        <v>0.54025726536445928</v>
      </c>
      <c r="AQ226" s="1185">
        <f t="shared" si="490"/>
        <v>0.54696993210475275</v>
      </c>
      <c r="AR226" s="1186"/>
      <c r="AS226" s="1185"/>
      <c r="AT226" s="1185"/>
      <c r="AU226" s="1187"/>
      <c r="AV226" s="1186"/>
      <c r="AW226" s="1185"/>
      <c r="AX226" s="1185"/>
      <c r="AY226" s="1187"/>
      <c r="AZ226" s="1906"/>
      <c r="BA226" s="652"/>
      <c r="BB226" s="317"/>
      <c r="BC226" s="317"/>
      <c r="BD226" s="317">
        <f>BD225/BD16</f>
        <v>0.59404024767801855</v>
      </c>
      <c r="BE226" s="317">
        <f>BE225/BE16</f>
        <v>0.60723709008669435</v>
      </c>
      <c r="BF226" s="652">
        <f>BF225/BF16</f>
        <v>0.57594086021505375</v>
      </c>
      <c r="BG226" s="652"/>
      <c r="BH226" s="420"/>
      <c r="BI226" s="958"/>
      <c r="BJ226" s="420"/>
      <c r="BK226" s="420"/>
      <c r="BL226" s="420"/>
      <c r="BM226" s="420"/>
      <c r="BN226" s="420"/>
      <c r="BO226" s="605"/>
    </row>
    <row r="227" spans="1:67" ht="14.25" hidden="1" customHeight="1" outlineLevel="1">
      <c r="A227" s="1"/>
      <c r="B227" s="784" t="s">
        <v>232</v>
      </c>
      <c r="C227" s="34"/>
      <c r="D227" s="269"/>
      <c r="E227" s="269"/>
      <c r="F227" s="300"/>
      <c r="G227" s="301"/>
      <c r="H227" s="269"/>
      <c r="I227" s="300"/>
      <c r="J227" s="300"/>
      <c r="K227" s="301"/>
      <c r="L227" s="939">
        <f>+L213-L225</f>
        <v>-107</v>
      </c>
      <c r="M227" s="341">
        <f t="shared" ref="M227:AA227" si="491">+M213-M225</f>
        <v>-183</v>
      </c>
      <c r="N227" s="341">
        <f t="shared" si="491"/>
        <v>-251</v>
      </c>
      <c r="O227" s="398">
        <f t="shared" si="491"/>
        <v>-307</v>
      </c>
      <c r="P227" s="877">
        <f t="shared" si="491"/>
        <v>-340</v>
      </c>
      <c r="Q227" s="877">
        <f t="shared" si="491"/>
        <v>-378</v>
      </c>
      <c r="R227" s="877">
        <f t="shared" si="491"/>
        <v>-404</v>
      </c>
      <c r="S227" s="878">
        <f t="shared" si="491"/>
        <v>-413</v>
      </c>
      <c r="T227" s="877">
        <f t="shared" si="491"/>
        <v>-423</v>
      </c>
      <c r="U227" s="877">
        <f t="shared" si="491"/>
        <v>-433</v>
      </c>
      <c r="V227" s="877">
        <f t="shared" si="491"/>
        <v>-410</v>
      </c>
      <c r="W227" s="878">
        <f t="shared" si="491"/>
        <v>-345</v>
      </c>
      <c r="X227" s="877">
        <f t="shared" si="491"/>
        <v>-366</v>
      </c>
      <c r="Y227" s="877">
        <f t="shared" si="491"/>
        <v>-428</v>
      </c>
      <c r="Z227" s="877">
        <f t="shared" si="491"/>
        <v>-465</v>
      </c>
      <c r="AA227" s="877">
        <f t="shared" si="491"/>
        <v>-455</v>
      </c>
      <c r="AB227" s="1266"/>
      <c r="AC227" s="90"/>
      <c r="AD227" s="90"/>
      <c r="AE227" s="878">
        <f>+AE213-AE225</f>
        <v>-541</v>
      </c>
      <c r="AF227" s="159"/>
      <c r="AG227" s="90"/>
      <c r="AH227" s="90"/>
      <c r="AI227" s="90"/>
      <c r="AJ227" s="159"/>
      <c r="AK227" s="90"/>
      <c r="AL227" s="90"/>
      <c r="AM227" s="1573"/>
      <c r="AN227" s="1607"/>
      <c r="AO227" s="1603"/>
      <c r="AP227" s="1603"/>
      <c r="AQ227" s="1806"/>
      <c r="AR227" s="159"/>
      <c r="AS227" s="1506"/>
      <c r="AT227" s="1506"/>
      <c r="AU227" s="91"/>
      <c r="AV227" s="159"/>
      <c r="AW227" s="1506"/>
      <c r="AX227" s="1506"/>
      <c r="AY227" s="91"/>
      <c r="AZ227" s="20"/>
      <c r="BA227" s="652"/>
      <c r="BB227" s="317"/>
      <c r="BC227" s="341"/>
      <c r="BD227" s="341"/>
      <c r="BE227" s="341"/>
      <c r="BF227" s="939"/>
      <c r="BG227" s="939"/>
      <c r="BH227" s="1506"/>
      <c r="BI227" s="1607"/>
      <c r="BJ227" s="1603"/>
      <c r="BK227" s="1603"/>
      <c r="BL227" s="1806"/>
      <c r="BM227" s="1806"/>
      <c r="BN227" s="1806"/>
      <c r="BO227" s="299"/>
    </row>
    <row r="228" spans="1:67" ht="14.25" hidden="1" customHeight="1" outlineLevel="1">
      <c r="A228" s="1"/>
      <c r="B228" s="435"/>
      <c r="C228" s="34"/>
      <c r="D228" s="269"/>
      <c r="E228" s="269"/>
      <c r="F228" s="300"/>
      <c r="G228" s="301"/>
      <c r="H228" s="269"/>
      <c r="I228" s="300"/>
      <c r="J228" s="300"/>
      <c r="K228" s="301"/>
      <c r="L228" s="300"/>
      <c r="M228" s="300"/>
      <c r="N228" s="300"/>
      <c r="O228" s="301"/>
      <c r="P228" s="300"/>
      <c r="Q228" s="300"/>
      <c r="R228" s="300"/>
      <c r="S228" s="301"/>
      <c r="T228" s="300"/>
      <c r="U228" s="300"/>
      <c r="V228" s="269"/>
      <c r="W228" s="301"/>
      <c r="X228" s="300"/>
      <c r="Y228" s="300"/>
      <c r="Z228" s="300"/>
      <c r="AA228" s="256"/>
      <c r="AB228" s="1266"/>
      <c r="AC228" s="90"/>
      <c r="AD228" s="90"/>
      <c r="AE228" s="301"/>
      <c r="AF228" s="159"/>
      <c r="AG228" s="90"/>
      <c r="AH228" s="90"/>
      <c r="AI228" s="90"/>
      <c r="AJ228" s="159"/>
      <c r="AK228" s="90"/>
      <c r="AL228" s="90"/>
      <c r="AM228" s="1573"/>
      <c r="AN228" s="1607"/>
      <c r="AO228" s="1603"/>
      <c r="AP228" s="1603"/>
      <c r="AQ228" s="1806"/>
      <c r="AR228" s="159"/>
      <c r="AS228" s="1506"/>
      <c r="AT228" s="1506"/>
      <c r="AU228" s="91"/>
      <c r="AV228" s="159"/>
      <c r="AW228" s="1506"/>
      <c r="AX228" s="1506"/>
      <c r="AY228" s="91"/>
      <c r="AZ228" s="20"/>
      <c r="BA228" s="652"/>
      <c r="BB228" s="317"/>
      <c r="BC228" s="256"/>
      <c r="BD228" s="256"/>
      <c r="BE228" s="256"/>
      <c r="BF228" s="255"/>
      <c r="BG228" s="1515"/>
      <c r="BH228" s="1506"/>
      <c r="BI228" s="1607"/>
      <c r="BJ228" s="1603"/>
      <c r="BK228" s="1603"/>
      <c r="BL228" s="1806"/>
      <c r="BM228" s="1806"/>
      <c r="BN228" s="1806"/>
      <c r="BO228" s="299"/>
    </row>
    <row r="229" spans="1:67" ht="14.25" hidden="1" customHeight="1" outlineLevel="1">
      <c r="A229" s="1"/>
      <c r="B229" s="431"/>
      <c r="C229" s="254"/>
      <c r="D229" s="320"/>
      <c r="E229" s="320"/>
      <c r="F229" s="320"/>
      <c r="G229" s="93"/>
      <c r="H229" s="269"/>
      <c r="I229" s="269"/>
      <c r="J229" s="300"/>
      <c r="K229" s="301"/>
      <c r="L229" s="300"/>
      <c r="M229" s="300"/>
      <c r="N229" s="300"/>
      <c r="O229" s="301"/>
      <c r="P229" s="300"/>
      <c r="Q229" s="300"/>
      <c r="R229" s="300"/>
      <c r="S229" s="301"/>
      <c r="T229" s="300"/>
      <c r="U229" s="300"/>
      <c r="V229" s="269"/>
      <c r="W229" s="301"/>
      <c r="X229" s="300"/>
      <c r="Y229" s="300"/>
      <c r="Z229" s="300"/>
      <c r="AA229" s="256"/>
      <c r="AB229" s="1266"/>
      <c r="AC229" s="90"/>
      <c r="AD229" s="90"/>
      <c r="AE229" s="301"/>
      <c r="AF229" s="159"/>
      <c r="AG229" s="90"/>
      <c r="AH229" s="90"/>
      <c r="AI229" s="90"/>
      <c r="AJ229" s="159"/>
      <c r="AK229" s="90"/>
      <c r="AL229" s="90"/>
      <c r="AM229" s="1573"/>
      <c r="AN229" s="1607"/>
      <c r="AO229" s="1603"/>
      <c r="AP229" s="1603"/>
      <c r="AQ229" s="1806"/>
      <c r="AR229" s="159"/>
      <c r="AS229" s="1506"/>
      <c r="AT229" s="1506"/>
      <c r="AU229" s="91"/>
      <c r="AV229" s="159"/>
      <c r="AW229" s="1506"/>
      <c r="AX229" s="1506"/>
      <c r="AY229" s="91"/>
      <c r="AZ229" s="20"/>
      <c r="BA229" s="652"/>
      <c r="BB229" s="317"/>
      <c r="BC229" s="256"/>
      <c r="BD229" s="256"/>
      <c r="BE229" s="256"/>
      <c r="BF229" s="255"/>
      <c r="BG229" s="1515"/>
      <c r="BH229" s="1506"/>
      <c r="BI229" s="1607"/>
      <c r="BJ229" s="1603"/>
      <c r="BK229" s="1603"/>
      <c r="BL229" s="1806"/>
      <c r="BM229" s="1806"/>
      <c r="BN229" s="1806"/>
      <c r="BO229" s="299"/>
    </row>
    <row r="230" spans="1:67" s="363" customFormat="1" ht="14.25" hidden="1" customHeight="1" outlineLevel="1" collapsed="1">
      <c r="B230" s="436" t="s">
        <v>353</v>
      </c>
      <c r="C230" s="351"/>
      <c r="D230" s="365"/>
      <c r="E230" s="348"/>
      <c r="F230" s="340"/>
      <c r="G230" s="351"/>
      <c r="H230" s="367"/>
      <c r="I230" s="340"/>
      <c r="J230" s="344"/>
      <c r="K230" s="345"/>
      <c r="L230" s="360">
        <v>-132</v>
      </c>
      <c r="M230" s="344">
        <v>-41</v>
      </c>
      <c r="N230" s="344">
        <v>7</v>
      </c>
      <c r="O230" s="345">
        <v>-21</v>
      </c>
      <c r="P230" s="346">
        <v>51</v>
      </c>
      <c r="Q230" s="346">
        <v>97</v>
      </c>
      <c r="R230" s="346">
        <v>120</v>
      </c>
      <c r="S230" s="347">
        <v>119</v>
      </c>
      <c r="T230" s="346">
        <v>121</v>
      </c>
      <c r="U230" s="346">
        <v>112</v>
      </c>
      <c r="V230" s="346">
        <v>86</v>
      </c>
      <c r="W230" s="347">
        <v>20</v>
      </c>
      <c r="X230" s="346">
        <v>71</v>
      </c>
      <c r="Y230" s="346">
        <v>159</v>
      </c>
      <c r="Z230" s="346">
        <v>178</v>
      </c>
      <c r="AA230" s="346">
        <v>119</v>
      </c>
      <c r="AB230" s="1267">
        <v>123</v>
      </c>
      <c r="AC230" s="346">
        <v>178</v>
      </c>
      <c r="AD230" s="346">
        <v>184</v>
      </c>
      <c r="AE230" s="347">
        <v>227</v>
      </c>
      <c r="AF230" s="1267">
        <v>200</v>
      </c>
      <c r="AG230" s="346">
        <v>232</v>
      </c>
      <c r="AH230" s="346">
        <v>274</v>
      </c>
      <c r="AI230" s="346">
        <v>277</v>
      </c>
      <c r="AJ230" s="1267">
        <v>266</v>
      </c>
      <c r="AK230" s="346">
        <v>293</v>
      </c>
      <c r="AL230" s="346">
        <v>274</v>
      </c>
      <c r="AM230" s="348">
        <v>274</v>
      </c>
      <c r="AN230" s="1267">
        <v>266</v>
      </c>
      <c r="AO230" s="346">
        <v>293</v>
      </c>
      <c r="AP230" s="346">
        <v>274</v>
      </c>
      <c r="AQ230" s="1821">
        <v>274</v>
      </c>
      <c r="AR230" s="923"/>
      <c r="AS230" s="348"/>
      <c r="AT230" s="348"/>
      <c r="AU230" s="349"/>
      <c r="AV230" s="923"/>
      <c r="AW230" s="348"/>
      <c r="AX230" s="348"/>
      <c r="AY230" s="349"/>
      <c r="AZ230" s="1901"/>
      <c r="BA230" s="361"/>
      <c r="BB230" s="340"/>
      <c r="BC230" s="340">
        <f>SUM(L230:O230)</f>
        <v>-187</v>
      </c>
      <c r="BD230" s="340">
        <f>SUM(P230:S230)</f>
        <v>387</v>
      </c>
      <c r="BE230" s="340">
        <f>SUM(T230:W230)</f>
        <v>339</v>
      </c>
      <c r="BF230" s="361">
        <f>SUM(X230:AA230)</f>
        <v>527</v>
      </c>
      <c r="BG230" s="361"/>
      <c r="BH230" s="348"/>
      <c r="BI230" s="923"/>
      <c r="BJ230" s="348"/>
      <c r="BK230" s="348"/>
      <c r="BL230" s="348"/>
      <c r="BM230" s="348"/>
      <c r="BN230" s="348"/>
      <c r="BO230" s="364"/>
    </row>
    <row r="231" spans="1:67" ht="14.25" hidden="1" customHeight="1" outlineLevel="1">
      <c r="A231" s="1"/>
      <c r="B231" s="435" t="s">
        <v>512</v>
      </c>
      <c r="C231" s="34"/>
      <c r="D231" s="269"/>
      <c r="E231" s="269"/>
      <c r="F231" s="300"/>
      <c r="G231" s="301"/>
      <c r="H231" s="269"/>
      <c r="I231" s="300"/>
      <c r="J231" s="300"/>
      <c r="K231" s="301"/>
      <c r="L231" s="300"/>
      <c r="M231" s="300"/>
      <c r="N231" s="300"/>
      <c r="O231" s="301"/>
      <c r="P231" s="300">
        <f t="shared" ref="P231:AE231" si="492">P230/P146</f>
        <v>8.0824088748019024E-2</v>
      </c>
      <c r="Q231" s="300">
        <f t="shared" si="492"/>
        <v>0.14877300613496933</v>
      </c>
      <c r="R231" s="300">
        <f t="shared" si="492"/>
        <v>0.18489984591679506</v>
      </c>
      <c r="S231" s="300">
        <f t="shared" si="492"/>
        <v>0.18251533742331288</v>
      </c>
      <c r="T231" s="300">
        <f t="shared" si="492"/>
        <v>0.18086696562032886</v>
      </c>
      <c r="U231" s="300">
        <f t="shared" si="492"/>
        <v>0.15752461322081576</v>
      </c>
      <c r="V231" s="300">
        <f t="shared" si="492"/>
        <v>0.1293233082706767</v>
      </c>
      <c r="W231" s="300">
        <f t="shared" si="492"/>
        <v>3.2894736842105261E-2</v>
      </c>
      <c r="X231" s="300">
        <f t="shared" si="492"/>
        <v>0.10990712074303406</v>
      </c>
      <c r="Y231" s="300">
        <f t="shared" si="492"/>
        <v>0.2145748987854251</v>
      </c>
      <c r="Z231" s="300">
        <f t="shared" si="492"/>
        <v>0.22139303482587064</v>
      </c>
      <c r="AA231" s="300">
        <f t="shared" si="492"/>
        <v>0.15159235668789808</v>
      </c>
      <c r="AB231" s="255">
        <f t="shared" si="492"/>
        <v>0.15850515463917525</v>
      </c>
      <c r="AC231" s="256">
        <f t="shared" si="492"/>
        <v>0.20273348519362186</v>
      </c>
      <c r="AD231" s="256">
        <f t="shared" si="492"/>
        <v>0.19956616052060738</v>
      </c>
      <c r="AE231" s="301">
        <f t="shared" si="492"/>
        <v>0.23719958202716823</v>
      </c>
      <c r="AF231" s="255">
        <f t="shared" ref="AF231:AK231" si="493">AF230/AF146</f>
        <v>0.21929824561403508</v>
      </c>
      <c r="AG231" s="256">
        <f t="shared" si="493"/>
        <v>0.23481781376518218</v>
      </c>
      <c r="AH231" s="256">
        <f t="shared" si="493"/>
        <v>0.24056189640035119</v>
      </c>
      <c r="AI231" s="256">
        <f t="shared" si="493"/>
        <v>0.2369546621043627</v>
      </c>
      <c r="AJ231" s="255">
        <f t="shared" si="493"/>
        <v>0.24094202898550723</v>
      </c>
      <c r="AK231" s="256">
        <f t="shared" si="493"/>
        <v>0.25567190226876091</v>
      </c>
      <c r="AL231" s="256">
        <f t="shared" ref="AL231:AO231" si="494">AL230/AL146</f>
        <v>0.23539518900343642</v>
      </c>
      <c r="AM231" s="1574">
        <f t="shared" si="494"/>
        <v>0.20980091883614088</v>
      </c>
      <c r="AN231" s="1614">
        <f t="shared" si="494"/>
        <v>0.24094202898550723</v>
      </c>
      <c r="AO231" s="1715">
        <f t="shared" si="494"/>
        <v>0.25567190226876091</v>
      </c>
      <c r="AP231" s="1715">
        <f t="shared" ref="AP231:AQ231" si="495">AP230/AP146</f>
        <v>0.13053835159599808</v>
      </c>
      <c r="AQ231" s="1808">
        <f t="shared" si="495"/>
        <v>0.13288069835111543</v>
      </c>
      <c r="AR231" s="94"/>
      <c r="AS231" s="1518"/>
      <c r="AT231" s="1518"/>
      <c r="AU231" s="1519"/>
      <c r="AV231" s="94"/>
      <c r="AW231" s="1518"/>
      <c r="AX231" s="1518"/>
      <c r="AY231" s="1519"/>
      <c r="AZ231" s="20"/>
      <c r="BA231" s="652"/>
      <c r="BB231" s="317"/>
      <c r="BC231" s="256">
        <f>BC230/BC16</f>
        <v>-0.18756268806419257</v>
      </c>
      <c r="BD231" s="256">
        <f>BD230/BD16</f>
        <v>0.14976780185758515</v>
      </c>
      <c r="BE231" s="256">
        <f>BE230/BE16</f>
        <v>0.12777987184319639</v>
      </c>
      <c r="BF231" s="255">
        <f>BF230/BF16</f>
        <v>0.17708333333333334</v>
      </c>
      <c r="BG231" s="1515"/>
      <c r="BH231" s="1506"/>
      <c r="BI231" s="1607"/>
      <c r="BJ231" s="1603"/>
      <c r="BK231" s="1603"/>
      <c r="BL231" s="1806"/>
      <c r="BM231" s="1806"/>
      <c r="BN231" s="1806"/>
      <c r="BO231" s="299"/>
    </row>
    <row r="232" spans="1:67" ht="14.25" hidden="1" customHeight="1" outlineLevel="1">
      <c r="A232" s="1"/>
      <c r="B232" s="431"/>
      <c r="C232" s="254"/>
      <c r="D232" s="320"/>
      <c r="E232" s="320"/>
      <c r="F232" s="320"/>
      <c r="G232" s="93"/>
      <c r="H232" s="269"/>
      <c r="I232" s="269"/>
      <c r="J232" s="300"/>
      <c r="K232" s="301"/>
      <c r="L232" s="255"/>
      <c r="M232" s="300"/>
      <c r="N232" s="300"/>
      <c r="O232" s="301"/>
      <c r="P232" s="300"/>
      <c r="Q232" s="300"/>
      <c r="R232" s="300"/>
      <c r="S232" s="301"/>
      <c r="T232" s="300"/>
      <c r="U232" s="300"/>
      <c r="V232" s="269"/>
      <c r="W232" s="301"/>
      <c r="X232" s="300"/>
      <c r="Y232" s="300"/>
      <c r="Z232" s="300"/>
      <c r="AA232" s="256"/>
      <c r="AB232" s="1266"/>
      <c r="AC232" s="256"/>
      <c r="AD232" s="256"/>
      <c r="AE232" s="301"/>
      <c r="AF232" s="1266"/>
      <c r="AG232" s="256"/>
      <c r="AH232" s="256"/>
      <c r="AI232" s="256"/>
      <c r="AJ232" s="1266"/>
      <c r="AK232" s="256"/>
      <c r="AL232" s="256"/>
      <c r="AM232" s="1573"/>
      <c r="AN232" s="1266"/>
      <c r="AO232" s="1715"/>
      <c r="AP232" s="1715"/>
      <c r="AQ232" s="1806"/>
      <c r="AR232" s="159"/>
      <c r="AS232" s="1506"/>
      <c r="AT232" s="1506"/>
      <c r="AU232" s="91"/>
      <c r="AV232" s="159"/>
      <c r="AW232" s="1506"/>
      <c r="AX232" s="1506"/>
      <c r="AY232" s="91"/>
      <c r="AZ232" s="20"/>
      <c r="BA232" s="652"/>
      <c r="BB232" s="317"/>
      <c r="BC232" s="256"/>
      <c r="BD232" s="256"/>
      <c r="BE232" s="256"/>
      <c r="BF232" s="255"/>
      <c r="BG232" s="1515"/>
      <c r="BH232" s="1506"/>
      <c r="BI232" s="1607"/>
      <c r="BJ232" s="1603"/>
      <c r="BK232" s="1603"/>
      <c r="BL232" s="1806"/>
      <c r="BM232" s="1806"/>
      <c r="BN232" s="1806"/>
      <c r="BO232" s="299"/>
    </row>
    <row r="233" spans="1:67" s="932" customFormat="1" ht="14.25" hidden="1" customHeight="1" outlineLevel="1">
      <c r="B233" s="437" t="s">
        <v>235</v>
      </c>
      <c r="C233" s="933"/>
      <c r="D233" s="934"/>
      <c r="E233" s="934"/>
      <c r="F233" s="934"/>
      <c r="G233" s="935"/>
      <c r="H233" s="936"/>
      <c r="I233" s="936"/>
      <c r="J233" s="937"/>
      <c r="K233" s="938"/>
      <c r="L233" s="939">
        <f t="shared" ref="L233:AA233" si="496">SUM(L234:L238)</f>
        <v>-64</v>
      </c>
      <c r="M233" s="341">
        <f t="shared" si="496"/>
        <v>-59</v>
      </c>
      <c r="N233" s="341">
        <f t="shared" si="496"/>
        <v>-67</v>
      </c>
      <c r="O233" s="398">
        <f t="shared" si="496"/>
        <v>-112</v>
      </c>
      <c r="P233" s="877">
        <f t="shared" si="496"/>
        <v>-63</v>
      </c>
      <c r="Q233" s="877">
        <f t="shared" si="496"/>
        <v>-53</v>
      </c>
      <c r="R233" s="877">
        <f t="shared" si="496"/>
        <v>-45</v>
      </c>
      <c r="S233" s="878">
        <f t="shared" si="496"/>
        <v>-49</v>
      </c>
      <c r="T233" s="877">
        <f t="shared" si="496"/>
        <v>-54</v>
      </c>
      <c r="U233" s="877">
        <f t="shared" si="496"/>
        <v>-54</v>
      </c>
      <c r="V233" s="877">
        <f>SUM(V234:V238)</f>
        <v>-63</v>
      </c>
      <c r="W233" s="878">
        <f>SUM(W234:W238)</f>
        <v>-91</v>
      </c>
      <c r="X233" s="877">
        <f>SUM(X234:X238)</f>
        <v>-52</v>
      </c>
      <c r="Y233" s="877">
        <f>SUM(Y234:Y238)</f>
        <v>-17</v>
      </c>
      <c r="Z233" s="877">
        <f t="shared" si="496"/>
        <v>-30</v>
      </c>
      <c r="AA233" s="877">
        <f t="shared" si="496"/>
        <v>-77</v>
      </c>
      <c r="AB233" s="1268">
        <f t="shared" ref="AB233:AG233" si="497">SUM(AB234:AB238)</f>
        <v>-106</v>
      </c>
      <c r="AC233" s="877">
        <f t="shared" si="497"/>
        <v>-60</v>
      </c>
      <c r="AD233" s="877">
        <f t="shared" si="497"/>
        <v>-67</v>
      </c>
      <c r="AE233" s="878">
        <f t="shared" si="497"/>
        <v>-63</v>
      </c>
      <c r="AF233" s="1268">
        <f t="shared" si="497"/>
        <v>-49</v>
      </c>
      <c r="AG233" s="877">
        <f t="shared" si="497"/>
        <v>-43</v>
      </c>
      <c r="AH233" s="877">
        <f t="shared" ref="AH233:AM233" si="498">SUM(AH234:AH238)</f>
        <v>-49</v>
      </c>
      <c r="AI233" s="877">
        <f t="shared" si="498"/>
        <v>-44</v>
      </c>
      <c r="AJ233" s="1268">
        <f t="shared" si="498"/>
        <v>-53</v>
      </c>
      <c r="AK233" s="877">
        <f t="shared" si="498"/>
        <v>-54</v>
      </c>
      <c r="AL233" s="877">
        <f t="shared" si="498"/>
        <v>-49</v>
      </c>
      <c r="AM233" s="877">
        <f t="shared" si="498"/>
        <v>-49</v>
      </c>
      <c r="AN233" s="1268">
        <f t="shared" ref="AN233:AQ233" si="499">SUM(AN234:AN238)</f>
        <v>-53</v>
      </c>
      <c r="AO233" s="877">
        <f t="shared" si="499"/>
        <v>-54</v>
      </c>
      <c r="AP233" s="877">
        <f t="shared" si="499"/>
        <v>-49</v>
      </c>
      <c r="AQ233" s="877">
        <f t="shared" si="499"/>
        <v>-49</v>
      </c>
      <c r="AR233" s="1157"/>
      <c r="AS233" s="877"/>
      <c r="AT233" s="877"/>
      <c r="AU233" s="878"/>
      <c r="AV233" s="1157"/>
      <c r="AW233" s="877"/>
      <c r="AX233" s="877"/>
      <c r="AY233" s="878"/>
      <c r="AZ233" s="1914"/>
      <c r="BA233" s="1129"/>
      <c r="BB233" s="359"/>
      <c r="BC233" s="341">
        <f>SUM(L233:O233)</f>
        <v>-302</v>
      </c>
      <c r="BD233" s="341">
        <f>SUM(P233:S233)</f>
        <v>-210</v>
      </c>
      <c r="BE233" s="341">
        <f>SUM(T233:W233)</f>
        <v>-262</v>
      </c>
      <c r="BF233" s="939">
        <f>SUM(X233:AA233)</f>
        <v>-176</v>
      </c>
      <c r="BG233" s="939"/>
      <c r="BH233" s="877"/>
      <c r="BI233" s="1157"/>
      <c r="BJ233" s="877"/>
      <c r="BK233" s="877"/>
      <c r="BL233" s="877"/>
      <c r="BM233" s="877"/>
      <c r="BN233" s="877"/>
      <c r="BO233" s="1929"/>
    </row>
    <row r="234" spans="1:67" s="353" customFormat="1" ht="14.25" hidden="1" customHeight="1" outlineLevel="2">
      <c r="A234" s="6"/>
      <c r="B234" s="437" t="s">
        <v>348</v>
      </c>
      <c r="C234" s="383"/>
      <c r="D234" s="354"/>
      <c r="E234" s="354"/>
      <c r="F234" s="354"/>
      <c r="G234" s="355"/>
      <c r="H234" s="356"/>
      <c r="I234" s="356"/>
      <c r="J234" s="357"/>
      <c r="K234" s="358"/>
      <c r="L234" s="362">
        <v>-54</v>
      </c>
      <c r="M234" s="342">
        <v>-53</v>
      </c>
      <c r="N234" s="342">
        <v>-57</v>
      </c>
      <c r="O234" s="343">
        <v>-54</v>
      </c>
      <c r="P234" s="72">
        <v>-63</v>
      </c>
      <c r="Q234" s="72">
        <v>-58</v>
      </c>
      <c r="R234" s="72">
        <v>-48</v>
      </c>
      <c r="S234" s="73">
        <v>-53</v>
      </c>
      <c r="T234" s="72">
        <v>-52</v>
      </c>
      <c r="U234" s="72">
        <v>-50</v>
      </c>
      <c r="V234" s="72">
        <v>-63</v>
      </c>
      <c r="W234" s="73">
        <v>-53</v>
      </c>
      <c r="X234" s="72">
        <v>-50</v>
      </c>
      <c r="Y234" s="72">
        <v>-54</v>
      </c>
      <c r="Z234" s="747">
        <v>-47</v>
      </c>
      <c r="AA234" s="72">
        <v>-47</v>
      </c>
      <c r="AB234" s="1176">
        <v>-46</v>
      </c>
      <c r="AC234" s="747">
        <v>-45</v>
      </c>
      <c r="AD234" s="747">
        <v>-46</v>
      </c>
      <c r="AE234" s="73">
        <v>-26</v>
      </c>
      <c r="AF234" s="1176">
        <v>-24</v>
      </c>
      <c r="AG234" s="747">
        <v>-22</v>
      </c>
      <c r="AH234" s="747">
        <v>-22</v>
      </c>
      <c r="AI234" s="747">
        <v>-16</v>
      </c>
      <c r="AJ234" s="1176">
        <v>-14</v>
      </c>
      <c r="AK234" s="747">
        <v>-18</v>
      </c>
      <c r="AL234" s="747">
        <v>-22</v>
      </c>
      <c r="AM234" s="747">
        <v>-22</v>
      </c>
      <c r="AN234" s="1176">
        <v>-14</v>
      </c>
      <c r="AO234" s="747">
        <v>-18</v>
      </c>
      <c r="AP234" s="747">
        <v>-22</v>
      </c>
      <c r="AQ234" s="1823">
        <v>-22</v>
      </c>
      <c r="AR234" s="1158"/>
      <c r="AS234" s="747"/>
      <c r="AT234" s="747"/>
      <c r="AU234" s="909"/>
      <c r="AV234" s="1158"/>
      <c r="AW234" s="747"/>
      <c r="AX234" s="747"/>
      <c r="AY234" s="909"/>
      <c r="AZ234" s="115"/>
      <c r="BA234" s="1129"/>
      <c r="BB234" s="359"/>
      <c r="BC234" s="341">
        <f>SUM(L234:O234)</f>
        <v>-218</v>
      </c>
      <c r="BD234" s="341">
        <f>SUM(P234:S234)</f>
        <v>-222</v>
      </c>
      <c r="BE234" s="341">
        <f>SUM(T234:W234)</f>
        <v>-218</v>
      </c>
      <c r="BF234" s="939">
        <f>SUM(X234:AA234)</f>
        <v>-198</v>
      </c>
      <c r="BG234" s="939"/>
      <c r="BH234" s="877"/>
      <c r="BI234" s="1157"/>
      <c r="BJ234" s="877"/>
      <c r="BK234" s="877"/>
      <c r="BL234" s="877"/>
      <c r="BM234" s="877"/>
      <c r="BN234" s="877"/>
      <c r="BO234" s="352"/>
    </row>
    <row r="235" spans="1:67" s="353" customFormat="1" ht="14.25" hidden="1" customHeight="1" outlineLevel="2">
      <c r="A235" s="6"/>
      <c r="B235" s="438" t="s">
        <v>349</v>
      </c>
      <c r="C235" s="383"/>
      <c r="D235" s="354"/>
      <c r="E235" s="354"/>
      <c r="F235" s="354"/>
      <c r="G235" s="355"/>
      <c r="H235" s="356"/>
      <c r="I235" s="356"/>
      <c r="J235" s="357"/>
      <c r="K235" s="358"/>
      <c r="L235" s="362">
        <v>-2</v>
      </c>
      <c r="M235" s="342">
        <v>-3</v>
      </c>
      <c r="N235" s="342">
        <v>-5</v>
      </c>
      <c r="O235" s="343">
        <v>-43</v>
      </c>
      <c r="P235" s="72">
        <v>1</v>
      </c>
      <c r="Q235" s="72">
        <v>5</v>
      </c>
      <c r="R235" s="72">
        <v>5</v>
      </c>
      <c r="S235" s="73">
        <v>4</v>
      </c>
      <c r="T235" s="72">
        <v>-1</v>
      </c>
      <c r="U235" s="72">
        <v>-3</v>
      </c>
      <c r="V235" s="72">
        <v>-1</v>
      </c>
      <c r="W235" s="73">
        <v>-38</v>
      </c>
      <c r="X235" s="72">
        <v>0</v>
      </c>
      <c r="Y235" s="72">
        <v>1</v>
      </c>
      <c r="Z235" s="747">
        <v>1</v>
      </c>
      <c r="AA235" s="72">
        <v>-26</v>
      </c>
      <c r="AB235" s="1176">
        <v>-1</v>
      </c>
      <c r="AC235" s="747">
        <v>3</v>
      </c>
      <c r="AD235" s="747">
        <v>-4</v>
      </c>
      <c r="AE235" s="73">
        <v>-2</v>
      </c>
      <c r="AF235" s="1176">
        <v>-2</v>
      </c>
      <c r="AG235" s="747">
        <v>1</v>
      </c>
      <c r="AH235" s="747">
        <v>0</v>
      </c>
      <c r="AI235" s="747">
        <v>-2</v>
      </c>
      <c r="AJ235" s="1176">
        <v>-11</v>
      </c>
      <c r="AK235" s="747">
        <v>-6</v>
      </c>
      <c r="AL235" s="747">
        <v>0</v>
      </c>
      <c r="AM235" s="747">
        <v>0</v>
      </c>
      <c r="AN235" s="1176">
        <v>-11</v>
      </c>
      <c r="AO235" s="747">
        <v>-6</v>
      </c>
      <c r="AP235" s="747">
        <v>0</v>
      </c>
      <c r="AQ235" s="1823">
        <v>0</v>
      </c>
      <c r="AR235" s="1158"/>
      <c r="AS235" s="747"/>
      <c r="AT235" s="747"/>
      <c r="AU235" s="909"/>
      <c r="AV235" s="1158"/>
      <c r="AW235" s="747"/>
      <c r="AX235" s="747"/>
      <c r="AY235" s="909"/>
      <c r="AZ235" s="115"/>
      <c r="BA235" s="1129"/>
      <c r="BB235" s="359"/>
      <c r="BC235" s="341">
        <f>SUM(L235:O235)</f>
        <v>-53</v>
      </c>
      <c r="BD235" s="341">
        <f>SUM(P235:S235)</f>
        <v>15</v>
      </c>
      <c r="BE235" s="341">
        <f>SUM(T235:W235)</f>
        <v>-43</v>
      </c>
      <c r="BF235" s="939">
        <f>SUM(X235:AA235)</f>
        <v>-24</v>
      </c>
      <c r="BG235" s="939"/>
      <c r="BH235" s="877"/>
      <c r="BI235" s="1157"/>
      <c r="BJ235" s="877"/>
      <c r="BK235" s="877"/>
      <c r="BL235" s="877"/>
      <c r="BM235" s="877"/>
      <c r="BN235" s="877"/>
      <c r="BO235" s="352"/>
    </row>
    <row r="236" spans="1:67" s="353" customFormat="1" ht="14.25" hidden="1" customHeight="1" outlineLevel="2">
      <c r="A236" s="6"/>
      <c r="B236" s="438" t="s">
        <v>502</v>
      </c>
      <c r="C236" s="383"/>
      <c r="D236" s="354"/>
      <c r="E236" s="354"/>
      <c r="F236" s="354"/>
      <c r="G236" s="355"/>
      <c r="H236" s="356"/>
      <c r="I236" s="356"/>
      <c r="J236" s="357"/>
      <c r="K236" s="358"/>
      <c r="L236" s="362"/>
      <c r="M236" s="342"/>
      <c r="N236" s="342"/>
      <c r="O236" s="343"/>
      <c r="P236" s="72"/>
      <c r="Q236" s="72"/>
      <c r="R236" s="72"/>
      <c r="S236" s="73"/>
      <c r="T236" s="72"/>
      <c r="U236" s="72"/>
      <c r="V236" s="72"/>
      <c r="W236" s="73"/>
      <c r="X236" s="72"/>
      <c r="Y236" s="72"/>
      <c r="Z236" s="747"/>
      <c r="AA236" s="72"/>
      <c r="AB236" s="1176">
        <v>-12</v>
      </c>
      <c r="AC236" s="747">
        <v>-16</v>
      </c>
      <c r="AD236" s="747">
        <v>-16</v>
      </c>
      <c r="AE236" s="73">
        <v>-24</v>
      </c>
      <c r="AF236" s="1176">
        <v>-22</v>
      </c>
      <c r="AG236" s="747">
        <v>-29</v>
      </c>
      <c r="AH236" s="747">
        <v>-26</v>
      </c>
      <c r="AI236" s="747">
        <v>-27</v>
      </c>
      <c r="AJ236" s="1176">
        <v>-28</v>
      </c>
      <c r="AK236" s="747">
        <v>-29</v>
      </c>
      <c r="AL236" s="747">
        <v>-26</v>
      </c>
      <c r="AM236" s="747">
        <v>-26</v>
      </c>
      <c r="AN236" s="1176">
        <v>-28</v>
      </c>
      <c r="AO236" s="747">
        <v>-29</v>
      </c>
      <c r="AP236" s="747">
        <v>-26</v>
      </c>
      <c r="AQ236" s="1823">
        <v>-26</v>
      </c>
      <c r="AR236" s="1158"/>
      <c r="AS236" s="747"/>
      <c r="AT236" s="747"/>
      <c r="AU236" s="909"/>
      <c r="AV236" s="1158"/>
      <c r="AW236" s="747"/>
      <c r="AX236" s="747"/>
      <c r="AY236" s="909"/>
      <c r="AZ236" s="115"/>
      <c r="BA236" s="1129"/>
      <c r="BB236" s="359"/>
      <c r="BC236" s="341"/>
      <c r="BD236" s="341"/>
      <c r="BE236" s="341"/>
      <c r="BF236" s="939"/>
      <c r="BG236" s="939"/>
      <c r="BH236" s="877"/>
      <c r="BI236" s="1157"/>
      <c r="BJ236" s="877"/>
      <c r="BK236" s="877"/>
      <c r="BL236" s="877"/>
      <c r="BM236" s="877"/>
      <c r="BN236" s="877"/>
      <c r="BO236" s="352"/>
    </row>
    <row r="237" spans="1:67" s="353" customFormat="1" ht="14.25" hidden="1" customHeight="1" outlineLevel="2">
      <c r="A237" s="6"/>
      <c r="B237" s="438" t="s">
        <v>350</v>
      </c>
      <c r="C237" s="383"/>
      <c r="D237" s="354"/>
      <c r="E237" s="354"/>
      <c r="F237" s="354"/>
      <c r="G237" s="355"/>
      <c r="H237" s="356"/>
      <c r="I237" s="356"/>
      <c r="J237" s="357"/>
      <c r="K237" s="358"/>
      <c r="L237" s="362">
        <v>-8</v>
      </c>
      <c r="M237" s="342">
        <v>-3</v>
      </c>
      <c r="N237" s="342">
        <v>-5</v>
      </c>
      <c r="O237" s="343">
        <v>-15</v>
      </c>
      <c r="P237" s="72">
        <v>-1</v>
      </c>
      <c r="Q237" s="72">
        <v>0</v>
      </c>
      <c r="R237" s="72">
        <v>-2</v>
      </c>
      <c r="S237" s="73">
        <v>0</v>
      </c>
      <c r="T237" s="72">
        <v>-1</v>
      </c>
      <c r="U237" s="72">
        <v>-1</v>
      </c>
      <c r="V237" s="72">
        <v>1</v>
      </c>
      <c r="W237" s="73">
        <v>0</v>
      </c>
      <c r="X237" s="72">
        <v>-2</v>
      </c>
      <c r="Y237" s="72">
        <v>-10</v>
      </c>
      <c r="Z237" s="747">
        <v>16</v>
      </c>
      <c r="AA237" s="72">
        <v>-4</v>
      </c>
      <c r="AB237" s="1176">
        <f>-46-1</f>
        <v>-47</v>
      </c>
      <c r="AC237" s="747">
        <v>-2</v>
      </c>
      <c r="AD237" s="747">
        <v>-1</v>
      </c>
      <c r="AE237" s="73">
        <v>-11</v>
      </c>
      <c r="AF237" s="1176">
        <v>-1</v>
      </c>
      <c r="AG237" s="747">
        <v>7</v>
      </c>
      <c r="AH237" s="747">
        <v>-1</v>
      </c>
      <c r="AI237" s="747">
        <v>1</v>
      </c>
      <c r="AJ237" s="1176"/>
      <c r="AK237" s="747">
        <v>-1</v>
      </c>
      <c r="AL237" s="747">
        <v>-1</v>
      </c>
      <c r="AM237" s="747">
        <v>-1</v>
      </c>
      <c r="AN237" s="1176"/>
      <c r="AO237" s="747">
        <v>-1</v>
      </c>
      <c r="AP237" s="747">
        <v>-1</v>
      </c>
      <c r="AQ237" s="1823">
        <v>-1</v>
      </c>
      <c r="AR237" s="1158"/>
      <c r="AS237" s="747"/>
      <c r="AT237" s="747"/>
      <c r="AU237" s="909"/>
      <c r="AV237" s="1158"/>
      <c r="AW237" s="747"/>
      <c r="AX237" s="747"/>
      <c r="AY237" s="909"/>
      <c r="AZ237" s="115"/>
      <c r="BA237" s="1129"/>
      <c r="BB237" s="359"/>
      <c r="BC237" s="341">
        <f>SUM(L237:O237)</f>
        <v>-31</v>
      </c>
      <c r="BD237" s="341">
        <f>SUM(P237:S237)</f>
        <v>-3</v>
      </c>
      <c r="BE237" s="341">
        <f>SUM(T237:W237)</f>
        <v>-1</v>
      </c>
      <c r="BF237" s="939">
        <f>SUM(X237:AA237)</f>
        <v>0</v>
      </c>
      <c r="BG237" s="939"/>
      <c r="BH237" s="877"/>
      <c r="BI237" s="1157"/>
      <c r="BJ237" s="877"/>
      <c r="BK237" s="877"/>
      <c r="BL237" s="877"/>
      <c r="BM237" s="877"/>
      <c r="BN237" s="877"/>
      <c r="BO237" s="352"/>
    </row>
    <row r="238" spans="1:67" s="353" customFormat="1" ht="14.25" hidden="1" customHeight="1" outlineLevel="2">
      <c r="A238" s="6"/>
      <c r="B238" s="438" t="s">
        <v>351</v>
      </c>
      <c r="C238" s="383"/>
      <c r="D238" s="354"/>
      <c r="E238" s="354"/>
      <c r="F238" s="354"/>
      <c r="G238" s="355"/>
      <c r="H238" s="356"/>
      <c r="I238" s="356"/>
      <c r="J238" s="357"/>
      <c r="K238" s="358"/>
      <c r="L238" s="362">
        <v>0</v>
      </c>
      <c r="M238" s="342">
        <v>0</v>
      </c>
      <c r="N238" s="342">
        <v>0</v>
      </c>
      <c r="O238" s="343">
        <v>0</v>
      </c>
      <c r="P238" s="72">
        <v>0</v>
      </c>
      <c r="Q238" s="72">
        <v>0</v>
      </c>
      <c r="R238" s="72">
        <v>0</v>
      </c>
      <c r="S238" s="73">
        <v>0</v>
      </c>
      <c r="T238" s="72">
        <v>0</v>
      </c>
      <c r="U238" s="72">
        <v>0</v>
      </c>
      <c r="V238" s="72">
        <v>0</v>
      </c>
      <c r="W238" s="73">
        <v>0</v>
      </c>
      <c r="X238" s="72">
        <v>0</v>
      </c>
      <c r="Y238" s="72">
        <v>46</v>
      </c>
      <c r="Z238" s="747">
        <v>0</v>
      </c>
      <c r="AA238" s="72">
        <v>0</v>
      </c>
      <c r="AB238" s="1176">
        <v>0</v>
      </c>
      <c r="AC238" s="747">
        <v>0</v>
      </c>
      <c r="AD238" s="747">
        <v>0</v>
      </c>
      <c r="AE238" s="73">
        <v>0</v>
      </c>
      <c r="AF238" s="1158"/>
      <c r="AG238" s="747">
        <v>0</v>
      </c>
      <c r="AH238" s="747">
        <v>0</v>
      </c>
      <c r="AI238" s="747">
        <v>0</v>
      </c>
      <c r="AJ238" s="1158"/>
      <c r="AK238" s="747">
        <v>0</v>
      </c>
      <c r="AL238" s="747">
        <v>0</v>
      </c>
      <c r="AM238" s="747">
        <v>0</v>
      </c>
      <c r="AN238" s="1158"/>
      <c r="AO238" s="747">
        <v>0</v>
      </c>
      <c r="AP238" s="747">
        <v>0</v>
      </c>
      <c r="AQ238" s="1823">
        <v>0</v>
      </c>
      <c r="AR238" s="1158"/>
      <c r="AS238" s="747"/>
      <c r="AT238" s="747"/>
      <c r="AU238" s="909"/>
      <c r="AV238" s="1158"/>
      <c r="AW238" s="747"/>
      <c r="AX238" s="747"/>
      <c r="AY238" s="909"/>
      <c r="AZ238" s="115"/>
      <c r="BA238" s="1129"/>
      <c r="BB238" s="359"/>
      <c r="BC238" s="341">
        <f>SUM(L238:O238)</f>
        <v>0</v>
      </c>
      <c r="BD238" s="341">
        <f>SUM(P238:S238)</f>
        <v>0</v>
      </c>
      <c r="BE238" s="341">
        <f>SUM(T238:W238)</f>
        <v>0</v>
      </c>
      <c r="BF238" s="939">
        <f>SUM(X238:AA238)</f>
        <v>46</v>
      </c>
      <c r="BG238" s="939"/>
      <c r="BH238" s="877"/>
      <c r="BI238" s="1157"/>
      <c r="BJ238" s="877"/>
      <c r="BK238" s="877"/>
      <c r="BL238" s="877"/>
      <c r="BM238" s="877"/>
      <c r="BN238" s="877"/>
      <c r="BO238" s="352"/>
    </row>
    <row r="239" spans="1:67" ht="14.25" hidden="1" customHeight="1" outlineLevel="2">
      <c r="A239" s="1"/>
      <c r="B239" s="431"/>
      <c r="C239" s="254"/>
      <c r="D239" s="320"/>
      <c r="E239" s="320"/>
      <c r="F239" s="320"/>
      <c r="G239" s="93"/>
      <c r="H239" s="269"/>
      <c r="I239" s="269"/>
      <c r="J239" s="300"/>
      <c r="K239" s="301"/>
      <c r="L239" s="361"/>
      <c r="M239" s="340"/>
      <c r="N239" s="340"/>
      <c r="O239" s="351"/>
      <c r="P239" s="361"/>
      <c r="Q239" s="340"/>
      <c r="R239" s="340"/>
      <c r="S239" s="351"/>
      <c r="T239" s="361"/>
      <c r="U239" s="340"/>
      <c r="V239" s="348"/>
      <c r="W239" s="351"/>
      <c r="X239" s="361"/>
      <c r="Y239" s="340"/>
      <c r="Z239" s="300"/>
      <c r="AA239" s="340"/>
      <c r="AB239" s="949"/>
      <c r="AC239" s="90"/>
      <c r="AD239" s="90"/>
      <c r="AE239" s="351"/>
      <c r="AF239" s="159"/>
      <c r="AG239" s="90"/>
      <c r="AH239" s="90"/>
      <c r="AI239" s="90"/>
      <c r="AJ239" s="159"/>
      <c r="AK239" s="90"/>
      <c r="AL239" s="90"/>
      <c r="AM239" s="1573"/>
      <c r="AN239" s="1607"/>
      <c r="AO239" s="1603"/>
      <c r="AP239" s="1603"/>
      <c r="AQ239" s="1806"/>
      <c r="AR239" s="159"/>
      <c r="AS239" s="1506"/>
      <c r="AT239" s="1506"/>
      <c r="AU239" s="91"/>
      <c r="AV239" s="159"/>
      <c r="AW239" s="1506"/>
      <c r="AX239" s="1506"/>
      <c r="AY239" s="91"/>
      <c r="AZ239" s="20"/>
      <c r="BA239" s="652"/>
      <c r="BB239" s="317"/>
      <c r="BC239" s="256"/>
      <c r="BD239" s="256"/>
      <c r="BE239" s="256"/>
      <c r="BF239" s="255"/>
      <c r="BG239" s="1515"/>
      <c r="BH239" s="1506"/>
      <c r="BI239" s="1607"/>
      <c r="BJ239" s="1603"/>
      <c r="BK239" s="1603"/>
      <c r="BL239" s="1806"/>
      <c r="BM239" s="1806"/>
      <c r="BN239" s="1806"/>
      <c r="BO239" s="299"/>
    </row>
    <row r="240" spans="1:67" s="363" customFormat="1" ht="14.25" hidden="1" customHeight="1" outlineLevel="1">
      <c r="B240" s="436" t="s">
        <v>352</v>
      </c>
      <c r="C240" s="351"/>
      <c r="D240" s="365"/>
      <c r="E240" s="348"/>
      <c r="F240" s="340"/>
      <c r="G240" s="351"/>
      <c r="H240" s="367"/>
      <c r="I240" s="340"/>
      <c r="J240" s="344"/>
      <c r="K240" s="345"/>
      <c r="L240" s="361">
        <f t="shared" ref="L240:Z240" si="500">L230-L233</f>
        <v>-68</v>
      </c>
      <c r="M240" s="340">
        <f t="shared" si="500"/>
        <v>18</v>
      </c>
      <c r="N240" s="340">
        <f t="shared" si="500"/>
        <v>74</v>
      </c>
      <c r="O240" s="351">
        <f t="shared" si="500"/>
        <v>91</v>
      </c>
      <c r="P240" s="348">
        <f t="shared" si="500"/>
        <v>114</v>
      </c>
      <c r="Q240" s="348">
        <f t="shared" si="500"/>
        <v>150</v>
      </c>
      <c r="R240" s="348">
        <f t="shared" si="500"/>
        <v>165</v>
      </c>
      <c r="S240" s="349">
        <f t="shared" si="500"/>
        <v>168</v>
      </c>
      <c r="T240" s="348">
        <f t="shared" si="500"/>
        <v>175</v>
      </c>
      <c r="U240" s="348">
        <f t="shared" si="500"/>
        <v>166</v>
      </c>
      <c r="V240" s="348">
        <f t="shared" si="500"/>
        <v>149</v>
      </c>
      <c r="W240" s="349">
        <f t="shared" si="500"/>
        <v>111</v>
      </c>
      <c r="X240" s="348">
        <f t="shared" si="500"/>
        <v>123</v>
      </c>
      <c r="Y240" s="348">
        <f t="shared" si="500"/>
        <v>176</v>
      </c>
      <c r="Z240" s="348">
        <f t="shared" si="500"/>
        <v>208</v>
      </c>
      <c r="AA240" s="348">
        <f t="shared" ref="AA240:AF240" si="501">AA230-AA233</f>
        <v>196</v>
      </c>
      <c r="AB240" s="949">
        <f t="shared" si="501"/>
        <v>229</v>
      </c>
      <c r="AC240" s="348">
        <f t="shared" si="501"/>
        <v>238</v>
      </c>
      <c r="AD240" s="348">
        <f t="shared" si="501"/>
        <v>251</v>
      </c>
      <c r="AE240" s="349">
        <f t="shared" si="501"/>
        <v>290</v>
      </c>
      <c r="AF240" s="949">
        <f t="shared" si="501"/>
        <v>249</v>
      </c>
      <c r="AG240" s="348">
        <f t="shared" ref="AG240:AL240" si="502">AG230-AG233</f>
        <v>275</v>
      </c>
      <c r="AH240" s="348">
        <f t="shared" si="502"/>
        <v>323</v>
      </c>
      <c r="AI240" s="348">
        <f t="shared" si="502"/>
        <v>321</v>
      </c>
      <c r="AJ240" s="949">
        <f t="shared" si="502"/>
        <v>319</v>
      </c>
      <c r="AK240" s="348">
        <f t="shared" si="502"/>
        <v>347</v>
      </c>
      <c r="AL240" s="348">
        <f t="shared" si="502"/>
        <v>323</v>
      </c>
      <c r="AM240" s="348">
        <f t="shared" ref="AM240:AP240" si="503">AM230-AM233</f>
        <v>323</v>
      </c>
      <c r="AN240" s="949">
        <f t="shared" si="503"/>
        <v>319</v>
      </c>
      <c r="AO240" s="348">
        <f t="shared" si="503"/>
        <v>347</v>
      </c>
      <c r="AP240" s="348">
        <f t="shared" si="503"/>
        <v>323</v>
      </c>
      <c r="AQ240" s="348">
        <f t="shared" ref="AQ240" si="504">AQ230-AQ233</f>
        <v>323</v>
      </c>
      <c r="AR240" s="923"/>
      <c r="AS240" s="348"/>
      <c r="AT240" s="348"/>
      <c r="AU240" s="349"/>
      <c r="AV240" s="923"/>
      <c r="AW240" s="348"/>
      <c r="AX240" s="348"/>
      <c r="AY240" s="349"/>
      <c r="AZ240" s="1901"/>
      <c r="BA240" s="361"/>
      <c r="BB240" s="340"/>
      <c r="BC240" s="340">
        <f>SUM(L240:O240)</f>
        <v>115</v>
      </c>
      <c r="BD240" s="340">
        <f>SUM(P240:S240)</f>
        <v>597</v>
      </c>
      <c r="BE240" s="340">
        <f>SUM(T240:W240)</f>
        <v>601</v>
      </c>
      <c r="BF240" s="361">
        <f>SUM(X240:AA240)</f>
        <v>703</v>
      </c>
      <c r="BG240" s="361"/>
      <c r="BH240" s="348"/>
      <c r="BI240" s="923"/>
      <c r="BJ240" s="348"/>
      <c r="BK240" s="348"/>
      <c r="BL240" s="348"/>
      <c r="BM240" s="348"/>
      <c r="BN240" s="348"/>
      <c r="BO240" s="364"/>
    </row>
    <row r="241" spans="1:67" ht="14.25" hidden="1" customHeight="1" outlineLevel="1">
      <c r="A241" s="1"/>
      <c r="B241" s="435" t="s">
        <v>512</v>
      </c>
      <c r="C241" s="34"/>
      <c r="D241" s="269"/>
      <c r="E241" s="269"/>
      <c r="F241" s="300"/>
      <c r="G241" s="301"/>
      <c r="H241" s="269"/>
      <c r="I241" s="300"/>
      <c r="J241" s="300"/>
      <c r="K241" s="301"/>
      <c r="L241" s="300"/>
      <c r="M241" s="300"/>
      <c r="N241" s="300"/>
      <c r="O241" s="301"/>
      <c r="P241" s="300">
        <f t="shared" ref="P241:AF241" si="505">P240/P146</f>
        <v>0.18066561014263074</v>
      </c>
      <c r="Q241" s="300">
        <f t="shared" si="505"/>
        <v>0.23006134969325154</v>
      </c>
      <c r="R241" s="300">
        <f t="shared" si="505"/>
        <v>0.25423728813559321</v>
      </c>
      <c r="S241" s="300">
        <f t="shared" si="505"/>
        <v>0.25766871165644173</v>
      </c>
      <c r="T241" s="300">
        <f t="shared" si="505"/>
        <v>0.26158445440956651</v>
      </c>
      <c r="U241" s="300">
        <f t="shared" si="505"/>
        <v>0.23347398030942335</v>
      </c>
      <c r="V241" s="300">
        <f t="shared" si="505"/>
        <v>0.22406015037593985</v>
      </c>
      <c r="W241" s="300">
        <f t="shared" si="505"/>
        <v>0.18256578947368421</v>
      </c>
      <c r="X241" s="300">
        <f t="shared" si="505"/>
        <v>0.19040247678018576</v>
      </c>
      <c r="Y241" s="300">
        <f t="shared" si="505"/>
        <v>0.23751686909581646</v>
      </c>
      <c r="Z241" s="300">
        <f t="shared" si="505"/>
        <v>0.25870646766169153</v>
      </c>
      <c r="AA241" s="300">
        <f t="shared" si="505"/>
        <v>0.24968152866242038</v>
      </c>
      <c r="AB241" s="255">
        <f t="shared" si="505"/>
        <v>0.29510309278350516</v>
      </c>
      <c r="AC241" s="256">
        <f t="shared" si="505"/>
        <v>0.27107061503416857</v>
      </c>
      <c r="AD241" s="256">
        <f t="shared" si="505"/>
        <v>0.27223427331887201</v>
      </c>
      <c r="AE241" s="301">
        <f t="shared" si="505"/>
        <v>0.30303030303030304</v>
      </c>
      <c r="AF241" s="255">
        <f t="shared" si="505"/>
        <v>0.27302631578947367</v>
      </c>
      <c r="AG241" s="256">
        <f t="shared" ref="AG241:AL241" si="506">AG240/AG146</f>
        <v>0.27834008097165991</v>
      </c>
      <c r="AH241" s="256">
        <f t="shared" si="506"/>
        <v>0.28358208955223879</v>
      </c>
      <c r="AI241" s="256">
        <f t="shared" si="506"/>
        <v>0.27459366980325062</v>
      </c>
      <c r="AJ241" s="255">
        <f t="shared" si="506"/>
        <v>0.28894927536231885</v>
      </c>
      <c r="AK241" s="256">
        <f t="shared" si="506"/>
        <v>0.30279232111692844</v>
      </c>
      <c r="AL241" s="256">
        <f t="shared" si="506"/>
        <v>0.27749140893470792</v>
      </c>
      <c r="AM241" s="1573">
        <f t="shared" ref="AM241:AP241" si="507">AM240/AM146</f>
        <v>0.24732006125574271</v>
      </c>
      <c r="AN241" s="1614">
        <f t="shared" si="507"/>
        <v>0.28894927536231885</v>
      </c>
      <c r="AO241" s="1715">
        <f t="shared" si="507"/>
        <v>0.30279232111692844</v>
      </c>
      <c r="AP241" s="1715">
        <f t="shared" si="507"/>
        <v>0.15388280133396856</v>
      </c>
      <c r="AQ241" s="1806">
        <f t="shared" ref="AQ241" si="508">AQ240/AQ146</f>
        <v>0.15664403491755577</v>
      </c>
      <c r="AR241" s="159"/>
      <c r="AS241" s="1506"/>
      <c r="AT241" s="1506"/>
      <c r="AU241" s="91"/>
      <c r="AV241" s="159"/>
      <c r="AW241" s="1506"/>
      <c r="AX241" s="1506"/>
      <c r="AY241" s="91"/>
      <c r="AZ241" s="20"/>
      <c r="BA241" s="652"/>
      <c r="BB241" s="317"/>
      <c r="BC241" s="256"/>
      <c r="BD241" s="256"/>
      <c r="BE241" s="256"/>
      <c r="BF241" s="255"/>
      <c r="BG241" s="1515"/>
      <c r="BH241" s="1516"/>
      <c r="BI241" s="1614"/>
      <c r="BJ241" s="1715"/>
      <c r="BK241" s="1715"/>
      <c r="BL241" s="1715"/>
      <c r="BM241" s="1715"/>
      <c r="BN241" s="1715"/>
      <c r="BO241" s="299"/>
    </row>
    <row r="242" spans="1:67" ht="14.25" hidden="1" customHeight="1" outlineLevel="1">
      <c r="A242" s="1"/>
      <c r="B242" s="784" t="s">
        <v>233</v>
      </c>
      <c r="C242" s="34"/>
      <c r="D242" s="269"/>
      <c r="E242" s="269"/>
      <c r="F242" s="300"/>
      <c r="G242" s="301"/>
      <c r="H242" s="269"/>
      <c r="I242" s="300"/>
      <c r="J242" s="300"/>
      <c r="K242" s="301"/>
      <c r="L242" s="939">
        <f t="shared" ref="L242:AA242" si="509">+L225-L240</f>
        <v>175</v>
      </c>
      <c r="M242" s="341">
        <f t="shared" si="509"/>
        <v>165</v>
      </c>
      <c r="N242" s="341">
        <f t="shared" si="509"/>
        <v>177</v>
      </c>
      <c r="O242" s="398">
        <f t="shared" si="509"/>
        <v>216</v>
      </c>
      <c r="P242" s="877">
        <f t="shared" si="509"/>
        <v>226</v>
      </c>
      <c r="Q242" s="877">
        <f t="shared" si="509"/>
        <v>228</v>
      </c>
      <c r="R242" s="877">
        <f t="shared" si="509"/>
        <v>239</v>
      </c>
      <c r="S242" s="878">
        <f t="shared" si="509"/>
        <v>245</v>
      </c>
      <c r="T242" s="877">
        <f t="shared" si="509"/>
        <v>248</v>
      </c>
      <c r="U242" s="959">
        <f t="shared" si="509"/>
        <v>267</v>
      </c>
      <c r="V242" s="877">
        <f t="shared" si="509"/>
        <v>261</v>
      </c>
      <c r="W242" s="960">
        <f t="shared" si="509"/>
        <v>234</v>
      </c>
      <c r="X242" s="877">
        <f t="shared" si="509"/>
        <v>243</v>
      </c>
      <c r="Y242" s="877">
        <f t="shared" si="509"/>
        <v>252</v>
      </c>
      <c r="Z242" s="877">
        <f t="shared" si="509"/>
        <v>257</v>
      </c>
      <c r="AA242" s="877">
        <f t="shared" si="509"/>
        <v>259</v>
      </c>
      <c r="AB242" s="1268"/>
      <c r="AC242" s="90"/>
      <c r="AD242" s="90"/>
      <c r="AE242" s="878">
        <f>+AE225-AE240</f>
        <v>251</v>
      </c>
      <c r="AF242" s="159"/>
      <c r="AG242" s="90"/>
      <c r="AH242" s="90"/>
      <c r="AI242" s="90"/>
      <c r="AJ242" s="159"/>
      <c r="AK242" s="90"/>
      <c r="AL242" s="90"/>
      <c r="AM242" s="1573"/>
      <c r="AN242" s="1607"/>
      <c r="AO242" s="1603"/>
      <c r="AP242" s="1603"/>
      <c r="AQ242" s="1806"/>
      <c r="AR242" s="159"/>
      <c r="AS242" s="1506"/>
      <c r="AT242" s="1506"/>
      <c r="AU242" s="91"/>
      <c r="AV242" s="159"/>
      <c r="AW242" s="1506"/>
      <c r="AX242" s="1506"/>
      <c r="AY242" s="91"/>
      <c r="AZ242" s="20"/>
      <c r="BA242" s="652"/>
      <c r="BB242" s="317"/>
      <c r="BC242" s="341">
        <f>SUM(L242:O242)</f>
        <v>733</v>
      </c>
      <c r="BD242" s="341">
        <f>SUM(P242:S242)</f>
        <v>938</v>
      </c>
      <c r="BE242" s="341">
        <f>SUM(T242:W242)</f>
        <v>1010</v>
      </c>
      <c r="BF242" s="939">
        <f>SUM(X242:AA242)</f>
        <v>1011</v>
      </c>
      <c r="BG242" s="939"/>
      <c r="BH242" s="1516"/>
      <c r="BI242" s="1614"/>
      <c r="BJ242" s="1715"/>
      <c r="BK242" s="1715"/>
      <c r="BL242" s="1715"/>
      <c r="BM242" s="1715"/>
      <c r="BN242" s="1715"/>
      <c r="BO242" s="299"/>
    </row>
    <row r="243" spans="1:67" ht="14.25" hidden="1" customHeight="1" outlineLevel="1">
      <c r="A243" s="1"/>
      <c r="B243" s="451" t="s">
        <v>240</v>
      </c>
      <c r="C243" s="34"/>
      <c r="D243" s="269"/>
      <c r="E243" s="269"/>
      <c r="F243" s="300"/>
      <c r="G243" s="301"/>
      <c r="H243" s="269"/>
      <c r="I243" s="300"/>
      <c r="J243" s="300"/>
      <c r="K243" s="301"/>
      <c r="L243" s="961"/>
      <c r="M243" s="961"/>
      <c r="N243" s="961"/>
      <c r="O243" s="962"/>
      <c r="P243" s="961">
        <v>1.3827448111111111</v>
      </c>
      <c r="Q243" s="961">
        <v>1.2729250015384614</v>
      </c>
      <c r="R243" s="961">
        <v>1.2928556166666665</v>
      </c>
      <c r="S243" s="962">
        <v>1.3575457727272731</v>
      </c>
      <c r="T243" s="961">
        <v>1.3691401984375</v>
      </c>
      <c r="U243" s="961">
        <v>1.439557256923077</v>
      </c>
      <c r="V243" s="961">
        <v>1.4121048500000002</v>
      </c>
      <c r="W243" s="962">
        <v>1.3472326323076924</v>
      </c>
      <c r="X243" s="961">
        <v>1.3109626384615385</v>
      </c>
      <c r="Y243" s="961">
        <v>1.2828779723076924</v>
      </c>
      <c r="Z243" s="963">
        <v>1.2508319584615386</v>
      </c>
      <c r="AA243" s="1244">
        <v>1.2973996106060606</v>
      </c>
      <c r="AB243" s="1270">
        <v>1.3200836888888894</v>
      </c>
      <c r="AC243" s="90"/>
      <c r="AD243" s="90"/>
      <c r="AE243" s="962">
        <v>1.2973996106060606</v>
      </c>
      <c r="AF243" s="159"/>
      <c r="AG243" s="90"/>
      <c r="AH243" s="90"/>
      <c r="AI243" s="90"/>
      <c r="AJ243" s="159"/>
      <c r="AK243" s="90"/>
      <c r="AL243" s="90"/>
      <c r="AM243" s="1573"/>
      <c r="AN243" s="1607"/>
      <c r="AO243" s="1603"/>
      <c r="AP243" s="1603"/>
      <c r="AQ243" s="1806"/>
      <c r="AR243" s="159"/>
      <c r="AS243" s="1506"/>
      <c r="AT243" s="1506"/>
      <c r="AU243" s="91"/>
      <c r="AV243" s="159"/>
      <c r="AW243" s="1506"/>
      <c r="AX243" s="1506"/>
      <c r="AY243" s="91"/>
      <c r="AZ243" s="20"/>
      <c r="BA243" s="652"/>
      <c r="BB243" s="317"/>
      <c r="BC243" s="972"/>
      <c r="BD243" s="972">
        <f>AVERAGE(P243:S243)</f>
        <v>1.326517800510878</v>
      </c>
      <c r="BE243" s="972">
        <f>AVERAGE(T243:W243)</f>
        <v>1.3920087344170675</v>
      </c>
      <c r="BF243" s="1217">
        <f>AVERAGE(X243:AA243)</f>
        <v>1.2855180449592074</v>
      </c>
      <c r="BG243" s="1515"/>
      <c r="BH243" s="1516"/>
      <c r="BI243" s="1614"/>
      <c r="BJ243" s="1715"/>
      <c r="BK243" s="1715"/>
      <c r="BL243" s="1715"/>
      <c r="BM243" s="1715"/>
      <c r="BN243" s="1715"/>
      <c r="BO243" s="299"/>
    </row>
    <row r="244" spans="1:67" s="964" customFormat="1" ht="14.25" hidden="1" customHeight="1" outlineLevel="1">
      <c r="B244" s="942" t="s">
        <v>242</v>
      </c>
      <c r="C244" s="965"/>
      <c r="D244" s="966"/>
      <c r="E244" s="966"/>
      <c r="F244" s="967"/>
      <c r="G244" s="968"/>
      <c r="H244" s="966"/>
      <c r="I244" s="967"/>
      <c r="J244" s="967"/>
      <c r="K244" s="968"/>
      <c r="L244" s="967"/>
      <c r="M244" s="480"/>
      <c r="N244" s="480"/>
      <c r="O244" s="530"/>
      <c r="P244" s="480"/>
      <c r="Q244" s="480">
        <f t="shared" ref="Q244:AA244" si="510">+(P243-Q243)/P243*P242*0.65</f>
        <v>11.667033494964896</v>
      </c>
      <c r="R244" s="480">
        <f t="shared" si="510"/>
        <v>-2.3204172739400315</v>
      </c>
      <c r="S244" s="530">
        <f t="shared" si="510"/>
        <v>-7.773192624498841</v>
      </c>
      <c r="T244" s="480">
        <f t="shared" si="510"/>
        <v>-1.3601105255141777</v>
      </c>
      <c r="U244" s="480">
        <f t="shared" si="510"/>
        <v>-8.2907724430480858</v>
      </c>
      <c r="V244" s="531">
        <f t="shared" si="510"/>
        <v>3.3096045319401752</v>
      </c>
      <c r="W244" s="530">
        <f t="shared" si="510"/>
        <v>7.7937355228969114</v>
      </c>
      <c r="X244" s="480">
        <f t="shared" si="510"/>
        <v>4.0948132725603914</v>
      </c>
      <c r="Y244" s="480">
        <f t="shared" si="510"/>
        <v>3.3837524341698724</v>
      </c>
      <c r="Z244" s="480">
        <f>+(Y243-Z243)/Y243*Y242*0.65</f>
        <v>4.0916885169971655</v>
      </c>
      <c r="AA244" s="795">
        <f t="shared" si="510"/>
        <v>-6.2191617651905338</v>
      </c>
      <c r="AB244" s="1271"/>
      <c r="AC244" s="1160"/>
      <c r="AD244" s="1160"/>
      <c r="AE244" s="530" t="e">
        <f>+(AD243-AE243)/AD243*AD242*0.65</f>
        <v>#DIV/0!</v>
      </c>
      <c r="AF244" s="1159"/>
      <c r="AG244" s="1160"/>
      <c r="AH244" s="1160"/>
      <c r="AI244" s="1160"/>
      <c r="AJ244" s="1159"/>
      <c r="AK244" s="1160"/>
      <c r="AL244" s="1160"/>
      <c r="AM244" s="1160"/>
      <c r="AN244" s="1159"/>
      <c r="AO244" s="1160"/>
      <c r="AP244" s="1160"/>
      <c r="AQ244" s="1160"/>
      <c r="AR244" s="1159"/>
      <c r="AS244" s="1160"/>
      <c r="AT244" s="1160"/>
      <c r="AU244" s="969"/>
      <c r="AV244" s="1159"/>
      <c r="AW244" s="1160"/>
      <c r="AX244" s="1160"/>
      <c r="AY244" s="969"/>
      <c r="AZ244" s="1915"/>
      <c r="BA244" s="971"/>
      <c r="BB244" s="970"/>
      <c r="BC244" s="970"/>
      <c r="BD244" s="970"/>
      <c r="BE244" s="795">
        <f>+(BD243-BE243)/BD243*BD242*0.65</f>
        <v>-30.101233761978698</v>
      </c>
      <c r="BF244" s="1104">
        <f>+(BE243-BF243)/BE243*BE242*0.65</f>
        <v>50.223203274914724</v>
      </c>
      <c r="BG244" s="971"/>
      <c r="BH244" s="970"/>
      <c r="BI244" s="971"/>
      <c r="BJ244" s="970"/>
      <c r="BK244" s="970"/>
      <c r="BL244" s="970"/>
      <c r="BM244" s="970"/>
      <c r="BN244" s="970"/>
      <c r="BO244" s="1930"/>
    </row>
    <row r="245" spans="1:67" s="964" customFormat="1" ht="14.25" hidden="1" customHeight="1" outlineLevel="1">
      <c r="B245" s="942" t="s">
        <v>243</v>
      </c>
      <c r="C245" s="965"/>
      <c r="D245" s="966"/>
      <c r="E245" s="966"/>
      <c r="F245" s="967"/>
      <c r="G245" s="968"/>
      <c r="H245" s="966"/>
      <c r="I245" s="967"/>
      <c r="J245" s="967"/>
      <c r="K245" s="968"/>
      <c r="L245" s="967"/>
      <c r="M245" s="480"/>
      <c r="N245" s="480"/>
      <c r="O245" s="530"/>
      <c r="P245" s="480"/>
      <c r="Q245" s="480">
        <f>+Q242-P242+Q244</f>
        <v>13.667033494964896</v>
      </c>
      <c r="R245" s="480">
        <f t="shared" ref="R245:AA245" si="511">+R242-Q242+R244</f>
        <v>8.6795827260599694</v>
      </c>
      <c r="S245" s="530">
        <f t="shared" si="511"/>
        <v>-1.773192624498841</v>
      </c>
      <c r="T245" s="480">
        <f t="shared" si="511"/>
        <v>1.6398894744858223</v>
      </c>
      <c r="U245" s="480">
        <f t="shared" si="511"/>
        <v>10.709227556951914</v>
      </c>
      <c r="V245" s="531">
        <f t="shared" si="511"/>
        <v>-2.6903954680598248</v>
      </c>
      <c r="W245" s="530">
        <f t="shared" si="511"/>
        <v>-19.20626447710309</v>
      </c>
      <c r="X245" s="480">
        <f t="shared" si="511"/>
        <v>13.094813272560391</v>
      </c>
      <c r="Y245" s="480">
        <f t="shared" si="511"/>
        <v>12.383752434169873</v>
      </c>
      <c r="Z245" s="480">
        <f t="shared" si="511"/>
        <v>9.0916885169971664</v>
      </c>
      <c r="AA245" s="795">
        <f t="shared" si="511"/>
        <v>-4.2191617651905338</v>
      </c>
      <c r="AB245" s="1271"/>
      <c r="AC245" s="1160"/>
      <c r="AD245" s="1160"/>
      <c r="AE245" s="530" t="e">
        <f>+AE242-AD242+AE244</f>
        <v>#DIV/0!</v>
      </c>
      <c r="AF245" s="1159"/>
      <c r="AG245" s="1160"/>
      <c r="AH245" s="1160"/>
      <c r="AI245" s="1160"/>
      <c r="AJ245" s="1159"/>
      <c r="AK245" s="1160"/>
      <c r="AL245" s="1160"/>
      <c r="AM245" s="1160"/>
      <c r="AN245" s="1159"/>
      <c r="AO245" s="1160"/>
      <c r="AP245" s="1160"/>
      <c r="AQ245" s="1160"/>
      <c r="AR245" s="1159"/>
      <c r="AS245" s="1160"/>
      <c r="AT245" s="1160"/>
      <c r="AU245" s="969"/>
      <c r="AV245" s="1159"/>
      <c r="AW245" s="1160"/>
      <c r="AX245" s="1160"/>
      <c r="AY245" s="969"/>
      <c r="AZ245" s="1915"/>
      <c r="BA245" s="971"/>
      <c r="BB245" s="970"/>
      <c r="BC245" s="970"/>
      <c r="BD245" s="970"/>
      <c r="BE245" s="795">
        <f>+BE242-BD242+BE244</f>
        <v>41.898766238021302</v>
      </c>
      <c r="BF245" s="1104">
        <f>+BF242-BE242+BF244</f>
        <v>51.223203274914724</v>
      </c>
      <c r="BG245" s="971"/>
      <c r="BH245" s="970"/>
      <c r="BI245" s="971"/>
      <c r="BJ245" s="970"/>
      <c r="BK245" s="970"/>
      <c r="BL245" s="970"/>
      <c r="BM245" s="970"/>
      <c r="BN245" s="970"/>
      <c r="BO245" s="1930"/>
    </row>
    <row r="246" spans="1:67" s="973" customFormat="1" ht="14.25" hidden="1" customHeight="1" outlineLevel="1">
      <c r="B246" s="974" t="s">
        <v>241</v>
      </c>
      <c r="C246" s="975"/>
      <c r="D246" s="953"/>
      <c r="E246" s="953"/>
      <c r="F246" s="951"/>
      <c r="G246" s="952"/>
      <c r="H246" s="953"/>
      <c r="I246" s="951"/>
      <c r="J246" s="951"/>
      <c r="K246" s="952"/>
      <c r="L246" s="951"/>
      <c r="M246" s="954"/>
      <c r="N246" s="954"/>
      <c r="O246" s="955"/>
      <c r="P246" s="954"/>
      <c r="Q246" s="318">
        <f>+Q245/P242</f>
        <v>6.0473599535242901E-2</v>
      </c>
      <c r="R246" s="318">
        <f t="shared" ref="R246:AA246" si="512">+R245/Q242</f>
        <v>3.806834528973671E-2</v>
      </c>
      <c r="S246" s="339">
        <f t="shared" si="512"/>
        <v>-7.4192160020872004E-3</v>
      </c>
      <c r="T246" s="318">
        <f t="shared" si="512"/>
        <v>6.693426426472744E-3</v>
      </c>
      <c r="U246" s="318">
        <f t="shared" si="512"/>
        <v>4.3182369181257715E-2</v>
      </c>
      <c r="V246" s="404">
        <f t="shared" si="512"/>
        <v>-1.0076387520823314E-2</v>
      </c>
      <c r="W246" s="339">
        <f t="shared" si="512"/>
        <v>-7.358722021878579E-2</v>
      </c>
      <c r="X246" s="318">
        <f t="shared" si="512"/>
        <v>5.596074048102731E-2</v>
      </c>
      <c r="Y246" s="318">
        <f t="shared" si="512"/>
        <v>5.0961944173538574E-2</v>
      </c>
      <c r="Z246" s="318">
        <f t="shared" si="512"/>
        <v>3.6078129035703038E-2</v>
      </c>
      <c r="AA246" s="317">
        <f t="shared" si="512"/>
        <v>-1.6416971848990405E-2</v>
      </c>
      <c r="AB246" s="1272"/>
      <c r="AC246" s="1162"/>
      <c r="AD246" s="1162"/>
      <c r="AE246" s="339" t="e">
        <f>+AE245/AD242</f>
        <v>#DIV/0!</v>
      </c>
      <c r="AF246" s="1161"/>
      <c r="AG246" s="1162"/>
      <c r="AH246" s="1162"/>
      <c r="AI246" s="1162"/>
      <c r="AJ246" s="1161"/>
      <c r="AK246" s="1162"/>
      <c r="AL246" s="1162"/>
      <c r="AM246" s="1162"/>
      <c r="AN246" s="1161"/>
      <c r="AO246" s="1162"/>
      <c r="AP246" s="1162"/>
      <c r="AQ246" s="1162"/>
      <c r="AR246" s="1161"/>
      <c r="AS246" s="1162"/>
      <c r="AT246" s="1162"/>
      <c r="AU246" s="976"/>
      <c r="AV246" s="1161"/>
      <c r="AW246" s="1162"/>
      <c r="AX246" s="1162"/>
      <c r="AY246" s="976"/>
      <c r="AZ246" s="1916"/>
      <c r="BA246" s="950"/>
      <c r="BB246" s="929"/>
      <c r="BC246" s="929"/>
      <c r="BD246" s="929"/>
      <c r="BE246" s="317">
        <f>+BE245/BD242</f>
        <v>4.4668194283604801E-2</v>
      </c>
      <c r="BF246" s="652">
        <f>+BF245/BE242</f>
        <v>5.0716042846450218E-2</v>
      </c>
      <c r="BG246" s="950"/>
      <c r="BH246" s="929"/>
      <c r="BI246" s="950"/>
      <c r="BJ246" s="929"/>
      <c r="BK246" s="929"/>
      <c r="BL246" s="929"/>
      <c r="BM246" s="929"/>
      <c r="BN246" s="929"/>
      <c r="BO246" s="1931"/>
    </row>
    <row r="247" spans="1:67" ht="14.25" hidden="1" customHeight="1" outlineLevel="1">
      <c r="A247" s="1"/>
      <c r="B247" s="1025"/>
      <c r="C247" s="276"/>
      <c r="D247" s="399"/>
      <c r="E247" s="399"/>
      <c r="F247" s="399"/>
      <c r="G247" s="400"/>
      <c r="H247" s="257"/>
      <c r="I247" s="257"/>
      <c r="J247" s="277"/>
      <c r="K247" s="278"/>
      <c r="L247" s="277"/>
      <c r="M247" s="277"/>
      <c r="N247" s="277"/>
      <c r="O247" s="278"/>
      <c r="P247" s="277"/>
      <c r="Q247" s="277"/>
      <c r="R247" s="277"/>
      <c r="S247" s="278"/>
      <c r="T247" s="277"/>
      <c r="U247" s="277"/>
      <c r="V247" s="257"/>
      <c r="W247" s="278"/>
      <c r="X247" s="277"/>
      <c r="Y247" s="277"/>
      <c r="Z247" s="277"/>
      <c r="AA247" s="277"/>
      <c r="AB247" s="1045"/>
      <c r="AC247" s="277"/>
      <c r="AD247" s="277"/>
      <c r="AE247" s="278"/>
      <c r="AF247" s="279"/>
      <c r="AG247" s="277"/>
      <c r="AH247" s="277"/>
      <c r="AI247" s="277"/>
      <c r="AJ247" s="279"/>
      <c r="AK247" s="277"/>
      <c r="AL247" s="277"/>
      <c r="AM247" s="1577"/>
      <c r="AN247" s="1627"/>
      <c r="AO247" s="1625"/>
      <c r="AP247" s="1625"/>
      <c r="AQ247" s="1625"/>
      <c r="AR247" s="1512"/>
      <c r="AS247" s="1509"/>
      <c r="AT247" s="1509"/>
      <c r="AU247" s="1510"/>
      <c r="AV247" s="1512"/>
      <c r="AW247" s="1509"/>
      <c r="AX247" s="1509"/>
      <c r="AY247" s="1510"/>
      <c r="AZ247" s="20"/>
      <c r="BA247" s="401"/>
      <c r="BB247" s="402"/>
      <c r="BC247" s="277"/>
      <c r="BD247" s="277"/>
      <c r="BE247" s="277"/>
      <c r="BF247" s="279"/>
      <c r="BG247" s="1512"/>
      <c r="BH247" s="1509"/>
      <c r="BI247" s="1627"/>
      <c r="BJ247" s="1715"/>
      <c r="BK247" s="1715"/>
      <c r="BL247" s="1715"/>
      <c r="BM247" s="1715"/>
      <c r="BN247" s="1715"/>
      <c r="BO247" s="299"/>
    </row>
    <row r="248" spans="1:67" ht="14.25" customHeight="1" collapsed="1">
      <c r="A248" s="1"/>
      <c r="B248" s="431"/>
      <c r="C248" s="254"/>
      <c r="D248" s="92"/>
      <c r="E248" s="92"/>
      <c r="F248" s="303"/>
      <c r="G248" s="304"/>
      <c r="H248" s="302"/>
      <c r="I248" s="303"/>
      <c r="J248" s="303"/>
      <c r="K248" s="304"/>
      <c r="L248" s="302"/>
      <c r="M248" s="303"/>
      <c r="N248" s="303"/>
      <c r="O248" s="304"/>
      <c r="P248" s="303"/>
      <c r="Q248" s="303"/>
      <c r="R248" s="303"/>
      <c r="S248" s="304"/>
      <c r="T248" s="303"/>
      <c r="U248" s="303"/>
      <c r="V248" s="92"/>
      <c r="W248" s="304"/>
      <c r="X248" s="303"/>
      <c r="Y248" s="303"/>
      <c r="Z248" s="303"/>
      <c r="AA248" s="303"/>
      <c r="AB248" s="22"/>
      <c r="AC248" s="14"/>
      <c r="AD248" s="14"/>
      <c r="AE248" s="304"/>
      <c r="AF248" s="302"/>
      <c r="AG248" s="303"/>
      <c r="AH248" s="303"/>
      <c r="AI248" s="303"/>
      <c r="AJ248" s="302"/>
      <c r="AK248" s="303"/>
      <c r="AL248" s="303"/>
      <c r="AM248" s="1579"/>
      <c r="AN248" s="1578"/>
      <c r="AO248" s="1579"/>
      <c r="AP248" s="1579"/>
      <c r="AQ248" s="1579"/>
      <c r="AR248" s="923"/>
      <c r="AS248" s="303"/>
      <c r="AT248" s="303"/>
      <c r="AU248" s="304"/>
      <c r="AV248" s="302"/>
      <c r="AW248" s="303"/>
      <c r="AX248" s="303"/>
      <c r="AY248" s="304"/>
      <c r="AZ248" s="20"/>
      <c r="BA248" s="22"/>
      <c r="BB248" s="14"/>
      <c r="BC248" s="14"/>
      <c r="BD248" s="14"/>
      <c r="BE248" s="14"/>
      <c r="BF248" s="22"/>
      <c r="BG248" s="22"/>
      <c r="BH248" s="14"/>
      <c r="BI248" s="22"/>
      <c r="BJ248" s="14"/>
      <c r="BK248" s="14"/>
      <c r="BL248" s="14"/>
      <c r="BM248" s="14"/>
      <c r="BN248" s="14"/>
      <c r="BO248" s="299"/>
    </row>
    <row r="249" spans="1:67" ht="14.25" customHeight="1">
      <c r="A249" s="1"/>
      <c r="B249" s="431"/>
      <c r="C249" s="254"/>
      <c r="D249" s="92"/>
      <c r="E249" s="92"/>
      <c r="F249" s="303"/>
      <c r="G249" s="304"/>
      <c r="H249" s="302"/>
      <c r="I249" s="303"/>
      <c r="J249" s="303"/>
      <c r="K249" s="304"/>
      <c r="L249" s="302"/>
      <c r="M249" s="303"/>
      <c r="N249" s="303"/>
      <c r="O249" s="304"/>
      <c r="P249" s="303"/>
      <c r="Q249" s="303"/>
      <c r="R249" s="303"/>
      <c r="S249" s="304"/>
      <c r="T249" s="303"/>
      <c r="U249" s="303"/>
      <c r="V249" s="92"/>
      <c r="W249" s="304"/>
      <c r="X249" s="303"/>
      <c r="Y249" s="303"/>
      <c r="Z249" s="303"/>
      <c r="AA249" s="303"/>
      <c r="AB249" s="22"/>
      <c r="AC249" s="14"/>
      <c r="AD249" s="14"/>
      <c r="AE249" s="304"/>
      <c r="AF249" s="302"/>
      <c r="AG249" s="303"/>
      <c r="AH249" s="303"/>
      <c r="AI249" s="303"/>
      <c r="AJ249" s="302"/>
      <c r="AK249" s="303"/>
      <c r="AL249" s="303"/>
      <c r="AM249" s="1579"/>
      <c r="AN249" s="1578"/>
      <c r="AO249" s="1579"/>
      <c r="AP249" s="1579"/>
      <c r="AQ249" s="1579"/>
      <c r="AR249" s="302"/>
      <c r="AS249" s="303"/>
      <c r="AT249" s="303"/>
      <c r="AU249" s="304"/>
      <c r="AV249" s="302"/>
      <c r="AW249" s="303"/>
      <c r="AX249" s="303"/>
      <c r="AY249" s="304"/>
      <c r="AZ249" s="20"/>
      <c r="BA249" s="15"/>
      <c r="BB249" s="238"/>
      <c r="BC249" s="238"/>
      <c r="BD249" s="238"/>
      <c r="BE249" s="238"/>
      <c r="BF249" s="15"/>
      <c r="BG249" s="22"/>
      <c r="BH249" s="14"/>
      <c r="BI249" s="22"/>
      <c r="BJ249" s="14"/>
      <c r="BK249" s="14"/>
      <c r="BL249" s="14"/>
      <c r="BM249" s="14"/>
      <c r="BN249" s="14"/>
      <c r="BO249" s="299"/>
    </row>
    <row r="250" spans="1:67" s="107" customFormat="1" ht="14.25" customHeight="1">
      <c r="B250" s="1432" t="s">
        <v>331</v>
      </c>
      <c r="C250" s="1026"/>
      <c r="D250" s="1027"/>
      <c r="E250" s="1027"/>
      <c r="F250" s="1027"/>
      <c r="G250" s="1028"/>
      <c r="H250" s="1029"/>
      <c r="I250" s="1027"/>
      <c r="J250" s="1027"/>
      <c r="K250" s="1028"/>
      <c r="L250" s="1029"/>
      <c r="M250" s="1027"/>
      <c r="N250" s="1027"/>
      <c r="O250" s="1028"/>
      <c r="P250" s="1027"/>
      <c r="Q250" s="1027"/>
      <c r="R250" s="1027"/>
      <c r="S250" s="1028"/>
      <c r="T250" s="1027"/>
      <c r="U250" s="1027"/>
      <c r="V250" s="1027"/>
      <c r="W250" s="1028"/>
      <c r="X250" s="1027"/>
      <c r="Y250" s="1027"/>
      <c r="Z250" s="1030"/>
      <c r="AA250" s="1030"/>
      <c r="AB250" s="1273"/>
      <c r="AC250" s="1030"/>
      <c r="AD250" s="1030"/>
      <c r="AE250" s="1031"/>
      <c r="AF250" s="1273"/>
      <c r="AG250" s="1030"/>
      <c r="AH250" s="1030"/>
      <c r="AI250" s="1030"/>
      <c r="AJ250" s="1273"/>
      <c r="AK250" s="1030"/>
      <c r="AL250" s="1030"/>
      <c r="AM250" s="1030"/>
      <c r="AN250" s="1273"/>
      <c r="AO250" s="1030"/>
      <c r="AP250" s="1030"/>
      <c r="AQ250" s="1030"/>
      <c r="AR250" s="1273"/>
      <c r="AS250" s="1030"/>
      <c r="AT250" s="1030"/>
      <c r="AU250" s="1031"/>
      <c r="AV250" s="1273"/>
      <c r="AW250" s="1030"/>
      <c r="AX250" s="1030"/>
      <c r="AY250" s="1031"/>
      <c r="AZ250" s="1898"/>
      <c r="BA250" s="1130"/>
      <c r="BB250" s="1115"/>
      <c r="BC250" s="1115"/>
      <c r="BD250" s="1115"/>
      <c r="BE250" s="1115"/>
      <c r="BF250" s="1130"/>
      <c r="BG250" s="1130"/>
      <c r="BH250" s="1115"/>
      <c r="BI250" s="1130"/>
      <c r="BJ250" s="1115"/>
      <c r="BK250" s="1115"/>
      <c r="BL250" s="1115"/>
      <c r="BM250" s="1115"/>
      <c r="BN250" s="1115"/>
      <c r="BO250" s="467"/>
    </row>
    <row r="251" spans="1:67" s="851" customFormat="1" ht="14.25" customHeight="1">
      <c r="B251" s="852"/>
      <c r="C251" s="853"/>
      <c r="D251" s="854"/>
      <c r="E251" s="854"/>
      <c r="F251" s="854"/>
      <c r="G251" s="855"/>
      <c r="H251" s="856"/>
      <c r="I251" s="854"/>
      <c r="J251" s="854"/>
      <c r="K251" s="855"/>
      <c r="L251" s="856"/>
      <c r="M251" s="854"/>
      <c r="N251" s="854"/>
      <c r="O251" s="855"/>
      <c r="P251" s="854"/>
      <c r="Q251" s="854"/>
      <c r="R251" s="854"/>
      <c r="S251" s="855"/>
      <c r="T251" s="854"/>
      <c r="U251" s="854"/>
      <c r="V251" s="854"/>
      <c r="W251" s="855"/>
      <c r="X251" s="854"/>
      <c r="Y251" s="854"/>
      <c r="Z251" s="857"/>
      <c r="AA251" s="857"/>
      <c r="AB251" s="1163"/>
      <c r="AC251" s="1164"/>
      <c r="AD251" s="1164"/>
      <c r="AE251" s="1165"/>
      <c r="AF251" s="1163"/>
      <c r="AG251" s="1164"/>
      <c r="AH251" s="1164"/>
      <c r="AI251" s="1164"/>
      <c r="AJ251" s="1163"/>
      <c r="AK251" s="1164"/>
      <c r="AL251" s="1164"/>
      <c r="AM251" s="1164"/>
      <c r="AN251" s="1163"/>
      <c r="AO251" s="1164"/>
      <c r="AP251" s="1164"/>
      <c r="AQ251" s="1164"/>
      <c r="AR251" s="1163"/>
      <c r="AS251" s="1164"/>
      <c r="AT251" s="1164"/>
      <c r="AU251" s="1165"/>
      <c r="AV251" s="1163"/>
      <c r="AW251" s="1164"/>
      <c r="AX251" s="1164"/>
      <c r="AY251" s="1165"/>
      <c r="AZ251" s="1917"/>
      <c r="BA251" s="823"/>
      <c r="BB251" s="1229"/>
      <c r="BC251" s="1229"/>
      <c r="BD251" s="1229"/>
      <c r="BE251" s="1229"/>
      <c r="BF251" s="823"/>
      <c r="BG251" s="823"/>
      <c r="BH251" s="1229"/>
      <c r="BI251" s="823"/>
      <c r="BJ251" s="810"/>
      <c r="BK251" s="810"/>
      <c r="BL251" s="810"/>
      <c r="BM251" s="810"/>
      <c r="BN251" s="810"/>
      <c r="BO251" s="858"/>
    </row>
    <row r="252" spans="1:67" s="363" customFormat="1" ht="14.25" hidden="1" customHeight="1" outlineLevel="1">
      <c r="A252" s="373"/>
      <c r="B252" s="859" t="s">
        <v>506</v>
      </c>
      <c r="C252" s="351"/>
      <c r="D252" s="348"/>
      <c r="E252" s="348"/>
      <c r="F252" s="340"/>
      <c r="G252" s="351"/>
      <c r="H252" s="361"/>
      <c r="I252" s="340"/>
      <c r="J252" s="344"/>
      <c r="K252" s="345"/>
      <c r="L252" s="360">
        <v>94</v>
      </c>
      <c r="M252" s="344">
        <v>127</v>
      </c>
      <c r="N252" s="344">
        <v>163</v>
      </c>
      <c r="O252" s="345">
        <v>183</v>
      </c>
      <c r="P252" s="346">
        <v>199</v>
      </c>
      <c r="Q252" s="346">
        <v>207</v>
      </c>
      <c r="R252" s="346">
        <v>221</v>
      </c>
      <c r="S252" s="347">
        <v>221</v>
      </c>
      <c r="T252" s="346">
        <v>237</v>
      </c>
      <c r="U252" s="346">
        <v>246</v>
      </c>
      <c r="V252" s="346">
        <v>244</v>
      </c>
      <c r="W252" s="347">
        <v>198</v>
      </c>
      <c r="X252" s="346">
        <v>202</v>
      </c>
      <c r="Y252" s="346">
        <v>219</v>
      </c>
      <c r="Z252" s="346">
        <v>213</v>
      </c>
      <c r="AA252" s="346">
        <v>198</v>
      </c>
      <c r="AB252" s="923">
        <f t="shared" ref="AB252:AI252" si="513">+AA252*(1+AB259)</f>
        <v>192.48083623693381</v>
      </c>
      <c r="AC252" s="348">
        <f>+AB252*(1+AC259)</f>
        <v>193.86062717770037</v>
      </c>
      <c r="AD252" s="348">
        <f t="shared" si="513"/>
        <v>200.75958188153314</v>
      </c>
      <c r="AE252" s="347">
        <f>+AD252*(1+AE259)</f>
        <v>202.82926829268297</v>
      </c>
      <c r="AF252" s="923">
        <f t="shared" si="513"/>
        <v>203.51916376306622</v>
      </c>
      <c r="AG252" s="348">
        <f>+AF252*(1+AG259)</f>
        <v>218.00696864111501</v>
      </c>
      <c r="AH252" s="348">
        <f t="shared" si="513"/>
        <v>229.73519163763069</v>
      </c>
      <c r="AI252" s="348">
        <f t="shared" si="513"/>
        <v>228.35540069686414</v>
      </c>
      <c r="AJ252" s="923">
        <f t="shared" ref="AJ252:AN252" si="514">+AI252*(1+AJ259)</f>
        <v>222.83623693379792</v>
      </c>
      <c r="AK252" s="348">
        <f>+AJ252*(1+AK259)</f>
        <v>222.14634146341464</v>
      </c>
      <c r="AL252" s="348">
        <f t="shared" ref="AL252:AM252" si="515">+AK252*(1+AL259)</f>
        <v>224.21602787456447</v>
      </c>
      <c r="AM252" s="348">
        <f t="shared" si="515"/>
        <v>186.96167247386762</v>
      </c>
      <c r="AN252" s="923">
        <f t="shared" si="514"/>
        <v>189.03135888501745</v>
      </c>
      <c r="AO252" s="348">
        <f>+AN252*(1+AO259)</f>
        <v>209.03832752613243</v>
      </c>
      <c r="AP252" s="348">
        <f t="shared" ref="AP252:AQ252" si="516">+AO252*(1+AP259)</f>
        <v>220.76655052264809</v>
      </c>
      <c r="AQ252" s="348">
        <f t="shared" si="516"/>
        <v>222.83623693379789</v>
      </c>
      <c r="AR252" s="923">
        <f t="shared" ref="AR252" si="517">+AQ252*(1+AR259)</f>
        <v>81.407665505226475</v>
      </c>
      <c r="AS252" s="348">
        <f t="shared" ref="AS252" si="518">+AR252*(1+AS259)</f>
        <v>81.407665505226475</v>
      </c>
      <c r="AT252" s="348">
        <f t="shared" ref="AT252" si="519">+AS252*(1+AT259)</f>
        <v>81.407665505226475</v>
      </c>
      <c r="AU252" s="349">
        <f t="shared" ref="AU252" si="520">+AT252*(1+AU259)</f>
        <v>81.407665505226475</v>
      </c>
      <c r="AV252" s="923">
        <f t="shared" ref="AV252" si="521">+AU252*(1+AV259)</f>
        <v>81.407665505226475</v>
      </c>
      <c r="AW252" s="348">
        <f t="shared" ref="AW252" si="522">+AV252*(1+AW259)</f>
        <v>81.407665505226475</v>
      </c>
      <c r="AX252" s="348">
        <f t="shared" ref="AX252" si="523">+AW252*(1+AX259)</f>
        <v>81.407665505226475</v>
      </c>
      <c r="AY252" s="349">
        <f t="shared" ref="AY252" si="524">+AX252*(1+AY259)</f>
        <v>81.407665505226475</v>
      </c>
      <c r="AZ252" s="1901"/>
      <c r="BA252" s="361"/>
      <c r="BB252" s="340"/>
      <c r="BC252" s="340">
        <f>SUM(L252:O252)</f>
        <v>567</v>
      </c>
      <c r="BD252" s="340">
        <f>SUM(P252:S252)</f>
        <v>848</v>
      </c>
      <c r="BE252" s="340">
        <f>SUM(T252:W252)</f>
        <v>925</v>
      </c>
      <c r="BF252" s="361">
        <f>SUM(X252:AA252)</f>
        <v>832</v>
      </c>
      <c r="BG252" s="361">
        <f>SUM(AB252:AE252)</f>
        <v>789.93031358885025</v>
      </c>
      <c r="BH252" s="340">
        <f>SUM(AF252:AI252)</f>
        <v>879.61672473867611</v>
      </c>
      <c r="BI252" s="361">
        <f>SUM(AJ252:AM252)</f>
        <v>856.16027874564475</v>
      </c>
      <c r="BJ252" s="340">
        <f>SUM(AN252:AQ252)</f>
        <v>841.67247386759584</v>
      </c>
      <c r="BK252" s="340">
        <f>SUM(AO252:AR252)</f>
        <v>734.04878048780483</v>
      </c>
      <c r="BL252" s="340">
        <f>SUM(AP252:AV252)</f>
        <v>850.64111498257853</v>
      </c>
      <c r="BM252" s="340">
        <f t="shared" ref="BM252:BN252" si="525">+BL252*(1+BM259)</f>
        <v>893.1731707317075</v>
      </c>
      <c r="BN252" s="340">
        <f t="shared" si="525"/>
        <v>937.83182926829295</v>
      </c>
      <c r="BO252" s="1392"/>
    </row>
    <row r="253" spans="1:67" s="861" customFormat="1" ht="14.25" hidden="1" customHeight="1" outlineLevel="1">
      <c r="A253" s="889"/>
      <c r="B253" s="493" t="s">
        <v>504</v>
      </c>
      <c r="C253" s="875"/>
      <c r="D253" s="871"/>
      <c r="E253" s="871"/>
      <c r="F253" s="874"/>
      <c r="G253" s="875"/>
      <c r="H253" s="874"/>
      <c r="I253" s="874"/>
      <c r="J253" s="874"/>
      <c r="K253" s="875"/>
      <c r="L253" s="874"/>
      <c r="M253" s="874"/>
      <c r="N253" s="874"/>
      <c r="O253" s="875"/>
      <c r="P253" s="871">
        <f>+P136</f>
        <v>71</v>
      </c>
      <c r="Q253" s="871">
        <f t="shared" ref="Q253:AA253" si="526">+Q136</f>
        <v>75</v>
      </c>
      <c r="R253" s="871">
        <f t="shared" si="526"/>
        <v>76</v>
      </c>
      <c r="S253" s="872">
        <f t="shared" si="526"/>
        <v>75</v>
      </c>
      <c r="T253" s="871">
        <f t="shared" si="526"/>
        <v>81</v>
      </c>
      <c r="U253" s="871">
        <f t="shared" si="526"/>
        <v>77</v>
      </c>
      <c r="V253" s="871">
        <f t="shared" si="526"/>
        <v>71</v>
      </c>
      <c r="W253" s="872">
        <f t="shared" si="526"/>
        <v>62</v>
      </c>
      <c r="X253" s="871">
        <f t="shared" si="526"/>
        <v>72</v>
      </c>
      <c r="Y253" s="871">
        <f t="shared" si="526"/>
        <v>72</v>
      </c>
      <c r="Z253" s="871">
        <f t="shared" si="526"/>
        <v>103</v>
      </c>
      <c r="AA253" s="871">
        <f t="shared" si="526"/>
        <v>89</v>
      </c>
      <c r="AB253" s="1147">
        <v>85</v>
      </c>
      <c r="AC253" s="1075">
        <v>0</v>
      </c>
      <c r="AD253" s="1075">
        <v>0</v>
      </c>
      <c r="AE253" s="872">
        <v>0</v>
      </c>
      <c r="AF253" s="1147">
        <v>0</v>
      </c>
      <c r="AG253" s="1075">
        <v>0</v>
      </c>
      <c r="AH253" s="1075">
        <v>0</v>
      </c>
      <c r="AI253" s="871"/>
      <c r="AJ253" s="1147"/>
      <c r="AK253" s="1075">
        <v>0</v>
      </c>
      <c r="AL253" s="1075">
        <v>0</v>
      </c>
      <c r="AM253" s="871">
        <v>0</v>
      </c>
      <c r="AN253" s="1147"/>
      <c r="AO253" s="1075">
        <v>0</v>
      </c>
      <c r="AP253" s="1075">
        <v>0</v>
      </c>
      <c r="AQ253" s="1824">
        <v>0</v>
      </c>
      <c r="AR253" s="1147"/>
      <c r="AS253" s="871"/>
      <c r="AT253" s="871"/>
      <c r="AU253" s="872"/>
      <c r="AV253" s="1147"/>
      <c r="AW253" s="871"/>
      <c r="AX253" s="871"/>
      <c r="AY253" s="872"/>
      <c r="AZ253" s="1912"/>
      <c r="BA253" s="921"/>
      <c r="BB253" s="874"/>
      <c r="BC253" s="874"/>
      <c r="BD253" s="874"/>
      <c r="BE253" s="874"/>
      <c r="BF253" s="921"/>
      <c r="BG253" s="921"/>
      <c r="BH253" s="874"/>
      <c r="BI253" s="921"/>
      <c r="BJ253" s="874"/>
      <c r="BK253" s="874"/>
      <c r="BL253" s="874"/>
      <c r="BM253" s="874"/>
      <c r="BN253" s="874"/>
      <c r="BO253" s="876"/>
    </row>
    <row r="254" spans="1:67" s="363" customFormat="1" ht="14.25" customHeight="1" collapsed="1">
      <c r="A254" s="373"/>
      <c r="B254" s="860" t="s">
        <v>505</v>
      </c>
      <c r="C254" s="351"/>
      <c r="D254" s="348"/>
      <c r="E254" s="348"/>
      <c r="F254" s="340"/>
      <c r="G254" s="351"/>
      <c r="H254" s="340"/>
      <c r="I254" s="340"/>
      <c r="J254" s="344"/>
      <c r="K254" s="345"/>
      <c r="L254" s="344"/>
      <c r="M254" s="344"/>
      <c r="N254" s="344"/>
      <c r="O254" s="345"/>
      <c r="P254" s="346">
        <f>+P253+P252</f>
        <v>270</v>
      </c>
      <c r="Q254" s="346">
        <f t="shared" ref="Q254:AA254" si="527">+Q253+Q252</f>
        <v>282</v>
      </c>
      <c r="R254" s="346">
        <f t="shared" si="527"/>
        <v>297</v>
      </c>
      <c r="S254" s="347">
        <f t="shared" si="527"/>
        <v>296</v>
      </c>
      <c r="T254" s="346">
        <f t="shared" si="527"/>
        <v>318</v>
      </c>
      <c r="U254" s="346">
        <f t="shared" si="527"/>
        <v>323</v>
      </c>
      <c r="V254" s="346">
        <f t="shared" si="527"/>
        <v>315</v>
      </c>
      <c r="W254" s="347">
        <f t="shared" si="527"/>
        <v>260</v>
      </c>
      <c r="X254" s="346">
        <f t="shared" si="527"/>
        <v>274</v>
      </c>
      <c r="Y254" s="346">
        <f t="shared" si="527"/>
        <v>291</v>
      </c>
      <c r="Z254" s="346">
        <f t="shared" si="527"/>
        <v>316</v>
      </c>
      <c r="AA254" s="346">
        <f t="shared" si="527"/>
        <v>287</v>
      </c>
      <c r="AB254" s="1250">
        <v>279</v>
      </c>
      <c r="AC254" s="346">
        <v>281</v>
      </c>
      <c r="AD254" s="346">
        <v>291</v>
      </c>
      <c r="AE254" s="347">
        <v>294</v>
      </c>
      <c r="AF254" s="1250">
        <v>295</v>
      </c>
      <c r="AG254" s="346">
        <v>316</v>
      </c>
      <c r="AH254" s="346">
        <v>333</v>
      </c>
      <c r="AI254" s="346">
        <v>331</v>
      </c>
      <c r="AJ254" s="1250">
        <v>323</v>
      </c>
      <c r="AK254" s="346">
        <v>322</v>
      </c>
      <c r="AL254" s="346">
        <v>325</v>
      </c>
      <c r="AM254" s="346">
        <v>271</v>
      </c>
      <c r="AN254" s="1250">
        <v>274</v>
      </c>
      <c r="AO254" s="346">
        <v>303</v>
      </c>
      <c r="AP254" s="346">
        <v>320</v>
      </c>
      <c r="AQ254" s="346">
        <v>323</v>
      </c>
      <c r="AR254" s="1250">
        <v>118</v>
      </c>
      <c r="AS254" s="346">
        <v>0</v>
      </c>
      <c r="AT254" s="348">
        <v>0</v>
      </c>
      <c r="AU254" s="349"/>
      <c r="AV254" s="923"/>
      <c r="AW254" s="348"/>
      <c r="AX254" s="348"/>
      <c r="AY254" s="349"/>
      <c r="AZ254" s="1901"/>
      <c r="BA254" s="361"/>
      <c r="BB254" s="340"/>
      <c r="BC254" s="340">
        <f>SUM(L254:O254)</f>
        <v>0</v>
      </c>
      <c r="BD254" s="340">
        <f>SUM(P254:S254)</f>
        <v>1145</v>
      </c>
      <c r="BE254" s="340">
        <f>SUM(T254:W254)</f>
        <v>1216</v>
      </c>
      <c r="BF254" s="361">
        <f>SUM(X254:AA254)</f>
        <v>1168</v>
      </c>
      <c r="BG254" s="361">
        <f>SUM(AB254:AE254)</f>
        <v>1145</v>
      </c>
      <c r="BH254" s="340">
        <f>SUM(AF254:AI254)</f>
        <v>1275</v>
      </c>
      <c r="BI254" s="361">
        <f>SUM(AJ254:AM254)</f>
        <v>1241</v>
      </c>
      <c r="BJ254" s="340">
        <f>SUM(AN254:AQ254)</f>
        <v>1220</v>
      </c>
      <c r="BK254" s="340">
        <f>SUM(AR254:AU254)</f>
        <v>118</v>
      </c>
      <c r="BL254" s="340">
        <f>SUM(AV254:AY254)</f>
        <v>0</v>
      </c>
      <c r="BM254" s="340">
        <f>+BL254*(1+BM259)</f>
        <v>0</v>
      </c>
      <c r="BN254" s="340">
        <f>+BM254*(1+BN259)</f>
        <v>0</v>
      </c>
      <c r="BO254" s="1392"/>
    </row>
    <row r="255" spans="1:67" s="363" customFormat="1" ht="14.25" customHeight="1">
      <c r="A255" s="373"/>
      <c r="B255" s="860"/>
      <c r="C255" s="351"/>
      <c r="D255" s="348"/>
      <c r="E255" s="348"/>
      <c r="F255" s="340"/>
      <c r="G255" s="351"/>
      <c r="H255" s="340"/>
      <c r="I255" s="340"/>
      <c r="J255" s="344"/>
      <c r="K255" s="345"/>
      <c r="L255" s="344"/>
      <c r="M255" s="344"/>
      <c r="N255" s="344"/>
      <c r="O255" s="345"/>
      <c r="P255" s="346"/>
      <c r="Q255" s="346"/>
      <c r="R255" s="346"/>
      <c r="S255" s="347"/>
      <c r="T255" s="346"/>
      <c r="U255" s="346"/>
      <c r="V255" s="346"/>
      <c r="W255" s="347"/>
      <c r="X255" s="346"/>
      <c r="Y255" s="346"/>
      <c r="Z255" s="346"/>
      <c r="AA255" s="346"/>
      <c r="AB255" s="1250"/>
      <c r="AC255" s="348"/>
      <c r="AD255" s="348"/>
      <c r="AE255" s="347"/>
      <c r="AF255" s="923"/>
      <c r="AG255" s="348"/>
      <c r="AH255" s="348"/>
      <c r="AI255" s="348"/>
      <c r="AJ255" s="923"/>
      <c r="AK255" s="348"/>
      <c r="AL255" s="348"/>
      <c r="AM255" s="348"/>
      <c r="AN255" s="923"/>
      <c r="AO255" s="348"/>
      <c r="AP255" s="348"/>
      <c r="AQ255" s="348"/>
      <c r="AR255" s="923"/>
      <c r="AS255" s="348"/>
      <c r="AT255" s="348"/>
      <c r="AU255" s="349"/>
      <c r="AV255" s="923"/>
      <c r="AW255" s="348"/>
      <c r="AX255" s="348"/>
      <c r="AY255" s="349"/>
      <c r="AZ255" s="1901"/>
      <c r="BA255" s="361"/>
      <c r="BB255" s="340"/>
      <c r="BC255" s="340"/>
      <c r="BD255" s="340"/>
      <c r="BE255" s="340"/>
      <c r="BF255" s="361"/>
      <c r="BG255" s="643">
        <f t="shared" ref="BG255:BK255" si="528">+BG254/BF254-1</f>
        <v>-1.9691780821917804E-2</v>
      </c>
      <c r="BH255" s="489">
        <f t="shared" si="528"/>
        <v>0.11353711790393017</v>
      </c>
      <c r="BI255" s="643">
        <f t="shared" si="528"/>
        <v>-2.6666666666666616E-2</v>
      </c>
      <c r="BJ255" s="489">
        <f t="shared" si="528"/>
        <v>-1.6921837228041858E-2</v>
      </c>
      <c r="BK255" s="489">
        <f t="shared" si="528"/>
        <v>-0.90327868852459015</v>
      </c>
      <c r="BL255" s="489"/>
      <c r="BM255" s="489"/>
      <c r="BN255" s="489"/>
      <c r="BO255" s="364"/>
    </row>
    <row r="256" spans="1:67" ht="14.25" customHeight="1">
      <c r="A256" s="1"/>
      <c r="B256" s="947" t="s">
        <v>486</v>
      </c>
      <c r="C256" s="254"/>
      <c r="D256" s="269"/>
      <c r="E256" s="269"/>
      <c r="F256" s="300"/>
      <c r="G256" s="301"/>
      <c r="H256" s="300"/>
      <c r="I256" s="300"/>
      <c r="J256" s="300"/>
      <c r="K256" s="301"/>
      <c r="L256" s="300"/>
      <c r="M256" s="300"/>
      <c r="N256" s="300"/>
      <c r="O256" s="301"/>
      <c r="P256" s="300"/>
      <c r="Q256" s="300"/>
      <c r="R256" s="300"/>
      <c r="S256" s="301"/>
      <c r="T256" s="300"/>
      <c r="U256" s="300"/>
      <c r="V256" s="269"/>
      <c r="W256" s="301"/>
      <c r="X256" s="300"/>
      <c r="Y256" s="300"/>
      <c r="Z256" s="300"/>
      <c r="AA256" s="256"/>
      <c r="AB256" s="1207"/>
      <c r="AC256" s="1208"/>
      <c r="AD256" s="1208"/>
      <c r="AE256" s="301"/>
      <c r="AF256" s="299"/>
      <c r="AG256" s="461"/>
      <c r="AH256" s="1208"/>
      <c r="AI256" s="1208"/>
      <c r="AJ256" s="299"/>
      <c r="AK256" s="461"/>
      <c r="AL256" s="1208"/>
      <c r="AM256" s="1208"/>
      <c r="AN256" s="299"/>
      <c r="AO256" s="461"/>
      <c r="AP256" s="1208"/>
      <c r="AQ256" s="1208"/>
      <c r="AR256" s="1207"/>
      <c r="AS256" s="1208"/>
      <c r="AT256" s="1208"/>
      <c r="AU256" s="1209"/>
      <c r="AV256" s="1207"/>
      <c r="AW256" s="1208"/>
      <c r="AX256" s="1208"/>
      <c r="AY256" s="1209"/>
      <c r="AZ256" s="20"/>
      <c r="BA256" s="22"/>
      <c r="BB256" s="14"/>
      <c r="BC256" s="256"/>
      <c r="BD256" s="256"/>
      <c r="BE256" s="256"/>
      <c r="BF256" s="255"/>
      <c r="BG256" s="1515"/>
      <c r="BH256" s="1516"/>
      <c r="BI256" s="1614"/>
      <c r="BJ256" s="1715"/>
      <c r="BK256" s="1715"/>
      <c r="BL256" s="1715"/>
      <c r="BM256" s="1715"/>
      <c r="BN256" s="1715"/>
      <c r="BO256" s="299"/>
    </row>
    <row r="257" spans="1:72" ht="14.25" hidden="1" customHeight="1" outlineLevel="1">
      <c r="A257" s="1"/>
      <c r="B257" s="431" t="s">
        <v>476</v>
      </c>
      <c r="C257" s="254"/>
      <c r="D257" s="269"/>
      <c r="E257" s="269"/>
      <c r="F257" s="300"/>
      <c r="G257" s="301"/>
      <c r="H257" s="300"/>
      <c r="I257" s="300"/>
      <c r="J257" s="300"/>
      <c r="K257" s="301"/>
      <c r="L257" s="300"/>
      <c r="M257" s="300"/>
      <c r="N257" s="300"/>
      <c r="O257" s="301"/>
      <c r="P257" s="300"/>
      <c r="Q257" s="300">
        <f>+Q252/P252-1</f>
        <v>4.020100502512558E-2</v>
      </c>
      <c r="R257" s="300">
        <f t="shared" ref="R257:AA257" si="529">+R252/Q252-1</f>
        <v>6.7632850241545972E-2</v>
      </c>
      <c r="S257" s="301">
        <f t="shared" si="529"/>
        <v>0</v>
      </c>
      <c r="T257" s="300">
        <f t="shared" si="529"/>
        <v>7.2398190045248834E-2</v>
      </c>
      <c r="U257" s="300">
        <f t="shared" si="529"/>
        <v>3.7974683544303778E-2</v>
      </c>
      <c r="V257" s="269">
        <f t="shared" si="529"/>
        <v>-8.1300813008130524E-3</v>
      </c>
      <c r="W257" s="301">
        <f t="shared" si="529"/>
        <v>-0.18852459016393441</v>
      </c>
      <c r="X257" s="300">
        <f t="shared" si="529"/>
        <v>2.020202020202011E-2</v>
      </c>
      <c r="Y257" s="300">
        <f t="shared" si="529"/>
        <v>8.4158415841584233E-2</v>
      </c>
      <c r="Z257" s="300">
        <f t="shared" si="529"/>
        <v>-2.7397260273972601E-2</v>
      </c>
      <c r="AA257" s="256">
        <f t="shared" si="529"/>
        <v>-7.0422535211267623E-2</v>
      </c>
      <c r="AB257" s="255"/>
      <c r="AC257" s="303"/>
      <c r="AD257" s="303"/>
      <c r="AE257" s="301">
        <f>+AE252/AD252-1</f>
        <v>1.0309278350515427E-2</v>
      </c>
      <c r="AF257" s="94"/>
      <c r="AG257" s="92"/>
      <c r="AH257" s="303"/>
      <c r="AI257" s="303"/>
      <c r="AJ257" s="94"/>
      <c r="AK257" s="92"/>
      <c r="AL257" s="303"/>
      <c r="AM257" s="303"/>
      <c r="AN257" s="1606"/>
      <c r="AO257" s="1604"/>
      <c r="AP257" s="1579"/>
      <c r="AQ257" s="1579"/>
      <c r="AR257" s="94"/>
      <c r="AS257" s="1518"/>
      <c r="AT257" s="1518"/>
      <c r="AU257" s="1519"/>
      <c r="AV257" s="94"/>
      <c r="AW257" s="1518"/>
      <c r="AX257" s="1518"/>
      <c r="AY257" s="1519"/>
      <c r="AZ257" s="20"/>
      <c r="BA257" s="22"/>
      <c r="BB257" s="14"/>
      <c r="BC257" s="256"/>
      <c r="BD257" s="256"/>
      <c r="BE257" s="256"/>
      <c r="BF257" s="255"/>
      <c r="BG257" s="1515"/>
      <c r="BH257" s="1516"/>
      <c r="BI257" s="1614"/>
      <c r="BJ257" s="1715"/>
      <c r="BK257" s="1715"/>
      <c r="BL257" s="1715"/>
      <c r="BM257" s="1715"/>
      <c r="BN257" s="1715"/>
      <c r="BO257" s="299"/>
    </row>
    <row r="258" spans="1:72" ht="14.25" hidden="1" customHeight="1" outlineLevel="1">
      <c r="A258" s="1"/>
      <c r="B258" s="431" t="s">
        <v>237</v>
      </c>
      <c r="C258" s="254"/>
      <c r="D258" s="269"/>
      <c r="E258" s="269"/>
      <c r="F258" s="300"/>
      <c r="G258" s="301"/>
      <c r="H258" s="300"/>
      <c r="I258" s="300"/>
      <c r="J258" s="300"/>
      <c r="K258" s="301"/>
      <c r="L258" s="300"/>
      <c r="M258" s="300"/>
      <c r="N258" s="300"/>
      <c r="O258" s="301"/>
      <c r="P258" s="300"/>
      <c r="Q258" s="300">
        <f>+Q253/P253-1</f>
        <v>5.6338028169014009E-2</v>
      </c>
      <c r="R258" s="300">
        <f t="shared" ref="R258:AA258" si="530">+R253/Q253-1</f>
        <v>1.3333333333333419E-2</v>
      </c>
      <c r="S258" s="301">
        <f t="shared" si="530"/>
        <v>-1.3157894736842146E-2</v>
      </c>
      <c r="T258" s="300">
        <f t="shared" si="530"/>
        <v>8.0000000000000071E-2</v>
      </c>
      <c r="U258" s="300">
        <f t="shared" si="530"/>
        <v>-4.9382716049382713E-2</v>
      </c>
      <c r="V258" s="269">
        <f t="shared" si="530"/>
        <v>-7.7922077922077948E-2</v>
      </c>
      <c r="W258" s="301">
        <f t="shared" si="530"/>
        <v>-0.12676056338028174</v>
      </c>
      <c r="X258" s="300">
        <f t="shared" si="530"/>
        <v>0.16129032258064524</v>
      </c>
      <c r="Y258" s="300">
        <f t="shared" si="530"/>
        <v>0</v>
      </c>
      <c r="Z258" s="300">
        <f t="shared" si="530"/>
        <v>0.43055555555555558</v>
      </c>
      <c r="AA258" s="256">
        <f t="shared" si="530"/>
        <v>-0.13592233009708743</v>
      </c>
      <c r="AB258" s="255"/>
      <c r="AC258" s="303"/>
      <c r="AD258" s="303"/>
      <c r="AE258" s="301"/>
      <c r="AF258" s="94"/>
      <c r="AG258" s="92"/>
      <c r="AH258" s="303"/>
      <c r="AI258" s="303"/>
      <c r="AJ258" s="94"/>
      <c r="AK258" s="92"/>
      <c r="AL258" s="303"/>
      <c r="AM258" s="303"/>
      <c r="AN258" s="1606"/>
      <c r="AO258" s="1604"/>
      <c r="AP258" s="1579"/>
      <c r="AQ258" s="1579"/>
      <c r="AR258" s="94"/>
      <c r="AS258" s="1518"/>
      <c r="AT258" s="1518"/>
      <c r="AU258" s="1519"/>
      <c r="AV258" s="94"/>
      <c r="AW258" s="1518"/>
      <c r="AX258" s="1518"/>
      <c r="AY258" s="1519"/>
      <c r="AZ258" s="20"/>
      <c r="BA258" s="22"/>
      <c r="BB258" s="14"/>
      <c r="BC258" s="256"/>
      <c r="BD258" s="256"/>
      <c r="BE258" s="256"/>
      <c r="BF258" s="255"/>
      <c r="BG258" s="1515"/>
      <c r="BH258" s="1516"/>
      <c r="BI258" s="1614"/>
      <c r="BJ258" s="1715"/>
      <c r="BK258" s="1715"/>
      <c r="BL258" s="1715"/>
      <c r="BM258" s="1715"/>
      <c r="BN258" s="1715"/>
      <c r="BO258" s="299"/>
    </row>
    <row r="259" spans="1:72" ht="14.25" customHeight="1" collapsed="1">
      <c r="A259" s="1"/>
      <c r="B259" s="946" t="s">
        <v>510</v>
      </c>
      <c r="C259" s="254"/>
      <c r="D259" s="269"/>
      <c r="E259" s="269"/>
      <c r="F259" s="300"/>
      <c r="G259" s="301"/>
      <c r="H259" s="300"/>
      <c r="I259" s="300"/>
      <c r="J259" s="300"/>
      <c r="K259" s="301"/>
      <c r="L259" s="300"/>
      <c r="M259" s="300"/>
      <c r="N259" s="300"/>
      <c r="O259" s="301"/>
      <c r="P259" s="300"/>
      <c r="Q259" s="300">
        <f>+Q254/P254-1</f>
        <v>4.4444444444444509E-2</v>
      </c>
      <c r="R259" s="300">
        <f t="shared" ref="R259:AA259" si="531">+R254/Q254-1</f>
        <v>5.3191489361702038E-2</v>
      </c>
      <c r="S259" s="301">
        <f t="shared" si="531"/>
        <v>-3.3670033670033517E-3</v>
      </c>
      <c r="T259" s="300">
        <f t="shared" si="531"/>
        <v>7.4324324324324342E-2</v>
      </c>
      <c r="U259" s="300">
        <f t="shared" si="531"/>
        <v>1.572327044025168E-2</v>
      </c>
      <c r="V259" s="269">
        <f t="shared" si="531"/>
        <v>-2.4767801857585092E-2</v>
      </c>
      <c r="W259" s="301">
        <f t="shared" si="531"/>
        <v>-0.17460317460317465</v>
      </c>
      <c r="X259" s="300">
        <f t="shared" si="531"/>
        <v>5.3846153846153877E-2</v>
      </c>
      <c r="Y259" s="300">
        <f t="shared" si="531"/>
        <v>6.2043795620438047E-2</v>
      </c>
      <c r="Z259" s="300">
        <f t="shared" si="531"/>
        <v>8.5910652920962116E-2</v>
      </c>
      <c r="AA259" s="256">
        <f t="shared" si="531"/>
        <v>-9.1772151898734222E-2</v>
      </c>
      <c r="AB259" s="255">
        <f>(AB254-AA254)/AA254</f>
        <v>-2.7874564459930314E-2</v>
      </c>
      <c r="AC259" s="256">
        <f>(AC254-AB254)/AB254</f>
        <v>7.1684587813620072E-3</v>
      </c>
      <c r="AD259" s="256">
        <f>(AD254-AC254)/AC254</f>
        <v>3.5587188612099648E-2</v>
      </c>
      <c r="AE259" s="301">
        <f>+AE254/AD254-1</f>
        <v>1.0309278350515427E-2</v>
      </c>
      <c r="AF259" s="255">
        <f t="shared" ref="AF259:AR259" si="532">(AF254-AE254)/AE254</f>
        <v>3.4013605442176869E-3</v>
      </c>
      <c r="AG259" s="256">
        <f t="shared" si="532"/>
        <v>7.1186440677966104E-2</v>
      </c>
      <c r="AH259" s="256">
        <f t="shared" si="532"/>
        <v>5.3797468354430382E-2</v>
      </c>
      <c r="AI259" s="256">
        <f t="shared" si="532"/>
        <v>-6.006006006006006E-3</v>
      </c>
      <c r="AJ259" s="255">
        <f t="shared" si="532"/>
        <v>-2.4169184290030211E-2</v>
      </c>
      <c r="AK259" s="256">
        <f t="shared" si="532"/>
        <v>-3.0959752321981426E-3</v>
      </c>
      <c r="AL259" s="256">
        <f t="shared" si="532"/>
        <v>9.316770186335404E-3</v>
      </c>
      <c r="AM259" s="1516">
        <f t="shared" si="532"/>
        <v>-0.16615384615384615</v>
      </c>
      <c r="AN259" s="1614">
        <f t="shared" si="532"/>
        <v>1.107011070110701E-2</v>
      </c>
      <c r="AO259" s="1715">
        <f t="shared" si="532"/>
        <v>0.10583941605839416</v>
      </c>
      <c r="AP259" s="1715">
        <f t="shared" si="532"/>
        <v>5.6105610561056105E-2</v>
      </c>
      <c r="AQ259" s="1715">
        <f t="shared" si="532"/>
        <v>9.3749999999999997E-3</v>
      </c>
      <c r="AR259" s="1614">
        <f t="shared" si="532"/>
        <v>-0.6346749226006192</v>
      </c>
      <c r="AS259" s="1806"/>
      <c r="AT259" s="1518"/>
      <c r="AU259" s="1519"/>
      <c r="AV259" s="94"/>
      <c r="AW259" s="1518"/>
      <c r="AX259" s="1518"/>
      <c r="AY259" s="1519"/>
      <c r="AZ259" s="20"/>
      <c r="BA259" s="22"/>
      <c r="BB259" s="14"/>
      <c r="BC259" s="256"/>
      <c r="BD259" s="256"/>
      <c r="BE259" s="256"/>
      <c r="BF259" s="255"/>
      <c r="BG259" s="1515"/>
      <c r="BH259" s="1516"/>
      <c r="BI259" s="1614"/>
      <c r="BJ259" s="1715"/>
      <c r="BK259" s="1715"/>
      <c r="BL259" s="1715"/>
      <c r="BM259" s="1715">
        <v>0.05</v>
      </c>
      <c r="BN259" s="1715">
        <v>0.05</v>
      </c>
      <c r="BO259" s="299"/>
    </row>
    <row r="260" spans="1:72" ht="14.25" customHeight="1">
      <c r="A260" s="1"/>
      <c r="B260" s="946"/>
      <c r="C260" s="254"/>
      <c r="D260" s="269"/>
      <c r="E260" s="269"/>
      <c r="F260" s="300"/>
      <c r="G260" s="301"/>
      <c r="H260" s="300"/>
      <c r="I260" s="300"/>
      <c r="J260" s="300"/>
      <c r="K260" s="301"/>
      <c r="L260" s="300"/>
      <c r="M260" s="300"/>
      <c r="N260" s="300"/>
      <c r="O260" s="301"/>
      <c r="P260" s="300"/>
      <c r="Q260" s="300"/>
      <c r="R260" s="300"/>
      <c r="S260" s="301"/>
      <c r="T260" s="300"/>
      <c r="U260" s="300"/>
      <c r="V260" s="269"/>
      <c r="W260" s="301"/>
      <c r="X260" s="300"/>
      <c r="Y260" s="300"/>
      <c r="Z260" s="300"/>
      <c r="AA260" s="303"/>
      <c r="AB260" s="255"/>
      <c r="AC260" s="256"/>
      <c r="AD260" s="256"/>
      <c r="AE260" s="304"/>
      <c r="AF260" s="94"/>
      <c r="AG260" s="92"/>
      <c r="AH260" s="256"/>
      <c r="AI260" s="256"/>
      <c r="AJ260" s="94"/>
      <c r="AK260" s="92"/>
      <c r="AL260" s="256"/>
      <c r="AM260" s="1516"/>
      <c r="AN260" s="1606"/>
      <c r="AO260" s="1604"/>
      <c r="AP260" s="1715"/>
      <c r="AQ260" s="1715"/>
      <c r="AR260" s="1809"/>
      <c r="AS260" s="1806"/>
      <c r="AT260" s="1518"/>
      <c r="AU260" s="1519"/>
      <c r="AV260" s="94"/>
      <c r="AW260" s="1518"/>
      <c r="AX260" s="1518"/>
      <c r="AY260" s="1519"/>
      <c r="AZ260" s="20"/>
      <c r="BA260" s="22"/>
      <c r="BB260" s="14"/>
      <c r="BC260" s="256"/>
      <c r="BD260" s="256"/>
      <c r="BE260" s="256"/>
      <c r="BF260" s="255"/>
      <c r="BG260" s="1515"/>
      <c r="BH260" s="1516"/>
      <c r="BI260" s="1614"/>
      <c r="BJ260" s="1715"/>
      <c r="BK260" s="1715"/>
      <c r="BL260" s="1715"/>
      <c r="BM260" s="1715"/>
      <c r="BN260" s="1715"/>
      <c r="BO260" s="299"/>
    </row>
    <row r="261" spans="1:72" ht="14.25" customHeight="1">
      <c r="A261" s="1"/>
      <c r="B261" s="948" t="s">
        <v>488</v>
      </c>
      <c r="C261" s="34"/>
      <c r="D261" s="269"/>
      <c r="E261" s="269"/>
      <c r="F261" s="300"/>
      <c r="G261" s="301"/>
      <c r="H261" s="300"/>
      <c r="I261" s="300"/>
      <c r="J261" s="300"/>
      <c r="K261" s="301"/>
      <c r="L261" s="318" t="str">
        <f>IF(ISERROR(L252/H252-1),"",L252/H252-1)</f>
        <v/>
      </c>
      <c r="M261" s="318" t="str">
        <f>IF(ISERROR(M252/I252-1),"",M252/I252-1)</f>
        <v/>
      </c>
      <c r="N261" s="318" t="str">
        <f>IF(ISERROR(N252/J252-1),"",N252/J252-1)</f>
        <v/>
      </c>
      <c r="O261" s="339" t="str">
        <f>IF(ISERROR(O252/K252-1),"",O252/K252-1)</f>
        <v/>
      </c>
      <c r="P261" s="318"/>
      <c r="Q261" s="318"/>
      <c r="R261" s="318"/>
      <c r="S261" s="339"/>
      <c r="T261" s="318"/>
      <c r="U261" s="318"/>
      <c r="V261" s="404"/>
      <c r="W261" s="339"/>
      <c r="X261" s="318"/>
      <c r="Y261" s="318"/>
      <c r="Z261" s="318"/>
      <c r="AA261" s="317"/>
      <c r="AB261" s="652"/>
      <c r="AC261" s="317"/>
      <c r="AD261" s="317"/>
      <c r="AE261" s="339"/>
      <c r="AF261" s="652"/>
      <c r="AG261" s="317"/>
      <c r="AH261" s="317"/>
      <c r="AI261" s="317"/>
      <c r="AJ261" s="652"/>
      <c r="AK261" s="317"/>
      <c r="AL261" s="317"/>
      <c r="AM261" s="317"/>
      <c r="AN261" s="652"/>
      <c r="AO261" s="317"/>
      <c r="AP261" s="317"/>
      <c r="AQ261" s="317"/>
      <c r="AR261" s="652"/>
      <c r="AS261" s="1715"/>
      <c r="AT261" s="317"/>
      <c r="AU261" s="339"/>
      <c r="AV261" s="652"/>
      <c r="AW261" s="317"/>
      <c r="AX261" s="317"/>
      <c r="AY261" s="339"/>
      <c r="AZ261" s="20"/>
      <c r="BA261" s="652"/>
      <c r="BB261" s="317"/>
      <c r="BC261" s="256"/>
      <c r="BD261" s="256">
        <f t="shared" ref="BD261:BI261" si="533">BD252/BC252-1</f>
        <v>0.49559082892416217</v>
      </c>
      <c r="BE261" s="256">
        <f t="shared" si="533"/>
        <v>9.0801886792452935E-2</v>
      </c>
      <c r="BF261" s="255">
        <f t="shared" si="533"/>
        <v>-0.10054054054054051</v>
      </c>
      <c r="BG261" s="1515">
        <f t="shared" si="533"/>
        <v>-5.056452693647806E-2</v>
      </c>
      <c r="BH261" s="1516">
        <f t="shared" si="533"/>
        <v>0.11353711790393017</v>
      </c>
      <c r="BI261" s="1614">
        <f t="shared" si="533"/>
        <v>-2.6666666666666616E-2</v>
      </c>
      <c r="BJ261" s="1715">
        <f>BJ254/BI254-1</f>
        <v>-1.6921837228041858E-2</v>
      </c>
      <c r="BK261" s="1715">
        <f t="shared" ref="BK261" si="534">BK254/BJ254-1</f>
        <v>-0.90327868852459015</v>
      </c>
      <c r="BL261" s="1715"/>
      <c r="BM261" s="1715"/>
      <c r="BN261" s="1715"/>
      <c r="BO261" s="299"/>
    </row>
    <row r="262" spans="1:72" ht="14.25" hidden="1" customHeight="1" outlineLevel="1">
      <c r="A262" s="1"/>
      <c r="B262" s="431" t="s">
        <v>476</v>
      </c>
      <c r="C262" s="34"/>
      <c r="D262" s="269"/>
      <c r="E262" s="269"/>
      <c r="F262" s="300"/>
      <c r="G262" s="301"/>
      <c r="H262" s="300"/>
      <c r="I262" s="300"/>
      <c r="J262" s="300"/>
      <c r="K262" s="301"/>
      <c r="L262" s="318"/>
      <c r="M262" s="318"/>
      <c r="N262" s="318"/>
      <c r="O262" s="339"/>
      <c r="P262" s="318">
        <f>+P252/L252-1</f>
        <v>1.1170212765957448</v>
      </c>
      <c r="Q262" s="318">
        <f t="shared" ref="Q262:AA262" si="535">+Q252/M252-1</f>
        <v>0.62992125984251968</v>
      </c>
      <c r="R262" s="318">
        <f t="shared" si="535"/>
        <v>0.35582822085889565</v>
      </c>
      <c r="S262" s="339">
        <f t="shared" si="535"/>
        <v>0.20765027322404372</v>
      </c>
      <c r="T262" s="318">
        <f t="shared" si="535"/>
        <v>0.19095477386934667</v>
      </c>
      <c r="U262" s="318">
        <f t="shared" si="535"/>
        <v>0.18840579710144922</v>
      </c>
      <c r="V262" s="404">
        <f t="shared" si="535"/>
        <v>0.10407239819004532</v>
      </c>
      <c r="W262" s="339">
        <f t="shared" si="535"/>
        <v>-0.10407239819004521</v>
      </c>
      <c r="X262" s="318">
        <f t="shared" si="535"/>
        <v>-0.14767932489451474</v>
      </c>
      <c r="Y262" s="318">
        <f t="shared" si="535"/>
        <v>-0.1097560975609756</v>
      </c>
      <c r="Z262" s="318">
        <f t="shared" si="535"/>
        <v>-0.12704918032786883</v>
      </c>
      <c r="AA262" s="317">
        <f t="shared" si="535"/>
        <v>0</v>
      </c>
      <c r="AB262" s="652"/>
      <c r="AC262" s="317"/>
      <c r="AD262" s="317"/>
      <c r="AE262" s="339">
        <f>+AE252/AA252-1</f>
        <v>2.4390243902439268E-2</v>
      </c>
      <c r="AF262" s="652"/>
      <c r="AG262" s="317"/>
      <c r="AH262" s="317"/>
      <c r="AI262" s="317"/>
      <c r="AJ262" s="652"/>
      <c r="AK262" s="317"/>
      <c r="AL262" s="317"/>
      <c r="AM262" s="317"/>
      <c r="AN262" s="652"/>
      <c r="AO262" s="317"/>
      <c r="AP262" s="317"/>
      <c r="AQ262" s="317"/>
      <c r="AR262" s="652"/>
      <c r="AS262" s="1715"/>
      <c r="AT262" s="317"/>
      <c r="AU262" s="339"/>
      <c r="AV262" s="652"/>
      <c r="AW262" s="317"/>
      <c r="AX262" s="317"/>
      <c r="AY262" s="339"/>
      <c r="AZ262" s="20"/>
      <c r="BA262" s="652"/>
      <c r="BB262" s="317"/>
      <c r="BC262" s="256"/>
      <c r="BD262" s="256"/>
      <c r="BE262" s="256"/>
      <c r="BF262" s="255"/>
      <c r="BG262" s="1515"/>
      <c r="BH262" s="1516"/>
      <c r="BI262" s="1614"/>
      <c r="BJ262" s="1715"/>
      <c r="BK262" s="1715"/>
      <c r="BL262" s="1715"/>
      <c r="BM262" s="1715"/>
      <c r="BN262" s="1715"/>
      <c r="BO262" s="299"/>
    </row>
    <row r="263" spans="1:72" ht="14.25" hidden="1" customHeight="1" outlineLevel="1">
      <c r="A263" s="1"/>
      <c r="B263" s="431" t="s">
        <v>237</v>
      </c>
      <c r="C263" s="34"/>
      <c r="D263" s="269"/>
      <c r="E263" s="269"/>
      <c r="F263" s="300"/>
      <c r="G263" s="301"/>
      <c r="H263" s="300"/>
      <c r="I263" s="300"/>
      <c r="J263" s="300"/>
      <c r="K263" s="301"/>
      <c r="L263" s="318"/>
      <c r="M263" s="318"/>
      <c r="N263" s="318"/>
      <c r="O263" s="339"/>
      <c r="P263" s="318"/>
      <c r="Q263" s="318"/>
      <c r="R263" s="318"/>
      <c r="S263" s="339"/>
      <c r="T263" s="318">
        <f>+T253/P253-1</f>
        <v>0.14084507042253525</v>
      </c>
      <c r="U263" s="318">
        <f t="shared" ref="U263:AA263" si="536">+U253/Q253-1</f>
        <v>2.6666666666666616E-2</v>
      </c>
      <c r="V263" s="404">
        <f t="shared" si="536"/>
        <v>-6.5789473684210509E-2</v>
      </c>
      <c r="W263" s="339">
        <f t="shared" si="536"/>
        <v>-0.17333333333333334</v>
      </c>
      <c r="X263" s="318">
        <f t="shared" si="536"/>
        <v>-0.11111111111111116</v>
      </c>
      <c r="Y263" s="318">
        <f t="shared" si="536"/>
        <v>-6.4935064935064957E-2</v>
      </c>
      <c r="Z263" s="318">
        <f t="shared" si="536"/>
        <v>0.45070422535211274</v>
      </c>
      <c r="AA263" s="317">
        <f t="shared" si="536"/>
        <v>0.43548387096774199</v>
      </c>
      <c r="AB263" s="652"/>
      <c r="AC263" s="317"/>
      <c r="AD263" s="317"/>
      <c r="AE263" s="339">
        <f>+AE253/AA253-1</f>
        <v>-1</v>
      </c>
      <c r="AF263" s="652"/>
      <c r="AG263" s="317"/>
      <c r="AH263" s="317"/>
      <c r="AI263" s="317"/>
      <c r="AJ263" s="652"/>
      <c r="AK263" s="317"/>
      <c r="AL263" s="317"/>
      <c r="AM263" s="317"/>
      <c r="AN263" s="652"/>
      <c r="AO263" s="317"/>
      <c r="AP263" s="317"/>
      <c r="AQ263" s="317"/>
      <c r="AR263" s="652"/>
      <c r="AS263" s="1715"/>
      <c r="AT263" s="317"/>
      <c r="AU263" s="339"/>
      <c r="AV263" s="652"/>
      <c r="AW263" s="317"/>
      <c r="AX263" s="317"/>
      <c r="AY263" s="339"/>
      <c r="AZ263" s="20"/>
      <c r="BA263" s="652"/>
      <c r="BB263" s="317"/>
      <c r="BC263" s="256"/>
      <c r="BD263" s="256"/>
      <c r="BE263" s="256"/>
      <c r="BF263" s="255"/>
      <c r="BG263" s="1515"/>
      <c r="BH263" s="1516"/>
      <c r="BI263" s="1614"/>
      <c r="BJ263" s="1715"/>
      <c r="BK263" s="1715"/>
      <c r="BL263" s="1715"/>
      <c r="BM263" s="1715"/>
      <c r="BN263" s="1715"/>
      <c r="BO263" s="299"/>
      <c r="BR263" s="590"/>
      <c r="BS263" s="590"/>
      <c r="BT263" s="590"/>
    </row>
    <row r="264" spans="1:72" ht="14.25" customHeight="1" collapsed="1">
      <c r="A264" s="1"/>
      <c r="B264" s="946" t="s">
        <v>510</v>
      </c>
      <c r="C264" s="34"/>
      <c r="D264" s="269"/>
      <c r="E264" s="269"/>
      <c r="F264" s="300"/>
      <c r="G264" s="301"/>
      <c r="H264" s="300"/>
      <c r="I264" s="300"/>
      <c r="J264" s="300"/>
      <c r="K264" s="301"/>
      <c r="L264" s="318"/>
      <c r="M264" s="318"/>
      <c r="N264" s="318"/>
      <c r="O264" s="339"/>
      <c r="P264" s="318"/>
      <c r="Q264" s="318"/>
      <c r="R264" s="318"/>
      <c r="S264" s="339"/>
      <c r="T264" s="318">
        <f>+T254/P254-1</f>
        <v>0.17777777777777781</v>
      </c>
      <c r="U264" s="318">
        <f t="shared" ref="U264:AA264" si="537">+U254/Q254-1</f>
        <v>0.14539007092198575</v>
      </c>
      <c r="V264" s="404">
        <f t="shared" si="537"/>
        <v>6.0606060606060552E-2</v>
      </c>
      <c r="W264" s="339">
        <f t="shared" si="537"/>
        <v>-0.1216216216216216</v>
      </c>
      <c r="X264" s="318">
        <f t="shared" si="537"/>
        <v>-0.13836477987421381</v>
      </c>
      <c r="Y264" s="318">
        <f t="shared" si="537"/>
        <v>-9.9071207430340591E-2</v>
      </c>
      <c r="Z264" s="318">
        <f t="shared" si="537"/>
        <v>3.1746031746031633E-3</v>
      </c>
      <c r="AA264" s="317">
        <f t="shared" si="537"/>
        <v>0.10384615384615392</v>
      </c>
      <c r="AB264" s="652">
        <f>+AB254/X254-1</f>
        <v>1.8248175182481674E-2</v>
      </c>
      <c r="AC264" s="317">
        <f>+AC254/Y254-1</f>
        <v>-3.4364261168384869E-2</v>
      </c>
      <c r="AD264" s="317">
        <f>+AD254/Z254-1</f>
        <v>-7.9113924050632889E-2</v>
      </c>
      <c r="AE264" s="339">
        <f>+AE254/AA254-1</f>
        <v>2.4390243902439046E-2</v>
      </c>
      <c r="AF264" s="652">
        <f t="shared" ref="AF264:AR264" si="538">+AF254/AB254-1</f>
        <v>5.7347670250896154E-2</v>
      </c>
      <c r="AG264" s="317">
        <f t="shared" si="538"/>
        <v>0.12455516014234869</v>
      </c>
      <c r="AH264" s="317">
        <f t="shared" si="538"/>
        <v>0.14432989690721643</v>
      </c>
      <c r="AI264" s="317">
        <f t="shared" si="538"/>
        <v>0.12585034013605445</v>
      </c>
      <c r="AJ264" s="652">
        <f t="shared" si="538"/>
        <v>9.4915254237288194E-2</v>
      </c>
      <c r="AK264" s="317">
        <f t="shared" si="538"/>
        <v>1.8987341772152E-2</v>
      </c>
      <c r="AL264" s="317">
        <f t="shared" si="538"/>
        <v>-2.4024024024024038E-2</v>
      </c>
      <c r="AM264" s="317">
        <f t="shared" si="538"/>
        <v>-0.18126888217522663</v>
      </c>
      <c r="AN264" s="652">
        <f t="shared" si="538"/>
        <v>-0.15170278637770895</v>
      </c>
      <c r="AO264" s="317">
        <f t="shared" si="538"/>
        <v>-5.9006211180124168E-2</v>
      </c>
      <c r="AP264" s="317">
        <f t="shared" si="538"/>
        <v>-1.538461538461533E-2</v>
      </c>
      <c r="AQ264" s="317">
        <f t="shared" si="538"/>
        <v>0.19188191881918826</v>
      </c>
      <c r="AR264" s="652">
        <f t="shared" si="538"/>
        <v>-0.56934306569343063</v>
      </c>
      <c r="AS264" s="1715"/>
      <c r="AT264" s="317"/>
      <c r="AU264" s="339"/>
      <c r="AV264" s="652"/>
      <c r="AW264" s="317"/>
      <c r="AX264" s="317"/>
      <c r="AY264" s="339"/>
      <c r="AZ264" s="20"/>
      <c r="BA264" s="652"/>
      <c r="BB264" s="317"/>
      <c r="BC264" s="256"/>
      <c r="BD264" s="256"/>
      <c r="BE264" s="256"/>
      <c r="BF264" s="255"/>
      <c r="BG264" s="1515"/>
      <c r="BH264" s="1516"/>
      <c r="BI264" s="1614"/>
      <c r="BJ264" s="1715"/>
      <c r="BK264" s="1715"/>
      <c r="BL264" s="1715"/>
      <c r="BM264" s="1715">
        <f t="shared" ref="BM264:BN264" si="539">+BM254/BI254-1</f>
        <v>-1</v>
      </c>
      <c r="BN264" s="1715">
        <f t="shared" si="539"/>
        <v>-1</v>
      </c>
      <c r="BO264" s="299"/>
      <c r="BR264" s="590"/>
      <c r="BS264" s="1010"/>
      <c r="BT264" s="1010"/>
    </row>
    <row r="265" spans="1:72" ht="14.25" customHeight="1">
      <c r="A265" s="1"/>
      <c r="B265" s="435"/>
      <c r="C265" s="34"/>
      <c r="D265" s="269"/>
      <c r="E265" s="269"/>
      <c r="F265" s="300"/>
      <c r="G265" s="301"/>
      <c r="H265" s="300"/>
      <c r="I265" s="300"/>
      <c r="J265" s="300"/>
      <c r="K265" s="301"/>
      <c r="L265" s="318"/>
      <c r="M265" s="318"/>
      <c r="N265" s="318"/>
      <c r="O265" s="339"/>
      <c r="P265" s="318"/>
      <c r="Q265" s="318"/>
      <c r="R265" s="318"/>
      <c r="S265" s="339"/>
      <c r="T265" s="318"/>
      <c r="U265" s="318"/>
      <c r="V265" s="404"/>
      <c r="W265" s="339"/>
      <c r="X265" s="318"/>
      <c r="Y265" s="318"/>
      <c r="Z265" s="318"/>
      <c r="AA265" s="317"/>
      <c r="AB265" s="401"/>
      <c r="AC265" s="402"/>
      <c r="AD265" s="402"/>
      <c r="AE265" s="1369"/>
      <c r="AF265" s="401"/>
      <c r="AG265" s="402"/>
      <c r="AH265" s="402"/>
      <c r="AI265" s="402"/>
      <c r="AJ265" s="401"/>
      <c r="AK265" s="402"/>
      <c r="AL265" s="402"/>
      <c r="AM265" s="402"/>
      <c r="AN265" s="401"/>
      <c r="AO265" s="402"/>
      <c r="AP265" s="402"/>
      <c r="AQ265" s="402"/>
      <c r="AR265" s="401"/>
      <c r="AS265" s="402"/>
      <c r="AT265" s="402"/>
      <c r="AU265" s="1369"/>
      <c r="AV265" s="401"/>
      <c r="AW265" s="402"/>
      <c r="AX265" s="402"/>
      <c r="AY265" s="1369"/>
      <c r="AZ265" s="20"/>
      <c r="BA265" s="652"/>
      <c r="BB265" s="317"/>
      <c r="BC265" s="256"/>
      <c r="BD265" s="256"/>
      <c r="BE265" s="256"/>
      <c r="BF265" s="255"/>
      <c r="BG265" s="1515"/>
      <c r="BH265" s="1516"/>
      <c r="BI265" s="1614"/>
      <c r="BJ265" s="1715"/>
      <c r="BK265" s="1715"/>
      <c r="BL265" s="1715"/>
      <c r="BM265" s="1715"/>
      <c r="BN265" s="1715"/>
      <c r="BO265" s="299"/>
      <c r="BR265" s="590"/>
      <c r="BS265" s="590"/>
      <c r="BT265" s="590"/>
    </row>
    <row r="266" spans="1:72" ht="14.25" customHeight="1">
      <c r="A266" s="1"/>
      <c r="B266" s="1032" t="s">
        <v>207</v>
      </c>
      <c r="C266" s="704"/>
      <c r="D266" s="1037"/>
      <c r="E266" s="1037"/>
      <c r="F266" s="1037"/>
      <c r="G266" s="1038"/>
      <c r="H266" s="1039"/>
      <c r="I266" s="1039"/>
      <c r="J266" s="1039"/>
      <c r="K266" s="1040"/>
      <c r="L266" s="1039"/>
      <c r="M266" s="1039"/>
      <c r="N266" s="1039"/>
      <c r="O266" s="1040"/>
      <c r="P266" s="1039"/>
      <c r="Q266" s="1039"/>
      <c r="R266" s="1039"/>
      <c r="S266" s="1040"/>
      <c r="T266" s="1039"/>
      <c r="U266" s="1039"/>
      <c r="V266" s="1039"/>
      <c r="W266" s="1040"/>
      <c r="X266" s="1039"/>
      <c r="Y266" s="1039"/>
      <c r="Z266" s="1039"/>
      <c r="AA266" s="1039"/>
      <c r="AB266" s="1218"/>
      <c r="AC266" s="1039"/>
      <c r="AD266" s="1039"/>
      <c r="AE266" s="1040"/>
      <c r="AF266" s="1218"/>
      <c r="AG266" s="1039"/>
      <c r="AH266" s="1039"/>
      <c r="AI266" s="1039"/>
      <c r="AJ266" s="1218"/>
      <c r="AK266" s="1039"/>
      <c r="AL266" s="1039"/>
      <c r="AM266" s="1591"/>
      <c r="AN266" s="1667"/>
      <c r="AO266" s="1651"/>
      <c r="AP266" s="1651"/>
      <c r="AQ266" s="1651"/>
      <c r="AR266" s="1218"/>
      <c r="AS266" s="1039"/>
      <c r="AT266" s="1039"/>
      <c r="AU266" s="1040"/>
      <c r="AV266" s="1218"/>
      <c r="AW266" s="1039"/>
      <c r="AX266" s="1039"/>
      <c r="AY266" s="1040"/>
      <c r="AZ266" s="20"/>
      <c r="BA266" s="1223"/>
      <c r="BB266" s="1224"/>
      <c r="BC266" s="1225"/>
      <c r="BD266" s="1225"/>
      <c r="BE266" s="1225"/>
      <c r="BF266" s="1226"/>
      <c r="BG266" s="1218"/>
      <c r="BH266" s="1039"/>
      <c r="BI266" s="1667"/>
      <c r="BJ266" s="1651"/>
      <c r="BK266" s="1651"/>
      <c r="BL266" s="1651"/>
      <c r="BM266" s="1651"/>
      <c r="BN266" s="1651"/>
      <c r="BO266" s="299"/>
    </row>
    <row r="267" spans="1:72" ht="14.25" customHeight="1">
      <c r="A267" s="1"/>
      <c r="B267" s="437" t="s">
        <v>161</v>
      </c>
      <c r="C267" s="254"/>
      <c r="D267" s="92"/>
      <c r="E267" s="92"/>
      <c r="F267" s="92"/>
      <c r="G267" s="93"/>
      <c r="H267" s="90"/>
      <c r="I267" s="90"/>
      <c r="J267" s="256"/>
      <c r="K267" s="301"/>
      <c r="L267" s="256"/>
      <c r="M267" s="256"/>
      <c r="N267" s="256"/>
      <c r="O267" s="301"/>
      <c r="P267" s="612">
        <v>270</v>
      </c>
      <c r="Q267" s="612">
        <v>282</v>
      </c>
      <c r="R267" s="612">
        <v>297</v>
      </c>
      <c r="S267" s="611">
        <v>296</v>
      </c>
      <c r="T267" s="612">
        <v>318</v>
      </c>
      <c r="U267" s="612">
        <v>323</v>
      </c>
      <c r="V267" s="614">
        <v>315</v>
      </c>
      <c r="W267" s="611">
        <v>260</v>
      </c>
      <c r="X267" s="612">
        <v>274</v>
      </c>
      <c r="Y267" s="614">
        <v>291</v>
      </c>
      <c r="Z267" s="614">
        <v>316</v>
      </c>
      <c r="AA267" s="614">
        <v>287</v>
      </c>
      <c r="AB267" s="979">
        <v>279</v>
      </c>
      <c r="AC267" s="614">
        <v>281</v>
      </c>
      <c r="AD267" s="614">
        <v>291</v>
      </c>
      <c r="AE267" s="980">
        <v>294</v>
      </c>
      <c r="AF267" s="1230">
        <f>+AF254</f>
        <v>295</v>
      </c>
      <c r="AG267" s="1231">
        <v>316</v>
      </c>
      <c r="AH267" s="1231">
        <v>291</v>
      </c>
      <c r="AI267" s="1231">
        <v>331</v>
      </c>
      <c r="AJ267" s="979">
        <f>+AJ254</f>
        <v>323</v>
      </c>
      <c r="AK267" s="1231">
        <v>316</v>
      </c>
      <c r="AL267" s="1231">
        <v>291</v>
      </c>
      <c r="AM267" s="1231">
        <v>291</v>
      </c>
      <c r="AN267" s="979">
        <f>+AN254</f>
        <v>274</v>
      </c>
      <c r="AO267" s="1231">
        <f t="shared" ref="AO267:AR267" si="540">+AO254</f>
        <v>303</v>
      </c>
      <c r="AP267" s="1231">
        <f t="shared" si="540"/>
        <v>320</v>
      </c>
      <c r="AQ267" s="1231">
        <f t="shared" si="540"/>
        <v>323</v>
      </c>
      <c r="AR267" s="979">
        <f t="shared" si="540"/>
        <v>118</v>
      </c>
      <c r="AS267" s="1231">
        <v>0</v>
      </c>
      <c r="AT267" s="1231">
        <v>0</v>
      </c>
      <c r="AU267" s="1232"/>
      <c r="AV267" s="1230"/>
      <c r="AW267" s="1231"/>
      <c r="AX267" s="1231"/>
      <c r="AY267" s="1232"/>
      <c r="AZ267" s="20"/>
      <c r="BA267" s="696"/>
      <c r="BB267" s="697"/>
      <c r="BC267" s="1199"/>
      <c r="BD267" s="1227">
        <f>SUM(P267:S267)</f>
        <v>1145</v>
      </c>
      <c r="BE267" s="1227">
        <f>SUM(T267:W267)</f>
        <v>1216</v>
      </c>
      <c r="BF267" s="1228">
        <f>SUM(X267:AA267)</f>
        <v>1168</v>
      </c>
      <c r="BG267" s="939">
        <f>SUM(AB267:AE267)</f>
        <v>1145</v>
      </c>
      <c r="BH267" s="341">
        <f>SUM(AF267:AI267)</f>
        <v>1233</v>
      </c>
      <c r="BI267" s="939">
        <f>SUM(AJ267:AM267)</f>
        <v>1221</v>
      </c>
      <c r="BJ267" s="341">
        <f>SUM(AN267:AQ267)</f>
        <v>1220</v>
      </c>
      <c r="BK267" s="341">
        <f>SUM(AR267:AU267)</f>
        <v>118</v>
      </c>
      <c r="BL267" s="341">
        <f>SUM(AV267:AY267)</f>
        <v>0</v>
      </c>
      <c r="BM267" s="341">
        <f t="shared" ref="BM267:BN267" si="541">+BM254</f>
        <v>0</v>
      </c>
      <c r="BN267" s="341">
        <f t="shared" si="541"/>
        <v>0</v>
      </c>
      <c r="BO267" s="299"/>
      <c r="BR267" s="819"/>
      <c r="BS267" s="819"/>
      <c r="BT267" s="819"/>
    </row>
    <row r="268" spans="1:72" s="912" customFormat="1" ht="14.25" customHeight="1">
      <c r="B268" s="1006" t="s">
        <v>489</v>
      </c>
      <c r="C268" s="997"/>
      <c r="D268" s="1295"/>
      <c r="E268" s="1295"/>
      <c r="F268" s="1295"/>
      <c r="G268" s="998"/>
      <c r="H268" s="1116"/>
      <c r="I268" s="1116"/>
      <c r="J268" s="458"/>
      <c r="K268" s="497"/>
      <c r="L268" s="458"/>
      <c r="M268" s="458"/>
      <c r="N268" s="458"/>
      <c r="O268" s="497"/>
      <c r="P268" s="458">
        <v>0.249</v>
      </c>
      <c r="Q268" s="458">
        <v>0.252</v>
      </c>
      <c r="R268" s="458">
        <v>0.26500000000000001</v>
      </c>
      <c r="S268" s="497">
        <v>0.27500000000000002</v>
      </c>
      <c r="T268" s="458">
        <v>0.29399999999999998</v>
      </c>
      <c r="U268" s="458">
        <v>0.28799999999999998</v>
      </c>
      <c r="V268" s="1116">
        <v>0.29699999999999999</v>
      </c>
      <c r="W268" s="497">
        <v>0.27900000000000003</v>
      </c>
      <c r="X268" s="458">
        <v>0.28000000000000003</v>
      </c>
      <c r="Y268" s="1116">
        <v>0.26600000000000001</v>
      </c>
      <c r="Z268" s="1116">
        <v>0.27</v>
      </c>
      <c r="AA268" s="1116">
        <v>0.25700000000000001</v>
      </c>
      <c r="AB268" s="1179">
        <v>0.25700000000000001</v>
      </c>
      <c r="AC268" s="1116">
        <v>0.23699999999999999</v>
      </c>
      <c r="AD268" s="1116">
        <v>0.23300000000000001</v>
      </c>
      <c r="AE268" s="999">
        <v>0.22700000000000001</v>
      </c>
      <c r="AF268" s="1179">
        <v>0.23699999999999999</v>
      </c>
      <c r="AG268" s="1116">
        <v>0.23400000000000001</v>
      </c>
      <c r="AH268" s="1116">
        <v>0.23300000000000001</v>
      </c>
      <c r="AI268" s="1116">
        <v>0.23300000000000001</v>
      </c>
      <c r="AJ268" s="1179">
        <v>0.23699999999999999</v>
      </c>
      <c r="AK268" s="1116">
        <v>0.23400000000000001</v>
      </c>
      <c r="AL268" s="1116">
        <v>0.23300000000000001</v>
      </c>
      <c r="AM268" s="1116">
        <v>0.23300000000000001</v>
      </c>
      <c r="AN268" s="1179">
        <v>0.23699999999999999</v>
      </c>
      <c r="AO268" s="1116">
        <v>0.23400000000000001</v>
      </c>
      <c r="AP268" s="1116">
        <v>0.23300000000000001</v>
      </c>
      <c r="AQ268" s="1116">
        <v>0.23300000000000001</v>
      </c>
      <c r="AR268" s="1179">
        <v>5.2999999999999999E-2</v>
      </c>
      <c r="AS268" s="1116"/>
      <c r="AT268" s="1116"/>
      <c r="AU268" s="999"/>
      <c r="AV268" s="1179"/>
      <c r="AW268" s="1116"/>
      <c r="AX268" s="1116"/>
      <c r="AY268" s="999"/>
      <c r="AZ268" s="1918"/>
      <c r="BA268" s="1103"/>
      <c r="BB268" s="458"/>
      <c r="BC268" s="458"/>
      <c r="BD268" s="1113"/>
      <c r="BE268" s="1113"/>
      <c r="BF268" s="1215"/>
      <c r="BG268" s="1179">
        <f t="shared" ref="BG268:BK268" si="542">BG267/BG459</f>
        <v>0.23779854620976115</v>
      </c>
      <c r="BH268" s="1116">
        <f t="shared" si="542"/>
        <v>0.21834602443775455</v>
      </c>
      <c r="BI268" s="1179">
        <f t="shared" si="542"/>
        <v>0.20029527559055119</v>
      </c>
      <c r="BJ268" s="1116">
        <f t="shared" si="542"/>
        <v>0.12850221192331998</v>
      </c>
      <c r="BK268" s="1116">
        <f t="shared" si="542"/>
        <v>1.274848746758859E-2</v>
      </c>
      <c r="BL268" s="1116"/>
      <c r="BM268" s="1116"/>
      <c r="BN268" s="1116"/>
      <c r="BO268" s="1000"/>
      <c r="BR268" s="603"/>
      <c r="BS268" s="603"/>
      <c r="BT268" s="603"/>
    </row>
    <row r="269" spans="1:72" s="460" customFormat="1" ht="14.25" hidden="1" customHeight="1" outlineLevel="1">
      <c r="A269" s="408"/>
      <c r="B269" s="635"/>
      <c r="C269" s="452"/>
      <c r="D269" s="1296"/>
      <c r="E269" s="1296"/>
      <c r="F269" s="1296"/>
      <c r="G269" s="454"/>
      <c r="H269" s="1117"/>
      <c r="I269" s="1117"/>
      <c r="J269" s="916"/>
      <c r="K269" s="457"/>
      <c r="L269" s="916"/>
      <c r="M269" s="916"/>
      <c r="N269" s="916"/>
      <c r="O269" s="457"/>
      <c r="P269" s="556"/>
      <c r="Q269" s="556"/>
      <c r="R269" s="556"/>
      <c r="S269" s="500"/>
      <c r="T269" s="556"/>
      <c r="U269" s="556"/>
      <c r="V269" s="688"/>
      <c r="W269" s="500"/>
      <c r="X269" s="556"/>
      <c r="Y269" s="688"/>
      <c r="Z269" s="688"/>
      <c r="AA269" s="688"/>
      <c r="AB269" s="1177"/>
      <c r="AC269" s="688"/>
      <c r="AD269" s="1117"/>
      <c r="AE269" s="978"/>
      <c r="AF269" s="1282"/>
      <c r="AG269" s="688"/>
      <c r="AH269" s="1117"/>
      <c r="AI269" s="1117"/>
      <c r="AJ269" s="1282"/>
      <c r="AK269" s="688"/>
      <c r="AL269" s="1117"/>
      <c r="AM269" s="1592"/>
      <c r="AN269" s="1666"/>
      <c r="AO269" s="688"/>
      <c r="AP269" s="1660"/>
      <c r="AQ269" s="1660"/>
      <c r="AR269" s="1282"/>
      <c r="AS269" s="1117"/>
      <c r="AT269" s="1117"/>
      <c r="AU269" s="996"/>
      <c r="AV269" s="1282"/>
      <c r="AW269" s="1117"/>
      <c r="AX269" s="1117"/>
      <c r="AY269" s="996"/>
      <c r="AZ269" s="1907"/>
      <c r="BA269" s="1103"/>
      <c r="BB269" s="458"/>
      <c r="BC269" s="916"/>
      <c r="BD269" s="1113"/>
      <c r="BE269" s="1113"/>
      <c r="BF269" s="1215"/>
      <c r="BG269" s="1282"/>
      <c r="BH269" s="1117"/>
      <c r="BI269" s="1666"/>
      <c r="BJ269" s="1660"/>
      <c r="BK269" s="1660"/>
      <c r="BL269" s="1660"/>
      <c r="BM269" s="1660"/>
      <c r="BN269" s="1660"/>
      <c r="BO269" s="459"/>
    </row>
    <row r="270" spans="1:72" ht="14.25" hidden="1" customHeight="1" outlineLevel="1">
      <c r="A270" s="1"/>
      <c r="B270" s="437" t="s">
        <v>24</v>
      </c>
      <c r="C270" s="254"/>
      <c r="D270" s="92"/>
      <c r="E270" s="92"/>
      <c r="F270" s="92"/>
      <c r="G270" s="93"/>
      <c r="H270" s="90"/>
      <c r="I270" s="90"/>
      <c r="J270" s="256"/>
      <c r="K270" s="301"/>
      <c r="L270" s="256"/>
      <c r="M270" s="256"/>
      <c r="N270" s="256"/>
      <c r="O270" s="301"/>
      <c r="P270" s="612">
        <v>82</v>
      </c>
      <c r="Q270" s="612">
        <v>98</v>
      </c>
      <c r="R270" s="612">
        <v>111</v>
      </c>
      <c r="S270" s="611">
        <v>119</v>
      </c>
      <c r="T270" s="612">
        <v>123</v>
      </c>
      <c r="U270" s="612">
        <v>124</v>
      </c>
      <c r="V270" s="614">
        <v>116</v>
      </c>
      <c r="W270" s="611">
        <v>86</v>
      </c>
      <c r="X270" s="612">
        <v>81</v>
      </c>
      <c r="Y270" s="614">
        <v>88</v>
      </c>
      <c r="Z270" s="614">
        <v>107</v>
      </c>
      <c r="AA270" s="614">
        <v>70</v>
      </c>
      <c r="AB270" s="979">
        <v>70</v>
      </c>
      <c r="AC270" s="614">
        <v>68</v>
      </c>
      <c r="AD270" s="614">
        <v>81</v>
      </c>
      <c r="AE270" s="980">
        <v>66</v>
      </c>
      <c r="AF270" s="979">
        <v>85</v>
      </c>
      <c r="AG270" s="614">
        <v>91</v>
      </c>
      <c r="AH270" s="614">
        <v>81</v>
      </c>
      <c r="AI270" s="614">
        <v>103</v>
      </c>
      <c r="AJ270" s="979">
        <v>110</v>
      </c>
      <c r="AK270" s="614">
        <v>91</v>
      </c>
      <c r="AL270" s="614">
        <v>81</v>
      </c>
      <c r="AM270" s="1573">
        <v>81</v>
      </c>
      <c r="AN270" s="979">
        <v>110</v>
      </c>
      <c r="AO270" s="614">
        <v>91</v>
      </c>
      <c r="AP270" s="614">
        <v>81</v>
      </c>
      <c r="AQ270" s="1825">
        <v>81</v>
      </c>
      <c r="AR270" s="159"/>
      <c r="AS270" s="1506"/>
      <c r="AT270" s="1506"/>
      <c r="AU270" s="91"/>
      <c r="AV270" s="159"/>
      <c r="AW270" s="1506"/>
      <c r="AX270" s="1506"/>
      <c r="AY270" s="91"/>
      <c r="AZ270" s="20"/>
      <c r="BA270" s="652"/>
      <c r="BB270" s="317"/>
      <c r="BC270" s="256"/>
      <c r="BD270" s="705">
        <f t="shared" ref="BD270:BD275" si="543">SUM(P270:S270)</f>
        <v>410</v>
      </c>
      <c r="BE270" s="705">
        <f t="shared" ref="BE270:BE275" si="544">SUM(T270:W270)</f>
        <v>449</v>
      </c>
      <c r="BF270" s="736">
        <f t="shared" ref="BF270:BF275" si="545">SUM(X270:AA270)</f>
        <v>346</v>
      </c>
      <c r="BG270" s="159"/>
      <c r="BH270" s="1506"/>
      <c r="BI270" s="1607"/>
      <c r="BJ270" s="1603"/>
      <c r="BK270" s="1603"/>
      <c r="BL270" s="1806"/>
      <c r="BM270" s="1806"/>
      <c r="BN270" s="1806"/>
      <c r="BO270" s="299"/>
    </row>
    <row r="271" spans="1:72" ht="14.25" hidden="1" customHeight="1" outlineLevel="2">
      <c r="A271" s="1"/>
      <c r="B271" s="437" t="s">
        <v>8</v>
      </c>
      <c r="C271" s="254"/>
      <c r="D271" s="92"/>
      <c r="E271" s="92"/>
      <c r="F271" s="92"/>
      <c r="G271" s="93"/>
      <c r="H271" s="90"/>
      <c r="I271" s="90"/>
      <c r="J271" s="256"/>
      <c r="K271" s="301"/>
      <c r="L271" s="256"/>
      <c r="M271" s="256"/>
      <c r="N271" s="256"/>
      <c r="O271" s="301"/>
      <c r="P271" s="612">
        <v>-2</v>
      </c>
      <c r="Q271" s="612">
        <v>0</v>
      </c>
      <c r="R271" s="612">
        <v>-1</v>
      </c>
      <c r="S271" s="611">
        <v>0</v>
      </c>
      <c r="T271" s="612">
        <v>0</v>
      </c>
      <c r="U271" s="612">
        <v>0</v>
      </c>
      <c r="V271" s="614">
        <v>-2</v>
      </c>
      <c r="W271" s="611">
        <v>-1</v>
      </c>
      <c r="X271" s="612">
        <v>-1</v>
      </c>
      <c r="Y271" s="614">
        <v>-1</v>
      </c>
      <c r="Z271" s="614">
        <v>-1</v>
      </c>
      <c r="AA271" s="614">
        <v>0</v>
      </c>
      <c r="AB271" s="979">
        <v>-1</v>
      </c>
      <c r="AC271" s="614">
        <v>0</v>
      </c>
      <c r="AD271" s="614">
        <v>0</v>
      </c>
      <c r="AE271" s="980">
        <v>-1</v>
      </c>
      <c r="AF271" s="979">
        <v>0</v>
      </c>
      <c r="AG271" s="614">
        <v>-1</v>
      </c>
      <c r="AH271" s="614">
        <v>0</v>
      </c>
      <c r="AI271" s="614">
        <v>0</v>
      </c>
      <c r="AJ271" s="979">
        <v>-1</v>
      </c>
      <c r="AK271" s="614">
        <v>-1</v>
      </c>
      <c r="AL271" s="614">
        <v>0</v>
      </c>
      <c r="AM271" s="1573">
        <v>0</v>
      </c>
      <c r="AN271" s="979">
        <v>-1</v>
      </c>
      <c r="AO271" s="614">
        <v>-1</v>
      </c>
      <c r="AP271" s="614">
        <v>0</v>
      </c>
      <c r="AQ271" s="1825">
        <v>0</v>
      </c>
      <c r="AR271" s="159"/>
      <c r="AS271" s="1506"/>
      <c r="AT271" s="1506"/>
      <c r="AU271" s="91"/>
      <c r="AV271" s="159"/>
      <c r="AW271" s="1506"/>
      <c r="AX271" s="1506"/>
      <c r="AY271" s="91"/>
      <c r="AZ271" s="20"/>
      <c r="BA271" s="652"/>
      <c r="BB271" s="317"/>
      <c r="BC271" s="256"/>
      <c r="BD271" s="705">
        <f t="shared" si="543"/>
        <v>-3</v>
      </c>
      <c r="BE271" s="705">
        <f t="shared" si="544"/>
        <v>-3</v>
      </c>
      <c r="BF271" s="736">
        <f t="shared" si="545"/>
        <v>-3</v>
      </c>
      <c r="BG271" s="159"/>
      <c r="BH271" s="1506"/>
      <c r="BI271" s="1607"/>
      <c r="BJ271" s="1603"/>
      <c r="BK271" s="1603"/>
      <c r="BL271" s="1806"/>
      <c r="BM271" s="1806"/>
      <c r="BN271" s="1806"/>
      <c r="BO271" s="299"/>
    </row>
    <row r="272" spans="1:72" ht="14.25" hidden="1" customHeight="1" outlineLevel="2">
      <c r="A272" s="1"/>
      <c r="B272" s="437" t="s">
        <v>349</v>
      </c>
      <c r="C272" s="254"/>
      <c r="D272" s="92"/>
      <c r="E272" s="92"/>
      <c r="F272" s="92"/>
      <c r="G272" s="93"/>
      <c r="H272" s="90"/>
      <c r="I272" s="90"/>
      <c r="J272" s="256"/>
      <c r="K272" s="301"/>
      <c r="L272" s="256"/>
      <c r="M272" s="256"/>
      <c r="N272" s="256"/>
      <c r="O272" s="301"/>
      <c r="P272" s="612">
        <v>3</v>
      </c>
      <c r="Q272" s="612">
        <v>1</v>
      </c>
      <c r="R272" s="612">
        <v>-1</v>
      </c>
      <c r="S272" s="611">
        <v>1</v>
      </c>
      <c r="T272" s="612">
        <v>0</v>
      </c>
      <c r="U272" s="612">
        <v>-1</v>
      </c>
      <c r="V272" s="614">
        <v>0</v>
      </c>
      <c r="W272" s="611">
        <v>-7</v>
      </c>
      <c r="X272" s="612">
        <v>0</v>
      </c>
      <c r="Y272" s="614">
        <v>-1</v>
      </c>
      <c r="Z272" s="614">
        <v>1</v>
      </c>
      <c r="AA272" s="614">
        <v>-15</v>
      </c>
      <c r="AB272" s="979">
        <v>-1</v>
      </c>
      <c r="AC272" s="614">
        <v>5</v>
      </c>
      <c r="AD272" s="614">
        <v>-2</v>
      </c>
      <c r="AE272" s="980">
        <v>-18</v>
      </c>
      <c r="AF272" s="979">
        <v>-7</v>
      </c>
      <c r="AG272" s="614">
        <v>-12</v>
      </c>
      <c r="AH272" s="614">
        <v>-2</v>
      </c>
      <c r="AI272" s="614">
        <v>-6</v>
      </c>
      <c r="AJ272" s="979"/>
      <c r="AK272" s="614">
        <v>-12</v>
      </c>
      <c r="AL272" s="614">
        <v>-2</v>
      </c>
      <c r="AM272" s="1573">
        <v>-2</v>
      </c>
      <c r="AN272" s="979"/>
      <c r="AO272" s="614">
        <v>-12</v>
      </c>
      <c r="AP272" s="614">
        <v>-2</v>
      </c>
      <c r="AQ272" s="1825">
        <v>-2</v>
      </c>
      <c r="AR272" s="159"/>
      <c r="AS272" s="1506"/>
      <c r="AT272" s="1506"/>
      <c r="AU272" s="91"/>
      <c r="AV272" s="159"/>
      <c r="AW272" s="1506"/>
      <c r="AX272" s="1506"/>
      <c r="AY272" s="91"/>
      <c r="AZ272" s="20"/>
      <c r="BA272" s="652"/>
      <c r="BB272" s="317"/>
      <c r="BC272" s="256"/>
      <c r="BD272" s="705">
        <f t="shared" si="543"/>
        <v>4</v>
      </c>
      <c r="BE272" s="705">
        <f t="shared" si="544"/>
        <v>-8</v>
      </c>
      <c r="BF272" s="736">
        <f t="shared" si="545"/>
        <v>-15</v>
      </c>
      <c r="BG272" s="159"/>
      <c r="BH272" s="1506"/>
      <c r="BI272" s="1607"/>
      <c r="BJ272" s="1603"/>
      <c r="BK272" s="1603"/>
      <c r="BL272" s="1806"/>
      <c r="BM272" s="1806"/>
      <c r="BN272" s="1806"/>
      <c r="BO272" s="299"/>
    </row>
    <row r="273" spans="1:67" ht="14.25" hidden="1" customHeight="1" outlineLevel="2">
      <c r="A273" s="1"/>
      <c r="B273" s="437" t="s">
        <v>9</v>
      </c>
      <c r="C273" s="254"/>
      <c r="D273" s="92"/>
      <c r="E273" s="92"/>
      <c r="F273" s="92"/>
      <c r="G273" s="93"/>
      <c r="H273" s="90"/>
      <c r="I273" s="90"/>
      <c r="J273" s="256"/>
      <c r="K273" s="301"/>
      <c r="L273" s="256"/>
      <c r="M273" s="256"/>
      <c r="N273" s="256"/>
      <c r="O273" s="301"/>
      <c r="P273" s="612">
        <v>0</v>
      </c>
      <c r="Q273" s="612">
        <v>0</v>
      </c>
      <c r="R273" s="612">
        <v>0</v>
      </c>
      <c r="S273" s="611">
        <v>0</v>
      </c>
      <c r="T273" s="612">
        <v>0</v>
      </c>
      <c r="U273" s="612">
        <v>0</v>
      </c>
      <c r="V273" s="614">
        <v>0</v>
      </c>
      <c r="W273" s="611">
        <v>0</v>
      </c>
      <c r="X273" s="612">
        <v>0</v>
      </c>
      <c r="Y273" s="614">
        <v>0</v>
      </c>
      <c r="Z273" s="614">
        <v>0</v>
      </c>
      <c r="AA273" s="614">
        <v>-1</v>
      </c>
      <c r="AB273" s="979">
        <v>0</v>
      </c>
      <c r="AC273" s="614">
        <v>-1</v>
      </c>
      <c r="AD273" s="614">
        <v>0</v>
      </c>
      <c r="AE273" s="980">
        <v>-1</v>
      </c>
      <c r="AF273" s="979">
        <v>-1</v>
      </c>
      <c r="AG273" s="614">
        <v>0</v>
      </c>
      <c r="AH273" s="614">
        <v>0</v>
      </c>
      <c r="AI273" s="614">
        <v>-1</v>
      </c>
      <c r="AJ273" s="979">
        <v>-1</v>
      </c>
      <c r="AK273" s="614">
        <v>0</v>
      </c>
      <c r="AL273" s="614">
        <v>0</v>
      </c>
      <c r="AM273" s="1573">
        <v>0</v>
      </c>
      <c r="AN273" s="979">
        <v>-1</v>
      </c>
      <c r="AO273" s="614">
        <v>0</v>
      </c>
      <c r="AP273" s="614">
        <v>0</v>
      </c>
      <c r="AQ273" s="1825">
        <v>0</v>
      </c>
      <c r="AR273" s="159"/>
      <c r="AS273" s="1506"/>
      <c r="AT273" s="1506"/>
      <c r="AU273" s="91"/>
      <c r="AV273" s="159"/>
      <c r="AW273" s="1506"/>
      <c r="AX273" s="1506"/>
      <c r="AY273" s="91"/>
      <c r="AZ273" s="20"/>
      <c r="BA273" s="652"/>
      <c r="BB273" s="317"/>
      <c r="BC273" s="256"/>
      <c r="BD273" s="705">
        <f t="shared" si="543"/>
        <v>0</v>
      </c>
      <c r="BE273" s="705">
        <f t="shared" si="544"/>
        <v>0</v>
      </c>
      <c r="BF273" s="736">
        <f t="shared" si="545"/>
        <v>-1</v>
      </c>
      <c r="BG273" s="159"/>
      <c r="BH273" s="1506"/>
      <c r="BI273" s="1607"/>
      <c r="BJ273" s="1603"/>
      <c r="BK273" s="1603"/>
      <c r="BL273" s="1806"/>
      <c r="BM273" s="1806"/>
      <c r="BN273" s="1806"/>
      <c r="BO273" s="299"/>
    </row>
    <row r="274" spans="1:67" s="468" customFormat="1" ht="14.25" hidden="1" customHeight="1" outlineLevel="2">
      <c r="B274" s="469" t="s">
        <v>10</v>
      </c>
      <c r="C274" s="470"/>
      <c r="D274" s="1297"/>
      <c r="E274" s="1297"/>
      <c r="F274" s="1297"/>
      <c r="G274" s="472"/>
      <c r="H274" s="1118"/>
      <c r="I274" s="1118"/>
      <c r="J274" s="477"/>
      <c r="K274" s="475"/>
      <c r="L274" s="477"/>
      <c r="M274" s="477"/>
      <c r="N274" s="477"/>
      <c r="O274" s="475"/>
      <c r="P274" s="1298">
        <v>-1</v>
      </c>
      <c r="Q274" s="1298">
        <v>0</v>
      </c>
      <c r="R274" s="1298">
        <v>0</v>
      </c>
      <c r="S274" s="1001">
        <v>0</v>
      </c>
      <c r="T274" s="1298">
        <v>0</v>
      </c>
      <c r="U274" s="1298">
        <v>0</v>
      </c>
      <c r="V274" s="1245">
        <v>0</v>
      </c>
      <c r="W274" s="1001">
        <v>0</v>
      </c>
      <c r="X274" s="1298">
        <v>0</v>
      </c>
      <c r="Y274" s="1245">
        <v>0</v>
      </c>
      <c r="Z274" s="1245">
        <v>0</v>
      </c>
      <c r="AA274" s="1245">
        <v>-1</v>
      </c>
      <c r="AB274" s="1274">
        <v>-1</v>
      </c>
      <c r="AC274" s="1245">
        <v>-3</v>
      </c>
      <c r="AD274" s="1245">
        <v>-2</v>
      </c>
      <c r="AE274" s="1002">
        <v>-6</v>
      </c>
      <c r="AF274" s="1274">
        <v>-5</v>
      </c>
      <c r="AG274" s="1245">
        <v>-1</v>
      </c>
      <c r="AH274" s="1245">
        <v>-2</v>
      </c>
      <c r="AI274" s="1245">
        <v>-3</v>
      </c>
      <c r="AJ274" s="1274">
        <v>-1</v>
      </c>
      <c r="AK274" s="1245">
        <v>-1</v>
      </c>
      <c r="AL274" s="1245">
        <v>-2</v>
      </c>
      <c r="AM274" s="1593">
        <v>-2</v>
      </c>
      <c r="AN274" s="1274">
        <v>-1</v>
      </c>
      <c r="AO274" s="1245">
        <v>-1</v>
      </c>
      <c r="AP274" s="1245">
        <v>-2</v>
      </c>
      <c r="AQ274" s="1826">
        <v>-2</v>
      </c>
      <c r="AR274" s="1283"/>
      <c r="AS274" s="1118"/>
      <c r="AT274" s="1118"/>
      <c r="AU274" s="1003"/>
      <c r="AV274" s="1283"/>
      <c r="AW274" s="1118"/>
      <c r="AX274" s="1118"/>
      <c r="AY274" s="1003"/>
      <c r="AZ274" s="476"/>
      <c r="BA274" s="922"/>
      <c r="BB274" s="477"/>
      <c r="BC274" s="477"/>
      <c r="BD274" s="1007">
        <f t="shared" si="543"/>
        <v>-1</v>
      </c>
      <c r="BE274" s="1007">
        <f t="shared" si="544"/>
        <v>0</v>
      </c>
      <c r="BF274" s="760">
        <f t="shared" si="545"/>
        <v>-1</v>
      </c>
      <c r="BG274" s="1283"/>
      <c r="BH274" s="1118"/>
      <c r="BI274" s="1668"/>
      <c r="BJ274" s="1661"/>
      <c r="BK274" s="1661"/>
      <c r="BL274" s="1661"/>
      <c r="BM274" s="1661"/>
      <c r="BN274" s="1661"/>
      <c r="BO274" s="479"/>
    </row>
    <row r="275" spans="1:67" ht="14.25" hidden="1" customHeight="1" outlineLevel="1">
      <c r="A275" s="1"/>
      <c r="B275" s="437" t="s">
        <v>25</v>
      </c>
      <c r="C275" s="254"/>
      <c r="D275" s="92"/>
      <c r="E275" s="92"/>
      <c r="F275" s="92"/>
      <c r="G275" s="93"/>
      <c r="H275" s="90"/>
      <c r="I275" s="90"/>
      <c r="J275" s="256"/>
      <c r="K275" s="301"/>
      <c r="L275" s="256"/>
      <c r="M275" s="256"/>
      <c r="N275" s="256"/>
      <c r="O275" s="301"/>
      <c r="P275" s="612">
        <v>82</v>
      </c>
      <c r="Q275" s="612">
        <v>97</v>
      </c>
      <c r="R275" s="612">
        <v>113</v>
      </c>
      <c r="S275" s="611">
        <v>118</v>
      </c>
      <c r="T275" s="612">
        <v>123</v>
      </c>
      <c r="U275" s="612">
        <v>125</v>
      </c>
      <c r="V275" s="614">
        <v>118</v>
      </c>
      <c r="W275" s="611">
        <v>94</v>
      </c>
      <c r="X275" s="612">
        <v>82</v>
      </c>
      <c r="Y275" s="614">
        <v>90</v>
      </c>
      <c r="Z275" s="614">
        <v>107</v>
      </c>
      <c r="AA275" s="614">
        <v>87</v>
      </c>
      <c r="AB275" s="979">
        <v>73</v>
      </c>
      <c r="AC275" s="614">
        <v>67</v>
      </c>
      <c r="AD275" s="614">
        <v>85</v>
      </c>
      <c r="AE275" s="980">
        <v>92</v>
      </c>
      <c r="AF275" s="979">
        <v>98</v>
      </c>
      <c r="AG275" s="614">
        <v>105</v>
      </c>
      <c r="AH275" s="614">
        <v>85</v>
      </c>
      <c r="AI275" s="614">
        <v>113</v>
      </c>
      <c r="AJ275" s="979">
        <v>113</v>
      </c>
      <c r="AK275" s="614">
        <v>105</v>
      </c>
      <c r="AL275" s="614">
        <v>85</v>
      </c>
      <c r="AM275" s="1573">
        <v>85</v>
      </c>
      <c r="AN275" s="979">
        <v>113</v>
      </c>
      <c r="AO275" s="614">
        <v>105</v>
      </c>
      <c r="AP275" s="614">
        <v>85</v>
      </c>
      <c r="AQ275" s="1825">
        <v>85</v>
      </c>
      <c r="AR275" s="159"/>
      <c r="AS275" s="1506"/>
      <c r="AT275" s="1506"/>
      <c r="AU275" s="91"/>
      <c r="AV275" s="159"/>
      <c r="AW275" s="1506"/>
      <c r="AX275" s="1506"/>
      <c r="AY275" s="91"/>
      <c r="AZ275" s="20"/>
      <c r="BA275" s="652"/>
      <c r="BB275" s="317"/>
      <c r="BC275" s="256"/>
      <c r="BD275" s="705">
        <f t="shared" si="543"/>
        <v>410</v>
      </c>
      <c r="BE275" s="705">
        <f t="shared" si="544"/>
        <v>460</v>
      </c>
      <c r="BF275" s="736">
        <f t="shared" si="545"/>
        <v>366</v>
      </c>
      <c r="BG275" s="159"/>
      <c r="BH275" s="1506"/>
      <c r="BI275" s="1607"/>
      <c r="BJ275" s="1603"/>
      <c r="BK275" s="1603"/>
      <c r="BL275" s="1806"/>
      <c r="BM275" s="1806"/>
      <c r="BN275" s="1806"/>
      <c r="BO275" s="299"/>
    </row>
    <row r="276" spans="1:67" ht="14.25" hidden="1" customHeight="1" outlineLevel="1">
      <c r="A276" s="1"/>
      <c r="B276" s="437"/>
      <c r="C276" s="254"/>
      <c r="D276" s="92"/>
      <c r="E276" s="92"/>
      <c r="F276" s="92"/>
      <c r="G276" s="93"/>
      <c r="H276" s="90"/>
      <c r="I276" s="90"/>
      <c r="J276" s="256"/>
      <c r="K276" s="301"/>
      <c r="L276" s="256"/>
      <c r="M276" s="256"/>
      <c r="N276" s="256"/>
      <c r="O276" s="301"/>
      <c r="P276" s="612"/>
      <c r="Q276" s="612"/>
      <c r="R276" s="612"/>
      <c r="S276" s="611"/>
      <c r="T276" s="612"/>
      <c r="U276" s="612"/>
      <c r="V276" s="614"/>
      <c r="W276" s="611"/>
      <c r="X276" s="612"/>
      <c r="Y276" s="614"/>
      <c r="Z276" s="614"/>
      <c r="AA276" s="614"/>
      <c r="AB276" s="979"/>
      <c r="AC276" s="614"/>
      <c r="AD276" s="90"/>
      <c r="AE276" s="980"/>
      <c r="AF276" s="159"/>
      <c r="AG276" s="90"/>
      <c r="AH276" s="90"/>
      <c r="AI276" s="90"/>
      <c r="AJ276" s="159"/>
      <c r="AK276" s="90"/>
      <c r="AL276" s="90"/>
      <c r="AM276" s="1573"/>
      <c r="AN276" s="1607"/>
      <c r="AO276" s="1603"/>
      <c r="AP276" s="1603"/>
      <c r="AQ276" s="1806"/>
      <c r="AR276" s="159"/>
      <c r="AS276" s="1506"/>
      <c r="AT276" s="1506"/>
      <c r="AU276" s="91"/>
      <c r="AV276" s="159"/>
      <c r="AW276" s="1506"/>
      <c r="AX276" s="1506"/>
      <c r="AY276" s="91"/>
      <c r="AZ276" s="20"/>
      <c r="BA276" s="652"/>
      <c r="BB276" s="317"/>
      <c r="BC276" s="256"/>
      <c r="BD276" s="1113"/>
      <c r="BE276" s="1113"/>
      <c r="BF276" s="1215"/>
      <c r="BG276" s="159"/>
      <c r="BH276" s="1506"/>
      <c r="BI276" s="1607"/>
      <c r="BJ276" s="1603"/>
      <c r="BK276" s="1603"/>
      <c r="BL276" s="1806"/>
      <c r="BM276" s="1806"/>
      <c r="BN276" s="1806"/>
      <c r="BO276" s="299"/>
    </row>
    <row r="277" spans="1:67" s="913" customFormat="1" ht="14.25" hidden="1" customHeight="1" outlineLevel="1">
      <c r="B277" s="640" t="s">
        <v>26</v>
      </c>
      <c r="C277" s="646"/>
      <c r="D277" s="1299"/>
      <c r="E277" s="1299"/>
      <c r="F277" s="1299"/>
      <c r="G277" s="926"/>
      <c r="H277" s="647"/>
      <c r="I277" s="647"/>
      <c r="J277" s="738"/>
      <c r="K277" s="650"/>
      <c r="L277" s="738"/>
      <c r="M277" s="738"/>
      <c r="N277" s="738"/>
      <c r="O277" s="650"/>
      <c r="P277" s="738">
        <f>+P270/P267</f>
        <v>0.3037037037037037</v>
      </c>
      <c r="Q277" s="738">
        <f t="shared" ref="Q277:AB277" si="546">+Q270/Q267</f>
        <v>0.3475177304964539</v>
      </c>
      <c r="R277" s="738">
        <f t="shared" si="546"/>
        <v>0.37373737373737376</v>
      </c>
      <c r="S277" s="650">
        <f t="shared" si="546"/>
        <v>0.40202702702702703</v>
      </c>
      <c r="T277" s="738">
        <f t="shared" si="546"/>
        <v>0.3867924528301887</v>
      </c>
      <c r="U277" s="738">
        <f t="shared" si="546"/>
        <v>0.38390092879256965</v>
      </c>
      <c r="V277" s="647">
        <f t="shared" si="546"/>
        <v>0.36825396825396828</v>
      </c>
      <c r="W277" s="650">
        <f t="shared" si="546"/>
        <v>0.33076923076923076</v>
      </c>
      <c r="X277" s="738">
        <f t="shared" si="546"/>
        <v>0.29562043795620441</v>
      </c>
      <c r="Y277" s="647">
        <f t="shared" si="546"/>
        <v>0.30240549828178692</v>
      </c>
      <c r="Z277" s="647">
        <f t="shared" si="546"/>
        <v>0.33860759493670883</v>
      </c>
      <c r="AA277" s="647">
        <f t="shared" si="546"/>
        <v>0.24390243902439024</v>
      </c>
      <c r="AB277" s="985">
        <f t="shared" si="546"/>
        <v>0.25089605734767023</v>
      </c>
      <c r="AC277" s="647">
        <f t="shared" ref="AC277:AH277" si="547">+AC270/AC267</f>
        <v>0.24199288256227758</v>
      </c>
      <c r="AD277" s="647">
        <f t="shared" si="547"/>
        <v>0.27835051546391754</v>
      </c>
      <c r="AE277" s="927">
        <f t="shared" si="547"/>
        <v>0.22448979591836735</v>
      </c>
      <c r="AF277" s="985">
        <f t="shared" si="547"/>
        <v>0.28813559322033899</v>
      </c>
      <c r="AG277" s="647">
        <f t="shared" si="547"/>
        <v>0.28797468354430378</v>
      </c>
      <c r="AH277" s="647">
        <f t="shared" si="547"/>
        <v>0.27835051546391754</v>
      </c>
      <c r="AI277" s="647">
        <f>+AI270/AI267</f>
        <v>0.31117824773413899</v>
      </c>
      <c r="AJ277" s="985">
        <f>+AJ270/AJ267</f>
        <v>0.34055727554179566</v>
      </c>
      <c r="AK277" s="647">
        <f>+AK270/AK267</f>
        <v>0.28797468354430378</v>
      </c>
      <c r="AL277" s="647">
        <f t="shared" ref="AL277:AM277" si="548">+AL270/AL267</f>
        <v>0.27835051546391754</v>
      </c>
      <c r="AM277" s="647">
        <f t="shared" si="548"/>
        <v>0.27835051546391754</v>
      </c>
      <c r="AN277" s="985">
        <f>+AN270/AN267</f>
        <v>0.40145985401459855</v>
      </c>
      <c r="AO277" s="647">
        <f>+AO270/AO267</f>
        <v>0.30033003300330036</v>
      </c>
      <c r="AP277" s="647">
        <f t="shared" ref="AP277:AQ277" si="549">+AP270/AP267</f>
        <v>0.25312499999999999</v>
      </c>
      <c r="AQ277" s="647">
        <f t="shared" si="549"/>
        <v>0.25077399380804954</v>
      </c>
      <c r="AR277" s="985"/>
      <c r="AS277" s="647"/>
      <c r="AT277" s="647"/>
      <c r="AU277" s="927"/>
      <c r="AV277" s="985"/>
      <c r="AW277" s="647"/>
      <c r="AX277" s="647"/>
      <c r="AY277" s="927"/>
      <c r="AZ277" s="1919"/>
      <c r="BA277" s="651"/>
      <c r="BB277" s="738"/>
      <c r="BC277" s="738"/>
      <c r="BD277" s="738">
        <f>+BD270/BD267</f>
        <v>0.35807860262008734</v>
      </c>
      <c r="BE277" s="738">
        <f>+BE270/BE267</f>
        <v>0.36924342105263158</v>
      </c>
      <c r="BF277" s="651">
        <f>+BF270/BF267</f>
        <v>0.29623287671232879</v>
      </c>
      <c r="BG277" s="985"/>
      <c r="BH277" s="647"/>
      <c r="BI277" s="985"/>
      <c r="BJ277" s="647"/>
      <c r="BK277" s="647"/>
      <c r="BL277" s="647"/>
      <c r="BM277" s="647"/>
      <c r="BN277" s="647"/>
      <c r="BO277" s="986"/>
    </row>
    <row r="278" spans="1:67" s="913" customFormat="1" ht="14.25" hidden="1" customHeight="1" outlineLevel="1">
      <c r="B278" s="640" t="s">
        <v>27</v>
      </c>
      <c r="C278" s="646"/>
      <c r="D278" s="1299"/>
      <c r="E278" s="1299"/>
      <c r="F278" s="1299"/>
      <c r="G278" s="926"/>
      <c r="H278" s="647"/>
      <c r="I278" s="647"/>
      <c r="J278" s="738"/>
      <c r="K278" s="650"/>
      <c r="L278" s="738"/>
      <c r="M278" s="738"/>
      <c r="N278" s="738"/>
      <c r="O278" s="650"/>
      <c r="P278" s="738">
        <f>+P275/P267</f>
        <v>0.3037037037037037</v>
      </c>
      <c r="Q278" s="738">
        <f t="shared" ref="Q278:AB278" si="550">+Q275/Q267</f>
        <v>0.34397163120567376</v>
      </c>
      <c r="R278" s="738">
        <f t="shared" si="550"/>
        <v>0.38047138047138046</v>
      </c>
      <c r="S278" s="650">
        <f t="shared" si="550"/>
        <v>0.39864864864864863</v>
      </c>
      <c r="T278" s="738">
        <f t="shared" si="550"/>
        <v>0.3867924528301887</v>
      </c>
      <c r="U278" s="738">
        <f t="shared" si="550"/>
        <v>0.38699690402476783</v>
      </c>
      <c r="V278" s="647">
        <f t="shared" si="550"/>
        <v>0.3746031746031746</v>
      </c>
      <c r="W278" s="650">
        <f t="shared" si="550"/>
        <v>0.36153846153846153</v>
      </c>
      <c r="X278" s="738">
        <f t="shared" si="550"/>
        <v>0.29927007299270075</v>
      </c>
      <c r="Y278" s="647">
        <f t="shared" si="550"/>
        <v>0.30927835051546393</v>
      </c>
      <c r="Z278" s="647">
        <f t="shared" si="550"/>
        <v>0.33860759493670883</v>
      </c>
      <c r="AA278" s="647">
        <f t="shared" si="550"/>
        <v>0.30313588850174217</v>
      </c>
      <c r="AB278" s="985">
        <f t="shared" si="550"/>
        <v>0.26164874551971329</v>
      </c>
      <c r="AC278" s="647">
        <f t="shared" ref="AC278:AH278" si="551">+AC275/AC267</f>
        <v>0.23843416370106763</v>
      </c>
      <c r="AD278" s="647">
        <f t="shared" si="551"/>
        <v>0.29209621993127149</v>
      </c>
      <c r="AE278" s="927">
        <f t="shared" si="551"/>
        <v>0.31292517006802723</v>
      </c>
      <c r="AF278" s="985">
        <f t="shared" si="551"/>
        <v>0.33220338983050846</v>
      </c>
      <c r="AG278" s="647">
        <f t="shared" si="551"/>
        <v>0.33227848101265822</v>
      </c>
      <c r="AH278" s="647">
        <f t="shared" si="551"/>
        <v>0.29209621993127149</v>
      </c>
      <c r="AI278" s="647">
        <f>+AI275/AI267</f>
        <v>0.34138972809667673</v>
      </c>
      <c r="AJ278" s="985">
        <f>+AJ275/AJ267</f>
        <v>0.34984520123839008</v>
      </c>
      <c r="AK278" s="647">
        <f>+AK275/AK267</f>
        <v>0.33227848101265822</v>
      </c>
      <c r="AL278" s="647">
        <f t="shared" ref="AL278:AM278" si="552">+AL275/AL267</f>
        <v>0.29209621993127149</v>
      </c>
      <c r="AM278" s="1182">
        <f t="shared" si="552"/>
        <v>0.29209621993127149</v>
      </c>
      <c r="AN278" s="985">
        <f>+AN275/AN267</f>
        <v>0.41240875912408759</v>
      </c>
      <c r="AO278" s="647">
        <f>+AO275/AO267</f>
        <v>0.34653465346534651</v>
      </c>
      <c r="AP278" s="647">
        <f t="shared" ref="AP278:AQ278" si="553">+AP275/AP267</f>
        <v>0.265625</v>
      </c>
      <c r="AQ278" s="647">
        <f t="shared" si="553"/>
        <v>0.26315789473684209</v>
      </c>
      <c r="AR278" s="1183">
        <v>0.3</v>
      </c>
      <c r="AS278" s="1182"/>
      <c r="AT278" s="1182"/>
      <c r="AU278" s="1044"/>
      <c r="AV278" s="1183"/>
      <c r="AW278" s="1182"/>
      <c r="AX278" s="1182"/>
      <c r="AY278" s="1044"/>
      <c r="AZ278" s="1919"/>
      <c r="BA278" s="651"/>
      <c r="BB278" s="738"/>
      <c r="BC278" s="738"/>
      <c r="BD278" s="738">
        <f>+BD275/BD267</f>
        <v>0.35807860262008734</v>
      </c>
      <c r="BE278" s="738">
        <f>+BE275/BE267</f>
        <v>0.37828947368421051</v>
      </c>
      <c r="BF278" s="651">
        <f>+BF275/BF267</f>
        <v>0.31335616438356162</v>
      </c>
      <c r="BG278" s="985"/>
      <c r="BH278" s="647"/>
      <c r="BI278" s="985"/>
      <c r="BJ278" s="647"/>
      <c r="BK278" s="647"/>
      <c r="BL278" s="647"/>
      <c r="BM278" s="647">
        <v>0.3</v>
      </c>
      <c r="BN278" s="647">
        <v>0.3</v>
      </c>
      <c r="BO278" s="986"/>
    </row>
    <row r="279" spans="1:67" s="708" customFormat="1" ht="14.25" hidden="1" customHeight="1" outlineLevel="1">
      <c r="A279" s="826"/>
      <c r="B279" s="640"/>
      <c r="C279" s="1004"/>
      <c r="D279" s="92"/>
      <c r="E279" s="92"/>
      <c r="F279" s="92"/>
      <c r="G279" s="93"/>
      <c r="H279" s="90"/>
      <c r="I279" s="90"/>
      <c r="J279" s="256"/>
      <c r="K279" s="301"/>
      <c r="L279" s="256"/>
      <c r="M279" s="256"/>
      <c r="N279" s="256"/>
      <c r="O279" s="301"/>
      <c r="P279" s="738"/>
      <c r="Q279" s="738"/>
      <c r="R279" s="738"/>
      <c r="S279" s="650"/>
      <c r="T279" s="738"/>
      <c r="U279" s="738"/>
      <c r="V279" s="647"/>
      <c r="W279" s="650"/>
      <c r="X279" s="738"/>
      <c r="Y279" s="647"/>
      <c r="Z279" s="647"/>
      <c r="AA279" s="647"/>
      <c r="AB279" s="985"/>
      <c r="AC279" s="90"/>
      <c r="AD279" s="90"/>
      <c r="AE279" s="927"/>
      <c r="AF279" s="159"/>
      <c r="AG279" s="90"/>
      <c r="AH279" s="90"/>
      <c r="AI279" s="90"/>
      <c r="AJ279" s="159"/>
      <c r="AK279" s="90"/>
      <c r="AL279" s="90"/>
      <c r="AM279" s="1573"/>
      <c r="AN279" s="1607"/>
      <c r="AO279" s="1603"/>
      <c r="AP279" s="1603"/>
      <c r="AQ279" s="1806"/>
      <c r="AR279" s="159"/>
      <c r="AS279" s="1506"/>
      <c r="AT279" s="1506"/>
      <c r="AU279" s="91"/>
      <c r="AV279" s="159"/>
      <c r="AW279" s="1506"/>
      <c r="AX279" s="1506"/>
      <c r="AY279" s="91"/>
      <c r="AZ279" s="1474"/>
      <c r="BA279" s="652"/>
      <c r="BB279" s="317"/>
      <c r="BC279" s="256"/>
      <c r="BD279" s="1113"/>
      <c r="BE279" s="1113"/>
      <c r="BF279" s="1215"/>
      <c r="BG279" s="159"/>
      <c r="BH279" s="1506"/>
      <c r="BI279" s="1607"/>
      <c r="BJ279" s="1603"/>
      <c r="BK279" s="1603"/>
      <c r="BL279" s="1806"/>
      <c r="BM279" s="1806"/>
      <c r="BN279" s="1806"/>
      <c r="BO279" s="1005"/>
    </row>
    <row r="280" spans="1:67" s="708" customFormat="1" ht="14.25" hidden="1" customHeight="1" outlineLevel="1">
      <c r="A280" s="826"/>
      <c r="B280" s="575" t="s">
        <v>22</v>
      </c>
      <c r="C280" s="1004"/>
      <c r="D280" s="92"/>
      <c r="E280" s="92"/>
      <c r="F280" s="92"/>
      <c r="G280" s="93"/>
      <c r="H280" s="90"/>
      <c r="I280" s="90"/>
      <c r="J280" s="256"/>
      <c r="K280" s="301"/>
      <c r="L280" s="256"/>
      <c r="M280" s="256"/>
      <c r="N280" s="256"/>
      <c r="O280" s="301"/>
      <c r="P280" s="1241">
        <f>+P267-P275</f>
        <v>188</v>
      </c>
      <c r="Q280" s="1241">
        <f t="shared" ref="Q280:AA280" si="554">+Q267-Q275</f>
        <v>185</v>
      </c>
      <c r="R280" s="1241">
        <f t="shared" si="554"/>
        <v>184</v>
      </c>
      <c r="S280" s="989">
        <f t="shared" si="554"/>
        <v>178</v>
      </c>
      <c r="T280" s="1241">
        <f t="shared" si="554"/>
        <v>195</v>
      </c>
      <c r="U280" s="1241">
        <f t="shared" si="554"/>
        <v>198</v>
      </c>
      <c r="V280" s="1246">
        <f t="shared" si="554"/>
        <v>197</v>
      </c>
      <c r="W280" s="989">
        <f>+W267-W275</f>
        <v>166</v>
      </c>
      <c r="X280" s="1241">
        <f t="shared" si="554"/>
        <v>192</v>
      </c>
      <c r="Y280" s="1246">
        <f t="shared" si="554"/>
        <v>201</v>
      </c>
      <c r="Z280" s="1246">
        <f t="shared" si="554"/>
        <v>209</v>
      </c>
      <c r="AA280" s="1246">
        <f t="shared" si="554"/>
        <v>200</v>
      </c>
      <c r="AB280" s="1275">
        <f t="shared" ref="AB280:AG280" si="555">+AB267-AB275</f>
        <v>206</v>
      </c>
      <c r="AC280" s="1246">
        <f t="shared" si="555"/>
        <v>214</v>
      </c>
      <c r="AD280" s="1246">
        <f t="shared" si="555"/>
        <v>206</v>
      </c>
      <c r="AE280" s="1041">
        <f t="shared" si="555"/>
        <v>202</v>
      </c>
      <c r="AF280" s="1275">
        <f t="shared" si="555"/>
        <v>197</v>
      </c>
      <c r="AG280" s="1246">
        <f t="shared" si="555"/>
        <v>211</v>
      </c>
      <c r="AH280" s="1246">
        <f t="shared" ref="AH280:AM280" si="556">+AH267-AH275</f>
        <v>206</v>
      </c>
      <c r="AI280" s="1246">
        <f t="shared" si="556"/>
        <v>218</v>
      </c>
      <c r="AJ280" s="1275">
        <f t="shared" si="556"/>
        <v>210</v>
      </c>
      <c r="AK280" s="1246">
        <f t="shared" si="556"/>
        <v>211</v>
      </c>
      <c r="AL280" s="1246">
        <f t="shared" si="556"/>
        <v>206</v>
      </c>
      <c r="AM280" s="614">
        <f t="shared" si="556"/>
        <v>206</v>
      </c>
      <c r="AN280" s="1275">
        <f t="shared" ref="AN280:AQ280" si="557">+AN267-AN275</f>
        <v>161</v>
      </c>
      <c r="AO280" s="1246">
        <f t="shared" si="557"/>
        <v>198</v>
      </c>
      <c r="AP280" s="1246">
        <f t="shared" si="557"/>
        <v>235</v>
      </c>
      <c r="AQ280" s="614">
        <f t="shared" si="557"/>
        <v>238</v>
      </c>
      <c r="AR280" s="979">
        <f t="shared" ref="AR280" si="558">+(1-AR278)*AR267</f>
        <v>82.6</v>
      </c>
      <c r="AS280" s="614"/>
      <c r="AT280" s="614"/>
      <c r="AU280" s="980"/>
      <c r="AV280" s="979"/>
      <c r="AW280" s="614"/>
      <c r="AX280" s="614"/>
      <c r="AY280" s="980"/>
      <c r="AZ280" s="1474"/>
      <c r="BA280" s="652"/>
      <c r="BB280" s="317"/>
      <c r="BC280" s="256"/>
      <c r="BD280" s="705">
        <f>SUM(P280:S280)</f>
        <v>735</v>
      </c>
      <c r="BE280" s="705">
        <f>SUM(T280:W280)</f>
        <v>756</v>
      </c>
      <c r="BF280" s="736">
        <f>SUM(X280:AA280)</f>
        <v>802</v>
      </c>
      <c r="BG280" s="159"/>
      <c r="BH280" s="1506"/>
      <c r="BI280" s="1607"/>
      <c r="BJ280" s="1603"/>
      <c r="BK280" s="1603"/>
      <c r="BL280" s="1806"/>
      <c r="BM280" s="1806">
        <f t="shared" ref="BM280:BN280" si="559">+(1-BM278)*BM267</f>
        <v>0</v>
      </c>
      <c r="BN280" s="1806">
        <f t="shared" si="559"/>
        <v>0</v>
      </c>
      <c r="BO280" s="1005"/>
    </row>
    <row r="281" spans="1:67" s="708" customFormat="1" ht="14.25" hidden="1" customHeight="1" outlineLevel="1">
      <c r="A281" s="826"/>
      <c r="B281" s="992" t="s">
        <v>19</v>
      </c>
      <c r="C281" s="1004"/>
      <c r="D281" s="92"/>
      <c r="E281" s="92"/>
      <c r="F281" s="92"/>
      <c r="G281" s="93"/>
      <c r="H281" s="90"/>
      <c r="I281" s="90"/>
      <c r="J281" s="256"/>
      <c r="K281" s="301"/>
      <c r="L281" s="256"/>
      <c r="M281" s="256"/>
      <c r="N281" s="256"/>
      <c r="O281" s="301"/>
      <c r="P281" s="738"/>
      <c r="Q281" s="738">
        <f t="shared" ref="Q281:AQ281" si="560">+Q280/P280-1</f>
        <v>-1.5957446808510634E-2</v>
      </c>
      <c r="R281" s="738">
        <f t="shared" si="560"/>
        <v>-5.4054054054053502E-3</v>
      </c>
      <c r="S281" s="650">
        <f t="shared" si="560"/>
        <v>-3.2608695652173947E-2</v>
      </c>
      <c r="T281" s="738">
        <f t="shared" si="560"/>
        <v>9.550561797752799E-2</v>
      </c>
      <c r="U281" s="738">
        <f t="shared" si="560"/>
        <v>1.538461538461533E-2</v>
      </c>
      <c r="V281" s="647">
        <f t="shared" si="560"/>
        <v>-5.050505050505083E-3</v>
      </c>
      <c r="W281" s="650">
        <f t="shared" si="560"/>
        <v>-0.15736040609137059</v>
      </c>
      <c r="X281" s="738">
        <f t="shared" si="560"/>
        <v>0.15662650602409633</v>
      </c>
      <c r="Y281" s="647">
        <f t="shared" si="560"/>
        <v>4.6875E-2</v>
      </c>
      <c r="Z281" s="647">
        <f t="shared" si="560"/>
        <v>3.9800995024875663E-2</v>
      </c>
      <c r="AA281" s="647">
        <f t="shared" si="560"/>
        <v>-4.3062200956937802E-2</v>
      </c>
      <c r="AB281" s="985">
        <f t="shared" si="560"/>
        <v>3.0000000000000027E-2</v>
      </c>
      <c r="AC281" s="647">
        <f t="shared" si="560"/>
        <v>3.8834951456310662E-2</v>
      </c>
      <c r="AD281" s="647">
        <f t="shared" si="560"/>
        <v>-3.7383177570093462E-2</v>
      </c>
      <c r="AE281" s="927">
        <f t="shared" si="560"/>
        <v>-1.9417475728155331E-2</v>
      </c>
      <c r="AF281" s="985">
        <f t="shared" si="560"/>
        <v>-2.4752475247524774E-2</v>
      </c>
      <c r="AG281" s="647">
        <f t="shared" si="560"/>
        <v>7.1065989847715727E-2</v>
      </c>
      <c r="AH281" s="647">
        <f t="shared" si="560"/>
        <v>-2.3696682464454999E-2</v>
      </c>
      <c r="AI281" s="647">
        <f t="shared" si="560"/>
        <v>5.8252427184465994E-2</v>
      </c>
      <c r="AJ281" s="985">
        <f t="shared" si="560"/>
        <v>-3.669724770642202E-2</v>
      </c>
      <c r="AK281" s="647">
        <f t="shared" si="560"/>
        <v>4.761904761904745E-3</v>
      </c>
      <c r="AL281" s="647">
        <f t="shared" si="560"/>
        <v>-2.3696682464454999E-2</v>
      </c>
      <c r="AM281" s="647">
        <f t="shared" si="560"/>
        <v>0</v>
      </c>
      <c r="AN281" s="985">
        <f t="shared" si="560"/>
        <v>-0.21844660194174759</v>
      </c>
      <c r="AO281" s="647">
        <f t="shared" si="560"/>
        <v>0.22981366459627339</v>
      </c>
      <c r="AP281" s="647">
        <f t="shared" si="560"/>
        <v>0.18686868686868685</v>
      </c>
      <c r="AQ281" s="647">
        <f t="shared" si="560"/>
        <v>1.2765957446808418E-2</v>
      </c>
      <c r="AR281" s="985">
        <f t="shared" ref="AR281" si="561">+AR280/AQ280-1</f>
        <v>-0.65294117647058825</v>
      </c>
      <c r="AS281" s="647"/>
      <c r="AT281" s="647"/>
      <c r="AU281" s="927"/>
      <c r="AV281" s="985"/>
      <c r="AW281" s="647"/>
      <c r="AX281" s="647"/>
      <c r="AY281" s="927"/>
      <c r="AZ281" s="1474"/>
      <c r="BA281" s="652"/>
      <c r="BB281" s="317"/>
      <c r="BC281" s="256"/>
      <c r="BD281" s="1113"/>
      <c r="BE281" s="1113"/>
      <c r="BF281" s="1215"/>
      <c r="BG281" s="159"/>
      <c r="BH281" s="1506"/>
      <c r="BI281" s="1607"/>
      <c r="BJ281" s="1603"/>
      <c r="BK281" s="1603"/>
      <c r="BL281" s="1806"/>
      <c r="BM281" s="1806" t="e">
        <f t="shared" ref="BM281:BN281" si="562">+BM280/BL280-1</f>
        <v>#DIV/0!</v>
      </c>
      <c r="BN281" s="1806" t="e">
        <f t="shared" si="562"/>
        <v>#DIV/0!</v>
      </c>
      <c r="BO281" s="1005"/>
    </row>
    <row r="282" spans="1:67" s="708" customFormat="1" ht="14.25" hidden="1" customHeight="1" outlineLevel="1">
      <c r="A282" s="826"/>
      <c r="B282" s="992" t="s">
        <v>20</v>
      </c>
      <c r="C282" s="1004"/>
      <c r="D282" s="92"/>
      <c r="E282" s="92"/>
      <c r="F282" s="92"/>
      <c r="G282" s="93"/>
      <c r="H282" s="90"/>
      <c r="I282" s="90"/>
      <c r="J282" s="256"/>
      <c r="K282" s="301"/>
      <c r="L282" s="256"/>
      <c r="M282" s="256"/>
      <c r="N282" s="256"/>
      <c r="O282" s="301"/>
      <c r="P282" s="738"/>
      <c r="Q282" s="738">
        <f>+Q267/P267-1</f>
        <v>4.4444444444444509E-2</v>
      </c>
      <c r="R282" s="738">
        <f t="shared" ref="R282:AQ282" si="563">+R267/Q267-1</f>
        <v>5.3191489361702038E-2</v>
      </c>
      <c r="S282" s="650">
        <f t="shared" si="563"/>
        <v>-3.3670033670033517E-3</v>
      </c>
      <c r="T282" s="738">
        <f t="shared" si="563"/>
        <v>7.4324324324324342E-2</v>
      </c>
      <c r="U282" s="738">
        <f t="shared" si="563"/>
        <v>1.572327044025168E-2</v>
      </c>
      <c r="V282" s="647">
        <f t="shared" si="563"/>
        <v>-2.4767801857585092E-2</v>
      </c>
      <c r="W282" s="650">
        <f t="shared" si="563"/>
        <v>-0.17460317460317465</v>
      </c>
      <c r="X282" s="738">
        <f t="shared" si="563"/>
        <v>5.3846153846153877E-2</v>
      </c>
      <c r="Y282" s="647">
        <f t="shared" si="563"/>
        <v>6.2043795620438047E-2</v>
      </c>
      <c r="Z282" s="647">
        <f t="shared" si="563"/>
        <v>8.5910652920962116E-2</v>
      </c>
      <c r="AA282" s="647">
        <f t="shared" si="563"/>
        <v>-9.1772151898734222E-2</v>
      </c>
      <c r="AB282" s="985">
        <f t="shared" si="563"/>
        <v>-2.7874564459930307E-2</v>
      </c>
      <c r="AC282" s="647">
        <f t="shared" si="563"/>
        <v>7.1684587813620748E-3</v>
      </c>
      <c r="AD282" s="647">
        <f t="shared" si="563"/>
        <v>3.5587188612099752E-2</v>
      </c>
      <c r="AE282" s="927">
        <f t="shared" si="563"/>
        <v>1.0309278350515427E-2</v>
      </c>
      <c r="AF282" s="985">
        <f t="shared" si="563"/>
        <v>3.4013605442175798E-3</v>
      </c>
      <c r="AG282" s="647">
        <f t="shared" si="563"/>
        <v>7.118644067796609E-2</v>
      </c>
      <c r="AH282" s="647">
        <f t="shared" si="563"/>
        <v>-7.9113924050632889E-2</v>
      </c>
      <c r="AI282" s="647">
        <f t="shared" si="563"/>
        <v>0.13745704467353947</v>
      </c>
      <c r="AJ282" s="985">
        <f t="shared" si="563"/>
        <v>-2.4169184290030232E-2</v>
      </c>
      <c r="AK282" s="647">
        <f t="shared" si="563"/>
        <v>-2.1671826625387025E-2</v>
      </c>
      <c r="AL282" s="647">
        <f t="shared" si="563"/>
        <v>-7.9113924050632889E-2</v>
      </c>
      <c r="AM282" s="647">
        <f t="shared" si="563"/>
        <v>0</v>
      </c>
      <c r="AN282" s="985">
        <f t="shared" si="563"/>
        <v>-5.841924398625431E-2</v>
      </c>
      <c r="AO282" s="647">
        <f t="shared" si="563"/>
        <v>0.1058394160583942</v>
      </c>
      <c r="AP282" s="647">
        <f t="shared" si="563"/>
        <v>5.6105610561056007E-2</v>
      </c>
      <c r="AQ282" s="647">
        <f t="shared" si="563"/>
        <v>9.3749999999999112E-3</v>
      </c>
      <c r="AR282" s="985">
        <f t="shared" ref="AR282" si="564">+AR267/AQ267-1</f>
        <v>-0.6346749226006192</v>
      </c>
      <c r="AS282" s="647"/>
      <c r="AT282" s="647"/>
      <c r="AU282" s="927"/>
      <c r="AV282" s="985"/>
      <c r="AW282" s="647"/>
      <c r="AX282" s="647"/>
      <c r="AY282" s="927"/>
      <c r="AZ282" s="1474"/>
      <c r="BA282" s="652"/>
      <c r="BB282" s="317"/>
      <c r="BC282" s="256"/>
      <c r="BD282" s="1113"/>
      <c r="BE282" s="1113"/>
      <c r="BF282" s="1215"/>
      <c r="BG282" s="159"/>
      <c r="BH282" s="1506"/>
      <c r="BI282" s="1607"/>
      <c r="BJ282" s="1603"/>
      <c r="BK282" s="1603"/>
      <c r="BL282" s="1806"/>
      <c r="BM282" s="1806" t="e">
        <f t="shared" ref="BM282:BN282" si="565">+BM267/BL267-1</f>
        <v>#DIV/0!</v>
      </c>
      <c r="BN282" s="1806" t="e">
        <f t="shared" si="565"/>
        <v>#DIV/0!</v>
      </c>
      <c r="BO282" s="1005"/>
    </row>
    <row r="283" spans="1:67" s="708" customFormat="1" ht="14.25" hidden="1" customHeight="1" outlineLevel="1">
      <c r="A283" s="826"/>
      <c r="B283" s="575"/>
      <c r="C283" s="1004"/>
      <c r="D283" s="92"/>
      <c r="E283" s="92"/>
      <c r="F283" s="92"/>
      <c r="G283" s="93"/>
      <c r="H283" s="90"/>
      <c r="I283" s="90"/>
      <c r="J283" s="256"/>
      <c r="K283" s="301"/>
      <c r="L283" s="256"/>
      <c r="M283" s="256"/>
      <c r="N283" s="256"/>
      <c r="O283" s="301"/>
      <c r="P283" s="738"/>
      <c r="Q283" s="738"/>
      <c r="R283" s="738"/>
      <c r="S283" s="650"/>
      <c r="T283" s="738"/>
      <c r="U283" s="738"/>
      <c r="V283" s="647"/>
      <c r="W283" s="650"/>
      <c r="X283" s="738"/>
      <c r="Y283" s="647"/>
      <c r="Z283" s="647"/>
      <c r="AA283" s="647"/>
      <c r="AB283" s="985"/>
      <c r="AC283" s="90"/>
      <c r="AD283" s="90"/>
      <c r="AE283" s="927"/>
      <c r="AF283" s="159"/>
      <c r="AG283" s="90"/>
      <c r="AH283" s="90"/>
      <c r="AI283" s="90"/>
      <c r="AJ283" s="159"/>
      <c r="AK283" s="90"/>
      <c r="AL283" s="90"/>
      <c r="AM283" s="1573"/>
      <c r="AN283" s="1607"/>
      <c r="AO283" s="1603"/>
      <c r="AP283" s="1603"/>
      <c r="AQ283" s="1806"/>
      <c r="AR283" s="159"/>
      <c r="AS283" s="1506"/>
      <c r="AT283" s="1506"/>
      <c r="AU283" s="91"/>
      <c r="AV283" s="159"/>
      <c r="AW283" s="1506"/>
      <c r="AX283" s="1506"/>
      <c r="AY283" s="91"/>
      <c r="AZ283" s="1474"/>
      <c r="BA283" s="652"/>
      <c r="BB283" s="317"/>
      <c r="BC283" s="256"/>
      <c r="BD283" s="1113"/>
      <c r="BE283" s="1113"/>
      <c r="BF283" s="1215"/>
      <c r="BG283" s="159"/>
      <c r="BH283" s="1506"/>
      <c r="BI283" s="1607"/>
      <c r="BJ283" s="1603"/>
      <c r="BK283" s="1603"/>
      <c r="BL283" s="1806"/>
      <c r="BM283" s="1806"/>
      <c r="BN283" s="1806"/>
      <c r="BO283" s="1005"/>
    </row>
    <row r="284" spans="1:67" s="708" customFormat="1" ht="14.25" hidden="1" customHeight="1" outlineLevel="1">
      <c r="A284" s="826"/>
      <c r="B284" s="451" t="s">
        <v>240</v>
      </c>
      <c r="C284" s="1004"/>
      <c r="D284" s="92"/>
      <c r="E284" s="92"/>
      <c r="F284" s="92"/>
      <c r="G284" s="93"/>
      <c r="H284" s="90"/>
      <c r="I284" s="90"/>
      <c r="J284" s="256"/>
      <c r="K284" s="301"/>
      <c r="L284" s="256"/>
      <c r="M284" s="256"/>
      <c r="N284" s="256"/>
      <c r="O284" s="301"/>
      <c r="P284" s="1244">
        <v>1.3827448111111111</v>
      </c>
      <c r="Q284" s="1244">
        <v>1.2729250015384614</v>
      </c>
      <c r="R284" s="1244">
        <v>1.2928556166666665</v>
      </c>
      <c r="S284" s="962">
        <v>1.3575457727272731</v>
      </c>
      <c r="T284" s="1244">
        <v>1.3691401984375</v>
      </c>
      <c r="U284" s="1244">
        <v>1.439557256923077</v>
      </c>
      <c r="V284" s="1244">
        <v>1.4121048500000002</v>
      </c>
      <c r="W284" s="962">
        <v>1.3472326323076924</v>
      </c>
      <c r="X284" s="1244">
        <v>1.3109626384615385</v>
      </c>
      <c r="Y284" s="1244">
        <v>1.2828779723076924</v>
      </c>
      <c r="Z284" s="1292">
        <v>1.2508319584615399</v>
      </c>
      <c r="AA284" s="1244">
        <v>1.2973996106060606</v>
      </c>
      <c r="AB284" s="1263">
        <v>1.3200836888888894</v>
      </c>
      <c r="AC284" s="1264">
        <v>1.3200836888888894</v>
      </c>
      <c r="AD284" s="1264">
        <v>1.3200836888888894</v>
      </c>
      <c r="AE284" s="1330">
        <v>1.3200836888888894</v>
      </c>
      <c r="AF284" s="1341">
        <v>1.3200836888888894</v>
      </c>
      <c r="AG284" s="1264">
        <v>1.3200836888888894</v>
      </c>
      <c r="AH284" s="1264">
        <v>1.3200836888888894</v>
      </c>
      <c r="AI284" s="1264">
        <v>1.3200836888888894</v>
      </c>
      <c r="AJ284" s="1341">
        <v>1.3200836888888894</v>
      </c>
      <c r="AK284" s="1264">
        <v>1.3200836888888894</v>
      </c>
      <c r="AL284" s="1264">
        <v>1.3200836888888894</v>
      </c>
      <c r="AM284" s="1573">
        <v>1.3200836888888894</v>
      </c>
      <c r="AN284" s="1341">
        <v>1.3200836888888894</v>
      </c>
      <c r="AO284" s="1264">
        <v>1.3200836888888894</v>
      </c>
      <c r="AP284" s="1264">
        <v>1.3200836888888894</v>
      </c>
      <c r="AQ284" s="1825">
        <v>1.3200836888888894</v>
      </c>
      <c r="AR284" s="159"/>
      <c r="AS284" s="1506"/>
      <c r="AT284" s="1506"/>
      <c r="AU284" s="91"/>
      <c r="AV284" s="159"/>
      <c r="AW284" s="1506"/>
      <c r="AX284" s="1506"/>
      <c r="AY284" s="91"/>
      <c r="AZ284" s="1474"/>
      <c r="BA284" s="652"/>
      <c r="BB284" s="317"/>
      <c r="BC284" s="256"/>
      <c r="BD284" s="1113"/>
      <c r="BE284" s="1113"/>
      <c r="BF284" s="1215"/>
      <c r="BG284" s="159"/>
      <c r="BH284" s="1506"/>
      <c r="BI284" s="1607"/>
      <c r="BJ284" s="1603"/>
      <c r="BK284" s="1603"/>
      <c r="BL284" s="1806"/>
      <c r="BM284" s="1806"/>
      <c r="BN284" s="1806"/>
      <c r="BO284" s="1005"/>
    </row>
    <row r="285" spans="1:67" s="708" customFormat="1" ht="14.25" hidden="1" customHeight="1" outlineLevel="1">
      <c r="A285" s="826"/>
      <c r="B285" s="942" t="s">
        <v>242</v>
      </c>
      <c r="C285" s="1004"/>
      <c r="D285" s="92"/>
      <c r="E285" s="92"/>
      <c r="F285" s="92"/>
      <c r="G285" s="93"/>
      <c r="H285" s="90"/>
      <c r="I285" s="90"/>
      <c r="J285" s="256"/>
      <c r="K285" s="301"/>
      <c r="L285" s="256"/>
      <c r="M285" s="256"/>
      <c r="N285" s="256"/>
      <c r="O285" s="301"/>
      <c r="P285" s="612"/>
      <c r="Q285" s="795">
        <f t="shared" ref="Q285:AQ285" si="566">+(P284-Q284)/P284*P280*0.275</f>
        <v>4.106096880120389</v>
      </c>
      <c r="R285" s="795">
        <f t="shared" si="566"/>
        <v>-0.79656699603035841</v>
      </c>
      <c r="S285" s="530">
        <f t="shared" si="566"/>
        <v>-2.5318541795921554</v>
      </c>
      <c r="T285" s="795">
        <f t="shared" si="566"/>
        <v>-0.41806851004030776</v>
      </c>
      <c r="U285" s="795">
        <f t="shared" si="566"/>
        <v>-2.7580190586752704</v>
      </c>
      <c r="V285" s="1121">
        <f t="shared" si="566"/>
        <v>1.0383633924756126</v>
      </c>
      <c r="W285" s="530">
        <f t="shared" si="566"/>
        <v>2.4888041376536409</v>
      </c>
      <c r="X285" s="795">
        <f t="shared" si="566"/>
        <v>1.2289824187533323</v>
      </c>
      <c r="Y285" s="795">
        <f t="shared" si="566"/>
        <v>1.1311309181650477</v>
      </c>
      <c r="Z285" s="795">
        <f t="shared" si="566"/>
        <v>1.3807575261111655</v>
      </c>
      <c r="AA285" s="795">
        <f t="shared" si="566"/>
        <v>-2.1397564947878798</v>
      </c>
      <c r="AB285" s="1180">
        <f t="shared" si="566"/>
        <v>-0.96163456143845771</v>
      </c>
      <c r="AC285" s="795">
        <f t="shared" si="566"/>
        <v>0</v>
      </c>
      <c r="AD285" s="795">
        <f t="shared" si="566"/>
        <v>0</v>
      </c>
      <c r="AE285" s="530">
        <f t="shared" si="566"/>
        <v>0</v>
      </c>
      <c r="AF285" s="1104">
        <f t="shared" si="566"/>
        <v>0</v>
      </c>
      <c r="AG285" s="795">
        <f t="shared" si="566"/>
        <v>0</v>
      </c>
      <c r="AH285" s="795">
        <f t="shared" si="566"/>
        <v>0</v>
      </c>
      <c r="AI285" s="795">
        <f t="shared" si="566"/>
        <v>0</v>
      </c>
      <c r="AJ285" s="1104">
        <f t="shared" si="566"/>
        <v>0</v>
      </c>
      <c r="AK285" s="795">
        <f t="shared" si="566"/>
        <v>0</v>
      </c>
      <c r="AL285" s="795">
        <f t="shared" si="566"/>
        <v>0</v>
      </c>
      <c r="AM285" s="1573">
        <f t="shared" si="566"/>
        <v>0</v>
      </c>
      <c r="AN285" s="1104">
        <f t="shared" si="566"/>
        <v>0</v>
      </c>
      <c r="AO285" s="795">
        <f t="shared" si="566"/>
        <v>0</v>
      </c>
      <c r="AP285" s="795">
        <f t="shared" si="566"/>
        <v>0</v>
      </c>
      <c r="AQ285" s="1806">
        <f t="shared" si="566"/>
        <v>0</v>
      </c>
      <c r="AR285" s="159"/>
      <c r="AS285" s="1506"/>
      <c r="AT285" s="1506"/>
      <c r="AU285" s="91"/>
      <c r="AV285" s="159"/>
      <c r="AW285" s="1506"/>
      <c r="AX285" s="1506"/>
      <c r="AY285" s="91"/>
      <c r="AZ285" s="1474"/>
      <c r="BA285" s="652"/>
      <c r="BB285" s="317"/>
      <c r="BC285" s="256"/>
      <c r="BD285" s="1113"/>
      <c r="BE285" s="1113"/>
      <c r="BF285" s="1215"/>
      <c r="BG285" s="159"/>
      <c r="BH285" s="1506"/>
      <c r="BI285" s="1607"/>
      <c r="BJ285" s="1603"/>
      <c r="BK285" s="1603"/>
      <c r="BL285" s="1806"/>
      <c r="BM285" s="1806"/>
      <c r="BN285" s="1806"/>
      <c r="BO285" s="1005"/>
    </row>
    <row r="286" spans="1:67" s="708" customFormat="1" ht="14.25" hidden="1" customHeight="1" outlineLevel="1">
      <c r="A286" s="826"/>
      <c r="B286" s="942" t="s">
        <v>243</v>
      </c>
      <c r="C286" s="1004"/>
      <c r="D286" s="92"/>
      <c r="E286" s="92"/>
      <c r="F286" s="92"/>
      <c r="G286" s="93"/>
      <c r="H286" s="90"/>
      <c r="I286" s="90"/>
      <c r="J286" s="256"/>
      <c r="K286" s="301"/>
      <c r="L286" s="256"/>
      <c r="M286" s="256"/>
      <c r="N286" s="256"/>
      <c r="O286" s="301"/>
      <c r="P286" s="612"/>
      <c r="Q286" s="795">
        <f t="shared" ref="Q286:AQ286" si="567">+Q280-P280+Q285</f>
        <v>1.106096880120389</v>
      </c>
      <c r="R286" s="795">
        <f t="shared" si="567"/>
        <v>-1.7965669960303585</v>
      </c>
      <c r="S286" s="530">
        <f t="shared" si="567"/>
        <v>-8.5318541795921554</v>
      </c>
      <c r="T286" s="795">
        <f t="shared" si="567"/>
        <v>16.581931489959693</v>
      </c>
      <c r="U286" s="795">
        <f t="shared" si="567"/>
        <v>0.24198094132472958</v>
      </c>
      <c r="V286" s="1121">
        <f t="shared" si="567"/>
        <v>3.8363392475612601E-2</v>
      </c>
      <c r="W286" s="530">
        <f t="shared" si="567"/>
        <v>-28.511195862346359</v>
      </c>
      <c r="X286" s="795">
        <f t="shared" si="567"/>
        <v>27.228982418753333</v>
      </c>
      <c r="Y286" s="795">
        <f t="shared" si="567"/>
        <v>10.131130918165049</v>
      </c>
      <c r="Z286" s="795">
        <f t="shared" si="567"/>
        <v>9.3807575261111662</v>
      </c>
      <c r="AA286" s="795">
        <f t="shared" si="567"/>
        <v>-11.13975649478788</v>
      </c>
      <c r="AB286" s="1180">
        <f t="shared" si="567"/>
        <v>5.0383654385615424</v>
      </c>
      <c r="AC286" s="795">
        <f t="shared" si="567"/>
        <v>8</v>
      </c>
      <c r="AD286" s="795">
        <f t="shared" si="567"/>
        <v>-8</v>
      </c>
      <c r="AE286" s="530">
        <f t="shared" si="567"/>
        <v>-4</v>
      </c>
      <c r="AF286" s="1104">
        <f t="shared" si="567"/>
        <v>-5</v>
      </c>
      <c r="AG286" s="795">
        <f t="shared" si="567"/>
        <v>14</v>
      </c>
      <c r="AH286" s="795">
        <f t="shared" si="567"/>
        <v>-5</v>
      </c>
      <c r="AI286" s="795">
        <f t="shared" si="567"/>
        <v>12</v>
      </c>
      <c r="AJ286" s="1104">
        <f t="shared" si="567"/>
        <v>-8</v>
      </c>
      <c r="AK286" s="795">
        <f t="shared" si="567"/>
        <v>1</v>
      </c>
      <c r="AL286" s="795">
        <f t="shared" si="567"/>
        <v>-5</v>
      </c>
      <c r="AM286" s="1573">
        <f t="shared" si="567"/>
        <v>0</v>
      </c>
      <c r="AN286" s="1104">
        <f t="shared" si="567"/>
        <v>-45</v>
      </c>
      <c r="AO286" s="795">
        <f t="shared" si="567"/>
        <v>37</v>
      </c>
      <c r="AP286" s="795">
        <f t="shared" si="567"/>
        <v>37</v>
      </c>
      <c r="AQ286" s="1806">
        <f t="shared" si="567"/>
        <v>3</v>
      </c>
      <c r="AR286" s="159"/>
      <c r="AS286" s="1506"/>
      <c r="AT286" s="1506"/>
      <c r="AU286" s="91"/>
      <c r="AV286" s="159"/>
      <c r="AW286" s="1506"/>
      <c r="AX286" s="1506"/>
      <c r="AY286" s="91"/>
      <c r="AZ286" s="1474"/>
      <c r="BA286" s="652"/>
      <c r="BB286" s="317"/>
      <c r="BC286" s="256"/>
      <c r="BD286" s="1113"/>
      <c r="BE286" s="1113"/>
      <c r="BF286" s="1215"/>
      <c r="BG286" s="159"/>
      <c r="BH286" s="1506"/>
      <c r="BI286" s="1607"/>
      <c r="BJ286" s="1603"/>
      <c r="BK286" s="1603"/>
      <c r="BL286" s="1806"/>
      <c r="BM286" s="1806"/>
      <c r="BN286" s="1806"/>
      <c r="BO286" s="1005"/>
    </row>
    <row r="287" spans="1:67" s="708" customFormat="1" ht="14.25" hidden="1" customHeight="1" outlineLevel="1">
      <c r="A287" s="826"/>
      <c r="B287" s="974" t="s">
        <v>241</v>
      </c>
      <c r="C287" s="1004"/>
      <c r="D287" s="92"/>
      <c r="E287" s="92"/>
      <c r="F287" s="92"/>
      <c r="G287" s="93"/>
      <c r="H287" s="90"/>
      <c r="I287" s="90"/>
      <c r="J287" s="256"/>
      <c r="K287" s="301"/>
      <c r="L287" s="256"/>
      <c r="M287" s="256"/>
      <c r="N287" s="256"/>
      <c r="O287" s="301"/>
      <c r="P287" s="612"/>
      <c r="Q287" s="317">
        <f t="shared" ref="Q287:AQ287" si="568">+Q286/P280</f>
        <v>5.8834940431935585E-3</v>
      </c>
      <c r="R287" s="317">
        <f t="shared" si="568"/>
        <v>-9.7111729515154521E-3</v>
      </c>
      <c r="S287" s="339">
        <f t="shared" si="568"/>
        <v>-4.6368772715174755E-2</v>
      </c>
      <c r="T287" s="317">
        <f t="shared" si="568"/>
        <v>9.3156918482919626E-2</v>
      </c>
      <c r="U287" s="317">
        <f t="shared" si="568"/>
        <v>1.2409279042293825E-3</v>
      </c>
      <c r="V287" s="420">
        <f t="shared" si="568"/>
        <v>1.937545074525889E-4</v>
      </c>
      <c r="W287" s="339">
        <f t="shared" si="568"/>
        <v>-0.14472688254998151</v>
      </c>
      <c r="X287" s="317">
        <f t="shared" si="568"/>
        <v>0.16403001457080321</v>
      </c>
      <c r="Y287" s="317">
        <f t="shared" si="568"/>
        <v>5.2766306865442959E-2</v>
      </c>
      <c r="Z287" s="317">
        <f t="shared" si="568"/>
        <v>4.6670435453289381E-2</v>
      </c>
      <c r="AA287" s="317">
        <f t="shared" si="568"/>
        <v>-5.3300270309989857E-2</v>
      </c>
      <c r="AB287" s="958">
        <f t="shared" si="568"/>
        <v>2.5191827192807711E-2</v>
      </c>
      <c r="AC287" s="317">
        <f t="shared" si="568"/>
        <v>3.8834951456310676E-2</v>
      </c>
      <c r="AD287" s="317">
        <f t="shared" si="568"/>
        <v>-3.7383177570093455E-2</v>
      </c>
      <c r="AE287" s="339">
        <f t="shared" si="568"/>
        <v>-1.9417475728155338E-2</v>
      </c>
      <c r="AF287" s="652">
        <f t="shared" si="568"/>
        <v>-2.4752475247524754E-2</v>
      </c>
      <c r="AG287" s="317">
        <f t="shared" si="568"/>
        <v>7.1065989847715741E-2</v>
      </c>
      <c r="AH287" s="317">
        <f t="shared" si="568"/>
        <v>-2.3696682464454975E-2</v>
      </c>
      <c r="AI287" s="317">
        <f t="shared" si="568"/>
        <v>5.8252427184466021E-2</v>
      </c>
      <c r="AJ287" s="652">
        <f t="shared" si="568"/>
        <v>-3.669724770642202E-2</v>
      </c>
      <c r="AK287" s="317">
        <f t="shared" si="568"/>
        <v>4.7619047619047623E-3</v>
      </c>
      <c r="AL287" s="317">
        <f t="shared" si="568"/>
        <v>-2.3696682464454975E-2</v>
      </c>
      <c r="AM287" s="1573">
        <f t="shared" si="568"/>
        <v>0</v>
      </c>
      <c r="AN287" s="652">
        <f t="shared" si="568"/>
        <v>-0.21844660194174756</v>
      </c>
      <c r="AO287" s="317">
        <f t="shared" si="568"/>
        <v>0.22981366459627328</v>
      </c>
      <c r="AP287" s="317">
        <f t="shared" si="568"/>
        <v>0.18686868686868688</v>
      </c>
      <c r="AQ287" s="1806">
        <f t="shared" si="568"/>
        <v>1.276595744680851E-2</v>
      </c>
      <c r="AR287" s="159"/>
      <c r="AS287" s="1506"/>
      <c r="AT287" s="1506"/>
      <c r="AU287" s="91"/>
      <c r="AV287" s="159"/>
      <c r="AW287" s="1506"/>
      <c r="AX287" s="1506"/>
      <c r="AY287" s="91"/>
      <c r="AZ287" s="1474"/>
      <c r="BA287" s="652"/>
      <c r="BB287" s="317"/>
      <c r="BC287" s="256"/>
      <c r="BD287" s="1113"/>
      <c r="BE287" s="1113"/>
      <c r="BF287" s="1215"/>
      <c r="BG287" s="159"/>
      <c r="BH287" s="1506"/>
      <c r="BI287" s="1607"/>
      <c r="BJ287" s="1603"/>
      <c r="BK287" s="1603"/>
      <c r="BL287" s="1806"/>
      <c r="BM287" s="1806"/>
      <c r="BN287" s="1806"/>
      <c r="BO287" s="1005"/>
    </row>
    <row r="288" spans="1:67" s="708" customFormat="1" ht="14.25" hidden="1" customHeight="1" outlineLevel="1">
      <c r="A288" s="826"/>
      <c r="B288" s="640"/>
      <c r="C288" s="1004"/>
      <c r="D288" s="92"/>
      <c r="E288" s="92"/>
      <c r="F288" s="92"/>
      <c r="G288" s="93"/>
      <c r="H288" s="90"/>
      <c r="I288" s="90"/>
      <c r="J288" s="256"/>
      <c r="K288" s="301"/>
      <c r="L288" s="256"/>
      <c r="M288" s="256"/>
      <c r="N288" s="256"/>
      <c r="O288" s="301"/>
      <c r="P288" s="738"/>
      <c r="Q288" s="738"/>
      <c r="R288" s="738"/>
      <c r="S288" s="650"/>
      <c r="T288" s="738"/>
      <c r="U288" s="738"/>
      <c r="V288" s="647"/>
      <c r="W288" s="650"/>
      <c r="X288" s="738"/>
      <c r="Y288" s="647"/>
      <c r="Z288" s="647"/>
      <c r="AA288" s="647"/>
      <c r="AB288" s="985"/>
      <c r="AC288" s="90"/>
      <c r="AD288" s="90"/>
      <c r="AE288" s="927"/>
      <c r="AF288" s="159"/>
      <c r="AG288" s="90"/>
      <c r="AH288" s="90"/>
      <c r="AI288" s="90"/>
      <c r="AJ288" s="159"/>
      <c r="AK288" s="90"/>
      <c r="AL288" s="90"/>
      <c r="AM288" s="1573"/>
      <c r="AN288" s="1607"/>
      <c r="AO288" s="1603"/>
      <c r="AP288" s="1603"/>
      <c r="AQ288" s="1806"/>
      <c r="AR288" s="159"/>
      <c r="AS288" s="1506"/>
      <c r="AT288" s="1506"/>
      <c r="AU288" s="91"/>
      <c r="AV288" s="159"/>
      <c r="AW288" s="1506"/>
      <c r="AX288" s="1506"/>
      <c r="AY288" s="91"/>
      <c r="AZ288" s="1474"/>
      <c r="BA288" s="652"/>
      <c r="BB288" s="317"/>
      <c r="BC288" s="256"/>
      <c r="BD288" s="1113"/>
      <c r="BE288" s="1113"/>
      <c r="BF288" s="1215"/>
      <c r="BG288" s="159"/>
      <c r="BH288" s="1506"/>
      <c r="BI288" s="1607"/>
      <c r="BJ288" s="1603"/>
      <c r="BK288" s="1603"/>
      <c r="BL288" s="1806"/>
      <c r="BM288" s="1806"/>
      <c r="BN288" s="1806"/>
      <c r="BO288" s="1005"/>
    </row>
    <row r="289" spans="1:67" s="708" customFormat="1" ht="14.25" hidden="1" customHeight="1" outlineLevel="1">
      <c r="A289" s="826"/>
      <c r="B289" s="640" t="s">
        <v>5</v>
      </c>
      <c r="C289" s="1004"/>
      <c r="D289" s="92"/>
      <c r="E289" s="92"/>
      <c r="F289" s="92"/>
      <c r="G289" s="93"/>
      <c r="H289" s="90"/>
      <c r="I289" s="90"/>
      <c r="J289" s="256"/>
      <c r="K289" s="301"/>
      <c r="L289" s="256"/>
      <c r="M289" s="256"/>
      <c r="N289" s="256"/>
      <c r="O289" s="301"/>
      <c r="P289" s="1300">
        <f t="shared" ref="P289:AD289" si="569">+P540</f>
        <v>0.93</v>
      </c>
      <c r="Q289" s="1300">
        <f t="shared" si="569"/>
        <v>0.96</v>
      </c>
      <c r="R289" s="1300">
        <f t="shared" si="569"/>
        <v>0.99</v>
      </c>
      <c r="S289" s="1008">
        <f t="shared" si="569"/>
        <v>0.97</v>
      </c>
      <c r="T289" s="1300">
        <f t="shared" si="569"/>
        <v>0.97</v>
      </c>
      <c r="U289" s="1300">
        <f t="shared" si="569"/>
        <v>0.94</v>
      </c>
      <c r="V289" s="1247">
        <f t="shared" si="569"/>
        <v>0.79</v>
      </c>
      <c r="W289" s="1008">
        <f t="shared" si="569"/>
        <v>0.71</v>
      </c>
      <c r="X289" s="1300">
        <f t="shared" si="569"/>
        <v>0.84</v>
      </c>
      <c r="Y289" s="1247">
        <f t="shared" si="569"/>
        <v>0.92</v>
      </c>
      <c r="Z289" s="1247">
        <f t="shared" si="569"/>
        <v>0.91</v>
      </c>
      <c r="AA289" s="1247">
        <f t="shared" si="569"/>
        <v>0.85</v>
      </c>
      <c r="AB289" s="1276">
        <f t="shared" si="569"/>
        <v>0.83</v>
      </c>
      <c r="AC289" s="1247">
        <f t="shared" si="569"/>
        <v>0.9</v>
      </c>
      <c r="AD289" s="1247">
        <f t="shared" si="569"/>
        <v>0.91</v>
      </c>
      <c r="AE289" s="1009">
        <f t="shared" ref="AE289:AJ289" si="570">+AE540</f>
        <v>0.95</v>
      </c>
      <c r="AF289" s="1276">
        <f t="shared" si="570"/>
        <v>0.93</v>
      </c>
      <c r="AG289" s="1247">
        <f t="shared" si="570"/>
        <v>0</v>
      </c>
      <c r="AH289" s="1247">
        <f t="shared" si="570"/>
        <v>0</v>
      </c>
      <c r="AI289" s="1247">
        <f t="shared" si="570"/>
        <v>0</v>
      </c>
      <c r="AJ289" s="1276">
        <f t="shared" si="570"/>
        <v>0</v>
      </c>
      <c r="AK289" s="1247">
        <f>+AK540</f>
        <v>0</v>
      </c>
      <c r="AL289" s="1247">
        <f t="shared" ref="AL289:AN289" si="571">+AL540</f>
        <v>0</v>
      </c>
      <c r="AM289" s="1573">
        <f t="shared" si="571"/>
        <v>0</v>
      </c>
      <c r="AN289" s="1276">
        <f t="shared" si="571"/>
        <v>0</v>
      </c>
      <c r="AO289" s="1247">
        <f>+AO540</f>
        <v>0</v>
      </c>
      <c r="AP289" s="1247">
        <f t="shared" ref="AP289:AQ289" si="572">+AP540</f>
        <v>0</v>
      </c>
      <c r="AQ289" s="1806">
        <f t="shared" si="572"/>
        <v>0</v>
      </c>
      <c r="AR289" s="159"/>
      <c r="AS289" s="1506"/>
      <c r="AT289" s="1506"/>
      <c r="AU289" s="91"/>
      <c r="AV289" s="159"/>
      <c r="AW289" s="1506"/>
      <c r="AX289" s="1506"/>
      <c r="AY289" s="91"/>
      <c r="AZ289" s="1474"/>
      <c r="BA289" s="652"/>
      <c r="BB289" s="317"/>
      <c r="BC289" s="256"/>
      <c r="BD289" s="1113"/>
      <c r="BE289" s="1113"/>
      <c r="BF289" s="1215"/>
      <c r="BG289" s="159"/>
      <c r="BH289" s="1506"/>
      <c r="BI289" s="1607"/>
      <c r="BJ289" s="1603"/>
      <c r="BK289" s="1603"/>
      <c r="BL289" s="1806"/>
      <c r="BM289" s="1806"/>
      <c r="BN289" s="1806"/>
      <c r="BO289" s="1005"/>
    </row>
    <row r="290" spans="1:67" ht="14.25" hidden="1" customHeight="1" outlineLevel="1">
      <c r="A290" s="1"/>
      <c r="B290" s="437"/>
      <c r="C290" s="254"/>
      <c r="D290" s="92"/>
      <c r="E290" s="92"/>
      <c r="F290" s="92"/>
      <c r="G290" s="93"/>
      <c r="H290" s="90"/>
      <c r="I290" s="90"/>
      <c r="J290" s="256"/>
      <c r="K290" s="301"/>
      <c r="L290" s="256"/>
      <c r="M290" s="256"/>
      <c r="N290" s="256"/>
      <c r="O290" s="301"/>
      <c r="P290" s="612"/>
      <c r="Q290" s="612"/>
      <c r="R290" s="612"/>
      <c r="S290" s="611"/>
      <c r="T290" s="612"/>
      <c r="U290" s="612"/>
      <c r="V290" s="614"/>
      <c r="W290" s="611"/>
      <c r="X290" s="612"/>
      <c r="Y290" s="614"/>
      <c r="Z290" s="614"/>
      <c r="AA290" s="614"/>
      <c r="AB290" s="979"/>
      <c r="AC290" s="90"/>
      <c r="AD290" s="90"/>
      <c r="AE290" s="980"/>
      <c r="AF290" s="159"/>
      <c r="AG290" s="90"/>
      <c r="AH290" s="90"/>
      <c r="AI290" s="90"/>
      <c r="AJ290" s="159"/>
      <c r="AK290" s="90"/>
      <c r="AL290" s="90"/>
      <c r="AM290" s="1573"/>
      <c r="AN290" s="1607"/>
      <c r="AO290" s="1603"/>
      <c r="AP290" s="1603"/>
      <c r="AQ290" s="1806"/>
      <c r="AR290" s="159"/>
      <c r="AS290" s="1506"/>
      <c r="AT290" s="1506"/>
      <c r="AU290" s="91"/>
      <c r="AV290" s="159"/>
      <c r="AW290" s="1506"/>
      <c r="AX290" s="1506"/>
      <c r="AY290" s="91"/>
      <c r="AZ290" s="20"/>
      <c r="BA290" s="652"/>
      <c r="BB290" s="317"/>
      <c r="BC290" s="256"/>
      <c r="BD290" s="1113"/>
      <c r="BE290" s="1113"/>
      <c r="BF290" s="1215"/>
      <c r="BG290" s="159"/>
      <c r="BH290" s="1506"/>
      <c r="BI290" s="1607"/>
      <c r="BJ290" s="1603"/>
      <c r="BK290" s="1603"/>
      <c r="BL290" s="1806"/>
      <c r="BM290" s="1806"/>
      <c r="BN290" s="1806"/>
      <c r="BO290" s="299"/>
    </row>
    <row r="291" spans="1:67" ht="14.25" hidden="1" customHeight="1" outlineLevel="1">
      <c r="A291" s="1"/>
      <c r="B291" s="437" t="s">
        <v>28</v>
      </c>
      <c r="C291" s="254"/>
      <c r="D291" s="92"/>
      <c r="E291" s="92"/>
      <c r="F291" s="92"/>
      <c r="G291" s="93"/>
      <c r="H291" s="90"/>
      <c r="I291" s="90"/>
      <c r="J291" s="256"/>
      <c r="K291" s="301"/>
      <c r="L291" s="256"/>
      <c r="M291" s="256"/>
      <c r="N291" s="256"/>
      <c r="O291" s="301"/>
      <c r="P291" s="612">
        <v>24</v>
      </c>
      <c r="Q291" s="612">
        <v>34</v>
      </c>
      <c r="R291" s="612">
        <v>52</v>
      </c>
      <c r="S291" s="611">
        <v>61</v>
      </c>
      <c r="T291" s="612">
        <v>58</v>
      </c>
      <c r="U291" s="612">
        <v>63</v>
      </c>
      <c r="V291" s="614">
        <v>57</v>
      </c>
      <c r="W291" s="611">
        <v>22</v>
      </c>
      <c r="X291" s="612">
        <v>18</v>
      </c>
      <c r="Y291" s="614">
        <v>26</v>
      </c>
      <c r="Z291" s="614">
        <v>43</v>
      </c>
      <c r="AA291" s="614">
        <v>2</v>
      </c>
      <c r="AB291" s="979">
        <v>7</v>
      </c>
      <c r="AC291" s="614">
        <v>9</v>
      </c>
      <c r="AD291" s="614">
        <v>21</v>
      </c>
      <c r="AE291" s="980">
        <v>2</v>
      </c>
      <c r="AF291" s="979">
        <v>12</v>
      </c>
      <c r="AG291" s="614">
        <v>29</v>
      </c>
      <c r="AH291" s="614">
        <v>38</v>
      </c>
      <c r="AI291" s="614">
        <v>41</v>
      </c>
      <c r="AJ291" s="979">
        <v>-14</v>
      </c>
      <c r="AK291" s="614">
        <v>29</v>
      </c>
      <c r="AL291" s="614">
        <v>38</v>
      </c>
      <c r="AM291" s="1573">
        <v>38</v>
      </c>
      <c r="AN291" s="979">
        <v>-14</v>
      </c>
      <c r="AO291" s="614">
        <v>29</v>
      </c>
      <c r="AP291" s="614">
        <v>38</v>
      </c>
      <c r="AQ291" s="1825">
        <v>38</v>
      </c>
      <c r="AR291" s="159"/>
      <c r="AS291" s="1506"/>
      <c r="AT291" s="1506"/>
      <c r="AU291" s="91"/>
      <c r="AV291" s="159"/>
      <c r="AW291" s="1506"/>
      <c r="AX291" s="1506"/>
      <c r="AY291" s="91"/>
      <c r="AZ291" s="20"/>
      <c r="BA291" s="652"/>
      <c r="BB291" s="317"/>
      <c r="BC291" s="256"/>
      <c r="BD291" s="705">
        <f>SUM(P291:S291)</f>
        <v>171</v>
      </c>
      <c r="BE291" s="705">
        <f>SUM(T291:W291)</f>
        <v>200</v>
      </c>
      <c r="BF291" s="736">
        <f>SUM(X291:AA291)</f>
        <v>89</v>
      </c>
      <c r="BG291" s="159"/>
      <c r="BH291" s="1506"/>
      <c r="BI291" s="1607"/>
      <c r="BJ291" s="1603"/>
      <c r="BK291" s="1603"/>
      <c r="BL291" s="1806"/>
      <c r="BM291" s="1806"/>
      <c r="BN291" s="1806"/>
      <c r="BO291" s="299"/>
    </row>
    <row r="292" spans="1:67" ht="14.25" hidden="1" customHeight="1" outlineLevel="2">
      <c r="A292" s="1"/>
      <c r="B292" s="437" t="s">
        <v>8</v>
      </c>
      <c r="C292" s="254"/>
      <c r="D292" s="92"/>
      <c r="E292" s="92"/>
      <c r="F292" s="92"/>
      <c r="G292" s="93"/>
      <c r="H292" s="90"/>
      <c r="I292" s="90"/>
      <c r="J292" s="256"/>
      <c r="K292" s="301"/>
      <c r="L292" s="256"/>
      <c r="M292" s="256"/>
      <c r="N292" s="256"/>
      <c r="O292" s="301"/>
      <c r="P292" s="612">
        <v>-18</v>
      </c>
      <c r="Q292" s="612">
        <v>-18</v>
      </c>
      <c r="R292" s="612">
        <v>-14</v>
      </c>
      <c r="S292" s="611">
        <v>-15</v>
      </c>
      <c r="T292" s="612">
        <v>-16</v>
      </c>
      <c r="U292" s="612">
        <v>-20</v>
      </c>
      <c r="V292" s="614">
        <v>-17</v>
      </c>
      <c r="W292" s="611">
        <v>-16</v>
      </c>
      <c r="X292" s="612">
        <v>-15</v>
      </c>
      <c r="Y292" s="614">
        <v>-15</v>
      </c>
      <c r="Z292" s="614">
        <v>-15</v>
      </c>
      <c r="AA292" s="614">
        <v>-15</v>
      </c>
      <c r="AB292" s="979">
        <v>-15</v>
      </c>
      <c r="AC292" s="614">
        <v>-15</v>
      </c>
      <c r="AD292" s="614">
        <v>-14</v>
      </c>
      <c r="AE292" s="980">
        <v>-15</v>
      </c>
      <c r="AF292" s="979">
        <v>-15</v>
      </c>
      <c r="AG292" s="614">
        <v>-16</v>
      </c>
      <c r="AH292" s="614">
        <v>-15</v>
      </c>
      <c r="AI292" s="614">
        <v>-12</v>
      </c>
      <c r="AJ292" s="979"/>
      <c r="AK292" s="614">
        <v>-16</v>
      </c>
      <c r="AL292" s="614">
        <v>-15</v>
      </c>
      <c r="AM292" s="1573">
        <v>-15</v>
      </c>
      <c r="AN292" s="979"/>
      <c r="AO292" s="614">
        <v>-16</v>
      </c>
      <c r="AP292" s="614">
        <v>-15</v>
      </c>
      <c r="AQ292" s="1825">
        <v>-15</v>
      </c>
      <c r="AR292" s="159"/>
      <c r="AS292" s="1506"/>
      <c r="AT292" s="1506"/>
      <c r="AU292" s="91"/>
      <c r="AV292" s="159"/>
      <c r="AW292" s="1506"/>
      <c r="AX292" s="1506"/>
      <c r="AY292" s="91"/>
      <c r="AZ292" s="20"/>
      <c r="BA292" s="652"/>
      <c r="BB292" s="317"/>
      <c r="BC292" s="256"/>
      <c r="BD292" s="1113"/>
      <c r="BE292" s="1113"/>
      <c r="BF292" s="1215"/>
      <c r="BG292" s="159"/>
      <c r="BH292" s="1506"/>
      <c r="BI292" s="1607"/>
      <c r="BJ292" s="1603"/>
      <c r="BK292" s="1603"/>
      <c r="BL292" s="1806"/>
      <c r="BM292" s="1806"/>
      <c r="BN292" s="1806"/>
      <c r="BO292" s="299"/>
    </row>
    <row r="293" spans="1:67" ht="14.25" hidden="1" customHeight="1" outlineLevel="2">
      <c r="A293" s="1"/>
      <c r="B293" s="437" t="s">
        <v>349</v>
      </c>
      <c r="C293" s="254"/>
      <c r="D293" s="92"/>
      <c r="E293" s="92"/>
      <c r="F293" s="92"/>
      <c r="G293" s="93"/>
      <c r="H293" s="90"/>
      <c r="I293" s="90"/>
      <c r="J293" s="256"/>
      <c r="K293" s="301"/>
      <c r="L293" s="256"/>
      <c r="M293" s="256"/>
      <c r="N293" s="256"/>
      <c r="O293" s="301"/>
      <c r="P293" s="612">
        <v>3</v>
      </c>
      <c r="Q293" s="612">
        <v>1</v>
      </c>
      <c r="R293" s="612">
        <v>-1</v>
      </c>
      <c r="S293" s="611">
        <v>1</v>
      </c>
      <c r="T293" s="612">
        <v>0</v>
      </c>
      <c r="U293" s="612">
        <v>-1</v>
      </c>
      <c r="V293" s="614">
        <v>0</v>
      </c>
      <c r="W293" s="611">
        <v>-8</v>
      </c>
      <c r="X293" s="612">
        <v>0</v>
      </c>
      <c r="Y293" s="614">
        <v>0</v>
      </c>
      <c r="Z293" s="614">
        <v>0</v>
      </c>
      <c r="AA293" s="614">
        <v>-19</v>
      </c>
      <c r="AB293" s="979">
        <v>-1</v>
      </c>
      <c r="AC293" s="614">
        <v>5</v>
      </c>
      <c r="AD293" s="614">
        <v>-2</v>
      </c>
      <c r="AE293" s="980">
        <v>-18</v>
      </c>
      <c r="AF293" s="979">
        <v>-15</v>
      </c>
      <c r="AG293" s="614">
        <v>-9</v>
      </c>
      <c r="AH293" s="614">
        <v>-7</v>
      </c>
      <c r="AI293" s="614">
        <v>-6</v>
      </c>
      <c r="AJ293" s="979"/>
      <c r="AK293" s="614">
        <v>-9</v>
      </c>
      <c r="AL293" s="614">
        <v>-7</v>
      </c>
      <c r="AM293" s="1573">
        <v>-7</v>
      </c>
      <c r="AN293" s="979"/>
      <c r="AO293" s="614">
        <v>-9</v>
      </c>
      <c r="AP293" s="614">
        <v>-7</v>
      </c>
      <c r="AQ293" s="1825">
        <v>-7</v>
      </c>
      <c r="AR293" s="159"/>
      <c r="AS293" s="1506"/>
      <c r="AT293" s="1506"/>
      <c r="AU293" s="91"/>
      <c r="AV293" s="159"/>
      <c r="AW293" s="1506"/>
      <c r="AX293" s="1506"/>
      <c r="AY293" s="91"/>
      <c r="AZ293" s="20"/>
      <c r="BA293" s="652"/>
      <c r="BB293" s="317"/>
      <c r="BC293" s="256"/>
      <c r="BD293" s="1113"/>
      <c r="BE293" s="1113"/>
      <c r="BF293" s="1215"/>
      <c r="BG293" s="159"/>
      <c r="BH293" s="1506"/>
      <c r="BI293" s="1607"/>
      <c r="BJ293" s="1603"/>
      <c r="BK293" s="1603"/>
      <c r="BL293" s="1806"/>
      <c r="BM293" s="1806"/>
      <c r="BN293" s="1806"/>
      <c r="BO293" s="299"/>
    </row>
    <row r="294" spans="1:67" ht="14.25" hidden="1" customHeight="1" outlineLevel="2">
      <c r="A294" s="1"/>
      <c r="B294" s="437" t="s">
        <v>9</v>
      </c>
      <c r="C294" s="254"/>
      <c r="D294" s="92"/>
      <c r="E294" s="92"/>
      <c r="F294" s="92"/>
      <c r="G294" s="93"/>
      <c r="H294" s="90"/>
      <c r="I294" s="90"/>
      <c r="J294" s="256"/>
      <c r="K294" s="301"/>
      <c r="L294" s="256"/>
      <c r="M294" s="256"/>
      <c r="N294" s="256"/>
      <c r="O294" s="301"/>
      <c r="P294" s="612">
        <v>-2</v>
      </c>
      <c r="Q294" s="612">
        <v>-2</v>
      </c>
      <c r="R294" s="612">
        <v>-2</v>
      </c>
      <c r="S294" s="611">
        <v>1</v>
      </c>
      <c r="T294" s="612">
        <v>-1</v>
      </c>
      <c r="U294" s="612">
        <v>-2</v>
      </c>
      <c r="V294" s="614">
        <v>-1</v>
      </c>
      <c r="W294" s="611">
        <v>-2</v>
      </c>
      <c r="X294" s="612">
        <v>-2</v>
      </c>
      <c r="Y294" s="614">
        <v>-3</v>
      </c>
      <c r="Z294" s="614">
        <v>-2</v>
      </c>
      <c r="AA294" s="614">
        <v>-4</v>
      </c>
      <c r="AB294" s="979">
        <v>-4</v>
      </c>
      <c r="AC294" s="614">
        <v>-4</v>
      </c>
      <c r="AD294" s="614">
        <v>-4</v>
      </c>
      <c r="AE294" s="980">
        <v>-7</v>
      </c>
      <c r="AF294" s="979">
        <v>-6</v>
      </c>
      <c r="AG294" s="614">
        <v>-8</v>
      </c>
      <c r="AH294" s="614">
        <v>-8</v>
      </c>
      <c r="AI294" s="614">
        <v>-7</v>
      </c>
      <c r="AJ294" s="979">
        <v>-7</v>
      </c>
      <c r="AK294" s="614">
        <v>-8</v>
      </c>
      <c r="AL294" s="614">
        <v>-8</v>
      </c>
      <c r="AM294" s="1573">
        <v>-8</v>
      </c>
      <c r="AN294" s="979">
        <v>-7</v>
      </c>
      <c r="AO294" s="614">
        <v>-8</v>
      </c>
      <c r="AP294" s="614">
        <v>-8</v>
      </c>
      <c r="AQ294" s="1825">
        <v>-8</v>
      </c>
      <c r="AR294" s="159"/>
      <c r="AS294" s="1506"/>
      <c r="AT294" s="1506"/>
      <c r="AU294" s="91"/>
      <c r="AV294" s="159"/>
      <c r="AW294" s="1506"/>
      <c r="AX294" s="1506"/>
      <c r="AY294" s="91"/>
      <c r="AZ294" s="20"/>
      <c r="BA294" s="652"/>
      <c r="BB294" s="317"/>
      <c r="BC294" s="256"/>
      <c r="BD294" s="1113"/>
      <c r="BE294" s="1113"/>
      <c r="BF294" s="1215"/>
      <c r="BG294" s="159"/>
      <c r="BH294" s="1506"/>
      <c r="BI294" s="1607"/>
      <c r="BJ294" s="1603"/>
      <c r="BK294" s="1603"/>
      <c r="BL294" s="1806"/>
      <c r="BM294" s="1806"/>
      <c r="BN294" s="1806"/>
      <c r="BO294" s="299"/>
    </row>
    <row r="295" spans="1:67" s="468" customFormat="1" ht="14.25" hidden="1" customHeight="1" outlineLevel="2">
      <c r="B295" s="469" t="s">
        <v>10</v>
      </c>
      <c r="C295" s="470"/>
      <c r="D295" s="1297"/>
      <c r="E295" s="1297"/>
      <c r="F295" s="1297"/>
      <c r="G295" s="472"/>
      <c r="H295" s="1118"/>
      <c r="I295" s="1118"/>
      <c r="J295" s="477"/>
      <c r="K295" s="475"/>
      <c r="L295" s="477"/>
      <c r="M295" s="477"/>
      <c r="N295" s="477"/>
      <c r="O295" s="475"/>
      <c r="P295" s="1298">
        <v>-1</v>
      </c>
      <c r="Q295" s="1298">
        <v>0</v>
      </c>
      <c r="R295" s="1298">
        <v>0</v>
      </c>
      <c r="S295" s="1001">
        <v>0</v>
      </c>
      <c r="T295" s="1298">
        <v>0</v>
      </c>
      <c r="U295" s="1298">
        <v>0</v>
      </c>
      <c r="V295" s="1245">
        <v>1</v>
      </c>
      <c r="W295" s="1001">
        <v>-1</v>
      </c>
      <c r="X295" s="1298">
        <v>0</v>
      </c>
      <c r="Y295" s="1245">
        <v>-1</v>
      </c>
      <c r="Z295" s="1245">
        <v>2</v>
      </c>
      <c r="AA295" s="1245">
        <v>-1</v>
      </c>
      <c r="AB295" s="1274">
        <v>-1</v>
      </c>
      <c r="AC295" s="1245">
        <v>-3</v>
      </c>
      <c r="AD295" s="1245">
        <v>-2</v>
      </c>
      <c r="AE295" s="1002">
        <v>-6</v>
      </c>
      <c r="AF295" s="1274">
        <v>-5</v>
      </c>
      <c r="AG295" s="1245">
        <v>-1</v>
      </c>
      <c r="AH295" s="1245">
        <v>-1</v>
      </c>
      <c r="AI295" s="1245">
        <v>-3</v>
      </c>
      <c r="AJ295" s="1274">
        <v>-1</v>
      </c>
      <c r="AK295" s="1245">
        <v>-1</v>
      </c>
      <c r="AL295" s="1245">
        <v>-1</v>
      </c>
      <c r="AM295" s="1593">
        <v>-1</v>
      </c>
      <c r="AN295" s="1274">
        <v>-1</v>
      </c>
      <c r="AO295" s="1245">
        <v>-1</v>
      </c>
      <c r="AP295" s="1245">
        <v>-1</v>
      </c>
      <c r="AQ295" s="1826">
        <v>-1</v>
      </c>
      <c r="AR295" s="1283"/>
      <c r="AS295" s="1118"/>
      <c r="AT295" s="1118"/>
      <c r="AU295" s="1003"/>
      <c r="AV295" s="1283"/>
      <c r="AW295" s="1118"/>
      <c r="AX295" s="1118"/>
      <c r="AY295" s="1003"/>
      <c r="AZ295" s="476"/>
      <c r="BA295" s="922"/>
      <c r="BB295" s="477"/>
      <c r="BC295" s="477"/>
      <c r="BD295" s="1119"/>
      <c r="BE295" s="1119"/>
      <c r="BF295" s="1219"/>
      <c r="BG295" s="1283"/>
      <c r="BH295" s="1118"/>
      <c r="BI295" s="1668"/>
      <c r="BJ295" s="1661"/>
      <c r="BK295" s="1661"/>
      <c r="BL295" s="1661"/>
      <c r="BM295" s="1661"/>
      <c r="BN295" s="1661"/>
      <c r="BO295" s="479"/>
    </row>
    <row r="296" spans="1:67" ht="14.25" hidden="1" customHeight="1" outlineLevel="1">
      <c r="A296" s="1"/>
      <c r="B296" s="437" t="s">
        <v>29</v>
      </c>
      <c r="C296" s="254"/>
      <c r="D296" s="92"/>
      <c r="E296" s="92"/>
      <c r="F296" s="92"/>
      <c r="G296" s="93"/>
      <c r="H296" s="90"/>
      <c r="I296" s="90"/>
      <c r="J296" s="256"/>
      <c r="K296" s="301"/>
      <c r="L296" s="256"/>
      <c r="M296" s="256"/>
      <c r="N296" s="256"/>
      <c r="O296" s="301"/>
      <c r="P296" s="612">
        <v>42</v>
      </c>
      <c r="Q296" s="612">
        <v>53</v>
      </c>
      <c r="R296" s="612">
        <v>69</v>
      </c>
      <c r="S296" s="611">
        <v>74</v>
      </c>
      <c r="T296" s="612">
        <v>75</v>
      </c>
      <c r="U296" s="612">
        <v>86</v>
      </c>
      <c r="V296" s="614">
        <v>74</v>
      </c>
      <c r="W296" s="611">
        <v>49</v>
      </c>
      <c r="X296" s="612">
        <v>35</v>
      </c>
      <c r="Y296" s="614">
        <v>45</v>
      </c>
      <c r="Z296" s="614">
        <v>58</v>
      </c>
      <c r="AA296" s="614">
        <v>41</v>
      </c>
      <c r="AB296" s="979">
        <v>28</v>
      </c>
      <c r="AC296" s="614">
        <v>26</v>
      </c>
      <c r="AD296" s="614">
        <v>43</v>
      </c>
      <c r="AE296" s="980">
        <v>48</v>
      </c>
      <c r="AF296" s="979">
        <v>53</v>
      </c>
      <c r="AG296" s="614">
        <v>63</v>
      </c>
      <c r="AH296" s="614">
        <v>69</v>
      </c>
      <c r="AI296" s="614">
        <v>69</v>
      </c>
      <c r="AJ296" s="979">
        <v>74</v>
      </c>
      <c r="AK296" s="614">
        <v>63</v>
      </c>
      <c r="AL296" s="614">
        <v>69</v>
      </c>
      <c r="AM296" s="1573">
        <v>69</v>
      </c>
      <c r="AN296" s="979">
        <v>74</v>
      </c>
      <c r="AO296" s="614">
        <v>63</v>
      </c>
      <c r="AP296" s="614">
        <v>69</v>
      </c>
      <c r="AQ296" s="1825">
        <v>69</v>
      </c>
      <c r="AR296" s="159"/>
      <c r="AS296" s="1506"/>
      <c r="AT296" s="1506"/>
      <c r="AU296" s="91"/>
      <c r="AV296" s="159"/>
      <c r="AW296" s="1506"/>
      <c r="AX296" s="1506"/>
      <c r="AY296" s="91"/>
      <c r="AZ296" s="20"/>
      <c r="BA296" s="652"/>
      <c r="BB296" s="317"/>
      <c r="BC296" s="256"/>
      <c r="BD296" s="705">
        <f>SUM(P296:S296)</f>
        <v>238</v>
      </c>
      <c r="BE296" s="705">
        <f>SUM(T296:W296)</f>
        <v>284</v>
      </c>
      <c r="BF296" s="736">
        <f>SUM(X296:AA296)</f>
        <v>179</v>
      </c>
      <c r="BG296" s="159"/>
      <c r="BH296" s="1506"/>
      <c r="BI296" s="1607"/>
      <c r="BJ296" s="1603"/>
      <c r="BK296" s="1603"/>
      <c r="BL296" s="1806"/>
      <c r="BM296" s="1806"/>
      <c r="BN296" s="1806"/>
      <c r="BO296" s="299"/>
    </row>
    <row r="297" spans="1:67" ht="14.25" hidden="1" customHeight="1" outlineLevel="1">
      <c r="A297" s="1"/>
      <c r="B297" s="437"/>
      <c r="C297" s="254"/>
      <c r="D297" s="92"/>
      <c r="E297" s="92"/>
      <c r="F297" s="92"/>
      <c r="G297" s="93"/>
      <c r="H297" s="90"/>
      <c r="I297" s="90"/>
      <c r="J297" s="256"/>
      <c r="K297" s="301"/>
      <c r="L297" s="256"/>
      <c r="M297" s="256"/>
      <c r="N297" s="256"/>
      <c r="O297" s="301"/>
      <c r="P297" s="612"/>
      <c r="Q297" s="612"/>
      <c r="R297" s="612"/>
      <c r="S297" s="611"/>
      <c r="T297" s="612"/>
      <c r="U297" s="612"/>
      <c r="V297" s="614"/>
      <c r="W297" s="611"/>
      <c r="X297" s="612"/>
      <c r="Y297" s="614"/>
      <c r="Z297" s="614"/>
      <c r="AA297" s="614"/>
      <c r="AB297" s="979"/>
      <c r="AC297" s="614"/>
      <c r="AD297" s="90"/>
      <c r="AE297" s="980"/>
      <c r="AF297" s="159"/>
      <c r="AG297" s="614"/>
      <c r="AH297" s="90"/>
      <c r="AI297" s="90"/>
      <c r="AJ297" s="159"/>
      <c r="AK297" s="614"/>
      <c r="AL297" s="90"/>
      <c r="AM297" s="1573"/>
      <c r="AN297" s="1607"/>
      <c r="AO297" s="614"/>
      <c r="AP297" s="1603"/>
      <c r="AQ297" s="1806"/>
      <c r="AR297" s="159"/>
      <c r="AS297" s="1506"/>
      <c r="AT297" s="1506"/>
      <c r="AU297" s="91"/>
      <c r="AV297" s="159"/>
      <c r="AW297" s="1506"/>
      <c r="AX297" s="1506"/>
      <c r="AY297" s="91"/>
      <c r="AZ297" s="20"/>
      <c r="BA297" s="652"/>
      <c r="BB297" s="317"/>
      <c r="BC297" s="256"/>
      <c r="BD297" s="1113"/>
      <c r="BE297" s="1113"/>
      <c r="BF297" s="1215"/>
      <c r="BG297" s="159"/>
      <c r="BH297" s="1506"/>
      <c r="BI297" s="1607"/>
      <c r="BJ297" s="1603"/>
      <c r="BK297" s="1603"/>
      <c r="BL297" s="1806"/>
      <c r="BM297" s="1806"/>
      <c r="BN297" s="1806"/>
      <c r="BO297" s="299"/>
    </row>
    <row r="298" spans="1:67" s="708" customFormat="1" ht="14.25" hidden="1" customHeight="1" outlineLevel="1">
      <c r="A298" s="826"/>
      <c r="B298" s="640" t="s">
        <v>30</v>
      </c>
      <c r="C298" s="1004"/>
      <c r="D298" s="92"/>
      <c r="E298" s="92"/>
      <c r="F298" s="92"/>
      <c r="G298" s="93"/>
      <c r="H298" s="90"/>
      <c r="I298" s="90"/>
      <c r="J298" s="256"/>
      <c r="K298" s="301"/>
      <c r="L298" s="256"/>
      <c r="M298" s="256"/>
      <c r="N298" s="256"/>
      <c r="O298" s="301"/>
      <c r="P298" s="738">
        <f>+P291/P267</f>
        <v>8.8888888888888892E-2</v>
      </c>
      <c r="Q298" s="738">
        <f t="shared" ref="Q298:AB298" si="573">+Q291/Q267</f>
        <v>0.12056737588652482</v>
      </c>
      <c r="R298" s="738">
        <f t="shared" si="573"/>
        <v>0.17508417508417509</v>
      </c>
      <c r="S298" s="650">
        <f t="shared" si="573"/>
        <v>0.20608108108108109</v>
      </c>
      <c r="T298" s="738">
        <f t="shared" si="573"/>
        <v>0.18238993710691823</v>
      </c>
      <c r="U298" s="738">
        <f t="shared" si="573"/>
        <v>0.19504643962848298</v>
      </c>
      <c r="V298" s="647">
        <f t="shared" si="573"/>
        <v>0.18095238095238095</v>
      </c>
      <c r="W298" s="650">
        <f t="shared" si="573"/>
        <v>8.461538461538462E-2</v>
      </c>
      <c r="X298" s="738">
        <f t="shared" si="573"/>
        <v>6.569343065693431E-2</v>
      </c>
      <c r="Y298" s="647">
        <f t="shared" si="573"/>
        <v>8.9347079037800689E-2</v>
      </c>
      <c r="Z298" s="647">
        <f t="shared" si="573"/>
        <v>0.13607594936708861</v>
      </c>
      <c r="AA298" s="647">
        <f t="shared" si="573"/>
        <v>6.9686411149825784E-3</v>
      </c>
      <c r="AB298" s="985">
        <f t="shared" si="573"/>
        <v>2.5089605734767026E-2</v>
      </c>
      <c r="AC298" s="647">
        <f t="shared" ref="AC298:AH298" si="574">+AC291/AC267</f>
        <v>3.2028469750889681E-2</v>
      </c>
      <c r="AD298" s="647">
        <f t="shared" si="574"/>
        <v>7.2164948453608241E-2</v>
      </c>
      <c r="AE298" s="927">
        <f t="shared" si="574"/>
        <v>6.8027210884353739E-3</v>
      </c>
      <c r="AF298" s="985">
        <f t="shared" si="574"/>
        <v>4.0677966101694912E-2</v>
      </c>
      <c r="AG298" s="647">
        <f t="shared" si="574"/>
        <v>9.1772151898734181E-2</v>
      </c>
      <c r="AH298" s="647">
        <f t="shared" si="574"/>
        <v>0.13058419243986255</v>
      </c>
      <c r="AI298" s="647">
        <f>+AI291/AI267</f>
        <v>0.12386706948640483</v>
      </c>
      <c r="AJ298" s="985">
        <f>+AJ291/AJ267</f>
        <v>-4.3343653250773995E-2</v>
      </c>
      <c r="AK298" s="647">
        <f>+AK291/AK267</f>
        <v>9.1772151898734181E-2</v>
      </c>
      <c r="AL298" s="647">
        <f t="shared" ref="AL298:AM298" si="575">+AL291/AL267</f>
        <v>0.13058419243986255</v>
      </c>
      <c r="AM298" s="1573">
        <f t="shared" si="575"/>
        <v>0.13058419243986255</v>
      </c>
      <c r="AN298" s="985">
        <f>+AN291/AN267</f>
        <v>-5.1094890510948905E-2</v>
      </c>
      <c r="AO298" s="647">
        <f>+AO291/AO267</f>
        <v>9.5709570957095716E-2</v>
      </c>
      <c r="AP298" s="647">
        <f t="shared" ref="AP298:AQ298" si="576">+AP291/AP267</f>
        <v>0.11874999999999999</v>
      </c>
      <c r="AQ298" s="1806">
        <f t="shared" si="576"/>
        <v>0.11764705882352941</v>
      </c>
      <c r="AR298" s="159"/>
      <c r="AS298" s="1506"/>
      <c r="AT298" s="1506"/>
      <c r="AU298" s="91"/>
      <c r="AV298" s="159"/>
      <c r="AW298" s="1506"/>
      <c r="AX298" s="1506"/>
      <c r="AY298" s="91"/>
      <c r="AZ298" s="1474"/>
      <c r="BA298" s="652"/>
      <c r="BB298" s="317"/>
      <c r="BC298" s="256"/>
      <c r="BD298" s="738">
        <f>+BD291/BD267</f>
        <v>0.14934497816593886</v>
      </c>
      <c r="BE298" s="738">
        <f>+BE291/BE267</f>
        <v>0.16447368421052633</v>
      </c>
      <c r="BF298" s="651">
        <f>+BF291/BF267</f>
        <v>7.6198630136986301E-2</v>
      </c>
      <c r="BG298" s="159"/>
      <c r="BH298" s="1506"/>
      <c r="BI298" s="1607"/>
      <c r="BJ298" s="1603"/>
      <c r="BK298" s="1603"/>
      <c r="BL298" s="1806"/>
      <c r="BM298" s="1806"/>
      <c r="BN298" s="1806"/>
      <c r="BO298" s="1005"/>
    </row>
    <row r="299" spans="1:67" s="708" customFormat="1" ht="14.25" hidden="1" customHeight="1" outlineLevel="1">
      <c r="A299" s="826"/>
      <c r="B299" s="640" t="s">
        <v>31</v>
      </c>
      <c r="C299" s="1004"/>
      <c r="D299" s="92"/>
      <c r="E299" s="92"/>
      <c r="F299" s="92"/>
      <c r="G299" s="93"/>
      <c r="H299" s="90"/>
      <c r="I299" s="90"/>
      <c r="J299" s="256"/>
      <c r="K299" s="301"/>
      <c r="L299" s="256"/>
      <c r="M299" s="256"/>
      <c r="N299" s="256"/>
      <c r="O299" s="301"/>
      <c r="P299" s="738">
        <f>+P296/P267</f>
        <v>0.15555555555555556</v>
      </c>
      <c r="Q299" s="738">
        <f t="shared" ref="Q299:AB299" si="577">+Q296/Q267</f>
        <v>0.18794326241134751</v>
      </c>
      <c r="R299" s="738">
        <f t="shared" si="577"/>
        <v>0.23232323232323232</v>
      </c>
      <c r="S299" s="650">
        <f t="shared" si="577"/>
        <v>0.25</v>
      </c>
      <c r="T299" s="738">
        <f t="shared" si="577"/>
        <v>0.23584905660377359</v>
      </c>
      <c r="U299" s="738">
        <f t="shared" si="577"/>
        <v>0.26625386996904027</v>
      </c>
      <c r="V299" s="647">
        <f t="shared" si="577"/>
        <v>0.23492063492063492</v>
      </c>
      <c r="W299" s="650">
        <f t="shared" si="577"/>
        <v>0.18846153846153846</v>
      </c>
      <c r="X299" s="738">
        <f t="shared" si="577"/>
        <v>0.12773722627737227</v>
      </c>
      <c r="Y299" s="647">
        <f t="shared" si="577"/>
        <v>0.15463917525773196</v>
      </c>
      <c r="Z299" s="647">
        <f t="shared" si="577"/>
        <v>0.18354430379746836</v>
      </c>
      <c r="AA299" s="647">
        <f t="shared" si="577"/>
        <v>0.14285714285714285</v>
      </c>
      <c r="AB299" s="985">
        <f t="shared" si="577"/>
        <v>0.1003584229390681</v>
      </c>
      <c r="AC299" s="647">
        <f t="shared" ref="AC299:AH299" si="578">+AC296/AC267</f>
        <v>9.2526690391459068E-2</v>
      </c>
      <c r="AD299" s="647">
        <f t="shared" si="578"/>
        <v>0.14776632302405499</v>
      </c>
      <c r="AE299" s="927">
        <f t="shared" si="578"/>
        <v>0.16326530612244897</v>
      </c>
      <c r="AF299" s="985">
        <f t="shared" si="578"/>
        <v>0.17966101694915254</v>
      </c>
      <c r="AG299" s="647">
        <f t="shared" si="578"/>
        <v>0.19936708860759494</v>
      </c>
      <c r="AH299" s="647">
        <f t="shared" si="578"/>
        <v>0.23711340206185566</v>
      </c>
      <c r="AI299" s="647">
        <f>+AI296/AI267</f>
        <v>0.20845921450151059</v>
      </c>
      <c r="AJ299" s="985">
        <f>+AJ296/AJ267</f>
        <v>0.22910216718266255</v>
      </c>
      <c r="AK299" s="647">
        <f>+AK296/AK267</f>
        <v>0.19936708860759494</v>
      </c>
      <c r="AL299" s="647">
        <f t="shared" ref="AL299:AM299" si="579">+AL296/AL267</f>
        <v>0.23711340206185566</v>
      </c>
      <c r="AM299" s="1573">
        <f t="shared" si="579"/>
        <v>0.23711340206185566</v>
      </c>
      <c r="AN299" s="985">
        <f>+AN296/AN267</f>
        <v>0.27007299270072993</v>
      </c>
      <c r="AO299" s="647">
        <f>+AO296/AO267</f>
        <v>0.20792079207920791</v>
      </c>
      <c r="AP299" s="647">
        <f t="shared" ref="AP299:AQ299" si="580">+AP296/AP267</f>
        <v>0.21562500000000001</v>
      </c>
      <c r="AQ299" s="1806">
        <f t="shared" si="580"/>
        <v>0.21362229102167182</v>
      </c>
      <c r="AR299" s="159"/>
      <c r="AS299" s="1506"/>
      <c r="AT299" s="1506"/>
      <c r="AU299" s="91"/>
      <c r="AV299" s="159"/>
      <c r="AW299" s="1506"/>
      <c r="AX299" s="1506"/>
      <c r="AY299" s="91"/>
      <c r="AZ299" s="1474"/>
      <c r="BA299" s="652"/>
      <c r="BB299" s="317"/>
      <c r="BC299" s="256"/>
      <c r="BD299" s="738">
        <f>+BD296/BD267</f>
        <v>0.20786026200873362</v>
      </c>
      <c r="BE299" s="738">
        <f>+BE296/BE267</f>
        <v>0.23355263157894737</v>
      </c>
      <c r="BF299" s="651">
        <f>+BF296/BF267</f>
        <v>0.15325342465753425</v>
      </c>
      <c r="BG299" s="159"/>
      <c r="BH299" s="1506"/>
      <c r="BI299" s="1607"/>
      <c r="BJ299" s="1603"/>
      <c r="BK299" s="1603"/>
      <c r="BL299" s="1806"/>
      <c r="BM299" s="1806"/>
      <c r="BN299" s="1806"/>
      <c r="BO299" s="1005"/>
    </row>
    <row r="300" spans="1:67" ht="14.25" hidden="1" customHeight="1" outlineLevel="1">
      <c r="A300" s="1"/>
      <c r="B300" s="437"/>
      <c r="C300" s="254"/>
      <c r="D300" s="92"/>
      <c r="E300" s="92"/>
      <c r="F300" s="92"/>
      <c r="G300" s="93"/>
      <c r="H300" s="90"/>
      <c r="I300" s="90"/>
      <c r="J300" s="256"/>
      <c r="K300" s="301"/>
      <c r="L300" s="256"/>
      <c r="M300" s="256"/>
      <c r="N300" s="256"/>
      <c r="O300" s="301"/>
      <c r="P300" s="256"/>
      <c r="Q300" s="256"/>
      <c r="R300" s="256"/>
      <c r="S300" s="301"/>
      <c r="T300" s="256"/>
      <c r="U300" s="256"/>
      <c r="V300" s="90"/>
      <c r="W300" s="301"/>
      <c r="X300" s="256"/>
      <c r="Y300" s="90"/>
      <c r="Z300" s="90"/>
      <c r="AA300" s="90"/>
      <c r="AB300" s="159"/>
      <c r="AC300" s="90"/>
      <c r="AD300" s="90"/>
      <c r="AE300" s="91"/>
      <c r="AF300" s="159"/>
      <c r="AG300" s="90"/>
      <c r="AH300" s="90"/>
      <c r="AI300" s="90"/>
      <c r="AJ300" s="159"/>
      <c r="AK300" s="90"/>
      <c r="AL300" s="90"/>
      <c r="AM300" s="1573"/>
      <c r="AN300" s="1607"/>
      <c r="AO300" s="1603"/>
      <c r="AP300" s="1603"/>
      <c r="AQ300" s="1806"/>
      <c r="AR300" s="159"/>
      <c r="AS300" s="1506"/>
      <c r="AT300" s="1506"/>
      <c r="AU300" s="91"/>
      <c r="AV300" s="159"/>
      <c r="AW300" s="1506"/>
      <c r="AX300" s="1506"/>
      <c r="AY300" s="91"/>
      <c r="AZ300" s="20"/>
      <c r="BA300" s="652"/>
      <c r="BB300" s="317"/>
      <c r="BC300" s="256"/>
      <c r="BD300" s="1113"/>
      <c r="BE300" s="1113"/>
      <c r="BF300" s="1215"/>
      <c r="BG300" s="159"/>
      <c r="BH300" s="1506"/>
      <c r="BI300" s="1607"/>
      <c r="BJ300" s="1603"/>
      <c r="BK300" s="1603"/>
      <c r="BL300" s="1806"/>
      <c r="BM300" s="1806"/>
      <c r="BN300" s="1806"/>
      <c r="BO300" s="299"/>
    </row>
    <row r="301" spans="1:67" ht="14.25" hidden="1" customHeight="1" outlineLevel="1">
      <c r="A301" s="1"/>
      <c r="B301" s="572" t="s">
        <v>23</v>
      </c>
      <c r="C301" s="254"/>
      <c r="D301" s="92"/>
      <c r="E301" s="92"/>
      <c r="F301" s="92"/>
      <c r="G301" s="93"/>
      <c r="H301" s="90"/>
      <c r="I301" s="90"/>
      <c r="J301" s="256"/>
      <c r="K301" s="301"/>
      <c r="L301" s="256"/>
      <c r="M301" s="256"/>
      <c r="N301" s="256"/>
      <c r="O301" s="301"/>
      <c r="P301" s="612">
        <f t="shared" ref="P301:AB301" si="581">+P275-P296</f>
        <v>40</v>
      </c>
      <c r="Q301" s="612">
        <f t="shared" si="581"/>
        <v>44</v>
      </c>
      <c r="R301" s="612">
        <f t="shared" si="581"/>
        <v>44</v>
      </c>
      <c r="S301" s="611">
        <f t="shared" si="581"/>
        <v>44</v>
      </c>
      <c r="T301" s="612">
        <f t="shared" si="581"/>
        <v>48</v>
      </c>
      <c r="U301" s="612">
        <f t="shared" si="581"/>
        <v>39</v>
      </c>
      <c r="V301" s="614">
        <f t="shared" si="581"/>
        <v>44</v>
      </c>
      <c r="W301" s="611">
        <f t="shared" si="581"/>
        <v>45</v>
      </c>
      <c r="X301" s="612">
        <f t="shared" si="581"/>
        <v>47</v>
      </c>
      <c r="Y301" s="614">
        <f t="shared" si="581"/>
        <v>45</v>
      </c>
      <c r="Z301" s="614">
        <f t="shared" si="581"/>
        <v>49</v>
      </c>
      <c r="AA301" s="614">
        <f t="shared" si="581"/>
        <v>46</v>
      </c>
      <c r="AB301" s="979">
        <f t="shared" si="581"/>
        <v>45</v>
      </c>
      <c r="AC301" s="614">
        <f t="shared" ref="AC301:AH301" si="582">+AC275-AC296</f>
        <v>41</v>
      </c>
      <c r="AD301" s="614">
        <f t="shared" si="582"/>
        <v>42</v>
      </c>
      <c r="AE301" s="980">
        <f t="shared" si="582"/>
        <v>44</v>
      </c>
      <c r="AF301" s="979">
        <f t="shared" si="582"/>
        <v>45</v>
      </c>
      <c r="AG301" s="614">
        <f t="shared" si="582"/>
        <v>42</v>
      </c>
      <c r="AH301" s="614">
        <f t="shared" si="582"/>
        <v>16</v>
      </c>
      <c r="AI301" s="614">
        <f>+AI275-AI296</f>
        <v>44</v>
      </c>
      <c r="AJ301" s="979">
        <f>+AJ275-AJ296</f>
        <v>39</v>
      </c>
      <c r="AK301" s="614">
        <f>+AK275-AK296</f>
        <v>42</v>
      </c>
      <c r="AL301" s="614">
        <f t="shared" ref="AL301:AM301" si="583">+AL275-AL296</f>
        <v>16</v>
      </c>
      <c r="AM301" s="1573">
        <f t="shared" si="583"/>
        <v>16</v>
      </c>
      <c r="AN301" s="979">
        <f>+AN275-AN296</f>
        <v>39</v>
      </c>
      <c r="AO301" s="614">
        <f>+AO275-AO296</f>
        <v>42</v>
      </c>
      <c r="AP301" s="614">
        <f t="shared" ref="AP301:AQ301" si="584">+AP275-AP296</f>
        <v>16</v>
      </c>
      <c r="AQ301" s="1806">
        <f t="shared" si="584"/>
        <v>16</v>
      </c>
      <c r="AR301" s="159"/>
      <c r="AS301" s="1506"/>
      <c r="AT301" s="1506"/>
      <c r="AU301" s="91"/>
      <c r="AV301" s="159"/>
      <c r="AW301" s="1506"/>
      <c r="AX301" s="1506"/>
      <c r="AY301" s="91"/>
      <c r="AZ301" s="20"/>
      <c r="BA301" s="652"/>
      <c r="BB301" s="317"/>
      <c r="BC301" s="256"/>
      <c r="BD301" s="705">
        <f>SUM(P301:S301)</f>
        <v>172</v>
      </c>
      <c r="BE301" s="705">
        <f>SUM(T301:W301)</f>
        <v>176</v>
      </c>
      <c r="BF301" s="736">
        <f>SUM(X301:AA301)</f>
        <v>187</v>
      </c>
      <c r="BG301" s="159"/>
      <c r="BH301" s="1506"/>
      <c r="BI301" s="1607"/>
      <c r="BJ301" s="1603"/>
      <c r="BK301" s="1603"/>
      <c r="BL301" s="1806"/>
      <c r="BM301" s="1806"/>
      <c r="BN301" s="1806"/>
      <c r="BO301" s="299"/>
    </row>
    <row r="302" spans="1:67" ht="14.25" hidden="1" customHeight="1" outlineLevel="1">
      <c r="A302" s="1"/>
      <c r="B302" s="992" t="s">
        <v>21</v>
      </c>
      <c r="C302" s="254"/>
      <c r="D302" s="92"/>
      <c r="E302" s="92"/>
      <c r="F302" s="92"/>
      <c r="G302" s="93"/>
      <c r="H302" s="90"/>
      <c r="I302" s="90"/>
      <c r="J302" s="256"/>
      <c r="K302" s="301"/>
      <c r="L302" s="256"/>
      <c r="M302" s="256"/>
      <c r="N302" s="256"/>
      <c r="O302" s="301"/>
      <c r="P302" s="256"/>
      <c r="Q302" s="256">
        <f>+Q301/P301-1</f>
        <v>0.10000000000000009</v>
      </c>
      <c r="R302" s="256">
        <f t="shared" ref="R302:AQ302" si="585">+R301/Q301-1</f>
        <v>0</v>
      </c>
      <c r="S302" s="301">
        <f t="shared" si="585"/>
        <v>0</v>
      </c>
      <c r="T302" s="256">
        <f t="shared" si="585"/>
        <v>9.0909090909090828E-2</v>
      </c>
      <c r="U302" s="256">
        <f t="shared" si="585"/>
        <v>-0.1875</v>
      </c>
      <c r="V302" s="90">
        <f t="shared" si="585"/>
        <v>0.12820512820512819</v>
      </c>
      <c r="W302" s="301">
        <f t="shared" si="585"/>
        <v>2.2727272727272707E-2</v>
      </c>
      <c r="X302" s="256">
        <f t="shared" si="585"/>
        <v>4.4444444444444509E-2</v>
      </c>
      <c r="Y302" s="90">
        <f t="shared" si="585"/>
        <v>-4.2553191489361653E-2</v>
      </c>
      <c r="Z302" s="90">
        <f t="shared" si="585"/>
        <v>8.8888888888888795E-2</v>
      </c>
      <c r="AA302" s="90">
        <f t="shared" si="585"/>
        <v>-6.1224489795918324E-2</v>
      </c>
      <c r="AB302" s="159">
        <f t="shared" si="585"/>
        <v>-2.1739130434782594E-2</v>
      </c>
      <c r="AC302" s="90">
        <f t="shared" si="585"/>
        <v>-8.8888888888888906E-2</v>
      </c>
      <c r="AD302" s="90">
        <f t="shared" si="585"/>
        <v>2.4390243902439046E-2</v>
      </c>
      <c r="AE302" s="91">
        <f t="shared" si="585"/>
        <v>4.7619047619047672E-2</v>
      </c>
      <c r="AF302" s="159">
        <f t="shared" si="585"/>
        <v>2.2727272727272707E-2</v>
      </c>
      <c r="AG302" s="90">
        <f t="shared" si="585"/>
        <v>-6.6666666666666652E-2</v>
      </c>
      <c r="AH302" s="90">
        <f t="shared" si="585"/>
        <v>-0.61904761904761907</v>
      </c>
      <c r="AI302" s="90">
        <f t="shared" si="585"/>
        <v>1.75</v>
      </c>
      <c r="AJ302" s="159">
        <f t="shared" si="585"/>
        <v>-0.11363636363636365</v>
      </c>
      <c r="AK302" s="90">
        <f t="shared" si="585"/>
        <v>7.6923076923076872E-2</v>
      </c>
      <c r="AL302" s="90">
        <f t="shared" si="585"/>
        <v>-0.61904761904761907</v>
      </c>
      <c r="AM302" s="1573">
        <f t="shared" si="585"/>
        <v>0</v>
      </c>
      <c r="AN302" s="1607">
        <f t="shared" si="585"/>
        <v>1.4375</v>
      </c>
      <c r="AO302" s="1603">
        <f t="shared" si="585"/>
        <v>7.6923076923076872E-2</v>
      </c>
      <c r="AP302" s="1603">
        <f t="shared" si="585"/>
        <v>-0.61904761904761907</v>
      </c>
      <c r="AQ302" s="1806">
        <f t="shared" si="585"/>
        <v>0</v>
      </c>
      <c r="AR302" s="159"/>
      <c r="AS302" s="1506"/>
      <c r="AT302" s="1506"/>
      <c r="AU302" s="91"/>
      <c r="AV302" s="159"/>
      <c r="AW302" s="1506"/>
      <c r="AX302" s="1506"/>
      <c r="AY302" s="91"/>
      <c r="AZ302" s="20"/>
      <c r="BA302" s="652"/>
      <c r="BB302" s="317"/>
      <c r="BC302" s="256"/>
      <c r="BD302" s="1113"/>
      <c r="BE302" s="1113"/>
      <c r="BF302" s="1215"/>
      <c r="BG302" s="159"/>
      <c r="BH302" s="1506"/>
      <c r="BI302" s="1607"/>
      <c r="BJ302" s="1603"/>
      <c r="BK302" s="1603"/>
      <c r="BL302" s="1806"/>
      <c r="BM302" s="1806"/>
      <c r="BN302" s="1806"/>
      <c r="BO302" s="299"/>
    </row>
    <row r="303" spans="1:67" ht="14.25" hidden="1" customHeight="1" outlineLevel="1">
      <c r="A303" s="1"/>
      <c r="B303" s="992" t="s">
        <v>20</v>
      </c>
      <c r="C303" s="254"/>
      <c r="D303" s="92"/>
      <c r="E303" s="92"/>
      <c r="F303" s="92"/>
      <c r="G303" s="93"/>
      <c r="H303" s="90"/>
      <c r="I303" s="90"/>
      <c r="J303" s="256"/>
      <c r="K303" s="301"/>
      <c r="L303" s="256"/>
      <c r="M303" s="256"/>
      <c r="N303" s="256"/>
      <c r="O303" s="301"/>
      <c r="P303" s="256"/>
      <c r="Q303" s="256">
        <f>+Q267/P267-1</f>
        <v>4.4444444444444509E-2</v>
      </c>
      <c r="R303" s="256">
        <f t="shared" ref="R303:AQ303" si="586">+R267/Q267-1</f>
        <v>5.3191489361702038E-2</v>
      </c>
      <c r="S303" s="301">
        <f t="shared" si="586"/>
        <v>-3.3670033670033517E-3</v>
      </c>
      <c r="T303" s="256">
        <f t="shared" si="586"/>
        <v>7.4324324324324342E-2</v>
      </c>
      <c r="U303" s="256">
        <f t="shared" si="586"/>
        <v>1.572327044025168E-2</v>
      </c>
      <c r="V303" s="90">
        <f t="shared" si="586"/>
        <v>-2.4767801857585092E-2</v>
      </c>
      <c r="W303" s="301">
        <f t="shared" si="586"/>
        <v>-0.17460317460317465</v>
      </c>
      <c r="X303" s="256">
        <f t="shared" si="586"/>
        <v>5.3846153846153877E-2</v>
      </c>
      <c r="Y303" s="90">
        <f t="shared" si="586"/>
        <v>6.2043795620438047E-2</v>
      </c>
      <c r="Z303" s="90">
        <f t="shared" si="586"/>
        <v>8.5910652920962116E-2</v>
      </c>
      <c r="AA303" s="90">
        <f t="shared" si="586"/>
        <v>-9.1772151898734222E-2</v>
      </c>
      <c r="AB303" s="159">
        <f t="shared" si="586"/>
        <v>-2.7874564459930307E-2</v>
      </c>
      <c r="AC303" s="90">
        <f t="shared" si="586"/>
        <v>7.1684587813620748E-3</v>
      </c>
      <c r="AD303" s="90">
        <f t="shared" si="586"/>
        <v>3.5587188612099752E-2</v>
      </c>
      <c r="AE303" s="91">
        <f t="shared" si="586"/>
        <v>1.0309278350515427E-2</v>
      </c>
      <c r="AF303" s="159">
        <f t="shared" si="586"/>
        <v>3.4013605442175798E-3</v>
      </c>
      <c r="AG303" s="90">
        <f t="shared" si="586"/>
        <v>7.118644067796609E-2</v>
      </c>
      <c r="AH303" s="90">
        <f t="shared" si="586"/>
        <v>-7.9113924050632889E-2</v>
      </c>
      <c r="AI303" s="90">
        <f t="shared" si="586"/>
        <v>0.13745704467353947</v>
      </c>
      <c r="AJ303" s="159">
        <f t="shared" si="586"/>
        <v>-2.4169184290030232E-2</v>
      </c>
      <c r="AK303" s="90">
        <f t="shared" si="586"/>
        <v>-2.1671826625387025E-2</v>
      </c>
      <c r="AL303" s="90">
        <f t="shared" si="586"/>
        <v>-7.9113924050632889E-2</v>
      </c>
      <c r="AM303" s="1573">
        <f t="shared" si="586"/>
        <v>0</v>
      </c>
      <c r="AN303" s="1607">
        <f t="shared" si="586"/>
        <v>-5.841924398625431E-2</v>
      </c>
      <c r="AO303" s="1603">
        <f t="shared" si="586"/>
        <v>0.1058394160583942</v>
      </c>
      <c r="AP303" s="1603">
        <f t="shared" si="586"/>
        <v>5.6105610561056007E-2</v>
      </c>
      <c r="AQ303" s="1806">
        <f t="shared" si="586"/>
        <v>9.3749999999999112E-3</v>
      </c>
      <c r="AR303" s="159"/>
      <c r="AS303" s="1506"/>
      <c r="AT303" s="1506"/>
      <c r="AU303" s="91"/>
      <c r="AV303" s="159"/>
      <c r="AW303" s="1506"/>
      <c r="AX303" s="1506"/>
      <c r="AY303" s="91"/>
      <c r="AZ303" s="20"/>
      <c r="BA303" s="652"/>
      <c r="BB303" s="317"/>
      <c r="BC303" s="256"/>
      <c r="BD303" s="1113"/>
      <c r="BE303" s="1113"/>
      <c r="BF303" s="1215"/>
      <c r="BG303" s="159"/>
      <c r="BH303" s="1506"/>
      <c r="BI303" s="1607"/>
      <c r="BJ303" s="1603"/>
      <c r="BK303" s="1603"/>
      <c r="BL303" s="1806"/>
      <c r="BM303" s="1806"/>
      <c r="BN303" s="1806"/>
      <c r="BO303" s="299"/>
    </row>
    <row r="304" spans="1:67" ht="14.25" hidden="1" customHeight="1" outlineLevel="1">
      <c r="A304" s="1"/>
      <c r="B304" s="572"/>
      <c r="C304" s="254"/>
      <c r="D304" s="92"/>
      <c r="E304" s="92"/>
      <c r="F304" s="92"/>
      <c r="G304" s="93"/>
      <c r="H304" s="90"/>
      <c r="I304" s="90"/>
      <c r="J304" s="256"/>
      <c r="K304" s="301"/>
      <c r="L304" s="256"/>
      <c r="M304" s="256"/>
      <c r="N304" s="256"/>
      <c r="O304" s="301"/>
      <c r="P304" s="256"/>
      <c r="Q304" s="256"/>
      <c r="R304" s="256"/>
      <c r="S304" s="301"/>
      <c r="T304" s="256"/>
      <c r="U304" s="256"/>
      <c r="V304" s="90"/>
      <c r="W304" s="301"/>
      <c r="X304" s="256"/>
      <c r="Y304" s="90"/>
      <c r="Z304" s="90"/>
      <c r="AA304" s="90"/>
      <c r="AB304" s="159"/>
      <c r="AC304" s="90"/>
      <c r="AD304" s="90"/>
      <c r="AE304" s="91"/>
      <c r="AF304" s="159"/>
      <c r="AG304" s="90"/>
      <c r="AH304" s="90"/>
      <c r="AI304" s="90"/>
      <c r="AJ304" s="159"/>
      <c r="AK304" s="90"/>
      <c r="AL304" s="90"/>
      <c r="AM304" s="1573"/>
      <c r="AN304" s="1607"/>
      <c r="AO304" s="1603"/>
      <c r="AP304" s="1603"/>
      <c r="AQ304" s="1806"/>
      <c r="AR304" s="159"/>
      <c r="AS304" s="1506"/>
      <c r="AT304" s="1506"/>
      <c r="AU304" s="91"/>
      <c r="AV304" s="159"/>
      <c r="AW304" s="1506"/>
      <c r="AX304" s="1506"/>
      <c r="AY304" s="91"/>
      <c r="AZ304" s="20"/>
      <c r="BA304" s="652"/>
      <c r="BB304" s="317"/>
      <c r="BC304" s="256"/>
      <c r="BD304" s="1113"/>
      <c r="BE304" s="1113"/>
      <c r="BF304" s="1215"/>
      <c r="BG304" s="159"/>
      <c r="BH304" s="1506"/>
      <c r="BI304" s="1607"/>
      <c r="BJ304" s="1603"/>
      <c r="BK304" s="1603"/>
      <c r="BL304" s="1806"/>
      <c r="BM304" s="1806"/>
      <c r="BN304" s="1806"/>
      <c r="BO304" s="299"/>
    </row>
    <row r="305" spans="1:67" ht="14.25" hidden="1" customHeight="1" outlineLevel="1">
      <c r="A305" s="1"/>
      <c r="B305" s="451" t="s">
        <v>240</v>
      </c>
      <c r="C305" s="254"/>
      <c r="D305" s="92"/>
      <c r="E305" s="92"/>
      <c r="F305" s="92"/>
      <c r="G305" s="93"/>
      <c r="H305" s="90"/>
      <c r="I305" s="90"/>
      <c r="J305" s="256"/>
      <c r="K305" s="301"/>
      <c r="L305" s="256"/>
      <c r="M305" s="256"/>
      <c r="N305" s="256"/>
      <c r="O305" s="301"/>
      <c r="P305" s="1244">
        <v>1.3827448111111111</v>
      </c>
      <c r="Q305" s="1244">
        <v>1.2729250015384614</v>
      </c>
      <c r="R305" s="1244">
        <v>1.2928556166666665</v>
      </c>
      <c r="S305" s="962">
        <v>1.3575457727272731</v>
      </c>
      <c r="T305" s="1244">
        <v>1.3691401984375</v>
      </c>
      <c r="U305" s="1244">
        <v>1.439557256923077</v>
      </c>
      <c r="V305" s="1244">
        <v>1.4121048500000002</v>
      </c>
      <c r="W305" s="962">
        <v>1.3472326323076924</v>
      </c>
      <c r="X305" s="1244">
        <v>1.3109626384615385</v>
      </c>
      <c r="Y305" s="1244">
        <v>1.2828779723076924</v>
      </c>
      <c r="Z305" s="1292">
        <v>1.2508319584615386</v>
      </c>
      <c r="AA305" s="1244">
        <v>1.2973996106060606</v>
      </c>
      <c r="AB305" s="1263">
        <v>1.3200836888888894</v>
      </c>
      <c r="AC305" s="1264">
        <v>1.3200836888888894</v>
      </c>
      <c r="AD305" s="1264">
        <v>1.3200836888888894</v>
      </c>
      <c r="AE305" s="1330">
        <v>1.3200836888888894</v>
      </c>
      <c r="AF305" s="1341">
        <v>1.3200836888888894</v>
      </c>
      <c r="AG305" s="1264">
        <v>1.3200836888888894</v>
      </c>
      <c r="AH305" s="1264">
        <v>1.3200836888888894</v>
      </c>
      <c r="AI305" s="1264">
        <v>1.3200836888888894</v>
      </c>
      <c r="AJ305" s="1341">
        <v>1.3200836888888894</v>
      </c>
      <c r="AK305" s="1264">
        <v>1.3200836888888894</v>
      </c>
      <c r="AL305" s="1264">
        <v>1.3200836888888894</v>
      </c>
      <c r="AM305" s="1573">
        <v>1.3200836888888894</v>
      </c>
      <c r="AN305" s="1341">
        <v>1.3200836888888894</v>
      </c>
      <c r="AO305" s="1264">
        <v>1.3200836888888894</v>
      </c>
      <c r="AP305" s="1264">
        <v>1.3200836888888894</v>
      </c>
      <c r="AQ305" s="1825">
        <v>1.3200836888888894</v>
      </c>
      <c r="AR305" s="159"/>
      <c r="AS305" s="1506"/>
      <c r="AT305" s="1506"/>
      <c r="AU305" s="91"/>
      <c r="AV305" s="159"/>
      <c r="AW305" s="1506"/>
      <c r="AX305" s="1506"/>
      <c r="AY305" s="91"/>
      <c r="AZ305" s="20"/>
      <c r="BA305" s="652"/>
      <c r="BB305" s="317"/>
      <c r="BC305" s="256"/>
      <c r="BD305" s="972">
        <f>AVERAGE(P305:S305)</f>
        <v>1.326517800510878</v>
      </c>
      <c r="BE305" s="972">
        <f>AVERAGE(T305:W305)</f>
        <v>1.3920087344170675</v>
      </c>
      <c r="BF305" s="1217">
        <f>AVERAGE(X305:AA305)</f>
        <v>1.2855180449592074</v>
      </c>
      <c r="BG305" s="159"/>
      <c r="BH305" s="1506"/>
      <c r="BI305" s="1607"/>
      <c r="BJ305" s="1603"/>
      <c r="BK305" s="1603"/>
      <c r="BL305" s="1806"/>
      <c r="BM305" s="1806"/>
      <c r="BN305" s="1806"/>
      <c r="BO305" s="299"/>
    </row>
    <row r="306" spans="1:67" ht="14.25" hidden="1" customHeight="1" outlineLevel="1">
      <c r="A306" s="1"/>
      <c r="B306" s="942" t="s">
        <v>242</v>
      </c>
      <c r="C306" s="254"/>
      <c r="D306" s="92"/>
      <c r="E306" s="92"/>
      <c r="F306" s="92"/>
      <c r="G306" s="93"/>
      <c r="H306" s="90"/>
      <c r="I306" s="90"/>
      <c r="J306" s="256"/>
      <c r="K306" s="301"/>
      <c r="L306" s="256"/>
      <c r="M306" s="256"/>
      <c r="N306" s="256"/>
      <c r="O306" s="301"/>
      <c r="P306" s="612"/>
      <c r="Q306" s="795">
        <f>+(P305-Q305)/P305*P301*0.65</f>
        <v>2.0649616805247604</v>
      </c>
      <c r="R306" s="795">
        <f t="shared" ref="R306:AQ306" si="587">+(Q305-R305)/Q305*Q301*0.65</f>
        <v>-0.44779982479544472</v>
      </c>
      <c r="S306" s="530">
        <f t="shared" si="587"/>
        <v>-1.4310480145520879</v>
      </c>
      <c r="T306" s="795">
        <f t="shared" si="587"/>
        <v>-0.24426474743928092</v>
      </c>
      <c r="U306" s="795">
        <f>+(T305-U305)/T305*T301*0.65</f>
        <v>-1.6046656341383392</v>
      </c>
      <c r="V306" s="1121">
        <f t="shared" si="587"/>
        <v>0.48342538106991323</v>
      </c>
      <c r="W306" s="530">
        <f t="shared" si="587"/>
        <v>1.3138864483044601</v>
      </c>
      <c r="X306" s="795">
        <f t="shared" si="587"/>
        <v>0.7874640908769982</v>
      </c>
      <c r="Y306" s="795">
        <f t="shared" si="587"/>
        <v>0.65447063541557204</v>
      </c>
      <c r="Z306" s="795">
        <f t="shared" si="587"/>
        <v>0.73065866374949373</v>
      </c>
      <c r="AA306" s="795">
        <f t="shared" si="587"/>
        <v>-1.1857545777989733</v>
      </c>
      <c r="AB306" s="1180">
        <f t="shared" si="587"/>
        <v>-0.52277951612745244</v>
      </c>
      <c r="AC306" s="795">
        <f t="shared" si="587"/>
        <v>0</v>
      </c>
      <c r="AD306" s="795">
        <f t="shared" si="587"/>
        <v>0</v>
      </c>
      <c r="AE306" s="530">
        <f t="shared" si="587"/>
        <v>0</v>
      </c>
      <c r="AF306" s="1104">
        <f t="shared" si="587"/>
        <v>0</v>
      </c>
      <c r="AG306" s="795">
        <f t="shared" si="587"/>
        <v>0</v>
      </c>
      <c r="AH306" s="795">
        <f t="shared" si="587"/>
        <v>0</v>
      </c>
      <c r="AI306" s="795">
        <f t="shared" si="587"/>
        <v>0</v>
      </c>
      <c r="AJ306" s="1104">
        <f t="shared" si="587"/>
        <v>0</v>
      </c>
      <c r="AK306" s="795">
        <f t="shared" si="587"/>
        <v>0</v>
      </c>
      <c r="AL306" s="795">
        <f t="shared" si="587"/>
        <v>0</v>
      </c>
      <c r="AM306" s="1573">
        <f t="shared" si="587"/>
        <v>0</v>
      </c>
      <c r="AN306" s="1104">
        <f t="shared" si="587"/>
        <v>0</v>
      </c>
      <c r="AO306" s="795">
        <f t="shared" si="587"/>
        <v>0</v>
      </c>
      <c r="AP306" s="795">
        <f t="shared" si="587"/>
        <v>0</v>
      </c>
      <c r="AQ306" s="1806">
        <f t="shared" si="587"/>
        <v>0</v>
      </c>
      <c r="AR306" s="159"/>
      <c r="AS306" s="1506"/>
      <c r="AT306" s="1506"/>
      <c r="AU306" s="91"/>
      <c r="AV306" s="159"/>
      <c r="AW306" s="1506"/>
      <c r="AX306" s="1506"/>
      <c r="AY306" s="91"/>
      <c r="AZ306" s="20"/>
      <c r="BA306" s="652"/>
      <c r="BB306" s="317"/>
      <c r="BC306" s="256"/>
      <c r="BD306" s="1113"/>
      <c r="BE306" s="1113"/>
      <c r="BF306" s="1215"/>
      <c r="BG306" s="159"/>
      <c r="BH306" s="1506"/>
      <c r="BI306" s="1607"/>
      <c r="BJ306" s="1603"/>
      <c r="BK306" s="1603"/>
      <c r="BL306" s="1806"/>
      <c r="BM306" s="1806"/>
      <c r="BN306" s="1806"/>
      <c r="BO306" s="299"/>
    </row>
    <row r="307" spans="1:67" ht="14.25" hidden="1" customHeight="1" outlineLevel="1">
      <c r="A307" s="1"/>
      <c r="B307" s="942" t="s">
        <v>243</v>
      </c>
      <c r="C307" s="254"/>
      <c r="D307" s="92"/>
      <c r="E307" s="92"/>
      <c r="F307" s="92"/>
      <c r="G307" s="93"/>
      <c r="H307" s="90"/>
      <c r="I307" s="90"/>
      <c r="J307" s="256"/>
      <c r="K307" s="301"/>
      <c r="L307" s="256"/>
      <c r="M307" s="256"/>
      <c r="N307" s="256"/>
      <c r="O307" s="301"/>
      <c r="P307" s="612"/>
      <c r="Q307" s="795">
        <f t="shared" ref="Q307:AQ307" si="588">+Q301-P301+Q306</f>
        <v>6.0649616805247604</v>
      </c>
      <c r="R307" s="795">
        <f t="shared" si="588"/>
        <v>-0.44779982479544472</v>
      </c>
      <c r="S307" s="530">
        <f t="shared" si="588"/>
        <v>-1.4310480145520879</v>
      </c>
      <c r="T307" s="795">
        <f t="shared" si="588"/>
        <v>3.7557352525607191</v>
      </c>
      <c r="U307" s="795">
        <f t="shared" si="588"/>
        <v>-10.604665634138339</v>
      </c>
      <c r="V307" s="1121">
        <f t="shared" si="588"/>
        <v>5.483425381069913</v>
      </c>
      <c r="W307" s="530">
        <f t="shared" si="588"/>
        <v>2.3138864483044603</v>
      </c>
      <c r="X307" s="795">
        <f t="shared" si="588"/>
        <v>2.7874640908769983</v>
      </c>
      <c r="Y307" s="795">
        <f t="shared" si="588"/>
        <v>-1.345529364584428</v>
      </c>
      <c r="Z307" s="795">
        <f t="shared" si="588"/>
        <v>4.7306586637494936</v>
      </c>
      <c r="AA307" s="795">
        <f t="shared" si="588"/>
        <v>-4.1857545777989733</v>
      </c>
      <c r="AB307" s="1180">
        <f t="shared" si="588"/>
        <v>-1.5227795161274524</v>
      </c>
      <c r="AC307" s="795">
        <f t="shared" si="588"/>
        <v>-4</v>
      </c>
      <c r="AD307" s="795">
        <f t="shared" si="588"/>
        <v>1</v>
      </c>
      <c r="AE307" s="530">
        <f t="shared" si="588"/>
        <v>2</v>
      </c>
      <c r="AF307" s="1104">
        <f t="shared" si="588"/>
        <v>1</v>
      </c>
      <c r="AG307" s="795">
        <f t="shared" si="588"/>
        <v>-3</v>
      </c>
      <c r="AH307" s="795">
        <f t="shared" si="588"/>
        <v>-26</v>
      </c>
      <c r="AI307" s="795">
        <f t="shared" si="588"/>
        <v>28</v>
      </c>
      <c r="AJ307" s="1104">
        <f t="shared" si="588"/>
        <v>-5</v>
      </c>
      <c r="AK307" s="795">
        <f t="shared" si="588"/>
        <v>3</v>
      </c>
      <c r="AL307" s="795">
        <f t="shared" si="588"/>
        <v>-26</v>
      </c>
      <c r="AM307" s="1573">
        <f t="shared" si="588"/>
        <v>0</v>
      </c>
      <c r="AN307" s="1104">
        <f t="shared" si="588"/>
        <v>23</v>
      </c>
      <c r="AO307" s="795">
        <f t="shared" si="588"/>
        <v>3</v>
      </c>
      <c r="AP307" s="795">
        <f t="shared" si="588"/>
        <v>-26</v>
      </c>
      <c r="AQ307" s="1806">
        <f t="shared" si="588"/>
        <v>0</v>
      </c>
      <c r="AR307" s="159"/>
      <c r="AS307" s="1506"/>
      <c r="AT307" s="1506"/>
      <c r="AU307" s="91"/>
      <c r="AV307" s="159"/>
      <c r="AW307" s="1506"/>
      <c r="AX307" s="1506"/>
      <c r="AY307" s="91"/>
      <c r="AZ307" s="20"/>
      <c r="BA307" s="652"/>
      <c r="BB307" s="317"/>
      <c r="BC307" s="256"/>
      <c r="BD307" s="1120"/>
      <c r="BE307" s="1120"/>
      <c r="BF307" s="1220"/>
      <c r="BG307" s="159"/>
      <c r="BH307" s="1506"/>
      <c r="BI307" s="1607"/>
      <c r="BJ307" s="1603"/>
      <c r="BK307" s="1603"/>
      <c r="BL307" s="1806"/>
      <c r="BM307" s="1806"/>
      <c r="BN307" s="1806"/>
      <c r="BO307" s="299"/>
    </row>
    <row r="308" spans="1:67" ht="14.25" hidden="1" customHeight="1" outlineLevel="1">
      <c r="A308" s="1"/>
      <c r="B308" s="974" t="s">
        <v>241</v>
      </c>
      <c r="C308" s="254"/>
      <c r="D308" s="92"/>
      <c r="E308" s="92"/>
      <c r="F308" s="92"/>
      <c r="G308" s="93"/>
      <c r="H308" s="90"/>
      <c r="I308" s="90"/>
      <c r="J308" s="256"/>
      <c r="K308" s="301"/>
      <c r="L308" s="256"/>
      <c r="M308" s="256"/>
      <c r="N308" s="256"/>
      <c r="O308" s="301"/>
      <c r="P308" s="612"/>
      <c r="Q308" s="317">
        <f t="shared" ref="Q308:AQ308" si="589">+Q307/P301</f>
        <v>0.15162404201311902</v>
      </c>
      <c r="R308" s="317">
        <f t="shared" si="589"/>
        <v>-1.0177268745351017E-2</v>
      </c>
      <c r="S308" s="339">
        <f t="shared" si="589"/>
        <v>-3.2523818512547452E-2</v>
      </c>
      <c r="T308" s="317">
        <f t="shared" si="589"/>
        <v>8.5357619376379978E-2</v>
      </c>
      <c r="U308" s="317">
        <f t="shared" si="589"/>
        <v>-0.22093053404454874</v>
      </c>
      <c r="V308" s="420">
        <f t="shared" si="589"/>
        <v>0.14060065079666442</v>
      </c>
      <c r="W308" s="339">
        <f t="shared" si="589"/>
        <v>5.2588328370555916E-2</v>
      </c>
      <c r="X308" s="317">
        <f t="shared" si="589"/>
        <v>6.1943646463933293E-2</v>
      </c>
      <c r="Y308" s="317">
        <f t="shared" si="589"/>
        <v>-2.8628284352860169E-2</v>
      </c>
      <c r="Z308" s="317">
        <f t="shared" si="589"/>
        <v>0.10512574808332208</v>
      </c>
      <c r="AA308" s="317">
        <f t="shared" si="589"/>
        <v>-8.5423562812223949E-2</v>
      </c>
      <c r="AB308" s="958">
        <f t="shared" si="589"/>
        <v>-3.3103902524509836E-2</v>
      </c>
      <c r="AC308" s="317">
        <f t="shared" si="589"/>
        <v>-8.8888888888888892E-2</v>
      </c>
      <c r="AD308" s="317">
        <f t="shared" si="589"/>
        <v>2.4390243902439025E-2</v>
      </c>
      <c r="AE308" s="339">
        <f t="shared" si="589"/>
        <v>4.7619047619047616E-2</v>
      </c>
      <c r="AF308" s="652">
        <f t="shared" si="589"/>
        <v>2.2727272727272728E-2</v>
      </c>
      <c r="AG308" s="317">
        <f t="shared" si="589"/>
        <v>-6.6666666666666666E-2</v>
      </c>
      <c r="AH308" s="317">
        <f t="shared" si="589"/>
        <v>-0.61904761904761907</v>
      </c>
      <c r="AI308" s="317">
        <f t="shared" si="589"/>
        <v>1.75</v>
      </c>
      <c r="AJ308" s="652">
        <f t="shared" si="589"/>
        <v>-0.11363636363636363</v>
      </c>
      <c r="AK308" s="317">
        <f t="shared" si="589"/>
        <v>7.6923076923076927E-2</v>
      </c>
      <c r="AL308" s="317">
        <f t="shared" si="589"/>
        <v>-0.61904761904761907</v>
      </c>
      <c r="AM308" s="1573">
        <f t="shared" si="589"/>
        <v>0</v>
      </c>
      <c r="AN308" s="652">
        <f t="shared" si="589"/>
        <v>1.4375</v>
      </c>
      <c r="AO308" s="317">
        <f t="shared" si="589"/>
        <v>7.6923076923076927E-2</v>
      </c>
      <c r="AP308" s="317">
        <f t="shared" si="589"/>
        <v>-0.61904761904761907</v>
      </c>
      <c r="AQ308" s="1806">
        <f t="shared" si="589"/>
        <v>0</v>
      </c>
      <c r="AR308" s="159"/>
      <c r="AS308" s="1506"/>
      <c r="AT308" s="1506"/>
      <c r="AU308" s="91"/>
      <c r="AV308" s="159"/>
      <c r="AW308" s="1506"/>
      <c r="AX308" s="1506"/>
      <c r="AY308" s="91"/>
      <c r="AZ308" s="20"/>
      <c r="BA308" s="652"/>
      <c r="BB308" s="317"/>
      <c r="BC308" s="256"/>
      <c r="BD308" s="1120"/>
      <c r="BE308" s="1120"/>
      <c r="BF308" s="1220"/>
      <c r="BG308" s="159"/>
      <c r="BH308" s="1506"/>
      <c r="BI308" s="1607"/>
      <c r="BJ308" s="1603"/>
      <c r="BK308" s="1603"/>
      <c r="BL308" s="1806"/>
      <c r="BM308" s="1806"/>
      <c r="BN308" s="1806"/>
      <c r="BO308" s="299"/>
    </row>
    <row r="309" spans="1:67" ht="14.25" hidden="1" customHeight="1" outlineLevel="1">
      <c r="A309" s="1"/>
      <c r="B309" s="437"/>
      <c r="C309" s="254"/>
      <c r="D309" s="92"/>
      <c r="E309" s="92"/>
      <c r="F309" s="92"/>
      <c r="G309" s="93"/>
      <c r="H309" s="90"/>
      <c r="I309" s="90"/>
      <c r="J309" s="256"/>
      <c r="K309" s="301"/>
      <c r="L309" s="256"/>
      <c r="M309" s="256"/>
      <c r="N309" s="256"/>
      <c r="O309" s="301"/>
      <c r="P309" s="256"/>
      <c r="Q309" s="256"/>
      <c r="R309" s="256"/>
      <c r="S309" s="301"/>
      <c r="T309" s="256"/>
      <c r="U309" s="256"/>
      <c r="V309" s="90"/>
      <c r="W309" s="301"/>
      <c r="X309" s="256"/>
      <c r="Y309" s="90"/>
      <c r="Z309" s="90"/>
      <c r="AA309" s="90"/>
      <c r="AB309" s="159"/>
      <c r="AC309" s="90"/>
      <c r="AD309" s="90"/>
      <c r="AE309" s="91"/>
      <c r="AF309" s="159"/>
      <c r="AG309" s="90"/>
      <c r="AH309" s="90"/>
      <c r="AI309" s="90"/>
      <c r="AJ309" s="159"/>
      <c r="AK309" s="90"/>
      <c r="AL309" s="90"/>
      <c r="AM309" s="1573"/>
      <c r="AN309" s="1607"/>
      <c r="AO309" s="1603"/>
      <c r="AP309" s="1603"/>
      <c r="AQ309" s="1806"/>
      <c r="AR309" s="159"/>
      <c r="AS309" s="1506"/>
      <c r="AT309" s="1506"/>
      <c r="AU309" s="91"/>
      <c r="AV309" s="159"/>
      <c r="AW309" s="1506"/>
      <c r="AX309" s="1506"/>
      <c r="AY309" s="91"/>
      <c r="AZ309" s="20"/>
      <c r="BA309" s="652"/>
      <c r="BB309" s="317"/>
      <c r="BC309" s="256"/>
      <c r="BD309" s="1120"/>
      <c r="BE309" s="1120"/>
      <c r="BF309" s="1220"/>
      <c r="BG309" s="159"/>
      <c r="BH309" s="1506"/>
      <c r="BI309" s="1607"/>
      <c r="BJ309" s="1603"/>
      <c r="BK309" s="1603"/>
      <c r="BL309" s="1806"/>
      <c r="BM309" s="1806"/>
      <c r="BN309" s="1806"/>
      <c r="BO309" s="299"/>
    </row>
    <row r="310" spans="1:67" ht="14.25" hidden="1" customHeight="1" outlineLevel="1">
      <c r="A310" s="1"/>
      <c r="B310" s="941"/>
      <c r="C310" s="254"/>
      <c r="D310" s="92"/>
      <c r="E310" s="92"/>
      <c r="F310" s="303"/>
      <c r="G310" s="304"/>
      <c r="H310" s="302"/>
      <c r="I310" s="303"/>
      <c r="J310" s="303"/>
      <c r="K310" s="304"/>
      <c r="L310" s="302"/>
      <c r="M310" s="303"/>
      <c r="N310" s="303"/>
      <c r="O310" s="304"/>
      <c r="P310" s="303"/>
      <c r="Q310" s="303"/>
      <c r="R310" s="303"/>
      <c r="S310" s="304"/>
      <c r="T310" s="303"/>
      <c r="U310" s="303"/>
      <c r="V310" s="92"/>
      <c r="W310" s="304"/>
      <c r="X310" s="303"/>
      <c r="Y310" s="303"/>
      <c r="Z310" s="303"/>
      <c r="AA310" s="303"/>
      <c r="AB310" s="23"/>
      <c r="AC310" s="14"/>
      <c r="AD310" s="14"/>
      <c r="AE310" s="304"/>
      <c r="AF310" s="22"/>
      <c r="AG310" s="14"/>
      <c r="AH310" s="14"/>
      <c r="AI310" s="14"/>
      <c r="AJ310" s="22"/>
      <c r="AK310" s="14"/>
      <c r="AL310" s="14"/>
      <c r="AM310" s="14"/>
      <c r="AN310" s="22"/>
      <c r="AO310" s="14"/>
      <c r="AP310" s="14"/>
      <c r="AQ310" s="14"/>
      <c r="AR310" s="22"/>
      <c r="AS310" s="14"/>
      <c r="AT310" s="14"/>
      <c r="AU310" s="246"/>
      <c r="AV310" s="22"/>
      <c r="AW310" s="14"/>
      <c r="AX310" s="14"/>
      <c r="AY310" s="246"/>
      <c r="AZ310" s="20"/>
      <c r="BA310" s="22"/>
      <c r="BB310" s="14"/>
      <c r="BC310" s="14"/>
      <c r="BD310" s="14"/>
      <c r="BE310" s="14"/>
      <c r="BF310" s="22"/>
      <c r="BG310" s="22"/>
      <c r="BH310" s="14"/>
      <c r="BI310" s="22"/>
      <c r="BJ310" s="14"/>
      <c r="BK310" s="14"/>
      <c r="BL310" s="14"/>
      <c r="BM310" s="14"/>
      <c r="BN310" s="14"/>
      <c r="BO310" s="299"/>
    </row>
    <row r="311" spans="1:67" s="107" customFormat="1" ht="14.25" hidden="1" customHeight="1" outlineLevel="1">
      <c r="B311" s="436" t="s">
        <v>161</v>
      </c>
      <c r="C311" s="483"/>
      <c r="D311" s="642"/>
      <c r="E311" s="642"/>
      <c r="F311" s="489"/>
      <c r="G311" s="488"/>
      <c r="H311" s="489"/>
      <c r="I311" s="489"/>
      <c r="J311" s="489"/>
      <c r="K311" s="488"/>
      <c r="L311" s="630">
        <f t="shared" ref="L311:AA311" si="590">+L252</f>
        <v>94</v>
      </c>
      <c r="M311" s="631">
        <f t="shared" si="590"/>
        <v>127</v>
      </c>
      <c r="N311" s="631">
        <f t="shared" si="590"/>
        <v>163</v>
      </c>
      <c r="O311" s="629">
        <f t="shared" si="590"/>
        <v>183</v>
      </c>
      <c r="P311" s="631">
        <f t="shared" si="590"/>
        <v>199</v>
      </c>
      <c r="Q311" s="631">
        <f t="shared" si="590"/>
        <v>207</v>
      </c>
      <c r="R311" s="631">
        <f t="shared" si="590"/>
        <v>221</v>
      </c>
      <c r="S311" s="629">
        <f t="shared" si="590"/>
        <v>221</v>
      </c>
      <c r="T311" s="631">
        <f t="shared" si="590"/>
        <v>237</v>
      </c>
      <c r="U311" s="631">
        <f t="shared" si="590"/>
        <v>246</v>
      </c>
      <c r="V311" s="626">
        <f t="shared" si="590"/>
        <v>244</v>
      </c>
      <c r="W311" s="629">
        <f t="shared" si="590"/>
        <v>198</v>
      </c>
      <c r="X311" s="631">
        <f t="shared" si="590"/>
        <v>202</v>
      </c>
      <c r="Y311" s="631">
        <f t="shared" si="590"/>
        <v>219</v>
      </c>
      <c r="Z311" s="631">
        <f t="shared" si="590"/>
        <v>213</v>
      </c>
      <c r="AA311" s="631">
        <f t="shared" si="590"/>
        <v>198</v>
      </c>
      <c r="AB311" s="334"/>
      <c r="AC311" s="813"/>
      <c r="AD311" s="813"/>
      <c r="AE311" s="629">
        <f>+AE252</f>
        <v>202.82926829268297</v>
      </c>
      <c r="AF311" s="1046"/>
      <c r="AG311" s="813"/>
      <c r="AH311" s="813"/>
      <c r="AI311" s="813"/>
      <c r="AJ311" s="1046"/>
      <c r="AK311" s="813"/>
      <c r="AL311" s="813"/>
      <c r="AM311" s="813"/>
      <c r="AN311" s="1046"/>
      <c r="AO311" s="813"/>
      <c r="AP311" s="813"/>
      <c r="AQ311" s="813"/>
      <c r="AR311" s="1046"/>
      <c r="AS311" s="813"/>
      <c r="AT311" s="813"/>
      <c r="AU311" s="822"/>
      <c r="AV311" s="1046"/>
      <c r="AW311" s="813"/>
      <c r="AX311" s="813"/>
      <c r="AY311" s="822"/>
      <c r="AZ311" s="1898"/>
      <c r="BA311" s="1046"/>
      <c r="BB311" s="813"/>
      <c r="BC311" s="340">
        <f>SUM(L311:O311)</f>
        <v>567</v>
      </c>
      <c r="BD311" s="340">
        <f>SUM(P311:S311)</f>
        <v>848</v>
      </c>
      <c r="BE311" s="340">
        <f>SUM(T311:W311)</f>
        <v>925</v>
      </c>
      <c r="BF311" s="361">
        <f>SUM(X311:AA311)</f>
        <v>832</v>
      </c>
      <c r="BG311" s="361">
        <f>SUM(AB311:AE311)</f>
        <v>202.82926829268297</v>
      </c>
      <c r="BH311" s="813"/>
      <c r="BI311" s="1046"/>
      <c r="BJ311" s="813"/>
      <c r="BK311" s="813"/>
      <c r="BL311" s="813"/>
      <c r="BM311" s="813"/>
      <c r="BN311" s="813"/>
      <c r="BO311" s="467"/>
    </row>
    <row r="312" spans="1:67" ht="14.25" customHeight="1" collapsed="1">
      <c r="A312" s="1"/>
      <c r="B312" s="941"/>
      <c r="C312" s="254"/>
      <c r="D312" s="92"/>
      <c r="E312" s="92"/>
      <c r="F312" s="303"/>
      <c r="G312" s="304"/>
      <c r="H312" s="303"/>
      <c r="I312" s="303"/>
      <c r="J312" s="303"/>
      <c r="K312" s="304"/>
      <c r="L312" s="302"/>
      <c r="M312" s="303"/>
      <c r="N312" s="303"/>
      <c r="O312" s="304"/>
      <c r="P312" s="303"/>
      <c r="Q312" s="303"/>
      <c r="R312" s="303"/>
      <c r="S312" s="304"/>
      <c r="T312" s="303"/>
      <c r="U312" s="303"/>
      <c r="V312" s="92"/>
      <c r="W312" s="304"/>
      <c r="X312" s="303"/>
      <c r="Y312" s="303"/>
      <c r="Z312" s="303"/>
      <c r="AA312" s="303"/>
      <c r="AB312" s="23"/>
      <c r="AC312" s="14"/>
      <c r="AD312" s="14"/>
      <c r="AE312" s="304"/>
      <c r="AF312" s="23"/>
      <c r="AG312" s="14"/>
      <c r="AH312" s="14"/>
      <c r="AI312" s="14"/>
      <c r="AJ312" s="23"/>
      <c r="AK312" s="14"/>
      <c r="AL312" s="14"/>
      <c r="AM312" s="14"/>
      <c r="AN312" s="23"/>
      <c r="AO312" s="14"/>
      <c r="AP312" s="14"/>
      <c r="AQ312" s="14"/>
      <c r="AR312" s="22"/>
      <c r="AS312" s="14"/>
      <c r="AT312" s="14"/>
      <c r="AU312" s="246"/>
      <c r="AV312" s="22"/>
      <c r="AW312" s="14"/>
      <c r="AX312" s="14"/>
      <c r="AY312" s="246"/>
      <c r="AZ312" s="20"/>
      <c r="BA312" s="22"/>
      <c r="BB312" s="14"/>
      <c r="BC312" s="14"/>
      <c r="BD312" s="14"/>
      <c r="BE312" s="14"/>
      <c r="BF312" s="22"/>
      <c r="BG312" s="22"/>
      <c r="BH312" s="14"/>
      <c r="BI312" s="22"/>
      <c r="BJ312" s="14"/>
      <c r="BK312" s="14"/>
      <c r="BL312" s="14"/>
      <c r="BM312" s="14"/>
      <c r="BN312" s="14"/>
      <c r="BO312" s="299"/>
    </row>
    <row r="313" spans="1:67" s="363" customFormat="1" ht="14.25" customHeight="1" collapsed="1">
      <c r="B313" s="433" t="s">
        <v>535</v>
      </c>
      <c r="C313" s="351"/>
      <c r="D313" s="1293"/>
      <c r="E313" s="348"/>
      <c r="F313" s="340"/>
      <c r="G313" s="351"/>
      <c r="H313" s="1294"/>
      <c r="I313" s="340"/>
      <c r="J313" s="344"/>
      <c r="K313" s="345"/>
      <c r="L313" s="360">
        <v>-16</v>
      </c>
      <c r="M313" s="344">
        <v>23</v>
      </c>
      <c r="N313" s="344">
        <v>28</v>
      </c>
      <c r="O313" s="345">
        <v>39</v>
      </c>
      <c r="P313" s="346">
        <v>55</v>
      </c>
      <c r="Q313" s="346">
        <v>63</v>
      </c>
      <c r="R313" s="346">
        <v>78</v>
      </c>
      <c r="S313" s="347">
        <v>84</v>
      </c>
      <c r="T313" s="346">
        <v>87</v>
      </c>
      <c r="U313" s="346">
        <v>92</v>
      </c>
      <c r="V313" s="346">
        <v>90</v>
      </c>
      <c r="W313" s="347">
        <v>67</v>
      </c>
      <c r="X313" s="346">
        <v>58</v>
      </c>
      <c r="Y313" s="346">
        <v>66</v>
      </c>
      <c r="Z313" s="346">
        <v>73</v>
      </c>
      <c r="AA313" s="346">
        <v>41</v>
      </c>
      <c r="AB313" s="1250">
        <v>70</v>
      </c>
      <c r="AC313" s="346">
        <v>68</v>
      </c>
      <c r="AD313" s="346">
        <v>81</v>
      </c>
      <c r="AE313" s="347">
        <v>66</v>
      </c>
      <c r="AF313" s="1250">
        <v>85</v>
      </c>
      <c r="AG313" s="346">
        <v>91</v>
      </c>
      <c r="AH313" s="346">
        <v>103</v>
      </c>
      <c r="AI313" s="346">
        <v>103</v>
      </c>
      <c r="AJ313" s="1250">
        <v>110</v>
      </c>
      <c r="AK313" s="346">
        <v>109</v>
      </c>
      <c r="AL313" s="346">
        <v>108</v>
      </c>
      <c r="AM313" s="346">
        <v>97</v>
      </c>
      <c r="AN313" s="1250">
        <v>87</v>
      </c>
      <c r="AO313" s="346">
        <v>97</v>
      </c>
      <c r="AP313" s="346">
        <v>109</v>
      </c>
      <c r="AQ313" s="346">
        <v>119</v>
      </c>
      <c r="AR313" s="1250">
        <f t="shared" ref="AR313" si="591">AR254*AR314</f>
        <v>42.007999999999996</v>
      </c>
      <c r="AS313" s="348">
        <v>0</v>
      </c>
      <c r="AT313" s="348">
        <v>0</v>
      </c>
      <c r="AU313" s="349"/>
      <c r="AV313" s="923"/>
      <c r="AW313" s="348"/>
      <c r="AX313" s="348"/>
      <c r="AY313" s="349"/>
      <c r="AZ313" s="1901"/>
      <c r="BA313" s="361"/>
      <c r="BB313" s="340"/>
      <c r="BC313" s="340">
        <f>SUM(L313:O313)</f>
        <v>74</v>
      </c>
      <c r="BD313" s="340">
        <f>SUM(P313:S313)</f>
        <v>280</v>
      </c>
      <c r="BE313" s="340">
        <f>SUM(T313:W313)</f>
        <v>336</v>
      </c>
      <c r="BF313" s="361">
        <f>SUM(X313:AA313)</f>
        <v>238</v>
      </c>
      <c r="BG313" s="361">
        <f>SUM(AB313:AE313)</f>
        <v>285</v>
      </c>
      <c r="BH313" s="340">
        <f>SUM(AF313:AI313)</f>
        <v>382</v>
      </c>
      <c r="BI313" s="361">
        <f>SUM(AJ313:AM313)</f>
        <v>424</v>
      </c>
      <c r="BJ313" s="340">
        <f>SUM(AN313:AQ313)</f>
        <v>412</v>
      </c>
      <c r="BK313" s="340">
        <f>SUM(AR313:AU313)</f>
        <v>42.007999999999996</v>
      </c>
      <c r="BL313" s="340">
        <f>SUM(AV313:AY313)</f>
        <v>0</v>
      </c>
      <c r="BM313" s="340">
        <f t="shared" ref="BM313:BN313" si="592">BM254*BM314</f>
        <v>0</v>
      </c>
      <c r="BN313" s="340">
        <f t="shared" si="592"/>
        <v>0</v>
      </c>
      <c r="BO313" s="364"/>
    </row>
    <row r="314" spans="1:67" ht="14.25" customHeight="1">
      <c r="A314" s="1"/>
      <c r="B314" s="1192" t="s">
        <v>236</v>
      </c>
      <c r="C314" s="1193"/>
      <c r="D314" s="257"/>
      <c r="E314" s="257"/>
      <c r="F314" s="277"/>
      <c r="G314" s="278"/>
      <c r="H314" s="257"/>
      <c r="I314" s="277"/>
      <c r="J314" s="277"/>
      <c r="K314" s="278"/>
      <c r="L314" s="277">
        <f>L313/L$252</f>
        <v>-0.1702127659574468</v>
      </c>
      <c r="M314" s="277">
        <f t="shared" ref="M314:T314" si="593">M313/M$252</f>
        <v>0.18110236220472442</v>
      </c>
      <c r="N314" s="277">
        <f t="shared" si="593"/>
        <v>0.17177914110429449</v>
      </c>
      <c r="O314" s="278">
        <f t="shared" si="593"/>
        <v>0.21311475409836064</v>
      </c>
      <c r="P314" s="277">
        <f t="shared" si="593"/>
        <v>0.27638190954773867</v>
      </c>
      <c r="Q314" s="277">
        <f t="shared" si="593"/>
        <v>0.30434782608695654</v>
      </c>
      <c r="R314" s="277">
        <f t="shared" si="593"/>
        <v>0.35294117647058826</v>
      </c>
      <c r="S314" s="278">
        <f t="shared" si="593"/>
        <v>0.38009049773755654</v>
      </c>
      <c r="T314" s="277">
        <f t="shared" si="593"/>
        <v>0.36708860759493672</v>
      </c>
      <c r="U314" s="277">
        <f t="shared" ref="U314:Z314" si="594">U313/U$252</f>
        <v>0.37398373983739835</v>
      </c>
      <c r="V314" s="257">
        <f t="shared" si="594"/>
        <v>0.36885245901639346</v>
      </c>
      <c r="W314" s="278">
        <f t="shared" si="594"/>
        <v>0.3383838383838384</v>
      </c>
      <c r="X314" s="277">
        <f t="shared" si="594"/>
        <v>0.28712871287128711</v>
      </c>
      <c r="Y314" s="277">
        <f t="shared" si="594"/>
        <v>0.30136986301369861</v>
      </c>
      <c r="Z314" s="277">
        <f t="shared" si="594"/>
        <v>0.34272300469483569</v>
      </c>
      <c r="AA314" s="277">
        <f>AA313/AA$252</f>
        <v>0.20707070707070707</v>
      </c>
      <c r="AB314" s="1045">
        <f>AB313/AB$252</f>
        <v>0.36367256797364322</v>
      </c>
      <c r="AC314" s="277">
        <f>AC313/AC$252</f>
        <v>0.35076746108774576</v>
      </c>
      <c r="AD314" s="277">
        <f>AD313/AD$252</f>
        <v>0.40346766635426423</v>
      </c>
      <c r="AE314" s="278">
        <f>AE313/AE$252</f>
        <v>0.32539682539682535</v>
      </c>
      <c r="AF314" s="1045">
        <f>AF313/AF$254</f>
        <v>0.28813559322033899</v>
      </c>
      <c r="AG314" s="277">
        <f>AG313/AG$254</f>
        <v>0.28797468354430378</v>
      </c>
      <c r="AH314" s="277">
        <f>AH313/AH$252</f>
        <v>0.44834228167561496</v>
      </c>
      <c r="AI314" s="277">
        <f>AI313/AI$252</f>
        <v>0.45105129848332259</v>
      </c>
      <c r="AJ314" s="1045">
        <f>AJ313/AJ$254</f>
        <v>0.34055727554179566</v>
      </c>
      <c r="AK314" s="277">
        <f>AK313/AK$254</f>
        <v>0.33850931677018631</v>
      </c>
      <c r="AL314" s="277">
        <f>AL313/AL$252</f>
        <v>0.48167832167832164</v>
      </c>
      <c r="AM314" s="1570">
        <v>0.35799999999999998</v>
      </c>
      <c r="AN314" s="1652">
        <f>AN313/AN$254</f>
        <v>0.31751824817518248</v>
      </c>
      <c r="AO314" s="1625">
        <f>AO313/AO$254</f>
        <v>0.32013201320132012</v>
      </c>
      <c r="AP314" s="1625">
        <f>AP313/AP$252</f>
        <v>0.49373421717171717</v>
      </c>
      <c r="AQ314" s="1625">
        <f>AQ313/AQ$252</f>
        <v>0.53402445507708673</v>
      </c>
      <c r="AR314" s="1627">
        <v>0.35599999999999998</v>
      </c>
      <c r="AS314" s="1843"/>
      <c r="AT314" s="1890"/>
      <c r="AU314" s="1733"/>
      <c r="AV314" s="1736"/>
      <c r="AW314" s="1734"/>
      <c r="AX314" s="1734"/>
      <c r="AY314" s="1733"/>
      <c r="AZ314" s="20"/>
      <c r="BA314" s="401"/>
      <c r="BB314" s="402"/>
      <c r="BC314" s="277">
        <f t="shared" ref="BC314:BJ314" si="595">BC313/BC$252</f>
        <v>0.13051146384479717</v>
      </c>
      <c r="BD314" s="277">
        <f t="shared" si="595"/>
        <v>0.330188679245283</v>
      </c>
      <c r="BE314" s="277">
        <f t="shared" si="595"/>
        <v>0.36324324324324325</v>
      </c>
      <c r="BF314" s="279">
        <f t="shared" si="595"/>
        <v>0.28605769230769229</v>
      </c>
      <c r="BG314" s="1515">
        <f t="shared" si="595"/>
        <v>0.36079131930660313</v>
      </c>
      <c r="BH314" s="1516">
        <f t="shared" si="595"/>
        <v>0.43428005545652598</v>
      </c>
      <c r="BI314" s="1627">
        <f t="shared" si="595"/>
        <v>0.49523437436410839</v>
      </c>
      <c r="BJ314" s="1625">
        <f t="shared" si="595"/>
        <v>0.48950157310813047</v>
      </c>
      <c r="BK314" s="1625">
        <f t="shared" ref="BK314" si="596">BK313/BK$252</f>
        <v>5.7227804359383301E-2</v>
      </c>
      <c r="BL314" s="1625"/>
      <c r="BM314" s="1625">
        <f>BL314</f>
        <v>0</v>
      </c>
      <c r="BN314" s="1625">
        <f>BM314</f>
        <v>0</v>
      </c>
      <c r="BO314" s="299"/>
    </row>
    <row r="315" spans="1:67" ht="14.25" customHeight="1">
      <c r="A315" s="1"/>
      <c r="B315" s="431"/>
      <c r="C315" s="254"/>
      <c r="D315" s="320"/>
      <c r="E315" s="320"/>
      <c r="F315" s="320"/>
      <c r="G315" s="93"/>
      <c r="H315" s="269"/>
      <c r="I315" s="269"/>
      <c r="J315" s="300"/>
      <c r="K315" s="301"/>
      <c r="L315" s="255"/>
      <c r="M315" s="300"/>
      <c r="N315" s="300"/>
      <c r="O315" s="301"/>
      <c r="P315" s="885"/>
      <c r="Q315" s="885"/>
      <c r="R315" s="885"/>
      <c r="S315" s="886"/>
      <c r="T315" s="885"/>
      <c r="U315" s="885"/>
      <c r="V315" s="887"/>
      <c r="W315" s="886"/>
      <c r="X315" s="885"/>
      <c r="Y315" s="892"/>
      <c r="Z315" s="885"/>
      <c r="AA315" s="1248"/>
      <c r="AB315" s="1363"/>
      <c r="AC315" s="1277"/>
      <c r="AD315" s="1277"/>
      <c r="AE315" s="888"/>
      <c r="AF315" s="1363"/>
      <c r="AG315" s="1277"/>
      <c r="AH315" s="1277"/>
      <c r="AI315" s="256"/>
      <c r="AJ315" s="1363"/>
      <c r="AK315" s="1277"/>
      <c r="AL315" s="1277"/>
      <c r="AM315" s="1575"/>
      <c r="AN315" s="1363"/>
      <c r="AO315" s="1277"/>
      <c r="AP315" s="1277"/>
      <c r="AQ315" s="1715"/>
      <c r="AR315" s="1515"/>
      <c r="AS315" s="1516"/>
      <c r="AT315" s="1516"/>
      <c r="AU315" s="1517"/>
      <c r="AV315" s="1515"/>
      <c r="AW315" s="1516"/>
      <c r="AX315" s="1516"/>
      <c r="AY315" s="1517"/>
      <c r="AZ315" s="20"/>
      <c r="BA315" s="652"/>
      <c r="BB315" s="317"/>
      <c r="BC315" s="256"/>
      <c r="BD315" s="256"/>
      <c r="BE315" s="256"/>
      <c r="BF315" s="255"/>
      <c r="BG315" s="1198"/>
      <c r="BH315" s="1301"/>
      <c r="BI315" s="1670"/>
      <c r="BJ315" s="1669"/>
      <c r="BK315" s="1669"/>
      <c r="BL315" s="1669"/>
      <c r="BM315" s="1669"/>
      <c r="BN315" s="1669"/>
      <c r="BO315" s="299"/>
    </row>
    <row r="316" spans="1:67" s="861" customFormat="1" ht="14.25" hidden="1" customHeight="1" outlineLevel="1">
      <c r="B316" s="493" t="s">
        <v>235</v>
      </c>
      <c r="C316" s="862"/>
      <c r="D316" s="863"/>
      <c r="E316" s="863"/>
      <c r="F316" s="863"/>
      <c r="G316" s="864"/>
      <c r="H316" s="865"/>
      <c r="I316" s="865"/>
      <c r="J316" s="866"/>
      <c r="K316" s="867"/>
      <c r="L316" s="921">
        <f t="shared" ref="L316:AA316" si="597">SUM(L317:L321)</f>
        <v>-1</v>
      </c>
      <c r="M316" s="874">
        <f t="shared" si="597"/>
        <v>-1</v>
      </c>
      <c r="N316" s="874">
        <f t="shared" si="597"/>
        <v>-7</v>
      </c>
      <c r="O316" s="875">
        <f t="shared" si="597"/>
        <v>-5</v>
      </c>
      <c r="P316" s="871">
        <f t="shared" si="597"/>
        <v>1</v>
      </c>
      <c r="Q316" s="871">
        <f t="shared" si="597"/>
        <v>-1</v>
      </c>
      <c r="R316" s="871">
        <f t="shared" si="597"/>
        <v>-1</v>
      </c>
      <c r="S316" s="872">
        <f t="shared" si="597"/>
        <v>-1</v>
      </c>
      <c r="T316" s="871">
        <f t="shared" si="597"/>
        <v>0</v>
      </c>
      <c r="U316" s="871">
        <f t="shared" si="597"/>
        <v>-1</v>
      </c>
      <c r="V316" s="871">
        <f>SUM(V317:V321)</f>
        <v>0</v>
      </c>
      <c r="W316" s="872">
        <f>SUM(W317:W321)</f>
        <v>-5</v>
      </c>
      <c r="X316" s="871">
        <f>SUM(X317:X321)</f>
        <v>-1</v>
      </c>
      <c r="Y316" s="871">
        <f>SUM(Y317:Y321)</f>
        <v>-1</v>
      </c>
      <c r="Z316" s="871">
        <f t="shared" si="597"/>
        <v>0</v>
      </c>
      <c r="AA316" s="871">
        <f t="shared" si="597"/>
        <v>-15</v>
      </c>
      <c r="AB316" s="1278">
        <f t="shared" ref="AB316:AG316" si="598">SUM(AB317:AB321)</f>
        <v>-3</v>
      </c>
      <c r="AC316" s="871">
        <f t="shared" si="598"/>
        <v>1</v>
      </c>
      <c r="AD316" s="871">
        <f t="shared" si="598"/>
        <v>-4</v>
      </c>
      <c r="AE316" s="872">
        <f t="shared" si="598"/>
        <v>-26</v>
      </c>
      <c r="AF316" s="1278">
        <f t="shared" si="598"/>
        <v>-13</v>
      </c>
      <c r="AG316" s="871">
        <f t="shared" si="598"/>
        <v>-14</v>
      </c>
      <c r="AH316" s="871">
        <f t="shared" ref="AH316:AM316" si="599">SUM(AH317:AH321)</f>
        <v>-9</v>
      </c>
      <c r="AI316" s="871">
        <f t="shared" si="599"/>
        <v>-10</v>
      </c>
      <c r="AJ316" s="1278">
        <f t="shared" si="599"/>
        <v>-3</v>
      </c>
      <c r="AK316" s="871">
        <f t="shared" si="599"/>
        <v>-4</v>
      </c>
      <c r="AL316" s="871">
        <f t="shared" si="599"/>
        <v>-9</v>
      </c>
      <c r="AM316" s="871">
        <f t="shared" si="599"/>
        <v>-9</v>
      </c>
      <c r="AN316" s="1278">
        <f t="shared" ref="AN316:AQ316" si="600">SUM(AN317:AN321)</f>
        <v>-2</v>
      </c>
      <c r="AO316" s="871">
        <f t="shared" si="600"/>
        <v>-2</v>
      </c>
      <c r="AP316" s="871">
        <f t="shared" si="600"/>
        <v>-9</v>
      </c>
      <c r="AQ316" s="871">
        <f t="shared" si="600"/>
        <v>-9</v>
      </c>
      <c r="AR316" s="1147"/>
      <c r="AS316" s="871"/>
      <c r="AT316" s="871"/>
      <c r="AU316" s="872"/>
      <c r="AV316" s="1147"/>
      <c r="AW316" s="871"/>
      <c r="AX316" s="871"/>
      <c r="AY316" s="872"/>
      <c r="AZ316" s="1912"/>
      <c r="BA316" s="1127"/>
      <c r="BB316" s="873"/>
      <c r="BC316" s="874">
        <f>SUM(L316:O316)</f>
        <v>-14</v>
      </c>
      <c r="BD316" s="874">
        <f>SUM(P316:S316)</f>
        <v>-2</v>
      </c>
      <c r="BE316" s="874">
        <f>SUM(T316:W316)</f>
        <v>-6</v>
      </c>
      <c r="BF316" s="921">
        <f>SUM(X316:AA316)</f>
        <v>-17</v>
      </c>
      <c r="BG316" s="921">
        <f>SUM(AB316:AE316)</f>
        <v>-32</v>
      </c>
      <c r="BH316" s="871"/>
      <c r="BI316" s="1147"/>
      <c r="BJ316" s="871"/>
      <c r="BK316" s="871"/>
      <c r="BL316" s="871"/>
      <c r="BM316" s="871"/>
      <c r="BN316" s="871"/>
      <c r="BO316" s="876"/>
    </row>
    <row r="317" spans="1:67" s="353" customFormat="1" ht="14.25" hidden="1" customHeight="1" outlineLevel="2">
      <c r="A317" s="6"/>
      <c r="B317" s="437" t="s">
        <v>348</v>
      </c>
      <c r="C317" s="383"/>
      <c r="D317" s="354"/>
      <c r="E317" s="354"/>
      <c r="F317" s="354"/>
      <c r="G317" s="355"/>
      <c r="H317" s="356"/>
      <c r="I317" s="356"/>
      <c r="J317" s="357"/>
      <c r="K317" s="358"/>
      <c r="L317" s="362">
        <v>0</v>
      </c>
      <c r="M317" s="342">
        <v>0</v>
      </c>
      <c r="N317" s="342">
        <v>-1</v>
      </c>
      <c r="O317" s="343">
        <v>1</v>
      </c>
      <c r="P317" s="72">
        <v>0</v>
      </c>
      <c r="Q317" s="72">
        <v>0</v>
      </c>
      <c r="R317" s="72">
        <v>0</v>
      </c>
      <c r="S317" s="73">
        <v>0</v>
      </c>
      <c r="T317" s="72">
        <v>0</v>
      </c>
      <c r="U317" s="72">
        <v>0</v>
      </c>
      <c r="V317" s="72">
        <v>0</v>
      </c>
      <c r="W317" s="73">
        <v>-1</v>
      </c>
      <c r="X317" s="72">
        <v>-1</v>
      </c>
      <c r="Y317" s="72">
        <v>0</v>
      </c>
      <c r="Z317" s="747">
        <v>-1</v>
      </c>
      <c r="AA317" s="72">
        <v>0</v>
      </c>
      <c r="AB317" s="1176">
        <v>-1</v>
      </c>
      <c r="AC317" s="72">
        <v>0</v>
      </c>
      <c r="AD317" s="72">
        <v>0</v>
      </c>
      <c r="AE317" s="73">
        <v>-1</v>
      </c>
      <c r="AF317" s="1176">
        <v>0</v>
      </c>
      <c r="AG317" s="72">
        <v>-1</v>
      </c>
      <c r="AH317" s="72">
        <v>-1</v>
      </c>
      <c r="AI317" s="72">
        <v>0</v>
      </c>
      <c r="AJ317" s="1176">
        <v>-1</v>
      </c>
      <c r="AK317" s="72">
        <v>-1</v>
      </c>
      <c r="AL317" s="72">
        <v>-1</v>
      </c>
      <c r="AM317" s="747">
        <v>-1</v>
      </c>
      <c r="AN317" s="1176">
        <v>-1</v>
      </c>
      <c r="AO317" s="72">
        <v>0</v>
      </c>
      <c r="AP317" s="72">
        <v>-1</v>
      </c>
      <c r="AQ317" s="1823">
        <v>-1</v>
      </c>
      <c r="AR317" s="1158"/>
      <c r="AS317" s="747"/>
      <c r="AT317" s="747"/>
      <c r="AU317" s="909"/>
      <c r="AV317" s="1158"/>
      <c r="AW317" s="747"/>
      <c r="AX317" s="747"/>
      <c r="AY317" s="909"/>
      <c r="AZ317" s="115"/>
      <c r="BA317" s="1129"/>
      <c r="BB317" s="359"/>
      <c r="BC317" s="341">
        <f>SUM(L317:O317)</f>
        <v>0</v>
      </c>
      <c r="BD317" s="341">
        <f>SUM(P317:S317)</f>
        <v>0</v>
      </c>
      <c r="BE317" s="341">
        <f>SUM(T317:W317)</f>
        <v>-1</v>
      </c>
      <c r="BF317" s="939">
        <f>SUM(X317:AA317)</f>
        <v>-2</v>
      </c>
      <c r="BG317" s="939">
        <f>SUM(AB317:AE317)</f>
        <v>-2</v>
      </c>
      <c r="BH317" s="877"/>
      <c r="BI317" s="1157"/>
      <c r="BJ317" s="877"/>
      <c r="BK317" s="877"/>
      <c r="BL317" s="877"/>
      <c r="BM317" s="877"/>
      <c r="BN317" s="877"/>
      <c r="BO317" s="352"/>
    </row>
    <row r="318" spans="1:67" s="353" customFormat="1" ht="14.25" hidden="1" customHeight="1" outlineLevel="2">
      <c r="A318" s="6"/>
      <c r="B318" s="438" t="s">
        <v>349</v>
      </c>
      <c r="C318" s="383"/>
      <c r="D318" s="354"/>
      <c r="E318" s="354"/>
      <c r="F318" s="354"/>
      <c r="G318" s="355"/>
      <c r="H318" s="356"/>
      <c r="I318" s="356"/>
      <c r="J318" s="357"/>
      <c r="K318" s="358"/>
      <c r="L318" s="362">
        <v>0</v>
      </c>
      <c r="M318" s="342">
        <v>0</v>
      </c>
      <c r="N318" s="342">
        <v>-2</v>
      </c>
      <c r="O318" s="343">
        <v>-6</v>
      </c>
      <c r="P318" s="72">
        <v>2</v>
      </c>
      <c r="Q318" s="72">
        <v>-1</v>
      </c>
      <c r="R318" s="72">
        <v>-1</v>
      </c>
      <c r="S318" s="73">
        <v>-1</v>
      </c>
      <c r="T318" s="72">
        <v>0</v>
      </c>
      <c r="U318" s="72">
        <v>-1</v>
      </c>
      <c r="V318" s="72">
        <v>0</v>
      </c>
      <c r="W318" s="73">
        <v>-4</v>
      </c>
      <c r="X318" s="72">
        <v>0</v>
      </c>
      <c r="Y318" s="72">
        <v>-1</v>
      </c>
      <c r="Z318" s="747">
        <v>1</v>
      </c>
      <c r="AA318" s="72">
        <v>-15</v>
      </c>
      <c r="AB318" s="1176">
        <v>-1</v>
      </c>
      <c r="AC318" s="72">
        <v>5</v>
      </c>
      <c r="AD318" s="72">
        <v>-2</v>
      </c>
      <c r="AE318" s="73">
        <v>-18</v>
      </c>
      <c r="AF318" s="1176">
        <v>-7</v>
      </c>
      <c r="AG318" s="72">
        <v>-12</v>
      </c>
      <c r="AH318" s="72">
        <v>-6</v>
      </c>
      <c r="AI318" s="72">
        <v>-6</v>
      </c>
      <c r="AJ318" s="1176">
        <v>0</v>
      </c>
      <c r="AK318" s="72">
        <v>-1</v>
      </c>
      <c r="AL318" s="72">
        <v>-6</v>
      </c>
      <c r="AM318" s="747">
        <v>-6</v>
      </c>
      <c r="AN318" s="1176">
        <v>0</v>
      </c>
      <c r="AO318" s="72">
        <v>0</v>
      </c>
      <c r="AP318" s="72">
        <v>-6</v>
      </c>
      <c r="AQ318" s="1823">
        <v>-6</v>
      </c>
      <c r="AR318" s="1158"/>
      <c r="AS318" s="747"/>
      <c r="AT318" s="747"/>
      <c r="AU318" s="909"/>
      <c r="AV318" s="1158"/>
      <c r="AW318" s="747"/>
      <c r="AX318" s="747"/>
      <c r="AY318" s="909"/>
      <c r="AZ318" s="115"/>
      <c r="BA318" s="1129"/>
      <c r="BB318" s="359"/>
      <c r="BC318" s="341">
        <f>SUM(L318:O318)</f>
        <v>-8</v>
      </c>
      <c r="BD318" s="341">
        <f>SUM(P318:S318)</f>
        <v>-1</v>
      </c>
      <c r="BE318" s="341">
        <f>SUM(T318:W318)</f>
        <v>-5</v>
      </c>
      <c r="BF318" s="939">
        <f>SUM(X318:AA318)</f>
        <v>-15</v>
      </c>
      <c r="BG318" s="939">
        <f>SUM(AB318:AE318)</f>
        <v>-16</v>
      </c>
      <c r="BH318" s="877"/>
      <c r="BI318" s="1157"/>
      <c r="BJ318" s="877"/>
      <c r="BK318" s="877"/>
      <c r="BL318" s="877"/>
      <c r="BM318" s="877"/>
      <c r="BN318" s="877"/>
      <c r="BO318" s="352"/>
    </row>
    <row r="319" spans="1:67" s="353" customFormat="1" ht="14.25" hidden="1" customHeight="1" outlineLevel="2">
      <c r="A319" s="6"/>
      <c r="B319" s="438" t="s">
        <v>502</v>
      </c>
      <c r="C319" s="383"/>
      <c r="D319" s="354"/>
      <c r="E319" s="354"/>
      <c r="F319" s="354"/>
      <c r="G319" s="355"/>
      <c r="H319" s="356"/>
      <c r="I319" s="356"/>
      <c r="J319" s="357"/>
      <c r="K319" s="358"/>
      <c r="L319" s="362"/>
      <c r="M319" s="342"/>
      <c r="N319" s="342"/>
      <c r="O319" s="343"/>
      <c r="P319" s="72"/>
      <c r="Q319" s="72"/>
      <c r="R319" s="72"/>
      <c r="S319" s="73"/>
      <c r="T319" s="72"/>
      <c r="U319" s="72"/>
      <c r="V319" s="72"/>
      <c r="W319" s="73"/>
      <c r="X319" s="72"/>
      <c r="Y319" s="72"/>
      <c r="Z319" s="747"/>
      <c r="AA319" s="72"/>
      <c r="AB319" s="1176">
        <v>0</v>
      </c>
      <c r="AC319" s="72">
        <v>-1</v>
      </c>
      <c r="AD319" s="72">
        <v>0</v>
      </c>
      <c r="AE319" s="73">
        <v>-1</v>
      </c>
      <c r="AF319" s="1176">
        <v>-1</v>
      </c>
      <c r="AG319" s="72">
        <v>0</v>
      </c>
      <c r="AH319" s="72">
        <v>-1</v>
      </c>
      <c r="AI319" s="72">
        <v>-1</v>
      </c>
      <c r="AJ319" s="1176">
        <v>-1</v>
      </c>
      <c r="AK319" s="72">
        <v>0</v>
      </c>
      <c r="AL319" s="72">
        <v>-1</v>
      </c>
      <c r="AM319" s="747">
        <v>-1</v>
      </c>
      <c r="AN319" s="1176">
        <v>-1</v>
      </c>
      <c r="AO319" s="72">
        <v>-2</v>
      </c>
      <c r="AP319" s="72">
        <v>-1</v>
      </c>
      <c r="AQ319" s="1823">
        <v>-1</v>
      </c>
      <c r="AR319" s="1158"/>
      <c r="AS319" s="747"/>
      <c r="AT319" s="747"/>
      <c r="AU319" s="909"/>
      <c r="AV319" s="1158"/>
      <c r="AW319" s="747"/>
      <c r="AX319" s="747"/>
      <c r="AY319" s="909"/>
      <c r="AZ319" s="115"/>
      <c r="BA319" s="1129"/>
      <c r="BB319" s="359"/>
      <c r="BC319" s="341"/>
      <c r="BD319" s="341"/>
      <c r="BE319" s="341"/>
      <c r="BF319" s="939"/>
      <c r="BG319" s="939"/>
      <c r="BH319" s="877"/>
      <c r="BI319" s="1157"/>
      <c r="BJ319" s="877"/>
      <c r="BK319" s="877"/>
      <c r="BL319" s="877"/>
      <c r="BM319" s="877"/>
      <c r="BN319" s="877"/>
      <c r="BO319" s="352"/>
    </row>
    <row r="320" spans="1:67" s="353" customFormat="1" ht="14.25" hidden="1" customHeight="1" outlineLevel="2">
      <c r="A320" s="6"/>
      <c r="B320" s="438" t="s">
        <v>350</v>
      </c>
      <c r="C320" s="383"/>
      <c r="D320" s="354"/>
      <c r="E320" s="354"/>
      <c r="F320" s="354"/>
      <c r="G320" s="355"/>
      <c r="H320" s="356"/>
      <c r="I320" s="356"/>
      <c r="J320" s="357"/>
      <c r="K320" s="358"/>
      <c r="L320" s="362">
        <v>-1</v>
      </c>
      <c r="M320" s="342">
        <v>-1</v>
      </c>
      <c r="N320" s="342">
        <v>-4</v>
      </c>
      <c r="O320" s="343">
        <v>0</v>
      </c>
      <c r="P320" s="72">
        <v>-1</v>
      </c>
      <c r="Q320" s="72">
        <v>0</v>
      </c>
      <c r="R320" s="72">
        <v>0</v>
      </c>
      <c r="S320" s="73">
        <v>0</v>
      </c>
      <c r="T320" s="72">
        <v>0</v>
      </c>
      <c r="U320" s="72">
        <v>0</v>
      </c>
      <c r="V320" s="72">
        <v>0</v>
      </c>
      <c r="W320" s="73">
        <v>0</v>
      </c>
      <c r="X320" s="72">
        <v>0</v>
      </c>
      <c r="Y320" s="72">
        <v>0</v>
      </c>
      <c r="Z320" s="747">
        <v>0</v>
      </c>
      <c r="AA320" s="72">
        <v>0</v>
      </c>
      <c r="AB320" s="1176">
        <v>-1</v>
      </c>
      <c r="AC320" s="72">
        <v>-3</v>
      </c>
      <c r="AD320" s="72">
        <v>-2</v>
      </c>
      <c r="AE320" s="73">
        <v>-6</v>
      </c>
      <c r="AF320" s="1176">
        <v>-5</v>
      </c>
      <c r="AG320" s="72">
        <v>-1</v>
      </c>
      <c r="AH320" s="72">
        <v>-1</v>
      </c>
      <c r="AI320" s="72">
        <v>-3</v>
      </c>
      <c r="AJ320" s="1176">
        <v>-1</v>
      </c>
      <c r="AK320" s="72">
        <v>-2</v>
      </c>
      <c r="AL320" s="72">
        <v>-1</v>
      </c>
      <c r="AM320" s="747">
        <v>-1</v>
      </c>
      <c r="AN320" s="1176">
        <v>0</v>
      </c>
      <c r="AO320" s="72">
        <v>0</v>
      </c>
      <c r="AP320" s="72">
        <v>-1</v>
      </c>
      <c r="AQ320" s="1823">
        <v>-1</v>
      </c>
      <c r="AR320" s="1158"/>
      <c r="AS320" s="747"/>
      <c r="AT320" s="747"/>
      <c r="AU320" s="909"/>
      <c r="AV320" s="1158"/>
      <c r="AW320" s="747"/>
      <c r="AX320" s="747"/>
      <c r="AY320" s="909"/>
      <c r="AZ320" s="115"/>
      <c r="BA320" s="1129"/>
      <c r="BB320" s="359"/>
      <c r="BC320" s="341">
        <f>SUM(L320:O320)</f>
        <v>-6</v>
      </c>
      <c r="BD320" s="341">
        <f>SUM(P320:S320)</f>
        <v>-1</v>
      </c>
      <c r="BE320" s="341">
        <f>SUM(T320:W320)</f>
        <v>0</v>
      </c>
      <c r="BF320" s="939">
        <f>SUM(X320:AA320)</f>
        <v>0</v>
      </c>
      <c r="BG320" s="939">
        <f>SUM(AB320:AE320)</f>
        <v>-12</v>
      </c>
      <c r="BH320" s="877"/>
      <c r="BI320" s="1157"/>
      <c r="BJ320" s="877"/>
      <c r="BK320" s="877"/>
      <c r="BL320" s="877"/>
      <c r="BM320" s="877"/>
      <c r="BN320" s="877"/>
      <c r="BO320" s="352"/>
    </row>
    <row r="321" spans="1:67" s="353" customFormat="1" ht="14.25" hidden="1" customHeight="1" outlineLevel="2">
      <c r="A321" s="6"/>
      <c r="B321" s="438" t="s">
        <v>351</v>
      </c>
      <c r="C321" s="383"/>
      <c r="D321" s="354"/>
      <c r="E321" s="354"/>
      <c r="F321" s="354"/>
      <c r="G321" s="355"/>
      <c r="H321" s="356"/>
      <c r="I321" s="356"/>
      <c r="J321" s="357"/>
      <c r="K321" s="358"/>
      <c r="L321" s="362">
        <v>0</v>
      </c>
      <c r="M321" s="342">
        <v>0</v>
      </c>
      <c r="N321" s="342">
        <v>0</v>
      </c>
      <c r="O321" s="343">
        <v>0</v>
      </c>
      <c r="P321" s="72">
        <v>0</v>
      </c>
      <c r="Q321" s="72">
        <v>0</v>
      </c>
      <c r="R321" s="72">
        <v>0</v>
      </c>
      <c r="S321" s="73">
        <v>0</v>
      </c>
      <c r="T321" s="72">
        <v>0</v>
      </c>
      <c r="U321" s="72">
        <v>0</v>
      </c>
      <c r="V321" s="72">
        <v>0</v>
      </c>
      <c r="W321" s="73">
        <v>0</v>
      </c>
      <c r="X321" s="72">
        <v>0</v>
      </c>
      <c r="Y321" s="72">
        <v>0</v>
      </c>
      <c r="Z321" s="747">
        <v>0</v>
      </c>
      <c r="AA321" s="72">
        <v>0</v>
      </c>
      <c r="AB321" s="1176">
        <v>0</v>
      </c>
      <c r="AC321" s="72">
        <v>0</v>
      </c>
      <c r="AD321" s="72">
        <v>0</v>
      </c>
      <c r="AE321" s="73">
        <v>0</v>
      </c>
      <c r="AF321" s="1176">
        <v>0</v>
      </c>
      <c r="AG321" s="72">
        <v>0</v>
      </c>
      <c r="AH321" s="72">
        <v>0</v>
      </c>
      <c r="AI321" s="72">
        <v>0</v>
      </c>
      <c r="AJ321" s="1176">
        <v>0</v>
      </c>
      <c r="AK321" s="72">
        <v>0</v>
      </c>
      <c r="AL321" s="72">
        <v>0</v>
      </c>
      <c r="AM321" s="747">
        <v>0</v>
      </c>
      <c r="AN321" s="1176">
        <v>0</v>
      </c>
      <c r="AO321" s="72">
        <v>0</v>
      </c>
      <c r="AP321" s="72">
        <v>0</v>
      </c>
      <c r="AQ321" s="1823">
        <v>0</v>
      </c>
      <c r="AR321" s="1158"/>
      <c r="AS321" s="747"/>
      <c r="AT321" s="747"/>
      <c r="AU321" s="909"/>
      <c r="AV321" s="1158"/>
      <c r="AW321" s="747"/>
      <c r="AX321" s="747"/>
      <c r="AY321" s="909"/>
      <c r="AZ321" s="115"/>
      <c r="BA321" s="1129"/>
      <c r="BB321" s="359"/>
      <c r="BC321" s="341">
        <f>SUM(L321:O321)</f>
        <v>0</v>
      </c>
      <c r="BD321" s="341">
        <f>SUM(P321:S321)</f>
        <v>0</v>
      </c>
      <c r="BE321" s="341">
        <f>SUM(T321:W321)</f>
        <v>0</v>
      </c>
      <c r="BF321" s="939">
        <f>SUM(X321:AA321)</f>
        <v>0</v>
      </c>
      <c r="BG321" s="939">
        <f>SUM(AB321:AE321)</f>
        <v>0</v>
      </c>
      <c r="BH321" s="877"/>
      <c r="BI321" s="1157"/>
      <c r="BJ321" s="877"/>
      <c r="BK321" s="877"/>
      <c r="BL321" s="877"/>
      <c r="BM321" s="877"/>
      <c r="BN321" s="877"/>
      <c r="BO321" s="352"/>
    </row>
    <row r="322" spans="1:67" ht="14.25" hidden="1" customHeight="1" outlineLevel="2">
      <c r="A322" s="1"/>
      <c r="B322" s="431"/>
      <c r="C322" s="254"/>
      <c r="D322" s="320"/>
      <c r="E322" s="320"/>
      <c r="F322" s="320"/>
      <c r="G322" s="93"/>
      <c r="H322" s="269"/>
      <c r="I322" s="269"/>
      <c r="J322" s="300"/>
      <c r="K322" s="301"/>
      <c r="L322" s="361"/>
      <c r="M322" s="340"/>
      <c r="N322" s="340"/>
      <c r="O322" s="351"/>
      <c r="P322" s="361"/>
      <c r="Q322" s="340"/>
      <c r="R322" s="340"/>
      <c r="S322" s="351"/>
      <c r="T322" s="361"/>
      <c r="U322" s="340"/>
      <c r="V322" s="348"/>
      <c r="W322" s="351"/>
      <c r="X322" s="361"/>
      <c r="Y322" s="340"/>
      <c r="Z322" s="348"/>
      <c r="AA322" s="348"/>
      <c r="AB322" s="949"/>
      <c r="AC322" s="340"/>
      <c r="AD322" s="348"/>
      <c r="AE322" s="349"/>
      <c r="AF322" s="949"/>
      <c r="AG322" s="340"/>
      <c r="AH322" s="348"/>
      <c r="AI322" s="348"/>
      <c r="AJ322" s="949"/>
      <c r="AK322" s="340"/>
      <c r="AL322" s="348"/>
      <c r="AM322" s="348"/>
      <c r="AN322" s="949"/>
      <c r="AO322" s="340"/>
      <c r="AP322" s="348"/>
      <c r="AQ322" s="348"/>
      <c r="AR322" s="923"/>
      <c r="AS322" s="348"/>
      <c r="AT322" s="348"/>
      <c r="AU322" s="349"/>
      <c r="AV322" s="923"/>
      <c r="AW322" s="348"/>
      <c r="AX322" s="348"/>
      <c r="AY322" s="349"/>
      <c r="AZ322" s="20"/>
      <c r="BA322" s="652"/>
      <c r="BB322" s="317"/>
      <c r="BC322" s="256"/>
      <c r="BD322" s="256"/>
      <c r="BE322" s="256"/>
      <c r="BF322" s="255"/>
      <c r="BG322" s="1515"/>
      <c r="BH322" s="1506"/>
      <c r="BI322" s="1607"/>
      <c r="BJ322" s="1603"/>
      <c r="BK322" s="1603"/>
      <c r="BL322" s="1806"/>
      <c r="BM322" s="1806"/>
      <c r="BN322" s="1806"/>
      <c r="BO322" s="299"/>
    </row>
    <row r="323" spans="1:67" s="363" customFormat="1" ht="14.25" hidden="1" customHeight="1" outlineLevel="1">
      <c r="B323" s="436" t="s">
        <v>234</v>
      </c>
      <c r="C323" s="351"/>
      <c r="D323" s="365"/>
      <c r="E323" s="348"/>
      <c r="F323" s="340"/>
      <c r="G323" s="351"/>
      <c r="H323" s="367"/>
      <c r="I323" s="340"/>
      <c r="J323" s="344"/>
      <c r="K323" s="345"/>
      <c r="L323" s="923">
        <f t="shared" ref="L323:AB323" si="601">L313-L316</f>
        <v>-15</v>
      </c>
      <c r="M323" s="348">
        <f t="shared" si="601"/>
        <v>24</v>
      </c>
      <c r="N323" s="348">
        <f t="shared" si="601"/>
        <v>35</v>
      </c>
      <c r="O323" s="349">
        <f t="shared" si="601"/>
        <v>44</v>
      </c>
      <c r="P323" s="348">
        <f t="shared" si="601"/>
        <v>54</v>
      </c>
      <c r="Q323" s="348">
        <f t="shared" si="601"/>
        <v>64</v>
      </c>
      <c r="R323" s="348">
        <f t="shared" si="601"/>
        <v>79</v>
      </c>
      <c r="S323" s="349">
        <f t="shared" si="601"/>
        <v>85</v>
      </c>
      <c r="T323" s="348">
        <f t="shared" si="601"/>
        <v>87</v>
      </c>
      <c r="U323" s="348">
        <f t="shared" si="601"/>
        <v>93</v>
      </c>
      <c r="V323" s="348">
        <f t="shared" si="601"/>
        <v>90</v>
      </c>
      <c r="W323" s="349">
        <f t="shared" si="601"/>
        <v>72</v>
      </c>
      <c r="X323" s="348">
        <f t="shared" si="601"/>
        <v>59</v>
      </c>
      <c r="Y323" s="348">
        <f t="shared" si="601"/>
        <v>67</v>
      </c>
      <c r="Z323" s="348">
        <f t="shared" si="601"/>
        <v>73</v>
      </c>
      <c r="AA323" s="348">
        <f t="shared" si="601"/>
        <v>56</v>
      </c>
      <c r="AB323" s="949">
        <f t="shared" si="601"/>
        <v>73</v>
      </c>
      <c r="AC323" s="348">
        <f t="shared" ref="AC323:AH323" si="602">AC313-AC316</f>
        <v>67</v>
      </c>
      <c r="AD323" s="348">
        <f t="shared" si="602"/>
        <v>85</v>
      </c>
      <c r="AE323" s="349">
        <f t="shared" si="602"/>
        <v>92</v>
      </c>
      <c r="AF323" s="949">
        <f t="shared" si="602"/>
        <v>98</v>
      </c>
      <c r="AG323" s="348">
        <f t="shared" si="602"/>
        <v>105</v>
      </c>
      <c r="AH323" s="348">
        <f t="shared" si="602"/>
        <v>112</v>
      </c>
      <c r="AI323" s="348">
        <f>AI313-AI316</f>
        <v>113</v>
      </c>
      <c r="AJ323" s="949">
        <f>AJ313-AJ316</f>
        <v>113</v>
      </c>
      <c r="AK323" s="348">
        <f>AK313-AK316</f>
        <v>113</v>
      </c>
      <c r="AL323" s="348">
        <f t="shared" ref="AL323:AM323" si="603">AL313-AL316</f>
        <v>117</v>
      </c>
      <c r="AM323" s="1205">
        <f t="shared" si="603"/>
        <v>106</v>
      </c>
      <c r="AN323" s="949">
        <f>AN313-AN316</f>
        <v>89</v>
      </c>
      <c r="AO323" s="348">
        <f>AO313-AO316</f>
        <v>99</v>
      </c>
      <c r="AP323" s="348">
        <f t="shared" ref="AP323:AQ323" si="604">AP313-AP316</f>
        <v>118</v>
      </c>
      <c r="AQ323" s="1205">
        <f t="shared" si="604"/>
        <v>128</v>
      </c>
      <c r="AR323" s="364"/>
      <c r="AS323" s="1205"/>
      <c r="AT323" s="1205"/>
      <c r="AU323" s="1206"/>
      <c r="AV323" s="364"/>
      <c r="AW323" s="1205"/>
      <c r="AX323" s="1205"/>
      <c r="AY323" s="1206"/>
      <c r="AZ323" s="1901"/>
      <c r="BA323" s="361"/>
      <c r="BB323" s="340"/>
      <c r="BC323" s="340">
        <f>SUM(L323:O323)</f>
        <v>88</v>
      </c>
      <c r="BD323" s="340">
        <f>SUM(P323:S323)</f>
        <v>282</v>
      </c>
      <c r="BE323" s="340">
        <f>SUM(T323:W323)</f>
        <v>342</v>
      </c>
      <c r="BF323" s="361">
        <f>SUM(X323:AA323)</f>
        <v>255</v>
      </c>
      <c r="BG323" s="361">
        <f>SUM(AB323:AE323)</f>
        <v>317</v>
      </c>
      <c r="BH323" s="348"/>
      <c r="BI323" s="923"/>
      <c r="BJ323" s="348"/>
      <c r="BK323" s="348"/>
      <c r="BL323" s="348"/>
      <c r="BM323" s="348"/>
      <c r="BN323" s="348"/>
      <c r="BO323" s="364"/>
    </row>
    <row r="324" spans="1:67" ht="14.25" hidden="1" customHeight="1" outlineLevel="1">
      <c r="A324" s="1"/>
      <c r="B324" s="451" t="s">
        <v>236</v>
      </c>
      <c r="C324" s="34"/>
      <c r="D324" s="269"/>
      <c r="E324" s="269"/>
      <c r="F324" s="300"/>
      <c r="G324" s="301"/>
      <c r="H324" s="269"/>
      <c r="I324" s="300"/>
      <c r="J324" s="300"/>
      <c r="K324" s="301"/>
      <c r="L324" s="300">
        <f t="shared" ref="L324:U324" si="605">L323/L$252</f>
        <v>-0.15957446808510639</v>
      </c>
      <c r="M324" s="300">
        <f t="shared" si="605"/>
        <v>0.1889763779527559</v>
      </c>
      <c r="N324" s="300">
        <f t="shared" si="605"/>
        <v>0.21472392638036811</v>
      </c>
      <c r="O324" s="301">
        <f t="shared" si="605"/>
        <v>0.24043715846994534</v>
      </c>
      <c r="P324" s="300">
        <f t="shared" si="605"/>
        <v>0.271356783919598</v>
      </c>
      <c r="Q324" s="300">
        <f t="shared" si="605"/>
        <v>0.30917874396135264</v>
      </c>
      <c r="R324" s="300">
        <f t="shared" si="605"/>
        <v>0.3574660633484163</v>
      </c>
      <c r="S324" s="301">
        <f t="shared" si="605"/>
        <v>0.38461538461538464</v>
      </c>
      <c r="T324" s="300">
        <f t="shared" si="605"/>
        <v>0.36708860759493672</v>
      </c>
      <c r="U324" s="300">
        <f t="shared" si="605"/>
        <v>0.37804878048780488</v>
      </c>
      <c r="V324" s="269">
        <f t="shared" ref="V324:AE324" si="606">V323/V$252</f>
        <v>0.36885245901639346</v>
      </c>
      <c r="W324" s="301">
        <f t="shared" si="606"/>
        <v>0.36363636363636365</v>
      </c>
      <c r="X324" s="300">
        <f t="shared" si="606"/>
        <v>0.29207920792079206</v>
      </c>
      <c r="Y324" s="300">
        <f t="shared" si="606"/>
        <v>0.30593607305936071</v>
      </c>
      <c r="Z324" s="300">
        <f t="shared" si="606"/>
        <v>0.34272300469483569</v>
      </c>
      <c r="AA324" s="256">
        <f t="shared" si="606"/>
        <v>0.28282828282828282</v>
      </c>
      <c r="AB324" s="1266">
        <f t="shared" si="606"/>
        <v>0.37925853517251362</v>
      </c>
      <c r="AC324" s="256">
        <f t="shared" si="606"/>
        <v>0.34560911607174949</v>
      </c>
      <c r="AD324" s="256">
        <f t="shared" si="606"/>
        <v>0.42339199555694396</v>
      </c>
      <c r="AE324" s="301">
        <f t="shared" si="606"/>
        <v>0.45358345358345348</v>
      </c>
      <c r="AF324" s="1266">
        <f t="shared" ref="AF324:AK324" si="607">AF323/AF$252</f>
        <v>0.48152713576442385</v>
      </c>
      <c r="AG324" s="256">
        <f t="shared" si="607"/>
        <v>0.48163598005370151</v>
      </c>
      <c r="AH324" s="256">
        <f t="shared" si="607"/>
        <v>0.48751782085115414</v>
      </c>
      <c r="AI324" s="256">
        <f t="shared" si="607"/>
        <v>0.49484268668558695</v>
      </c>
      <c r="AJ324" s="1266">
        <f t="shared" si="607"/>
        <v>0.50709885230009066</v>
      </c>
      <c r="AK324" s="256">
        <f t="shared" si="607"/>
        <v>0.50867369345630209</v>
      </c>
      <c r="AL324" s="256">
        <f t="shared" ref="AL324:AO324" si="608">AL323/AL$252</f>
        <v>0.52181818181818174</v>
      </c>
      <c r="AM324" s="1208">
        <f t="shared" si="608"/>
        <v>0.56696112415669608</v>
      </c>
      <c r="AN324" s="1266">
        <f t="shared" si="608"/>
        <v>0.47082135220821342</v>
      </c>
      <c r="AO324" s="1715">
        <f t="shared" si="608"/>
        <v>0.47359735973597356</v>
      </c>
      <c r="AP324" s="1715">
        <f t="shared" ref="AP324:AQ324" si="609">AP323/AP$252</f>
        <v>0.53450126262626263</v>
      </c>
      <c r="AQ324" s="1208">
        <f t="shared" si="609"/>
        <v>0.57441285924258068</v>
      </c>
      <c r="AR324" s="1207"/>
      <c r="AS324" s="1208"/>
      <c r="AT324" s="1208"/>
      <c r="AU324" s="1209"/>
      <c r="AV324" s="1207"/>
      <c r="AW324" s="1208"/>
      <c r="AX324" s="1208"/>
      <c r="AY324" s="1209"/>
      <c r="AZ324" s="20"/>
      <c r="BA324" s="652"/>
      <c r="BB324" s="317"/>
      <c r="BC324" s="256">
        <f>BC323/BC$252</f>
        <v>0.15520282186948853</v>
      </c>
      <c r="BD324" s="256">
        <f>BD323/BD$252</f>
        <v>0.33254716981132076</v>
      </c>
      <c r="BE324" s="256">
        <f>BE323/BE$252</f>
        <v>0.36972972972972973</v>
      </c>
      <c r="BF324" s="255">
        <f>BF323/BF$252</f>
        <v>0.30649038461538464</v>
      </c>
      <c r="BG324" s="1515">
        <f>BG323/BG$252</f>
        <v>0.40130122182523925</v>
      </c>
      <c r="BH324" s="1506"/>
      <c r="BI324" s="1607"/>
      <c r="BJ324" s="1603"/>
      <c r="BK324" s="1603"/>
      <c r="BL324" s="1806"/>
      <c r="BM324" s="1806"/>
      <c r="BN324" s="1806"/>
      <c r="BO324" s="299"/>
    </row>
    <row r="325" spans="1:67" ht="14.25" hidden="1" customHeight="1" outlineLevel="1">
      <c r="A325" s="1"/>
      <c r="B325" s="940" t="s">
        <v>232</v>
      </c>
      <c r="C325" s="924"/>
      <c r="D325" s="925"/>
      <c r="E325" s="925"/>
      <c r="F325" s="925"/>
      <c r="G325" s="926"/>
      <c r="H325" s="648"/>
      <c r="I325" s="648"/>
      <c r="J325" s="649"/>
      <c r="K325" s="650"/>
      <c r="L325" s="480">
        <f t="shared" ref="L325:AD325" si="610">+L252-L323</f>
        <v>109</v>
      </c>
      <c r="M325" s="531">
        <f t="shared" si="610"/>
        <v>103</v>
      </c>
      <c r="N325" s="531">
        <f t="shared" si="610"/>
        <v>128</v>
      </c>
      <c r="O325" s="796">
        <f t="shared" si="610"/>
        <v>139</v>
      </c>
      <c r="P325" s="480">
        <f t="shared" si="610"/>
        <v>145</v>
      </c>
      <c r="Q325" s="531">
        <f t="shared" si="610"/>
        <v>143</v>
      </c>
      <c r="R325" s="531">
        <f t="shared" si="610"/>
        <v>142</v>
      </c>
      <c r="S325" s="796">
        <f t="shared" si="610"/>
        <v>136</v>
      </c>
      <c r="T325" s="480">
        <f t="shared" si="610"/>
        <v>150</v>
      </c>
      <c r="U325" s="531">
        <f t="shared" si="610"/>
        <v>153</v>
      </c>
      <c r="V325" s="531">
        <f t="shared" si="610"/>
        <v>154</v>
      </c>
      <c r="W325" s="930">
        <f t="shared" si="610"/>
        <v>126</v>
      </c>
      <c r="X325" s="931">
        <f t="shared" si="610"/>
        <v>143</v>
      </c>
      <c r="Y325" s="531">
        <f t="shared" si="610"/>
        <v>152</v>
      </c>
      <c r="Z325" s="931">
        <f t="shared" si="610"/>
        <v>140</v>
      </c>
      <c r="AA325" s="1121">
        <f t="shared" si="610"/>
        <v>142</v>
      </c>
      <c r="AB325" s="1279">
        <f t="shared" si="610"/>
        <v>119.48083623693381</v>
      </c>
      <c r="AC325" s="1121">
        <f t="shared" si="610"/>
        <v>126.86062717770037</v>
      </c>
      <c r="AD325" s="1121">
        <f t="shared" si="610"/>
        <v>115.75958188153314</v>
      </c>
      <c r="AE325" s="796">
        <f t="shared" ref="AE325:AJ325" si="611">+AE252-AE323</f>
        <v>110.82926829268297</v>
      </c>
      <c r="AF325" s="1279">
        <f t="shared" si="611"/>
        <v>105.51916376306622</v>
      </c>
      <c r="AG325" s="1121">
        <f t="shared" si="611"/>
        <v>113.00696864111501</v>
      </c>
      <c r="AH325" s="1121">
        <f t="shared" si="611"/>
        <v>117.73519163763069</v>
      </c>
      <c r="AI325" s="1121">
        <f t="shared" si="611"/>
        <v>115.35540069686414</v>
      </c>
      <c r="AJ325" s="1279">
        <f t="shared" si="611"/>
        <v>109.83623693379792</v>
      </c>
      <c r="AK325" s="1121">
        <f>+AK252-AK323</f>
        <v>109.14634146341464</v>
      </c>
      <c r="AL325" s="1121">
        <f t="shared" ref="AL325:AN325" si="612">+AL252-AL323</f>
        <v>107.21602787456447</v>
      </c>
      <c r="AM325" s="647">
        <f t="shared" si="612"/>
        <v>80.961672473867623</v>
      </c>
      <c r="AN325" s="1279">
        <f t="shared" si="612"/>
        <v>100.03135888501745</v>
      </c>
      <c r="AO325" s="1121">
        <f>+AO252-AO323</f>
        <v>110.03832752613243</v>
      </c>
      <c r="AP325" s="1121">
        <f t="shared" ref="AP325:AQ325" si="613">+AP252-AP323</f>
        <v>102.76655052264809</v>
      </c>
      <c r="AQ325" s="647">
        <f t="shared" si="613"/>
        <v>94.836236933797892</v>
      </c>
      <c r="AR325" s="985"/>
      <c r="AS325" s="647"/>
      <c r="AT325" s="647"/>
      <c r="AU325" s="927"/>
      <c r="AV325" s="985"/>
      <c r="AW325" s="647"/>
      <c r="AX325" s="647"/>
      <c r="AY325" s="927"/>
      <c r="AZ325" s="1899"/>
      <c r="BA325" s="651"/>
      <c r="BB325" s="738"/>
      <c r="BC325" s="341">
        <f>SUM(L325:O325)</f>
        <v>479</v>
      </c>
      <c r="BD325" s="341">
        <f>SUM(P325:S325)</f>
        <v>566</v>
      </c>
      <c r="BE325" s="341">
        <f>SUM(T325:W325)</f>
        <v>583</v>
      </c>
      <c r="BF325" s="939">
        <f>SUM(X325:AA325)</f>
        <v>577</v>
      </c>
      <c r="BG325" s="939">
        <f>SUM(AB325:AE325)</f>
        <v>472.93031358885025</v>
      </c>
      <c r="BH325" s="647"/>
      <c r="BI325" s="985"/>
      <c r="BJ325" s="647"/>
      <c r="BK325" s="647"/>
      <c r="BL325" s="647"/>
      <c r="BM325" s="647"/>
      <c r="BN325" s="647"/>
      <c r="BO325" s="299"/>
    </row>
    <row r="326" spans="1:67" s="460" customFormat="1" ht="14.25" hidden="1" customHeight="1" outlineLevel="1">
      <c r="A326" s="408"/>
      <c r="B326" s="977" t="s">
        <v>244</v>
      </c>
      <c r="C326" s="553"/>
      <c r="D326" s="554"/>
      <c r="E326" s="554"/>
      <c r="F326" s="554"/>
      <c r="G326" s="555"/>
      <c r="H326" s="501"/>
      <c r="I326" s="501"/>
      <c r="J326" s="499"/>
      <c r="K326" s="500"/>
      <c r="L326" s="499"/>
      <c r="M326" s="501"/>
      <c r="N326" s="501"/>
      <c r="O326" s="978"/>
      <c r="P326" s="499"/>
      <c r="Q326" s="501"/>
      <c r="R326" s="501"/>
      <c r="S326" s="978"/>
      <c r="T326" s="499"/>
      <c r="U326" s="501"/>
      <c r="V326" s="501"/>
      <c r="W326" s="978"/>
      <c r="X326" s="501"/>
      <c r="Y326" s="501"/>
      <c r="Z326" s="501"/>
      <c r="AA326" s="688"/>
      <c r="AB326" s="1280"/>
      <c r="AC326" s="688"/>
      <c r="AD326" s="688"/>
      <c r="AE326" s="978"/>
      <c r="AF326" s="1177"/>
      <c r="AG326" s="688"/>
      <c r="AH326" s="688"/>
      <c r="AI326" s="688"/>
      <c r="AJ326" s="1177"/>
      <c r="AK326" s="688"/>
      <c r="AL326" s="688"/>
      <c r="AM326" s="688"/>
      <c r="AN326" s="1177"/>
      <c r="AO326" s="688"/>
      <c r="AP326" s="688"/>
      <c r="AQ326" s="688"/>
      <c r="AR326" s="1177"/>
      <c r="AS326" s="688"/>
      <c r="AT326" s="688"/>
      <c r="AU326" s="978"/>
      <c r="AV326" s="1177"/>
      <c r="AW326" s="688"/>
      <c r="AX326" s="688"/>
      <c r="AY326" s="978"/>
      <c r="AZ326" s="1910"/>
      <c r="BA326" s="686"/>
      <c r="BB326" s="556"/>
      <c r="BC326" s="556"/>
      <c r="BD326" s="556">
        <f>+(BD323-BC323)/(BD311-BC311)</f>
        <v>0.69039145907473309</v>
      </c>
      <c r="BE326" s="556">
        <f>+(BE323-BD323)/(BE311-BD311)</f>
        <v>0.77922077922077926</v>
      </c>
      <c r="BF326" s="686"/>
      <c r="BG326" s="686"/>
      <c r="BH326" s="688"/>
      <c r="BI326" s="1177"/>
      <c r="BJ326" s="688"/>
      <c r="BK326" s="688"/>
      <c r="BL326" s="688"/>
      <c r="BM326" s="688"/>
      <c r="BN326" s="688"/>
      <c r="BO326" s="459"/>
    </row>
    <row r="327" spans="1:67" s="460" customFormat="1" ht="14.25" hidden="1" customHeight="1" outlineLevel="1">
      <c r="A327" s="408"/>
      <c r="B327" s="977" t="s">
        <v>5</v>
      </c>
      <c r="C327" s="553"/>
      <c r="D327" s="554"/>
      <c r="E327" s="554"/>
      <c r="F327" s="554"/>
      <c r="G327" s="555"/>
      <c r="H327" s="501"/>
      <c r="I327" s="501"/>
      <c r="J327" s="499"/>
      <c r="K327" s="500"/>
      <c r="L327" s="499"/>
      <c r="M327" s="501"/>
      <c r="N327" s="501"/>
      <c r="O327" s="978"/>
      <c r="P327" s="982">
        <f>+P540</f>
        <v>0.93</v>
      </c>
      <c r="Q327" s="983">
        <f t="shared" ref="Q327:AB327" si="614">+Q540</f>
        <v>0.96</v>
      </c>
      <c r="R327" s="983">
        <f t="shared" si="614"/>
        <v>0.99</v>
      </c>
      <c r="S327" s="984">
        <f t="shared" si="614"/>
        <v>0.97</v>
      </c>
      <c r="T327" s="982">
        <f t="shared" si="614"/>
        <v>0.97</v>
      </c>
      <c r="U327" s="983">
        <f t="shared" si="614"/>
        <v>0.94</v>
      </c>
      <c r="V327" s="983">
        <f t="shared" si="614"/>
        <v>0.79</v>
      </c>
      <c r="W327" s="984">
        <f t="shared" si="614"/>
        <v>0.71</v>
      </c>
      <c r="X327" s="983">
        <f t="shared" si="614"/>
        <v>0.84</v>
      </c>
      <c r="Y327" s="983">
        <f t="shared" si="614"/>
        <v>0.92</v>
      </c>
      <c r="Z327" s="983">
        <f t="shared" si="614"/>
        <v>0.91</v>
      </c>
      <c r="AA327" s="1249">
        <f t="shared" si="614"/>
        <v>0.85</v>
      </c>
      <c r="AB327" s="1281">
        <f t="shared" si="614"/>
        <v>0.83</v>
      </c>
      <c r="AC327" s="1249">
        <f t="shared" ref="AC327:AH327" si="615">+AC540</f>
        <v>0.9</v>
      </c>
      <c r="AD327" s="1249">
        <f t="shared" si="615"/>
        <v>0.91</v>
      </c>
      <c r="AE327" s="984">
        <f t="shared" si="615"/>
        <v>0.95</v>
      </c>
      <c r="AF327" s="1281">
        <f t="shared" si="615"/>
        <v>0.93</v>
      </c>
      <c r="AG327" s="1249">
        <f t="shared" si="615"/>
        <v>0</v>
      </c>
      <c r="AH327" s="1249">
        <f t="shared" si="615"/>
        <v>0</v>
      </c>
      <c r="AI327" s="1249">
        <f>+AI540</f>
        <v>0</v>
      </c>
      <c r="AJ327" s="1281">
        <f>+AJ540</f>
        <v>0</v>
      </c>
      <c r="AK327" s="1249">
        <f>+AK540</f>
        <v>0</v>
      </c>
      <c r="AL327" s="1249">
        <f t="shared" ref="AL327:AM327" si="616">+AL540</f>
        <v>0</v>
      </c>
      <c r="AM327" s="688">
        <f t="shared" si="616"/>
        <v>0</v>
      </c>
      <c r="AN327" s="1281">
        <f>+AN540</f>
        <v>0</v>
      </c>
      <c r="AO327" s="1249">
        <f>+AO540</f>
        <v>0</v>
      </c>
      <c r="AP327" s="1249">
        <f t="shared" ref="AP327:AQ327" si="617">+AP540</f>
        <v>0</v>
      </c>
      <c r="AQ327" s="688">
        <f t="shared" si="617"/>
        <v>0</v>
      </c>
      <c r="AR327" s="1177"/>
      <c r="AS327" s="688"/>
      <c r="AT327" s="688"/>
      <c r="AU327" s="978"/>
      <c r="AV327" s="1177"/>
      <c r="AW327" s="688"/>
      <c r="AX327" s="688"/>
      <c r="AY327" s="978"/>
      <c r="AZ327" s="1910"/>
      <c r="BA327" s="686"/>
      <c r="BB327" s="556"/>
      <c r="BC327" s="556"/>
      <c r="BD327" s="556"/>
      <c r="BE327" s="556"/>
      <c r="BF327" s="686"/>
      <c r="BG327" s="686"/>
      <c r="BH327" s="688"/>
      <c r="BI327" s="1177"/>
      <c r="BJ327" s="688"/>
      <c r="BK327" s="688"/>
      <c r="BL327" s="688"/>
      <c r="BM327" s="688"/>
      <c r="BN327" s="688"/>
      <c r="BO327" s="459"/>
    </row>
    <row r="328" spans="1:67" s="460" customFormat="1" ht="14.25" hidden="1" customHeight="1" outlineLevel="1">
      <c r="A328" s="408"/>
      <c r="B328" s="977"/>
      <c r="C328" s="553"/>
      <c r="D328" s="554"/>
      <c r="E328" s="554"/>
      <c r="F328" s="554"/>
      <c r="G328" s="555"/>
      <c r="H328" s="501"/>
      <c r="I328" s="501"/>
      <c r="J328" s="499"/>
      <c r="K328" s="500"/>
      <c r="L328" s="499"/>
      <c r="M328" s="501"/>
      <c r="N328" s="501"/>
      <c r="O328" s="978"/>
      <c r="P328" s="499"/>
      <c r="Q328" s="501"/>
      <c r="R328" s="501"/>
      <c r="S328" s="978"/>
      <c r="T328" s="499"/>
      <c r="U328" s="501"/>
      <c r="V328" s="501"/>
      <c r="W328" s="978"/>
      <c r="X328" s="501"/>
      <c r="Y328" s="501"/>
      <c r="Z328" s="501"/>
      <c r="AA328" s="688"/>
      <c r="AB328" s="1280"/>
      <c r="AC328" s="688"/>
      <c r="AD328" s="688"/>
      <c r="AE328" s="978"/>
      <c r="AF328" s="1177"/>
      <c r="AG328" s="688"/>
      <c r="AH328" s="688"/>
      <c r="AI328" s="688"/>
      <c r="AJ328" s="1177"/>
      <c r="AK328" s="688"/>
      <c r="AL328" s="688"/>
      <c r="AM328" s="688"/>
      <c r="AN328" s="1177"/>
      <c r="AO328" s="688"/>
      <c r="AP328" s="688"/>
      <c r="AQ328" s="688"/>
      <c r="AR328" s="1177"/>
      <c r="AS328" s="688"/>
      <c r="AT328" s="688"/>
      <c r="AU328" s="978"/>
      <c r="AV328" s="1177"/>
      <c r="AW328" s="688"/>
      <c r="AX328" s="688"/>
      <c r="AY328" s="978"/>
      <c r="AZ328" s="1910"/>
      <c r="BA328" s="686"/>
      <c r="BB328" s="556"/>
      <c r="BC328" s="556"/>
      <c r="BD328" s="556"/>
      <c r="BE328" s="556"/>
      <c r="BF328" s="686"/>
      <c r="BG328" s="686"/>
      <c r="BH328" s="688"/>
      <c r="BI328" s="1177"/>
      <c r="BJ328" s="688"/>
      <c r="BK328" s="688"/>
      <c r="BL328" s="688"/>
      <c r="BM328" s="688"/>
      <c r="BN328" s="688"/>
      <c r="BO328" s="459"/>
    </row>
    <row r="329" spans="1:67" s="316" customFormat="1" ht="14.25" hidden="1" customHeight="1" outlineLevel="1">
      <c r="A329" s="5"/>
      <c r="B329" s="784"/>
      <c r="C329" s="945"/>
      <c r="D329" s="925"/>
      <c r="E329" s="925"/>
      <c r="F329" s="925"/>
      <c r="G329" s="926"/>
      <c r="H329" s="648"/>
      <c r="I329" s="648"/>
      <c r="J329" s="648"/>
      <c r="K329" s="927"/>
      <c r="L329" s="531"/>
      <c r="M329" s="531"/>
      <c r="N329" s="531"/>
      <c r="O329" s="796"/>
      <c r="P329" s="531"/>
      <c r="Q329" s="531"/>
      <c r="R329" s="531"/>
      <c r="S329" s="796"/>
      <c r="T329" s="531"/>
      <c r="U329" s="531"/>
      <c r="V329" s="531"/>
      <c r="W329" s="796"/>
      <c r="X329" s="531"/>
      <c r="Y329" s="531"/>
      <c r="Z329" s="531"/>
      <c r="AA329" s="1121"/>
      <c r="AB329" s="1279"/>
      <c r="AC329" s="647"/>
      <c r="AD329" s="647"/>
      <c r="AE329" s="796"/>
      <c r="AF329" s="985"/>
      <c r="AG329" s="647"/>
      <c r="AH329" s="647"/>
      <c r="AI329" s="647"/>
      <c r="AJ329" s="985"/>
      <c r="AK329" s="647"/>
      <c r="AL329" s="647"/>
      <c r="AM329" s="647"/>
      <c r="AN329" s="985"/>
      <c r="AO329" s="647"/>
      <c r="AP329" s="647"/>
      <c r="AQ329" s="647"/>
      <c r="AR329" s="985"/>
      <c r="AS329" s="647"/>
      <c r="AT329" s="647"/>
      <c r="AU329" s="927"/>
      <c r="AV329" s="985"/>
      <c r="AW329" s="647"/>
      <c r="AX329" s="647"/>
      <c r="AY329" s="927"/>
      <c r="AZ329" s="1926"/>
      <c r="BA329" s="985"/>
      <c r="BB329" s="647"/>
      <c r="BC329" s="647"/>
      <c r="BD329" s="647"/>
      <c r="BE329" s="647"/>
      <c r="BF329" s="985"/>
      <c r="BG329" s="985"/>
      <c r="BH329" s="647"/>
      <c r="BI329" s="985"/>
      <c r="BJ329" s="647"/>
      <c r="BK329" s="647"/>
      <c r="BL329" s="647"/>
      <c r="BM329" s="647"/>
      <c r="BN329" s="647"/>
      <c r="BO329" s="419"/>
    </row>
    <row r="330" spans="1:67" s="363" customFormat="1" ht="14.25" hidden="1" customHeight="1" outlineLevel="1" collapsed="1">
      <c r="B330" s="436" t="s">
        <v>355</v>
      </c>
      <c r="C330" s="351"/>
      <c r="D330" s="365"/>
      <c r="E330" s="348"/>
      <c r="F330" s="340"/>
      <c r="G330" s="351"/>
      <c r="H330" s="367"/>
      <c r="I330" s="340"/>
      <c r="J330" s="344"/>
      <c r="K330" s="345"/>
      <c r="L330" s="360">
        <v>-61</v>
      </c>
      <c r="M330" s="344">
        <v>-23</v>
      </c>
      <c r="N330" s="344">
        <v>-19</v>
      </c>
      <c r="O330" s="345">
        <v>-17</v>
      </c>
      <c r="P330" s="346">
        <v>9</v>
      </c>
      <c r="Q330" s="346">
        <v>12</v>
      </c>
      <c r="R330" s="346">
        <v>31</v>
      </c>
      <c r="S330" s="347">
        <v>39</v>
      </c>
      <c r="T330" s="346">
        <v>35</v>
      </c>
      <c r="U330" s="346">
        <v>47</v>
      </c>
      <c r="V330" s="346">
        <v>42</v>
      </c>
      <c r="W330" s="347">
        <v>17</v>
      </c>
      <c r="X330" s="346">
        <v>9</v>
      </c>
      <c r="Y330" s="346">
        <v>18</v>
      </c>
      <c r="Z330" s="346">
        <v>22</v>
      </c>
      <c r="AA330" s="346">
        <v>-12</v>
      </c>
      <c r="AB330" s="1267">
        <v>7</v>
      </c>
      <c r="AC330" s="346">
        <v>9</v>
      </c>
      <c r="AD330" s="346">
        <v>21</v>
      </c>
      <c r="AE330" s="347">
        <v>2</v>
      </c>
      <c r="AF330" s="1267">
        <v>12</v>
      </c>
      <c r="AG330" s="346">
        <v>29</v>
      </c>
      <c r="AH330" s="346">
        <v>38</v>
      </c>
      <c r="AI330" s="346">
        <v>41</v>
      </c>
      <c r="AJ330" s="1267">
        <v>52</v>
      </c>
      <c r="AK330" s="346">
        <v>53</v>
      </c>
      <c r="AL330" s="346">
        <v>38</v>
      </c>
      <c r="AM330" s="348">
        <v>38</v>
      </c>
      <c r="AN330" s="1267">
        <v>39</v>
      </c>
      <c r="AO330" s="346">
        <v>52</v>
      </c>
      <c r="AP330" s="346">
        <v>38</v>
      </c>
      <c r="AQ330" s="1821">
        <v>38</v>
      </c>
      <c r="AR330" s="923"/>
      <c r="AS330" s="348"/>
      <c r="AT330" s="348"/>
      <c r="AU330" s="349"/>
      <c r="AV330" s="923"/>
      <c r="AW330" s="348"/>
      <c r="AX330" s="348"/>
      <c r="AY330" s="349"/>
      <c r="AZ330" s="1901"/>
      <c r="BA330" s="361"/>
      <c r="BB330" s="340"/>
      <c r="BC330" s="340">
        <f>SUM(L330:O330)</f>
        <v>-120</v>
      </c>
      <c r="BD330" s="340">
        <f>SUM(P330:S330)</f>
        <v>91</v>
      </c>
      <c r="BE330" s="340">
        <f>SUM(T330:W330)</f>
        <v>141</v>
      </c>
      <c r="BF330" s="361">
        <f>SUM(X330:AA330)</f>
        <v>37</v>
      </c>
      <c r="BG330" s="361">
        <f>SUM(AB330:AE330)</f>
        <v>39</v>
      </c>
      <c r="BH330" s="348"/>
      <c r="BI330" s="923"/>
      <c r="BJ330" s="348"/>
      <c r="BK330" s="348"/>
      <c r="BL330" s="348"/>
      <c r="BM330" s="348"/>
      <c r="BN330" s="348"/>
      <c r="BO330" s="364"/>
    </row>
    <row r="331" spans="1:67" ht="14.25" hidden="1" customHeight="1" outlineLevel="1">
      <c r="A331" s="1"/>
      <c r="B331" s="451" t="s">
        <v>512</v>
      </c>
      <c r="C331" s="34"/>
      <c r="D331" s="269"/>
      <c r="E331" s="269"/>
      <c r="F331" s="300"/>
      <c r="G331" s="301"/>
      <c r="H331" s="269"/>
      <c r="I331" s="300"/>
      <c r="J331" s="300"/>
      <c r="K331" s="301"/>
      <c r="L331" s="300">
        <f>L330/L$252</f>
        <v>-0.64893617021276595</v>
      </c>
      <c r="M331" s="300">
        <f t="shared" ref="M331:U331" si="618">M330/M$252</f>
        <v>-0.18110236220472442</v>
      </c>
      <c r="N331" s="300">
        <f t="shared" si="618"/>
        <v>-0.1165644171779141</v>
      </c>
      <c r="O331" s="301">
        <f t="shared" si="618"/>
        <v>-9.2896174863387984E-2</v>
      </c>
      <c r="P331" s="300">
        <f t="shared" si="618"/>
        <v>4.5226130653266333E-2</v>
      </c>
      <c r="Q331" s="300">
        <f t="shared" si="618"/>
        <v>5.7971014492753624E-2</v>
      </c>
      <c r="R331" s="300">
        <f t="shared" si="618"/>
        <v>0.14027149321266968</v>
      </c>
      <c r="S331" s="301">
        <f t="shared" si="618"/>
        <v>0.17647058823529413</v>
      </c>
      <c r="T331" s="300">
        <f t="shared" si="618"/>
        <v>0.14767932489451477</v>
      </c>
      <c r="U331" s="300">
        <f t="shared" si="618"/>
        <v>0.1910569105691057</v>
      </c>
      <c r="V331" s="269">
        <f t="shared" ref="V331:AA331" si="619">V330/V$252</f>
        <v>0.1721311475409836</v>
      </c>
      <c r="W331" s="301">
        <f t="shared" si="619"/>
        <v>8.5858585858585856E-2</v>
      </c>
      <c r="X331" s="300">
        <f t="shared" si="619"/>
        <v>4.4554455445544552E-2</v>
      </c>
      <c r="Y331" s="300">
        <f t="shared" si="619"/>
        <v>8.2191780821917804E-2</v>
      </c>
      <c r="Z331" s="300">
        <f t="shared" si="619"/>
        <v>0.10328638497652583</v>
      </c>
      <c r="AA331" s="256">
        <f t="shared" si="619"/>
        <v>-6.0606060606060608E-2</v>
      </c>
      <c r="AB331" s="1266">
        <f t="shared" ref="AB331:AG331" si="620">AB330/AB$252</f>
        <v>3.6367256797364321E-2</v>
      </c>
      <c r="AC331" s="256">
        <f t="shared" si="620"/>
        <v>4.6425105143966347E-2</v>
      </c>
      <c r="AD331" s="256">
        <f t="shared" si="620"/>
        <v>0.1046027283140685</v>
      </c>
      <c r="AE331" s="301">
        <f t="shared" si="620"/>
        <v>9.8605098605098578E-3</v>
      </c>
      <c r="AF331" s="1266">
        <f t="shared" si="620"/>
        <v>5.8962506420133537E-2</v>
      </c>
      <c r="AG331" s="256">
        <f t="shared" si="620"/>
        <v>0.13302327068149852</v>
      </c>
      <c r="AH331" s="256">
        <f t="shared" ref="AH331:AM331" si="621">AH330/AH$252</f>
        <v>0.16540783207449872</v>
      </c>
      <c r="AI331" s="256">
        <f t="shared" si="621"/>
        <v>0.17954469162928374</v>
      </c>
      <c r="AJ331" s="1266">
        <f t="shared" si="621"/>
        <v>0.23335522406729836</v>
      </c>
      <c r="AK331" s="256">
        <f t="shared" si="621"/>
        <v>0.23858146684233639</v>
      </c>
      <c r="AL331" s="256">
        <f t="shared" si="621"/>
        <v>0.16947940947940948</v>
      </c>
      <c r="AM331" s="1574">
        <f t="shared" si="621"/>
        <v>0.203250214320325</v>
      </c>
      <c r="AN331" s="1266">
        <f t="shared" ref="AN331:AQ331" si="622">AN330/AN$252</f>
        <v>0.20631497456314971</v>
      </c>
      <c r="AO331" s="1715">
        <f t="shared" si="622"/>
        <v>0.24875820915424873</v>
      </c>
      <c r="AP331" s="1715">
        <f t="shared" si="622"/>
        <v>0.17212752525252525</v>
      </c>
      <c r="AQ331" s="1808">
        <f t="shared" si="622"/>
        <v>0.17052881758764113</v>
      </c>
      <c r="AR331" s="94"/>
      <c r="AS331" s="1518"/>
      <c r="AT331" s="1518"/>
      <c r="AU331" s="1519"/>
      <c r="AV331" s="94"/>
      <c r="AW331" s="1518"/>
      <c r="AX331" s="1518"/>
      <c r="AY331" s="1519"/>
      <c r="AZ331" s="20"/>
      <c r="BA331" s="652"/>
      <c r="BB331" s="317"/>
      <c r="BC331" s="256">
        <f>BC330/BC$252</f>
        <v>-0.21164021164021163</v>
      </c>
      <c r="BD331" s="256">
        <f>BD330/BD$252</f>
        <v>0.10731132075471699</v>
      </c>
      <c r="BE331" s="256">
        <f>BE330/BE$252</f>
        <v>0.15243243243243243</v>
      </c>
      <c r="BF331" s="255">
        <f>BF330/BF$252</f>
        <v>4.4471153846153848E-2</v>
      </c>
      <c r="BG331" s="1515">
        <f>BG330/BG$252</f>
        <v>4.9371443694587791E-2</v>
      </c>
      <c r="BH331" s="1506"/>
      <c r="BI331" s="1607"/>
      <c r="BJ331" s="1603"/>
      <c r="BK331" s="1603"/>
      <c r="BL331" s="1806"/>
      <c r="BM331" s="1806"/>
      <c r="BN331" s="1806"/>
      <c r="BO331" s="299"/>
    </row>
    <row r="332" spans="1:67" ht="14.25" hidden="1" customHeight="1" outlineLevel="1">
      <c r="A332" s="1"/>
      <c r="B332" s="437"/>
      <c r="C332" s="254"/>
      <c r="D332" s="320"/>
      <c r="E332" s="320"/>
      <c r="F332" s="320"/>
      <c r="G332" s="93"/>
      <c r="H332" s="269"/>
      <c r="I332" s="269"/>
      <c r="J332" s="300"/>
      <c r="K332" s="301"/>
      <c r="L332" s="255"/>
      <c r="M332" s="300"/>
      <c r="N332" s="300"/>
      <c r="O332" s="301"/>
      <c r="P332" s="300"/>
      <c r="Q332" s="300"/>
      <c r="R332" s="300"/>
      <c r="S332" s="301"/>
      <c r="T332" s="300"/>
      <c r="U332" s="300"/>
      <c r="V332" s="269"/>
      <c r="W332" s="301"/>
      <c r="X332" s="300"/>
      <c r="Y332" s="300"/>
      <c r="Z332" s="300"/>
      <c r="AA332" s="256"/>
      <c r="AB332" s="1266"/>
      <c r="AC332" s="256"/>
      <c r="AD332" s="256"/>
      <c r="AE332" s="301"/>
      <c r="AF332" s="1266"/>
      <c r="AG332" s="256"/>
      <c r="AH332" s="256"/>
      <c r="AI332" s="256"/>
      <c r="AJ332" s="1266"/>
      <c r="AK332" s="256"/>
      <c r="AL332" s="256"/>
      <c r="AM332" s="1573"/>
      <c r="AN332" s="1266"/>
      <c r="AO332" s="1715"/>
      <c r="AP332" s="1715"/>
      <c r="AQ332" s="1806"/>
      <c r="AR332" s="159"/>
      <c r="AS332" s="1506"/>
      <c r="AT332" s="1506"/>
      <c r="AU332" s="91"/>
      <c r="AV332" s="159"/>
      <c r="AW332" s="1506"/>
      <c r="AX332" s="1506"/>
      <c r="AY332" s="91"/>
      <c r="AZ332" s="20"/>
      <c r="BA332" s="652"/>
      <c r="BB332" s="317"/>
      <c r="BC332" s="256"/>
      <c r="BD332" s="256"/>
      <c r="BE332" s="256"/>
      <c r="BF332" s="255"/>
      <c r="BG332" s="1515"/>
      <c r="BH332" s="1506"/>
      <c r="BI332" s="1607"/>
      <c r="BJ332" s="1603"/>
      <c r="BK332" s="1603"/>
      <c r="BL332" s="1806"/>
      <c r="BM332" s="1806"/>
      <c r="BN332" s="1806"/>
      <c r="BO332" s="299"/>
    </row>
    <row r="333" spans="1:67" s="861" customFormat="1" ht="14.25" hidden="1" customHeight="1" outlineLevel="1">
      <c r="B333" s="493" t="s">
        <v>235</v>
      </c>
      <c r="C333" s="862"/>
      <c r="D333" s="863"/>
      <c r="E333" s="863"/>
      <c r="F333" s="863"/>
      <c r="G333" s="864"/>
      <c r="H333" s="865"/>
      <c r="I333" s="865"/>
      <c r="J333" s="866"/>
      <c r="K333" s="867"/>
      <c r="L333" s="921">
        <f t="shared" ref="L333:AA333" si="623">SUM(L334:L338)</f>
        <v>-16</v>
      </c>
      <c r="M333" s="874">
        <f t="shared" si="623"/>
        <v>-18</v>
      </c>
      <c r="N333" s="874">
        <f t="shared" si="623"/>
        <v>-23</v>
      </c>
      <c r="O333" s="875">
        <f t="shared" si="623"/>
        <v>-19</v>
      </c>
      <c r="P333" s="871">
        <f t="shared" si="623"/>
        <v>-13</v>
      </c>
      <c r="Q333" s="871">
        <f t="shared" si="623"/>
        <v>-17</v>
      </c>
      <c r="R333" s="871">
        <f t="shared" si="623"/>
        <v>-13</v>
      </c>
      <c r="S333" s="872">
        <f t="shared" si="623"/>
        <v>-13</v>
      </c>
      <c r="T333" s="871">
        <f t="shared" si="623"/>
        <v>-14</v>
      </c>
      <c r="U333" s="871">
        <f t="shared" si="623"/>
        <v>-16</v>
      </c>
      <c r="V333" s="871">
        <f>SUM(V334:V338)</f>
        <v>-13</v>
      </c>
      <c r="W333" s="872">
        <f>SUM(W334:W338)</f>
        <v>-20</v>
      </c>
      <c r="X333" s="871">
        <f>SUM(X334:X338)</f>
        <v>-13</v>
      </c>
      <c r="Y333" s="871">
        <f>SUM(Y334:Y338)</f>
        <v>-14</v>
      </c>
      <c r="Z333" s="871">
        <f t="shared" si="623"/>
        <v>-11</v>
      </c>
      <c r="AA333" s="871">
        <f t="shared" si="623"/>
        <v>-32</v>
      </c>
      <c r="AB333" s="1278">
        <f t="shared" ref="AB333:AG333" si="624">SUM(AB334:AB338)</f>
        <v>-21</v>
      </c>
      <c r="AC333" s="871">
        <f t="shared" si="624"/>
        <v>-17</v>
      </c>
      <c r="AD333" s="871">
        <f t="shared" si="624"/>
        <v>-22</v>
      </c>
      <c r="AE333" s="872">
        <f t="shared" si="624"/>
        <v>-46</v>
      </c>
      <c r="AF333" s="1278">
        <f t="shared" si="624"/>
        <v>-41</v>
      </c>
      <c r="AG333" s="871">
        <f t="shared" si="624"/>
        <v>-34</v>
      </c>
      <c r="AH333" s="871">
        <f t="shared" ref="AH333:AM333" si="625">SUM(AH334:AH338)</f>
        <v>-31</v>
      </c>
      <c r="AI333" s="871">
        <f t="shared" si="625"/>
        <v>-28</v>
      </c>
      <c r="AJ333" s="1278">
        <f t="shared" si="625"/>
        <v>-22</v>
      </c>
      <c r="AK333" s="871">
        <f t="shared" si="625"/>
        <v>-22</v>
      </c>
      <c r="AL333" s="871">
        <f t="shared" si="625"/>
        <v>-31</v>
      </c>
      <c r="AM333" s="871">
        <f t="shared" si="625"/>
        <v>-31</v>
      </c>
      <c r="AN333" s="1278">
        <f t="shared" ref="AN333:AQ333" si="626">SUM(AN334:AN338)</f>
        <v>-20</v>
      </c>
      <c r="AO333" s="871">
        <f t="shared" si="626"/>
        <v>-17</v>
      </c>
      <c r="AP333" s="871">
        <f t="shared" si="626"/>
        <v>-31</v>
      </c>
      <c r="AQ333" s="871">
        <f t="shared" si="626"/>
        <v>-31</v>
      </c>
      <c r="AR333" s="1147"/>
      <c r="AS333" s="871"/>
      <c r="AT333" s="871"/>
      <c r="AU333" s="872"/>
      <c r="AV333" s="1147"/>
      <c r="AW333" s="871"/>
      <c r="AX333" s="871"/>
      <c r="AY333" s="872"/>
      <c r="AZ333" s="1912"/>
      <c r="BA333" s="1127"/>
      <c r="BB333" s="873"/>
      <c r="BC333" s="874">
        <f>SUM(L333:O333)</f>
        <v>-76</v>
      </c>
      <c r="BD333" s="874">
        <f>SUM(P333:S333)</f>
        <v>-56</v>
      </c>
      <c r="BE333" s="874">
        <f>SUM(T333:W333)</f>
        <v>-63</v>
      </c>
      <c r="BF333" s="921">
        <f>SUM(X333:AA333)</f>
        <v>-70</v>
      </c>
      <c r="BG333" s="921">
        <f>SUM(AB333:AE333)</f>
        <v>-106</v>
      </c>
      <c r="BH333" s="871"/>
      <c r="BI333" s="1147"/>
      <c r="BJ333" s="871"/>
      <c r="BK333" s="871"/>
      <c r="BL333" s="871"/>
      <c r="BM333" s="871"/>
      <c r="BN333" s="871"/>
      <c r="BO333" s="876"/>
    </row>
    <row r="334" spans="1:67" s="353" customFormat="1" ht="14.25" hidden="1" customHeight="1" outlineLevel="2">
      <c r="A334" s="6"/>
      <c r="B334" s="437" t="s">
        <v>348</v>
      </c>
      <c r="C334" s="383"/>
      <c r="D334" s="354"/>
      <c r="E334" s="354"/>
      <c r="F334" s="354"/>
      <c r="G334" s="355"/>
      <c r="H334" s="356"/>
      <c r="I334" s="356"/>
      <c r="J334" s="357"/>
      <c r="K334" s="358"/>
      <c r="L334" s="362">
        <v>-15</v>
      </c>
      <c r="M334" s="342">
        <v>-16</v>
      </c>
      <c r="N334" s="342">
        <v>-17</v>
      </c>
      <c r="O334" s="343">
        <v>-13</v>
      </c>
      <c r="P334" s="72">
        <v>-14</v>
      </c>
      <c r="Q334" s="72">
        <v>-16</v>
      </c>
      <c r="R334" s="72">
        <v>-12</v>
      </c>
      <c r="S334" s="73">
        <v>-12</v>
      </c>
      <c r="T334" s="72">
        <v>-14</v>
      </c>
      <c r="U334" s="72">
        <v>-15</v>
      </c>
      <c r="V334" s="72">
        <v>-14</v>
      </c>
      <c r="W334" s="73">
        <v>-14</v>
      </c>
      <c r="X334" s="72">
        <v>-13</v>
      </c>
      <c r="Y334" s="72">
        <v>-13</v>
      </c>
      <c r="Z334" s="747">
        <v>-13</v>
      </c>
      <c r="AA334" s="72">
        <v>-13</v>
      </c>
      <c r="AB334" s="1176">
        <v>-15</v>
      </c>
      <c r="AC334" s="72">
        <v>-15</v>
      </c>
      <c r="AD334" s="72">
        <v>-14</v>
      </c>
      <c r="AE334" s="73">
        <v>-15</v>
      </c>
      <c r="AF334" s="1176">
        <v>-15</v>
      </c>
      <c r="AG334" s="72">
        <v>-16</v>
      </c>
      <c r="AH334" s="72">
        <v>-15</v>
      </c>
      <c r="AI334" s="72">
        <v>-12</v>
      </c>
      <c r="AJ334" s="1176">
        <v>-14</v>
      </c>
      <c r="AK334" s="72">
        <v>-12</v>
      </c>
      <c r="AL334" s="72">
        <v>-15</v>
      </c>
      <c r="AM334" s="747">
        <v>-15</v>
      </c>
      <c r="AN334" s="1176">
        <v>-12</v>
      </c>
      <c r="AO334" s="72">
        <v>-8</v>
      </c>
      <c r="AP334" s="72">
        <v>-15</v>
      </c>
      <c r="AQ334" s="1823">
        <v>-15</v>
      </c>
      <c r="AR334" s="1158"/>
      <c r="AS334" s="747"/>
      <c r="AT334" s="747"/>
      <c r="AU334" s="909"/>
      <c r="AV334" s="1158"/>
      <c r="AW334" s="747"/>
      <c r="AX334" s="747"/>
      <c r="AY334" s="909"/>
      <c r="AZ334" s="115"/>
      <c r="BA334" s="1129"/>
      <c r="BB334" s="359"/>
      <c r="BC334" s="341">
        <f>SUM(L334:O334)</f>
        <v>-61</v>
      </c>
      <c r="BD334" s="341">
        <f>SUM(P334:S334)</f>
        <v>-54</v>
      </c>
      <c r="BE334" s="341">
        <f>SUM(T334:W334)</f>
        <v>-57</v>
      </c>
      <c r="BF334" s="939">
        <f>SUM(X334:AA334)</f>
        <v>-52</v>
      </c>
      <c r="BG334" s="939">
        <f>SUM(AB334:AE334)</f>
        <v>-59</v>
      </c>
      <c r="BH334" s="877"/>
      <c r="BI334" s="1157"/>
      <c r="BJ334" s="877"/>
      <c r="BK334" s="877"/>
      <c r="BL334" s="877"/>
      <c r="BM334" s="877"/>
      <c r="BN334" s="877"/>
      <c r="BO334" s="352"/>
    </row>
    <row r="335" spans="1:67" s="353" customFormat="1" ht="14.25" hidden="1" customHeight="1" outlineLevel="2">
      <c r="A335" s="6"/>
      <c r="B335" s="438" t="s">
        <v>349</v>
      </c>
      <c r="C335" s="383"/>
      <c r="D335" s="354"/>
      <c r="E335" s="354"/>
      <c r="F335" s="354"/>
      <c r="G335" s="355"/>
      <c r="H335" s="356"/>
      <c r="I335" s="356"/>
      <c r="J335" s="357"/>
      <c r="K335" s="358"/>
      <c r="L335" s="362">
        <v>0</v>
      </c>
      <c r="M335" s="342">
        <v>-1</v>
      </c>
      <c r="N335" s="342">
        <v>-2</v>
      </c>
      <c r="O335" s="343">
        <v>-6</v>
      </c>
      <c r="P335" s="72">
        <v>2</v>
      </c>
      <c r="Q335" s="72">
        <v>-1</v>
      </c>
      <c r="R335" s="72">
        <v>-1</v>
      </c>
      <c r="S335" s="73">
        <v>-1</v>
      </c>
      <c r="T335" s="72">
        <v>0</v>
      </c>
      <c r="U335" s="72">
        <v>-1</v>
      </c>
      <c r="V335" s="72">
        <v>0</v>
      </c>
      <c r="W335" s="73">
        <v>-5</v>
      </c>
      <c r="X335" s="72">
        <v>0</v>
      </c>
      <c r="Y335" s="72">
        <v>0</v>
      </c>
      <c r="Z335" s="747">
        <v>0</v>
      </c>
      <c r="AA335" s="72">
        <v>-19</v>
      </c>
      <c r="AB335" s="1176">
        <v>-1</v>
      </c>
      <c r="AC335" s="72">
        <v>5</v>
      </c>
      <c r="AD335" s="72">
        <v>-2</v>
      </c>
      <c r="AE335" s="73">
        <v>-18</v>
      </c>
      <c r="AF335" s="1176">
        <v>-15</v>
      </c>
      <c r="AG335" s="72">
        <v>-9</v>
      </c>
      <c r="AH335" s="72">
        <v>-7</v>
      </c>
      <c r="AI335" s="72">
        <v>-6</v>
      </c>
      <c r="AJ335" s="1176">
        <v>0</v>
      </c>
      <c r="AK335" s="72">
        <v>-1</v>
      </c>
      <c r="AL335" s="72">
        <v>-7</v>
      </c>
      <c r="AM335" s="747">
        <v>-7</v>
      </c>
      <c r="AN335" s="1176">
        <v>-1</v>
      </c>
      <c r="AO335" s="72">
        <v>0</v>
      </c>
      <c r="AP335" s="72">
        <v>-7</v>
      </c>
      <c r="AQ335" s="1823">
        <v>-7</v>
      </c>
      <c r="AR335" s="1158"/>
      <c r="AS335" s="747"/>
      <c r="AT335" s="747"/>
      <c r="AU335" s="909"/>
      <c r="AV335" s="1158"/>
      <c r="AW335" s="747"/>
      <c r="AX335" s="747"/>
      <c r="AY335" s="909"/>
      <c r="AZ335" s="115"/>
      <c r="BA335" s="1129"/>
      <c r="BB335" s="359"/>
      <c r="BC335" s="341">
        <f>SUM(L335:O335)</f>
        <v>-9</v>
      </c>
      <c r="BD335" s="341">
        <f>SUM(P335:S335)</f>
        <v>-1</v>
      </c>
      <c r="BE335" s="341">
        <f>SUM(T335:W335)</f>
        <v>-6</v>
      </c>
      <c r="BF335" s="939">
        <f>SUM(X335:AA335)</f>
        <v>-19</v>
      </c>
      <c r="BG335" s="939">
        <f>SUM(AB335:AE335)</f>
        <v>-16</v>
      </c>
      <c r="BH335" s="877"/>
      <c r="BI335" s="1157"/>
      <c r="BJ335" s="877"/>
      <c r="BK335" s="877"/>
      <c r="BL335" s="877"/>
      <c r="BM335" s="877"/>
      <c r="BN335" s="877"/>
      <c r="BO335" s="352"/>
    </row>
    <row r="336" spans="1:67" s="353" customFormat="1" ht="14.25" hidden="1" customHeight="1" outlineLevel="2">
      <c r="A336" s="6"/>
      <c r="B336" s="438" t="s">
        <v>502</v>
      </c>
      <c r="C336" s="383"/>
      <c r="D336" s="354"/>
      <c r="E336" s="354"/>
      <c r="F336" s="354"/>
      <c r="G336" s="355"/>
      <c r="H336" s="356"/>
      <c r="I336" s="356"/>
      <c r="J336" s="357"/>
      <c r="K336" s="358"/>
      <c r="L336" s="362"/>
      <c r="M336" s="342"/>
      <c r="N336" s="342"/>
      <c r="O336" s="343"/>
      <c r="P336" s="72"/>
      <c r="Q336" s="72"/>
      <c r="R336" s="72"/>
      <c r="S336" s="73"/>
      <c r="T336" s="72"/>
      <c r="U336" s="72"/>
      <c r="V336" s="72"/>
      <c r="W336" s="73"/>
      <c r="X336" s="72"/>
      <c r="Y336" s="72"/>
      <c r="Z336" s="747"/>
      <c r="AA336" s="72"/>
      <c r="AB336" s="1176">
        <v>-4</v>
      </c>
      <c r="AC336" s="72">
        <v>-4</v>
      </c>
      <c r="AD336" s="72">
        <v>-4</v>
      </c>
      <c r="AE336" s="73">
        <v>-7</v>
      </c>
      <c r="AF336" s="1176">
        <v>-6</v>
      </c>
      <c r="AG336" s="72">
        <v>-8</v>
      </c>
      <c r="AH336" s="72">
        <v>-8</v>
      </c>
      <c r="AI336" s="72">
        <v>-7</v>
      </c>
      <c r="AJ336" s="1176">
        <v>-7</v>
      </c>
      <c r="AK336" s="72">
        <v>-7</v>
      </c>
      <c r="AL336" s="72">
        <v>-8</v>
      </c>
      <c r="AM336" s="747">
        <v>-8</v>
      </c>
      <c r="AN336" s="1176">
        <v>-7</v>
      </c>
      <c r="AO336" s="72">
        <v>-6</v>
      </c>
      <c r="AP336" s="72">
        <v>-8</v>
      </c>
      <c r="AQ336" s="1823">
        <v>-8</v>
      </c>
      <c r="AR336" s="1158"/>
      <c r="AS336" s="747"/>
      <c r="AT336" s="747"/>
      <c r="AU336" s="909"/>
      <c r="AV336" s="1158"/>
      <c r="AW336" s="747"/>
      <c r="AX336" s="747"/>
      <c r="AY336" s="909"/>
      <c r="AZ336" s="115"/>
      <c r="BA336" s="1129"/>
      <c r="BB336" s="359"/>
      <c r="BC336" s="341"/>
      <c r="BD336" s="341"/>
      <c r="BE336" s="341"/>
      <c r="BF336" s="939"/>
      <c r="BG336" s="939"/>
      <c r="BH336" s="877"/>
      <c r="BI336" s="1157"/>
      <c r="BJ336" s="877"/>
      <c r="BK336" s="877"/>
      <c r="BL336" s="877"/>
      <c r="BM336" s="877"/>
      <c r="BN336" s="877"/>
      <c r="BO336" s="352"/>
    </row>
    <row r="337" spans="1:67" s="353" customFormat="1" ht="14.25" hidden="1" customHeight="1" outlineLevel="2">
      <c r="A337" s="6"/>
      <c r="B337" s="438" t="s">
        <v>350</v>
      </c>
      <c r="C337" s="383"/>
      <c r="D337" s="354"/>
      <c r="E337" s="354"/>
      <c r="F337" s="354"/>
      <c r="G337" s="355"/>
      <c r="H337" s="356"/>
      <c r="I337" s="356"/>
      <c r="J337" s="357"/>
      <c r="K337" s="358"/>
      <c r="L337" s="362">
        <v>-1</v>
      </c>
      <c r="M337" s="342">
        <v>-1</v>
      </c>
      <c r="N337" s="342">
        <v>-4</v>
      </c>
      <c r="O337" s="343">
        <v>0</v>
      </c>
      <c r="P337" s="72">
        <v>-1</v>
      </c>
      <c r="Q337" s="72">
        <v>0</v>
      </c>
      <c r="R337" s="72">
        <v>0</v>
      </c>
      <c r="S337" s="73">
        <v>0</v>
      </c>
      <c r="T337" s="72">
        <v>0</v>
      </c>
      <c r="U337" s="72">
        <v>0</v>
      </c>
      <c r="V337" s="72">
        <v>1</v>
      </c>
      <c r="W337" s="73">
        <v>-1</v>
      </c>
      <c r="X337" s="72">
        <v>0</v>
      </c>
      <c r="Y337" s="72">
        <v>-1</v>
      </c>
      <c r="Z337" s="747">
        <v>2</v>
      </c>
      <c r="AA337" s="72">
        <v>0</v>
      </c>
      <c r="AB337" s="1176">
        <v>-1</v>
      </c>
      <c r="AC337" s="72">
        <v>-3</v>
      </c>
      <c r="AD337" s="72">
        <v>-2</v>
      </c>
      <c r="AE337" s="73">
        <v>-6</v>
      </c>
      <c r="AF337" s="1176">
        <v>-5</v>
      </c>
      <c r="AG337" s="72">
        <v>-1</v>
      </c>
      <c r="AH337" s="72">
        <v>-1</v>
      </c>
      <c r="AI337" s="72">
        <v>-3</v>
      </c>
      <c r="AJ337" s="1176">
        <v>-1</v>
      </c>
      <c r="AK337" s="72">
        <v>-2</v>
      </c>
      <c r="AL337" s="72">
        <v>-1</v>
      </c>
      <c r="AM337" s="747">
        <v>-1</v>
      </c>
      <c r="AN337" s="1176">
        <v>0</v>
      </c>
      <c r="AO337" s="72">
        <v>-3</v>
      </c>
      <c r="AP337" s="72">
        <v>-1</v>
      </c>
      <c r="AQ337" s="1823">
        <v>-1</v>
      </c>
      <c r="AR337" s="1158"/>
      <c r="AS337" s="747"/>
      <c r="AT337" s="747"/>
      <c r="AU337" s="909"/>
      <c r="AV337" s="1158"/>
      <c r="AW337" s="747"/>
      <c r="AX337" s="747"/>
      <c r="AY337" s="909"/>
      <c r="AZ337" s="115"/>
      <c r="BA337" s="1129"/>
      <c r="BB337" s="359"/>
      <c r="BC337" s="341">
        <f>SUM(L337:O337)</f>
        <v>-6</v>
      </c>
      <c r="BD337" s="341">
        <f>SUM(P337:S337)</f>
        <v>-1</v>
      </c>
      <c r="BE337" s="341">
        <f>SUM(T337:W337)</f>
        <v>0</v>
      </c>
      <c r="BF337" s="939">
        <f>SUM(X337:AA337)</f>
        <v>1</v>
      </c>
      <c r="BG337" s="939">
        <f>SUM(AB337:AE337)</f>
        <v>-12</v>
      </c>
      <c r="BH337" s="877"/>
      <c r="BI337" s="1157"/>
      <c r="BJ337" s="877"/>
      <c r="BK337" s="877"/>
      <c r="BL337" s="877"/>
      <c r="BM337" s="877"/>
      <c r="BN337" s="877"/>
      <c r="BO337" s="352"/>
    </row>
    <row r="338" spans="1:67" s="353" customFormat="1" ht="14.25" hidden="1" customHeight="1" outlineLevel="2">
      <c r="A338" s="6"/>
      <c r="B338" s="438" t="s">
        <v>351</v>
      </c>
      <c r="C338" s="383"/>
      <c r="D338" s="354"/>
      <c r="E338" s="354"/>
      <c r="F338" s="354"/>
      <c r="G338" s="355"/>
      <c r="H338" s="356"/>
      <c r="I338" s="356"/>
      <c r="J338" s="357"/>
      <c r="K338" s="358"/>
      <c r="L338" s="362">
        <v>0</v>
      </c>
      <c r="M338" s="342">
        <v>0</v>
      </c>
      <c r="N338" s="342">
        <v>0</v>
      </c>
      <c r="O338" s="343">
        <v>0</v>
      </c>
      <c r="P338" s="72">
        <v>0</v>
      </c>
      <c r="Q338" s="72">
        <v>0</v>
      </c>
      <c r="R338" s="72">
        <v>0</v>
      </c>
      <c r="S338" s="73">
        <v>0</v>
      </c>
      <c r="T338" s="72">
        <v>0</v>
      </c>
      <c r="U338" s="72">
        <v>0</v>
      </c>
      <c r="V338" s="72">
        <v>0</v>
      </c>
      <c r="W338" s="73">
        <v>0</v>
      </c>
      <c r="X338" s="72">
        <v>0</v>
      </c>
      <c r="Y338" s="72">
        <v>0</v>
      </c>
      <c r="Z338" s="747">
        <v>0</v>
      </c>
      <c r="AA338" s="72">
        <v>0</v>
      </c>
      <c r="AB338" s="1176">
        <v>0</v>
      </c>
      <c r="AC338" s="72">
        <v>0</v>
      </c>
      <c r="AD338" s="72">
        <v>0</v>
      </c>
      <c r="AE338" s="73">
        <v>0</v>
      </c>
      <c r="AF338" s="1176">
        <v>0</v>
      </c>
      <c r="AG338" s="72">
        <v>0</v>
      </c>
      <c r="AH338" s="72">
        <v>0</v>
      </c>
      <c r="AI338" s="72">
        <v>0</v>
      </c>
      <c r="AJ338" s="1176">
        <v>0</v>
      </c>
      <c r="AK338" s="72">
        <v>0</v>
      </c>
      <c r="AL338" s="72">
        <v>0</v>
      </c>
      <c r="AM338" s="747">
        <v>0</v>
      </c>
      <c r="AN338" s="1176">
        <v>0</v>
      </c>
      <c r="AO338" s="72">
        <v>0</v>
      </c>
      <c r="AP338" s="72">
        <v>0</v>
      </c>
      <c r="AQ338" s="1823">
        <v>0</v>
      </c>
      <c r="AR338" s="1158"/>
      <c r="AS338" s="747"/>
      <c r="AT338" s="747"/>
      <c r="AU338" s="909"/>
      <c r="AV338" s="1158"/>
      <c r="AW338" s="747"/>
      <c r="AX338" s="747"/>
      <c r="AY338" s="909"/>
      <c r="AZ338" s="115"/>
      <c r="BA338" s="1129"/>
      <c r="BB338" s="359"/>
      <c r="BC338" s="341">
        <f>SUM(L338:O338)</f>
        <v>0</v>
      </c>
      <c r="BD338" s="341">
        <f>SUM(P338:S338)</f>
        <v>0</v>
      </c>
      <c r="BE338" s="341">
        <f>SUM(T338:W338)</f>
        <v>0</v>
      </c>
      <c r="BF338" s="939">
        <f>SUM(X338:AA338)</f>
        <v>0</v>
      </c>
      <c r="BG338" s="939">
        <f>SUM(AB338:AE338)</f>
        <v>0</v>
      </c>
      <c r="BH338" s="877"/>
      <c r="BI338" s="1157"/>
      <c r="BJ338" s="877"/>
      <c r="BK338" s="877"/>
      <c r="BL338" s="877"/>
      <c r="BM338" s="877"/>
      <c r="BN338" s="877"/>
      <c r="BO338" s="352"/>
    </row>
    <row r="339" spans="1:67" s="363" customFormat="1" ht="14.25" hidden="1" customHeight="1" outlineLevel="1">
      <c r="B339" s="436" t="s">
        <v>356</v>
      </c>
      <c r="C339" s="351"/>
      <c r="D339" s="365"/>
      <c r="E339" s="348"/>
      <c r="F339" s="340"/>
      <c r="G339" s="351"/>
      <c r="H339" s="367"/>
      <c r="I339" s="340"/>
      <c r="J339" s="344"/>
      <c r="K339" s="345"/>
      <c r="L339" s="361">
        <f t="shared" ref="L339:AB339" si="627">L330-L333</f>
        <v>-45</v>
      </c>
      <c r="M339" s="340">
        <f t="shared" si="627"/>
        <v>-5</v>
      </c>
      <c r="N339" s="340">
        <f t="shared" si="627"/>
        <v>4</v>
      </c>
      <c r="O339" s="351">
        <f t="shared" si="627"/>
        <v>2</v>
      </c>
      <c r="P339" s="348">
        <f t="shared" si="627"/>
        <v>22</v>
      </c>
      <c r="Q339" s="348">
        <f t="shared" si="627"/>
        <v>29</v>
      </c>
      <c r="R339" s="348">
        <f t="shared" si="627"/>
        <v>44</v>
      </c>
      <c r="S339" s="349">
        <f t="shared" si="627"/>
        <v>52</v>
      </c>
      <c r="T339" s="348">
        <f t="shared" si="627"/>
        <v>49</v>
      </c>
      <c r="U339" s="348">
        <f t="shared" si="627"/>
        <v>63</v>
      </c>
      <c r="V339" s="348">
        <f t="shared" si="627"/>
        <v>55</v>
      </c>
      <c r="W339" s="349">
        <f t="shared" si="627"/>
        <v>37</v>
      </c>
      <c r="X339" s="348">
        <f t="shared" si="627"/>
        <v>22</v>
      </c>
      <c r="Y339" s="348">
        <f t="shared" si="627"/>
        <v>32</v>
      </c>
      <c r="Z339" s="348">
        <f t="shared" si="627"/>
        <v>33</v>
      </c>
      <c r="AA339" s="348">
        <f t="shared" si="627"/>
        <v>20</v>
      </c>
      <c r="AB339" s="949">
        <f t="shared" si="627"/>
        <v>28</v>
      </c>
      <c r="AC339" s="348">
        <f t="shared" ref="AC339:AH339" si="628">AC330-AC333</f>
        <v>26</v>
      </c>
      <c r="AD339" s="348">
        <f t="shared" si="628"/>
        <v>43</v>
      </c>
      <c r="AE339" s="349">
        <f t="shared" si="628"/>
        <v>48</v>
      </c>
      <c r="AF339" s="949">
        <f t="shared" si="628"/>
        <v>53</v>
      </c>
      <c r="AG339" s="348">
        <f t="shared" si="628"/>
        <v>63</v>
      </c>
      <c r="AH339" s="348">
        <f t="shared" si="628"/>
        <v>69</v>
      </c>
      <c r="AI339" s="348">
        <f>AI330-AI333</f>
        <v>69</v>
      </c>
      <c r="AJ339" s="949">
        <f>AJ330-AJ333</f>
        <v>74</v>
      </c>
      <c r="AK339" s="348">
        <f>AK330-AK333</f>
        <v>75</v>
      </c>
      <c r="AL339" s="348">
        <f t="shared" ref="AL339:AM339" si="629">AL330-AL333</f>
        <v>69</v>
      </c>
      <c r="AM339" s="348">
        <f t="shared" si="629"/>
        <v>69</v>
      </c>
      <c r="AN339" s="949">
        <f>AN330-AN333</f>
        <v>59</v>
      </c>
      <c r="AO339" s="348">
        <f>AO330-AO333</f>
        <v>69</v>
      </c>
      <c r="AP339" s="348">
        <f t="shared" ref="AP339:AQ339" si="630">AP330-AP333</f>
        <v>69</v>
      </c>
      <c r="AQ339" s="348">
        <f t="shared" si="630"/>
        <v>69</v>
      </c>
      <c r="AR339" s="923"/>
      <c r="AS339" s="348"/>
      <c r="AT339" s="348"/>
      <c r="AU339" s="349"/>
      <c r="AV339" s="923"/>
      <c r="AW339" s="348"/>
      <c r="AX339" s="348"/>
      <c r="AY339" s="349"/>
      <c r="AZ339" s="1901"/>
      <c r="BA339" s="361"/>
      <c r="BB339" s="340"/>
      <c r="BC339" s="340">
        <f>BC330-BC333</f>
        <v>-44</v>
      </c>
      <c r="BD339" s="340">
        <f>BD330-BD333</f>
        <v>147</v>
      </c>
      <c r="BE339" s="340">
        <f>BE330-BE333</f>
        <v>204</v>
      </c>
      <c r="BF339" s="361">
        <f>BF330-BF333</f>
        <v>107</v>
      </c>
      <c r="BG339" s="361">
        <f>BG330-BG333</f>
        <v>145</v>
      </c>
      <c r="BH339" s="348"/>
      <c r="BI339" s="923"/>
      <c r="BJ339" s="348"/>
      <c r="BK339" s="348"/>
      <c r="BL339" s="348"/>
      <c r="BM339" s="348"/>
      <c r="BN339" s="348"/>
      <c r="BO339" s="364"/>
    </row>
    <row r="340" spans="1:67" ht="14.25" hidden="1" customHeight="1" outlineLevel="1">
      <c r="A340" s="1"/>
      <c r="B340" s="451" t="s">
        <v>512</v>
      </c>
      <c r="C340" s="34"/>
      <c r="D340" s="269"/>
      <c r="E340" s="269"/>
      <c r="F340" s="300"/>
      <c r="G340" s="301"/>
      <c r="H340" s="269"/>
      <c r="I340" s="300"/>
      <c r="J340" s="300"/>
      <c r="K340" s="301"/>
      <c r="L340" s="300">
        <f>L339/L$252</f>
        <v>-0.47872340425531917</v>
      </c>
      <c r="M340" s="300">
        <f t="shared" ref="M340:AE340" si="631">M339/M$252</f>
        <v>-3.937007874015748E-2</v>
      </c>
      <c r="N340" s="300">
        <f t="shared" si="631"/>
        <v>2.4539877300613498E-2</v>
      </c>
      <c r="O340" s="301">
        <f t="shared" si="631"/>
        <v>1.092896174863388E-2</v>
      </c>
      <c r="P340" s="300">
        <f t="shared" si="631"/>
        <v>0.11055276381909548</v>
      </c>
      <c r="Q340" s="300">
        <f t="shared" si="631"/>
        <v>0.14009661835748793</v>
      </c>
      <c r="R340" s="300">
        <f t="shared" si="631"/>
        <v>0.19909502262443438</v>
      </c>
      <c r="S340" s="301">
        <f t="shared" si="631"/>
        <v>0.23529411764705882</v>
      </c>
      <c r="T340" s="300">
        <f t="shared" si="631"/>
        <v>0.20675105485232068</v>
      </c>
      <c r="U340" s="300">
        <f t="shared" si="631"/>
        <v>0.25609756097560976</v>
      </c>
      <c r="V340" s="269">
        <f>V339/V$252</f>
        <v>0.22540983606557377</v>
      </c>
      <c r="W340" s="301">
        <f>W339/W$252</f>
        <v>0.18686868686868688</v>
      </c>
      <c r="X340" s="300">
        <f>X339/X$252</f>
        <v>0.10891089108910891</v>
      </c>
      <c r="Y340" s="300">
        <f>Y339/Y$252</f>
        <v>0.14611872146118721</v>
      </c>
      <c r="Z340" s="300">
        <f t="shared" si="631"/>
        <v>0.15492957746478872</v>
      </c>
      <c r="AA340" s="256">
        <f t="shared" si="631"/>
        <v>0.10101010101010101</v>
      </c>
      <c r="AB340" s="1266">
        <f t="shared" si="631"/>
        <v>0.14546902718945728</v>
      </c>
      <c r="AC340" s="256">
        <f t="shared" si="631"/>
        <v>0.13411697041590279</v>
      </c>
      <c r="AD340" s="256">
        <f t="shared" si="631"/>
        <v>0.21418653892880693</v>
      </c>
      <c r="AE340" s="301">
        <f t="shared" si="631"/>
        <v>0.23665223665223661</v>
      </c>
      <c r="AF340" s="1266">
        <f t="shared" ref="AF340:AK340" si="632">AF339/AF$252</f>
        <v>0.2604177366889231</v>
      </c>
      <c r="AG340" s="256">
        <f t="shared" si="632"/>
        <v>0.2889815880322209</v>
      </c>
      <c r="AH340" s="256">
        <f t="shared" si="632"/>
        <v>0.30034580034580033</v>
      </c>
      <c r="AI340" s="256">
        <f t="shared" si="632"/>
        <v>0.3021605785956239</v>
      </c>
      <c r="AJ340" s="1266">
        <f t="shared" si="632"/>
        <v>0.33208243424961692</v>
      </c>
      <c r="AK340" s="256">
        <f t="shared" si="632"/>
        <v>0.33761528326745716</v>
      </c>
      <c r="AL340" s="256">
        <f t="shared" ref="AL340:AO340" si="633">AL339/AL$252</f>
        <v>0.30773892773892769</v>
      </c>
      <c r="AM340" s="1575">
        <f t="shared" si="633"/>
        <v>0.36905959968690588</v>
      </c>
      <c r="AN340" s="1266">
        <f t="shared" si="633"/>
        <v>0.31211752562117523</v>
      </c>
      <c r="AO340" s="1715">
        <f t="shared" si="633"/>
        <v>0.33008300830083004</v>
      </c>
      <c r="AP340" s="1715">
        <f t="shared" ref="AP340:AQ340" si="634">AP339/AP$252</f>
        <v>0.3125473484848485</v>
      </c>
      <c r="AQ340" s="1715">
        <f t="shared" si="634"/>
        <v>0.30964443193545366</v>
      </c>
      <c r="AR340" s="1515"/>
      <c r="AS340" s="1516"/>
      <c r="AT340" s="1516"/>
      <c r="AU340" s="1517"/>
      <c r="AV340" s="1515"/>
      <c r="AW340" s="1516"/>
      <c r="AX340" s="1516"/>
      <c r="AY340" s="1517"/>
      <c r="AZ340" s="20"/>
      <c r="BA340" s="652"/>
      <c r="BB340" s="317"/>
      <c r="BC340" s="256">
        <f>BC339/BC$252</f>
        <v>-7.7601410934744264E-2</v>
      </c>
      <c r="BD340" s="256">
        <f>BD339/BD$252</f>
        <v>0.17334905660377359</v>
      </c>
      <c r="BE340" s="256">
        <f>BE339/BE$252</f>
        <v>0.22054054054054054</v>
      </c>
      <c r="BF340" s="255">
        <f>BF339/BF$252</f>
        <v>0.12860576923076922</v>
      </c>
      <c r="BG340" s="1515">
        <f>BG339/BG$252</f>
        <v>0.18356049578757</v>
      </c>
      <c r="BH340" s="1506"/>
      <c r="BI340" s="1607"/>
      <c r="BJ340" s="1603"/>
      <c r="BK340" s="1603"/>
      <c r="BL340" s="1806"/>
      <c r="BM340" s="1806"/>
      <c r="BN340" s="1806"/>
      <c r="BO340" s="299"/>
    </row>
    <row r="341" spans="1:67" s="591" customFormat="1" ht="14.25" hidden="1" customHeight="1" outlineLevel="1">
      <c r="B341" s="943" t="s">
        <v>233</v>
      </c>
      <c r="C341" s="944"/>
      <c r="D341" s="531"/>
      <c r="E341" s="531"/>
      <c r="F341" s="480"/>
      <c r="G341" s="530"/>
      <c r="H341" s="531"/>
      <c r="I341" s="480"/>
      <c r="J341" s="480"/>
      <c r="K341" s="530"/>
      <c r="L341" s="480">
        <f t="shared" ref="L341:AA341" si="635">+L323-L339</f>
        <v>30</v>
      </c>
      <c r="M341" s="480">
        <f t="shared" si="635"/>
        <v>29</v>
      </c>
      <c r="N341" s="480">
        <f t="shared" si="635"/>
        <v>31</v>
      </c>
      <c r="O341" s="530">
        <f t="shared" si="635"/>
        <v>42</v>
      </c>
      <c r="P341" s="480">
        <f t="shared" si="635"/>
        <v>32</v>
      </c>
      <c r="Q341" s="480">
        <f t="shared" si="635"/>
        <v>35</v>
      </c>
      <c r="R341" s="480">
        <f t="shared" si="635"/>
        <v>35</v>
      </c>
      <c r="S341" s="530">
        <f t="shared" si="635"/>
        <v>33</v>
      </c>
      <c r="T341" s="480">
        <f t="shared" si="635"/>
        <v>38</v>
      </c>
      <c r="U341" s="480">
        <f t="shared" si="635"/>
        <v>30</v>
      </c>
      <c r="V341" s="531">
        <f t="shared" si="635"/>
        <v>35</v>
      </c>
      <c r="W341" s="530">
        <f t="shared" si="635"/>
        <v>35</v>
      </c>
      <c r="X341" s="480">
        <f t="shared" si="635"/>
        <v>37</v>
      </c>
      <c r="Y341" s="480">
        <f t="shared" si="635"/>
        <v>35</v>
      </c>
      <c r="Z341" s="480">
        <f t="shared" si="635"/>
        <v>40</v>
      </c>
      <c r="AA341" s="795">
        <f t="shared" si="635"/>
        <v>36</v>
      </c>
      <c r="AB341" s="1279"/>
      <c r="AC341" s="795"/>
      <c r="AD341" s="795"/>
      <c r="AE341" s="530">
        <f>+AE323-AE339</f>
        <v>44</v>
      </c>
      <c r="AF341" s="1279"/>
      <c r="AG341" s="795"/>
      <c r="AH341" s="795"/>
      <c r="AI341" s="795"/>
      <c r="AJ341" s="1279"/>
      <c r="AK341" s="795"/>
      <c r="AL341" s="795"/>
      <c r="AM341" s="795"/>
      <c r="AN341" s="1279"/>
      <c r="AO341" s="795"/>
      <c r="AP341" s="795"/>
      <c r="AQ341" s="795"/>
      <c r="AR341" s="1104"/>
      <c r="AS341" s="795"/>
      <c r="AT341" s="795"/>
      <c r="AU341" s="530"/>
      <c r="AV341" s="1104"/>
      <c r="AW341" s="795"/>
      <c r="AX341" s="795"/>
      <c r="AY341" s="530"/>
      <c r="AZ341" s="1927"/>
      <c r="BA341" s="1104"/>
      <c r="BB341" s="795"/>
      <c r="BC341" s="795">
        <f>SUM(L341:O341)</f>
        <v>132</v>
      </c>
      <c r="BD341" s="795">
        <f>SUM(P341:S341)</f>
        <v>135</v>
      </c>
      <c r="BE341" s="795">
        <f>SUM(T341:W341)</f>
        <v>138</v>
      </c>
      <c r="BF341" s="1104">
        <f>SUM(X341:AA341)</f>
        <v>148</v>
      </c>
      <c r="BG341" s="1104">
        <f>SUM(AB341:AE341)</f>
        <v>44</v>
      </c>
      <c r="BH341" s="1121"/>
      <c r="BI341" s="1180"/>
      <c r="BJ341" s="1121"/>
      <c r="BK341" s="1121"/>
      <c r="BL341" s="1121"/>
      <c r="BM341" s="1121"/>
      <c r="BN341" s="1121"/>
      <c r="BO341" s="1932"/>
    </row>
    <row r="342" spans="1:67" ht="14.25" hidden="1" customHeight="1" outlineLevel="1">
      <c r="A342" s="1"/>
      <c r="B342" s="451" t="s">
        <v>240</v>
      </c>
      <c r="C342" s="34"/>
      <c r="D342" s="269"/>
      <c r="E342" s="269"/>
      <c r="F342" s="300"/>
      <c r="G342" s="301"/>
      <c r="H342" s="269"/>
      <c r="I342" s="300"/>
      <c r="J342" s="300"/>
      <c r="K342" s="301"/>
      <c r="L342" s="961"/>
      <c r="M342" s="961"/>
      <c r="N342" s="961"/>
      <c r="O342" s="962"/>
      <c r="P342" s="961">
        <v>1.3827448111111111</v>
      </c>
      <c r="Q342" s="961">
        <v>1.2729250015384614</v>
      </c>
      <c r="R342" s="961">
        <v>1.2928556166666665</v>
      </c>
      <c r="S342" s="962">
        <v>1.3575457727272731</v>
      </c>
      <c r="T342" s="961">
        <v>1.3691401984375</v>
      </c>
      <c r="U342" s="961">
        <v>1.439557256923077</v>
      </c>
      <c r="V342" s="961">
        <v>1.4121048500000002</v>
      </c>
      <c r="W342" s="962">
        <v>1.3472326323076924</v>
      </c>
      <c r="X342" s="961">
        <v>1.3109626384615385</v>
      </c>
      <c r="Y342" s="961">
        <v>1.2828779723076924</v>
      </c>
      <c r="Z342" s="963">
        <v>1.2508319584615386</v>
      </c>
      <c r="AA342" s="1244">
        <v>1.2973996106060606</v>
      </c>
      <c r="AB342" s="1270">
        <v>1.3200836888888894</v>
      </c>
      <c r="AC342" s="1264">
        <v>1.3200836888888894</v>
      </c>
      <c r="AD342" s="1264">
        <v>1.3200836888888894</v>
      </c>
      <c r="AE342" s="1330">
        <v>1.3200836888888894</v>
      </c>
      <c r="AF342" s="1341">
        <v>1.3200836888888894</v>
      </c>
      <c r="AG342" s="1264">
        <v>1.3200836888888894</v>
      </c>
      <c r="AH342" s="1264">
        <v>1.3200836888888894</v>
      </c>
      <c r="AI342" s="1264">
        <v>1.3200836888888894</v>
      </c>
      <c r="AJ342" s="1341">
        <v>1.3200836888888894</v>
      </c>
      <c r="AK342" s="1264">
        <v>1.3200836888888894</v>
      </c>
      <c r="AL342" s="1264">
        <v>1.3200836888888894</v>
      </c>
      <c r="AM342" s="1573">
        <v>1.3200836888888894</v>
      </c>
      <c r="AN342" s="1341">
        <v>1.3200836888888894</v>
      </c>
      <c r="AO342" s="1264">
        <v>1.3200836888888894</v>
      </c>
      <c r="AP342" s="1264">
        <v>1.3200836888888894</v>
      </c>
      <c r="AQ342" s="1825">
        <v>1.3200836888888894</v>
      </c>
      <c r="AR342" s="159"/>
      <c r="AS342" s="1506"/>
      <c r="AT342" s="1506"/>
      <c r="AU342" s="91"/>
      <c r="AV342" s="159"/>
      <c r="AW342" s="1506"/>
      <c r="AX342" s="1506"/>
      <c r="AY342" s="91"/>
      <c r="AZ342" s="20"/>
      <c r="BA342" s="652"/>
      <c r="BB342" s="317"/>
      <c r="BC342" s="972" t="e">
        <f>AVERAGE(L342:O342)</f>
        <v>#DIV/0!</v>
      </c>
      <c r="BD342" s="972">
        <f>AVERAGE(P342:S342)</f>
        <v>1.326517800510878</v>
      </c>
      <c r="BE342" s="972">
        <f>AVERAGE(T342:W342)</f>
        <v>1.3920087344170675</v>
      </c>
      <c r="BF342" s="1217">
        <f>AVERAGE(X342:AA342)</f>
        <v>1.2855180449592074</v>
      </c>
      <c r="BG342" s="1515"/>
      <c r="BH342" s="1506"/>
      <c r="BI342" s="1607"/>
      <c r="BJ342" s="1603"/>
      <c r="BK342" s="1603"/>
      <c r="BL342" s="1806"/>
      <c r="BM342" s="1806"/>
      <c r="BN342" s="1806"/>
      <c r="BO342" s="299"/>
    </row>
    <row r="343" spans="1:67" ht="14.25" hidden="1" customHeight="1" outlineLevel="1">
      <c r="A343" s="1"/>
      <c r="B343" s="942" t="s">
        <v>242</v>
      </c>
      <c r="C343" s="965"/>
      <c r="D343" s="966"/>
      <c r="E343" s="966"/>
      <c r="F343" s="967"/>
      <c r="G343" s="968"/>
      <c r="H343" s="966"/>
      <c r="I343" s="967"/>
      <c r="J343" s="967"/>
      <c r="K343" s="968"/>
      <c r="L343" s="967"/>
      <c r="M343" s="480"/>
      <c r="N343" s="480"/>
      <c r="O343" s="530"/>
      <c r="P343" s="480"/>
      <c r="Q343" s="480">
        <f t="shared" ref="Q343:AA343" si="636">+(P342-Q342)/P342*P341*0.65</f>
        <v>1.6519693444198082</v>
      </c>
      <c r="R343" s="480">
        <f t="shared" si="636"/>
        <v>-0.35620440608728554</v>
      </c>
      <c r="S343" s="530">
        <f t="shared" si="636"/>
        <v>-1.1383336479391608</v>
      </c>
      <c r="T343" s="480">
        <f t="shared" si="636"/>
        <v>-0.18319856057946068</v>
      </c>
      <c r="U343" s="480">
        <f t="shared" si="636"/>
        <v>-1.2703602936928517</v>
      </c>
      <c r="V343" s="531">
        <f t="shared" si="636"/>
        <v>0.37186567774608709</v>
      </c>
      <c r="W343" s="530">
        <f t="shared" si="636"/>
        <v>1.0451369475149115</v>
      </c>
      <c r="X343" s="480">
        <f t="shared" si="636"/>
        <v>0.61247207068210974</v>
      </c>
      <c r="Y343" s="480">
        <f t="shared" si="636"/>
        <v>0.51522156405055675</v>
      </c>
      <c r="Z343" s="480">
        <f t="shared" si="636"/>
        <v>0.56829007180516178</v>
      </c>
      <c r="AA343" s="795">
        <f t="shared" si="636"/>
        <v>-0.96796292065222322</v>
      </c>
      <c r="AB343" s="1271"/>
      <c r="AC343" s="1160"/>
      <c r="AD343" s="1160"/>
      <c r="AE343" s="530"/>
      <c r="AF343" s="1159"/>
      <c r="AG343" s="1160"/>
      <c r="AH343" s="1160"/>
      <c r="AI343" s="1160"/>
      <c r="AJ343" s="1159"/>
      <c r="AK343" s="1160"/>
      <c r="AL343" s="1160"/>
      <c r="AM343" s="1160"/>
      <c r="AN343" s="1159"/>
      <c r="AO343" s="1160"/>
      <c r="AP343" s="1160"/>
      <c r="AQ343" s="1160"/>
      <c r="AR343" s="1159"/>
      <c r="AS343" s="1160"/>
      <c r="AT343" s="1160"/>
      <c r="AU343" s="969"/>
      <c r="AV343" s="1159"/>
      <c r="AW343" s="1160"/>
      <c r="AX343" s="1160"/>
      <c r="AY343" s="969"/>
      <c r="AZ343" s="1915"/>
      <c r="BA343" s="971"/>
      <c r="BB343" s="970"/>
      <c r="BC343" s="970"/>
      <c r="BD343" s="970"/>
      <c r="BE343" s="795">
        <f>+(BD342-BE342)/BD342*BD341*0.65</f>
        <v>-4.332267119261326</v>
      </c>
      <c r="BF343" s="1104">
        <f>+(BE342-BF342)/BE342*BE341*0.65</f>
        <v>6.8621802494437949</v>
      </c>
      <c r="BG343" s="1515"/>
      <c r="BH343" s="1506"/>
      <c r="BI343" s="1607"/>
      <c r="BJ343" s="1603"/>
      <c r="BK343" s="1603"/>
      <c r="BL343" s="1806"/>
      <c r="BM343" s="1806"/>
      <c r="BN343" s="1806"/>
      <c r="BO343" s="299"/>
    </row>
    <row r="344" spans="1:67" ht="14.25" hidden="1" customHeight="1" outlineLevel="1">
      <c r="A344" s="1"/>
      <c r="B344" s="942" t="s">
        <v>243</v>
      </c>
      <c r="C344" s="965"/>
      <c r="D344" s="966"/>
      <c r="E344" s="966"/>
      <c r="F344" s="967"/>
      <c r="G344" s="968"/>
      <c r="H344" s="966"/>
      <c r="I344" s="967"/>
      <c r="J344" s="967"/>
      <c r="K344" s="968"/>
      <c r="L344" s="967"/>
      <c r="M344" s="480"/>
      <c r="N344" s="480"/>
      <c r="O344" s="530"/>
      <c r="P344" s="480"/>
      <c r="Q344" s="480">
        <f t="shared" ref="Q344:AA344" si="637">+Q341-P341+Q343</f>
        <v>4.6519693444198085</v>
      </c>
      <c r="R344" s="480">
        <f t="shared" si="637"/>
        <v>-0.35620440608728554</v>
      </c>
      <c r="S344" s="530">
        <f t="shared" si="637"/>
        <v>-3.1383336479391608</v>
      </c>
      <c r="T344" s="480">
        <f t="shared" si="637"/>
        <v>4.816801439420539</v>
      </c>
      <c r="U344" s="480">
        <f t="shared" si="637"/>
        <v>-9.2703602936928515</v>
      </c>
      <c r="V344" s="531">
        <f t="shared" si="637"/>
        <v>5.3718656777460874</v>
      </c>
      <c r="W344" s="530">
        <f t="shared" si="637"/>
        <v>1.0451369475149115</v>
      </c>
      <c r="X344" s="480">
        <f t="shared" si="637"/>
        <v>2.6124720706821098</v>
      </c>
      <c r="Y344" s="480">
        <f t="shared" si="637"/>
        <v>-1.4847784359494431</v>
      </c>
      <c r="Z344" s="480">
        <f t="shared" si="637"/>
        <v>5.568290071805162</v>
      </c>
      <c r="AA344" s="795">
        <f t="shared" si="637"/>
        <v>-4.9679629206522229</v>
      </c>
      <c r="AB344" s="1271"/>
      <c r="AC344" s="1160"/>
      <c r="AD344" s="1160"/>
      <c r="AE344" s="530"/>
      <c r="AF344" s="1159"/>
      <c r="AG344" s="1160"/>
      <c r="AH344" s="1160"/>
      <c r="AI344" s="1160"/>
      <c r="AJ344" s="1159"/>
      <c r="AK344" s="1160"/>
      <c r="AL344" s="1160"/>
      <c r="AM344" s="1160"/>
      <c r="AN344" s="1159"/>
      <c r="AO344" s="1160"/>
      <c r="AP344" s="1160"/>
      <c r="AQ344" s="1160"/>
      <c r="AR344" s="1159"/>
      <c r="AS344" s="1160"/>
      <c r="AT344" s="1160"/>
      <c r="AU344" s="969"/>
      <c r="AV344" s="1159"/>
      <c r="AW344" s="1160"/>
      <c r="AX344" s="1160"/>
      <c r="AY344" s="969"/>
      <c r="AZ344" s="1915"/>
      <c r="BA344" s="971"/>
      <c r="BB344" s="970"/>
      <c r="BC344" s="970"/>
      <c r="BD344" s="970"/>
      <c r="BE344" s="795">
        <f>+BE341-BD341+BE343</f>
        <v>-1.332267119261326</v>
      </c>
      <c r="BF344" s="1104">
        <f>+BF341-BE341+BF343</f>
        <v>16.862180249443796</v>
      </c>
      <c r="BG344" s="1515"/>
      <c r="BH344" s="1506"/>
      <c r="BI344" s="1607"/>
      <c r="BJ344" s="1603"/>
      <c r="BK344" s="1603"/>
      <c r="BL344" s="1806"/>
      <c r="BM344" s="1806"/>
      <c r="BN344" s="1806"/>
      <c r="BO344" s="299"/>
    </row>
    <row r="345" spans="1:67" ht="14.25" hidden="1" customHeight="1" outlineLevel="1">
      <c r="A345" s="1"/>
      <c r="B345" s="974" t="s">
        <v>241</v>
      </c>
      <c r="C345" s="975"/>
      <c r="D345" s="953"/>
      <c r="E345" s="953"/>
      <c r="F345" s="951"/>
      <c r="G345" s="952"/>
      <c r="H345" s="953"/>
      <c r="I345" s="951"/>
      <c r="J345" s="951"/>
      <c r="K345" s="952"/>
      <c r="L345" s="951"/>
      <c r="M345" s="954"/>
      <c r="N345" s="954"/>
      <c r="O345" s="955"/>
      <c r="P345" s="954"/>
      <c r="Q345" s="318">
        <f t="shared" ref="Q345:AA345" si="638">+Q344/P341</f>
        <v>0.14537404201311901</v>
      </c>
      <c r="R345" s="318">
        <f t="shared" si="638"/>
        <v>-1.0177268745351015E-2</v>
      </c>
      <c r="S345" s="339">
        <f t="shared" si="638"/>
        <v>-8.9666675655404593E-2</v>
      </c>
      <c r="T345" s="318">
        <f t="shared" si="638"/>
        <v>0.14596367998244059</v>
      </c>
      <c r="U345" s="318">
        <f t="shared" si="638"/>
        <v>-0.24395684983402241</v>
      </c>
      <c r="V345" s="404">
        <f t="shared" si="638"/>
        <v>0.17906218925820291</v>
      </c>
      <c r="W345" s="339">
        <f t="shared" si="638"/>
        <v>2.9861055643283185E-2</v>
      </c>
      <c r="X345" s="318">
        <f t="shared" si="638"/>
        <v>7.4642059162345994E-2</v>
      </c>
      <c r="Y345" s="318">
        <f t="shared" si="638"/>
        <v>-4.0129146917552518E-2</v>
      </c>
      <c r="Z345" s="318">
        <f t="shared" si="638"/>
        <v>0.15909400205157606</v>
      </c>
      <c r="AA345" s="317">
        <f t="shared" si="638"/>
        <v>-0.12419907301630558</v>
      </c>
      <c r="AB345" s="1272"/>
      <c r="AC345" s="1162"/>
      <c r="AD345" s="1162"/>
      <c r="AE345" s="339"/>
      <c r="AF345" s="1161"/>
      <c r="AG345" s="1162"/>
      <c r="AH345" s="1162"/>
      <c r="AI345" s="1162"/>
      <c r="AJ345" s="1161"/>
      <c r="AK345" s="1162"/>
      <c r="AL345" s="1162"/>
      <c r="AM345" s="1162"/>
      <c r="AN345" s="1161"/>
      <c r="AO345" s="1162"/>
      <c r="AP345" s="1162"/>
      <c r="AQ345" s="1162"/>
      <c r="AR345" s="1161"/>
      <c r="AS345" s="1162"/>
      <c r="AT345" s="1162"/>
      <c r="AU345" s="976"/>
      <c r="AV345" s="1161"/>
      <c r="AW345" s="1162"/>
      <c r="AX345" s="1162"/>
      <c r="AY345" s="976"/>
      <c r="AZ345" s="1916"/>
      <c r="BA345" s="950"/>
      <c r="BB345" s="929"/>
      <c r="BC345" s="929"/>
      <c r="BD345" s="929"/>
      <c r="BE345" s="317">
        <f>+BE344/BD341</f>
        <v>-9.8686453278616741E-3</v>
      </c>
      <c r="BF345" s="652">
        <f>+BF344/BE341</f>
        <v>0.12218971195249127</v>
      </c>
      <c r="BG345" s="1515"/>
      <c r="BH345" s="1506"/>
      <c r="BI345" s="1607"/>
      <c r="BJ345" s="1603"/>
      <c r="BK345" s="1603"/>
      <c r="BL345" s="1806"/>
      <c r="BM345" s="1806"/>
      <c r="BN345" s="1806"/>
      <c r="BO345" s="299"/>
    </row>
    <row r="346" spans="1:67" ht="14.25" hidden="1" customHeight="1" outlineLevel="1">
      <c r="A346" s="1"/>
      <c r="B346" s="451"/>
      <c r="C346" s="34"/>
      <c r="D346" s="269"/>
      <c r="E346" s="269"/>
      <c r="F346" s="300"/>
      <c r="G346" s="301"/>
      <c r="H346" s="269"/>
      <c r="I346" s="300"/>
      <c r="J346" s="300"/>
      <c r="K346" s="301"/>
      <c r="L346" s="300"/>
      <c r="M346" s="300"/>
      <c r="N346" s="300"/>
      <c r="O346" s="301"/>
      <c r="P346" s="300"/>
      <c r="Q346" s="300"/>
      <c r="R346" s="300"/>
      <c r="S346" s="301"/>
      <c r="T346" s="300"/>
      <c r="U346" s="300"/>
      <c r="V346" s="269"/>
      <c r="W346" s="301"/>
      <c r="X346" s="300"/>
      <c r="Y346" s="300"/>
      <c r="Z346" s="300"/>
      <c r="AA346" s="256"/>
      <c r="AB346" s="159"/>
      <c r="AC346" s="256"/>
      <c r="AD346" s="256"/>
      <c r="AE346" s="301"/>
      <c r="AF346" s="255"/>
      <c r="AG346" s="256"/>
      <c r="AH346" s="256"/>
      <c r="AI346" s="256"/>
      <c r="AJ346" s="255"/>
      <c r="AK346" s="256"/>
      <c r="AL346" s="256"/>
      <c r="AM346" s="1575"/>
      <c r="AN346" s="1614"/>
      <c r="AO346" s="1715"/>
      <c r="AP346" s="1715"/>
      <c r="AQ346" s="1715"/>
      <c r="AR346" s="1515"/>
      <c r="AS346" s="1516"/>
      <c r="AT346" s="1516"/>
      <c r="AU346" s="1517"/>
      <c r="AV346" s="1515"/>
      <c r="AW346" s="1516"/>
      <c r="AX346" s="1516"/>
      <c r="AY346" s="1517"/>
      <c r="AZ346" s="20"/>
      <c r="BA346" s="652"/>
      <c r="BB346" s="317"/>
      <c r="BC346" s="256"/>
      <c r="BD346" s="256"/>
      <c r="BE346" s="256"/>
      <c r="BF346" s="255"/>
      <c r="BG346" s="1515"/>
      <c r="BH346" s="1506"/>
      <c r="BI346" s="1607"/>
      <c r="BJ346" s="1603"/>
      <c r="BK346" s="1603"/>
      <c r="BL346" s="1806"/>
      <c r="BM346" s="1806"/>
      <c r="BN346" s="1806"/>
      <c r="BO346" s="299"/>
    </row>
    <row r="347" spans="1:67" ht="14.25" hidden="1" customHeight="1" outlineLevel="1">
      <c r="A347" s="1"/>
      <c r="B347" s="451"/>
      <c r="C347" s="34"/>
      <c r="D347" s="269"/>
      <c r="E347" s="269"/>
      <c r="F347" s="300"/>
      <c r="G347" s="301"/>
      <c r="H347" s="269"/>
      <c r="I347" s="300"/>
      <c r="J347" s="300"/>
      <c r="K347" s="301"/>
      <c r="L347" s="300"/>
      <c r="M347" s="300"/>
      <c r="N347" s="300"/>
      <c r="O347" s="301"/>
      <c r="P347" s="300"/>
      <c r="Q347" s="300"/>
      <c r="R347" s="300"/>
      <c r="S347" s="301"/>
      <c r="T347" s="300"/>
      <c r="U347" s="300"/>
      <c r="V347" s="269"/>
      <c r="W347" s="301"/>
      <c r="X347" s="300"/>
      <c r="Y347" s="300"/>
      <c r="Z347" s="300"/>
      <c r="AA347" s="256"/>
      <c r="AB347" s="159"/>
      <c r="AC347" s="256"/>
      <c r="AD347" s="256"/>
      <c r="AE347" s="301"/>
      <c r="AF347" s="255"/>
      <c r="AG347" s="256"/>
      <c r="AH347" s="256"/>
      <c r="AI347" s="256"/>
      <c r="AJ347" s="255"/>
      <c r="AK347" s="256"/>
      <c r="AL347" s="256"/>
      <c r="AM347" s="1575"/>
      <c r="AN347" s="1614"/>
      <c r="AO347" s="1715"/>
      <c r="AP347" s="1715"/>
      <c r="AQ347" s="1715"/>
      <c r="AR347" s="1515"/>
      <c r="AS347" s="1516"/>
      <c r="AT347" s="1516"/>
      <c r="AU347" s="1517"/>
      <c r="AV347" s="1515"/>
      <c r="AW347" s="1516"/>
      <c r="AX347" s="1516"/>
      <c r="AY347" s="1517"/>
      <c r="AZ347" s="20"/>
      <c r="BA347" s="652"/>
      <c r="BB347" s="317"/>
      <c r="BC347" s="256"/>
      <c r="BD347" s="256"/>
      <c r="BE347" s="256"/>
      <c r="BF347" s="255"/>
      <c r="BG347" s="1515"/>
      <c r="BH347" s="1506"/>
      <c r="BI347" s="1607"/>
      <c r="BJ347" s="1603"/>
      <c r="BK347" s="1603"/>
      <c r="BL347" s="1806"/>
      <c r="BM347" s="1806"/>
      <c r="BN347" s="1806"/>
      <c r="BO347" s="299"/>
    </row>
    <row r="348" spans="1:67" ht="14.25" hidden="1" customHeight="1" outlineLevel="1">
      <c r="A348" s="1"/>
      <c r="B348" s="1025"/>
      <c r="C348" s="276"/>
      <c r="D348" s="399"/>
      <c r="E348" s="399"/>
      <c r="F348" s="399"/>
      <c r="G348" s="400"/>
      <c r="H348" s="257"/>
      <c r="I348" s="257"/>
      <c r="J348" s="277"/>
      <c r="K348" s="278"/>
      <c r="L348" s="277"/>
      <c r="M348" s="277"/>
      <c r="N348" s="277"/>
      <c r="O348" s="278"/>
      <c r="P348" s="277"/>
      <c r="Q348" s="277"/>
      <c r="R348" s="277"/>
      <c r="S348" s="278"/>
      <c r="T348" s="277"/>
      <c r="U348" s="277"/>
      <c r="V348" s="257"/>
      <c r="W348" s="278"/>
      <c r="X348" s="277"/>
      <c r="Y348" s="277"/>
      <c r="Z348" s="277"/>
      <c r="AA348" s="277"/>
      <c r="AB348" s="1045"/>
      <c r="AC348" s="277"/>
      <c r="AD348" s="277"/>
      <c r="AE348" s="278"/>
      <c r="AF348" s="279"/>
      <c r="AG348" s="277"/>
      <c r="AH348" s="277"/>
      <c r="AI348" s="277"/>
      <c r="AJ348" s="279"/>
      <c r="AK348" s="277"/>
      <c r="AL348" s="277"/>
      <c r="AM348" s="1577"/>
      <c r="AN348" s="1627"/>
      <c r="AO348" s="1625"/>
      <c r="AP348" s="1625"/>
      <c r="AQ348" s="1625"/>
      <c r="AR348" s="1512"/>
      <c r="AS348" s="1509"/>
      <c r="AT348" s="1509"/>
      <c r="AU348" s="1510"/>
      <c r="AV348" s="1512"/>
      <c r="AW348" s="1509"/>
      <c r="AX348" s="1509"/>
      <c r="AY348" s="1510"/>
      <c r="AZ348" s="20"/>
      <c r="BA348" s="401"/>
      <c r="BB348" s="402"/>
      <c r="BC348" s="277"/>
      <c r="BD348" s="277"/>
      <c r="BE348" s="277"/>
      <c r="BF348" s="279"/>
      <c r="BG348" s="1512"/>
      <c r="BH348" s="1508"/>
      <c r="BI348" s="1652"/>
      <c r="BJ348" s="1603"/>
      <c r="BK348" s="1603"/>
      <c r="BL348" s="1806"/>
      <c r="BM348" s="1806"/>
      <c r="BN348" s="1806"/>
      <c r="BO348" s="299"/>
    </row>
    <row r="349" spans="1:67" ht="14.25" customHeight="1" collapsed="1">
      <c r="A349" s="1"/>
      <c r="B349" s="1025"/>
      <c r="C349" s="276"/>
      <c r="D349" s="399"/>
      <c r="E349" s="399"/>
      <c r="F349" s="399"/>
      <c r="G349" s="400"/>
      <c r="H349" s="257"/>
      <c r="I349" s="257"/>
      <c r="J349" s="277"/>
      <c r="K349" s="278"/>
      <c r="L349" s="277"/>
      <c r="M349" s="277"/>
      <c r="N349" s="277"/>
      <c r="O349" s="278"/>
      <c r="P349" s="277"/>
      <c r="Q349" s="277"/>
      <c r="R349" s="277"/>
      <c r="S349" s="278"/>
      <c r="T349" s="277"/>
      <c r="U349" s="277"/>
      <c r="V349" s="257"/>
      <c r="W349" s="278"/>
      <c r="X349" s="277"/>
      <c r="Y349" s="277"/>
      <c r="Z349" s="277"/>
      <c r="AA349" s="277"/>
      <c r="AB349" s="1045"/>
      <c r="AC349" s="277"/>
      <c r="AD349" s="277"/>
      <c r="AE349" s="278"/>
      <c r="AF349" s="279"/>
      <c r="AG349" s="277"/>
      <c r="AH349" s="277"/>
      <c r="AI349" s="277"/>
      <c r="AJ349" s="279"/>
      <c r="AK349" s="277"/>
      <c r="AL349" s="277"/>
      <c r="AM349" s="1577"/>
      <c r="AN349" s="1627"/>
      <c r="AO349" s="1625"/>
      <c r="AP349" s="1625"/>
      <c r="AQ349" s="1625"/>
      <c r="AR349" s="1512"/>
      <c r="AS349" s="1509"/>
      <c r="AT349" s="1509"/>
      <c r="AU349" s="1510"/>
      <c r="AV349" s="1512"/>
      <c r="AW349" s="1509"/>
      <c r="AX349" s="1509"/>
      <c r="AY349" s="1510"/>
      <c r="AZ349" s="20"/>
      <c r="BA349" s="401"/>
      <c r="BB349" s="402"/>
      <c r="BC349" s="277"/>
      <c r="BD349" s="277"/>
      <c r="BE349" s="277"/>
      <c r="BF349" s="279"/>
      <c r="BG349" s="1512"/>
      <c r="BH349" s="1508"/>
      <c r="BI349" s="1652"/>
      <c r="BJ349" s="1616"/>
      <c r="BK349" s="1616"/>
      <c r="BL349" s="1616"/>
      <c r="BM349" s="1616"/>
      <c r="BN349" s="1616"/>
      <c r="BO349" s="299"/>
    </row>
    <row r="350" spans="1:67" ht="14.25" customHeight="1">
      <c r="A350" s="1"/>
      <c r="B350" s="1021" t="s">
        <v>405</v>
      </c>
      <c r="C350" s="1026"/>
      <c r="D350" s="1027"/>
      <c r="E350" s="1027"/>
      <c r="F350" s="1027"/>
      <c r="G350" s="1028"/>
      <c r="H350" s="1029"/>
      <c r="I350" s="1027"/>
      <c r="J350" s="1027"/>
      <c r="K350" s="1028"/>
      <c r="L350" s="1029"/>
      <c r="M350" s="1027"/>
      <c r="N350" s="1027"/>
      <c r="O350" s="1028"/>
      <c r="P350" s="1027"/>
      <c r="Q350" s="1027"/>
      <c r="R350" s="1027"/>
      <c r="S350" s="1028"/>
      <c r="T350" s="1027"/>
      <c r="U350" s="1027"/>
      <c r="V350" s="1027"/>
      <c r="W350" s="1028"/>
      <c r="X350" s="1027"/>
      <c r="Y350" s="1027"/>
      <c r="Z350" s="1030"/>
      <c r="AA350" s="1030"/>
      <c r="AB350" s="1273"/>
      <c r="AC350" s="1030"/>
      <c r="AD350" s="1030"/>
      <c r="AE350" s="1031"/>
      <c r="AF350" s="1273"/>
      <c r="AG350" s="1030"/>
      <c r="AH350" s="1030"/>
      <c r="AI350" s="1030"/>
      <c r="AJ350" s="1273"/>
      <c r="AK350" s="1030"/>
      <c r="AL350" s="1030"/>
      <c r="AM350" s="1030"/>
      <c r="AN350" s="1273"/>
      <c r="AO350" s="1030"/>
      <c r="AP350" s="1030"/>
      <c r="AQ350" s="1030"/>
      <c r="AR350" s="1273"/>
      <c r="AS350" s="1030"/>
      <c r="AT350" s="1030"/>
      <c r="AU350" s="1031"/>
      <c r="AV350" s="1273"/>
      <c r="AW350" s="1030"/>
      <c r="AX350" s="1030"/>
      <c r="AY350" s="1031"/>
      <c r="AZ350" s="1898"/>
      <c r="BA350" s="1132"/>
      <c r="BB350" s="1133"/>
      <c r="BC350" s="1133"/>
      <c r="BD350" s="1133"/>
      <c r="BE350" s="1133"/>
      <c r="BF350" s="1132"/>
      <c r="BG350" s="1130"/>
      <c r="BH350" s="1115"/>
      <c r="BI350" s="1130"/>
      <c r="BJ350" s="1115"/>
      <c r="BK350" s="1115"/>
      <c r="BL350" s="1115"/>
      <c r="BM350" s="1115"/>
      <c r="BN350" s="1115"/>
      <c r="BO350" s="299"/>
    </row>
    <row r="351" spans="1:67" s="363" customFormat="1" ht="14.25" customHeight="1">
      <c r="B351" s="597" t="s">
        <v>345</v>
      </c>
      <c r="C351" s="1194"/>
      <c r="D351" s="1195"/>
      <c r="E351" s="1195"/>
      <c r="F351" s="1136"/>
      <c r="G351" s="1194"/>
      <c r="H351" s="1196"/>
      <c r="I351" s="1136"/>
      <c r="J351" s="1303"/>
      <c r="K351" s="1304"/>
      <c r="L351" s="1305">
        <v>61</v>
      </c>
      <c r="M351" s="1303">
        <v>90</v>
      </c>
      <c r="N351" s="1303">
        <v>96</v>
      </c>
      <c r="O351" s="1304">
        <v>77</v>
      </c>
      <c r="P351" s="1306">
        <v>137</v>
      </c>
      <c r="Q351" s="1306">
        <v>185</v>
      </c>
      <c r="R351" s="1306">
        <v>174</v>
      </c>
      <c r="S351" s="1307">
        <v>130</v>
      </c>
      <c r="T351" s="1306">
        <v>95</v>
      </c>
      <c r="U351" s="1306">
        <v>87</v>
      </c>
      <c r="V351" s="1306">
        <v>80</v>
      </c>
      <c r="W351" s="1307">
        <v>63</v>
      </c>
      <c r="X351" s="1306">
        <v>58</v>
      </c>
      <c r="Y351" s="1306">
        <v>62</v>
      </c>
      <c r="Z351" s="1306">
        <v>50</v>
      </c>
      <c r="AA351" s="1306">
        <v>44</v>
      </c>
      <c r="AB351" s="1308">
        <v>30</v>
      </c>
      <c r="AC351" s="1306">
        <v>29</v>
      </c>
      <c r="AD351" s="1306">
        <v>36</v>
      </c>
      <c r="AE351" s="1307">
        <v>42</v>
      </c>
      <c r="AF351" s="1308">
        <v>39</v>
      </c>
      <c r="AG351" s="1306">
        <v>45</v>
      </c>
      <c r="AH351" s="1306">
        <v>43</v>
      </c>
      <c r="AI351" s="1306">
        <v>37</v>
      </c>
      <c r="AJ351" s="1308">
        <v>40</v>
      </c>
      <c r="AK351" s="1306">
        <v>38</v>
      </c>
      <c r="AL351" s="1306">
        <v>33</v>
      </c>
      <c r="AM351" s="1306">
        <v>29</v>
      </c>
      <c r="AN351" s="1308">
        <v>39</v>
      </c>
      <c r="AO351" s="1306">
        <v>48</v>
      </c>
      <c r="AP351" s="1306">
        <v>50</v>
      </c>
      <c r="AQ351" s="1306">
        <v>55</v>
      </c>
      <c r="AR351" s="1308">
        <v>82</v>
      </c>
      <c r="AS351" s="1306">
        <v>104</v>
      </c>
      <c r="AT351" s="1306">
        <v>99</v>
      </c>
      <c r="AU351" s="1937">
        <v>108</v>
      </c>
      <c r="AV351" s="1201">
        <v>100</v>
      </c>
      <c r="AW351" s="1195">
        <f t="shared" ref="AW351" si="639">+AV351</f>
        <v>100</v>
      </c>
      <c r="AX351" s="1195">
        <f t="shared" ref="AX351" si="640">+AW351</f>
        <v>100</v>
      </c>
      <c r="AY351" s="1202">
        <f t="shared" ref="AY351" si="641">+AX351</f>
        <v>100</v>
      </c>
      <c r="AZ351" s="1901"/>
      <c r="BA351" s="1196"/>
      <c r="BB351" s="1136"/>
      <c r="BC351" s="1136">
        <f>SUM(L351:O351)</f>
        <v>324</v>
      </c>
      <c r="BD351" s="1136">
        <f>SUM(P351:S351)</f>
        <v>626</v>
      </c>
      <c r="BE351" s="1136">
        <f>SUM(T351:W351)</f>
        <v>325</v>
      </c>
      <c r="BF351" s="1196">
        <f>SUM(X351:AA351)</f>
        <v>214</v>
      </c>
      <c r="BG351" s="1196">
        <f>SUM(AB351:AE351)</f>
        <v>137</v>
      </c>
      <c r="BH351" s="1136">
        <f>SUM(AF351:AI351)</f>
        <v>164</v>
      </c>
      <c r="BI351" s="1196">
        <f>SUM(AJ351:AM351)</f>
        <v>140</v>
      </c>
      <c r="BJ351" s="340">
        <f>SUM(AN351:AQ351)</f>
        <v>192</v>
      </c>
      <c r="BK351" s="340">
        <f>SUM(AR351:AU351)</f>
        <v>393</v>
      </c>
      <c r="BL351" s="340">
        <f>SUM(AV351:AY351)</f>
        <v>400</v>
      </c>
      <c r="BM351" s="340">
        <f>+BL351*(1+BM353)</f>
        <v>420</v>
      </c>
      <c r="BN351" s="340">
        <f>+BM351*(1+BN353)</f>
        <v>441</v>
      </c>
      <c r="BO351" s="364"/>
    </row>
    <row r="352" spans="1:67" ht="14.25" customHeight="1">
      <c r="A352" s="1"/>
      <c r="B352" s="431" t="s">
        <v>228</v>
      </c>
      <c r="C352" s="254"/>
      <c r="D352" s="90"/>
      <c r="E352" s="90"/>
      <c r="F352" s="256"/>
      <c r="G352" s="301"/>
      <c r="H352" s="256"/>
      <c r="I352" s="256"/>
      <c r="J352" s="256"/>
      <c r="K352" s="301"/>
      <c r="L352" s="256"/>
      <c r="M352" s="256">
        <f t="shared" ref="M352:AC352" si="642">(M351-L351)/L351</f>
        <v>0.47540983606557374</v>
      </c>
      <c r="N352" s="256">
        <f t="shared" si="642"/>
        <v>6.6666666666666666E-2</v>
      </c>
      <c r="O352" s="301">
        <f t="shared" si="642"/>
        <v>-0.19791666666666666</v>
      </c>
      <c r="P352" s="256">
        <f t="shared" si="642"/>
        <v>0.77922077922077926</v>
      </c>
      <c r="Q352" s="256">
        <f t="shared" si="642"/>
        <v>0.35036496350364965</v>
      </c>
      <c r="R352" s="256">
        <f t="shared" si="642"/>
        <v>-5.9459459459459463E-2</v>
      </c>
      <c r="S352" s="301">
        <f t="shared" si="642"/>
        <v>-0.25287356321839083</v>
      </c>
      <c r="T352" s="256">
        <f>T351/S351-1</f>
        <v>-0.26923076923076927</v>
      </c>
      <c r="U352" s="256">
        <f t="shared" si="642"/>
        <v>-8.4210526315789472E-2</v>
      </c>
      <c r="V352" s="90">
        <f t="shared" si="642"/>
        <v>-8.0459770114942528E-2</v>
      </c>
      <c r="W352" s="301">
        <f t="shared" si="642"/>
        <v>-0.21249999999999999</v>
      </c>
      <c r="X352" s="256">
        <f>X351/W351-1</f>
        <v>-7.9365079365079416E-2</v>
      </c>
      <c r="Y352" s="256">
        <f t="shared" si="642"/>
        <v>6.8965517241379309E-2</v>
      </c>
      <c r="Z352" s="256">
        <f t="shared" si="642"/>
        <v>-0.19354838709677419</v>
      </c>
      <c r="AA352" s="256">
        <f>(AA351-Z351)/Z351</f>
        <v>-0.12</v>
      </c>
      <c r="AB352" s="255">
        <f t="shared" si="642"/>
        <v>-0.31818181818181818</v>
      </c>
      <c r="AC352" s="256">
        <f t="shared" si="642"/>
        <v>-3.3333333333333333E-2</v>
      </c>
      <c r="AD352" s="256">
        <f t="shared" ref="AD352:AI352" si="643">(AD351-AC351)/AC351</f>
        <v>0.2413793103448276</v>
      </c>
      <c r="AE352" s="301">
        <f>(AE351-AD351)/AD351</f>
        <v>0.16666666666666666</v>
      </c>
      <c r="AF352" s="255">
        <f>(AF351-AE351)/AE351</f>
        <v>-7.1428571428571425E-2</v>
      </c>
      <c r="AG352" s="256">
        <f>(AG351-AF351)/AF351</f>
        <v>0.15384615384615385</v>
      </c>
      <c r="AH352" s="256">
        <f t="shared" si="643"/>
        <v>-4.4444444444444446E-2</v>
      </c>
      <c r="AI352" s="256">
        <f t="shared" si="643"/>
        <v>-0.13953488372093023</v>
      </c>
      <c r="AJ352" s="255">
        <f>(AJ351-AI351)/AI351</f>
        <v>8.1081081081081086E-2</v>
      </c>
      <c r="AK352" s="256">
        <f>(AK351-AJ351)/AJ351</f>
        <v>-0.05</v>
      </c>
      <c r="AL352" s="256">
        <f t="shared" ref="AL352:AM352" si="644">(AL351-AK351)/AK351</f>
        <v>-0.13157894736842105</v>
      </c>
      <c r="AM352" s="1516">
        <f t="shared" si="644"/>
        <v>-0.12121212121212122</v>
      </c>
      <c r="AN352" s="1614">
        <f>(AN351-AM351)/AM351</f>
        <v>0.34482758620689657</v>
      </c>
      <c r="AO352" s="1715">
        <f>(AO351-AN351)/AN351</f>
        <v>0.23076923076923078</v>
      </c>
      <c r="AP352" s="1715">
        <f t="shared" ref="AP352:AQ352" si="645">(AP351-AO351)/AO351</f>
        <v>4.1666666666666664E-2</v>
      </c>
      <c r="AQ352" s="1715">
        <f t="shared" si="645"/>
        <v>0.1</v>
      </c>
      <c r="AR352" s="159">
        <f t="shared" ref="AR352" si="646">(AR351-AQ351)/AQ351</f>
        <v>0.49090909090909091</v>
      </c>
      <c r="AS352" s="1715">
        <f>(AS351-AR351)/AR351</f>
        <v>0.26829268292682928</v>
      </c>
      <c r="AT352" s="1715">
        <f>(AT351-AS351)/AS351</f>
        <v>-4.807692307692308E-2</v>
      </c>
      <c r="AU352" s="1807">
        <f>(AU351-AT351)/AT351</f>
        <v>9.0909090909090912E-2</v>
      </c>
      <c r="AV352" s="159">
        <f t="shared" ref="AV352" si="647">(AV351-AU351)/AU351</f>
        <v>-7.407407407407407E-2</v>
      </c>
      <c r="AW352" s="1506">
        <f t="shared" ref="AW352" si="648">(AW351-AV351)/AV351</f>
        <v>0</v>
      </c>
      <c r="AX352" s="1506">
        <f t="shared" ref="AX352" si="649">(AX351-AW351)/AW351</f>
        <v>0</v>
      </c>
      <c r="AY352" s="91">
        <f t="shared" ref="AY352" si="650">(AY351-AX351)/AX351</f>
        <v>0</v>
      </c>
      <c r="AZ352" s="20"/>
      <c r="BA352" s="22"/>
      <c r="BB352" s="14"/>
      <c r="BC352" s="256"/>
      <c r="BD352" s="256"/>
      <c r="BE352" s="256"/>
      <c r="BF352" s="255"/>
      <c r="BG352" s="1515"/>
      <c r="BH352" s="1516"/>
      <c r="BI352" s="1614"/>
      <c r="BJ352" s="1615"/>
      <c r="BK352" s="1615"/>
      <c r="BL352" s="1715"/>
      <c r="BM352" s="1715"/>
      <c r="BN352" s="1715"/>
      <c r="BO352" s="299"/>
    </row>
    <row r="353" spans="1:67" ht="14.25" customHeight="1">
      <c r="A353" s="1"/>
      <c r="B353" s="435" t="s">
        <v>229</v>
      </c>
      <c r="C353" s="34"/>
      <c r="D353" s="90"/>
      <c r="E353" s="90"/>
      <c r="F353" s="256"/>
      <c r="G353" s="301"/>
      <c r="H353" s="256"/>
      <c r="I353" s="256"/>
      <c r="J353" s="256"/>
      <c r="K353" s="301"/>
      <c r="L353" s="317" t="str">
        <f t="shared" ref="L353:AU353" si="651">IF(ISERROR(L351/H351-1),"",L351/H351-1)</f>
        <v/>
      </c>
      <c r="M353" s="317" t="str">
        <f t="shared" si="651"/>
        <v/>
      </c>
      <c r="N353" s="317" t="str">
        <f t="shared" si="651"/>
        <v/>
      </c>
      <c r="O353" s="339" t="str">
        <f t="shared" si="651"/>
        <v/>
      </c>
      <c r="P353" s="317">
        <f t="shared" si="651"/>
        <v>1.2459016393442623</v>
      </c>
      <c r="Q353" s="317">
        <f t="shared" si="651"/>
        <v>1.0555555555555554</v>
      </c>
      <c r="R353" s="317">
        <f t="shared" si="651"/>
        <v>0.8125</v>
      </c>
      <c r="S353" s="339">
        <f t="shared" si="651"/>
        <v>0.68831168831168821</v>
      </c>
      <c r="T353" s="317">
        <f t="shared" si="651"/>
        <v>-0.30656934306569339</v>
      </c>
      <c r="U353" s="317">
        <f t="shared" si="651"/>
        <v>-0.52972972972972965</v>
      </c>
      <c r="V353" s="420">
        <f t="shared" si="651"/>
        <v>-0.54022988505747127</v>
      </c>
      <c r="W353" s="339">
        <f t="shared" si="651"/>
        <v>-0.51538461538461533</v>
      </c>
      <c r="X353" s="317">
        <f t="shared" si="651"/>
        <v>-0.38947368421052631</v>
      </c>
      <c r="Y353" s="317">
        <f t="shared" si="651"/>
        <v>-0.28735632183908044</v>
      </c>
      <c r="Z353" s="317">
        <f t="shared" si="651"/>
        <v>-0.375</v>
      </c>
      <c r="AA353" s="256">
        <f>IF(ISERROR(AA351/W351-1),"",AA351/W351-1)</f>
        <v>-0.30158730158730163</v>
      </c>
      <c r="AB353" s="652">
        <f t="shared" si="651"/>
        <v>-0.48275862068965514</v>
      </c>
      <c r="AC353" s="317">
        <f t="shared" si="651"/>
        <v>-0.532258064516129</v>
      </c>
      <c r="AD353" s="317">
        <f t="shared" si="651"/>
        <v>-0.28000000000000003</v>
      </c>
      <c r="AE353" s="301">
        <f>IF(ISERROR(AE351/AA351-1),"",AE351/AA351-1)</f>
        <v>-4.5454545454545414E-2</v>
      </c>
      <c r="AF353" s="652">
        <f>IF(ISERROR(AF351/AB351-1),"",AF351/AB351-1)</f>
        <v>0.30000000000000004</v>
      </c>
      <c r="AG353" s="317">
        <f t="shared" si="651"/>
        <v>0.55172413793103448</v>
      </c>
      <c r="AH353" s="317">
        <f t="shared" si="651"/>
        <v>0.19444444444444442</v>
      </c>
      <c r="AI353" s="317">
        <f t="shared" si="651"/>
        <v>-0.11904761904761907</v>
      </c>
      <c r="AJ353" s="652">
        <f>IF(ISERROR(AJ351/AF351-1),"",AJ351/AF351-1)</f>
        <v>2.564102564102555E-2</v>
      </c>
      <c r="AK353" s="317">
        <f t="shared" si="651"/>
        <v>-0.15555555555555556</v>
      </c>
      <c r="AL353" s="317">
        <f t="shared" si="651"/>
        <v>-0.23255813953488369</v>
      </c>
      <c r="AM353" s="317">
        <f t="shared" si="651"/>
        <v>-0.21621621621621623</v>
      </c>
      <c r="AN353" s="652">
        <f>IF(ISERROR(AN351/AJ351-1),"",AN351/AJ351-1)</f>
        <v>-2.5000000000000022E-2</v>
      </c>
      <c r="AO353" s="317">
        <f t="shared" si="651"/>
        <v>0.26315789473684204</v>
      </c>
      <c r="AP353" s="317">
        <f t="shared" si="651"/>
        <v>0.51515151515151514</v>
      </c>
      <c r="AQ353" s="317">
        <f t="shared" si="651"/>
        <v>0.89655172413793105</v>
      </c>
      <c r="AR353" s="652">
        <f t="shared" ref="AR353" si="652">IF(ISERROR(AR351/AN351-1),"",AR351/AN351-1)</f>
        <v>1.1025641025641026</v>
      </c>
      <c r="AS353" s="317">
        <f t="shared" si="651"/>
        <v>1.1666666666666665</v>
      </c>
      <c r="AT353" s="317">
        <f t="shared" si="651"/>
        <v>0.98</v>
      </c>
      <c r="AU353" s="1628">
        <f t="shared" si="651"/>
        <v>0.96363636363636362</v>
      </c>
      <c r="AV353" s="652">
        <f t="shared" ref="AV353" si="653">IF(ISERROR(AV351/AR351-1),"",AV351/AR351-1)</f>
        <v>0.21951219512195119</v>
      </c>
      <c r="AW353" s="317">
        <f t="shared" ref="AW353" si="654">IF(ISERROR(AW351/AS351-1),"",AW351/AS351-1)</f>
        <v>-3.8461538461538436E-2</v>
      </c>
      <c r="AX353" s="317">
        <f t="shared" ref="AX353" si="655">IF(ISERROR(AX351/AT351-1),"",AX351/AT351-1)</f>
        <v>1.0101010101010166E-2</v>
      </c>
      <c r="AY353" s="339">
        <f t="shared" ref="AY353" si="656">IF(ISERROR(AY351/AU351-1),"",AY351/AU351-1)</f>
        <v>-7.407407407407407E-2</v>
      </c>
      <c r="AZ353" s="20"/>
      <c r="BA353" s="652"/>
      <c r="BB353" s="317"/>
      <c r="BC353" s="256"/>
      <c r="BD353" s="256">
        <f t="shared" ref="BD353:BL353" si="657">BD351/BC351-1</f>
        <v>0.93209876543209869</v>
      </c>
      <c r="BE353" s="256">
        <f t="shared" si="657"/>
        <v>-0.48083067092651754</v>
      </c>
      <c r="BF353" s="255">
        <f t="shared" si="657"/>
        <v>-0.34153846153846157</v>
      </c>
      <c r="BG353" s="1515">
        <f t="shared" si="657"/>
        <v>-0.35981308411214952</v>
      </c>
      <c r="BH353" s="1516">
        <f t="shared" si="657"/>
        <v>0.19708029197080301</v>
      </c>
      <c r="BI353" s="1614">
        <f t="shared" si="657"/>
        <v>-0.14634146341463417</v>
      </c>
      <c r="BJ353" s="1615">
        <f t="shared" si="657"/>
        <v>0.37142857142857144</v>
      </c>
      <c r="BK353" s="1615">
        <f t="shared" si="657"/>
        <v>1.046875</v>
      </c>
      <c r="BL353" s="1715">
        <f t="shared" si="657"/>
        <v>1.7811704834605591E-2</v>
      </c>
      <c r="BM353" s="1715">
        <v>0.05</v>
      </c>
      <c r="BN353" s="1715">
        <v>0.05</v>
      </c>
      <c r="BO353" s="299"/>
    </row>
    <row r="354" spans="1:67" ht="14.25" customHeight="1">
      <c r="A354" s="1"/>
      <c r="B354" s="431" t="s">
        <v>230</v>
      </c>
      <c r="C354" s="254"/>
      <c r="D354" s="92"/>
      <c r="E354" s="92"/>
      <c r="F354" s="92"/>
      <c r="G354" s="93"/>
      <c r="H354" s="90"/>
      <c r="I354" s="90"/>
      <c r="J354" s="256"/>
      <c r="K354" s="301"/>
      <c r="L354" s="256">
        <f t="shared" ref="L354:AD354" si="658">L351/L$501</f>
        <v>9.4573643410852712E-2</v>
      </c>
      <c r="M354" s="256">
        <f t="shared" si="658"/>
        <v>0.10935601458080195</v>
      </c>
      <c r="N354" s="256">
        <f t="shared" si="658"/>
        <v>9.7560975609756101E-2</v>
      </c>
      <c r="O354" s="301">
        <f t="shared" si="658"/>
        <v>7.2164948453608241E-2</v>
      </c>
      <c r="P354" s="256">
        <f t="shared" si="658"/>
        <v>0.12626728110599078</v>
      </c>
      <c r="Q354" s="256">
        <f t="shared" si="658"/>
        <v>0.16532618409294011</v>
      </c>
      <c r="R354" s="256">
        <f t="shared" si="658"/>
        <v>0.15535714285714286</v>
      </c>
      <c r="S354" s="301">
        <f t="shared" si="658"/>
        <v>0.12059369202226346</v>
      </c>
      <c r="T354" s="256">
        <f t="shared" si="658"/>
        <v>8.7800369685767099E-2</v>
      </c>
      <c r="U354" s="256">
        <f t="shared" si="658"/>
        <v>7.7609277430865292E-2</v>
      </c>
      <c r="V354" s="90">
        <f t="shared" si="658"/>
        <v>7.5471698113207544E-2</v>
      </c>
      <c r="W354" s="301">
        <f t="shared" si="658"/>
        <v>6.7669172932330823E-2</v>
      </c>
      <c r="X354" s="256">
        <f t="shared" si="658"/>
        <v>5.9304703476482618E-2</v>
      </c>
      <c r="Y354" s="256">
        <f t="shared" si="658"/>
        <v>5.6672760511882997E-2</v>
      </c>
      <c r="Z354" s="256">
        <f t="shared" si="658"/>
        <v>4.2735042735042736E-2</v>
      </c>
      <c r="AA354" s="90">
        <f t="shared" si="658"/>
        <v>3.9426523297491037E-2</v>
      </c>
      <c r="AB354" s="159">
        <f t="shared" si="658"/>
        <v>2.7649769585253458E-2</v>
      </c>
      <c r="AC354" s="90">
        <f t="shared" si="658"/>
        <v>2.4410774410774411E-2</v>
      </c>
      <c r="AD354" s="90">
        <f t="shared" si="658"/>
        <v>2.8823058446757407E-2</v>
      </c>
      <c r="AE354" s="91">
        <f t="shared" ref="AE354:AJ354" si="659">AE351/AE$501</f>
        <v>3.248259860788863E-2</v>
      </c>
      <c r="AF354" s="159">
        <f t="shared" si="659"/>
        <v>3.1300160513643663E-2</v>
      </c>
      <c r="AG354" s="90">
        <f t="shared" si="659"/>
        <v>3.3358042994810974E-2</v>
      </c>
      <c r="AH354" s="90">
        <f t="shared" si="659"/>
        <v>2.8382838283828381E-2</v>
      </c>
      <c r="AI354" s="90">
        <f t="shared" si="659"/>
        <v>2.4072869225764477E-2</v>
      </c>
      <c r="AJ354" s="159">
        <f t="shared" si="659"/>
        <v>2.7266530334014997E-2</v>
      </c>
      <c r="AK354" s="90">
        <f>AK351/AK$501</f>
        <v>2.5232403718459494E-2</v>
      </c>
      <c r="AL354" s="90">
        <f t="shared" ref="AL354" si="660">AL351/AL$501</f>
        <v>2.1681997371879105E-2</v>
      </c>
      <c r="AM354" s="1506">
        <f t="shared" ref="AM354:AN354" si="661">AM351/AM$501</f>
        <v>1.8057285180572851E-2</v>
      </c>
      <c r="AN354" s="1607">
        <f t="shared" si="661"/>
        <v>1.7535971223021581E-2</v>
      </c>
      <c r="AO354" s="1603">
        <f>AO351/AO$501</f>
        <v>2.029598308668076E-2</v>
      </c>
      <c r="AP354" s="1603">
        <f t="shared" ref="AP354:AR354" si="662">AP351/AP$501</f>
        <v>2.025111381125962E-2</v>
      </c>
      <c r="AQ354" s="1806">
        <f t="shared" si="662"/>
        <v>2.2540983606557378E-2</v>
      </c>
      <c r="AR354" s="1607">
        <f t="shared" si="662"/>
        <v>3.70872908186341E-2</v>
      </c>
      <c r="AS354" s="1806">
        <f>AS351/AS$501</f>
        <v>4.7229791099000905E-2</v>
      </c>
      <c r="AT354" s="1806">
        <f>AT351/AT$501</f>
        <v>4.1474654377880185E-2</v>
      </c>
      <c r="AU354" s="1807">
        <f>AU351/AU$501</f>
        <v>4.3973941368078175E-2</v>
      </c>
      <c r="AV354" s="94"/>
      <c r="AW354" s="1518"/>
      <c r="AX354" s="1518"/>
      <c r="AY354" s="1519"/>
      <c r="AZ354" s="20"/>
      <c r="BA354" s="652"/>
      <c r="BB354" s="317"/>
      <c r="BC354" s="256">
        <f t="shared" ref="BC354:BJ354" si="663">BC351/BC$526</f>
        <v>9.2071611253196933E-2</v>
      </c>
      <c r="BD354" s="256">
        <f t="shared" si="663"/>
        <v>0.14220808723307587</v>
      </c>
      <c r="BE354" s="256">
        <f t="shared" si="663"/>
        <v>7.7491654744873628E-2</v>
      </c>
      <c r="BF354" s="255">
        <f t="shared" si="663"/>
        <v>4.9105094079853147E-2</v>
      </c>
      <c r="BG354" s="1515">
        <f t="shared" si="663"/>
        <v>2.84527518172378E-2</v>
      </c>
      <c r="BH354" s="1516">
        <f t="shared" si="663"/>
        <v>2.9041969187179034E-2</v>
      </c>
      <c r="BI354" s="1614">
        <f t="shared" si="663"/>
        <v>2.2947057859367317E-2</v>
      </c>
      <c r="BJ354" s="1615">
        <f t="shared" si="663"/>
        <v>2.0214782059380921E-2</v>
      </c>
      <c r="BK354" s="1615">
        <f t="shared" ref="BK354:BL354" si="664">BK351/BK$526</f>
        <v>4.2458945548833192E-2</v>
      </c>
      <c r="BL354" s="1715">
        <f t="shared" si="664"/>
        <v>4.1234304641956883E-2</v>
      </c>
      <c r="BM354" s="1715"/>
      <c r="BN354" s="1715"/>
      <c r="BO354" s="299"/>
    </row>
    <row r="355" spans="1:67" ht="14.25" customHeight="1">
      <c r="A355" s="1"/>
      <c r="B355" s="431"/>
      <c r="C355" s="254"/>
      <c r="D355" s="92"/>
      <c r="E355" s="92"/>
      <c r="F355" s="303"/>
      <c r="G355" s="304"/>
      <c r="H355" s="302"/>
      <c r="I355" s="303"/>
      <c r="J355" s="303"/>
      <c r="K355" s="304"/>
      <c r="L355" s="302"/>
      <c r="M355" s="303"/>
      <c r="N355" s="303"/>
      <c r="O355" s="304"/>
      <c r="P355" s="303"/>
      <c r="Q355" s="303"/>
      <c r="R355" s="303"/>
      <c r="S355" s="304"/>
      <c r="T355" s="303"/>
      <c r="U355" s="303"/>
      <c r="V355" s="92"/>
      <c r="W355" s="304"/>
      <c r="X355" s="303"/>
      <c r="Y355" s="303"/>
      <c r="Z355" s="303"/>
      <c r="AA355" s="303"/>
      <c r="AB355" s="22"/>
      <c r="AC355" s="14"/>
      <c r="AD355" s="14"/>
      <c r="AE355" s="304"/>
      <c r="AF355" s="22"/>
      <c r="AG355" s="14"/>
      <c r="AH355" s="14"/>
      <c r="AI355" s="14"/>
      <c r="AJ355" s="22"/>
      <c r="AK355" s="14"/>
      <c r="AL355" s="14"/>
      <c r="AM355" s="14"/>
      <c r="AN355" s="22"/>
      <c r="AO355" s="14"/>
      <c r="AP355" s="14"/>
      <c r="AQ355" s="14"/>
      <c r="AR355" s="22"/>
      <c r="AS355" s="14"/>
      <c r="AT355" s="14"/>
      <c r="AU355" s="246"/>
      <c r="AV355" s="22"/>
      <c r="AW355" s="14"/>
      <c r="AX355" s="14"/>
      <c r="AY355" s="246"/>
      <c r="AZ355" s="20"/>
      <c r="BA355" s="22"/>
      <c r="BB355" s="14"/>
      <c r="BC355" s="14"/>
      <c r="BD355" s="14"/>
      <c r="BE355" s="14"/>
      <c r="BF355" s="22"/>
      <c r="BG355" s="22"/>
      <c r="BH355" s="14"/>
      <c r="BI355" s="22"/>
      <c r="BJ355" s="14"/>
      <c r="BK355" s="14"/>
      <c r="BL355" s="14"/>
      <c r="BM355" s="14"/>
      <c r="BN355" s="14"/>
      <c r="BO355" s="299"/>
    </row>
    <row r="356" spans="1:67" s="363" customFormat="1" ht="14.25" customHeight="1" collapsed="1">
      <c r="B356" s="433" t="s">
        <v>441</v>
      </c>
      <c r="C356" s="351"/>
      <c r="D356" s="1293"/>
      <c r="E356" s="348"/>
      <c r="F356" s="340"/>
      <c r="G356" s="351"/>
      <c r="H356" s="1294"/>
      <c r="I356" s="340"/>
      <c r="J356" s="344"/>
      <c r="K356" s="345"/>
      <c r="L356" s="360">
        <v>-29</v>
      </c>
      <c r="M356" s="344">
        <v>-56</v>
      </c>
      <c r="N356" s="344">
        <v>-15</v>
      </c>
      <c r="O356" s="345">
        <v>30</v>
      </c>
      <c r="P356" s="346">
        <v>-9</v>
      </c>
      <c r="Q356" s="346">
        <v>-6</v>
      </c>
      <c r="R356" s="346">
        <v>2</v>
      </c>
      <c r="S356" s="347">
        <v>-11</v>
      </c>
      <c r="T356" s="346">
        <v>-14</v>
      </c>
      <c r="U356" s="346">
        <v>-15</v>
      </c>
      <c r="V356" s="346">
        <v>-12</v>
      </c>
      <c r="W356" s="347">
        <v>-7</v>
      </c>
      <c r="X356" s="346">
        <v>-7</v>
      </c>
      <c r="Y356" s="346">
        <v>-3</v>
      </c>
      <c r="Z356" s="346">
        <v>-2</v>
      </c>
      <c r="AA356" s="346">
        <v>-10</v>
      </c>
      <c r="AB356" s="1250">
        <v>-5</v>
      </c>
      <c r="AC356" s="346">
        <v>-6</v>
      </c>
      <c r="AD356" s="346">
        <v>-4</v>
      </c>
      <c r="AE356" s="347">
        <v>0</v>
      </c>
      <c r="AF356" s="1250">
        <v>-8</v>
      </c>
      <c r="AG356" s="346">
        <v>2</v>
      </c>
      <c r="AH356" s="346">
        <v>5</v>
      </c>
      <c r="AI356" s="346">
        <v>6</v>
      </c>
      <c r="AJ356" s="1250">
        <v>-3</v>
      </c>
      <c r="AK356" s="346">
        <v>5</v>
      </c>
      <c r="AL356" s="346">
        <v>6</v>
      </c>
      <c r="AM356" s="346">
        <v>-4</v>
      </c>
      <c r="AN356" s="1250">
        <v>0</v>
      </c>
      <c r="AO356" s="346">
        <v>4</v>
      </c>
      <c r="AP356" s="346">
        <v>6</v>
      </c>
      <c r="AQ356" s="346">
        <v>3</v>
      </c>
      <c r="AR356" s="1250">
        <v>6</v>
      </c>
      <c r="AS356" s="346">
        <v>19</v>
      </c>
      <c r="AT356" s="346">
        <v>14</v>
      </c>
      <c r="AU356" s="1933">
        <v>15</v>
      </c>
      <c r="AV356" s="923">
        <f t="shared" ref="AV356:AY356" si="665">AV351*AV357</f>
        <v>13</v>
      </c>
      <c r="AW356" s="348">
        <f t="shared" si="665"/>
        <v>13</v>
      </c>
      <c r="AX356" s="348">
        <f t="shared" si="665"/>
        <v>13</v>
      </c>
      <c r="AY356" s="348">
        <f t="shared" si="665"/>
        <v>13</v>
      </c>
      <c r="AZ356" s="1901"/>
      <c r="BA356" s="361"/>
      <c r="BB356" s="340"/>
      <c r="BC356" s="340">
        <f t="shared" ref="BC356:BC362" si="666">SUM(L356:O356)</f>
        <v>-70</v>
      </c>
      <c r="BD356" s="340">
        <f t="shared" ref="BD356:BD362" si="667">SUM(P356:S356)</f>
        <v>-24</v>
      </c>
      <c r="BE356" s="340">
        <f t="shared" ref="BE356:BE362" si="668">SUM(T356:W356)</f>
        <v>-48</v>
      </c>
      <c r="BF356" s="361">
        <f t="shared" ref="BF356:BF362" si="669">SUM(X356:AA356)</f>
        <v>-22</v>
      </c>
      <c r="BG356" s="361">
        <f>SUM(AB356:AD356)</f>
        <v>-15</v>
      </c>
      <c r="BH356" s="340">
        <f>SUM(AF356:AI356)</f>
        <v>5</v>
      </c>
      <c r="BI356" s="361">
        <f>SUM(AJ356:AM356)</f>
        <v>4</v>
      </c>
      <c r="BJ356" s="340">
        <f>SUM(AN356:AQ356)</f>
        <v>13</v>
      </c>
      <c r="BK356" s="340">
        <f>SUM(AR356:AU356)</f>
        <v>54</v>
      </c>
      <c r="BL356" s="340">
        <f>SUM(AV356:AY356)</f>
        <v>52</v>
      </c>
      <c r="BM356" s="340">
        <f>BL356</f>
        <v>52</v>
      </c>
      <c r="BN356" s="340">
        <f>BM356</f>
        <v>52</v>
      </c>
      <c r="BO356" s="364"/>
    </row>
    <row r="357" spans="1:67" s="363" customFormat="1" ht="14.25" customHeight="1">
      <c r="B357" s="441"/>
      <c r="C357" s="377"/>
      <c r="D357" s="1309"/>
      <c r="E357" s="376"/>
      <c r="F357" s="375"/>
      <c r="G357" s="377"/>
      <c r="H357" s="1310"/>
      <c r="I357" s="375"/>
      <c r="J357" s="1311"/>
      <c r="K357" s="1312"/>
      <c r="L357" s="1313"/>
      <c r="M357" s="1311"/>
      <c r="N357" s="1311"/>
      <c r="O357" s="1312"/>
      <c r="P357" s="1314"/>
      <c r="Q357" s="1314"/>
      <c r="R357" s="1314"/>
      <c r="S357" s="1315"/>
      <c r="T357" s="1314"/>
      <c r="U357" s="1314"/>
      <c r="V357" s="1314"/>
      <c r="W357" s="1315"/>
      <c r="X357" s="1314"/>
      <c r="Y357" s="1314"/>
      <c r="Z357" s="1314"/>
      <c r="AA357" s="1314"/>
      <c r="AB357" s="1316"/>
      <c r="AC357" s="1314"/>
      <c r="AD357" s="1314"/>
      <c r="AE357" s="1315"/>
      <c r="AF357" s="1316"/>
      <c r="AG357" s="1314"/>
      <c r="AH357" s="1314"/>
      <c r="AI357" s="1314"/>
      <c r="AJ357" s="1316"/>
      <c r="AK357" s="1314"/>
      <c r="AL357" s="1314"/>
      <c r="AM357" s="1580"/>
      <c r="AN357" s="1316"/>
      <c r="AO357" s="1314"/>
      <c r="AP357" s="1314"/>
      <c r="AQ357" s="1580"/>
      <c r="AR357" s="1487"/>
      <c r="AS357" s="1580"/>
      <c r="AT357" s="1580"/>
      <c r="AU357" s="1371">
        <f>AU356/AU351</f>
        <v>0.1388888888888889</v>
      </c>
      <c r="AV357" s="1371">
        <v>0.13</v>
      </c>
      <c r="AW357" s="1372">
        <f>AV357</f>
        <v>0.13</v>
      </c>
      <c r="AX357" s="1372">
        <f>AW357</f>
        <v>0.13</v>
      </c>
      <c r="AY357" s="1370">
        <f>AX357</f>
        <v>0.13</v>
      </c>
      <c r="AZ357" s="1901"/>
      <c r="BA357" s="374"/>
      <c r="BB357" s="375"/>
      <c r="BC357" s="375"/>
      <c r="BD357" s="375"/>
      <c r="BE357" s="375"/>
      <c r="BF357" s="374"/>
      <c r="BG357" s="374"/>
      <c r="BH357" s="375"/>
      <c r="BI357" s="374"/>
      <c r="BJ357" s="340"/>
      <c r="BK357" s="340"/>
      <c r="BL357" s="340"/>
      <c r="BM357" s="340">
        <v>0</v>
      </c>
      <c r="BN357" s="340">
        <v>0</v>
      </c>
      <c r="BO357" s="364"/>
    </row>
    <row r="358" spans="1:67" s="861" customFormat="1" ht="14.25" hidden="1" customHeight="1" outlineLevel="1">
      <c r="B358" s="493" t="s">
        <v>357</v>
      </c>
      <c r="C358" s="862"/>
      <c r="D358" s="863"/>
      <c r="E358" s="863"/>
      <c r="F358" s="863"/>
      <c r="G358" s="864"/>
      <c r="H358" s="865"/>
      <c r="I358" s="865"/>
      <c r="J358" s="866"/>
      <c r="K358" s="867"/>
      <c r="L358" s="921">
        <f t="shared" ref="L358:AA358" si="670">SUM(L359:L362)</f>
        <v>-34</v>
      </c>
      <c r="M358" s="874">
        <f t="shared" si="670"/>
        <v>-80</v>
      </c>
      <c r="N358" s="874">
        <f t="shared" si="670"/>
        <v>-30</v>
      </c>
      <c r="O358" s="875">
        <f t="shared" si="670"/>
        <v>10</v>
      </c>
      <c r="P358" s="871">
        <f t="shared" si="670"/>
        <v>-11</v>
      </c>
      <c r="Q358" s="871">
        <f t="shared" si="670"/>
        <v>-10</v>
      </c>
      <c r="R358" s="871">
        <f t="shared" si="670"/>
        <v>-10</v>
      </c>
      <c r="S358" s="872">
        <f t="shared" si="670"/>
        <v>-13</v>
      </c>
      <c r="T358" s="871">
        <f t="shared" si="670"/>
        <v>-10</v>
      </c>
      <c r="U358" s="871">
        <f t="shared" si="670"/>
        <v>-12</v>
      </c>
      <c r="V358" s="871">
        <f>SUM(V359:V362)</f>
        <v>-11</v>
      </c>
      <c r="W358" s="872">
        <f>SUM(W359:W362)</f>
        <v>-5</v>
      </c>
      <c r="X358" s="871">
        <f>SUM(X359:X362)</f>
        <v>-6</v>
      </c>
      <c r="Y358" s="871">
        <f>SUM(Y359:Y362)</f>
        <v>-3</v>
      </c>
      <c r="Z358" s="871">
        <f t="shared" si="670"/>
        <v>-4</v>
      </c>
      <c r="AA358" s="871">
        <f t="shared" si="670"/>
        <v>-7</v>
      </c>
      <c r="AB358" s="1147">
        <f t="shared" ref="AB358:AG358" si="671">SUM(AB359:AB362)</f>
        <v>-3</v>
      </c>
      <c r="AC358" s="871">
        <f t="shared" si="671"/>
        <v>-6</v>
      </c>
      <c r="AD358" s="871">
        <f t="shared" si="671"/>
        <v>-5</v>
      </c>
      <c r="AE358" s="872">
        <f t="shared" si="671"/>
        <v>-3</v>
      </c>
      <c r="AF358" s="1147">
        <f t="shared" si="671"/>
        <v>-16</v>
      </c>
      <c r="AG358" s="871">
        <f t="shared" si="671"/>
        <v>-1</v>
      </c>
      <c r="AH358" s="871">
        <f t="shared" ref="AH358:AM358" si="672">SUM(AH359:AH362)</f>
        <v>-1</v>
      </c>
      <c r="AI358" s="871">
        <f t="shared" si="672"/>
        <v>0</v>
      </c>
      <c r="AJ358" s="1147">
        <f t="shared" si="672"/>
        <v>-2</v>
      </c>
      <c r="AK358" s="871">
        <f t="shared" si="672"/>
        <v>-1</v>
      </c>
      <c r="AL358" s="871">
        <f t="shared" si="672"/>
        <v>-1</v>
      </c>
      <c r="AM358" s="1203">
        <f t="shared" si="672"/>
        <v>-1</v>
      </c>
      <c r="AN358" s="1147">
        <f t="shared" ref="AN358:AQ358" si="673">SUM(AN359:AN362)</f>
        <v>-4</v>
      </c>
      <c r="AO358" s="871">
        <f t="shared" si="673"/>
        <v>1</v>
      </c>
      <c r="AP358" s="871">
        <f t="shared" si="673"/>
        <v>-1</v>
      </c>
      <c r="AQ358" s="1203">
        <f t="shared" si="673"/>
        <v>-1</v>
      </c>
      <c r="AR358" s="876"/>
      <c r="AS358" s="1203"/>
      <c r="AT358" s="1203"/>
      <c r="AU358" s="1204"/>
      <c r="AV358" s="876"/>
      <c r="AW358" s="1203"/>
      <c r="AX358" s="1203"/>
      <c r="AY358" s="1204"/>
      <c r="AZ358" s="1912"/>
      <c r="BA358" s="1127"/>
      <c r="BB358" s="873"/>
      <c r="BC358" s="874">
        <f t="shared" si="666"/>
        <v>-134</v>
      </c>
      <c r="BD358" s="874">
        <f t="shared" si="667"/>
        <v>-44</v>
      </c>
      <c r="BE358" s="874">
        <f t="shared" si="668"/>
        <v>-38</v>
      </c>
      <c r="BF358" s="921">
        <f t="shared" si="669"/>
        <v>-20</v>
      </c>
      <c r="BG358" s="921">
        <f>SUM(AB358:AD358)</f>
        <v>-14</v>
      </c>
      <c r="BH358" s="341">
        <f t="shared" ref="BH358:BL362" si="674">SUM(AF358:AI358)</f>
        <v>-18</v>
      </c>
      <c r="BI358" s="939">
        <f t="shared" si="674"/>
        <v>-4</v>
      </c>
      <c r="BJ358" s="341">
        <f t="shared" si="674"/>
        <v>-4</v>
      </c>
      <c r="BK358" s="341">
        <f t="shared" si="674"/>
        <v>-4</v>
      </c>
      <c r="BL358" s="341">
        <f t="shared" si="674"/>
        <v>-5</v>
      </c>
      <c r="BM358" s="341"/>
      <c r="BN358" s="341"/>
      <c r="BO358" s="876"/>
    </row>
    <row r="359" spans="1:67" s="353" customFormat="1" ht="14.25" hidden="1" customHeight="1" outlineLevel="2">
      <c r="A359" s="6"/>
      <c r="B359" s="437" t="s">
        <v>348</v>
      </c>
      <c r="C359" s="383"/>
      <c r="D359" s="354"/>
      <c r="E359" s="354"/>
      <c r="F359" s="354"/>
      <c r="G359" s="355"/>
      <c r="H359" s="356"/>
      <c r="I359" s="356"/>
      <c r="J359" s="357"/>
      <c r="K359" s="358"/>
      <c r="L359" s="362">
        <v>-3</v>
      </c>
      <c r="M359" s="342">
        <v>-53</v>
      </c>
      <c r="N359" s="342">
        <v>-1</v>
      </c>
      <c r="O359" s="343">
        <v>-8</v>
      </c>
      <c r="P359" s="72">
        <v>-2</v>
      </c>
      <c r="Q359" s="72">
        <v>-2</v>
      </c>
      <c r="R359" s="72">
        <v>-2</v>
      </c>
      <c r="S359" s="73">
        <v>-2</v>
      </c>
      <c r="T359" s="72">
        <v>-2</v>
      </c>
      <c r="U359" s="72">
        <v>-3</v>
      </c>
      <c r="V359" s="72">
        <v>-2</v>
      </c>
      <c r="W359" s="73">
        <v>-1</v>
      </c>
      <c r="X359" s="72">
        <v>-2</v>
      </c>
      <c r="Y359" s="72">
        <v>-2</v>
      </c>
      <c r="Z359" s="72">
        <v>-2</v>
      </c>
      <c r="AA359" s="72">
        <v>-2</v>
      </c>
      <c r="AB359" s="1158">
        <v>-2</v>
      </c>
      <c r="AC359" s="747">
        <v>-3</v>
      </c>
      <c r="AD359" s="747">
        <v>-2</v>
      </c>
      <c r="AE359" s="73">
        <v>-2</v>
      </c>
      <c r="AF359" s="1158">
        <v>-2</v>
      </c>
      <c r="AG359" s="747">
        <v>-2</v>
      </c>
      <c r="AH359" s="747">
        <v>-2</v>
      </c>
      <c r="AI359" s="747">
        <v>-2</v>
      </c>
      <c r="AJ359" s="1158">
        <v>-2</v>
      </c>
      <c r="AK359" s="747">
        <v>-3</v>
      </c>
      <c r="AL359" s="747">
        <v>-2</v>
      </c>
      <c r="AM359" s="747">
        <v>-2</v>
      </c>
      <c r="AN359" s="1158">
        <v>-2</v>
      </c>
      <c r="AO359" s="747">
        <v>-2</v>
      </c>
      <c r="AP359" s="747">
        <v>-2</v>
      </c>
      <c r="AQ359" s="1823">
        <v>-2</v>
      </c>
      <c r="AR359" s="1158"/>
      <c r="AS359" s="747"/>
      <c r="AT359" s="747"/>
      <c r="AU359" s="909"/>
      <c r="AV359" s="1158"/>
      <c r="AW359" s="747"/>
      <c r="AX359" s="747"/>
      <c r="AY359" s="909"/>
      <c r="AZ359" s="115"/>
      <c r="BA359" s="1129"/>
      <c r="BB359" s="359"/>
      <c r="BC359" s="341">
        <f t="shared" si="666"/>
        <v>-65</v>
      </c>
      <c r="BD359" s="341">
        <f t="shared" si="667"/>
        <v>-8</v>
      </c>
      <c r="BE359" s="341">
        <f t="shared" si="668"/>
        <v>-8</v>
      </c>
      <c r="BF359" s="939">
        <f t="shared" si="669"/>
        <v>-8</v>
      </c>
      <c r="BG359" s="939">
        <f>SUM(AB359:AE359)</f>
        <v>-9</v>
      </c>
      <c r="BH359" s="341">
        <f t="shared" si="674"/>
        <v>-8</v>
      </c>
      <c r="BI359" s="939">
        <f t="shared" si="674"/>
        <v>-8</v>
      </c>
      <c r="BJ359" s="341">
        <f t="shared" si="674"/>
        <v>-9</v>
      </c>
      <c r="BK359" s="341">
        <f t="shared" si="674"/>
        <v>-9</v>
      </c>
      <c r="BL359" s="341">
        <f t="shared" si="674"/>
        <v>-9</v>
      </c>
      <c r="BM359" s="341"/>
      <c r="BN359" s="341"/>
      <c r="BO359" s="352"/>
    </row>
    <row r="360" spans="1:67" s="353" customFormat="1" ht="14.25" hidden="1" customHeight="1" outlineLevel="2">
      <c r="A360" s="6"/>
      <c r="B360" s="438" t="s">
        <v>349</v>
      </c>
      <c r="C360" s="383"/>
      <c r="D360" s="354"/>
      <c r="E360" s="354"/>
      <c r="F360" s="354"/>
      <c r="G360" s="355"/>
      <c r="H360" s="356"/>
      <c r="I360" s="356"/>
      <c r="J360" s="357"/>
      <c r="K360" s="358"/>
      <c r="L360" s="362">
        <v>-16</v>
      </c>
      <c r="M360" s="342">
        <v>0</v>
      </c>
      <c r="N360" s="342">
        <v>24</v>
      </c>
      <c r="O360" s="343">
        <v>37</v>
      </c>
      <c r="P360" s="72">
        <v>-2</v>
      </c>
      <c r="Q360" s="72">
        <v>-3</v>
      </c>
      <c r="R360" s="72">
        <v>-6</v>
      </c>
      <c r="S360" s="73">
        <v>-9</v>
      </c>
      <c r="T360" s="72">
        <v>-6</v>
      </c>
      <c r="U360" s="72">
        <v>-3</v>
      </c>
      <c r="V360" s="72">
        <v>-4</v>
      </c>
      <c r="W360" s="73">
        <v>1</v>
      </c>
      <c r="X360" s="72">
        <v>-2</v>
      </c>
      <c r="Y360" s="72">
        <v>0</v>
      </c>
      <c r="Z360" s="72">
        <v>-1</v>
      </c>
      <c r="AA360" s="72">
        <v>-4</v>
      </c>
      <c r="AB360" s="1158">
        <v>0</v>
      </c>
      <c r="AC360" s="747">
        <v>-2</v>
      </c>
      <c r="AD360" s="747">
        <v>-1</v>
      </c>
      <c r="AE360" s="73">
        <v>0</v>
      </c>
      <c r="AF360" s="1158">
        <v>-16</v>
      </c>
      <c r="AG360" s="747">
        <v>2</v>
      </c>
      <c r="AH360" s="747">
        <v>1</v>
      </c>
      <c r="AI360" s="747">
        <v>1</v>
      </c>
      <c r="AJ360" s="1158">
        <v>0</v>
      </c>
      <c r="AK360" s="747">
        <v>1</v>
      </c>
      <c r="AL360" s="747">
        <v>1</v>
      </c>
      <c r="AM360" s="747">
        <v>1</v>
      </c>
      <c r="AN360" s="1158">
        <v>0</v>
      </c>
      <c r="AO360" s="747">
        <v>0</v>
      </c>
      <c r="AP360" s="747">
        <v>1</v>
      </c>
      <c r="AQ360" s="1823">
        <v>1</v>
      </c>
      <c r="AR360" s="1158"/>
      <c r="AS360" s="747"/>
      <c r="AT360" s="747"/>
      <c r="AU360" s="909"/>
      <c r="AV360" s="1158"/>
      <c r="AW360" s="747"/>
      <c r="AX360" s="747"/>
      <c r="AY360" s="909"/>
      <c r="AZ360" s="115"/>
      <c r="BA360" s="1129"/>
      <c r="BB360" s="359"/>
      <c r="BC360" s="341">
        <f t="shared" si="666"/>
        <v>45</v>
      </c>
      <c r="BD360" s="341">
        <f t="shared" si="667"/>
        <v>-20</v>
      </c>
      <c r="BE360" s="341">
        <f t="shared" si="668"/>
        <v>-12</v>
      </c>
      <c r="BF360" s="939">
        <f t="shared" si="669"/>
        <v>-7</v>
      </c>
      <c r="BG360" s="939">
        <f>SUM(AB360:AE360)</f>
        <v>-3</v>
      </c>
      <c r="BH360" s="341">
        <f t="shared" si="674"/>
        <v>-12</v>
      </c>
      <c r="BI360" s="939">
        <f t="shared" si="674"/>
        <v>4</v>
      </c>
      <c r="BJ360" s="341">
        <f t="shared" si="674"/>
        <v>3</v>
      </c>
      <c r="BK360" s="341">
        <f t="shared" si="674"/>
        <v>3</v>
      </c>
      <c r="BL360" s="341">
        <f t="shared" si="674"/>
        <v>3</v>
      </c>
      <c r="BM360" s="341"/>
      <c r="BN360" s="341"/>
      <c r="BO360" s="352"/>
    </row>
    <row r="361" spans="1:67" s="353" customFormat="1" ht="14.25" hidden="1" customHeight="1" outlineLevel="2">
      <c r="A361" s="6"/>
      <c r="B361" s="438" t="s">
        <v>350</v>
      </c>
      <c r="C361" s="383"/>
      <c r="D361" s="354"/>
      <c r="E361" s="354"/>
      <c r="F361" s="354"/>
      <c r="G361" s="355"/>
      <c r="H361" s="356"/>
      <c r="I361" s="356"/>
      <c r="J361" s="357"/>
      <c r="K361" s="358"/>
      <c r="L361" s="362">
        <v>-15</v>
      </c>
      <c r="M361" s="342">
        <v>-27</v>
      </c>
      <c r="N361" s="342">
        <v>-53</v>
      </c>
      <c r="O361" s="343">
        <v>-19</v>
      </c>
      <c r="P361" s="72">
        <v>-7</v>
      </c>
      <c r="Q361" s="72">
        <v>-5</v>
      </c>
      <c r="R361" s="72">
        <v>-2</v>
      </c>
      <c r="S361" s="73">
        <v>-2</v>
      </c>
      <c r="T361" s="72">
        <v>-2</v>
      </c>
      <c r="U361" s="72">
        <v>-6</v>
      </c>
      <c r="V361" s="72">
        <v>-5</v>
      </c>
      <c r="W361" s="73">
        <v>-5</v>
      </c>
      <c r="X361" s="72">
        <v>-2</v>
      </c>
      <c r="Y361" s="72">
        <v>-1</v>
      </c>
      <c r="Z361" s="72">
        <v>-1</v>
      </c>
      <c r="AA361" s="72">
        <v>-1</v>
      </c>
      <c r="AB361" s="1158">
        <v>-1</v>
      </c>
      <c r="AC361" s="747">
        <v>-1</v>
      </c>
      <c r="AD361" s="747">
        <v>-2</v>
      </c>
      <c r="AE361" s="73">
        <v>-1</v>
      </c>
      <c r="AF361" s="1158">
        <v>2</v>
      </c>
      <c r="AG361" s="747">
        <v>-1</v>
      </c>
      <c r="AH361" s="747">
        <v>0</v>
      </c>
      <c r="AI361" s="747">
        <v>1</v>
      </c>
      <c r="AJ361" s="1158">
        <v>0</v>
      </c>
      <c r="AK361" s="747">
        <v>1</v>
      </c>
      <c r="AL361" s="747">
        <v>0</v>
      </c>
      <c r="AM361" s="747">
        <v>0</v>
      </c>
      <c r="AN361" s="1158">
        <v>-1</v>
      </c>
      <c r="AO361" s="747">
        <v>4</v>
      </c>
      <c r="AP361" s="747">
        <v>0</v>
      </c>
      <c r="AQ361" s="1823">
        <v>0</v>
      </c>
      <c r="AR361" s="1158"/>
      <c r="AS361" s="747"/>
      <c r="AT361" s="747"/>
      <c r="AU361" s="909"/>
      <c r="AV361" s="1158"/>
      <c r="AW361" s="747"/>
      <c r="AX361" s="747"/>
      <c r="AY361" s="909"/>
      <c r="AZ361" s="115"/>
      <c r="BA361" s="1129"/>
      <c r="BB361" s="359"/>
      <c r="BC361" s="341">
        <f t="shared" si="666"/>
        <v>-114</v>
      </c>
      <c r="BD361" s="341">
        <f t="shared" si="667"/>
        <v>-16</v>
      </c>
      <c r="BE361" s="341">
        <f t="shared" si="668"/>
        <v>-18</v>
      </c>
      <c r="BF361" s="939">
        <f t="shared" si="669"/>
        <v>-5</v>
      </c>
      <c r="BG361" s="939">
        <f>SUM(AB361:AE361)</f>
        <v>-5</v>
      </c>
      <c r="BH361" s="341">
        <f t="shared" si="674"/>
        <v>2</v>
      </c>
      <c r="BI361" s="939">
        <f t="shared" si="674"/>
        <v>0</v>
      </c>
      <c r="BJ361" s="341">
        <f t="shared" si="674"/>
        <v>2</v>
      </c>
      <c r="BK361" s="341">
        <f t="shared" si="674"/>
        <v>2</v>
      </c>
      <c r="BL361" s="341">
        <f t="shared" si="674"/>
        <v>1</v>
      </c>
      <c r="BM361" s="341"/>
      <c r="BN361" s="341"/>
      <c r="BO361" s="352"/>
    </row>
    <row r="362" spans="1:67" s="353" customFormat="1" ht="14.25" hidden="1" customHeight="1" outlineLevel="2">
      <c r="A362" s="6"/>
      <c r="B362" s="438" t="s">
        <v>351</v>
      </c>
      <c r="C362" s="383"/>
      <c r="D362" s="354"/>
      <c r="E362" s="354"/>
      <c r="F362" s="354"/>
      <c r="G362" s="355"/>
      <c r="H362" s="356"/>
      <c r="I362" s="356"/>
      <c r="J362" s="357"/>
      <c r="K362" s="358"/>
      <c r="L362" s="362">
        <v>0</v>
      </c>
      <c r="M362" s="342">
        <v>0</v>
      </c>
      <c r="N362" s="342">
        <v>0</v>
      </c>
      <c r="O362" s="343">
        <v>0</v>
      </c>
      <c r="P362" s="72">
        <v>0</v>
      </c>
      <c r="Q362" s="72">
        <v>0</v>
      </c>
      <c r="R362" s="72">
        <v>0</v>
      </c>
      <c r="S362" s="73">
        <v>0</v>
      </c>
      <c r="T362" s="72">
        <v>0</v>
      </c>
      <c r="U362" s="72">
        <v>0</v>
      </c>
      <c r="V362" s="72">
        <v>0</v>
      </c>
      <c r="W362" s="73">
        <v>0</v>
      </c>
      <c r="X362" s="72">
        <v>0</v>
      </c>
      <c r="Y362" s="72">
        <v>0</v>
      </c>
      <c r="Z362" s="72">
        <v>0</v>
      </c>
      <c r="AA362" s="72">
        <v>0</v>
      </c>
      <c r="AB362" s="1158">
        <v>0</v>
      </c>
      <c r="AC362" s="747">
        <v>0</v>
      </c>
      <c r="AD362" s="747">
        <v>0</v>
      </c>
      <c r="AE362" s="73">
        <v>0</v>
      </c>
      <c r="AF362" s="1158">
        <v>0</v>
      </c>
      <c r="AG362" s="747">
        <v>0</v>
      </c>
      <c r="AH362" s="747">
        <v>0</v>
      </c>
      <c r="AI362" s="747">
        <v>0</v>
      </c>
      <c r="AJ362" s="1158">
        <v>0</v>
      </c>
      <c r="AK362" s="747">
        <v>0</v>
      </c>
      <c r="AL362" s="747">
        <v>0</v>
      </c>
      <c r="AM362" s="747">
        <v>0</v>
      </c>
      <c r="AN362" s="1158">
        <v>-1</v>
      </c>
      <c r="AO362" s="747">
        <v>-1</v>
      </c>
      <c r="AP362" s="747">
        <v>0</v>
      </c>
      <c r="AQ362" s="1823">
        <v>0</v>
      </c>
      <c r="AR362" s="1158"/>
      <c r="AS362" s="747"/>
      <c r="AT362" s="747"/>
      <c r="AU362" s="909"/>
      <c r="AV362" s="1158"/>
      <c r="AW362" s="747"/>
      <c r="AX362" s="747"/>
      <c r="AY362" s="909"/>
      <c r="AZ362" s="115"/>
      <c r="BA362" s="1129"/>
      <c r="BB362" s="359"/>
      <c r="BC362" s="341">
        <f t="shared" si="666"/>
        <v>0</v>
      </c>
      <c r="BD362" s="341">
        <f t="shared" si="667"/>
        <v>0</v>
      </c>
      <c r="BE362" s="341">
        <f t="shared" si="668"/>
        <v>0</v>
      </c>
      <c r="BF362" s="939">
        <f t="shared" si="669"/>
        <v>0</v>
      </c>
      <c r="BG362" s="939">
        <f>SUM(AB362:AE362)</f>
        <v>0</v>
      </c>
      <c r="BH362" s="341">
        <f t="shared" si="674"/>
        <v>0</v>
      </c>
      <c r="BI362" s="939">
        <f t="shared" si="674"/>
        <v>0</v>
      </c>
      <c r="BJ362" s="341">
        <f t="shared" si="674"/>
        <v>0</v>
      </c>
      <c r="BK362" s="341">
        <f t="shared" si="674"/>
        <v>0</v>
      </c>
      <c r="BL362" s="341">
        <f t="shared" si="674"/>
        <v>0</v>
      </c>
      <c r="BM362" s="341"/>
      <c r="BN362" s="341"/>
      <c r="BO362" s="352"/>
    </row>
    <row r="363" spans="1:67" ht="14.25" hidden="1" customHeight="1" outlineLevel="2">
      <c r="A363" s="1"/>
      <c r="B363" s="431"/>
      <c r="C363" s="254"/>
      <c r="D363" s="320"/>
      <c r="E363" s="320"/>
      <c r="F363" s="320"/>
      <c r="G363" s="93"/>
      <c r="H363" s="269"/>
      <c r="I363" s="269"/>
      <c r="J363" s="300"/>
      <c r="K363" s="301"/>
      <c r="L363" s="361"/>
      <c r="M363" s="340"/>
      <c r="N363" s="340"/>
      <c r="O363" s="351"/>
      <c r="P363" s="361"/>
      <c r="Q363" s="340"/>
      <c r="R363" s="340"/>
      <c r="S363" s="351"/>
      <c r="T363" s="361"/>
      <c r="U363" s="340"/>
      <c r="V363" s="348"/>
      <c r="W363" s="351"/>
      <c r="X363" s="361"/>
      <c r="Y363" s="340"/>
      <c r="Z363" s="348"/>
      <c r="AA363" s="348"/>
      <c r="AB363" s="923"/>
      <c r="AC363" s="348"/>
      <c r="AD363" s="348"/>
      <c r="AE363" s="349"/>
      <c r="AF363" s="923"/>
      <c r="AG363" s="348"/>
      <c r="AH363" s="348"/>
      <c r="AI363" s="348"/>
      <c r="AJ363" s="923"/>
      <c r="AK363" s="348"/>
      <c r="AL363" s="348"/>
      <c r="AM363" s="348"/>
      <c r="AN363" s="923"/>
      <c r="AO363" s="348"/>
      <c r="AP363" s="348"/>
      <c r="AQ363" s="348"/>
      <c r="AR363" s="923"/>
      <c r="AS363" s="348"/>
      <c r="AT363" s="348"/>
      <c r="AU363" s="349"/>
      <c r="AV363" s="923"/>
      <c r="AW363" s="348"/>
      <c r="AX363" s="348"/>
      <c r="AY363" s="349"/>
      <c r="AZ363" s="20"/>
      <c r="BA363" s="652"/>
      <c r="BB363" s="317"/>
      <c r="BC363" s="256"/>
      <c r="BD363" s="256"/>
      <c r="BE363" s="256"/>
      <c r="BF363" s="255"/>
      <c r="BG363" s="1515"/>
      <c r="BH363" s="1516"/>
      <c r="BI363" s="1614"/>
      <c r="BJ363" s="1615"/>
      <c r="BK363" s="1615"/>
      <c r="BL363" s="1715"/>
      <c r="BM363" s="1715"/>
      <c r="BN363" s="1715"/>
      <c r="BO363" s="299"/>
    </row>
    <row r="364" spans="1:67" s="363" customFormat="1" ht="14.25" hidden="1" customHeight="1" outlineLevel="1">
      <c r="B364" s="436" t="s">
        <v>358</v>
      </c>
      <c r="C364" s="351"/>
      <c r="D364" s="365"/>
      <c r="E364" s="348"/>
      <c r="F364" s="340"/>
      <c r="G364" s="351"/>
      <c r="H364" s="367"/>
      <c r="I364" s="340"/>
      <c r="J364" s="344"/>
      <c r="K364" s="345"/>
      <c r="L364" s="361">
        <f t="shared" ref="L364:AB364" si="675">L356-L358</f>
        <v>5</v>
      </c>
      <c r="M364" s="340">
        <f t="shared" si="675"/>
        <v>24</v>
      </c>
      <c r="N364" s="340">
        <f t="shared" si="675"/>
        <v>15</v>
      </c>
      <c r="O364" s="351">
        <f t="shared" si="675"/>
        <v>20</v>
      </c>
      <c r="P364" s="348">
        <f t="shared" si="675"/>
        <v>2</v>
      </c>
      <c r="Q364" s="348">
        <f t="shared" si="675"/>
        <v>4</v>
      </c>
      <c r="R364" s="348">
        <f t="shared" si="675"/>
        <v>12</v>
      </c>
      <c r="S364" s="349">
        <f t="shared" si="675"/>
        <v>2</v>
      </c>
      <c r="T364" s="348">
        <f t="shared" si="675"/>
        <v>-4</v>
      </c>
      <c r="U364" s="348">
        <f t="shared" si="675"/>
        <v>-3</v>
      </c>
      <c r="V364" s="348">
        <f t="shared" si="675"/>
        <v>-1</v>
      </c>
      <c r="W364" s="349">
        <f t="shared" si="675"/>
        <v>-2</v>
      </c>
      <c r="X364" s="348">
        <f t="shared" si="675"/>
        <v>-1</v>
      </c>
      <c r="Y364" s="348">
        <f t="shared" si="675"/>
        <v>0</v>
      </c>
      <c r="Z364" s="348">
        <f t="shared" si="675"/>
        <v>2</v>
      </c>
      <c r="AA364" s="348">
        <f t="shared" si="675"/>
        <v>-3</v>
      </c>
      <c r="AB364" s="923">
        <f t="shared" si="675"/>
        <v>-2</v>
      </c>
      <c r="AC364" s="348">
        <f t="shared" ref="AC364:AH364" si="676">AC356-AC358</f>
        <v>0</v>
      </c>
      <c r="AD364" s="348">
        <f t="shared" si="676"/>
        <v>1</v>
      </c>
      <c r="AE364" s="349">
        <f t="shared" si="676"/>
        <v>3</v>
      </c>
      <c r="AF364" s="923">
        <f t="shared" si="676"/>
        <v>8</v>
      </c>
      <c r="AG364" s="348">
        <f t="shared" si="676"/>
        <v>3</v>
      </c>
      <c r="AH364" s="348">
        <f t="shared" si="676"/>
        <v>6</v>
      </c>
      <c r="AI364" s="348">
        <f>AI356-AI358</f>
        <v>6</v>
      </c>
      <c r="AJ364" s="923">
        <f>AJ356-AJ358</f>
        <v>-1</v>
      </c>
      <c r="AK364" s="348">
        <f>AK356-AK358</f>
        <v>6</v>
      </c>
      <c r="AL364" s="348">
        <f t="shared" ref="AL364:AM364" si="677">AL356-AL358</f>
        <v>7</v>
      </c>
      <c r="AM364" s="1205">
        <f t="shared" si="677"/>
        <v>-3</v>
      </c>
      <c r="AN364" s="923">
        <f>AN356-AN358</f>
        <v>4</v>
      </c>
      <c r="AO364" s="348">
        <f>AO356-AO358</f>
        <v>3</v>
      </c>
      <c r="AP364" s="348">
        <f t="shared" ref="AP364:AQ364" si="678">AP356-AP358</f>
        <v>7</v>
      </c>
      <c r="AQ364" s="1205">
        <f t="shared" si="678"/>
        <v>4</v>
      </c>
      <c r="AR364" s="364"/>
      <c r="AS364" s="1205"/>
      <c r="AT364" s="1205"/>
      <c r="AU364" s="1206"/>
      <c r="AV364" s="364"/>
      <c r="AW364" s="1205"/>
      <c r="AX364" s="1205"/>
      <c r="AY364" s="1206"/>
      <c r="AZ364" s="1901"/>
      <c r="BA364" s="361"/>
      <c r="BB364" s="340"/>
      <c r="BC364" s="340">
        <f>SUM(L364:O364)</f>
        <v>64</v>
      </c>
      <c r="BD364" s="340">
        <f>SUM(P364:S364)</f>
        <v>20</v>
      </c>
      <c r="BE364" s="340">
        <f>SUM(T364:W364)</f>
        <v>-10</v>
      </c>
      <c r="BF364" s="361">
        <f>SUM(X364:AA364)</f>
        <v>-2</v>
      </c>
      <c r="BG364" s="361">
        <f>SUM(AB364:AE364)</f>
        <v>2</v>
      </c>
      <c r="BH364" s="340">
        <f>SUM(AF356:AI356)</f>
        <v>5</v>
      </c>
      <c r="BI364" s="361">
        <f>SUM(AJ356:AM356)</f>
        <v>4</v>
      </c>
      <c r="BJ364" s="340">
        <f>SUM(AK356:AN356)</f>
        <v>7</v>
      </c>
      <c r="BK364" s="340">
        <f>SUM(AL356:AO356)</f>
        <v>6</v>
      </c>
      <c r="BL364" s="340">
        <f>SUM(AM356:AP356)</f>
        <v>6</v>
      </c>
      <c r="BM364" s="340"/>
      <c r="BN364" s="340"/>
      <c r="BO364" s="364"/>
    </row>
    <row r="365" spans="1:67" ht="14.25" hidden="1" customHeight="1" outlineLevel="1">
      <c r="A365" s="1"/>
      <c r="B365" s="435" t="s">
        <v>503</v>
      </c>
      <c r="C365" s="34"/>
      <c r="D365" s="269"/>
      <c r="E365" s="269"/>
      <c r="F365" s="300"/>
      <c r="G365" s="301"/>
      <c r="H365" s="269"/>
      <c r="I365" s="300"/>
      <c r="J365" s="300"/>
      <c r="K365" s="301"/>
      <c r="L365" s="300">
        <f t="shared" ref="L365:T365" si="679">L364/L$351</f>
        <v>8.1967213114754092E-2</v>
      </c>
      <c r="M365" s="300">
        <f t="shared" si="679"/>
        <v>0.26666666666666666</v>
      </c>
      <c r="N365" s="300">
        <f t="shared" si="679"/>
        <v>0.15625</v>
      </c>
      <c r="O365" s="301">
        <f t="shared" si="679"/>
        <v>0.25974025974025972</v>
      </c>
      <c r="P365" s="300">
        <f t="shared" si="679"/>
        <v>1.4598540145985401E-2</v>
      </c>
      <c r="Q365" s="300">
        <f t="shared" si="679"/>
        <v>2.1621621621621623E-2</v>
      </c>
      <c r="R365" s="300">
        <f t="shared" si="679"/>
        <v>6.8965517241379309E-2</v>
      </c>
      <c r="S365" s="301">
        <f t="shared" si="679"/>
        <v>1.5384615384615385E-2</v>
      </c>
      <c r="T365" s="300">
        <f t="shared" si="679"/>
        <v>-4.2105263157894736E-2</v>
      </c>
      <c r="U365" s="300">
        <f t="shared" ref="U365:AE365" si="680">U364/U$351</f>
        <v>-3.4482758620689655E-2</v>
      </c>
      <c r="V365" s="269">
        <f t="shared" si="680"/>
        <v>-1.2500000000000001E-2</v>
      </c>
      <c r="W365" s="301">
        <f t="shared" si="680"/>
        <v>-3.1746031746031744E-2</v>
      </c>
      <c r="X365" s="300">
        <f t="shared" si="680"/>
        <v>-1.7241379310344827E-2</v>
      </c>
      <c r="Y365" s="300">
        <f t="shared" si="680"/>
        <v>0</v>
      </c>
      <c r="Z365" s="300">
        <f t="shared" si="680"/>
        <v>0.04</v>
      </c>
      <c r="AA365" s="256">
        <f t="shared" si="680"/>
        <v>-6.8181818181818177E-2</v>
      </c>
      <c r="AB365" s="159">
        <f t="shared" si="680"/>
        <v>-6.6666666666666666E-2</v>
      </c>
      <c r="AC365" s="90">
        <f t="shared" si="680"/>
        <v>0</v>
      </c>
      <c r="AD365" s="90">
        <f t="shared" si="680"/>
        <v>2.7777777777777776E-2</v>
      </c>
      <c r="AE365" s="301">
        <f t="shared" si="680"/>
        <v>7.1428571428571425E-2</v>
      </c>
      <c r="AF365" s="159">
        <f t="shared" ref="AF365:AK365" si="681">AF364/AF$351</f>
        <v>0.20512820512820512</v>
      </c>
      <c r="AG365" s="90">
        <f t="shared" si="681"/>
        <v>6.6666666666666666E-2</v>
      </c>
      <c r="AH365" s="90">
        <f t="shared" si="681"/>
        <v>0.13953488372093023</v>
      </c>
      <c r="AI365" s="90">
        <f t="shared" si="681"/>
        <v>0.16216216216216217</v>
      </c>
      <c r="AJ365" s="159">
        <f t="shared" si="681"/>
        <v>-2.5000000000000001E-2</v>
      </c>
      <c r="AK365" s="90">
        <f t="shared" si="681"/>
        <v>0.15789473684210525</v>
      </c>
      <c r="AL365" s="90">
        <f t="shared" ref="AL365:AO365" si="682">AL364/AL$351</f>
        <v>0.21212121212121213</v>
      </c>
      <c r="AM365" s="1208">
        <f t="shared" si="682"/>
        <v>-0.10344827586206896</v>
      </c>
      <c r="AN365" s="1607">
        <f t="shared" si="682"/>
        <v>0.10256410256410256</v>
      </c>
      <c r="AO365" s="1603">
        <f t="shared" si="682"/>
        <v>6.25E-2</v>
      </c>
      <c r="AP365" s="1603">
        <f t="shared" ref="AP365:AQ365" si="683">AP364/AP$351</f>
        <v>0.14000000000000001</v>
      </c>
      <c r="AQ365" s="1208">
        <f t="shared" si="683"/>
        <v>7.2727272727272724E-2</v>
      </c>
      <c r="AR365" s="1207"/>
      <c r="AS365" s="1208"/>
      <c r="AT365" s="1208"/>
      <c r="AU365" s="1209"/>
      <c r="AV365" s="1207"/>
      <c r="AW365" s="1208"/>
      <c r="AX365" s="1208"/>
      <c r="AY365" s="1209"/>
      <c r="AZ365" s="20"/>
      <c r="BA365" s="652"/>
      <c r="BB365" s="317"/>
      <c r="BC365" s="256">
        <f t="shared" ref="BC365:BJ365" si="684">BC364/BC$351</f>
        <v>0.19753086419753085</v>
      </c>
      <c r="BD365" s="256">
        <f t="shared" si="684"/>
        <v>3.1948881789137379E-2</v>
      </c>
      <c r="BE365" s="256">
        <f t="shared" si="684"/>
        <v>-3.0769230769230771E-2</v>
      </c>
      <c r="BF365" s="255">
        <f t="shared" si="684"/>
        <v>-9.3457943925233638E-3</v>
      </c>
      <c r="BG365" s="1515">
        <f t="shared" si="684"/>
        <v>1.4598540145985401E-2</v>
      </c>
      <c r="BH365" s="1516">
        <f t="shared" si="684"/>
        <v>3.048780487804878E-2</v>
      </c>
      <c r="BI365" s="1614">
        <f t="shared" si="684"/>
        <v>2.8571428571428571E-2</v>
      </c>
      <c r="BJ365" s="1615">
        <f t="shared" si="684"/>
        <v>3.6458333333333336E-2</v>
      </c>
      <c r="BK365" s="1615">
        <f t="shared" ref="BK365:BL365" si="685">BK364/BK$351</f>
        <v>1.5267175572519083E-2</v>
      </c>
      <c r="BL365" s="1715">
        <f t="shared" si="685"/>
        <v>1.4999999999999999E-2</v>
      </c>
      <c r="BM365" s="1715"/>
      <c r="BN365" s="1715"/>
      <c r="BO365" s="299"/>
    </row>
    <row r="366" spans="1:67" ht="14.25" hidden="1" customHeight="1" outlineLevel="1">
      <c r="A366" s="1"/>
      <c r="B366" s="431"/>
      <c r="C366" s="254"/>
      <c r="D366" s="320"/>
      <c r="E366" s="320"/>
      <c r="F366" s="320"/>
      <c r="G366" s="93"/>
      <c r="H366" s="269"/>
      <c r="I366" s="269"/>
      <c r="J366" s="300"/>
      <c r="K366" s="301"/>
      <c r="L366" s="300"/>
      <c r="M366" s="300"/>
      <c r="N366" s="300"/>
      <c r="O366" s="301"/>
      <c r="P366" s="300"/>
      <c r="Q366" s="300"/>
      <c r="R366" s="300"/>
      <c r="S366" s="301"/>
      <c r="T366" s="300"/>
      <c r="U366" s="300"/>
      <c r="V366" s="269"/>
      <c r="W366" s="301"/>
      <c r="X366" s="300"/>
      <c r="Y366" s="300"/>
      <c r="Z366" s="300"/>
      <c r="AA366" s="256"/>
      <c r="AB366" s="159"/>
      <c r="AC366" s="90"/>
      <c r="AD366" s="90"/>
      <c r="AE366" s="301"/>
      <c r="AF366" s="159"/>
      <c r="AG366" s="90"/>
      <c r="AH366" s="90"/>
      <c r="AI366" s="90"/>
      <c r="AJ366" s="159"/>
      <c r="AK366" s="90"/>
      <c r="AL366" s="90"/>
      <c r="AM366" s="1573"/>
      <c r="AN366" s="1607"/>
      <c r="AO366" s="1603"/>
      <c r="AP366" s="1603"/>
      <c r="AQ366" s="1806"/>
      <c r="AR366" s="159"/>
      <c r="AS366" s="1506"/>
      <c r="AT366" s="1506"/>
      <c r="AU366" s="91"/>
      <c r="AV366" s="159"/>
      <c r="AW366" s="1506"/>
      <c r="AX366" s="1506"/>
      <c r="AY366" s="91"/>
      <c r="AZ366" s="20"/>
      <c r="BA366" s="652"/>
      <c r="BB366" s="317"/>
      <c r="BC366" s="256"/>
      <c r="BD366" s="256"/>
      <c r="BE366" s="256"/>
      <c r="BF366" s="255"/>
      <c r="BG366" s="1515"/>
      <c r="BH366" s="1516"/>
      <c r="BI366" s="1614"/>
      <c r="BJ366" s="1615"/>
      <c r="BK366" s="1615"/>
      <c r="BL366" s="1715"/>
      <c r="BM366" s="1715"/>
      <c r="BN366" s="1715"/>
      <c r="BO366" s="299"/>
    </row>
    <row r="367" spans="1:67" s="285" customFormat="1" ht="14.25" hidden="1" customHeight="1" outlineLevel="1">
      <c r="B367" s="437" t="s">
        <v>22</v>
      </c>
      <c r="C367" s="924"/>
      <c r="D367" s="925"/>
      <c r="E367" s="925"/>
      <c r="F367" s="925"/>
      <c r="G367" s="926"/>
      <c r="H367" s="648"/>
      <c r="I367" s="648"/>
      <c r="J367" s="649"/>
      <c r="K367" s="650"/>
      <c r="L367" s="649"/>
      <c r="M367" s="649"/>
      <c r="N367" s="649"/>
      <c r="O367" s="650"/>
      <c r="P367" s="988">
        <f>+P351-P364</f>
        <v>135</v>
      </c>
      <c r="Q367" s="988">
        <f t="shared" ref="Q367:AD367" si="686">+Q351-Q364</f>
        <v>181</v>
      </c>
      <c r="R367" s="988">
        <f t="shared" si="686"/>
        <v>162</v>
      </c>
      <c r="S367" s="989">
        <f t="shared" si="686"/>
        <v>128</v>
      </c>
      <c r="T367" s="988">
        <f t="shared" si="686"/>
        <v>99</v>
      </c>
      <c r="U367" s="988">
        <f t="shared" si="686"/>
        <v>90</v>
      </c>
      <c r="V367" s="990">
        <f t="shared" si="686"/>
        <v>81</v>
      </c>
      <c r="W367" s="989">
        <f t="shared" si="686"/>
        <v>65</v>
      </c>
      <c r="X367" s="988">
        <f t="shared" si="686"/>
        <v>59</v>
      </c>
      <c r="Y367" s="988">
        <f t="shared" si="686"/>
        <v>62</v>
      </c>
      <c r="Z367" s="988">
        <f t="shared" si="686"/>
        <v>48</v>
      </c>
      <c r="AA367" s="1241">
        <f t="shared" si="686"/>
        <v>47</v>
      </c>
      <c r="AB367" s="1275">
        <f t="shared" si="686"/>
        <v>32</v>
      </c>
      <c r="AC367" s="1246">
        <f t="shared" si="686"/>
        <v>29</v>
      </c>
      <c r="AD367" s="1246">
        <f t="shared" si="686"/>
        <v>35</v>
      </c>
      <c r="AE367" s="989">
        <f t="shared" ref="AE367:AJ367" si="687">+AE351-AE364</f>
        <v>39</v>
      </c>
      <c r="AF367" s="1275">
        <f t="shared" si="687"/>
        <v>31</v>
      </c>
      <c r="AG367" s="1246">
        <f t="shared" si="687"/>
        <v>42</v>
      </c>
      <c r="AH367" s="1246">
        <f t="shared" si="687"/>
        <v>37</v>
      </c>
      <c r="AI367" s="1246">
        <f t="shared" si="687"/>
        <v>31</v>
      </c>
      <c r="AJ367" s="1275">
        <f t="shared" si="687"/>
        <v>41</v>
      </c>
      <c r="AK367" s="1246">
        <f>+AK351-AK364</f>
        <v>32</v>
      </c>
      <c r="AL367" s="1246">
        <f t="shared" ref="AL367:AN367" si="688">+AL351-AL364</f>
        <v>26</v>
      </c>
      <c r="AM367" s="614">
        <f t="shared" si="688"/>
        <v>32</v>
      </c>
      <c r="AN367" s="1275">
        <f t="shared" si="688"/>
        <v>35</v>
      </c>
      <c r="AO367" s="1246">
        <f>+AO351-AO364</f>
        <v>45</v>
      </c>
      <c r="AP367" s="1246">
        <f t="shared" ref="AP367:AQ367" si="689">+AP351-AP364</f>
        <v>43</v>
      </c>
      <c r="AQ367" s="614">
        <f t="shared" si="689"/>
        <v>51</v>
      </c>
      <c r="AR367" s="979"/>
      <c r="AS367" s="614"/>
      <c r="AT367" s="614"/>
      <c r="AU367" s="980"/>
      <c r="AV367" s="979"/>
      <c r="AW367" s="614"/>
      <c r="AX367" s="614"/>
      <c r="AY367" s="980"/>
      <c r="AZ367" s="1899"/>
      <c r="BA367" s="651"/>
      <c r="BB367" s="738"/>
      <c r="BC367" s="738"/>
      <c r="BD367" s="738"/>
      <c r="BE367" s="738"/>
      <c r="BF367" s="651"/>
      <c r="BG367" s="651"/>
      <c r="BH367" s="738"/>
      <c r="BI367" s="651"/>
      <c r="BJ367" s="738"/>
      <c r="BK367" s="738"/>
      <c r="BL367" s="738"/>
      <c r="BM367" s="738"/>
      <c r="BN367" s="738"/>
      <c r="BO367" s="928"/>
    </row>
    <row r="368" spans="1:67" ht="14.25" hidden="1" customHeight="1" outlineLevel="1">
      <c r="A368" s="1"/>
      <c r="B368" s="431"/>
      <c r="C368" s="254"/>
      <c r="D368" s="320"/>
      <c r="E368" s="320"/>
      <c r="F368" s="320"/>
      <c r="G368" s="93"/>
      <c r="H368" s="269"/>
      <c r="I368" s="269"/>
      <c r="J368" s="300"/>
      <c r="K368" s="301"/>
      <c r="L368" s="300"/>
      <c r="M368" s="300"/>
      <c r="N368" s="300"/>
      <c r="O368" s="301"/>
      <c r="P368" s="300"/>
      <c r="Q368" s="300"/>
      <c r="R368" s="300"/>
      <c r="S368" s="301"/>
      <c r="T368" s="300"/>
      <c r="U368" s="300"/>
      <c r="V368" s="269"/>
      <c r="W368" s="301"/>
      <c r="X368" s="300"/>
      <c r="Y368" s="300"/>
      <c r="Z368" s="300"/>
      <c r="AA368" s="256"/>
      <c r="AB368" s="159"/>
      <c r="AC368" s="90"/>
      <c r="AD368" s="90"/>
      <c r="AE368" s="301"/>
      <c r="AF368" s="159"/>
      <c r="AG368" s="90"/>
      <c r="AH368" s="90"/>
      <c r="AI368" s="90"/>
      <c r="AJ368" s="159"/>
      <c r="AK368" s="90"/>
      <c r="AL368" s="90"/>
      <c r="AM368" s="1573"/>
      <c r="AN368" s="1607"/>
      <c r="AO368" s="1603"/>
      <c r="AP368" s="1603"/>
      <c r="AQ368" s="1806"/>
      <c r="AR368" s="159"/>
      <c r="AS368" s="1506"/>
      <c r="AT368" s="1506"/>
      <c r="AU368" s="91"/>
      <c r="AV368" s="159"/>
      <c r="AW368" s="1506"/>
      <c r="AX368" s="1506"/>
      <c r="AY368" s="91"/>
      <c r="AZ368" s="20"/>
      <c r="BA368" s="652"/>
      <c r="BB368" s="317"/>
      <c r="BC368" s="256"/>
      <c r="BD368" s="256"/>
      <c r="BE368" s="256"/>
      <c r="BF368" s="255"/>
      <c r="BG368" s="1515"/>
      <c r="BH368" s="1516"/>
      <c r="BI368" s="1614"/>
      <c r="BJ368" s="1615"/>
      <c r="BK368" s="1615"/>
      <c r="BL368" s="1715"/>
      <c r="BM368" s="1715"/>
      <c r="BN368" s="1715"/>
      <c r="BO368" s="299"/>
    </row>
    <row r="369" spans="1:67" s="363" customFormat="1" ht="14.25" hidden="1" customHeight="1" outlineLevel="1" collapsed="1">
      <c r="B369" s="436" t="s">
        <v>359</v>
      </c>
      <c r="C369" s="351"/>
      <c r="D369" s="365"/>
      <c r="E369" s="348"/>
      <c r="F369" s="340"/>
      <c r="G369" s="351"/>
      <c r="H369" s="367"/>
      <c r="I369" s="340"/>
      <c r="J369" s="344"/>
      <c r="K369" s="345"/>
      <c r="L369" s="360">
        <v>-49</v>
      </c>
      <c r="M369" s="344">
        <v>-83</v>
      </c>
      <c r="N369" s="344">
        <v>-56</v>
      </c>
      <c r="O369" s="345">
        <v>13</v>
      </c>
      <c r="P369" s="346">
        <v>-16</v>
      </c>
      <c r="Q369" s="346">
        <v>-13</v>
      </c>
      <c r="R369" s="346">
        <v>-8</v>
      </c>
      <c r="S369" s="347">
        <v>-20</v>
      </c>
      <c r="T369" s="346">
        <v>-16</v>
      </c>
      <c r="U369" s="346">
        <v>-18</v>
      </c>
      <c r="V369" s="346">
        <v>-16</v>
      </c>
      <c r="W369" s="347">
        <v>-10</v>
      </c>
      <c r="X369" s="346">
        <v>-10</v>
      </c>
      <c r="Y369" s="346">
        <v>-5</v>
      </c>
      <c r="Z369" s="346">
        <v>-6</v>
      </c>
      <c r="AA369" s="346">
        <v>-15</v>
      </c>
      <c r="AB369" s="1250">
        <v>-7</v>
      </c>
      <c r="AC369" s="346">
        <v>-10</v>
      </c>
      <c r="AD369" s="346">
        <v>-9</v>
      </c>
      <c r="AE369" s="347">
        <v>0</v>
      </c>
      <c r="AF369" s="923">
        <v>0</v>
      </c>
      <c r="AG369" s="348">
        <v>0</v>
      </c>
      <c r="AH369" s="346">
        <v>-5</v>
      </c>
      <c r="AI369" s="346">
        <v>-8</v>
      </c>
      <c r="AJ369" s="923">
        <v>-23</v>
      </c>
      <c r="AK369" s="348">
        <v>-14</v>
      </c>
      <c r="AL369" s="346">
        <v>-5</v>
      </c>
      <c r="AM369" s="348">
        <v>-5</v>
      </c>
      <c r="AN369" s="923">
        <v>-24</v>
      </c>
      <c r="AO369" s="348">
        <v>-22</v>
      </c>
      <c r="AP369" s="346">
        <v>-5</v>
      </c>
      <c r="AQ369" s="1821">
        <v>-5</v>
      </c>
      <c r="AR369" s="923"/>
      <c r="AS369" s="348"/>
      <c r="AT369" s="348"/>
      <c r="AU369" s="349"/>
      <c r="AV369" s="923"/>
      <c r="AW369" s="348"/>
      <c r="AX369" s="348"/>
      <c r="AY369" s="349"/>
      <c r="AZ369" s="1901"/>
      <c r="BA369" s="361"/>
      <c r="BB369" s="340"/>
      <c r="BC369" s="340">
        <f t="shared" ref="BC369:BC374" si="690">SUM(L369:O369)</f>
        <v>-175</v>
      </c>
      <c r="BD369" s="340">
        <f t="shared" ref="BD369:BD374" si="691">SUM(P369:S369)</f>
        <v>-57</v>
      </c>
      <c r="BE369" s="340">
        <f t="shared" ref="BE369:BE374" si="692">SUM(T369:W369)</f>
        <v>-60</v>
      </c>
      <c r="BF369" s="361">
        <f t="shared" ref="BF369:BF374" si="693">SUM(X369:AA369)</f>
        <v>-36</v>
      </c>
      <c r="BG369" s="361">
        <f t="shared" ref="BG369:BG374" si="694">SUM(AB369:AE369)</f>
        <v>-26</v>
      </c>
      <c r="BH369" s="340">
        <f t="shared" ref="BH369:BH374" si="695">SUM(AF369:AI369)</f>
        <v>-13</v>
      </c>
      <c r="BI369" s="361">
        <f t="shared" ref="BI369:BL370" si="696">SUM(AJ369:AM369)</f>
        <v>-47</v>
      </c>
      <c r="BJ369" s="340">
        <f t="shared" si="696"/>
        <v>-48</v>
      </c>
      <c r="BK369" s="340">
        <f t="shared" si="696"/>
        <v>-56</v>
      </c>
      <c r="BL369" s="340">
        <f t="shared" si="696"/>
        <v>-56</v>
      </c>
      <c r="BM369" s="340"/>
      <c r="BN369" s="340"/>
      <c r="BO369" s="364"/>
    </row>
    <row r="370" spans="1:67" s="861" customFormat="1" ht="14.25" hidden="1" customHeight="1" outlineLevel="1">
      <c r="B370" s="493" t="s">
        <v>360</v>
      </c>
      <c r="C370" s="862"/>
      <c r="D370" s="863"/>
      <c r="E370" s="863"/>
      <c r="F370" s="863"/>
      <c r="G370" s="864"/>
      <c r="H370" s="865"/>
      <c r="I370" s="865"/>
      <c r="J370" s="866"/>
      <c r="K370" s="867"/>
      <c r="L370" s="921">
        <f t="shared" ref="L370:AB370" si="697">SUM(L371:L374)</f>
        <v>-41</v>
      </c>
      <c r="M370" s="874">
        <f t="shared" si="697"/>
        <v>-82</v>
      </c>
      <c r="N370" s="874">
        <f t="shared" si="697"/>
        <v>-64</v>
      </c>
      <c r="O370" s="875">
        <f t="shared" si="697"/>
        <v>3</v>
      </c>
      <c r="P370" s="871">
        <f t="shared" si="697"/>
        <v>-14</v>
      </c>
      <c r="Q370" s="871">
        <f t="shared" si="697"/>
        <v>-13</v>
      </c>
      <c r="R370" s="871">
        <f t="shared" si="697"/>
        <v>-15</v>
      </c>
      <c r="S370" s="872">
        <f t="shared" si="697"/>
        <v>-18</v>
      </c>
      <c r="T370" s="871">
        <f t="shared" si="697"/>
        <v>-14</v>
      </c>
      <c r="U370" s="871">
        <f t="shared" si="697"/>
        <v>-17</v>
      </c>
      <c r="V370" s="871">
        <f>SUM(V371:V374)</f>
        <v>-16</v>
      </c>
      <c r="W370" s="872">
        <f>SUM(W371:W374)</f>
        <v>-8</v>
      </c>
      <c r="X370" s="871">
        <f>SUM(X371:X374)</f>
        <v>-10</v>
      </c>
      <c r="Y370" s="871">
        <f>SUM(Y371:Y374)</f>
        <v>-4</v>
      </c>
      <c r="Z370" s="871">
        <f t="shared" si="697"/>
        <v>-8</v>
      </c>
      <c r="AA370" s="871">
        <f t="shared" si="697"/>
        <v>-11</v>
      </c>
      <c r="AB370" s="1147">
        <f t="shared" si="697"/>
        <v>-7</v>
      </c>
      <c r="AC370" s="871">
        <f>SUM(AC371:AC374)</f>
        <v>-9</v>
      </c>
      <c r="AD370" s="871">
        <f>SUM(AD371:AD374)</f>
        <v>-9</v>
      </c>
      <c r="AE370" s="872">
        <f>SUM(AE371:AE374)</f>
        <v>0</v>
      </c>
      <c r="AF370" s="1147">
        <f>SUM(AF371:AF374)</f>
        <v>0</v>
      </c>
      <c r="AG370" s="871">
        <v>0</v>
      </c>
      <c r="AH370" s="871">
        <f t="shared" ref="AH370:AM370" si="698">SUM(AH371:AH374)</f>
        <v>-3</v>
      </c>
      <c r="AI370" s="871">
        <f t="shared" si="698"/>
        <v>-7</v>
      </c>
      <c r="AJ370" s="1147">
        <f t="shared" si="698"/>
        <v>-15</v>
      </c>
      <c r="AK370" s="871">
        <f t="shared" si="698"/>
        <v>-10</v>
      </c>
      <c r="AL370" s="871">
        <f t="shared" si="698"/>
        <v>-3</v>
      </c>
      <c r="AM370" s="871">
        <f t="shared" si="698"/>
        <v>-3</v>
      </c>
      <c r="AN370" s="1147">
        <f t="shared" ref="AN370:AQ370" si="699">SUM(AN371:AN374)</f>
        <v>-15</v>
      </c>
      <c r="AO370" s="871">
        <f t="shared" si="699"/>
        <v>-10</v>
      </c>
      <c r="AP370" s="871">
        <f t="shared" si="699"/>
        <v>-3</v>
      </c>
      <c r="AQ370" s="871">
        <f t="shared" si="699"/>
        <v>-3</v>
      </c>
      <c r="AR370" s="1147"/>
      <c r="AS370" s="871"/>
      <c r="AT370" s="871"/>
      <c r="AU370" s="872"/>
      <c r="AV370" s="1147"/>
      <c r="AW370" s="871"/>
      <c r="AX370" s="871"/>
      <c r="AY370" s="872"/>
      <c r="AZ370" s="1912"/>
      <c r="BA370" s="1127"/>
      <c r="BB370" s="873"/>
      <c r="BC370" s="874">
        <f t="shared" si="690"/>
        <v>-184</v>
      </c>
      <c r="BD370" s="874">
        <f t="shared" si="691"/>
        <v>-60</v>
      </c>
      <c r="BE370" s="874">
        <f t="shared" si="692"/>
        <v>-55</v>
      </c>
      <c r="BF370" s="921">
        <f t="shared" si="693"/>
        <v>-33</v>
      </c>
      <c r="BG370" s="921">
        <f t="shared" si="694"/>
        <v>-25</v>
      </c>
      <c r="BH370" s="874">
        <f t="shared" si="695"/>
        <v>-10</v>
      </c>
      <c r="BI370" s="921">
        <f t="shared" si="696"/>
        <v>-31</v>
      </c>
      <c r="BJ370" s="874">
        <f t="shared" si="696"/>
        <v>-31</v>
      </c>
      <c r="BK370" s="874">
        <f t="shared" si="696"/>
        <v>-31</v>
      </c>
      <c r="BL370" s="874">
        <f t="shared" si="696"/>
        <v>-31</v>
      </c>
      <c r="BM370" s="874"/>
      <c r="BN370" s="874"/>
      <c r="BO370" s="876"/>
    </row>
    <row r="371" spans="1:67" s="353" customFormat="1" ht="14.25" hidden="1" customHeight="1" outlineLevel="2">
      <c r="A371" s="6"/>
      <c r="B371" s="437" t="s">
        <v>348</v>
      </c>
      <c r="C371" s="383"/>
      <c r="D371" s="354"/>
      <c r="E371" s="354"/>
      <c r="F371" s="354"/>
      <c r="G371" s="355"/>
      <c r="H371" s="356"/>
      <c r="I371" s="356"/>
      <c r="J371" s="357"/>
      <c r="K371" s="358"/>
      <c r="L371" s="362">
        <v>-7</v>
      </c>
      <c r="M371" s="342">
        <v>-57</v>
      </c>
      <c r="N371" s="342">
        <v>-7</v>
      </c>
      <c r="O371" s="343">
        <v>-12</v>
      </c>
      <c r="P371" s="72">
        <v>-6</v>
      </c>
      <c r="Q371" s="72">
        <v>-7</v>
      </c>
      <c r="R371" s="72">
        <v>-7</v>
      </c>
      <c r="S371" s="73">
        <v>-5</v>
      </c>
      <c r="T371" s="72">
        <v>-7</v>
      </c>
      <c r="U371" s="72">
        <v>-7</v>
      </c>
      <c r="V371" s="72">
        <v>-6</v>
      </c>
      <c r="W371" s="73">
        <v>-6</v>
      </c>
      <c r="X371" s="72">
        <v>-6</v>
      </c>
      <c r="Y371" s="72">
        <v>-6</v>
      </c>
      <c r="Z371" s="72">
        <v>-5</v>
      </c>
      <c r="AA371" s="72">
        <v>-6</v>
      </c>
      <c r="AB371" s="1158">
        <v>-6</v>
      </c>
      <c r="AC371" s="747">
        <v>-6</v>
      </c>
      <c r="AD371" s="747">
        <v>-6</v>
      </c>
      <c r="AE371" s="73">
        <v>0</v>
      </c>
      <c r="AF371" s="1158">
        <v>0</v>
      </c>
      <c r="AG371" s="747">
        <v>0</v>
      </c>
      <c r="AH371" s="747">
        <v>-5</v>
      </c>
      <c r="AI371" s="747">
        <v>-6</v>
      </c>
      <c r="AJ371" s="1158">
        <v>-5</v>
      </c>
      <c r="AK371" s="747">
        <v>-6</v>
      </c>
      <c r="AL371" s="747">
        <v>-5</v>
      </c>
      <c r="AM371" s="747">
        <v>-5</v>
      </c>
      <c r="AN371" s="1158">
        <v>-5</v>
      </c>
      <c r="AO371" s="747">
        <v>-6</v>
      </c>
      <c r="AP371" s="747">
        <v>-5</v>
      </c>
      <c r="AQ371" s="1823">
        <v>-5</v>
      </c>
      <c r="AR371" s="1158"/>
      <c r="AS371" s="747"/>
      <c r="AT371" s="747"/>
      <c r="AU371" s="909"/>
      <c r="AV371" s="1158"/>
      <c r="AW371" s="747"/>
      <c r="AX371" s="747"/>
      <c r="AY371" s="909"/>
      <c r="AZ371" s="115"/>
      <c r="BA371" s="1129"/>
      <c r="BB371" s="359"/>
      <c r="BC371" s="341">
        <f t="shared" si="690"/>
        <v>-83</v>
      </c>
      <c r="BD371" s="341">
        <f t="shared" si="691"/>
        <v>-25</v>
      </c>
      <c r="BE371" s="341">
        <f t="shared" si="692"/>
        <v>-26</v>
      </c>
      <c r="BF371" s="939">
        <f t="shared" si="693"/>
        <v>-23</v>
      </c>
      <c r="BG371" s="939">
        <f t="shared" si="694"/>
        <v>-18</v>
      </c>
      <c r="BH371" s="341">
        <f t="shared" si="695"/>
        <v>-11</v>
      </c>
      <c r="BI371" s="939">
        <f t="shared" ref="BI371:BL374" si="700">SUM(AG371:AJ371)</f>
        <v>-16</v>
      </c>
      <c r="BJ371" s="341">
        <f t="shared" si="700"/>
        <v>-22</v>
      </c>
      <c r="BK371" s="341">
        <f t="shared" si="700"/>
        <v>-22</v>
      </c>
      <c r="BL371" s="341">
        <f t="shared" si="700"/>
        <v>-21</v>
      </c>
      <c r="BM371" s="341"/>
      <c r="BN371" s="341"/>
      <c r="BO371" s="352"/>
    </row>
    <row r="372" spans="1:67" s="353" customFormat="1" ht="14.25" hidden="1" customHeight="1" outlineLevel="2">
      <c r="A372" s="6"/>
      <c r="B372" s="438" t="s">
        <v>349</v>
      </c>
      <c r="C372" s="383"/>
      <c r="D372" s="354"/>
      <c r="E372" s="354"/>
      <c r="F372" s="354"/>
      <c r="G372" s="355"/>
      <c r="H372" s="356"/>
      <c r="I372" s="356"/>
      <c r="J372" s="357"/>
      <c r="K372" s="358"/>
      <c r="L372" s="362">
        <v>-16</v>
      </c>
      <c r="M372" s="342">
        <v>0</v>
      </c>
      <c r="N372" s="342">
        <v>22</v>
      </c>
      <c r="O372" s="343">
        <v>37</v>
      </c>
      <c r="P372" s="72">
        <v>-2</v>
      </c>
      <c r="Q372" s="72">
        <v>-2</v>
      </c>
      <c r="R372" s="72">
        <v>-6</v>
      </c>
      <c r="S372" s="73">
        <v>-10</v>
      </c>
      <c r="T372" s="72">
        <v>-6</v>
      </c>
      <c r="U372" s="72">
        <v>-3</v>
      </c>
      <c r="V372" s="72">
        <v>-5</v>
      </c>
      <c r="W372" s="73">
        <v>2</v>
      </c>
      <c r="X372" s="72">
        <v>-2</v>
      </c>
      <c r="Y372" s="72">
        <v>0</v>
      </c>
      <c r="Z372" s="72">
        <v>-1</v>
      </c>
      <c r="AA372" s="72">
        <v>-4</v>
      </c>
      <c r="AB372" s="1158">
        <v>0</v>
      </c>
      <c r="AC372" s="747">
        <v>-2</v>
      </c>
      <c r="AD372" s="747">
        <v>-1</v>
      </c>
      <c r="AE372" s="73">
        <v>0</v>
      </c>
      <c r="AF372" s="1158">
        <v>0</v>
      </c>
      <c r="AG372" s="747">
        <v>0</v>
      </c>
      <c r="AH372" s="747">
        <v>1</v>
      </c>
      <c r="AI372" s="747">
        <v>-4</v>
      </c>
      <c r="AJ372" s="1158">
        <v>-1</v>
      </c>
      <c r="AK372" s="747">
        <v>-2</v>
      </c>
      <c r="AL372" s="747">
        <v>1</v>
      </c>
      <c r="AM372" s="747">
        <v>1</v>
      </c>
      <c r="AN372" s="1158">
        <v>-1</v>
      </c>
      <c r="AO372" s="747">
        <v>-2</v>
      </c>
      <c r="AP372" s="747">
        <v>1</v>
      </c>
      <c r="AQ372" s="1823">
        <v>1</v>
      </c>
      <c r="AR372" s="1158"/>
      <c r="AS372" s="747"/>
      <c r="AT372" s="747"/>
      <c r="AU372" s="909"/>
      <c r="AV372" s="1158"/>
      <c r="AW372" s="747"/>
      <c r="AX372" s="747"/>
      <c r="AY372" s="909"/>
      <c r="AZ372" s="115"/>
      <c r="BA372" s="1129"/>
      <c r="BB372" s="359"/>
      <c r="BC372" s="341">
        <f t="shared" si="690"/>
        <v>43</v>
      </c>
      <c r="BD372" s="341">
        <f t="shared" si="691"/>
        <v>-20</v>
      </c>
      <c r="BE372" s="341">
        <f t="shared" si="692"/>
        <v>-12</v>
      </c>
      <c r="BF372" s="939">
        <f t="shared" si="693"/>
        <v>-7</v>
      </c>
      <c r="BG372" s="939">
        <f t="shared" si="694"/>
        <v>-3</v>
      </c>
      <c r="BH372" s="341">
        <f t="shared" si="695"/>
        <v>-3</v>
      </c>
      <c r="BI372" s="939">
        <f t="shared" si="700"/>
        <v>-4</v>
      </c>
      <c r="BJ372" s="341">
        <f t="shared" si="700"/>
        <v>-6</v>
      </c>
      <c r="BK372" s="341">
        <f t="shared" si="700"/>
        <v>-6</v>
      </c>
      <c r="BL372" s="341">
        <f t="shared" si="700"/>
        <v>-1</v>
      </c>
      <c r="BM372" s="341"/>
      <c r="BN372" s="341"/>
      <c r="BO372" s="352"/>
    </row>
    <row r="373" spans="1:67" s="353" customFormat="1" ht="14.25" hidden="1" customHeight="1" outlineLevel="2">
      <c r="A373" s="6"/>
      <c r="B373" s="438" t="s">
        <v>350</v>
      </c>
      <c r="C373" s="383"/>
      <c r="D373" s="354"/>
      <c r="E373" s="354"/>
      <c r="F373" s="354"/>
      <c r="G373" s="355"/>
      <c r="H373" s="356"/>
      <c r="I373" s="356"/>
      <c r="J373" s="357"/>
      <c r="K373" s="358"/>
      <c r="L373" s="362">
        <v>-18</v>
      </c>
      <c r="M373" s="342">
        <v>-25</v>
      </c>
      <c r="N373" s="342">
        <v>-79</v>
      </c>
      <c r="O373" s="343">
        <v>-22</v>
      </c>
      <c r="P373" s="72">
        <v>-6</v>
      </c>
      <c r="Q373" s="72">
        <v>-4</v>
      </c>
      <c r="R373" s="72">
        <v>-2</v>
      </c>
      <c r="S373" s="73">
        <v>-3</v>
      </c>
      <c r="T373" s="72">
        <v>-1</v>
      </c>
      <c r="U373" s="72">
        <v>-7</v>
      </c>
      <c r="V373" s="72">
        <v>-5</v>
      </c>
      <c r="W373" s="73">
        <v>-4</v>
      </c>
      <c r="X373" s="72">
        <v>-2</v>
      </c>
      <c r="Y373" s="72">
        <v>2</v>
      </c>
      <c r="Z373" s="72">
        <v>-2</v>
      </c>
      <c r="AA373" s="72">
        <v>-1</v>
      </c>
      <c r="AB373" s="1158">
        <v>-1</v>
      </c>
      <c r="AC373" s="747">
        <v>-1</v>
      </c>
      <c r="AD373" s="747">
        <v>-2</v>
      </c>
      <c r="AE373" s="73">
        <v>0</v>
      </c>
      <c r="AF373" s="1158">
        <v>0</v>
      </c>
      <c r="AG373" s="747">
        <v>0</v>
      </c>
      <c r="AH373" s="747">
        <v>1</v>
      </c>
      <c r="AI373" s="747">
        <v>3</v>
      </c>
      <c r="AJ373" s="1158">
        <v>-9</v>
      </c>
      <c r="AK373" s="747">
        <v>-2</v>
      </c>
      <c r="AL373" s="747">
        <v>1</v>
      </c>
      <c r="AM373" s="747">
        <v>1</v>
      </c>
      <c r="AN373" s="1158">
        <v>-9</v>
      </c>
      <c r="AO373" s="747">
        <f>-4+2</f>
        <v>-2</v>
      </c>
      <c r="AP373" s="747">
        <v>1</v>
      </c>
      <c r="AQ373" s="1823">
        <v>1</v>
      </c>
      <c r="AR373" s="1158"/>
      <c r="AS373" s="747"/>
      <c r="AT373" s="747"/>
      <c r="AU373" s="909"/>
      <c r="AV373" s="1158"/>
      <c r="AW373" s="747"/>
      <c r="AX373" s="747"/>
      <c r="AY373" s="909"/>
      <c r="AZ373" s="115"/>
      <c r="BA373" s="1129"/>
      <c r="BB373" s="359"/>
      <c r="BC373" s="341">
        <f t="shared" si="690"/>
        <v>-144</v>
      </c>
      <c r="BD373" s="341">
        <f t="shared" si="691"/>
        <v>-15</v>
      </c>
      <c r="BE373" s="341">
        <f t="shared" si="692"/>
        <v>-17</v>
      </c>
      <c r="BF373" s="939">
        <f t="shared" si="693"/>
        <v>-3</v>
      </c>
      <c r="BG373" s="939">
        <f t="shared" si="694"/>
        <v>-4</v>
      </c>
      <c r="BH373" s="341">
        <f t="shared" si="695"/>
        <v>4</v>
      </c>
      <c r="BI373" s="939">
        <f t="shared" si="700"/>
        <v>-5</v>
      </c>
      <c r="BJ373" s="341">
        <f t="shared" si="700"/>
        <v>-7</v>
      </c>
      <c r="BK373" s="341">
        <f t="shared" si="700"/>
        <v>-7</v>
      </c>
      <c r="BL373" s="341">
        <f t="shared" si="700"/>
        <v>-9</v>
      </c>
      <c r="BM373" s="341"/>
      <c r="BN373" s="341"/>
      <c r="BO373" s="352"/>
    </row>
    <row r="374" spans="1:67" s="353" customFormat="1" ht="14.25" hidden="1" customHeight="1" outlineLevel="2">
      <c r="A374" s="6"/>
      <c r="B374" s="438" t="s">
        <v>351</v>
      </c>
      <c r="C374" s="383"/>
      <c r="D374" s="354"/>
      <c r="E374" s="354"/>
      <c r="F374" s="354"/>
      <c r="G374" s="355"/>
      <c r="H374" s="356"/>
      <c r="I374" s="356"/>
      <c r="J374" s="357"/>
      <c r="K374" s="358"/>
      <c r="L374" s="362">
        <v>0</v>
      </c>
      <c r="M374" s="342">
        <v>0</v>
      </c>
      <c r="N374" s="342">
        <v>0</v>
      </c>
      <c r="O374" s="343">
        <v>0</v>
      </c>
      <c r="P374" s="72">
        <v>0</v>
      </c>
      <c r="Q374" s="72">
        <v>0</v>
      </c>
      <c r="R374" s="72">
        <v>0</v>
      </c>
      <c r="S374" s="73">
        <v>0</v>
      </c>
      <c r="T374" s="72">
        <v>0</v>
      </c>
      <c r="U374" s="72">
        <v>0</v>
      </c>
      <c r="V374" s="72">
        <v>0</v>
      </c>
      <c r="W374" s="73">
        <v>0</v>
      </c>
      <c r="X374" s="72">
        <v>0</v>
      </c>
      <c r="Y374" s="72">
        <v>0</v>
      </c>
      <c r="Z374" s="72">
        <v>0</v>
      </c>
      <c r="AA374" s="72">
        <v>0</v>
      </c>
      <c r="AB374" s="1158">
        <v>0</v>
      </c>
      <c r="AC374" s="747">
        <v>0</v>
      </c>
      <c r="AD374" s="747">
        <v>0</v>
      </c>
      <c r="AE374" s="73">
        <v>0</v>
      </c>
      <c r="AF374" s="1158">
        <v>0</v>
      </c>
      <c r="AG374" s="747">
        <v>0</v>
      </c>
      <c r="AH374" s="747">
        <v>0</v>
      </c>
      <c r="AI374" s="747">
        <v>0</v>
      </c>
      <c r="AJ374" s="1158">
        <v>0</v>
      </c>
      <c r="AK374" s="747">
        <v>0</v>
      </c>
      <c r="AL374" s="747">
        <v>0</v>
      </c>
      <c r="AM374" s="747">
        <v>0</v>
      </c>
      <c r="AN374" s="1158">
        <v>0</v>
      </c>
      <c r="AO374" s="747">
        <v>0</v>
      </c>
      <c r="AP374" s="747">
        <v>0</v>
      </c>
      <c r="AQ374" s="1823">
        <v>0</v>
      </c>
      <c r="AR374" s="1158"/>
      <c r="AS374" s="747"/>
      <c r="AT374" s="747"/>
      <c r="AU374" s="909"/>
      <c r="AV374" s="1158"/>
      <c r="AW374" s="747"/>
      <c r="AX374" s="747"/>
      <c r="AY374" s="909"/>
      <c r="AZ374" s="115"/>
      <c r="BA374" s="1129"/>
      <c r="BB374" s="359"/>
      <c r="BC374" s="341">
        <f t="shared" si="690"/>
        <v>0</v>
      </c>
      <c r="BD374" s="341">
        <f t="shared" si="691"/>
        <v>0</v>
      </c>
      <c r="BE374" s="341">
        <f t="shared" si="692"/>
        <v>0</v>
      </c>
      <c r="BF374" s="939">
        <f t="shared" si="693"/>
        <v>0</v>
      </c>
      <c r="BG374" s="939">
        <f t="shared" si="694"/>
        <v>0</v>
      </c>
      <c r="BH374" s="341">
        <f t="shared" si="695"/>
        <v>0</v>
      </c>
      <c r="BI374" s="939">
        <f t="shared" si="700"/>
        <v>0</v>
      </c>
      <c r="BJ374" s="341">
        <f t="shared" si="700"/>
        <v>0</v>
      </c>
      <c r="BK374" s="341">
        <f t="shared" si="700"/>
        <v>0</v>
      </c>
      <c r="BL374" s="341">
        <f t="shared" si="700"/>
        <v>0</v>
      </c>
      <c r="BM374" s="341"/>
      <c r="BN374" s="341"/>
      <c r="BO374" s="352"/>
    </row>
    <row r="375" spans="1:67" ht="14.25" hidden="1" customHeight="1" outlineLevel="2">
      <c r="A375" s="1"/>
      <c r="B375" s="431"/>
      <c r="C375" s="254"/>
      <c r="D375" s="320"/>
      <c r="E375" s="320"/>
      <c r="F375" s="320"/>
      <c r="G375" s="93"/>
      <c r="H375" s="269"/>
      <c r="I375" s="269"/>
      <c r="J375" s="300"/>
      <c r="K375" s="301"/>
      <c r="L375" s="361"/>
      <c r="M375" s="340"/>
      <c r="N375" s="340"/>
      <c r="O375" s="351"/>
      <c r="P375" s="361"/>
      <c r="Q375" s="340"/>
      <c r="R375" s="340"/>
      <c r="S375" s="351"/>
      <c r="T375" s="361"/>
      <c r="U375" s="340"/>
      <c r="V375" s="348"/>
      <c r="W375" s="351"/>
      <c r="X375" s="361"/>
      <c r="Y375" s="340"/>
      <c r="Z375" s="300"/>
      <c r="AA375" s="256"/>
      <c r="AB375" s="159"/>
      <c r="AC375" s="90"/>
      <c r="AD375" s="90"/>
      <c r="AE375" s="301"/>
      <c r="AF375" s="159"/>
      <c r="AG375" s="90"/>
      <c r="AH375" s="90"/>
      <c r="AI375" s="90"/>
      <c r="AJ375" s="159"/>
      <c r="AK375" s="90"/>
      <c r="AL375" s="90"/>
      <c r="AM375" s="1573"/>
      <c r="AN375" s="1607"/>
      <c r="AO375" s="1603"/>
      <c r="AP375" s="1603"/>
      <c r="AQ375" s="1806"/>
      <c r="AR375" s="159"/>
      <c r="AS375" s="1506"/>
      <c r="AT375" s="1506"/>
      <c r="AU375" s="91"/>
      <c r="AV375" s="159"/>
      <c r="AW375" s="1506"/>
      <c r="AX375" s="1506"/>
      <c r="AY375" s="91"/>
      <c r="AZ375" s="20"/>
      <c r="BA375" s="652"/>
      <c r="BB375" s="317"/>
      <c r="BC375" s="256"/>
      <c r="BD375" s="256"/>
      <c r="BE375" s="256"/>
      <c r="BF375" s="255"/>
      <c r="BG375" s="1515"/>
      <c r="BH375" s="1516"/>
      <c r="BI375" s="1614"/>
      <c r="BJ375" s="1615"/>
      <c r="BK375" s="1615"/>
      <c r="BL375" s="1715"/>
      <c r="BM375" s="1715"/>
      <c r="BN375" s="1715"/>
      <c r="BO375" s="299"/>
    </row>
    <row r="376" spans="1:67" s="363" customFormat="1" ht="14.25" hidden="1" customHeight="1" outlineLevel="1">
      <c r="B376" s="436" t="s">
        <v>361</v>
      </c>
      <c r="C376" s="351"/>
      <c r="D376" s="365"/>
      <c r="E376" s="348"/>
      <c r="F376" s="340"/>
      <c r="G376" s="351"/>
      <c r="H376" s="367"/>
      <c r="I376" s="340"/>
      <c r="J376" s="344"/>
      <c r="K376" s="345"/>
      <c r="L376" s="361">
        <f t="shared" ref="L376:AB376" si="701">L369-L370</f>
        <v>-8</v>
      </c>
      <c r="M376" s="340">
        <f t="shared" si="701"/>
        <v>-1</v>
      </c>
      <c r="N376" s="340">
        <f t="shared" si="701"/>
        <v>8</v>
      </c>
      <c r="O376" s="351">
        <f t="shared" si="701"/>
        <v>10</v>
      </c>
      <c r="P376" s="348">
        <f t="shared" si="701"/>
        <v>-2</v>
      </c>
      <c r="Q376" s="348">
        <f t="shared" si="701"/>
        <v>0</v>
      </c>
      <c r="R376" s="348">
        <f t="shared" si="701"/>
        <v>7</v>
      </c>
      <c r="S376" s="349">
        <f t="shared" si="701"/>
        <v>-2</v>
      </c>
      <c r="T376" s="348">
        <f t="shared" si="701"/>
        <v>-2</v>
      </c>
      <c r="U376" s="348">
        <f t="shared" si="701"/>
        <v>-1</v>
      </c>
      <c r="V376" s="348">
        <f t="shared" si="701"/>
        <v>0</v>
      </c>
      <c r="W376" s="349">
        <f t="shared" si="701"/>
        <v>-2</v>
      </c>
      <c r="X376" s="348">
        <f t="shared" si="701"/>
        <v>0</v>
      </c>
      <c r="Y376" s="348">
        <f t="shared" si="701"/>
        <v>-1</v>
      </c>
      <c r="Z376" s="348">
        <f t="shared" si="701"/>
        <v>2</v>
      </c>
      <c r="AA376" s="348">
        <f t="shared" si="701"/>
        <v>-4</v>
      </c>
      <c r="AB376" s="923">
        <f t="shared" si="701"/>
        <v>0</v>
      </c>
      <c r="AC376" s="348">
        <f>AC369-AC370</f>
        <v>-1</v>
      </c>
      <c r="AD376" s="348">
        <f>AD369-AD370</f>
        <v>0</v>
      </c>
      <c r="AE376" s="349">
        <f>AE369-AE370</f>
        <v>0</v>
      </c>
      <c r="AF376" s="923">
        <f>AF369-AF370</f>
        <v>0</v>
      </c>
      <c r="AG376" s="348">
        <v>0</v>
      </c>
      <c r="AH376" s="348">
        <f t="shared" ref="AH376:AM376" si="702">AH369-AH370</f>
        <v>-2</v>
      </c>
      <c r="AI376" s="348">
        <f t="shared" si="702"/>
        <v>-1</v>
      </c>
      <c r="AJ376" s="923">
        <f t="shared" si="702"/>
        <v>-8</v>
      </c>
      <c r="AK376" s="348">
        <f t="shared" si="702"/>
        <v>-4</v>
      </c>
      <c r="AL376" s="348">
        <f t="shared" si="702"/>
        <v>-2</v>
      </c>
      <c r="AM376" s="348">
        <f t="shared" si="702"/>
        <v>-2</v>
      </c>
      <c r="AN376" s="923">
        <f t="shared" ref="AN376:AQ376" si="703">AN369-AN370</f>
        <v>-9</v>
      </c>
      <c r="AO376" s="348">
        <f t="shared" si="703"/>
        <v>-12</v>
      </c>
      <c r="AP376" s="348">
        <f t="shared" si="703"/>
        <v>-2</v>
      </c>
      <c r="AQ376" s="348">
        <f t="shared" si="703"/>
        <v>-2</v>
      </c>
      <c r="AR376" s="923"/>
      <c r="AS376" s="348"/>
      <c r="AT376" s="348"/>
      <c r="AU376" s="349"/>
      <c r="AV376" s="923"/>
      <c r="AW376" s="348"/>
      <c r="AX376" s="348"/>
      <c r="AY376" s="349"/>
      <c r="AZ376" s="1901"/>
      <c r="BA376" s="361"/>
      <c r="BB376" s="340"/>
      <c r="BC376" s="340">
        <f>SUM(L376:O376)</f>
        <v>9</v>
      </c>
      <c r="BD376" s="340">
        <f>SUM(P376:S376)</f>
        <v>3</v>
      </c>
      <c r="BE376" s="340">
        <f>SUM(T376:W376)</f>
        <v>-5</v>
      </c>
      <c r="BF376" s="361">
        <f>SUM(X376:AA376)</f>
        <v>-3</v>
      </c>
      <c r="BG376" s="361">
        <f>SUM(AB376:AE376)</f>
        <v>-1</v>
      </c>
      <c r="BH376" s="340">
        <f>SUM(AF376:AI376)</f>
        <v>-3</v>
      </c>
      <c r="BI376" s="361">
        <f>SUM(AJ376:AM376)</f>
        <v>-16</v>
      </c>
      <c r="BJ376" s="340">
        <f>SUM(AK376:AN376)</f>
        <v>-17</v>
      </c>
      <c r="BK376" s="340">
        <f>SUM(AL376:AO376)</f>
        <v>-25</v>
      </c>
      <c r="BL376" s="340">
        <f>SUM(AM376:AP376)</f>
        <v>-25</v>
      </c>
      <c r="BM376" s="340"/>
      <c r="BN376" s="340"/>
      <c r="BO376" s="364"/>
    </row>
    <row r="377" spans="1:67" ht="14.25" hidden="1" customHeight="1" outlineLevel="1">
      <c r="A377" s="1"/>
      <c r="B377" s="435" t="s">
        <v>36</v>
      </c>
      <c r="C377" s="34"/>
      <c r="D377" s="269"/>
      <c r="E377" s="269"/>
      <c r="F377" s="300"/>
      <c r="G377" s="301"/>
      <c r="H377" s="269"/>
      <c r="I377" s="300"/>
      <c r="J377" s="300"/>
      <c r="K377" s="301"/>
      <c r="L377" s="300">
        <f t="shared" ref="L377:T377" si="704">L376/L$351</f>
        <v>-0.13114754098360656</v>
      </c>
      <c r="M377" s="300">
        <f t="shared" si="704"/>
        <v>-1.1111111111111112E-2</v>
      </c>
      <c r="N377" s="300">
        <f t="shared" si="704"/>
        <v>8.3333333333333329E-2</v>
      </c>
      <c r="O377" s="301">
        <f t="shared" si="704"/>
        <v>0.12987012987012986</v>
      </c>
      <c r="P377" s="300">
        <f t="shared" si="704"/>
        <v>-1.4598540145985401E-2</v>
      </c>
      <c r="Q377" s="300">
        <f t="shared" si="704"/>
        <v>0</v>
      </c>
      <c r="R377" s="300">
        <f t="shared" si="704"/>
        <v>4.0229885057471264E-2</v>
      </c>
      <c r="S377" s="301">
        <f t="shared" si="704"/>
        <v>-1.5384615384615385E-2</v>
      </c>
      <c r="T377" s="300">
        <f t="shared" si="704"/>
        <v>-2.1052631578947368E-2</v>
      </c>
      <c r="U377" s="300">
        <f t="shared" ref="U377:AG377" si="705">U376/U$351</f>
        <v>-1.1494252873563218E-2</v>
      </c>
      <c r="V377" s="269">
        <f t="shared" si="705"/>
        <v>0</v>
      </c>
      <c r="W377" s="301">
        <f t="shared" si="705"/>
        <v>-3.1746031746031744E-2</v>
      </c>
      <c r="X377" s="300">
        <f t="shared" si="705"/>
        <v>0</v>
      </c>
      <c r="Y377" s="300">
        <f t="shared" si="705"/>
        <v>-1.6129032258064516E-2</v>
      </c>
      <c r="Z377" s="300">
        <f t="shared" si="705"/>
        <v>0.04</v>
      </c>
      <c r="AA377" s="256">
        <f t="shared" si="705"/>
        <v>-9.0909090909090912E-2</v>
      </c>
      <c r="AB377" s="159">
        <f t="shared" si="705"/>
        <v>0</v>
      </c>
      <c r="AC377" s="90">
        <f t="shared" si="705"/>
        <v>-3.4482758620689655E-2</v>
      </c>
      <c r="AD377" s="90">
        <f t="shared" si="705"/>
        <v>0</v>
      </c>
      <c r="AE377" s="301">
        <f t="shared" si="705"/>
        <v>0</v>
      </c>
      <c r="AF377" s="159">
        <f>AF376/AF$351</f>
        <v>0</v>
      </c>
      <c r="AG377" s="90">
        <f t="shared" si="705"/>
        <v>0</v>
      </c>
      <c r="AH377" s="90">
        <f t="shared" ref="AH377:AM377" si="706">AH376/AH$351</f>
        <v>-4.6511627906976744E-2</v>
      </c>
      <c r="AI377" s="90">
        <f t="shared" si="706"/>
        <v>-2.7027027027027029E-2</v>
      </c>
      <c r="AJ377" s="159">
        <f t="shared" si="706"/>
        <v>-0.2</v>
      </c>
      <c r="AK377" s="90">
        <f t="shared" si="706"/>
        <v>-0.10526315789473684</v>
      </c>
      <c r="AL377" s="90">
        <f t="shared" si="706"/>
        <v>-6.0606060606060608E-2</v>
      </c>
      <c r="AM377" s="1573">
        <f t="shared" si="706"/>
        <v>-6.8965517241379309E-2</v>
      </c>
      <c r="AN377" s="1607">
        <f t="shared" ref="AN377:AQ377" si="707">AN376/AN$351</f>
        <v>-0.23076923076923078</v>
      </c>
      <c r="AO377" s="1603">
        <f t="shared" si="707"/>
        <v>-0.25</v>
      </c>
      <c r="AP377" s="1603">
        <f t="shared" si="707"/>
        <v>-0.04</v>
      </c>
      <c r="AQ377" s="1806">
        <f t="shared" si="707"/>
        <v>-3.6363636363636362E-2</v>
      </c>
      <c r="AR377" s="159"/>
      <c r="AS377" s="1506"/>
      <c r="AT377" s="1506"/>
      <c r="AU377" s="91"/>
      <c r="AV377" s="159"/>
      <c r="AW377" s="1506"/>
      <c r="AX377" s="1506"/>
      <c r="AY377" s="91"/>
      <c r="AZ377" s="20"/>
      <c r="BA377" s="652"/>
      <c r="BB377" s="317"/>
      <c r="BC377" s="256">
        <f t="shared" ref="BC377:BJ377" si="708">BC376/BC$351</f>
        <v>2.7777777777777776E-2</v>
      </c>
      <c r="BD377" s="256">
        <f t="shared" si="708"/>
        <v>4.7923322683706068E-3</v>
      </c>
      <c r="BE377" s="256">
        <f t="shared" si="708"/>
        <v>-1.5384615384615385E-2</v>
      </c>
      <c r="BF377" s="255">
        <f t="shared" si="708"/>
        <v>-1.4018691588785047E-2</v>
      </c>
      <c r="BG377" s="1515">
        <f t="shared" si="708"/>
        <v>-7.2992700729927005E-3</v>
      </c>
      <c r="BH377" s="1516">
        <f t="shared" si="708"/>
        <v>-1.8292682926829267E-2</v>
      </c>
      <c r="BI377" s="1614">
        <f t="shared" si="708"/>
        <v>-0.11428571428571428</v>
      </c>
      <c r="BJ377" s="1615">
        <f t="shared" si="708"/>
        <v>-8.8541666666666671E-2</v>
      </c>
      <c r="BK377" s="1615">
        <f t="shared" ref="BK377:BL377" si="709">BK376/BK$351</f>
        <v>-6.3613231552162849E-2</v>
      </c>
      <c r="BL377" s="1715">
        <f t="shared" si="709"/>
        <v>-6.25E-2</v>
      </c>
      <c r="BM377" s="1715"/>
      <c r="BN377" s="1715"/>
      <c r="BO377" s="299"/>
    </row>
    <row r="378" spans="1:67" ht="14.25" customHeight="1" collapsed="1">
      <c r="A378" s="1"/>
      <c r="B378" s="439"/>
      <c r="C378" s="276"/>
      <c r="D378" s="399"/>
      <c r="E378" s="399"/>
      <c r="F378" s="399"/>
      <c r="G378" s="400"/>
      <c r="H378" s="257"/>
      <c r="I378" s="257"/>
      <c r="J378" s="277"/>
      <c r="K378" s="278"/>
      <c r="L378" s="277"/>
      <c r="M378" s="277"/>
      <c r="N378" s="277"/>
      <c r="O378" s="278"/>
      <c r="P378" s="277"/>
      <c r="Q378" s="277"/>
      <c r="R378" s="277"/>
      <c r="S378" s="278"/>
      <c r="T378" s="277"/>
      <c r="U378" s="277"/>
      <c r="V378" s="257"/>
      <c r="W378" s="278"/>
      <c r="X378" s="277"/>
      <c r="Y378" s="277"/>
      <c r="Z378" s="277"/>
      <c r="AA378" s="277"/>
      <c r="AB378" s="1045"/>
      <c r="AC378" s="257"/>
      <c r="AD378" s="257"/>
      <c r="AE378" s="278"/>
      <c r="AF378" s="1045"/>
      <c r="AG378" s="257"/>
      <c r="AH378" s="257"/>
      <c r="AI378" s="257"/>
      <c r="AJ378" s="1045"/>
      <c r="AK378" s="257"/>
      <c r="AL378" s="257"/>
      <c r="AM378" s="1576"/>
      <c r="AN378" s="1652"/>
      <c r="AO378" s="1616"/>
      <c r="AP378" s="1616"/>
      <c r="AQ378" s="1616"/>
      <c r="AR378" s="1045"/>
      <c r="AS378" s="1508"/>
      <c r="AT378" s="1508"/>
      <c r="AU378" s="258"/>
      <c r="AV378" s="1045"/>
      <c r="AW378" s="1508"/>
      <c r="AX378" s="1508"/>
      <c r="AY378" s="258"/>
      <c r="AZ378" s="20"/>
      <c r="BA378" s="401"/>
      <c r="BB378" s="402"/>
      <c r="BC378" s="277"/>
      <c r="BD378" s="277"/>
      <c r="BE378" s="277"/>
      <c r="BF378" s="279"/>
      <c r="BG378" s="1198"/>
      <c r="BH378" s="1199"/>
      <c r="BI378" s="1643"/>
      <c r="BJ378" s="1644"/>
      <c r="BK378" s="1644"/>
      <c r="BL378" s="1644"/>
      <c r="BM378" s="1644"/>
      <c r="BN378" s="1644"/>
      <c r="BO378" s="299"/>
    </row>
    <row r="379" spans="1:67" ht="14.25" customHeight="1">
      <c r="A379" s="1"/>
      <c r="B379" s="431"/>
      <c r="C379" s="254"/>
      <c r="D379" s="92"/>
      <c r="E379" s="320"/>
      <c r="F379" s="305"/>
      <c r="G379" s="304"/>
      <c r="H379" s="302"/>
      <c r="I379" s="305"/>
      <c r="J379" s="305"/>
      <c r="K379" s="304"/>
      <c r="L379" s="302"/>
      <c r="M379" s="305"/>
      <c r="N379" s="305"/>
      <c r="O379" s="304"/>
      <c r="P379" s="305"/>
      <c r="Q379" s="305"/>
      <c r="R379" s="305"/>
      <c r="S379" s="304"/>
      <c r="T379" s="305"/>
      <c r="U379" s="305"/>
      <c r="V379" s="320"/>
      <c r="W379" s="304"/>
      <c r="X379" s="305"/>
      <c r="Y379" s="305"/>
      <c r="Z379" s="305"/>
      <c r="AA379" s="304"/>
      <c r="AB379" s="22"/>
      <c r="AC379" s="14"/>
      <c r="AD379" s="14"/>
      <c r="AE379" s="246"/>
      <c r="AF379" s="22"/>
      <c r="AG379" s="14"/>
      <c r="AH379" s="14"/>
      <c r="AI379" s="14"/>
      <c r="AJ379" s="22"/>
      <c r="AK379" s="14"/>
      <c r="AL379" s="14"/>
      <c r="AM379" s="246"/>
      <c r="AN379" s="22"/>
      <c r="AO379" s="14"/>
      <c r="AP379" s="14"/>
      <c r="AQ379" s="246"/>
      <c r="AR379" s="22"/>
      <c r="AS379" s="14"/>
      <c r="AT379" s="14"/>
      <c r="AU379" s="246"/>
      <c r="AV379" s="22"/>
      <c r="AW379" s="14"/>
      <c r="AX379" s="14"/>
      <c r="AY379" s="246"/>
      <c r="AZ379" s="20"/>
      <c r="BA379" s="22"/>
      <c r="BB379" s="14"/>
      <c r="BC379" s="14"/>
      <c r="BD379" s="14"/>
      <c r="BE379" s="14"/>
      <c r="BF379" s="22"/>
      <c r="BG379" s="1334"/>
      <c r="BH379" s="1448"/>
      <c r="BI379" s="1334"/>
      <c r="BJ379" s="1448"/>
      <c r="BK379" s="1448"/>
      <c r="BL379" s="1448"/>
      <c r="BM379" s="1448"/>
      <c r="BN379" s="1448"/>
      <c r="BO379" s="299"/>
    </row>
    <row r="380" spans="1:67" s="363" customFormat="1" ht="14.25" hidden="1" customHeight="1" outlineLevel="1">
      <c r="B380" s="859" t="s">
        <v>499</v>
      </c>
      <c r="C380" s="351"/>
      <c r="D380" s="348"/>
      <c r="E380" s="348"/>
      <c r="F380" s="340"/>
      <c r="G380" s="351"/>
      <c r="H380" s="361"/>
      <c r="I380" s="340"/>
      <c r="J380" s="344"/>
      <c r="K380" s="345"/>
      <c r="L380" s="360">
        <v>40</v>
      </c>
      <c r="M380" s="344">
        <v>43</v>
      </c>
      <c r="N380" s="344">
        <v>42</v>
      </c>
      <c r="O380" s="345">
        <v>40</v>
      </c>
      <c r="P380" s="346">
        <v>35</v>
      </c>
      <c r="Q380" s="346">
        <v>39</v>
      </c>
      <c r="R380" s="346">
        <v>36</v>
      </c>
      <c r="S380" s="347">
        <v>26</v>
      </c>
      <c r="T380" s="346">
        <v>11</v>
      </c>
      <c r="U380" s="346">
        <v>13</v>
      </c>
      <c r="V380" s="346">
        <v>11</v>
      </c>
      <c r="W380" s="347">
        <v>12</v>
      </c>
      <c r="X380" s="346">
        <v>9</v>
      </c>
      <c r="Y380" s="346">
        <v>10</v>
      </c>
      <c r="Z380" s="346">
        <v>7</v>
      </c>
      <c r="AA380" s="347">
        <v>7</v>
      </c>
      <c r="AB380" s="1157"/>
      <c r="AC380" s="877"/>
      <c r="AD380" s="877"/>
      <c r="AE380" s="878"/>
      <c r="AF380" s="1157"/>
      <c r="AG380" s="877"/>
      <c r="AH380" s="877"/>
      <c r="AI380" s="877"/>
      <c r="AJ380" s="1157"/>
      <c r="AK380" s="877"/>
      <c r="AL380" s="877"/>
      <c r="AM380" s="878"/>
      <c r="AN380" s="1157"/>
      <c r="AO380" s="877"/>
      <c r="AP380" s="877"/>
      <c r="AQ380" s="878"/>
      <c r="AR380" s="1157"/>
      <c r="AS380" s="877"/>
      <c r="AT380" s="877"/>
      <c r="AU380" s="878"/>
      <c r="AV380" s="1157"/>
      <c r="AW380" s="877"/>
      <c r="AX380" s="877"/>
      <c r="AY380" s="878"/>
      <c r="AZ380" s="1901"/>
      <c r="BA380" s="361"/>
      <c r="BB380" s="340"/>
      <c r="BC380" s="340">
        <f>SUM(L380:O380)</f>
        <v>165</v>
      </c>
      <c r="BD380" s="340">
        <f>SUM(P380:S380)</f>
        <v>136</v>
      </c>
      <c r="BE380" s="340">
        <f>SUM(T380:W380)</f>
        <v>47</v>
      </c>
      <c r="BF380" s="361">
        <f>SUM(X380:AA380)</f>
        <v>33</v>
      </c>
      <c r="BG380" s="361">
        <f>SUM(AB380:AE380)</f>
        <v>0</v>
      </c>
      <c r="BH380" s="340">
        <f>SUM(AF380:AI380)</f>
        <v>0</v>
      </c>
      <c r="BI380" s="361">
        <f>SUM(AG380:AJ380)</f>
        <v>0</v>
      </c>
      <c r="BJ380" s="340">
        <f>SUM(AH380:AK380)</f>
        <v>0</v>
      </c>
      <c r="BK380" s="340">
        <f>SUM(AI380:AL380)</f>
        <v>0</v>
      </c>
      <c r="BL380" s="340">
        <f>SUM(AJ380:AM380)</f>
        <v>0</v>
      </c>
      <c r="BM380" s="340"/>
      <c r="BN380" s="340"/>
      <c r="BO380" s="364"/>
    </row>
    <row r="381" spans="1:67" s="861" customFormat="1" ht="14.25" hidden="1" customHeight="1" outlineLevel="1">
      <c r="B381" s="493" t="s">
        <v>498</v>
      </c>
      <c r="C381" s="875"/>
      <c r="D381" s="871"/>
      <c r="E381" s="871"/>
      <c r="F381" s="874"/>
      <c r="G381" s="875"/>
      <c r="H381" s="874"/>
      <c r="I381" s="874"/>
      <c r="J381" s="874"/>
      <c r="K381" s="875"/>
      <c r="L381" s="874"/>
      <c r="M381" s="874"/>
      <c r="N381" s="874"/>
      <c r="O381" s="875"/>
      <c r="P381" s="871">
        <f>+P380-P382</f>
        <v>7</v>
      </c>
      <c r="Q381" s="871">
        <f t="shared" ref="Q381:AA381" si="710">+Q380-Q382</f>
        <v>8</v>
      </c>
      <c r="R381" s="871">
        <f t="shared" si="710"/>
        <v>10</v>
      </c>
      <c r="S381" s="872">
        <f t="shared" si="710"/>
        <v>10</v>
      </c>
      <c r="T381" s="871">
        <f t="shared" si="710"/>
        <v>8</v>
      </c>
      <c r="U381" s="871">
        <f t="shared" si="710"/>
        <v>9</v>
      </c>
      <c r="V381" s="871">
        <f t="shared" si="710"/>
        <v>10</v>
      </c>
      <c r="W381" s="872">
        <f t="shared" si="710"/>
        <v>11</v>
      </c>
      <c r="X381" s="871">
        <f t="shared" si="710"/>
        <v>8</v>
      </c>
      <c r="Y381" s="871">
        <f t="shared" si="710"/>
        <v>10</v>
      </c>
      <c r="Z381" s="871">
        <f t="shared" si="710"/>
        <v>6</v>
      </c>
      <c r="AA381" s="872">
        <f t="shared" si="710"/>
        <v>6</v>
      </c>
      <c r="AB381" s="1147"/>
      <c r="AC381" s="871"/>
      <c r="AD381" s="871"/>
      <c r="AE381" s="872"/>
      <c r="AF381" s="1147"/>
      <c r="AG381" s="871"/>
      <c r="AH381" s="871"/>
      <c r="AI381" s="871"/>
      <c r="AJ381" s="1147"/>
      <c r="AK381" s="871"/>
      <c r="AL381" s="871"/>
      <c r="AM381" s="872"/>
      <c r="AN381" s="1147"/>
      <c r="AO381" s="871"/>
      <c r="AP381" s="871"/>
      <c r="AQ381" s="872"/>
      <c r="AR381" s="1147"/>
      <c r="AS381" s="871"/>
      <c r="AT381" s="871"/>
      <c r="AU381" s="872"/>
      <c r="AV381" s="1147"/>
      <c r="AW381" s="871"/>
      <c r="AX381" s="871"/>
      <c r="AY381" s="872"/>
      <c r="AZ381" s="1912"/>
      <c r="BA381" s="921"/>
      <c r="BB381" s="874"/>
      <c r="BC381" s="874"/>
      <c r="BD381" s="874"/>
      <c r="BE381" s="874"/>
      <c r="BF381" s="921"/>
      <c r="BG381" s="921"/>
      <c r="BH381" s="874"/>
      <c r="BI381" s="921"/>
      <c r="BJ381" s="874"/>
      <c r="BK381" s="874"/>
      <c r="BL381" s="874"/>
      <c r="BM381" s="874"/>
      <c r="BN381" s="874"/>
      <c r="BO381" s="876"/>
    </row>
    <row r="382" spans="1:67" s="363" customFormat="1" ht="14.25" customHeight="1" collapsed="1">
      <c r="B382" s="1317" t="s">
        <v>500</v>
      </c>
      <c r="C382" s="1318"/>
      <c r="D382" s="397">
        <v>0</v>
      </c>
      <c r="E382" s="397">
        <v>0</v>
      </c>
      <c r="F382" s="396">
        <v>0</v>
      </c>
      <c r="G382" s="1318">
        <v>0</v>
      </c>
      <c r="H382" s="396">
        <v>0</v>
      </c>
      <c r="I382" s="396">
        <v>0</v>
      </c>
      <c r="J382" s="1319">
        <v>0</v>
      </c>
      <c r="K382" s="1320">
        <v>0</v>
      </c>
      <c r="L382" s="1319">
        <v>0</v>
      </c>
      <c r="M382" s="1319">
        <v>0</v>
      </c>
      <c r="N382" s="1319">
        <v>0</v>
      </c>
      <c r="O382" s="1320">
        <v>0</v>
      </c>
      <c r="P382" s="1321">
        <v>28</v>
      </c>
      <c r="Q382" s="1321">
        <v>31</v>
      </c>
      <c r="R382" s="1321">
        <v>26</v>
      </c>
      <c r="S382" s="1322">
        <v>16</v>
      </c>
      <c r="T382" s="1321">
        <v>3</v>
      </c>
      <c r="U382" s="1321">
        <v>4</v>
      </c>
      <c r="V382" s="1321">
        <v>1</v>
      </c>
      <c r="W382" s="1322">
        <v>1</v>
      </c>
      <c r="X382" s="1321">
        <v>1</v>
      </c>
      <c r="Y382" s="1321">
        <v>0</v>
      </c>
      <c r="Z382" s="1321">
        <v>1</v>
      </c>
      <c r="AA382" s="1322">
        <v>1</v>
      </c>
      <c r="AB382" s="1331">
        <v>0</v>
      </c>
      <c r="AC382" s="1321">
        <v>0</v>
      </c>
      <c r="AD382" s="1321">
        <v>0</v>
      </c>
      <c r="AE382" s="1323">
        <v>0</v>
      </c>
      <c r="AF382" s="1324">
        <v>0</v>
      </c>
      <c r="AG382" s="397">
        <v>0</v>
      </c>
      <c r="AH382" s="397">
        <v>0</v>
      </c>
      <c r="AI382" s="397">
        <v>0</v>
      </c>
      <c r="AJ382" s="1324">
        <v>0</v>
      </c>
      <c r="AK382" s="397">
        <v>0</v>
      </c>
      <c r="AL382" s="397">
        <v>0</v>
      </c>
      <c r="AM382" s="1323">
        <v>0</v>
      </c>
      <c r="AN382" s="1324">
        <v>0</v>
      </c>
      <c r="AO382" s="397">
        <v>0</v>
      </c>
      <c r="AP382" s="397">
        <v>0</v>
      </c>
      <c r="AQ382" s="1323">
        <v>0</v>
      </c>
      <c r="AR382" s="1324">
        <v>0</v>
      </c>
      <c r="AS382" s="397">
        <v>0</v>
      </c>
      <c r="AT382" s="397">
        <v>0</v>
      </c>
      <c r="AU382" s="1323">
        <v>0</v>
      </c>
      <c r="AV382" s="1324">
        <v>0</v>
      </c>
      <c r="AW382" s="397">
        <v>0</v>
      </c>
      <c r="AX382" s="397">
        <v>0</v>
      </c>
      <c r="AY382" s="1323">
        <v>0</v>
      </c>
      <c r="AZ382" s="1901"/>
      <c r="BA382" s="1325"/>
      <c r="BB382" s="396"/>
      <c r="BC382" s="396"/>
      <c r="BD382" s="396">
        <f>SUM(P382:S382)</f>
        <v>101</v>
      </c>
      <c r="BE382" s="396">
        <f>SUM(T382:W382)</f>
        <v>9</v>
      </c>
      <c r="BF382" s="1325">
        <f>SUM(X382:AA382)</f>
        <v>3</v>
      </c>
      <c r="BG382" s="1325">
        <f>SUM(AB382:AE382)</f>
        <v>0</v>
      </c>
      <c r="BH382" s="396">
        <f>SUM(AF382:AI382)</f>
        <v>0</v>
      </c>
      <c r="BI382" s="1325">
        <f>SUM(AJ382:AM382)</f>
        <v>0</v>
      </c>
      <c r="BJ382" s="375">
        <f>SUM(AK382:AN382)</f>
        <v>0</v>
      </c>
      <c r="BK382" s="375">
        <f>SUM(AL382:AO382)</f>
        <v>0</v>
      </c>
      <c r="BL382" s="375">
        <f>SUM(AM382:AP382)</f>
        <v>0</v>
      </c>
      <c r="BM382" s="375">
        <v>0</v>
      </c>
      <c r="BN382" s="375">
        <v>0</v>
      </c>
      <c r="BO382" s="364"/>
    </row>
    <row r="383" spans="1:67" ht="14.25" customHeight="1">
      <c r="A383" s="1"/>
      <c r="B383" s="879"/>
      <c r="C383" s="254"/>
      <c r="D383" s="269"/>
      <c r="E383" s="269"/>
      <c r="F383" s="300"/>
      <c r="G383" s="301"/>
      <c r="H383" s="300"/>
      <c r="I383" s="300"/>
      <c r="J383" s="300"/>
      <c r="K383" s="301"/>
      <c r="L383" s="300"/>
      <c r="M383" s="300"/>
      <c r="N383" s="300"/>
      <c r="O383" s="301"/>
      <c r="P383" s="300"/>
      <c r="Q383" s="300"/>
      <c r="R383" s="300"/>
      <c r="S383" s="301"/>
      <c r="T383" s="300"/>
      <c r="U383" s="300"/>
      <c r="V383" s="269"/>
      <c r="W383" s="301"/>
      <c r="X383" s="300"/>
      <c r="Y383" s="300"/>
      <c r="Z383" s="300"/>
      <c r="AA383" s="301"/>
      <c r="AB383" s="255"/>
      <c r="AC383" s="256"/>
      <c r="AD383" s="256"/>
      <c r="AE383" s="301"/>
      <c r="AF383" s="159"/>
      <c r="AG383" s="90"/>
      <c r="AH383" s="90"/>
      <c r="AI383" s="90"/>
      <c r="AJ383" s="159"/>
      <c r="AK383" s="90"/>
      <c r="AL383" s="90"/>
      <c r="AM383" s="91"/>
      <c r="AN383" s="1607"/>
      <c r="AO383" s="1603"/>
      <c r="AP383" s="1603"/>
      <c r="AQ383" s="1807"/>
      <c r="AR383" s="159"/>
      <c r="AS383" s="1506"/>
      <c r="AT383" s="1506"/>
      <c r="AU383" s="91"/>
      <c r="AV383" s="159"/>
      <c r="AW383" s="1506"/>
      <c r="AX383" s="1506"/>
      <c r="AY383" s="91"/>
      <c r="AZ383" s="22"/>
      <c r="BA383" s="22"/>
      <c r="BB383" s="14"/>
      <c r="BC383" s="256"/>
      <c r="BD383" s="256"/>
      <c r="BE383" s="256"/>
      <c r="BF383" s="255"/>
      <c r="BG383" s="1515"/>
      <c r="BH383" s="1516"/>
      <c r="BI383" s="1614"/>
      <c r="BJ383" s="1615"/>
      <c r="BK383" s="1615"/>
      <c r="BL383" s="1715"/>
      <c r="BM383" s="1715"/>
      <c r="BN383" s="1715"/>
      <c r="BO383" s="461"/>
    </row>
    <row r="384" spans="1:67" ht="14.25" hidden="1" customHeight="1" outlineLevel="1">
      <c r="A384" s="1"/>
      <c r="B384" s="859" t="s">
        <v>476</v>
      </c>
      <c r="C384" s="254"/>
      <c r="D384" s="269"/>
      <c r="E384" s="269"/>
      <c r="F384" s="300"/>
      <c r="G384" s="301"/>
      <c r="H384" s="300"/>
      <c r="I384" s="300"/>
      <c r="J384" s="300"/>
      <c r="K384" s="301"/>
      <c r="L384" s="300"/>
      <c r="M384" s="300"/>
      <c r="N384" s="300"/>
      <c r="O384" s="301"/>
      <c r="P384" s="300"/>
      <c r="Q384" s="300"/>
      <c r="R384" s="300"/>
      <c r="S384" s="301"/>
      <c r="T384" s="300"/>
      <c r="U384" s="300"/>
      <c r="V384" s="269"/>
      <c r="W384" s="301"/>
      <c r="X384" s="300"/>
      <c r="Y384" s="300"/>
      <c r="Z384" s="300"/>
      <c r="AA384" s="301"/>
      <c r="AB384" s="255"/>
      <c r="AC384" s="256"/>
      <c r="AD384" s="256"/>
      <c r="AE384" s="301"/>
      <c r="AF384" s="159"/>
      <c r="AG384" s="90"/>
      <c r="AH384" s="90"/>
      <c r="AI384" s="90"/>
      <c r="AJ384" s="159"/>
      <c r="AK384" s="90"/>
      <c r="AL384" s="90"/>
      <c r="AM384" s="91"/>
      <c r="AN384" s="1607"/>
      <c r="AO384" s="1603"/>
      <c r="AP384" s="1603"/>
      <c r="AQ384" s="1807"/>
      <c r="AR384" s="159"/>
      <c r="AS384" s="1506"/>
      <c r="AT384" s="1506"/>
      <c r="AU384" s="91"/>
      <c r="AV384" s="159"/>
      <c r="AW384" s="1506"/>
      <c r="AX384" s="1506"/>
      <c r="AY384" s="91"/>
      <c r="AZ384" s="22"/>
      <c r="BA384" s="22"/>
      <c r="BB384" s="14"/>
      <c r="BC384" s="256"/>
      <c r="BD384" s="256"/>
      <c r="BE384" s="256"/>
      <c r="BF384" s="255"/>
      <c r="BG384" s="1515"/>
      <c r="BH384" s="1516"/>
      <c r="BI384" s="1614"/>
      <c r="BJ384" s="1615"/>
      <c r="BK384" s="1615"/>
      <c r="BL384" s="1715"/>
      <c r="BM384" s="1715"/>
      <c r="BN384" s="1715"/>
      <c r="BO384" s="461"/>
    </row>
    <row r="385" spans="1:67" s="363" customFormat="1" ht="14.25" hidden="1" customHeight="1" outlineLevel="2" collapsed="1">
      <c r="B385" s="436" t="s">
        <v>362</v>
      </c>
      <c r="C385" s="351"/>
      <c r="D385" s="365"/>
      <c r="E385" s="348"/>
      <c r="F385" s="340"/>
      <c r="G385" s="351"/>
      <c r="H385" s="367"/>
      <c r="I385" s="340"/>
      <c r="J385" s="344"/>
      <c r="K385" s="345"/>
      <c r="L385" s="360">
        <v>5</v>
      </c>
      <c r="M385" s="344">
        <v>-4</v>
      </c>
      <c r="N385" s="344">
        <v>-7</v>
      </c>
      <c r="O385" s="345">
        <v>-15</v>
      </c>
      <c r="P385" s="346">
        <v>14</v>
      </c>
      <c r="Q385" s="346">
        <v>10</v>
      </c>
      <c r="R385" s="346">
        <v>-7</v>
      </c>
      <c r="S385" s="347">
        <v>9</v>
      </c>
      <c r="T385" s="346">
        <v>11</v>
      </c>
      <c r="U385" s="346">
        <v>13</v>
      </c>
      <c r="V385" s="346">
        <v>13</v>
      </c>
      <c r="W385" s="347">
        <v>8</v>
      </c>
      <c r="X385" s="346">
        <v>9</v>
      </c>
      <c r="Y385" s="346">
        <v>10</v>
      </c>
      <c r="Z385" s="346">
        <v>2</v>
      </c>
      <c r="AA385" s="347">
        <v>6</v>
      </c>
      <c r="AB385" s="923"/>
      <c r="AC385" s="346">
        <v>1</v>
      </c>
      <c r="AD385" s="346">
        <v>0</v>
      </c>
      <c r="AE385" s="347">
        <v>0</v>
      </c>
      <c r="AF385" s="923">
        <v>0</v>
      </c>
      <c r="AG385" s="346">
        <v>0</v>
      </c>
      <c r="AH385" s="348"/>
      <c r="AI385" s="348"/>
      <c r="AJ385" s="923"/>
      <c r="AK385" s="348"/>
      <c r="AL385" s="348"/>
      <c r="AM385" s="349"/>
      <c r="AN385" s="923"/>
      <c r="AO385" s="348"/>
      <c r="AP385" s="348"/>
      <c r="AQ385" s="349"/>
      <c r="AR385" s="923"/>
      <c r="AS385" s="348"/>
      <c r="AT385" s="348"/>
      <c r="AU385" s="349"/>
      <c r="AV385" s="923"/>
      <c r="AW385" s="348"/>
      <c r="AX385" s="348"/>
      <c r="AY385" s="349"/>
      <c r="AZ385" s="361"/>
      <c r="BA385" s="361"/>
      <c r="BB385" s="340"/>
      <c r="BC385" s="340">
        <f>SUM(L385:O385)</f>
        <v>-21</v>
      </c>
      <c r="BD385" s="340">
        <f>SUM(P385:S385)</f>
        <v>26</v>
      </c>
      <c r="BE385" s="340">
        <f>SUM(T385:W385)</f>
        <v>45</v>
      </c>
      <c r="BF385" s="361">
        <f>SUM(X385:AA385)</f>
        <v>27</v>
      </c>
      <c r="BG385" s="361"/>
      <c r="BH385" s="340"/>
      <c r="BI385" s="361"/>
      <c r="BJ385" s="340"/>
      <c r="BK385" s="340"/>
      <c r="BL385" s="340"/>
      <c r="BM385" s="340"/>
      <c r="BN385" s="340"/>
      <c r="BO385" s="1205"/>
    </row>
    <row r="386" spans="1:67" ht="14.25" hidden="1" customHeight="1" outlineLevel="2">
      <c r="A386" s="1"/>
      <c r="B386" s="435" t="s">
        <v>347</v>
      </c>
      <c r="C386" s="34"/>
      <c r="D386" s="269"/>
      <c r="E386" s="269"/>
      <c r="F386" s="300"/>
      <c r="G386" s="301"/>
      <c r="H386" s="269"/>
      <c r="I386" s="300"/>
      <c r="J386" s="300"/>
      <c r="K386" s="301"/>
      <c r="L386" s="300">
        <f>L385/L$380</f>
        <v>0.125</v>
      </c>
      <c r="M386" s="300">
        <f t="shared" ref="M386:AE386" si="711">M385/M$380</f>
        <v>-9.3023255813953487E-2</v>
      </c>
      <c r="N386" s="300">
        <f t="shared" si="711"/>
        <v>-0.16666666666666666</v>
      </c>
      <c r="O386" s="301">
        <f t="shared" si="711"/>
        <v>-0.375</v>
      </c>
      <c r="P386" s="300">
        <f t="shared" si="711"/>
        <v>0.4</v>
      </c>
      <c r="Q386" s="300">
        <f t="shared" si="711"/>
        <v>0.25641025641025639</v>
      </c>
      <c r="R386" s="300">
        <f t="shared" si="711"/>
        <v>-0.19444444444444445</v>
      </c>
      <c r="S386" s="301">
        <f t="shared" si="711"/>
        <v>0.34615384615384615</v>
      </c>
      <c r="T386" s="300">
        <f t="shared" si="711"/>
        <v>1</v>
      </c>
      <c r="U386" s="300">
        <f t="shared" si="711"/>
        <v>1</v>
      </c>
      <c r="V386" s="269">
        <f>V385/V$380</f>
        <v>1.1818181818181819</v>
      </c>
      <c r="W386" s="301">
        <f>W385/W$380</f>
        <v>0.66666666666666663</v>
      </c>
      <c r="X386" s="300">
        <f>X385/X$380</f>
        <v>1</v>
      </c>
      <c r="Y386" s="300">
        <f>Y385/Y$380</f>
        <v>1</v>
      </c>
      <c r="Z386" s="300">
        <f t="shared" si="711"/>
        <v>0.2857142857142857</v>
      </c>
      <c r="AA386" s="301">
        <f t="shared" si="711"/>
        <v>0.8571428571428571</v>
      </c>
      <c r="AB386" s="159"/>
      <c r="AC386" s="256" t="e">
        <f t="shared" si="711"/>
        <v>#DIV/0!</v>
      </c>
      <c r="AD386" s="256" t="e">
        <f t="shared" si="711"/>
        <v>#DIV/0!</v>
      </c>
      <c r="AE386" s="301" t="e">
        <f t="shared" si="711"/>
        <v>#DIV/0!</v>
      </c>
      <c r="AF386" s="159" t="e">
        <f>AF385/AF$380</f>
        <v>#DIV/0!</v>
      </c>
      <c r="AG386" s="256" t="e">
        <f>AG385/AG$380</f>
        <v>#DIV/0!</v>
      </c>
      <c r="AH386" s="256" t="e">
        <f>AH385/AH$380</f>
        <v>#DIV/0!</v>
      </c>
      <c r="AI386" s="256" t="e">
        <f>AI385/AI$380</f>
        <v>#DIV/0!</v>
      </c>
      <c r="AJ386" s="159"/>
      <c r="AK386" s="90"/>
      <c r="AL386" s="256" t="e">
        <f>AL385/AL$380</f>
        <v>#DIV/0!</v>
      </c>
      <c r="AM386" s="91" t="e">
        <f>AM385/AM$380</f>
        <v>#DIV/0!</v>
      </c>
      <c r="AN386" s="1607"/>
      <c r="AO386" s="1603"/>
      <c r="AP386" s="1715" t="e">
        <f>AP385/AP$380</f>
        <v>#DIV/0!</v>
      </c>
      <c r="AQ386" s="1807" t="e">
        <f>AQ385/AQ$380</f>
        <v>#DIV/0!</v>
      </c>
      <c r="AR386" s="159"/>
      <c r="AS386" s="1506"/>
      <c r="AT386" s="1506"/>
      <c r="AU386" s="91"/>
      <c r="AV386" s="159"/>
      <c r="AW386" s="1506"/>
      <c r="AX386" s="1506"/>
      <c r="AY386" s="91"/>
      <c r="AZ386" s="22"/>
      <c r="BA386" s="652"/>
      <c r="BB386" s="317"/>
      <c r="BC386" s="256">
        <f>BC385/BC$380</f>
        <v>-0.12727272727272726</v>
      </c>
      <c r="BD386" s="256">
        <f>BD385/BD$380</f>
        <v>0.19117647058823528</v>
      </c>
      <c r="BE386" s="256">
        <f>BE385/BE$380</f>
        <v>0.95744680851063835</v>
      </c>
      <c r="BF386" s="255">
        <f>BF385/BF$380</f>
        <v>0.81818181818181823</v>
      </c>
      <c r="BG386" s="1515"/>
      <c r="BH386" s="1516"/>
      <c r="BI386" s="1614"/>
      <c r="BJ386" s="1615"/>
      <c r="BK386" s="1615"/>
      <c r="BL386" s="1715"/>
      <c r="BM386" s="1715"/>
      <c r="BN386" s="1715"/>
      <c r="BO386" s="461"/>
    </row>
    <row r="387" spans="1:67" ht="14.25" hidden="1" customHeight="1" outlineLevel="2">
      <c r="A387" s="1"/>
      <c r="B387" s="431"/>
      <c r="C387" s="254"/>
      <c r="D387" s="320"/>
      <c r="E387" s="320"/>
      <c r="F387" s="320"/>
      <c r="G387" s="93"/>
      <c r="H387" s="269"/>
      <c r="I387" s="269"/>
      <c r="J387" s="300"/>
      <c r="K387" s="301"/>
      <c r="L387" s="255"/>
      <c r="M387" s="300"/>
      <c r="N387" s="300"/>
      <c r="O387" s="301"/>
      <c r="P387" s="300"/>
      <c r="Q387" s="300"/>
      <c r="R387" s="300"/>
      <c r="S387" s="301"/>
      <c r="T387" s="300"/>
      <c r="U387" s="300"/>
      <c r="V387" s="269"/>
      <c r="W387" s="301"/>
      <c r="X387" s="300"/>
      <c r="Y387" s="300"/>
      <c r="Z387" s="300"/>
      <c r="AA387" s="301"/>
      <c r="AB387" s="159"/>
      <c r="AC387" s="256"/>
      <c r="AD387" s="256"/>
      <c r="AE387" s="301"/>
      <c r="AF387" s="159"/>
      <c r="AG387" s="256"/>
      <c r="AH387" s="256"/>
      <c r="AI387" s="256"/>
      <c r="AJ387" s="159"/>
      <c r="AK387" s="90"/>
      <c r="AL387" s="256"/>
      <c r="AM387" s="91"/>
      <c r="AN387" s="1607"/>
      <c r="AO387" s="1603"/>
      <c r="AP387" s="1715"/>
      <c r="AQ387" s="1807"/>
      <c r="AR387" s="159"/>
      <c r="AS387" s="1506"/>
      <c r="AT387" s="1506"/>
      <c r="AU387" s="91"/>
      <c r="AV387" s="159"/>
      <c r="AW387" s="1506"/>
      <c r="AX387" s="1506"/>
      <c r="AY387" s="91"/>
      <c r="AZ387" s="22"/>
      <c r="BA387" s="652"/>
      <c r="BB387" s="317"/>
      <c r="BC387" s="256"/>
      <c r="BD387" s="256"/>
      <c r="BE387" s="256"/>
      <c r="BF387" s="255"/>
      <c r="BG387" s="1515"/>
      <c r="BH387" s="1516"/>
      <c r="BI387" s="1614"/>
      <c r="BJ387" s="1615"/>
      <c r="BK387" s="1615"/>
      <c r="BL387" s="1715"/>
      <c r="BM387" s="1715"/>
      <c r="BN387" s="1715"/>
      <c r="BO387" s="461"/>
    </row>
    <row r="388" spans="1:67" s="861" customFormat="1" ht="14.25" hidden="1" customHeight="1" outlineLevel="2">
      <c r="B388" s="493" t="s">
        <v>363</v>
      </c>
      <c r="C388" s="862"/>
      <c r="D388" s="863"/>
      <c r="E388" s="863"/>
      <c r="F388" s="863"/>
      <c r="G388" s="864"/>
      <c r="H388" s="865"/>
      <c r="I388" s="865"/>
      <c r="J388" s="866"/>
      <c r="K388" s="867"/>
      <c r="L388" s="921">
        <f t="shared" ref="L388:U388" si="712">SUM(L389:L392)</f>
        <v>-1</v>
      </c>
      <c r="M388" s="874">
        <f t="shared" si="712"/>
        <v>-1</v>
      </c>
      <c r="N388" s="874">
        <f t="shared" si="712"/>
        <v>-2</v>
      </c>
      <c r="O388" s="875">
        <f t="shared" si="712"/>
        <v>-12</v>
      </c>
      <c r="P388" s="871">
        <f t="shared" si="712"/>
        <v>3</v>
      </c>
      <c r="Q388" s="871">
        <f t="shared" si="712"/>
        <v>0</v>
      </c>
      <c r="R388" s="871">
        <f t="shared" si="712"/>
        <v>0</v>
      </c>
      <c r="S388" s="872">
        <f t="shared" si="712"/>
        <v>1</v>
      </c>
      <c r="T388" s="871">
        <f t="shared" si="712"/>
        <v>0</v>
      </c>
      <c r="U388" s="871">
        <f t="shared" si="712"/>
        <v>0</v>
      </c>
      <c r="V388" s="871">
        <f t="shared" ref="V388:AA388" si="713">SUM(V389:V392)</f>
        <v>0</v>
      </c>
      <c r="W388" s="872">
        <f t="shared" si="713"/>
        <v>0</v>
      </c>
      <c r="X388" s="871">
        <f t="shared" si="713"/>
        <v>0</v>
      </c>
      <c r="Y388" s="871">
        <f t="shared" si="713"/>
        <v>0</v>
      </c>
      <c r="Z388" s="871">
        <f t="shared" si="713"/>
        <v>0</v>
      </c>
      <c r="AA388" s="872">
        <f t="shared" si="713"/>
        <v>0</v>
      </c>
      <c r="AB388" s="1147"/>
      <c r="AC388" s="871">
        <f t="shared" ref="AC388:AH388" si="714">SUM(AC389:AC392)</f>
        <v>0</v>
      </c>
      <c r="AD388" s="871">
        <f t="shared" si="714"/>
        <v>0</v>
      </c>
      <c r="AE388" s="872">
        <f t="shared" si="714"/>
        <v>0</v>
      </c>
      <c r="AF388" s="1147">
        <f t="shared" si="714"/>
        <v>0</v>
      </c>
      <c r="AG388" s="871">
        <f t="shared" si="714"/>
        <v>0</v>
      </c>
      <c r="AH388" s="871">
        <f t="shared" si="714"/>
        <v>0</v>
      </c>
      <c r="AI388" s="871">
        <f>SUM(AI389:AI392)</f>
        <v>0</v>
      </c>
      <c r="AJ388" s="1147"/>
      <c r="AK388" s="871"/>
      <c r="AL388" s="871">
        <f t="shared" ref="AL388:AM388" si="715">SUM(AL389:AL392)</f>
        <v>0</v>
      </c>
      <c r="AM388" s="872">
        <f t="shared" si="715"/>
        <v>0</v>
      </c>
      <c r="AN388" s="1147"/>
      <c r="AO388" s="871"/>
      <c r="AP388" s="871">
        <f t="shared" ref="AP388:AQ388" si="716">SUM(AP389:AP392)</f>
        <v>0</v>
      </c>
      <c r="AQ388" s="872">
        <f t="shared" si="716"/>
        <v>0</v>
      </c>
      <c r="AR388" s="1147"/>
      <c r="AS388" s="871"/>
      <c r="AT388" s="871"/>
      <c r="AU388" s="872"/>
      <c r="AV388" s="1147"/>
      <c r="AW388" s="871"/>
      <c r="AX388" s="871"/>
      <c r="AY388" s="872"/>
      <c r="AZ388" s="921"/>
      <c r="BA388" s="1127"/>
      <c r="BB388" s="873"/>
      <c r="BC388" s="874">
        <f t="shared" ref="BC388:BC394" si="717">SUM(L388:O388)</f>
        <v>-16</v>
      </c>
      <c r="BD388" s="874">
        <f>SUM(P388:S388)</f>
        <v>4</v>
      </c>
      <c r="BE388" s="874">
        <f>SUM(T388:W388)</f>
        <v>0</v>
      </c>
      <c r="BF388" s="921">
        <f>SUM(X388:AA388)</f>
        <v>0</v>
      </c>
      <c r="BG388" s="921"/>
      <c r="BH388" s="874"/>
      <c r="BI388" s="921"/>
      <c r="BJ388" s="874"/>
      <c r="BK388" s="874"/>
      <c r="BL388" s="874"/>
      <c r="BM388" s="874"/>
      <c r="BN388" s="874"/>
      <c r="BO388" s="1203"/>
    </row>
    <row r="389" spans="1:67" s="353" customFormat="1" ht="14.25" hidden="1" customHeight="1" outlineLevel="3">
      <c r="A389" s="6"/>
      <c r="B389" s="437" t="s">
        <v>348</v>
      </c>
      <c r="C389" s="383"/>
      <c r="D389" s="354"/>
      <c r="E389" s="354"/>
      <c r="F389" s="354"/>
      <c r="G389" s="355"/>
      <c r="H389" s="356"/>
      <c r="I389" s="356"/>
      <c r="J389" s="357"/>
      <c r="K389" s="358"/>
      <c r="L389" s="362">
        <v>0</v>
      </c>
      <c r="M389" s="342">
        <v>0</v>
      </c>
      <c r="N389" s="342">
        <v>0</v>
      </c>
      <c r="O389" s="343">
        <v>-2</v>
      </c>
      <c r="P389" s="72">
        <v>0</v>
      </c>
      <c r="Q389" s="72">
        <v>0</v>
      </c>
      <c r="R389" s="72">
        <v>0</v>
      </c>
      <c r="S389" s="73">
        <v>0</v>
      </c>
      <c r="T389" s="72">
        <v>0</v>
      </c>
      <c r="U389" s="72">
        <v>0</v>
      </c>
      <c r="V389" s="72">
        <v>0</v>
      </c>
      <c r="W389" s="73">
        <v>0</v>
      </c>
      <c r="X389" s="72">
        <v>0</v>
      </c>
      <c r="Y389" s="72">
        <v>0</v>
      </c>
      <c r="Z389" s="72">
        <v>0</v>
      </c>
      <c r="AA389" s="73">
        <v>0</v>
      </c>
      <c r="AB389" s="1158"/>
      <c r="AC389" s="72">
        <v>0</v>
      </c>
      <c r="AD389" s="72">
        <v>0</v>
      </c>
      <c r="AE389" s="73">
        <v>0</v>
      </c>
      <c r="AF389" s="1158">
        <v>0</v>
      </c>
      <c r="AG389" s="72">
        <v>0</v>
      </c>
      <c r="AH389" s="72">
        <v>0</v>
      </c>
      <c r="AI389" s="72">
        <v>0</v>
      </c>
      <c r="AJ389" s="1158"/>
      <c r="AK389" s="747"/>
      <c r="AL389" s="72">
        <v>0</v>
      </c>
      <c r="AM389" s="909">
        <v>0</v>
      </c>
      <c r="AN389" s="1158"/>
      <c r="AO389" s="747"/>
      <c r="AP389" s="72">
        <v>0</v>
      </c>
      <c r="AQ389" s="1827">
        <v>0</v>
      </c>
      <c r="AR389" s="1158"/>
      <c r="AS389" s="747"/>
      <c r="AT389" s="747"/>
      <c r="AU389" s="909"/>
      <c r="AV389" s="1158"/>
      <c r="AW389" s="747"/>
      <c r="AX389" s="747"/>
      <c r="AY389" s="909"/>
      <c r="AZ389" s="903"/>
      <c r="BA389" s="1129"/>
      <c r="BB389" s="359"/>
      <c r="BC389" s="341">
        <f t="shared" si="717"/>
        <v>-2</v>
      </c>
      <c r="BD389" s="341">
        <f>SUM(P389:S389)</f>
        <v>0</v>
      </c>
      <c r="BE389" s="341">
        <f>SUM(T389:W389)</f>
        <v>0</v>
      </c>
      <c r="BF389" s="939">
        <f>SUM(X389:AA389)</f>
        <v>0</v>
      </c>
      <c r="BG389" s="939"/>
      <c r="BH389" s="341"/>
      <c r="BI389" s="939"/>
      <c r="BJ389" s="341"/>
      <c r="BK389" s="341"/>
      <c r="BL389" s="341"/>
      <c r="BM389" s="341"/>
      <c r="BN389" s="341"/>
      <c r="BO389" s="1302"/>
    </row>
    <row r="390" spans="1:67" s="353" customFormat="1" ht="14.25" hidden="1" customHeight="1" outlineLevel="3">
      <c r="A390" s="6"/>
      <c r="B390" s="438" t="s">
        <v>349</v>
      </c>
      <c r="C390" s="383"/>
      <c r="D390" s="354"/>
      <c r="E390" s="354"/>
      <c r="F390" s="354"/>
      <c r="G390" s="355"/>
      <c r="H390" s="356"/>
      <c r="I390" s="356"/>
      <c r="J390" s="357"/>
      <c r="K390" s="358"/>
      <c r="L390" s="362">
        <v>-1</v>
      </c>
      <c r="M390" s="342">
        <v>-6</v>
      </c>
      <c r="N390" s="342">
        <v>-1</v>
      </c>
      <c r="O390" s="343">
        <v>8</v>
      </c>
      <c r="P390" s="72">
        <v>3</v>
      </c>
      <c r="Q390" s="72">
        <v>0</v>
      </c>
      <c r="R390" s="72">
        <v>0</v>
      </c>
      <c r="S390" s="73">
        <v>1</v>
      </c>
      <c r="T390" s="72">
        <v>0</v>
      </c>
      <c r="U390" s="72">
        <v>0</v>
      </c>
      <c r="V390" s="72">
        <v>0</v>
      </c>
      <c r="W390" s="73">
        <v>0</v>
      </c>
      <c r="X390" s="72">
        <v>0</v>
      </c>
      <c r="Y390" s="72">
        <v>0</v>
      </c>
      <c r="Z390" s="72">
        <v>0</v>
      </c>
      <c r="AA390" s="73">
        <v>0</v>
      </c>
      <c r="AB390" s="1158"/>
      <c r="AC390" s="72">
        <v>0</v>
      </c>
      <c r="AD390" s="72">
        <v>0</v>
      </c>
      <c r="AE390" s="73">
        <v>0</v>
      </c>
      <c r="AF390" s="1158">
        <v>0</v>
      </c>
      <c r="AG390" s="72">
        <v>0</v>
      </c>
      <c r="AH390" s="72">
        <v>0</v>
      </c>
      <c r="AI390" s="72">
        <v>0</v>
      </c>
      <c r="AJ390" s="1158"/>
      <c r="AK390" s="747"/>
      <c r="AL390" s="72">
        <v>0</v>
      </c>
      <c r="AM390" s="909">
        <v>0</v>
      </c>
      <c r="AN390" s="1158"/>
      <c r="AO390" s="747"/>
      <c r="AP390" s="72">
        <v>0</v>
      </c>
      <c r="AQ390" s="1827">
        <v>0</v>
      </c>
      <c r="AR390" s="1158"/>
      <c r="AS390" s="747"/>
      <c r="AT390" s="747"/>
      <c r="AU390" s="909"/>
      <c r="AV390" s="1158"/>
      <c r="AW390" s="747"/>
      <c r="AX390" s="747"/>
      <c r="AY390" s="909"/>
      <c r="AZ390" s="903"/>
      <c r="BA390" s="1129"/>
      <c r="BB390" s="359"/>
      <c r="BC390" s="341">
        <f t="shared" si="717"/>
        <v>0</v>
      </c>
      <c r="BD390" s="341">
        <f>SUM(P390:S390)</f>
        <v>4</v>
      </c>
      <c r="BE390" s="341">
        <f>SUM(T390:W390)</f>
        <v>0</v>
      </c>
      <c r="BF390" s="939">
        <f>SUM(X390:AA390)</f>
        <v>0</v>
      </c>
      <c r="BG390" s="939"/>
      <c r="BH390" s="341"/>
      <c r="BI390" s="939"/>
      <c r="BJ390" s="341"/>
      <c r="BK390" s="341"/>
      <c r="BL390" s="341"/>
      <c r="BM390" s="341"/>
      <c r="BN390" s="341"/>
      <c r="BO390" s="1302"/>
    </row>
    <row r="391" spans="1:67" s="353" customFormat="1" ht="14.25" hidden="1" customHeight="1" outlineLevel="3">
      <c r="A391" s="6"/>
      <c r="B391" s="438" t="s">
        <v>350</v>
      </c>
      <c r="C391" s="383"/>
      <c r="D391" s="354"/>
      <c r="E391" s="354"/>
      <c r="F391" s="354"/>
      <c r="G391" s="355"/>
      <c r="H391" s="356"/>
      <c r="I391" s="356"/>
      <c r="J391" s="357"/>
      <c r="K391" s="358"/>
      <c r="L391" s="362">
        <v>0</v>
      </c>
      <c r="M391" s="342">
        <v>5</v>
      </c>
      <c r="N391" s="342">
        <v>-1</v>
      </c>
      <c r="O391" s="343">
        <v>-18</v>
      </c>
      <c r="P391" s="72">
        <v>0</v>
      </c>
      <c r="Q391" s="72">
        <v>0</v>
      </c>
      <c r="R391" s="72">
        <v>0</v>
      </c>
      <c r="S391" s="73">
        <v>0</v>
      </c>
      <c r="T391" s="72">
        <v>0</v>
      </c>
      <c r="U391" s="72">
        <v>0</v>
      </c>
      <c r="V391" s="72">
        <v>0</v>
      </c>
      <c r="W391" s="73">
        <v>0</v>
      </c>
      <c r="X391" s="72">
        <v>0</v>
      </c>
      <c r="Y391" s="72">
        <v>0</v>
      </c>
      <c r="Z391" s="72">
        <v>0</v>
      </c>
      <c r="AA391" s="73">
        <v>0</v>
      </c>
      <c r="AB391" s="1158"/>
      <c r="AC391" s="72">
        <v>0</v>
      </c>
      <c r="AD391" s="72">
        <v>0</v>
      </c>
      <c r="AE391" s="73">
        <v>0</v>
      </c>
      <c r="AF391" s="1158">
        <v>0</v>
      </c>
      <c r="AG391" s="72">
        <v>0</v>
      </c>
      <c r="AH391" s="72">
        <v>0</v>
      </c>
      <c r="AI391" s="72">
        <v>0</v>
      </c>
      <c r="AJ391" s="1158"/>
      <c r="AK391" s="747"/>
      <c r="AL391" s="72">
        <v>0</v>
      </c>
      <c r="AM391" s="909">
        <v>0</v>
      </c>
      <c r="AN391" s="1158"/>
      <c r="AO391" s="747"/>
      <c r="AP391" s="72">
        <v>0</v>
      </c>
      <c r="AQ391" s="1827">
        <v>0</v>
      </c>
      <c r="AR391" s="1158"/>
      <c r="AS391" s="747"/>
      <c r="AT391" s="747"/>
      <c r="AU391" s="909"/>
      <c r="AV391" s="1158"/>
      <c r="AW391" s="747"/>
      <c r="AX391" s="747"/>
      <c r="AY391" s="909"/>
      <c r="AZ391" s="903"/>
      <c r="BA391" s="1129"/>
      <c r="BB391" s="359"/>
      <c r="BC391" s="341">
        <f t="shared" si="717"/>
        <v>-14</v>
      </c>
      <c r="BD391" s="341">
        <f>SUM(P391:S391)</f>
        <v>0</v>
      </c>
      <c r="BE391" s="341">
        <f>SUM(T391:W391)</f>
        <v>0</v>
      </c>
      <c r="BF391" s="939">
        <f>SUM(X391:AA391)</f>
        <v>0</v>
      </c>
      <c r="BG391" s="939"/>
      <c r="BH391" s="341"/>
      <c r="BI391" s="939"/>
      <c r="BJ391" s="341"/>
      <c r="BK391" s="341"/>
      <c r="BL391" s="341"/>
      <c r="BM391" s="341"/>
      <c r="BN391" s="341"/>
      <c r="BO391" s="1302"/>
    </row>
    <row r="392" spans="1:67" s="353" customFormat="1" ht="14.25" hidden="1" customHeight="1" outlineLevel="3">
      <c r="A392" s="6"/>
      <c r="B392" s="438" t="s">
        <v>351</v>
      </c>
      <c r="C392" s="383"/>
      <c r="D392" s="354"/>
      <c r="E392" s="354"/>
      <c r="F392" s="354"/>
      <c r="G392" s="355"/>
      <c r="H392" s="356"/>
      <c r="I392" s="356"/>
      <c r="J392" s="357"/>
      <c r="K392" s="358"/>
      <c r="L392" s="362">
        <v>0</v>
      </c>
      <c r="M392" s="342">
        <v>0</v>
      </c>
      <c r="N392" s="342">
        <v>0</v>
      </c>
      <c r="O392" s="343">
        <v>0</v>
      </c>
      <c r="P392" s="72">
        <v>0</v>
      </c>
      <c r="Q392" s="72">
        <v>0</v>
      </c>
      <c r="R392" s="72">
        <v>0</v>
      </c>
      <c r="S392" s="73">
        <v>0</v>
      </c>
      <c r="T392" s="72">
        <v>0</v>
      </c>
      <c r="U392" s="72">
        <v>0</v>
      </c>
      <c r="V392" s="72">
        <v>0</v>
      </c>
      <c r="W392" s="73">
        <v>0</v>
      </c>
      <c r="X392" s="72">
        <v>0</v>
      </c>
      <c r="Y392" s="72">
        <v>0</v>
      </c>
      <c r="Z392" s="72">
        <v>0</v>
      </c>
      <c r="AA392" s="73">
        <v>0</v>
      </c>
      <c r="AB392" s="1158"/>
      <c r="AC392" s="72">
        <v>0</v>
      </c>
      <c r="AD392" s="72">
        <v>0</v>
      </c>
      <c r="AE392" s="73">
        <v>0</v>
      </c>
      <c r="AF392" s="1158">
        <v>0</v>
      </c>
      <c r="AG392" s="72">
        <v>0</v>
      </c>
      <c r="AH392" s="72">
        <v>0</v>
      </c>
      <c r="AI392" s="72">
        <v>0</v>
      </c>
      <c r="AJ392" s="1158"/>
      <c r="AK392" s="747"/>
      <c r="AL392" s="72">
        <v>0</v>
      </c>
      <c r="AM392" s="909">
        <v>0</v>
      </c>
      <c r="AN392" s="1158"/>
      <c r="AO392" s="747"/>
      <c r="AP392" s="72">
        <v>0</v>
      </c>
      <c r="AQ392" s="1827">
        <v>0</v>
      </c>
      <c r="AR392" s="1158"/>
      <c r="AS392" s="747"/>
      <c r="AT392" s="747"/>
      <c r="AU392" s="909"/>
      <c r="AV392" s="1158"/>
      <c r="AW392" s="747"/>
      <c r="AX392" s="747"/>
      <c r="AY392" s="909"/>
      <c r="AZ392" s="903"/>
      <c r="BA392" s="1129"/>
      <c r="BB392" s="359"/>
      <c r="BC392" s="341">
        <f t="shared" si="717"/>
        <v>0</v>
      </c>
      <c r="BD392" s="341">
        <f>SUM(P392:S392)</f>
        <v>0</v>
      </c>
      <c r="BE392" s="341">
        <f>SUM(T392:W392)</f>
        <v>0</v>
      </c>
      <c r="BF392" s="939">
        <f>SUM(X392:AA392)</f>
        <v>0</v>
      </c>
      <c r="BG392" s="939"/>
      <c r="BH392" s="341"/>
      <c r="BI392" s="939"/>
      <c r="BJ392" s="341"/>
      <c r="BK392" s="341"/>
      <c r="BL392" s="341"/>
      <c r="BM392" s="341"/>
      <c r="BN392" s="341"/>
      <c r="BO392" s="1302"/>
    </row>
    <row r="393" spans="1:67" ht="14.25" hidden="1" customHeight="1" outlineLevel="3">
      <c r="A393" s="1"/>
      <c r="B393" s="431"/>
      <c r="C393" s="254"/>
      <c r="D393" s="320"/>
      <c r="E393" s="320"/>
      <c r="F393" s="320"/>
      <c r="G393" s="93"/>
      <c r="H393" s="269"/>
      <c r="I393" s="269"/>
      <c r="J393" s="300"/>
      <c r="K393" s="301"/>
      <c r="L393" s="361"/>
      <c r="M393" s="340"/>
      <c r="N393" s="340"/>
      <c r="O393" s="351"/>
      <c r="P393" s="361"/>
      <c r="Q393" s="340"/>
      <c r="R393" s="340"/>
      <c r="S393" s="351"/>
      <c r="T393" s="361"/>
      <c r="U393" s="340"/>
      <c r="V393" s="348"/>
      <c r="W393" s="351"/>
      <c r="X393" s="361"/>
      <c r="Y393" s="340"/>
      <c r="Z393" s="348"/>
      <c r="AA393" s="349"/>
      <c r="AB393" s="923"/>
      <c r="AC393" s="348"/>
      <c r="AD393" s="348"/>
      <c r="AE393" s="349"/>
      <c r="AF393" s="923"/>
      <c r="AG393" s="348"/>
      <c r="AH393" s="348"/>
      <c r="AI393" s="348"/>
      <c r="AJ393" s="923"/>
      <c r="AK393" s="348"/>
      <c r="AL393" s="348"/>
      <c r="AM393" s="349"/>
      <c r="AN393" s="923"/>
      <c r="AO393" s="348"/>
      <c r="AP393" s="348"/>
      <c r="AQ393" s="349"/>
      <c r="AR393" s="923"/>
      <c r="AS393" s="348"/>
      <c r="AT393" s="348"/>
      <c r="AU393" s="349"/>
      <c r="AV393" s="923"/>
      <c r="AW393" s="348"/>
      <c r="AX393" s="348"/>
      <c r="AY393" s="349"/>
      <c r="AZ393" s="22"/>
      <c r="BA393" s="652"/>
      <c r="BB393" s="317"/>
      <c r="BC393" s="256">
        <f t="shared" si="717"/>
        <v>0</v>
      </c>
      <c r="BD393" s="256"/>
      <c r="BE393" s="256"/>
      <c r="BF393" s="255"/>
      <c r="BG393" s="1515"/>
      <c r="BH393" s="1516"/>
      <c r="BI393" s="1614"/>
      <c r="BJ393" s="1615"/>
      <c r="BK393" s="1615"/>
      <c r="BL393" s="1715"/>
      <c r="BM393" s="1715"/>
      <c r="BN393" s="1715"/>
      <c r="BO393" s="461"/>
    </row>
    <row r="394" spans="1:67" s="363" customFormat="1" ht="14.25" hidden="1" customHeight="1" outlineLevel="2">
      <c r="B394" s="436" t="s">
        <v>364</v>
      </c>
      <c r="C394" s="351"/>
      <c r="D394" s="365"/>
      <c r="E394" s="348"/>
      <c r="F394" s="340"/>
      <c r="G394" s="351"/>
      <c r="H394" s="367"/>
      <c r="I394" s="340"/>
      <c r="J394" s="344"/>
      <c r="K394" s="345"/>
      <c r="L394" s="361">
        <f t="shared" ref="L394:AA394" si="718">L385-L388</f>
        <v>6</v>
      </c>
      <c r="M394" s="340">
        <f t="shared" si="718"/>
        <v>-3</v>
      </c>
      <c r="N394" s="340">
        <f t="shared" si="718"/>
        <v>-5</v>
      </c>
      <c r="O394" s="351">
        <f t="shared" si="718"/>
        <v>-3</v>
      </c>
      <c r="P394" s="348">
        <f t="shared" si="718"/>
        <v>11</v>
      </c>
      <c r="Q394" s="348">
        <f t="shared" si="718"/>
        <v>10</v>
      </c>
      <c r="R394" s="348">
        <f t="shared" si="718"/>
        <v>-7</v>
      </c>
      <c r="S394" s="349">
        <f t="shared" si="718"/>
        <v>8</v>
      </c>
      <c r="T394" s="348">
        <f t="shared" si="718"/>
        <v>11</v>
      </c>
      <c r="U394" s="348">
        <f t="shared" si="718"/>
        <v>13</v>
      </c>
      <c r="V394" s="348">
        <f t="shared" si="718"/>
        <v>13</v>
      </c>
      <c r="W394" s="349">
        <f t="shared" si="718"/>
        <v>8</v>
      </c>
      <c r="X394" s="348">
        <f t="shared" si="718"/>
        <v>9</v>
      </c>
      <c r="Y394" s="348">
        <f t="shared" si="718"/>
        <v>10</v>
      </c>
      <c r="Z394" s="348">
        <f t="shared" si="718"/>
        <v>2</v>
      </c>
      <c r="AA394" s="349">
        <f t="shared" si="718"/>
        <v>6</v>
      </c>
      <c r="AB394" s="923"/>
      <c r="AC394" s="348">
        <f t="shared" ref="AC394:AH394" si="719">AC385-AC388</f>
        <v>1</v>
      </c>
      <c r="AD394" s="348">
        <f t="shared" si="719"/>
        <v>0</v>
      </c>
      <c r="AE394" s="349">
        <f t="shared" si="719"/>
        <v>0</v>
      </c>
      <c r="AF394" s="923">
        <f t="shared" si="719"/>
        <v>0</v>
      </c>
      <c r="AG394" s="348">
        <f t="shared" si="719"/>
        <v>0</v>
      </c>
      <c r="AH394" s="348">
        <f t="shared" si="719"/>
        <v>0</v>
      </c>
      <c r="AI394" s="348">
        <f>AI385-AI388</f>
        <v>0</v>
      </c>
      <c r="AJ394" s="923"/>
      <c r="AK394" s="348"/>
      <c r="AL394" s="348">
        <f t="shared" ref="AL394:AM394" si="720">AL385-AL388</f>
        <v>0</v>
      </c>
      <c r="AM394" s="349">
        <f t="shared" si="720"/>
        <v>0</v>
      </c>
      <c r="AN394" s="923"/>
      <c r="AO394" s="348"/>
      <c r="AP394" s="348">
        <f t="shared" ref="AP394:AQ394" si="721">AP385-AP388</f>
        <v>0</v>
      </c>
      <c r="AQ394" s="349">
        <f t="shared" si="721"/>
        <v>0</v>
      </c>
      <c r="AR394" s="923"/>
      <c r="AS394" s="348"/>
      <c r="AT394" s="348"/>
      <c r="AU394" s="349"/>
      <c r="AV394" s="923"/>
      <c r="AW394" s="348"/>
      <c r="AX394" s="348"/>
      <c r="AY394" s="349"/>
      <c r="AZ394" s="361"/>
      <c r="BA394" s="361"/>
      <c r="BB394" s="340"/>
      <c r="BC394" s="340">
        <f t="shared" si="717"/>
        <v>-5</v>
      </c>
      <c r="BD394" s="340">
        <f>SUM(P394:S394)</f>
        <v>22</v>
      </c>
      <c r="BE394" s="340">
        <f>SUM(T394:W394)</f>
        <v>45</v>
      </c>
      <c r="BF394" s="361">
        <f>SUM(X394:AA394)</f>
        <v>27</v>
      </c>
      <c r="BG394" s="361"/>
      <c r="BH394" s="340"/>
      <c r="BI394" s="361"/>
      <c r="BJ394" s="340"/>
      <c r="BK394" s="340"/>
      <c r="BL394" s="340"/>
      <c r="BM394" s="340"/>
      <c r="BN394" s="340"/>
      <c r="BO394" s="1205"/>
    </row>
    <row r="395" spans="1:67" ht="14.25" hidden="1" customHeight="1" outlineLevel="2">
      <c r="A395" s="1"/>
      <c r="B395" s="435" t="s">
        <v>347</v>
      </c>
      <c r="C395" s="34"/>
      <c r="D395" s="269"/>
      <c r="E395" s="269"/>
      <c r="F395" s="300"/>
      <c r="G395" s="301"/>
      <c r="H395" s="269"/>
      <c r="I395" s="300"/>
      <c r="J395" s="300"/>
      <c r="K395" s="301"/>
      <c r="L395" s="300">
        <f>L394/L$380</f>
        <v>0.15</v>
      </c>
      <c r="M395" s="300">
        <f t="shared" ref="M395:AF395" si="722">M394/M$380</f>
        <v>-6.9767441860465115E-2</v>
      </c>
      <c r="N395" s="300">
        <f t="shared" si="722"/>
        <v>-0.11904761904761904</v>
      </c>
      <c r="O395" s="301">
        <f t="shared" si="722"/>
        <v>-7.4999999999999997E-2</v>
      </c>
      <c r="P395" s="300">
        <f t="shared" si="722"/>
        <v>0.31428571428571428</v>
      </c>
      <c r="Q395" s="300">
        <f t="shared" si="722"/>
        <v>0.25641025641025639</v>
      </c>
      <c r="R395" s="300">
        <f t="shared" si="722"/>
        <v>-0.19444444444444445</v>
      </c>
      <c r="S395" s="301">
        <f t="shared" si="722"/>
        <v>0.30769230769230771</v>
      </c>
      <c r="T395" s="300">
        <f t="shared" si="722"/>
        <v>1</v>
      </c>
      <c r="U395" s="300">
        <f t="shared" si="722"/>
        <v>1</v>
      </c>
      <c r="V395" s="269">
        <f>V394/V$380</f>
        <v>1.1818181818181819</v>
      </c>
      <c r="W395" s="301">
        <f>W394/W$380</f>
        <v>0.66666666666666663</v>
      </c>
      <c r="X395" s="300">
        <f>X394/X$380</f>
        <v>1</v>
      </c>
      <c r="Y395" s="300">
        <f>Y394/Y$380</f>
        <v>1</v>
      </c>
      <c r="Z395" s="300">
        <f t="shared" si="722"/>
        <v>0.2857142857142857</v>
      </c>
      <c r="AA395" s="301">
        <f t="shared" si="722"/>
        <v>0.8571428571428571</v>
      </c>
      <c r="AB395" s="159"/>
      <c r="AC395" s="256" t="e">
        <f t="shared" si="722"/>
        <v>#DIV/0!</v>
      </c>
      <c r="AD395" s="256" t="e">
        <f t="shared" si="722"/>
        <v>#DIV/0!</v>
      </c>
      <c r="AE395" s="301" t="e">
        <f t="shared" si="722"/>
        <v>#DIV/0!</v>
      </c>
      <c r="AF395" s="159" t="e">
        <f t="shared" si="722"/>
        <v>#DIV/0!</v>
      </c>
      <c r="AG395" s="256" t="e">
        <f>AG394/AG$380</f>
        <v>#DIV/0!</v>
      </c>
      <c r="AH395" s="256" t="e">
        <f>AH394/AH$380</f>
        <v>#DIV/0!</v>
      </c>
      <c r="AI395" s="256" t="e">
        <f>AI394/AI$380</f>
        <v>#DIV/0!</v>
      </c>
      <c r="AJ395" s="159"/>
      <c r="AK395" s="90"/>
      <c r="AL395" s="256" t="e">
        <f>AL394/AL$380</f>
        <v>#DIV/0!</v>
      </c>
      <c r="AM395" s="91" t="e">
        <f>AM394/AM$380</f>
        <v>#DIV/0!</v>
      </c>
      <c r="AN395" s="1607"/>
      <c r="AO395" s="1603"/>
      <c r="AP395" s="1715" t="e">
        <f>AP394/AP$380</f>
        <v>#DIV/0!</v>
      </c>
      <c r="AQ395" s="1807" t="e">
        <f>AQ394/AQ$380</f>
        <v>#DIV/0!</v>
      </c>
      <c r="AR395" s="159"/>
      <c r="AS395" s="1506"/>
      <c r="AT395" s="1506"/>
      <c r="AU395" s="91"/>
      <c r="AV395" s="159"/>
      <c r="AW395" s="1506"/>
      <c r="AX395" s="1506"/>
      <c r="AY395" s="91"/>
      <c r="AZ395" s="22"/>
      <c r="BA395" s="652"/>
      <c r="BB395" s="317"/>
      <c r="BC395" s="256">
        <f>BC394/BC$380</f>
        <v>-3.0303030303030304E-2</v>
      </c>
      <c r="BD395" s="256">
        <f>BD394/BD$380</f>
        <v>0.16176470588235295</v>
      </c>
      <c r="BE395" s="256">
        <f>BE394/BE$380</f>
        <v>0.95744680851063835</v>
      </c>
      <c r="BF395" s="255">
        <f>BF394/BF$380</f>
        <v>0.81818181818181823</v>
      </c>
      <c r="BG395" s="1515"/>
      <c r="BH395" s="1516"/>
      <c r="BI395" s="1614"/>
      <c r="BJ395" s="1615"/>
      <c r="BK395" s="1615"/>
      <c r="BL395" s="1715"/>
      <c r="BM395" s="1715"/>
      <c r="BN395" s="1715"/>
      <c r="BO395" s="461"/>
    </row>
    <row r="396" spans="1:67" ht="14.25" hidden="1" customHeight="1" outlineLevel="2">
      <c r="A396" s="1"/>
      <c r="B396" s="431"/>
      <c r="C396" s="254"/>
      <c r="D396" s="320"/>
      <c r="E396" s="320"/>
      <c r="F396" s="320"/>
      <c r="G396" s="93"/>
      <c r="H396" s="269"/>
      <c r="I396" s="269"/>
      <c r="J396" s="300"/>
      <c r="K396" s="301"/>
      <c r="L396" s="300"/>
      <c r="M396" s="300"/>
      <c r="N396" s="300"/>
      <c r="O396" s="301"/>
      <c r="P396" s="300"/>
      <c r="Q396" s="300"/>
      <c r="R396" s="300"/>
      <c r="S396" s="301"/>
      <c r="T396" s="300"/>
      <c r="U396" s="300"/>
      <c r="V396" s="269"/>
      <c r="W396" s="301"/>
      <c r="X396" s="300"/>
      <c r="Y396" s="300"/>
      <c r="Z396" s="300"/>
      <c r="AA396" s="301"/>
      <c r="AB396" s="159"/>
      <c r="AC396" s="256"/>
      <c r="AD396" s="256"/>
      <c r="AE396" s="301"/>
      <c r="AF396" s="159"/>
      <c r="AG396" s="90"/>
      <c r="AH396" s="256"/>
      <c r="AI396" s="256"/>
      <c r="AJ396" s="159"/>
      <c r="AK396" s="90"/>
      <c r="AL396" s="256"/>
      <c r="AM396" s="91"/>
      <c r="AN396" s="1607"/>
      <c r="AO396" s="1603"/>
      <c r="AP396" s="1715"/>
      <c r="AQ396" s="1807"/>
      <c r="AR396" s="159"/>
      <c r="AS396" s="1506"/>
      <c r="AT396" s="1506"/>
      <c r="AU396" s="91"/>
      <c r="AV396" s="159"/>
      <c r="AW396" s="1506"/>
      <c r="AX396" s="1506"/>
      <c r="AY396" s="91"/>
      <c r="AZ396" s="22"/>
      <c r="BA396" s="652"/>
      <c r="BB396" s="317"/>
      <c r="BC396" s="256"/>
      <c r="BD396" s="256"/>
      <c r="BE396" s="256"/>
      <c r="BF396" s="255"/>
      <c r="BG396" s="1515"/>
      <c r="BH396" s="1516"/>
      <c r="BI396" s="1614"/>
      <c r="BJ396" s="1615"/>
      <c r="BK396" s="1615"/>
      <c r="BL396" s="1715"/>
      <c r="BM396" s="1715"/>
      <c r="BN396" s="1715"/>
      <c r="BO396" s="461"/>
    </row>
    <row r="397" spans="1:67" s="363" customFormat="1" ht="14.25" hidden="1" customHeight="1" outlineLevel="2" collapsed="1">
      <c r="B397" s="436" t="s">
        <v>365</v>
      </c>
      <c r="C397" s="351"/>
      <c r="D397" s="365"/>
      <c r="E397" s="348"/>
      <c r="F397" s="340"/>
      <c r="G397" s="351"/>
      <c r="H397" s="367"/>
      <c r="I397" s="340"/>
      <c r="J397" s="344"/>
      <c r="K397" s="345"/>
      <c r="L397" s="360">
        <v>-27</v>
      </c>
      <c r="M397" s="344">
        <v>-27</v>
      </c>
      <c r="N397" s="344">
        <v>-55</v>
      </c>
      <c r="O397" s="345">
        <v>-79</v>
      </c>
      <c r="P397" s="346">
        <v>-28</v>
      </c>
      <c r="Q397" s="346">
        <v>-20</v>
      </c>
      <c r="R397" s="346">
        <v>-37</v>
      </c>
      <c r="S397" s="347">
        <v>-32</v>
      </c>
      <c r="T397" s="346">
        <v>-32</v>
      </c>
      <c r="U397" s="346">
        <v>-8</v>
      </c>
      <c r="V397" s="346">
        <v>-3</v>
      </c>
      <c r="W397" s="347">
        <v>-20</v>
      </c>
      <c r="X397" s="346">
        <v>-15</v>
      </c>
      <c r="Y397" s="346">
        <v>-16</v>
      </c>
      <c r="Z397" s="346">
        <v>-26</v>
      </c>
      <c r="AA397" s="347">
        <v>-59</v>
      </c>
      <c r="AB397" s="923"/>
      <c r="AC397" s="346">
        <v>-7</v>
      </c>
      <c r="AD397" s="346">
        <v>-28</v>
      </c>
      <c r="AE397" s="347">
        <v>-31</v>
      </c>
      <c r="AF397" s="346">
        <v>-29</v>
      </c>
      <c r="AG397" s="346">
        <v>-12</v>
      </c>
      <c r="AH397" s="346">
        <v>-5</v>
      </c>
      <c r="AI397" s="346">
        <v>-8</v>
      </c>
      <c r="AJ397" s="923"/>
      <c r="AK397" s="348"/>
      <c r="AL397" s="346">
        <v>-5</v>
      </c>
      <c r="AM397" s="349">
        <v>-5</v>
      </c>
      <c r="AN397" s="923"/>
      <c r="AO397" s="348"/>
      <c r="AP397" s="346">
        <v>-5</v>
      </c>
      <c r="AQ397" s="1828">
        <v>-5</v>
      </c>
      <c r="AR397" s="923"/>
      <c r="AS397" s="348"/>
      <c r="AT397" s="348"/>
      <c r="AU397" s="349"/>
      <c r="AV397" s="923"/>
      <c r="AW397" s="348"/>
      <c r="AX397" s="348"/>
      <c r="AY397" s="349"/>
      <c r="AZ397" s="361"/>
      <c r="BA397" s="361"/>
      <c r="BB397" s="340"/>
      <c r="BC397" s="340">
        <f t="shared" ref="BC397:BC402" si="723">SUM(L397:O397)</f>
        <v>-188</v>
      </c>
      <c r="BD397" s="340">
        <f t="shared" ref="BD397:BD402" si="724">SUM(P397:S397)</f>
        <v>-117</v>
      </c>
      <c r="BE397" s="340">
        <f t="shared" ref="BE397:BE402" si="725">SUM(T397:W397)</f>
        <v>-63</v>
      </c>
      <c r="BF397" s="361">
        <f t="shared" ref="BF397:BF402" si="726">SUM(X397:AA397)</f>
        <v>-116</v>
      </c>
      <c r="BG397" s="361"/>
      <c r="BH397" s="340"/>
      <c r="BI397" s="361"/>
      <c r="BJ397" s="340"/>
      <c r="BK397" s="340"/>
      <c r="BL397" s="340"/>
      <c r="BM397" s="340"/>
      <c r="BN397" s="340"/>
      <c r="BO397" s="1205"/>
    </row>
    <row r="398" spans="1:67" s="861" customFormat="1" ht="14.25" hidden="1" customHeight="1" outlineLevel="2">
      <c r="B398" s="493" t="s">
        <v>366</v>
      </c>
      <c r="C398" s="862"/>
      <c r="D398" s="863"/>
      <c r="E398" s="863"/>
      <c r="F398" s="863"/>
      <c r="G398" s="864"/>
      <c r="H398" s="865"/>
      <c r="I398" s="865"/>
      <c r="J398" s="866"/>
      <c r="K398" s="867"/>
      <c r="L398" s="921">
        <f t="shared" ref="L398:AA398" si="727">SUM(L399:L402)</f>
        <v>-19</v>
      </c>
      <c r="M398" s="874">
        <f t="shared" si="727"/>
        <v>-23</v>
      </c>
      <c r="N398" s="874">
        <f t="shared" si="727"/>
        <v>-18</v>
      </c>
      <c r="O398" s="875">
        <f t="shared" si="727"/>
        <v>-69</v>
      </c>
      <c r="P398" s="871">
        <f t="shared" si="727"/>
        <v>-22</v>
      </c>
      <c r="Q398" s="871">
        <f t="shared" si="727"/>
        <v>-6</v>
      </c>
      <c r="R398" s="871">
        <f t="shared" si="727"/>
        <v>-6</v>
      </c>
      <c r="S398" s="872">
        <f t="shared" si="727"/>
        <v>-22</v>
      </c>
      <c r="T398" s="871">
        <f t="shared" si="727"/>
        <v>-33</v>
      </c>
      <c r="U398" s="871">
        <f t="shared" si="727"/>
        <v>-9</v>
      </c>
      <c r="V398" s="871">
        <f t="shared" si="727"/>
        <v>-9</v>
      </c>
      <c r="W398" s="872">
        <f t="shared" si="727"/>
        <v>-22</v>
      </c>
      <c r="X398" s="871">
        <f t="shared" si="727"/>
        <v>-11</v>
      </c>
      <c r="Y398" s="871">
        <f t="shared" si="727"/>
        <v>-13</v>
      </c>
      <c r="Z398" s="871">
        <f t="shared" si="727"/>
        <v>-15</v>
      </c>
      <c r="AA398" s="872">
        <f t="shared" si="727"/>
        <v>-56</v>
      </c>
      <c r="AB398" s="1147"/>
      <c r="AC398" s="871">
        <f t="shared" ref="AC398:AH398" si="728">SUM(AC399:AC402)</f>
        <v>0</v>
      </c>
      <c r="AD398" s="871">
        <f t="shared" si="728"/>
        <v>-19</v>
      </c>
      <c r="AE398" s="872">
        <f t="shared" si="728"/>
        <v>-14</v>
      </c>
      <c r="AF398" s="871">
        <f t="shared" si="728"/>
        <v>-28</v>
      </c>
      <c r="AG398" s="871">
        <f t="shared" si="728"/>
        <v>-8</v>
      </c>
      <c r="AH398" s="871">
        <f t="shared" si="728"/>
        <v>-3</v>
      </c>
      <c r="AI398" s="871">
        <f>SUM(AI399:AI402)</f>
        <v>-7</v>
      </c>
      <c r="AJ398" s="1147"/>
      <c r="AK398" s="871"/>
      <c r="AL398" s="871">
        <f t="shared" ref="AL398:AM398" si="729">SUM(AL399:AL402)</f>
        <v>-3</v>
      </c>
      <c r="AM398" s="872">
        <f t="shared" si="729"/>
        <v>-3</v>
      </c>
      <c r="AN398" s="1147"/>
      <c r="AO398" s="871"/>
      <c r="AP398" s="871">
        <f t="shared" ref="AP398:AQ398" si="730">SUM(AP399:AP402)</f>
        <v>-3</v>
      </c>
      <c r="AQ398" s="872">
        <f t="shared" si="730"/>
        <v>-3</v>
      </c>
      <c r="AR398" s="1147"/>
      <c r="AS398" s="871"/>
      <c r="AT398" s="871"/>
      <c r="AU398" s="872"/>
      <c r="AV398" s="1147"/>
      <c r="AW398" s="871"/>
      <c r="AX398" s="871"/>
      <c r="AY398" s="872"/>
      <c r="AZ398" s="921"/>
      <c r="BA398" s="1127"/>
      <c r="BB398" s="873"/>
      <c r="BC398" s="874">
        <f t="shared" si="723"/>
        <v>-129</v>
      </c>
      <c r="BD398" s="874">
        <f t="shared" si="724"/>
        <v>-56</v>
      </c>
      <c r="BE398" s="874">
        <f t="shared" si="725"/>
        <v>-73</v>
      </c>
      <c r="BF398" s="921">
        <f t="shared" si="726"/>
        <v>-95</v>
      </c>
      <c r="BG398" s="921"/>
      <c r="BH398" s="874"/>
      <c r="BI398" s="921"/>
      <c r="BJ398" s="874"/>
      <c r="BK398" s="874"/>
      <c r="BL398" s="874"/>
      <c r="BM398" s="874"/>
      <c r="BN398" s="874"/>
      <c r="BO398" s="1203"/>
    </row>
    <row r="399" spans="1:67" s="353" customFormat="1" ht="14.25" hidden="1" customHeight="1" outlineLevel="3">
      <c r="A399" s="6"/>
      <c r="B399" s="437" t="s">
        <v>348</v>
      </c>
      <c r="C399" s="383"/>
      <c r="D399" s="354"/>
      <c r="E399" s="354"/>
      <c r="F399" s="354"/>
      <c r="G399" s="355"/>
      <c r="H399" s="356"/>
      <c r="I399" s="356"/>
      <c r="J399" s="357"/>
      <c r="K399" s="358"/>
      <c r="L399" s="362">
        <v>-1</v>
      </c>
      <c r="M399" s="342">
        <v>0</v>
      </c>
      <c r="N399" s="342">
        <v>-1</v>
      </c>
      <c r="O399" s="343">
        <v>0</v>
      </c>
      <c r="P399" s="72">
        <v>0</v>
      </c>
      <c r="Q399" s="72">
        <v>0</v>
      </c>
      <c r="R399" s="72">
        <v>-2</v>
      </c>
      <c r="S399" s="73">
        <v>1</v>
      </c>
      <c r="T399" s="72">
        <v>0</v>
      </c>
      <c r="U399" s="72">
        <v>0</v>
      </c>
      <c r="V399" s="72">
        <v>0</v>
      </c>
      <c r="W399" s="73">
        <v>0</v>
      </c>
      <c r="X399" s="72">
        <v>0</v>
      </c>
      <c r="Y399" s="72">
        <v>0</v>
      </c>
      <c r="Z399" s="72">
        <v>0</v>
      </c>
      <c r="AA399" s="73">
        <v>0</v>
      </c>
      <c r="AB399" s="1157"/>
      <c r="AC399" s="72">
        <v>0</v>
      </c>
      <c r="AD399" s="72">
        <v>0</v>
      </c>
      <c r="AE399" s="73">
        <v>-6</v>
      </c>
      <c r="AF399" s="72">
        <v>-7</v>
      </c>
      <c r="AG399" s="72">
        <v>-7</v>
      </c>
      <c r="AH399" s="72">
        <v>-5</v>
      </c>
      <c r="AI399" s="72">
        <v>-6</v>
      </c>
      <c r="AJ399" s="1157"/>
      <c r="AK399" s="877"/>
      <c r="AL399" s="72">
        <v>-5</v>
      </c>
      <c r="AM399" s="878">
        <v>-5</v>
      </c>
      <c r="AN399" s="1157"/>
      <c r="AO399" s="877"/>
      <c r="AP399" s="72">
        <v>-5</v>
      </c>
      <c r="AQ399" s="1829">
        <v>-5</v>
      </c>
      <c r="AR399" s="1157"/>
      <c r="AS399" s="877"/>
      <c r="AT399" s="747"/>
      <c r="AU399" s="878"/>
      <c r="AV399" s="1157"/>
      <c r="AW399" s="877"/>
      <c r="AX399" s="747"/>
      <c r="AY399" s="878"/>
      <c r="AZ399" s="903"/>
      <c r="BA399" s="1129"/>
      <c r="BB399" s="359"/>
      <c r="BC399" s="341">
        <f t="shared" si="723"/>
        <v>-2</v>
      </c>
      <c r="BD399" s="341">
        <f t="shared" si="724"/>
        <v>-1</v>
      </c>
      <c r="BE399" s="341">
        <f t="shared" si="725"/>
        <v>0</v>
      </c>
      <c r="BF399" s="939">
        <f t="shared" si="726"/>
        <v>0</v>
      </c>
      <c r="BG399" s="939"/>
      <c r="BH399" s="341"/>
      <c r="BI399" s="939"/>
      <c r="BJ399" s="341"/>
      <c r="BK399" s="341"/>
      <c r="BL399" s="341"/>
      <c r="BM399" s="341"/>
      <c r="BN399" s="341"/>
      <c r="BO399" s="1302"/>
    </row>
    <row r="400" spans="1:67" s="353" customFormat="1" ht="14.25" hidden="1" customHeight="1" outlineLevel="3">
      <c r="A400" s="6"/>
      <c r="B400" s="438" t="s">
        <v>349</v>
      </c>
      <c r="C400" s="383"/>
      <c r="D400" s="354"/>
      <c r="E400" s="354"/>
      <c r="F400" s="354"/>
      <c r="G400" s="355"/>
      <c r="H400" s="356"/>
      <c r="I400" s="356"/>
      <c r="J400" s="357"/>
      <c r="K400" s="358"/>
      <c r="L400" s="362">
        <v>-16</v>
      </c>
      <c r="M400" s="342">
        <v>-16</v>
      </c>
      <c r="N400" s="342">
        <v>-13</v>
      </c>
      <c r="O400" s="343">
        <v>-20</v>
      </c>
      <c r="P400" s="72">
        <v>-11</v>
      </c>
      <c r="Q400" s="72">
        <v>8</v>
      </c>
      <c r="R400" s="72">
        <v>1</v>
      </c>
      <c r="S400" s="73">
        <v>-8</v>
      </c>
      <c r="T400" s="72">
        <v>-9</v>
      </c>
      <c r="U400" s="72">
        <v>-1</v>
      </c>
      <c r="V400" s="72">
        <v>-1</v>
      </c>
      <c r="W400" s="73">
        <v>-18</v>
      </c>
      <c r="X400" s="72">
        <v>-6</v>
      </c>
      <c r="Y400" s="72">
        <v>-2</v>
      </c>
      <c r="Z400" s="72">
        <v>-4</v>
      </c>
      <c r="AA400" s="73">
        <v>-49</v>
      </c>
      <c r="AB400" s="1157"/>
      <c r="AC400" s="72">
        <v>4</v>
      </c>
      <c r="AD400" s="72">
        <v>-16</v>
      </c>
      <c r="AE400" s="73">
        <v>-3</v>
      </c>
      <c r="AF400" s="72">
        <v>-16</v>
      </c>
      <c r="AG400" s="72">
        <v>2</v>
      </c>
      <c r="AH400" s="72">
        <v>1</v>
      </c>
      <c r="AI400" s="72">
        <v>-4</v>
      </c>
      <c r="AJ400" s="1157"/>
      <c r="AK400" s="877"/>
      <c r="AL400" s="72">
        <v>1</v>
      </c>
      <c r="AM400" s="878">
        <v>1</v>
      </c>
      <c r="AN400" s="1157"/>
      <c r="AO400" s="877"/>
      <c r="AP400" s="72">
        <v>1</v>
      </c>
      <c r="AQ400" s="1829">
        <v>1</v>
      </c>
      <c r="AR400" s="1157"/>
      <c r="AS400" s="877"/>
      <c r="AT400" s="747"/>
      <c r="AU400" s="878"/>
      <c r="AV400" s="1157"/>
      <c r="AW400" s="877"/>
      <c r="AX400" s="747"/>
      <c r="AY400" s="878"/>
      <c r="AZ400" s="903"/>
      <c r="BA400" s="1129"/>
      <c r="BB400" s="359"/>
      <c r="BC400" s="341">
        <f t="shared" si="723"/>
        <v>-65</v>
      </c>
      <c r="BD400" s="341">
        <f t="shared" si="724"/>
        <v>-10</v>
      </c>
      <c r="BE400" s="341">
        <f t="shared" si="725"/>
        <v>-29</v>
      </c>
      <c r="BF400" s="939">
        <f t="shared" si="726"/>
        <v>-61</v>
      </c>
      <c r="BG400" s="939"/>
      <c r="BH400" s="341"/>
      <c r="BI400" s="939"/>
      <c r="BJ400" s="341"/>
      <c r="BK400" s="341"/>
      <c r="BL400" s="341"/>
      <c r="BM400" s="341"/>
      <c r="BN400" s="341"/>
      <c r="BO400" s="1302"/>
    </row>
    <row r="401" spans="1:67" s="353" customFormat="1" ht="14.25" hidden="1" customHeight="1" outlineLevel="3">
      <c r="A401" s="6"/>
      <c r="B401" s="438" t="s">
        <v>350</v>
      </c>
      <c r="C401" s="383"/>
      <c r="D401" s="354"/>
      <c r="E401" s="354"/>
      <c r="F401" s="354"/>
      <c r="G401" s="355"/>
      <c r="H401" s="356"/>
      <c r="I401" s="356"/>
      <c r="J401" s="357"/>
      <c r="K401" s="358"/>
      <c r="L401" s="362">
        <v>-2</v>
      </c>
      <c r="M401" s="342">
        <v>-7</v>
      </c>
      <c r="N401" s="342">
        <v>-4</v>
      </c>
      <c r="O401" s="343">
        <v>-49</v>
      </c>
      <c r="P401" s="72">
        <v>-11</v>
      </c>
      <c r="Q401" s="72">
        <v>-14</v>
      </c>
      <c r="R401" s="72">
        <v>-5</v>
      </c>
      <c r="S401" s="73">
        <v>-15</v>
      </c>
      <c r="T401" s="72">
        <v>-24</v>
      </c>
      <c r="U401" s="72">
        <v>-8</v>
      </c>
      <c r="V401" s="72">
        <v>-8</v>
      </c>
      <c r="W401" s="73">
        <v>-4</v>
      </c>
      <c r="X401" s="72">
        <v>-5</v>
      </c>
      <c r="Y401" s="72">
        <v>-11</v>
      </c>
      <c r="Z401" s="72">
        <v>-11</v>
      </c>
      <c r="AA401" s="73">
        <v>-7</v>
      </c>
      <c r="AB401" s="1284"/>
      <c r="AC401" s="72">
        <v>-4</v>
      </c>
      <c r="AD401" s="72">
        <v>-3</v>
      </c>
      <c r="AE401" s="73">
        <v>-5</v>
      </c>
      <c r="AF401" s="72">
        <v>-5</v>
      </c>
      <c r="AG401" s="72">
        <v>-3</v>
      </c>
      <c r="AH401" s="72">
        <v>1</v>
      </c>
      <c r="AI401" s="72">
        <v>3</v>
      </c>
      <c r="AJ401" s="1284"/>
      <c r="AK401" s="910"/>
      <c r="AL401" s="72">
        <v>1</v>
      </c>
      <c r="AM401" s="911">
        <v>1</v>
      </c>
      <c r="AN401" s="1284"/>
      <c r="AO401" s="910"/>
      <c r="AP401" s="72">
        <v>1</v>
      </c>
      <c r="AQ401" s="1830">
        <v>1</v>
      </c>
      <c r="AR401" s="1284"/>
      <c r="AS401" s="910"/>
      <c r="AT401" s="910"/>
      <c r="AU401" s="911"/>
      <c r="AV401" s="1284"/>
      <c r="AW401" s="910"/>
      <c r="AX401" s="910"/>
      <c r="AY401" s="911"/>
      <c r="AZ401" s="903"/>
      <c r="BA401" s="1129"/>
      <c r="BB401" s="359"/>
      <c r="BC401" s="341">
        <f t="shared" si="723"/>
        <v>-62</v>
      </c>
      <c r="BD401" s="341">
        <f t="shared" si="724"/>
        <v>-45</v>
      </c>
      <c r="BE401" s="341">
        <f t="shared" si="725"/>
        <v>-44</v>
      </c>
      <c r="BF401" s="939">
        <f t="shared" si="726"/>
        <v>-34</v>
      </c>
      <c r="BG401" s="939"/>
      <c r="BH401" s="341"/>
      <c r="BI401" s="939"/>
      <c r="BJ401" s="341"/>
      <c r="BK401" s="341"/>
      <c r="BL401" s="341"/>
      <c r="BM401" s="341"/>
      <c r="BN401" s="341"/>
      <c r="BO401" s="1302"/>
    </row>
    <row r="402" spans="1:67" s="353" customFormat="1" ht="14.25" hidden="1" customHeight="1" outlineLevel="3">
      <c r="A402" s="6"/>
      <c r="B402" s="438" t="s">
        <v>351</v>
      </c>
      <c r="C402" s="383"/>
      <c r="D402" s="354"/>
      <c r="E402" s="354"/>
      <c r="F402" s="354"/>
      <c r="G402" s="355"/>
      <c r="H402" s="356"/>
      <c r="I402" s="356"/>
      <c r="J402" s="357"/>
      <c r="K402" s="358"/>
      <c r="L402" s="362">
        <v>0</v>
      </c>
      <c r="M402" s="342">
        <v>0</v>
      </c>
      <c r="N402" s="342">
        <v>0</v>
      </c>
      <c r="O402" s="343">
        <v>0</v>
      </c>
      <c r="P402" s="72">
        <v>0</v>
      </c>
      <c r="Q402" s="72">
        <v>0</v>
      </c>
      <c r="R402" s="72">
        <v>0</v>
      </c>
      <c r="S402" s="73">
        <v>0</v>
      </c>
      <c r="T402" s="72">
        <v>0</v>
      </c>
      <c r="U402" s="72">
        <v>0</v>
      </c>
      <c r="V402" s="72">
        <v>0</v>
      </c>
      <c r="W402" s="73">
        <v>0</v>
      </c>
      <c r="X402" s="72">
        <v>0</v>
      </c>
      <c r="Y402" s="72">
        <v>0</v>
      </c>
      <c r="Z402" s="72">
        <v>0</v>
      </c>
      <c r="AA402" s="73">
        <v>0</v>
      </c>
      <c r="AB402" s="1157"/>
      <c r="AC402" s="72">
        <v>0</v>
      </c>
      <c r="AD402" s="72">
        <v>0</v>
      </c>
      <c r="AE402" s="73">
        <v>0</v>
      </c>
      <c r="AF402" s="72"/>
      <c r="AG402" s="72">
        <v>0</v>
      </c>
      <c r="AH402" s="72">
        <v>0</v>
      </c>
      <c r="AI402" s="72">
        <v>0</v>
      </c>
      <c r="AJ402" s="1157"/>
      <c r="AK402" s="877"/>
      <c r="AL402" s="72">
        <v>0</v>
      </c>
      <c r="AM402" s="909">
        <v>0</v>
      </c>
      <c r="AN402" s="1157"/>
      <c r="AO402" s="877"/>
      <c r="AP402" s="72">
        <v>0</v>
      </c>
      <c r="AQ402" s="1827">
        <v>0</v>
      </c>
      <c r="AR402" s="1157"/>
      <c r="AS402" s="877"/>
      <c r="AT402" s="747"/>
      <c r="AU402" s="909"/>
      <c r="AV402" s="1157"/>
      <c r="AW402" s="877"/>
      <c r="AX402" s="747"/>
      <c r="AY402" s="909"/>
      <c r="AZ402" s="903"/>
      <c r="BA402" s="1129"/>
      <c r="BB402" s="359"/>
      <c r="BC402" s="341">
        <f t="shared" si="723"/>
        <v>0</v>
      </c>
      <c r="BD402" s="341">
        <f t="shared" si="724"/>
        <v>0</v>
      </c>
      <c r="BE402" s="341">
        <f t="shared" si="725"/>
        <v>0</v>
      </c>
      <c r="BF402" s="939">
        <f t="shared" si="726"/>
        <v>0</v>
      </c>
      <c r="BG402" s="939"/>
      <c r="BH402" s="341"/>
      <c r="BI402" s="939"/>
      <c r="BJ402" s="341"/>
      <c r="BK402" s="341"/>
      <c r="BL402" s="341"/>
      <c r="BM402" s="341"/>
      <c r="BN402" s="341"/>
      <c r="BO402" s="1302"/>
    </row>
    <row r="403" spans="1:67" ht="14.25" hidden="1" customHeight="1" outlineLevel="3">
      <c r="A403" s="1"/>
      <c r="B403" s="431"/>
      <c r="C403" s="254"/>
      <c r="D403" s="320"/>
      <c r="E403" s="320"/>
      <c r="F403" s="320"/>
      <c r="G403" s="93"/>
      <c r="H403" s="269"/>
      <c r="I403" s="269"/>
      <c r="J403" s="300"/>
      <c r="K403" s="301"/>
      <c r="L403" s="361"/>
      <c r="M403" s="340"/>
      <c r="N403" s="340"/>
      <c r="O403" s="351"/>
      <c r="P403" s="361"/>
      <c r="Q403" s="340"/>
      <c r="R403" s="340"/>
      <c r="S403" s="351"/>
      <c r="T403" s="361"/>
      <c r="U403" s="340"/>
      <c r="V403" s="348"/>
      <c r="W403" s="351"/>
      <c r="X403" s="361"/>
      <c r="Y403" s="340"/>
      <c r="Z403" s="300"/>
      <c r="AA403" s="301"/>
      <c r="AB403" s="159"/>
      <c r="AC403" s="256"/>
      <c r="AD403" s="256"/>
      <c r="AE403" s="301"/>
      <c r="AF403" s="159"/>
      <c r="AG403" s="90"/>
      <c r="AH403" s="256"/>
      <c r="AI403" s="256"/>
      <c r="AJ403" s="159"/>
      <c r="AK403" s="90"/>
      <c r="AL403" s="256"/>
      <c r="AM403" s="91"/>
      <c r="AN403" s="1607"/>
      <c r="AO403" s="1603"/>
      <c r="AP403" s="1715"/>
      <c r="AQ403" s="1807"/>
      <c r="AR403" s="159"/>
      <c r="AS403" s="1506"/>
      <c r="AT403" s="1506"/>
      <c r="AU403" s="91"/>
      <c r="AV403" s="159"/>
      <c r="AW403" s="1506"/>
      <c r="AX403" s="1506"/>
      <c r="AY403" s="91"/>
      <c r="AZ403" s="22"/>
      <c r="BA403" s="652"/>
      <c r="BB403" s="317"/>
      <c r="BC403" s="256"/>
      <c r="BD403" s="256"/>
      <c r="BE403" s="256"/>
      <c r="BF403" s="255"/>
      <c r="BG403" s="1515"/>
      <c r="BH403" s="1516"/>
      <c r="BI403" s="1614"/>
      <c r="BJ403" s="1615"/>
      <c r="BK403" s="1615"/>
      <c r="BL403" s="1715"/>
      <c r="BM403" s="1715"/>
      <c r="BN403" s="1715"/>
      <c r="BO403" s="461"/>
    </row>
    <row r="404" spans="1:67" s="363" customFormat="1" ht="14.25" hidden="1" customHeight="1" outlineLevel="2">
      <c r="B404" s="436" t="s">
        <v>367</v>
      </c>
      <c r="C404" s="351"/>
      <c r="D404" s="365"/>
      <c r="E404" s="348"/>
      <c r="F404" s="340"/>
      <c r="G404" s="351"/>
      <c r="H404" s="367"/>
      <c r="I404" s="340"/>
      <c r="J404" s="344"/>
      <c r="K404" s="345"/>
      <c r="L404" s="361">
        <f t="shared" ref="L404:AA404" si="731">L397-L398</f>
        <v>-8</v>
      </c>
      <c r="M404" s="340">
        <f t="shared" si="731"/>
        <v>-4</v>
      </c>
      <c r="N404" s="340">
        <f t="shared" si="731"/>
        <v>-37</v>
      </c>
      <c r="O404" s="351">
        <f t="shared" si="731"/>
        <v>-10</v>
      </c>
      <c r="P404" s="348">
        <f t="shared" si="731"/>
        <v>-6</v>
      </c>
      <c r="Q404" s="348">
        <f t="shared" si="731"/>
        <v>-14</v>
      </c>
      <c r="R404" s="348">
        <f t="shared" si="731"/>
        <v>-31</v>
      </c>
      <c r="S404" s="349">
        <f t="shared" si="731"/>
        <v>-10</v>
      </c>
      <c r="T404" s="348">
        <f t="shared" si="731"/>
        <v>1</v>
      </c>
      <c r="U404" s="348">
        <f t="shared" si="731"/>
        <v>1</v>
      </c>
      <c r="V404" s="348">
        <f t="shared" si="731"/>
        <v>6</v>
      </c>
      <c r="W404" s="349">
        <f t="shared" si="731"/>
        <v>2</v>
      </c>
      <c r="X404" s="348">
        <f t="shared" si="731"/>
        <v>-4</v>
      </c>
      <c r="Y404" s="348">
        <f t="shared" si="731"/>
        <v>-3</v>
      </c>
      <c r="Z404" s="348">
        <f t="shared" si="731"/>
        <v>-11</v>
      </c>
      <c r="AA404" s="349">
        <f t="shared" si="731"/>
        <v>-3</v>
      </c>
      <c r="AB404" s="923"/>
      <c r="AC404" s="348">
        <f t="shared" ref="AC404:AH404" si="732">AC397-AC398</f>
        <v>-7</v>
      </c>
      <c r="AD404" s="348">
        <f t="shared" si="732"/>
        <v>-9</v>
      </c>
      <c r="AE404" s="349">
        <f t="shared" si="732"/>
        <v>-17</v>
      </c>
      <c r="AF404" s="923">
        <f t="shared" si="732"/>
        <v>-1</v>
      </c>
      <c r="AG404" s="348">
        <f t="shared" si="732"/>
        <v>-4</v>
      </c>
      <c r="AH404" s="348">
        <f t="shared" si="732"/>
        <v>-2</v>
      </c>
      <c r="AI404" s="348">
        <f>AI397-AI398</f>
        <v>-1</v>
      </c>
      <c r="AJ404" s="923"/>
      <c r="AK404" s="348"/>
      <c r="AL404" s="348">
        <f t="shared" ref="AL404:AM404" si="733">AL397-AL398</f>
        <v>-2</v>
      </c>
      <c r="AM404" s="349">
        <f t="shared" si="733"/>
        <v>-2</v>
      </c>
      <c r="AN404" s="923"/>
      <c r="AO404" s="348"/>
      <c r="AP404" s="348">
        <f t="shared" ref="AP404:AQ404" si="734">AP397-AP398</f>
        <v>-2</v>
      </c>
      <c r="AQ404" s="349">
        <f t="shared" si="734"/>
        <v>-2</v>
      </c>
      <c r="AR404" s="923"/>
      <c r="AS404" s="348"/>
      <c r="AT404" s="348"/>
      <c r="AU404" s="349"/>
      <c r="AV404" s="923"/>
      <c r="AW404" s="348"/>
      <c r="AX404" s="348"/>
      <c r="AY404" s="349"/>
      <c r="AZ404" s="361"/>
      <c r="BA404" s="361"/>
      <c r="BB404" s="340"/>
      <c r="BC404" s="340">
        <f>SUM(L404:O404)</f>
        <v>-59</v>
      </c>
      <c r="BD404" s="340">
        <f>SUM(P404:S404)</f>
        <v>-61</v>
      </c>
      <c r="BE404" s="340">
        <f>SUM(T404:W404)</f>
        <v>10</v>
      </c>
      <c r="BF404" s="361">
        <f>SUM(X404:AA404)</f>
        <v>-21</v>
      </c>
      <c r="BG404" s="361"/>
      <c r="BH404" s="340"/>
      <c r="BI404" s="361"/>
      <c r="BJ404" s="340"/>
      <c r="BK404" s="340"/>
      <c r="BL404" s="340"/>
      <c r="BM404" s="340"/>
      <c r="BN404" s="340"/>
      <c r="BO404" s="1205"/>
    </row>
    <row r="405" spans="1:67" ht="14.25" hidden="1" customHeight="1" outlineLevel="2">
      <c r="A405" s="1"/>
      <c r="B405" s="435" t="s">
        <v>354</v>
      </c>
      <c r="C405" s="34"/>
      <c r="D405" s="269"/>
      <c r="E405" s="269"/>
      <c r="F405" s="300"/>
      <c r="G405" s="301"/>
      <c r="H405" s="269"/>
      <c r="I405" s="300"/>
      <c r="J405" s="300"/>
      <c r="K405" s="301"/>
      <c r="L405" s="300">
        <f>L404/L$380</f>
        <v>-0.2</v>
      </c>
      <c r="M405" s="300">
        <f t="shared" ref="M405:AF405" si="735">M404/M$380</f>
        <v>-9.3023255813953487E-2</v>
      </c>
      <c r="N405" s="300">
        <f t="shared" si="735"/>
        <v>-0.88095238095238093</v>
      </c>
      <c r="O405" s="301">
        <f t="shared" si="735"/>
        <v>-0.25</v>
      </c>
      <c r="P405" s="300">
        <f t="shared" si="735"/>
        <v>-0.17142857142857143</v>
      </c>
      <c r="Q405" s="300">
        <f t="shared" si="735"/>
        <v>-0.35897435897435898</v>
      </c>
      <c r="R405" s="300">
        <f t="shared" si="735"/>
        <v>-0.86111111111111116</v>
      </c>
      <c r="S405" s="301">
        <f t="shared" si="735"/>
        <v>-0.38461538461538464</v>
      </c>
      <c r="T405" s="300">
        <f t="shared" si="735"/>
        <v>9.0909090909090912E-2</v>
      </c>
      <c r="U405" s="300">
        <f t="shared" si="735"/>
        <v>7.6923076923076927E-2</v>
      </c>
      <c r="V405" s="269">
        <f>V404/V$380</f>
        <v>0.54545454545454541</v>
      </c>
      <c r="W405" s="301">
        <f>W404/W$380</f>
        <v>0.16666666666666666</v>
      </c>
      <c r="X405" s="300">
        <f>X404/X$380</f>
        <v>-0.44444444444444442</v>
      </c>
      <c r="Y405" s="300">
        <f>Y404/Y$380</f>
        <v>-0.3</v>
      </c>
      <c r="Z405" s="300">
        <f t="shared" si="735"/>
        <v>-1.5714285714285714</v>
      </c>
      <c r="AA405" s="301">
        <f t="shared" si="735"/>
        <v>-0.42857142857142855</v>
      </c>
      <c r="AB405" s="159"/>
      <c r="AC405" s="256" t="e">
        <f t="shared" si="735"/>
        <v>#DIV/0!</v>
      </c>
      <c r="AD405" s="256" t="e">
        <f t="shared" si="735"/>
        <v>#DIV/0!</v>
      </c>
      <c r="AE405" s="301" t="e">
        <f t="shared" si="735"/>
        <v>#DIV/0!</v>
      </c>
      <c r="AF405" s="159" t="e">
        <f t="shared" si="735"/>
        <v>#DIV/0!</v>
      </c>
      <c r="AG405" s="90"/>
      <c r="AH405" s="256" t="e">
        <f>AH404/AH$380</f>
        <v>#DIV/0!</v>
      </c>
      <c r="AI405" s="256" t="e">
        <f>AI404/AI$380</f>
        <v>#DIV/0!</v>
      </c>
      <c r="AJ405" s="159"/>
      <c r="AK405" s="90"/>
      <c r="AL405" s="256" t="e">
        <f>AL404/AL$380</f>
        <v>#DIV/0!</v>
      </c>
      <c r="AM405" s="91" t="e">
        <f>AM404/AM$380</f>
        <v>#DIV/0!</v>
      </c>
      <c r="AN405" s="1607"/>
      <c r="AO405" s="1603"/>
      <c r="AP405" s="1715" t="e">
        <f>AP404/AP$380</f>
        <v>#DIV/0!</v>
      </c>
      <c r="AQ405" s="1807" t="e">
        <f>AQ404/AQ$380</f>
        <v>#DIV/0!</v>
      </c>
      <c r="AR405" s="159"/>
      <c r="AS405" s="1506"/>
      <c r="AT405" s="1506"/>
      <c r="AU405" s="91"/>
      <c r="AV405" s="159"/>
      <c r="AW405" s="1506"/>
      <c r="AX405" s="1506"/>
      <c r="AY405" s="91"/>
      <c r="AZ405" s="22"/>
      <c r="BA405" s="652"/>
      <c r="BB405" s="317"/>
      <c r="BC405" s="256">
        <f>IF(ISERROR(BC404/BC$380),"",BC404/BC$380)</f>
        <v>-0.3575757575757576</v>
      </c>
      <c r="BD405" s="256">
        <f>IF(ISERROR(BD404/BD$380),"",BD404/BD$380)</f>
        <v>-0.4485294117647059</v>
      </c>
      <c r="BE405" s="256">
        <f>IF(ISERROR(BE404/BE$380),"",BE404/BE$380)</f>
        <v>0.21276595744680851</v>
      </c>
      <c r="BF405" s="255">
        <f>IF(ISERROR(BF404/BF$380),"",BF404/BF$380)</f>
        <v>-0.63636363636363635</v>
      </c>
      <c r="BG405" s="1515"/>
      <c r="BH405" s="1516"/>
      <c r="BI405" s="1614"/>
      <c r="BJ405" s="1615"/>
      <c r="BK405" s="1615"/>
      <c r="BL405" s="1715"/>
      <c r="BM405" s="1715"/>
      <c r="BN405" s="1715"/>
      <c r="BO405" s="461"/>
    </row>
    <row r="406" spans="1:67" ht="14.25" hidden="1" customHeight="1" outlineLevel="2">
      <c r="A406" s="1"/>
      <c r="B406" s="439"/>
      <c r="C406" s="276"/>
      <c r="D406" s="399"/>
      <c r="E406" s="399"/>
      <c r="F406" s="399"/>
      <c r="G406" s="400"/>
      <c r="H406" s="257"/>
      <c r="I406" s="257"/>
      <c r="J406" s="277"/>
      <c r="K406" s="278"/>
      <c r="L406" s="277"/>
      <c r="M406" s="277"/>
      <c r="N406" s="277"/>
      <c r="O406" s="278"/>
      <c r="P406" s="277"/>
      <c r="Q406" s="277"/>
      <c r="R406" s="277"/>
      <c r="S406" s="278"/>
      <c r="T406" s="277"/>
      <c r="U406" s="277"/>
      <c r="V406" s="257"/>
      <c r="W406" s="278"/>
      <c r="X406" s="277"/>
      <c r="Y406" s="277"/>
      <c r="Z406" s="277"/>
      <c r="AA406" s="278"/>
      <c r="AB406" s="1045"/>
      <c r="AC406" s="257"/>
      <c r="AD406" s="257"/>
      <c r="AE406" s="258"/>
      <c r="AF406" s="1045"/>
      <c r="AG406" s="257"/>
      <c r="AH406" s="257"/>
      <c r="AI406" s="257"/>
      <c r="AJ406" s="1045"/>
      <c r="AK406" s="257"/>
      <c r="AL406" s="257"/>
      <c r="AM406" s="258"/>
      <c r="AN406" s="1652"/>
      <c r="AO406" s="1616"/>
      <c r="AP406" s="1616"/>
      <c r="AQ406" s="1617"/>
      <c r="AR406" s="1045"/>
      <c r="AS406" s="1508"/>
      <c r="AT406" s="1508"/>
      <c r="AU406" s="258"/>
      <c r="AV406" s="1045"/>
      <c r="AW406" s="1508"/>
      <c r="AX406" s="1508"/>
      <c r="AY406" s="258"/>
      <c r="AZ406" s="22"/>
      <c r="BA406" s="652"/>
      <c r="BB406" s="317"/>
      <c r="BC406" s="256"/>
      <c r="BD406" s="256"/>
      <c r="BE406" s="256"/>
      <c r="BF406" s="255"/>
      <c r="BG406" s="1515"/>
      <c r="BH406" s="1516"/>
      <c r="BI406" s="1614"/>
      <c r="BJ406" s="1615"/>
      <c r="BK406" s="1615"/>
      <c r="BL406" s="1715"/>
      <c r="BM406" s="1715"/>
      <c r="BN406" s="1715"/>
      <c r="BO406" s="461"/>
    </row>
    <row r="407" spans="1:67" ht="14.25" hidden="1" customHeight="1" outlineLevel="1">
      <c r="A407" s="1"/>
      <c r="B407" s="431"/>
      <c r="C407" s="254"/>
      <c r="D407" s="92"/>
      <c r="E407" s="320"/>
      <c r="F407" s="305"/>
      <c r="G407" s="304"/>
      <c r="H407" s="302"/>
      <c r="I407" s="305"/>
      <c r="J407" s="305"/>
      <c r="K407" s="304"/>
      <c r="L407" s="302"/>
      <c r="M407" s="305"/>
      <c r="N407" s="305"/>
      <c r="O407" s="304"/>
      <c r="P407" s="305"/>
      <c r="Q407" s="305"/>
      <c r="R407" s="305"/>
      <c r="S407" s="304"/>
      <c r="T407" s="305"/>
      <c r="U407" s="305"/>
      <c r="V407" s="320"/>
      <c r="W407" s="304"/>
      <c r="X407" s="305"/>
      <c r="Y407" s="305"/>
      <c r="Z407" s="305"/>
      <c r="AA407" s="304"/>
      <c r="AB407" s="23"/>
      <c r="AC407" s="58"/>
      <c r="AD407" s="58"/>
      <c r="AE407" s="24"/>
      <c r="AF407" s="23"/>
      <c r="AG407" s="58"/>
      <c r="AH407" s="58"/>
      <c r="AI407" s="58"/>
      <c r="AJ407" s="23"/>
      <c r="AK407" s="58"/>
      <c r="AL407" s="58"/>
      <c r="AM407" s="24"/>
      <c r="AN407" s="23"/>
      <c r="AO407" s="58"/>
      <c r="AP407" s="58"/>
      <c r="AQ407" s="24"/>
      <c r="AR407" s="23"/>
      <c r="AS407" s="58"/>
      <c r="AT407" s="58"/>
      <c r="AU407" s="24"/>
      <c r="AV407" s="23"/>
      <c r="AW407" s="58"/>
      <c r="AX407" s="58"/>
      <c r="AY407" s="24"/>
      <c r="AZ407" s="22"/>
      <c r="BA407" s="22"/>
      <c r="BB407" s="14"/>
      <c r="BC407" s="14"/>
      <c r="BD407" s="14"/>
      <c r="BE407" s="14"/>
      <c r="BF407" s="22"/>
      <c r="BG407" s="23"/>
      <c r="BH407" s="58"/>
      <c r="BI407" s="23"/>
      <c r="BJ407" s="58"/>
      <c r="BK407" s="58"/>
      <c r="BL407" s="58"/>
      <c r="BM407" s="58"/>
      <c r="BN407" s="58"/>
      <c r="BO407" s="461"/>
    </row>
    <row r="408" spans="1:67" s="363" customFormat="1" ht="14.25" hidden="1" customHeight="1" outlineLevel="1">
      <c r="B408" s="436" t="s">
        <v>346</v>
      </c>
      <c r="C408" s="351"/>
      <c r="D408" s="348"/>
      <c r="E408" s="348"/>
      <c r="F408" s="340"/>
      <c r="G408" s="351"/>
      <c r="H408" s="361"/>
      <c r="I408" s="340"/>
      <c r="J408" s="344"/>
      <c r="K408" s="345"/>
      <c r="L408" s="360">
        <v>77</v>
      </c>
      <c r="M408" s="344">
        <v>109</v>
      </c>
      <c r="N408" s="344">
        <v>136</v>
      </c>
      <c r="O408" s="345">
        <v>130</v>
      </c>
      <c r="P408" s="346">
        <v>47</v>
      </c>
      <c r="Q408" s="346">
        <v>0</v>
      </c>
      <c r="R408" s="346">
        <v>0</v>
      </c>
      <c r="S408" s="347">
        <v>0</v>
      </c>
      <c r="T408" s="346">
        <v>0</v>
      </c>
      <c r="U408" s="346">
        <v>0</v>
      </c>
      <c r="V408" s="346">
        <v>0</v>
      </c>
      <c r="W408" s="347">
        <v>0</v>
      </c>
      <c r="X408" s="346">
        <v>0</v>
      </c>
      <c r="Y408" s="346">
        <v>0</v>
      </c>
      <c r="Z408" s="348">
        <v>0</v>
      </c>
      <c r="AA408" s="349">
        <v>0</v>
      </c>
      <c r="AB408" s="923"/>
      <c r="AC408" s="348"/>
      <c r="AD408" s="348"/>
      <c r="AE408" s="349"/>
      <c r="AF408" s="923"/>
      <c r="AG408" s="348"/>
      <c r="AH408" s="348"/>
      <c r="AI408" s="348"/>
      <c r="AJ408" s="923"/>
      <c r="AK408" s="348"/>
      <c r="AL408" s="348"/>
      <c r="AM408" s="349"/>
      <c r="AN408" s="923"/>
      <c r="AO408" s="348"/>
      <c r="AP408" s="348"/>
      <c r="AQ408" s="349"/>
      <c r="AR408" s="923"/>
      <c r="AS408" s="348"/>
      <c r="AT408" s="348"/>
      <c r="AU408" s="349"/>
      <c r="AV408" s="923"/>
      <c r="AW408" s="348"/>
      <c r="AX408" s="348"/>
      <c r="AY408" s="349"/>
      <c r="AZ408" s="361"/>
      <c r="BA408" s="361"/>
      <c r="BB408" s="340"/>
      <c r="BC408" s="340">
        <f>SUM(L408:O408)</f>
        <v>452</v>
      </c>
      <c r="BD408" s="340">
        <f>SUM(P408:S408)</f>
        <v>47</v>
      </c>
      <c r="BE408" s="340">
        <f>SUM(T408:W408)</f>
        <v>0</v>
      </c>
      <c r="BF408" s="361">
        <f>SUM(X408:AA408)</f>
        <v>0</v>
      </c>
      <c r="BG408" s="923"/>
      <c r="BH408" s="348"/>
      <c r="BI408" s="923"/>
      <c r="BJ408" s="348"/>
      <c r="BK408" s="348"/>
      <c r="BL408" s="348"/>
      <c r="BM408" s="348"/>
      <c r="BN408" s="348"/>
      <c r="BO408" s="1205"/>
    </row>
    <row r="409" spans="1:67" ht="14.25" hidden="1" customHeight="1" outlineLevel="1">
      <c r="A409" s="1"/>
      <c r="B409" s="431" t="s">
        <v>228</v>
      </c>
      <c r="C409" s="254"/>
      <c r="D409" s="269"/>
      <c r="E409" s="269"/>
      <c r="F409" s="300"/>
      <c r="G409" s="301"/>
      <c r="H409" s="300"/>
      <c r="I409" s="300"/>
      <c r="J409" s="300"/>
      <c r="K409" s="301"/>
      <c r="L409" s="300"/>
      <c r="M409" s="300">
        <f>IF(ISERROR((M408-L408)/L408),"",(M408-L408)/L408)</f>
        <v>0.41558441558441561</v>
      </c>
      <c r="N409" s="300">
        <f t="shared" ref="N409:AA409" si="736">IF(ISERROR((N408-M408)/M408),"",(N408-M408)/M408)</f>
        <v>0.24770642201834864</v>
      </c>
      <c r="O409" s="301">
        <f t="shared" si="736"/>
        <v>-4.4117647058823532E-2</v>
      </c>
      <c r="P409" s="300">
        <f t="shared" si="736"/>
        <v>-0.63846153846153841</v>
      </c>
      <c r="Q409" s="300">
        <f t="shared" si="736"/>
        <v>-1</v>
      </c>
      <c r="R409" s="300" t="str">
        <f t="shared" si="736"/>
        <v/>
      </c>
      <c r="S409" s="301" t="str">
        <f t="shared" si="736"/>
        <v/>
      </c>
      <c r="T409" s="300" t="str">
        <f t="shared" si="736"/>
        <v/>
      </c>
      <c r="U409" s="300" t="str">
        <f t="shared" si="736"/>
        <v/>
      </c>
      <c r="V409" s="269" t="str">
        <f t="shared" si="736"/>
        <v/>
      </c>
      <c r="W409" s="301" t="str">
        <f t="shared" si="736"/>
        <v/>
      </c>
      <c r="X409" s="300" t="str">
        <f t="shared" si="736"/>
        <v/>
      </c>
      <c r="Y409" s="300" t="str">
        <f t="shared" si="736"/>
        <v/>
      </c>
      <c r="Z409" s="300" t="str">
        <f t="shared" si="736"/>
        <v/>
      </c>
      <c r="AA409" s="301" t="str">
        <f t="shared" si="736"/>
        <v/>
      </c>
      <c r="AB409" s="159"/>
      <c r="AC409" s="90"/>
      <c r="AD409" s="90"/>
      <c r="AE409" s="91"/>
      <c r="AF409" s="159"/>
      <c r="AG409" s="90"/>
      <c r="AH409" s="90"/>
      <c r="AI409" s="90"/>
      <c r="AJ409" s="159"/>
      <c r="AK409" s="90"/>
      <c r="AL409" s="90"/>
      <c r="AM409" s="91"/>
      <c r="AN409" s="1607"/>
      <c r="AO409" s="1603"/>
      <c r="AP409" s="1603"/>
      <c r="AQ409" s="1807"/>
      <c r="AR409" s="159"/>
      <c r="AS409" s="1506"/>
      <c r="AT409" s="1506"/>
      <c r="AU409" s="91"/>
      <c r="AV409" s="159"/>
      <c r="AW409" s="1506"/>
      <c r="AX409" s="1506"/>
      <c r="AY409" s="91"/>
      <c r="AZ409" s="22"/>
      <c r="BA409" s="22"/>
      <c r="BB409" s="14"/>
      <c r="BC409" s="256"/>
      <c r="BD409" s="256"/>
      <c r="BE409" s="256"/>
      <c r="BF409" s="255"/>
      <c r="BG409" s="159"/>
      <c r="BH409" s="1506"/>
      <c r="BI409" s="1607"/>
      <c r="BJ409" s="1603"/>
      <c r="BK409" s="1603"/>
      <c r="BL409" s="1806"/>
      <c r="BM409" s="1806"/>
      <c r="BN409" s="1806"/>
      <c r="BO409" s="461"/>
    </row>
    <row r="410" spans="1:67" ht="14.25" hidden="1" customHeight="1" outlineLevel="1">
      <c r="A410" s="1"/>
      <c r="B410" s="435" t="s">
        <v>229</v>
      </c>
      <c r="C410" s="34"/>
      <c r="D410" s="269"/>
      <c r="E410" s="269"/>
      <c r="F410" s="300"/>
      <c r="G410" s="301"/>
      <c r="H410" s="300"/>
      <c r="I410" s="300"/>
      <c r="J410" s="300"/>
      <c r="K410" s="301"/>
      <c r="L410" s="318" t="str">
        <f t="shared" ref="L410:AA410" si="737">IF(ISERROR(L408/H408-1),"",L408/H408-1)</f>
        <v/>
      </c>
      <c r="M410" s="318" t="str">
        <f t="shared" si="737"/>
        <v/>
      </c>
      <c r="N410" s="318" t="str">
        <f t="shared" si="737"/>
        <v/>
      </c>
      <c r="O410" s="339" t="str">
        <f t="shared" si="737"/>
        <v/>
      </c>
      <c r="P410" s="318">
        <f t="shared" si="737"/>
        <v>-0.38961038961038963</v>
      </c>
      <c r="Q410" s="318">
        <f t="shared" si="737"/>
        <v>-1</v>
      </c>
      <c r="R410" s="318">
        <f t="shared" si="737"/>
        <v>-1</v>
      </c>
      <c r="S410" s="339">
        <f t="shared" si="737"/>
        <v>-1</v>
      </c>
      <c r="T410" s="318"/>
      <c r="U410" s="318" t="str">
        <f t="shared" si="737"/>
        <v/>
      </c>
      <c r="V410" s="404" t="str">
        <f t="shared" si="737"/>
        <v/>
      </c>
      <c r="W410" s="339" t="str">
        <f t="shared" si="737"/>
        <v/>
      </c>
      <c r="X410" s="318" t="str">
        <f t="shared" si="737"/>
        <v/>
      </c>
      <c r="Y410" s="318" t="str">
        <f t="shared" si="737"/>
        <v/>
      </c>
      <c r="Z410" s="318" t="str">
        <f t="shared" si="737"/>
        <v/>
      </c>
      <c r="AA410" s="339" t="str">
        <f t="shared" si="737"/>
        <v/>
      </c>
      <c r="AB410" s="958"/>
      <c r="AC410" s="420"/>
      <c r="AD410" s="420"/>
      <c r="AE410" s="424"/>
      <c r="AF410" s="958"/>
      <c r="AG410" s="420"/>
      <c r="AH410" s="420"/>
      <c r="AI410" s="420"/>
      <c r="AJ410" s="958"/>
      <c r="AK410" s="420"/>
      <c r="AL410" s="420"/>
      <c r="AM410" s="424"/>
      <c r="AN410" s="958"/>
      <c r="AO410" s="420"/>
      <c r="AP410" s="420"/>
      <c r="AQ410" s="424"/>
      <c r="AR410" s="958"/>
      <c r="AS410" s="420"/>
      <c r="AT410" s="420"/>
      <c r="AU410" s="424"/>
      <c r="AV410" s="958"/>
      <c r="AW410" s="420"/>
      <c r="AX410" s="420"/>
      <c r="AY410" s="424"/>
      <c r="AZ410" s="22"/>
      <c r="BA410" s="652"/>
      <c r="BB410" s="317"/>
      <c r="BC410" s="256"/>
      <c r="BD410" s="256">
        <f>IF(ISERROR(BD408/BC408-1),"",BD408/BC408-1)</f>
        <v>-0.89601769911504425</v>
      </c>
      <c r="BE410" s="256">
        <f>IF(ISERROR(BE408/BD408-1),"",BE408/BD408-1)</f>
        <v>-1</v>
      </c>
      <c r="BF410" s="255" t="str">
        <f>IF(ISERROR(BF408/BE408-1),"",BF408/BE408-1)</f>
        <v/>
      </c>
      <c r="BG410" s="159"/>
      <c r="BH410" s="1506"/>
      <c r="BI410" s="1607"/>
      <c r="BJ410" s="1603"/>
      <c r="BK410" s="1603"/>
      <c r="BL410" s="1806"/>
      <c r="BM410" s="1806"/>
      <c r="BN410" s="1806"/>
      <c r="BO410" s="461"/>
    </row>
    <row r="411" spans="1:67" ht="14.25" hidden="1" customHeight="1" outlineLevel="1">
      <c r="A411" s="1"/>
      <c r="B411" s="431" t="s">
        <v>230</v>
      </c>
      <c r="C411" s="254"/>
      <c r="D411" s="320"/>
      <c r="E411" s="320"/>
      <c r="F411" s="320"/>
      <c r="G411" s="93"/>
      <c r="H411" s="269"/>
      <c r="I411" s="269"/>
      <c r="J411" s="300"/>
      <c r="K411" s="301"/>
      <c r="L411" s="300">
        <f t="shared" ref="L411:AA411" si="738">L408/L$501</f>
        <v>0.11937984496124031</v>
      </c>
      <c r="M411" s="300">
        <f t="shared" si="738"/>
        <v>0.1324422843256379</v>
      </c>
      <c r="N411" s="300">
        <f t="shared" si="738"/>
        <v>0.13821138211382114</v>
      </c>
      <c r="O411" s="301">
        <f t="shared" si="738"/>
        <v>0.1218369259606373</v>
      </c>
      <c r="P411" s="300">
        <f t="shared" si="738"/>
        <v>4.3317972350230417E-2</v>
      </c>
      <c r="Q411" s="300">
        <f t="shared" si="738"/>
        <v>0</v>
      </c>
      <c r="R411" s="300">
        <f t="shared" si="738"/>
        <v>0</v>
      </c>
      <c r="S411" s="301">
        <f t="shared" si="738"/>
        <v>0</v>
      </c>
      <c r="T411" s="300">
        <f t="shared" si="738"/>
        <v>0</v>
      </c>
      <c r="U411" s="300">
        <f t="shared" si="738"/>
        <v>0</v>
      </c>
      <c r="V411" s="269">
        <f t="shared" si="738"/>
        <v>0</v>
      </c>
      <c r="W411" s="301">
        <f t="shared" si="738"/>
        <v>0</v>
      </c>
      <c r="X411" s="300">
        <f t="shared" si="738"/>
        <v>0</v>
      </c>
      <c r="Y411" s="300">
        <f t="shared" si="738"/>
        <v>0</v>
      </c>
      <c r="Z411" s="300">
        <f t="shared" si="738"/>
        <v>0</v>
      </c>
      <c r="AA411" s="301">
        <f t="shared" si="738"/>
        <v>0</v>
      </c>
      <c r="AB411" s="94"/>
      <c r="AC411" s="92"/>
      <c r="AD411" s="92"/>
      <c r="AE411" s="93"/>
      <c r="AF411" s="94"/>
      <c r="AG411" s="92"/>
      <c r="AH411" s="92"/>
      <c r="AI411" s="92"/>
      <c r="AJ411" s="94"/>
      <c r="AK411" s="92"/>
      <c r="AL411" s="92"/>
      <c r="AM411" s="93"/>
      <c r="AN411" s="1606"/>
      <c r="AO411" s="1604"/>
      <c r="AP411" s="1604"/>
      <c r="AQ411" s="1605"/>
      <c r="AR411" s="94"/>
      <c r="AS411" s="1518"/>
      <c r="AT411" s="1518"/>
      <c r="AU411" s="1519"/>
      <c r="AV411" s="94"/>
      <c r="AW411" s="1518"/>
      <c r="AX411" s="1518"/>
      <c r="AY411" s="1519"/>
      <c r="AZ411" s="22"/>
      <c r="BA411" s="652"/>
      <c r="BB411" s="317"/>
      <c r="BC411" s="256">
        <f>BC408/BC$526</f>
        <v>0.12844558113100313</v>
      </c>
      <c r="BD411" s="256">
        <f>BD408/BD$526</f>
        <v>1.0676965015901863E-2</v>
      </c>
      <c r="BE411" s="256">
        <f>BE408/BE$526</f>
        <v>0</v>
      </c>
      <c r="BF411" s="255">
        <f>BF408/BF$526</f>
        <v>0</v>
      </c>
      <c r="BG411" s="159"/>
      <c r="BH411" s="1506"/>
      <c r="BI411" s="1607"/>
      <c r="BJ411" s="1603"/>
      <c r="BK411" s="1603"/>
      <c r="BL411" s="1806"/>
      <c r="BM411" s="1806"/>
      <c r="BN411" s="1806"/>
      <c r="BO411" s="461"/>
    </row>
    <row r="412" spans="1:67" ht="14.25" hidden="1" customHeight="1" outlineLevel="1">
      <c r="A412" s="1"/>
      <c r="B412" s="431"/>
      <c r="C412" s="254"/>
      <c r="D412" s="92"/>
      <c r="E412" s="320"/>
      <c r="F412" s="305"/>
      <c r="G412" s="304"/>
      <c r="H412" s="302"/>
      <c r="I412" s="305"/>
      <c r="J412" s="305"/>
      <c r="K412" s="304"/>
      <c r="L412" s="302"/>
      <c r="M412" s="305"/>
      <c r="N412" s="305"/>
      <c r="O412" s="304"/>
      <c r="P412" s="305"/>
      <c r="Q412" s="305"/>
      <c r="R412" s="305"/>
      <c r="S412" s="304"/>
      <c r="T412" s="305"/>
      <c r="U412" s="305"/>
      <c r="V412" s="320"/>
      <c r="W412" s="304"/>
      <c r="X412" s="305"/>
      <c r="Y412" s="305"/>
      <c r="Z412" s="305"/>
      <c r="AA412" s="304"/>
      <c r="AB412" s="23"/>
      <c r="AC412" s="58"/>
      <c r="AD412" s="58"/>
      <c r="AE412" s="24"/>
      <c r="AF412" s="23"/>
      <c r="AG412" s="58"/>
      <c r="AH412" s="58"/>
      <c r="AI412" s="58"/>
      <c r="AJ412" s="23"/>
      <c r="AK412" s="58"/>
      <c r="AL412" s="58"/>
      <c r="AM412" s="24"/>
      <c r="AN412" s="23"/>
      <c r="AO412" s="58"/>
      <c r="AP412" s="58"/>
      <c r="AQ412" s="24"/>
      <c r="AR412" s="23"/>
      <c r="AS412" s="58"/>
      <c r="AT412" s="58"/>
      <c r="AU412" s="24"/>
      <c r="AV412" s="23"/>
      <c r="AW412" s="58"/>
      <c r="AX412" s="58"/>
      <c r="AY412" s="24"/>
      <c r="AZ412" s="22"/>
      <c r="BA412" s="22"/>
      <c r="BB412" s="14"/>
      <c r="BC412" s="14"/>
      <c r="BD412" s="14"/>
      <c r="BE412" s="14"/>
      <c r="BF412" s="22"/>
      <c r="BG412" s="23"/>
      <c r="BH412" s="58"/>
      <c r="BI412" s="23"/>
      <c r="BJ412" s="58"/>
      <c r="BK412" s="58"/>
      <c r="BL412" s="58"/>
      <c r="BM412" s="58"/>
      <c r="BN412" s="58"/>
      <c r="BO412" s="461"/>
    </row>
    <row r="413" spans="1:67" s="363" customFormat="1" ht="14.25" hidden="1" customHeight="1" outlineLevel="1" collapsed="1">
      <c r="B413" s="436" t="s">
        <v>392</v>
      </c>
      <c r="C413" s="351"/>
      <c r="D413" s="365"/>
      <c r="E413" s="348"/>
      <c r="F413" s="340"/>
      <c r="G413" s="351"/>
      <c r="H413" s="367"/>
      <c r="I413" s="340"/>
      <c r="J413" s="344"/>
      <c r="K413" s="345"/>
      <c r="L413" s="360">
        <v>4</v>
      </c>
      <c r="M413" s="344">
        <v>29</v>
      </c>
      <c r="N413" s="344">
        <v>52</v>
      </c>
      <c r="O413" s="345">
        <v>45</v>
      </c>
      <c r="P413" s="346">
        <v>16</v>
      </c>
      <c r="Q413" s="346">
        <v>0</v>
      </c>
      <c r="R413" s="346">
        <v>0</v>
      </c>
      <c r="S413" s="347">
        <v>0</v>
      </c>
      <c r="T413" s="346">
        <v>0</v>
      </c>
      <c r="U413" s="346">
        <v>0</v>
      </c>
      <c r="V413" s="346">
        <v>0</v>
      </c>
      <c r="W413" s="347">
        <v>0</v>
      </c>
      <c r="X413" s="346">
        <v>0</v>
      </c>
      <c r="Y413" s="346">
        <v>0</v>
      </c>
      <c r="Z413" s="348">
        <f>Z416*Z$408</f>
        <v>0</v>
      </c>
      <c r="AA413" s="349">
        <f>AA416*AA$408</f>
        <v>0</v>
      </c>
      <c r="AB413" s="923"/>
      <c r="AC413" s="348"/>
      <c r="AD413" s="348"/>
      <c r="AE413" s="349"/>
      <c r="AF413" s="923"/>
      <c r="AG413" s="348"/>
      <c r="AH413" s="348"/>
      <c r="AI413" s="348"/>
      <c r="AJ413" s="923"/>
      <c r="AK413" s="348"/>
      <c r="AL413" s="348"/>
      <c r="AM413" s="349"/>
      <c r="AN413" s="923"/>
      <c r="AO413" s="348"/>
      <c r="AP413" s="348"/>
      <c r="AQ413" s="349"/>
      <c r="AR413" s="923"/>
      <c r="AS413" s="348"/>
      <c r="AT413" s="348"/>
      <c r="AU413" s="349"/>
      <c r="AV413" s="923"/>
      <c r="AW413" s="348"/>
      <c r="AX413" s="348"/>
      <c r="AY413" s="349"/>
      <c r="AZ413" s="361"/>
      <c r="BA413" s="361"/>
      <c r="BB413" s="340"/>
      <c r="BC413" s="340">
        <f>SUM(L413:O413)</f>
        <v>130</v>
      </c>
      <c r="BD413" s="340">
        <f>SUM(P413:S413)</f>
        <v>16</v>
      </c>
      <c r="BE413" s="340">
        <f>SUM(T413:W413)</f>
        <v>0</v>
      </c>
      <c r="BF413" s="361">
        <f>SUM(X413:AA413)</f>
        <v>0</v>
      </c>
      <c r="BG413" s="923"/>
      <c r="BH413" s="348"/>
      <c r="BI413" s="923"/>
      <c r="BJ413" s="348"/>
      <c r="BK413" s="348"/>
      <c r="BL413" s="348"/>
      <c r="BM413" s="348"/>
      <c r="BN413" s="348"/>
      <c r="BO413" s="1205"/>
    </row>
    <row r="414" spans="1:67" ht="14.25" hidden="1" customHeight="1" outlineLevel="1">
      <c r="A414" s="1"/>
      <c r="B414" s="431" t="s">
        <v>228</v>
      </c>
      <c r="C414" s="254"/>
      <c r="D414" s="320"/>
      <c r="E414" s="269"/>
      <c r="F414" s="300"/>
      <c r="G414" s="301"/>
      <c r="H414" s="269"/>
      <c r="I414" s="300"/>
      <c r="J414" s="300"/>
      <c r="K414" s="301"/>
      <c r="L414" s="300"/>
      <c r="M414" s="300">
        <f>(M413-L413)/L413</f>
        <v>6.25</v>
      </c>
      <c r="N414" s="300">
        <f>(N413-M413)/M413</f>
        <v>0.7931034482758621</v>
      </c>
      <c r="O414" s="301">
        <f>(O413-N413)/N413</f>
        <v>-0.13461538461538461</v>
      </c>
      <c r="P414" s="300">
        <f>(P413-O413)/O413</f>
        <v>-0.64444444444444449</v>
      </c>
      <c r="Q414" s="300">
        <f t="shared" ref="Q414:AA414" si="739">IF(ISERROR((Q413-P413)/P413),"",(Q413-P413)/P413)</f>
        <v>-1</v>
      </c>
      <c r="R414" s="300" t="str">
        <f t="shared" si="739"/>
        <v/>
      </c>
      <c r="S414" s="301" t="str">
        <f t="shared" si="739"/>
        <v/>
      </c>
      <c r="T414" s="300" t="str">
        <f t="shared" si="739"/>
        <v/>
      </c>
      <c r="U414" s="300" t="str">
        <f t="shared" si="739"/>
        <v/>
      </c>
      <c r="V414" s="269" t="str">
        <f t="shared" si="739"/>
        <v/>
      </c>
      <c r="W414" s="301" t="str">
        <f t="shared" si="739"/>
        <v/>
      </c>
      <c r="X414" s="300" t="str">
        <f t="shared" si="739"/>
        <v/>
      </c>
      <c r="Y414" s="300" t="str">
        <f t="shared" si="739"/>
        <v/>
      </c>
      <c r="Z414" s="300" t="str">
        <f t="shared" si="739"/>
        <v/>
      </c>
      <c r="AA414" s="301" t="str">
        <f t="shared" si="739"/>
        <v/>
      </c>
      <c r="AB414" s="159"/>
      <c r="AC414" s="90"/>
      <c r="AD414" s="90"/>
      <c r="AE414" s="91"/>
      <c r="AF414" s="159"/>
      <c r="AG414" s="90"/>
      <c r="AH414" s="90"/>
      <c r="AI414" s="90"/>
      <c r="AJ414" s="159"/>
      <c r="AK414" s="90"/>
      <c r="AL414" s="90"/>
      <c r="AM414" s="91"/>
      <c r="AN414" s="1607"/>
      <c r="AO414" s="1603"/>
      <c r="AP414" s="1603"/>
      <c r="AQ414" s="1807"/>
      <c r="AR414" s="159"/>
      <c r="AS414" s="1506"/>
      <c r="AT414" s="1506"/>
      <c r="AU414" s="91"/>
      <c r="AV414" s="159"/>
      <c r="AW414" s="1506"/>
      <c r="AX414" s="1506"/>
      <c r="AY414" s="91"/>
      <c r="AZ414" s="22"/>
      <c r="BA414" s="22"/>
      <c r="BB414" s="14"/>
      <c r="BC414" s="256"/>
      <c r="BD414" s="256"/>
      <c r="BE414" s="256"/>
      <c r="BF414" s="255"/>
      <c r="BG414" s="159"/>
      <c r="BH414" s="1506"/>
      <c r="BI414" s="1607"/>
      <c r="BJ414" s="1603"/>
      <c r="BK414" s="1603"/>
      <c r="BL414" s="1806"/>
      <c r="BM414" s="1806"/>
      <c r="BN414" s="1806"/>
      <c r="BO414" s="461"/>
    </row>
    <row r="415" spans="1:67" ht="14.25" hidden="1" customHeight="1" outlineLevel="1">
      <c r="A415" s="1"/>
      <c r="B415" s="435" t="s">
        <v>229</v>
      </c>
      <c r="C415" s="34"/>
      <c r="D415" s="269"/>
      <c r="E415" s="269"/>
      <c r="F415" s="300"/>
      <c r="G415" s="301"/>
      <c r="H415" s="269"/>
      <c r="I415" s="300"/>
      <c r="J415" s="300"/>
      <c r="K415" s="301"/>
      <c r="L415" s="318" t="str">
        <f t="shared" ref="L415:AA415" si="740">IF(ISERROR(L413/H413-1),"",L413/H413-1)</f>
        <v/>
      </c>
      <c r="M415" s="318" t="str">
        <f t="shared" si="740"/>
        <v/>
      </c>
      <c r="N415" s="318" t="str">
        <f t="shared" si="740"/>
        <v/>
      </c>
      <c r="O415" s="339" t="str">
        <f t="shared" si="740"/>
        <v/>
      </c>
      <c r="P415" s="318">
        <f t="shared" si="740"/>
        <v>3</v>
      </c>
      <c r="Q415" s="318">
        <f t="shared" si="740"/>
        <v>-1</v>
      </c>
      <c r="R415" s="318">
        <f t="shared" si="740"/>
        <v>-1</v>
      </c>
      <c r="S415" s="339">
        <f t="shared" si="740"/>
        <v>-1</v>
      </c>
      <c r="T415" s="318">
        <f t="shared" si="740"/>
        <v>-1</v>
      </c>
      <c r="U415" s="318" t="str">
        <f t="shared" si="740"/>
        <v/>
      </c>
      <c r="V415" s="404" t="str">
        <f t="shared" si="740"/>
        <v/>
      </c>
      <c r="W415" s="339" t="str">
        <f t="shared" si="740"/>
        <v/>
      </c>
      <c r="X415" s="318" t="str">
        <f t="shared" si="740"/>
        <v/>
      </c>
      <c r="Y415" s="318" t="str">
        <f t="shared" si="740"/>
        <v/>
      </c>
      <c r="Z415" s="318" t="str">
        <f t="shared" si="740"/>
        <v/>
      </c>
      <c r="AA415" s="339" t="str">
        <f t="shared" si="740"/>
        <v/>
      </c>
      <c r="AB415" s="958"/>
      <c r="AC415" s="420"/>
      <c r="AD415" s="420"/>
      <c r="AE415" s="424"/>
      <c r="AF415" s="958"/>
      <c r="AG415" s="420"/>
      <c r="AH415" s="420"/>
      <c r="AI415" s="420"/>
      <c r="AJ415" s="958"/>
      <c r="AK415" s="420"/>
      <c r="AL415" s="420"/>
      <c r="AM415" s="424"/>
      <c r="AN415" s="958"/>
      <c r="AO415" s="420"/>
      <c r="AP415" s="420"/>
      <c r="AQ415" s="424"/>
      <c r="AR415" s="958"/>
      <c r="AS415" s="420"/>
      <c r="AT415" s="420"/>
      <c r="AU415" s="424"/>
      <c r="AV415" s="958"/>
      <c r="AW415" s="420"/>
      <c r="AX415" s="420"/>
      <c r="AY415" s="424"/>
      <c r="AZ415" s="22"/>
      <c r="BA415" s="652"/>
      <c r="BB415" s="317"/>
      <c r="BC415" s="256"/>
      <c r="BD415" s="256">
        <f>IF(ISERROR(BD413/BC413-1),"",BD413/BC413-1)</f>
        <v>-0.87692307692307692</v>
      </c>
      <c r="BE415" s="256">
        <f>IF(ISERROR(BE413/BD413-1),"",BE413/BD413-1)</f>
        <v>-1</v>
      </c>
      <c r="BF415" s="255" t="str">
        <f>IF(ISERROR(BF413/BE413-1),"",BF413/BE413-1)</f>
        <v/>
      </c>
      <c r="BG415" s="159"/>
      <c r="BH415" s="1506"/>
      <c r="BI415" s="1607"/>
      <c r="BJ415" s="1603"/>
      <c r="BK415" s="1603"/>
      <c r="BL415" s="1806"/>
      <c r="BM415" s="1806"/>
      <c r="BN415" s="1806"/>
      <c r="BO415" s="461"/>
    </row>
    <row r="416" spans="1:67" ht="14.25" hidden="1" customHeight="1" outlineLevel="1">
      <c r="A416" s="1"/>
      <c r="B416" s="435" t="s">
        <v>347</v>
      </c>
      <c r="C416" s="34"/>
      <c r="D416" s="269"/>
      <c r="E416" s="269"/>
      <c r="F416" s="300"/>
      <c r="G416" s="301"/>
      <c r="H416" s="269"/>
      <c r="I416" s="300"/>
      <c r="J416" s="300"/>
      <c r="K416" s="301"/>
      <c r="L416" s="300">
        <f>L413/L$408</f>
        <v>5.1948051948051951E-2</v>
      </c>
      <c r="M416" s="300">
        <f>M413/M$408</f>
        <v>0.26605504587155965</v>
      </c>
      <c r="N416" s="300">
        <f>N413/N$408</f>
        <v>0.38235294117647056</v>
      </c>
      <c r="O416" s="301">
        <f>O413/O$408</f>
        <v>0.34615384615384615</v>
      </c>
      <c r="P416" s="300">
        <f>P413/P$408</f>
        <v>0.34042553191489361</v>
      </c>
      <c r="Q416" s="300" t="str">
        <f t="shared" ref="Q416:V416" si="741">IF(ISERROR(Q413/Q$408),"",Q413/Q$408)</f>
        <v/>
      </c>
      <c r="R416" s="300" t="str">
        <f t="shared" si="741"/>
        <v/>
      </c>
      <c r="S416" s="301" t="str">
        <f t="shared" si="741"/>
        <v/>
      </c>
      <c r="T416" s="300" t="str">
        <f t="shared" si="741"/>
        <v/>
      </c>
      <c r="U416" s="300" t="str">
        <f t="shared" si="741"/>
        <v/>
      </c>
      <c r="V416" s="269" t="str">
        <f t="shared" si="741"/>
        <v/>
      </c>
      <c r="W416" s="301" t="str">
        <f>IF(ISERROR(W413/W$408),"",W413/W$408)</f>
        <v/>
      </c>
      <c r="X416" s="300" t="str">
        <f>IF(ISERROR(X413/X$408),"",X413/X$408)</f>
        <v/>
      </c>
      <c r="Y416" s="300" t="str">
        <f>IF(ISERROR(Y413/Y$408),"",Y413/Y$408)</f>
        <v/>
      </c>
      <c r="Z416" s="311">
        <v>0</v>
      </c>
      <c r="AA416" s="160">
        <v>0</v>
      </c>
      <c r="AB416" s="94"/>
      <c r="AC416" s="92"/>
      <c r="AD416" s="92"/>
      <c r="AE416" s="93"/>
      <c r="AF416" s="94"/>
      <c r="AG416" s="92"/>
      <c r="AH416" s="92"/>
      <c r="AI416" s="92"/>
      <c r="AJ416" s="94"/>
      <c r="AK416" s="92"/>
      <c r="AL416" s="92"/>
      <c r="AM416" s="93"/>
      <c r="AN416" s="1606"/>
      <c r="AO416" s="1604"/>
      <c r="AP416" s="1604"/>
      <c r="AQ416" s="1605"/>
      <c r="AR416" s="94"/>
      <c r="AS416" s="1518"/>
      <c r="AT416" s="1518"/>
      <c r="AU416" s="1519"/>
      <c r="AV416" s="94"/>
      <c r="AW416" s="1518"/>
      <c r="AX416" s="1518"/>
      <c r="AY416" s="1519"/>
      <c r="AZ416" s="22"/>
      <c r="BA416" s="652"/>
      <c r="BB416" s="317"/>
      <c r="BC416" s="256">
        <f>IF(ISERROR(BC413/BC$408),"",BC413/BC$408)</f>
        <v>0.28761061946902655</v>
      </c>
      <c r="BD416" s="256">
        <f>IF(ISERROR(BD413/BD$408),"",BD413/BD$408)</f>
        <v>0.34042553191489361</v>
      </c>
      <c r="BE416" s="256" t="str">
        <f>IF(ISERROR(BE413/BE$408),"",BE413/BE$408)</f>
        <v/>
      </c>
      <c r="BF416" s="255" t="str">
        <f>IF(ISERROR(BF413/BF$408),"",BF413/BF$408)</f>
        <v/>
      </c>
      <c r="BG416" s="159"/>
      <c r="BH416" s="1506"/>
      <c r="BI416" s="1607"/>
      <c r="BJ416" s="1603"/>
      <c r="BK416" s="1603"/>
      <c r="BL416" s="1806"/>
      <c r="BM416" s="1806"/>
      <c r="BN416" s="1806"/>
      <c r="BO416" s="461"/>
    </row>
    <row r="417" spans="1:67" ht="14.25" hidden="1" customHeight="1" outlineLevel="1">
      <c r="A417" s="1"/>
      <c r="B417" s="431" t="s">
        <v>230</v>
      </c>
      <c r="C417" s="254"/>
      <c r="D417" s="320"/>
      <c r="E417" s="320"/>
      <c r="F417" s="320"/>
      <c r="G417" s="93"/>
      <c r="H417" s="269"/>
      <c r="I417" s="269"/>
      <c r="J417" s="300"/>
      <c r="K417" s="301"/>
      <c r="L417" s="300">
        <f t="shared" ref="L417:AA417" si="742">L413/L$501</f>
        <v>6.2015503875968991E-3</v>
      </c>
      <c r="M417" s="300">
        <f t="shared" si="742"/>
        <v>3.5236938031591739E-2</v>
      </c>
      <c r="N417" s="300">
        <f t="shared" si="742"/>
        <v>5.2845528455284556E-2</v>
      </c>
      <c r="O417" s="301">
        <f t="shared" si="742"/>
        <v>4.2174320524835988E-2</v>
      </c>
      <c r="P417" s="300">
        <f t="shared" si="742"/>
        <v>1.4746543778801843E-2</v>
      </c>
      <c r="Q417" s="300">
        <f t="shared" si="742"/>
        <v>0</v>
      </c>
      <c r="R417" s="300">
        <f t="shared" si="742"/>
        <v>0</v>
      </c>
      <c r="S417" s="301">
        <f t="shared" si="742"/>
        <v>0</v>
      </c>
      <c r="T417" s="300">
        <f t="shared" si="742"/>
        <v>0</v>
      </c>
      <c r="U417" s="300">
        <f t="shared" si="742"/>
        <v>0</v>
      </c>
      <c r="V417" s="269">
        <f t="shared" si="742"/>
        <v>0</v>
      </c>
      <c r="W417" s="301">
        <f t="shared" si="742"/>
        <v>0</v>
      </c>
      <c r="X417" s="300">
        <f t="shared" si="742"/>
        <v>0</v>
      </c>
      <c r="Y417" s="300">
        <f t="shared" si="742"/>
        <v>0</v>
      </c>
      <c r="Z417" s="300">
        <f t="shared" si="742"/>
        <v>0</v>
      </c>
      <c r="AA417" s="301">
        <f t="shared" si="742"/>
        <v>0</v>
      </c>
      <c r="AB417" s="159"/>
      <c r="AC417" s="90"/>
      <c r="AD417" s="90"/>
      <c r="AE417" s="91"/>
      <c r="AF417" s="159"/>
      <c r="AG417" s="90"/>
      <c r="AH417" s="90"/>
      <c r="AI417" s="90"/>
      <c r="AJ417" s="159"/>
      <c r="AK417" s="90"/>
      <c r="AL417" s="90"/>
      <c r="AM417" s="91"/>
      <c r="AN417" s="1607"/>
      <c r="AO417" s="1603"/>
      <c r="AP417" s="1603"/>
      <c r="AQ417" s="1807"/>
      <c r="AR417" s="159"/>
      <c r="AS417" s="1506"/>
      <c r="AT417" s="1506"/>
      <c r="AU417" s="91"/>
      <c r="AV417" s="159"/>
      <c r="AW417" s="1506"/>
      <c r="AX417" s="1506"/>
      <c r="AY417" s="91"/>
      <c r="AZ417" s="22"/>
      <c r="BA417" s="652"/>
      <c r="BB417" s="317"/>
      <c r="BC417" s="256">
        <f>BC413/BC$526</f>
        <v>3.6942313157146918E-2</v>
      </c>
      <c r="BD417" s="256">
        <f>BD413/BD$526</f>
        <v>3.6347114947751021E-3</v>
      </c>
      <c r="BE417" s="256">
        <f>BE413/BE$526</f>
        <v>0</v>
      </c>
      <c r="BF417" s="255">
        <f>BF413/BF$526</f>
        <v>0</v>
      </c>
      <c r="BG417" s="159"/>
      <c r="BH417" s="1506"/>
      <c r="BI417" s="1607"/>
      <c r="BJ417" s="1603"/>
      <c r="BK417" s="1603"/>
      <c r="BL417" s="1806"/>
      <c r="BM417" s="1806"/>
      <c r="BN417" s="1806"/>
      <c r="BO417" s="461"/>
    </row>
    <row r="418" spans="1:67" ht="14.25" hidden="1" customHeight="1" outlineLevel="1">
      <c r="A418" s="1"/>
      <c r="B418" s="431"/>
      <c r="C418" s="254"/>
      <c r="D418" s="320"/>
      <c r="E418" s="320"/>
      <c r="F418" s="320"/>
      <c r="G418" s="93"/>
      <c r="H418" s="269"/>
      <c r="I418" s="269"/>
      <c r="J418" s="300"/>
      <c r="K418" s="301"/>
      <c r="L418" s="255"/>
      <c r="M418" s="300"/>
      <c r="N418" s="300"/>
      <c r="O418" s="301"/>
      <c r="P418" s="300"/>
      <c r="Q418" s="300"/>
      <c r="R418" s="300"/>
      <c r="S418" s="301"/>
      <c r="T418" s="300"/>
      <c r="U418" s="300"/>
      <c r="V418" s="269"/>
      <c r="W418" s="301"/>
      <c r="X418" s="300"/>
      <c r="Y418" s="300"/>
      <c r="Z418" s="300"/>
      <c r="AA418" s="301"/>
      <c r="AB418" s="159"/>
      <c r="AC418" s="90"/>
      <c r="AD418" s="90"/>
      <c r="AE418" s="91"/>
      <c r="AF418" s="159"/>
      <c r="AG418" s="90"/>
      <c r="AH418" s="90"/>
      <c r="AI418" s="90"/>
      <c r="AJ418" s="159"/>
      <c r="AK418" s="90"/>
      <c r="AL418" s="90"/>
      <c r="AM418" s="91"/>
      <c r="AN418" s="1607"/>
      <c r="AO418" s="1603"/>
      <c r="AP418" s="1603"/>
      <c r="AQ418" s="1807"/>
      <c r="AR418" s="159"/>
      <c r="AS418" s="1506"/>
      <c r="AT418" s="1506"/>
      <c r="AU418" s="91"/>
      <c r="AV418" s="159"/>
      <c r="AW418" s="1506"/>
      <c r="AX418" s="1506"/>
      <c r="AY418" s="91"/>
      <c r="AZ418" s="22"/>
      <c r="BA418" s="652"/>
      <c r="BB418" s="317"/>
      <c r="BC418" s="256"/>
      <c r="BD418" s="256"/>
      <c r="BE418" s="256"/>
      <c r="BF418" s="255"/>
      <c r="BG418" s="159"/>
      <c r="BH418" s="1506"/>
      <c r="BI418" s="1607"/>
      <c r="BJ418" s="1603"/>
      <c r="BK418" s="1603"/>
      <c r="BL418" s="1806"/>
      <c r="BM418" s="1806"/>
      <c r="BN418" s="1806"/>
      <c r="BO418" s="461"/>
    </row>
    <row r="419" spans="1:67" s="363" customFormat="1" ht="14.25" hidden="1" customHeight="1" outlineLevel="2">
      <c r="B419" s="436" t="s">
        <v>393</v>
      </c>
      <c r="C419" s="382"/>
      <c r="D419" s="365"/>
      <c r="E419" s="365"/>
      <c r="F419" s="365"/>
      <c r="G419" s="366"/>
      <c r="H419" s="367"/>
      <c r="I419" s="367"/>
      <c r="J419" s="368"/>
      <c r="K419" s="369"/>
      <c r="L419" s="361">
        <f t="shared" ref="L419:AA419" si="743">SUM(L420:L423)</f>
        <v>0</v>
      </c>
      <c r="M419" s="340">
        <f t="shared" si="743"/>
        <v>0</v>
      </c>
      <c r="N419" s="340">
        <f t="shared" si="743"/>
        <v>0</v>
      </c>
      <c r="O419" s="351">
        <f t="shared" si="743"/>
        <v>0</v>
      </c>
      <c r="P419" s="348">
        <f t="shared" si="743"/>
        <v>0</v>
      </c>
      <c r="Q419" s="348">
        <f t="shared" si="743"/>
        <v>0</v>
      </c>
      <c r="R419" s="348">
        <f t="shared" si="743"/>
        <v>0</v>
      </c>
      <c r="S419" s="349">
        <f t="shared" si="743"/>
        <v>0</v>
      </c>
      <c r="T419" s="348">
        <f t="shared" si="743"/>
        <v>0</v>
      </c>
      <c r="U419" s="348">
        <f t="shared" si="743"/>
        <v>0</v>
      </c>
      <c r="V419" s="348">
        <f>SUM(V420:V423)</f>
        <v>0</v>
      </c>
      <c r="W419" s="349">
        <f>SUM(W420:W423)</f>
        <v>0</v>
      </c>
      <c r="X419" s="348">
        <f>SUM(X420:X423)</f>
        <v>0</v>
      </c>
      <c r="Y419" s="348">
        <f>SUM(Y420:Y423)</f>
        <v>0</v>
      </c>
      <c r="Z419" s="348">
        <f t="shared" si="743"/>
        <v>0</v>
      </c>
      <c r="AA419" s="349">
        <f t="shared" si="743"/>
        <v>0</v>
      </c>
      <c r="AB419" s="923"/>
      <c r="AC419" s="348"/>
      <c r="AD419" s="348"/>
      <c r="AE419" s="349"/>
      <c r="AF419" s="923"/>
      <c r="AG419" s="348"/>
      <c r="AH419" s="348"/>
      <c r="AI419" s="348"/>
      <c r="AJ419" s="923"/>
      <c r="AK419" s="348"/>
      <c r="AL419" s="348"/>
      <c r="AM419" s="349"/>
      <c r="AN419" s="923"/>
      <c r="AO419" s="348"/>
      <c r="AP419" s="348"/>
      <c r="AQ419" s="349"/>
      <c r="AR419" s="923"/>
      <c r="AS419" s="348"/>
      <c r="AT419" s="348"/>
      <c r="AU419" s="349"/>
      <c r="AV419" s="923"/>
      <c r="AW419" s="348"/>
      <c r="AX419" s="348"/>
      <c r="AY419" s="349"/>
      <c r="AZ419" s="361"/>
      <c r="BA419" s="1124"/>
      <c r="BB419" s="372"/>
      <c r="BC419" s="340">
        <f>SUM(L419:O419)</f>
        <v>0</v>
      </c>
      <c r="BD419" s="340">
        <f>SUM(P419:S419)</f>
        <v>0</v>
      </c>
      <c r="BE419" s="340">
        <f>SUM(T419:W419)</f>
        <v>0</v>
      </c>
      <c r="BF419" s="361">
        <f>SUM(X419:AA419)</f>
        <v>0</v>
      </c>
      <c r="BG419" s="923"/>
      <c r="BH419" s="348"/>
      <c r="BI419" s="923"/>
      <c r="BJ419" s="348"/>
      <c r="BK419" s="348"/>
      <c r="BL419" s="348"/>
      <c r="BM419" s="348"/>
      <c r="BN419" s="348"/>
      <c r="BO419" s="1205"/>
    </row>
    <row r="420" spans="1:67" s="353" customFormat="1" ht="14.25" hidden="1" customHeight="1" outlineLevel="2">
      <c r="A420" s="6"/>
      <c r="B420" s="437" t="s">
        <v>348</v>
      </c>
      <c r="C420" s="383"/>
      <c r="D420" s="354"/>
      <c r="E420" s="354"/>
      <c r="F420" s="354"/>
      <c r="G420" s="355"/>
      <c r="H420" s="356"/>
      <c r="I420" s="356"/>
      <c r="J420" s="357"/>
      <c r="K420" s="358"/>
      <c r="L420" s="362">
        <v>0</v>
      </c>
      <c r="M420" s="342">
        <v>0</v>
      </c>
      <c r="N420" s="342">
        <v>0</v>
      </c>
      <c r="O420" s="343">
        <v>0</v>
      </c>
      <c r="P420" s="362">
        <v>0</v>
      </c>
      <c r="Q420" s="342">
        <v>0</v>
      </c>
      <c r="R420" s="342">
        <v>0</v>
      </c>
      <c r="S420" s="343">
        <v>0</v>
      </c>
      <c r="T420" s="362">
        <v>0</v>
      </c>
      <c r="U420" s="342">
        <v>0</v>
      </c>
      <c r="V420" s="72">
        <v>0</v>
      </c>
      <c r="W420" s="343">
        <v>0</v>
      </c>
      <c r="X420" s="362">
        <v>0</v>
      </c>
      <c r="Y420" s="342">
        <v>0</v>
      </c>
      <c r="Z420" s="380">
        <v>0</v>
      </c>
      <c r="AA420" s="381">
        <v>0</v>
      </c>
      <c r="AB420" s="1158"/>
      <c r="AC420" s="747"/>
      <c r="AD420" s="747"/>
      <c r="AE420" s="909"/>
      <c r="AF420" s="1158"/>
      <c r="AG420" s="747"/>
      <c r="AH420" s="747"/>
      <c r="AI420" s="747"/>
      <c r="AJ420" s="1158"/>
      <c r="AK420" s="747"/>
      <c r="AL420" s="747"/>
      <c r="AM420" s="909"/>
      <c r="AN420" s="1158"/>
      <c r="AO420" s="747"/>
      <c r="AP420" s="747"/>
      <c r="AQ420" s="909"/>
      <c r="AR420" s="1158"/>
      <c r="AS420" s="747"/>
      <c r="AT420" s="747"/>
      <c r="AU420" s="909"/>
      <c r="AV420" s="1158"/>
      <c r="AW420" s="747"/>
      <c r="AX420" s="747"/>
      <c r="AY420" s="909"/>
      <c r="AZ420" s="903"/>
      <c r="BA420" s="1129"/>
      <c r="BB420" s="359"/>
      <c r="BC420" s="341">
        <f>SUM(L420:O420)</f>
        <v>0</v>
      </c>
      <c r="BD420" s="341">
        <f>SUM(P420:S420)</f>
        <v>0</v>
      </c>
      <c r="BE420" s="341">
        <f>SUM(T420:W420)</f>
        <v>0</v>
      </c>
      <c r="BF420" s="939">
        <f>SUM(X420:AA420)</f>
        <v>0</v>
      </c>
      <c r="BG420" s="1157"/>
      <c r="BH420" s="877"/>
      <c r="BI420" s="1157"/>
      <c r="BJ420" s="877"/>
      <c r="BK420" s="877"/>
      <c r="BL420" s="877"/>
      <c r="BM420" s="877"/>
      <c r="BN420" s="877"/>
      <c r="BO420" s="1302"/>
    </row>
    <row r="421" spans="1:67" s="353" customFormat="1" ht="14.25" hidden="1" customHeight="1" outlineLevel="2">
      <c r="A421" s="6"/>
      <c r="B421" s="438" t="s">
        <v>349</v>
      </c>
      <c r="C421" s="383"/>
      <c r="D421" s="354"/>
      <c r="E421" s="354"/>
      <c r="F421" s="354"/>
      <c r="G421" s="355"/>
      <c r="H421" s="356"/>
      <c r="I421" s="356"/>
      <c r="J421" s="357"/>
      <c r="K421" s="358"/>
      <c r="L421" s="362">
        <v>0</v>
      </c>
      <c r="M421" s="342">
        <v>0</v>
      </c>
      <c r="N421" s="342">
        <v>0</v>
      </c>
      <c r="O421" s="343">
        <v>0</v>
      </c>
      <c r="P421" s="362">
        <v>0</v>
      </c>
      <c r="Q421" s="342">
        <v>0</v>
      </c>
      <c r="R421" s="342">
        <v>0</v>
      </c>
      <c r="S421" s="343">
        <v>0</v>
      </c>
      <c r="T421" s="362">
        <v>0</v>
      </c>
      <c r="U421" s="342">
        <v>0</v>
      </c>
      <c r="V421" s="72">
        <v>0</v>
      </c>
      <c r="W421" s="343">
        <v>0</v>
      </c>
      <c r="X421" s="362">
        <v>0</v>
      </c>
      <c r="Y421" s="342">
        <v>0</v>
      </c>
      <c r="Z421" s="380">
        <v>0</v>
      </c>
      <c r="AA421" s="381">
        <v>0</v>
      </c>
      <c r="AB421" s="1158"/>
      <c r="AC421" s="747"/>
      <c r="AD421" s="747"/>
      <c r="AE421" s="909"/>
      <c r="AF421" s="1158"/>
      <c r="AG421" s="747"/>
      <c r="AH421" s="747"/>
      <c r="AI421" s="747"/>
      <c r="AJ421" s="1158"/>
      <c r="AK421" s="747"/>
      <c r="AL421" s="747"/>
      <c r="AM421" s="909"/>
      <c r="AN421" s="1158"/>
      <c r="AO421" s="747"/>
      <c r="AP421" s="747"/>
      <c r="AQ421" s="909"/>
      <c r="AR421" s="1158"/>
      <c r="AS421" s="747"/>
      <c r="AT421" s="747"/>
      <c r="AU421" s="909"/>
      <c r="AV421" s="1158"/>
      <c r="AW421" s="747"/>
      <c r="AX421" s="747"/>
      <c r="AY421" s="909"/>
      <c r="AZ421" s="903"/>
      <c r="BA421" s="1129"/>
      <c r="BB421" s="359"/>
      <c r="BC421" s="341">
        <f>SUM(L421:O421)</f>
        <v>0</v>
      </c>
      <c r="BD421" s="341">
        <f>SUM(P421:S421)</f>
        <v>0</v>
      </c>
      <c r="BE421" s="341">
        <f>SUM(T421:W421)</f>
        <v>0</v>
      </c>
      <c r="BF421" s="939">
        <f>SUM(X421:AA421)</f>
        <v>0</v>
      </c>
      <c r="BG421" s="1157"/>
      <c r="BH421" s="877"/>
      <c r="BI421" s="1157"/>
      <c r="BJ421" s="877"/>
      <c r="BK421" s="877"/>
      <c r="BL421" s="877"/>
      <c r="BM421" s="877"/>
      <c r="BN421" s="877"/>
      <c r="BO421" s="1302"/>
    </row>
    <row r="422" spans="1:67" s="353" customFormat="1" ht="14.25" hidden="1" customHeight="1" outlineLevel="2">
      <c r="A422" s="6"/>
      <c r="B422" s="438" t="s">
        <v>350</v>
      </c>
      <c r="C422" s="383"/>
      <c r="D422" s="354"/>
      <c r="E422" s="354"/>
      <c r="F422" s="354"/>
      <c r="G422" s="355"/>
      <c r="H422" s="356"/>
      <c r="I422" s="356"/>
      <c r="J422" s="357"/>
      <c r="K422" s="358"/>
      <c r="L422" s="362">
        <v>0</v>
      </c>
      <c r="M422" s="342">
        <v>0</v>
      </c>
      <c r="N422" s="342">
        <v>0</v>
      </c>
      <c r="O422" s="343">
        <v>0</v>
      </c>
      <c r="P422" s="362">
        <v>0</v>
      </c>
      <c r="Q422" s="342">
        <v>0</v>
      </c>
      <c r="R422" s="342">
        <v>0</v>
      </c>
      <c r="S422" s="343">
        <v>0</v>
      </c>
      <c r="T422" s="362">
        <v>0</v>
      </c>
      <c r="U422" s="342">
        <v>0</v>
      </c>
      <c r="V422" s="72">
        <v>0</v>
      </c>
      <c r="W422" s="343">
        <v>0</v>
      </c>
      <c r="X422" s="362">
        <v>0</v>
      </c>
      <c r="Y422" s="342">
        <v>0</v>
      </c>
      <c r="Z422" s="380">
        <v>0</v>
      </c>
      <c r="AA422" s="381">
        <v>0</v>
      </c>
      <c r="AB422" s="1158"/>
      <c r="AC422" s="747"/>
      <c r="AD422" s="747"/>
      <c r="AE422" s="909"/>
      <c r="AF422" s="1158"/>
      <c r="AG422" s="747"/>
      <c r="AH422" s="747"/>
      <c r="AI422" s="747"/>
      <c r="AJ422" s="1158"/>
      <c r="AK422" s="747"/>
      <c r="AL422" s="747"/>
      <c r="AM422" s="909"/>
      <c r="AN422" s="1158"/>
      <c r="AO422" s="747"/>
      <c r="AP422" s="747"/>
      <c r="AQ422" s="909"/>
      <c r="AR422" s="1158"/>
      <c r="AS422" s="747"/>
      <c r="AT422" s="747"/>
      <c r="AU422" s="909"/>
      <c r="AV422" s="1158"/>
      <c r="AW422" s="747"/>
      <c r="AX422" s="747"/>
      <c r="AY422" s="909"/>
      <c r="AZ422" s="903"/>
      <c r="BA422" s="1129"/>
      <c r="BB422" s="359"/>
      <c r="BC422" s="341">
        <f>SUM(L422:O422)</f>
        <v>0</v>
      </c>
      <c r="BD422" s="341">
        <f>SUM(P422:S422)</f>
        <v>0</v>
      </c>
      <c r="BE422" s="341">
        <f>SUM(T422:W422)</f>
        <v>0</v>
      </c>
      <c r="BF422" s="939">
        <f>SUM(X422:AA422)</f>
        <v>0</v>
      </c>
      <c r="BG422" s="1157"/>
      <c r="BH422" s="877"/>
      <c r="BI422" s="1157"/>
      <c r="BJ422" s="877"/>
      <c r="BK422" s="877"/>
      <c r="BL422" s="877"/>
      <c r="BM422" s="877"/>
      <c r="BN422" s="877"/>
      <c r="BO422" s="1302"/>
    </row>
    <row r="423" spans="1:67" s="353" customFormat="1" ht="14.25" hidden="1" customHeight="1" outlineLevel="2">
      <c r="A423" s="6"/>
      <c r="B423" s="438" t="s">
        <v>351</v>
      </c>
      <c r="C423" s="383"/>
      <c r="D423" s="354"/>
      <c r="E423" s="354"/>
      <c r="F423" s="354"/>
      <c r="G423" s="355"/>
      <c r="H423" s="356"/>
      <c r="I423" s="356"/>
      <c r="J423" s="357"/>
      <c r="K423" s="358"/>
      <c r="L423" s="362">
        <v>0</v>
      </c>
      <c r="M423" s="342">
        <v>0</v>
      </c>
      <c r="N423" s="342">
        <v>0</v>
      </c>
      <c r="O423" s="343">
        <v>0</v>
      </c>
      <c r="P423" s="362">
        <v>0</v>
      </c>
      <c r="Q423" s="342">
        <v>0</v>
      </c>
      <c r="R423" s="342">
        <v>0</v>
      </c>
      <c r="S423" s="343">
        <v>0</v>
      </c>
      <c r="T423" s="362">
        <v>0</v>
      </c>
      <c r="U423" s="342">
        <v>0</v>
      </c>
      <c r="V423" s="72">
        <v>0</v>
      </c>
      <c r="W423" s="343">
        <v>0</v>
      </c>
      <c r="X423" s="362">
        <v>0</v>
      </c>
      <c r="Y423" s="342">
        <v>0</v>
      </c>
      <c r="Z423" s="380">
        <v>0</v>
      </c>
      <c r="AA423" s="381">
        <v>0</v>
      </c>
      <c r="AB423" s="1158"/>
      <c r="AC423" s="747"/>
      <c r="AD423" s="747"/>
      <c r="AE423" s="909"/>
      <c r="AF423" s="1158"/>
      <c r="AG423" s="747"/>
      <c r="AH423" s="747"/>
      <c r="AI423" s="747"/>
      <c r="AJ423" s="1158"/>
      <c r="AK423" s="747"/>
      <c r="AL423" s="747"/>
      <c r="AM423" s="909"/>
      <c r="AN423" s="1158"/>
      <c r="AO423" s="747"/>
      <c r="AP423" s="747"/>
      <c r="AQ423" s="909"/>
      <c r="AR423" s="1158"/>
      <c r="AS423" s="747"/>
      <c r="AT423" s="747"/>
      <c r="AU423" s="909"/>
      <c r="AV423" s="1158"/>
      <c r="AW423" s="747"/>
      <c r="AX423" s="747"/>
      <c r="AY423" s="909"/>
      <c r="AZ423" s="903"/>
      <c r="BA423" s="1129"/>
      <c r="BB423" s="359"/>
      <c r="BC423" s="341">
        <f>SUM(L423:O423)</f>
        <v>0</v>
      </c>
      <c r="BD423" s="341">
        <f>SUM(P423:S423)</f>
        <v>0</v>
      </c>
      <c r="BE423" s="341">
        <f>SUM(T423:W423)</f>
        <v>0</v>
      </c>
      <c r="BF423" s="939">
        <f>SUM(X423:AA423)</f>
        <v>0</v>
      </c>
      <c r="BG423" s="1157"/>
      <c r="BH423" s="877"/>
      <c r="BI423" s="1157"/>
      <c r="BJ423" s="877"/>
      <c r="BK423" s="877"/>
      <c r="BL423" s="877"/>
      <c r="BM423" s="877"/>
      <c r="BN423" s="877"/>
      <c r="BO423" s="1302"/>
    </row>
    <row r="424" spans="1:67" ht="14.25" hidden="1" customHeight="1" outlineLevel="2">
      <c r="A424" s="1"/>
      <c r="B424" s="431"/>
      <c r="C424" s="254"/>
      <c r="D424" s="320"/>
      <c r="E424" s="320"/>
      <c r="F424" s="320"/>
      <c r="G424" s="93"/>
      <c r="H424" s="269"/>
      <c r="I424" s="269"/>
      <c r="J424" s="300"/>
      <c r="K424" s="301"/>
      <c r="L424" s="361"/>
      <c r="M424" s="340"/>
      <c r="N424" s="340"/>
      <c r="O424" s="351"/>
      <c r="P424" s="361"/>
      <c r="Q424" s="340"/>
      <c r="R424" s="340"/>
      <c r="S424" s="351"/>
      <c r="T424" s="361"/>
      <c r="U424" s="340"/>
      <c r="V424" s="348"/>
      <c r="W424" s="351"/>
      <c r="X424" s="361"/>
      <c r="Y424" s="340"/>
      <c r="Z424" s="348"/>
      <c r="AA424" s="349"/>
      <c r="AB424" s="923"/>
      <c r="AC424" s="348"/>
      <c r="AD424" s="348"/>
      <c r="AE424" s="349"/>
      <c r="AF424" s="923"/>
      <c r="AG424" s="348"/>
      <c r="AH424" s="348"/>
      <c r="AI424" s="348"/>
      <c r="AJ424" s="923"/>
      <c r="AK424" s="348"/>
      <c r="AL424" s="348"/>
      <c r="AM424" s="349"/>
      <c r="AN424" s="923"/>
      <c r="AO424" s="348"/>
      <c r="AP424" s="348"/>
      <c r="AQ424" s="349"/>
      <c r="AR424" s="923"/>
      <c r="AS424" s="348"/>
      <c r="AT424" s="348"/>
      <c r="AU424" s="349"/>
      <c r="AV424" s="923"/>
      <c r="AW424" s="348"/>
      <c r="AX424" s="348"/>
      <c r="AY424" s="349"/>
      <c r="AZ424" s="22"/>
      <c r="BA424" s="652"/>
      <c r="BB424" s="317"/>
      <c r="BC424" s="256"/>
      <c r="BD424" s="256"/>
      <c r="BE424" s="256"/>
      <c r="BF424" s="255"/>
      <c r="BG424" s="159"/>
      <c r="BH424" s="1506"/>
      <c r="BI424" s="1607"/>
      <c r="BJ424" s="1603"/>
      <c r="BK424" s="1603"/>
      <c r="BL424" s="1806"/>
      <c r="BM424" s="1806"/>
      <c r="BN424" s="1806"/>
      <c r="BO424" s="461"/>
    </row>
    <row r="425" spans="1:67" s="363" customFormat="1" ht="14.25" hidden="1" customHeight="1" outlineLevel="1">
      <c r="B425" s="436" t="s">
        <v>379</v>
      </c>
      <c r="C425" s="351"/>
      <c r="D425" s="365"/>
      <c r="E425" s="348"/>
      <c r="F425" s="340"/>
      <c r="G425" s="351"/>
      <c r="H425" s="367"/>
      <c r="I425" s="340"/>
      <c r="J425" s="344"/>
      <c r="K425" s="345"/>
      <c r="L425" s="361">
        <f>L413-L419</f>
        <v>4</v>
      </c>
      <c r="M425" s="340">
        <f t="shared" ref="M425:AA425" si="744">M413-M419</f>
        <v>29</v>
      </c>
      <c r="N425" s="340">
        <f t="shared" si="744"/>
        <v>52</v>
      </c>
      <c r="O425" s="351">
        <f t="shared" si="744"/>
        <v>45</v>
      </c>
      <c r="P425" s="348">
        <f t="shared" si="744"/>
        <v>16</v>
      </c>
      <c r="Q425" s="348">
        <f t="shared" si="744"/>
        <v>0</v>
      </c>
      <c r="R425" s="348">
        <f t="shared" si="744"/>
        <v>0</v>
      </c>
      <c r="S425" s="349">
        <f t="shared" si="744"/>
        <v>0</v>
      </c>
      <c r="T425" s="348">
        <f t="shared" si="744"/>
        <v>0</v>
      </c>
      <c r="U425" s="348">
        <f t="shared" si="744"/>
        <v>0</v>
      </c>
      <c r="V425" s="348">
        <f>V413-V419</f>
        <v>0</v>
      </c>
      <c r="W425" s="349">
        <f>W413-W419</f>
        <v>0</v>
      </c>
      <c r="X425" s="348">
        <f>X413-X419</f>
        <v>0</v>
      </c>
      <c r="Y425" s="348">
        <f>Y413-Y419</f>
        <v>0</v>
      </c>
      <c r="Z425" s="348">
        <f t="shared" si="744"/>
        <v>0</v>
      </c>
      <c r="AA425" s="349">
        <f t="shared" si="744"/>
        <v>0</v>
      </c>
      <c r="AB425" s="923"/>
      <c r="AC425" s="348"/>
      <c r="AD425" s="348"/>
      <c r="AE425" s="349"/>
      <c r="AF425" s="923"/>
      <c r="AG425" s="348"/>
      <c r="AH425" s="348"/>
      <c r="AI425" s="348"/>
      <c r="AJ425" s="923"/>
      <c r="AK425" s="348"/>
      <c r="AL425" s="348"/>
      <c r="AM425" s="349"/>
      <c r="AN425" s="923"/>
      <c r="AO425" s="348"/>
      <c r="AP425" s="348"/>
      <c r="AQ425" s="349"/>
      <c r="AR425" s="923"/>
      <c r="AS425" s="348"/>
      <c r="AT425" s="348"/>
      <c r="AU425" s="349"/>
      <c r="AV425" s="923"/>
      <c r="AW425" s="348"/>
      <c r="AX425" s="348"/>
      <c r="AY425" s="349"/>
      <c r="AZ425" s="361"/>
      <c r="BA425" s="361"/>
      <c r="BB425" s="340"/>
      <c r="BC425" s="340">
        <f>SUM(L425:O425)</f>
        <v>130</v>
      </c>
      <c r="BD425" s="340">
        <f>SUM(P425:S425)</f>
        <v>16</v>
      </c>
      <c r="BE425" s="340">
        <f>SUM(T425:W425)</f>
        <v>0</v>
      </c>
      <c r="BF425" s="361">
        <f>SUM(X425:AA425)</f>
        <v>0</v>
      </c>
      <c r="BG425" s="923"/>
      <c r="BH425" s="348"/>
      <c r="BI425" s="923"/>
      <c r="BJ425" s="348"/>
      <c r="BK425" s="348"/>
      <c r="BL425" s="348"/>
      <c r="BM425" s="348"/>
      <c r="BN425" s="348"/>
      <c r="BO425" s="1205"/>
    </row>
    <row r="426" spans="1:67" ht="14.25" hidden="1" customHeight="1" outlineLevel="1">
      <c r="A426" s="1"/>
      <c r="B426" s="431" t="s">
        <v>228</v>
      </c>
      <c r="C426" s="254"/>
      <c r="D426" s="320"/>
      <c r="E426" s="269"/>
      <c r="F426" s="300"/>
      <c r="G426" s="301"/>
      <c r="H426" s="269"/>
      <c r="I426" s="300"/>
      <c r="J426" s="300"/>
      <c r="K426" s="301"/>
      <c r="L426" s="300"/>
      <c r="M426" s="300">
        <f>(M425-L425)/L425</f>
        <v>6.25</v>
      </c>
      <c r="N426" s="300">
        <f>(N425-M425)/M425</f>
        <v>0.7931034482758621</v>
      </c>
      <c r="O426" s="301">
        <f>(O425-N425)/N425</f>
        <v>-0.13461538461538461</v>
      </c>
      <c r="P426" s="300">
        <f>(P425-O425)/O425</f>
        <v>-0.64444444444444449</v>
      </c>
      <c r="Q426" s="300">
        <f t="shared" ref="Q426:AA426" si="745">IF(ISERROR((Q425-P425)/P425),"",(Q425-P425)/P425)</f>
        <v>-1</v>
      </c>
      <c r="R426" s="300" t="str">
        <f t="shared" si="745"/>
        <v/>
      </c>
      <c r="S426" s="301" t="str">
        <f t="shared" si="745"/>
        <v/>
      </c>
      <c r="T426" s="300" t="str">
        <f t="shared" si="745"/>
        <v/>
      </c>
      <c r="U426" s="300" t="str">
        <f t="shared" si="745"/>
        <v/>
      </c>
      <c r="V426" s="269" t="str">
        <f t="shared" si="745"/>
        <v/>
      </c>
      <c r="W426" s="301" t="str">
        <f t="shared" si="745"/>
        <v/>
      </c>
      <c r="X426" s="300" t="str">
        <f t="shared" si="745"/>
        <v/>
      </c>
      <c r="Y426" s="300" t="str">
        <f t="shared" si="745"/>
        <v/>
      </c>
      <c r="Z426" s="300" t="str">
        <f t="shared" si="745"/>
        <v/>
      </c>
      <c r="AA426" s="301" t="str">
        <f t="shared" si="745"/>
        <v/>
      </c>
      <c r="AB426" s="159"/>
      <c r="AC426" s="90"/>
      <c r="AD426" s="90"/>
      <c r="AE426" s="91"/>
      <c r="AF426" s="159"/>
      <c r="AG426" s="90"/>
      <c r="AH426" s="90"/>
      <c r="AI426" s="90"/>
      <c r="AJ426" s="159"/>
      <c r="AK426" s="90"/>
      <c r="AL426" s="90"/>
      <c r="AM426" s="91"/>
      <c r="AN426" s="1607"/>
      <c r="AO426" s="1603"/>
      <c r="AP426" s="1603"/>
      <c r="AQ426" s="1807"/>
      <c r="AR426" s="159"/>
      <c r="AS426" s="1506"/>
      <c r="AT426" s="1506"/>
      <c r="AU426" s="91"/>
      <c r="AV426" s="159"/>
      <c r="AW426" s="1506"/>
      <c r="AX426" s="1506"/>
      <c r="AY426" s="91"/>
      <c r="AZ426" s="22"/>
      <c r="BA426" s="22"/>
      <c r="BB426" s="14"/>
      <c r="BC426" s="256"/>
      <c r="BD426" s="256"/>
      <c r="BE426" s="256"/>
      <c r="BF426" s="255"/>
      <c r="BG426" s="159"/>
      <c r="BH426" s="1506"/>
      <c r="BI426" s="1607"/>
      <c r="BJ426" s="1603"/>
      <c r="BK426" s="1603"/>
      <c r="BL426" s="1806"/>
      <c r="BM426" s="1806"/>
      <c r="BN426" s="1806"/>
      <c r="BO426" s="461"/>
    </row>
    <row r="427" spans="1:67" ht="14.25" hidden="1" customHeight="1" outlineLevel="1">
      <c r="A427" s="1"/>
      <c r="B427" s="435" t="s">
        <v>229</v>
      </c>
      <c r="C427" s="34"/>
      <c r="D427" s="269"/>
      <c r="E427" s="269"/>
      <c r="F427" s="300"/>
      <c r="G427" s="301"/>
      <c r="H427" s="269"/>
      <c r="I427" s="300"/>
      <c r="J427" s="300"/>
      <c r="K427" s="301"/>
      <c r="L427" s="318" t="str">
        <f t="shared" ref="L427:AA427" si="746">IF(ISERROR(L425/H425-1),"",L425/H425-1)</f>
        <v/>
      </c>
      <c r="M427" s="318" t="str">
        <f t="shared" si="746"/>
        <v/>
      </c>
      <c r="N427" s="318" t="str">
        <f t="shared" si="746"/>
        <v/>
      </c>
      <c r="O427" s="339" t="str">
        <f t="shared" si="746"/>
        <v/>
      </c>
      <c r="P427" s="318">
        <f t="shared" si="746"/>
        <v>3</v>
      </c>
      <c r="Q427" s="318">
        <f t="shared" si="746"/>
        <v>-1</v>
      </c>
      <c r="R427" s="318">
        <f t="shared" si="746"/>
        <v>-1</v>
      </c>
      <c r="S427" s="339">
        <f t="shared" si="746"/>
        <v>-1</v>
      </c>
      <c r="T427" s="318">
        <f t="shared" si="746"/>
        <v>-1</v>
      </c>
      <c r="U427" s="318" t="str">
        <f t="shared" si="746"/>
        <v/>
      </c>
      <c r="V427" s="404" t="str">
        <f t="shared" si="746"/>
        <v/>
      </c>
      <c r="W427" s="339" t="str">
        <f t="shared" si="746"/>
        <v/>
      </c>
      <c r="X427" s="318" t="str">
        <f t="shared" si="746"/>
        <v/>
      </c>
      <c r="Y427" s="318" t="str">
        <f t="shared" si="746"/>
        <v/>
      </c>
      <c r="Z427" s="318" t="str">
        <f t="shared" si="746"/>
        <v/>
      </c>
      <c r="AA427" s="339" t="str">
        <f t="shared" si="746"/>
        <v/>
      </c>
      <c r="AB427" s="958"/>
      <c r="AC427" s="420"/>
      <c r="AD427" s="420"/>
      <c r="AE427" s="424"/>
      <c r="AF427" s="958"/>
      <c r="AG427" s="420"/>
      <c r="AH427" s="420"/>
      <c r="AI427" s="420"/>
      <c r="AJ427" s="958"/>
      <c r="AK427" s="420"/>
      <c r="AL427" s="420"/>
      <c r="AM427" s="424"/>
      <c r="AN427" s="958"/>
      <c r="AO427" s="420"/>
      <c r="AP427" s="420"/>
      <c r="AQ427" s="424"/>
      <c r="AR427" s="958"/>
      <c r="AS427" s="420"/>
      <c r="AT427" s="420"/>
      <c r="AU427" s="424"/>
      <c r="AV427" s="958"/>
      <c r="AW427" s="420"/>
      <c r="AX427" s="420"/>
      <c r="AY427" s="424"/>
      <c r="AZ427" s="22"/>
      <c r="BA427" s="652"/>
      <c r="BB427" s="317"/>
      <c r="BC427" s="256"/>
      <c r="BD427" s="256">
        <f>IF(ISERROR(BD425/BC425-1),"",BD425/BC425-1)</f>
        <v>-0.87692307692307692</v>
      </c>
      <c r="BE427" s="256">
        <f>IF(ISERROR(BE425/BD425-1),"",BE425/BD425-1)</f>
        <v>-1</v>
      </c>
      <c r="BF427" s="255" t="str">
        <f>IF(ISERROR(BF425/BE425-1),"",BF425/BE425-1)</f>
        <v/>
      </c>
      <c r="BG427" s="159"/>
      <c r="BH427" s="1506"/>
      <c r="BI427" s="1607"/>
      <c r="BJ427" s="1603"/>
      <c r="BK427" s="1603"/>
      <c r="BL427" s="1806"/>
      <c r="BM427" s="1806"/>
      <c r="BN427" s="1806"/>
      <c r="BO427" s="461"/>
    </row>
    <row r="428" spans="1:67" ht="14.25" hidden="1" customHeight="1" outlineLevel="1">
      <c r="A428" s="1"/>
      <c r="B428" s="435" t="s">
        <v>347</v>
      </c>
      <c r="C428" s="34"/>
      <c r="D428" s="269"/>
      <c r="E428" s="269"/>
      <c r="F428" s="300"/>
      <c r="G428" s="301"/>
      <c r="H428" s="269"/>
      <c r="I428" s="300"/>
      <c r="J428" s="300"/>
      <c r="K428" s="301"/>
      <c r="L428" s="300">
        <f>L425/L$408</f>
        <v>5.1948051948051951E-2</v>
      </c>
      <c r="M428" s="300">
        <f>M425/M$408</f>
        <v>0.26605504587155965</v>
      </c>
      <c r="N428" s="300">
        <f>N425/N$408</f>
        <v>0.38235294117647056</v>
      </c>
      <c r="O428" s="301">
        <f>O425/O$408</f>
        <v>0.34615384615384615</v>
      </c>
      <c r="P428" s="300">
        <f>P425/P$408</f>
        <v>0.34042553191489361</v>
      </c>
      <c r="Q428" s="300" t="str">
        <f t="shared" ref="Q428:AA428" si="747">IF(ISERROR(Q425/Q$408),"",Q425/Q$408)</f>
        <v/>
      </c>
      <c r="R428" s="300" t="str">
        <f t="shared" si="747"/>
        <v/>
      </c>
      <c r="S428" s="301" t="str">
        <f t="shared" si="747"/>
        <v/>
      </c>
      <c r="T428" s="300" t="str">
        <f t="shared" si="747"/>
        <v/>
      </c>
      <c r="U428" s="300" t="str">
        <f t="shared" si="747"/>
        <v/>
      </c>
      <c r="V428" s="269" t="str">
        <f t="shared" si="747"/>
        <v/>
      </c>
      <c r="W428" s="301" t="str">
        <f t="shared" si="747"/>
        <v/>
      </c>
      <c r="X428" s="300" t="str">
        <f t="shared" si="747"/>
        <v/>
      </c>
      <c r="Y428" s="300" t="str">
        <f t="shared" si="747"/>
        <v/>
      </c>
      <c r="Z428" s="300" t="str">
        <f t="shared" si="747"/>
        <v/>
      </c>
      <c r="AA428" s="301" t="str">
        <f t="shared" si="747"/>
        <v/>
      </c>
      <c r="AB428" s="159"/>
      <c r="AC428" s="90"/>
      <c r="AD428" s="90"/>
      <c r="AE428" s="91"/>
      <c r="AF428" s="159"/>
      <c r="AG428" s="90"/>
      <c r="AH428" s="90"/>
      <c r="AI428" s="90"/>
      <c r="AJ428" s="159"/>
      <c r="AK428" s="90"/>
      <c r="AL428" s="90"/>
      <c r="AM428" s="91"/>
      <c r="AN428" s="1607"/>
      <c r="AO428" s="1603"/>
      <c r="AP428" s="1603"/>
      <c r="AQ428" s="1807"/>
      <c r="AR428" s="159"/>
      <c r="AS428" s="1506"/>
      <c r="AT428" s="1506"/>
      <c r="AU428" s="91"/>
      <c r="AV428" s="159"/>
      <c r="AW428" s="1506"/>
      <c r="AX428" s="1506"/>
      <c r="AY428" s="91"/>
      <c r="AZ428" s="22"/>
      <c r="BA428" s="652"/>
      <c r="BB428" s="317"/>
      <c r="BC428" s="256">
        <f>IF(ISERROR(BC425/BC$408),"",BC425/BC$408)</f>
        <v>0.28761061946902655</v>
      </c>
      <c r="BD428" s="256">
        <f>IF(ISERROR(BD425/BD$408),"",BD425/BD$408)</f>
        <v>0.34042553191489361</v>
      </c>
      <c r="BE428" s="256" t="str">
        <f>IF(ISERROR(BE425/BE$408),"",BE425/BE$408)</f>
        <v/>
      </c>
      <c r="BF428" s="255" t="str">
        <f>IF(ISERROR(BF425/BF$408),"",BF425/BF$408)</f>
        <v/>
      </c>
      <c r="BG428" s="159"/>
      <c r="BH428" s="1506"/>
      <c r="BI428" s="1607"/>
      <c r="BJ428" s="1603"/>
      <c r="BK428" s="1603"/>
      <c r="BL428" s="1806"/>
      <c r="BM428" s="1806"/>
      <c r="BN428" s="1806"/>
      <c r="BO428" s="461"/>
    </row>
    <row r="429" spans="1:67" ht="14.25" hidden="1" customHeight="1" outlineLevel="1">
      <c r="A429" s="1"/>
      <c r="B429" s="431" t="s">
        <v>230</v>
      </c>
      <c r="C429" s="254"/>
      <c r="D429" s="320"/>
      <c r="E429" s="320"/>
      <c r="F429" s="320"/>
      <c r="G429" s="93"/>
      <c r="H429" s="269"/>
      <c r="I429" s="269"/>
      <c r="J429" s="300"/>
      <c r="K429" s="301"/>
      <c r="L429" s="300">
        <f t="shared" ref="L429:AA429" si="748">L425/L$501</f>
        <v>6.2015503875968991E-3</v>
      </c>
      <c r="M429" s="300">
        <f t="shared" si="748"/>
        <v>3.5236938031591739E-2</v>
      </c>
      <c r="N429" s="300">
        <f t="shared" si="748"/>
        <v>5.2845528455284556E-2</v>
      </c>
      <c r="O429" s="301">
        <f t="shared" si="748"/>
        <v>4.2174320524835988E-2</v>
      </c>
      <c r="P429" s="300">
        <f t="shared" si="748"/>
        <v>1.4746543778801843E-2</v>
      </c>
      <c r="Q429" s="300">
        <f t="shared" si="748"/>
        <v>0</v>
      </c>
      <c r="R429" s="300">
        <f t="shared" si="748"/>
        <v>0</v>
      </c>
      <c r="S429" s="301">
        <f t="shared" si="748"/>
        <v>0</v>
      </c>
      <c r="T429" s="300">
        <f t="shared" si="748"/>
        <v>0</v>
      </c>
      <c r="U429" s="300">
        <f t="shared" si="748"/>
        <v>0</v>
      </c>
      <c r="V429" s="269">
        <f t="shared" si="748"/>
        <v>0</v>
      </c>
      <c r="W429" s="301">
        <f t="shared" si="748"/>
        <v>0</v>
      </c>
      <c r="X429" s="300">
        <f t="shared" si="748"/>
        <v>0</v>
      </c>
      <c r="Y429" s="300">
        <f t="shared" si="748"/>
        <v>0</v>
      </c>
      <c r="Z429" s="300">
        <f t="shared" si="748"/>
        <v>0</v>
      </c>
      <c r="AA429" s="301">
        <f t="shared" si="748"/>
        <v>0</v>
      </c>
      <c r="AB429" s="159"/>
      <c r="AC429" s="90"/>
      <c r="AD429" s="90"/>
      <c r="AE429" s="91"/>
      <c r="AF429" s="159"/>
      <c r="AG429" s="90"/>
      <c r="AH429" s="90"/>
      <c r="AI429" s="90"/>
      <c r="AJ429" s="159"/>
      <c r="AK429" s="90"/>
      <c r="AL429" s="90"/>
      <c r="AM429" s="91"/>
      <c r="AN429" s="1607"/>
      <c r="AO429" s="1603"/>
      <c r="AP429" s="1603"/>
      <c r="AQ429" s="1807"/>
      <c r="AR429" s="159"/>
      <c r="AS429" s="1506"/>
      <c r="AT429" s="1506"/>
      <c r="AU429" s="91"/>
      <c r="AV429" s="159"/>
      <c r="AW429" s="1506"/>
      <c r="AX429" s="1506"/>
      <c r="AY429" s="91"/>
      <c r="AZ429" s="22"/>
      <c r="BA429" s="652"/>
      <c r="BB429" s="317"/>
      <c r="BC429" s="256">
        <f>BC425/BC$526</f>
        <v>3.6942313157146918E-2</v>
      </c>
      <c r="BD429" s="256">
        <f>BD425/BD$526</f>
        <v>3.6347114947751021E-3</v>
      </c>
      <c r="BE429" s="256">
        <f>BE425/BE$526</f>
        <v>0</v>
      </c>
      <c r="BF429" s="255">
        <f>BF425/BF$526</f>
        <v>0</v>
      </c>
      <c r="BG429" s="159"/>
      <c r="BH429" s="1506"/>
      <c r="BI429" s="1607"/>
      <c r="BJ429" s="1603"/>
      <c r="BK429" s="1603"/>
      <c r="BL429" s="1806"/>
      <c r="BM429" s="1806"/>
      <c r="BN429" s="1806"/>
      <c r="BO429" s="461"/>
    </row>
    <row r="430" spans="1:67" ht="14.25" hidden="1" customHeight="1" outlineLevel="1">
      <c r="A430" s="1"/>
      <c r="B430" s="431"/>
      <c r="C430" s="254"/>
      <c r="D430" s="320"/>
      <c r="E430" s="320"/>
      <c r="F430" s="320"/>
      <c r="G430" s="93"/>
      <c r="H430" s="269"/>
      <c r="I430" s="269"/>
      <c r="J430" s="300"/>
      <c r="K430" s="301"/>
      <c r="L430" s="300"/>
      <c r="M430" s="300"/>
      <c r="N430" s="300"/>
      <c r="O430" s="301"/>
      <c r="P430" s="300"/>
      <c r="Q430" s="300"/>
      <c r="R430" s="300"/>
      <c r="S430" s="301"/>
      <c r="T430" s="300"/>
      <c r="U430" s="300"/>
      <c r="V430" s="269"/>
      <c r="W430" s="301"/>
      <c r="X430" s="300"/>
      <c r="Y430" s="300"/>
      <c r="Z430" s="300"/>
      <c r="AA430" s="301"/>
      <c r="AB430" s="159"/>
      <c r="AC430" s="90"/>
      <c r="AD430" s="90"/>
      <c r="AE430" s="91"/>
      <c r="AF430" s="159"/>
      <c r="AG430" s="90"/>
      <c r="AH430" s="90"/>
      <c r="AI430" s="90"/>
      <c r="AJ430" s="159"/>
      <c r="AK430" s="90"/>
      <c r="AL430" s="90"/>
      <c r="AM430" s="91"/>
      <c r="AN430" s="1607"/>
      <c r="AO430" s="1603"/>
      <c r="AP430" s="1603"/>
      <c r="AQ430" s="1807"/>
      <c r="AR430" s="159"/>
      <c r="AS430" s="1506"/>
      <c r="AT430" s="1506"/>
      <c r="AU430" s="91"/>
      <c r="AV430" s="159"/>
      <c r="AW430" s="1506"/>
      <c r="AX430" s="1506"/>
      <c r="AY430" s="91"/>
      <c r="AZ430" s="22"/>
      <c r="BA430" s="652"/>
      <c r="BB430" s="317"/>
      <c r="BC430" s="256"/>
      <c r="BD430" s="256"/>
      <c r="BE430" s="256"/>
      <c r="BF430" s="255"/>
      <c r="BG430" s="159"/>
      <c r="BH430" s="1506"/>
      <c r="BI430" s="1607"/>
      <c r="BJ430" s="1603"/>
      <c r="BK430" s="1603"/>
      <c r="BL430" s="1806"/>
      <c r="BM430" s="1806"/>
      <c r="BN430" s="1806"/>
      <c r="BO430" s="461"/>
    </row>
    <row r="431" spans="1:67" s="363" customFormat="1" ht="14.25" hidden="1" customHeight="1" outlineLevel="1" collapsed="1">
      <c r="B431" s="436" t="s">
        <v>378</v>
      </c>
      <c r="C431" s="351"/>
      <c r="D431" s="365"/>
      <c r="E431" s="348"/>
      <c r="F431" s="340"/>
      <c r="G431" s="351"/>
      <c r="H431" s="367"/>
      <c r="I431" s="340"/>
      <c r="J431" s="344"/>
      <c r="K431" s="345"/>
      <c r="L431" s="360">
        <v>-76</v>
      </c>
      <c r="M431" s="344">
        <v>-52</v>
      </c>
      <c r="N431" s="344">
        <v>-21</v>
      </c>
      <c r="O431" s="345">
        <v>-112</v>
      </c>
      <c r="P431" s="346">
        <v>-31</v>
      </c>
      <c r="Q431" s="346">
        <v>0</v>
      </c>
      <c r="R431" s="346">
        <v>0</v>
      </c>
      <c r="S431" s="347">
        <v>0</v>
      </c>
      <c r="T431" s="346">
        <v>0</v>
      </c>
      <c r="U431" s="346">
        <v>0</v>
      </c>
      <c r="V431" s="346">
        <v>0</v>
      </c>
      <c r="W431" s="347">
        <v>0</v>
      </c>
      <c r="X431" s="346">
        <v>0</v>
      </c>
      <c r="Y431" s="346">
        <v>0</v>
      </c>
      <c r="Z431" s="348">
        <f>Z434*Z$408</f>
        <v>0</v>
      </c>
      <c r="AA431" s="349">
        <f>AA434*AA$408</f>
        <v>0</v>
      </c>
      <c r="AB431" s="923"/>
      <c r="AC431" s="348"/>
      <c r="AD431" s="348"/>
      <c r="AE431" s="349"/>
      <c r="AF431" s="923"/>
      <c r="AG431" s="348"/>
      <c r="AH431" s="348"/>
      <c r="AI431" s="348"/>
      <c r="AJ431" s="923"/>
      <c r="AK431" s="348"/>
      <c r="AL431" s="348"/>
      <c r="AM431" s="349"/>
      <c r="AN431" s="923"/>
      <c r="AO431" s="348"/>
      <c r="AP431" s="348"/>
      <c r="AQ431" s="349"/>
      <c r="AR431" s="923"/>
      <c r="AS431" s="348"/>
      <c r="AT431" s="348"/>
      <c r="AU431" s="349"/>
      <c r="AV431" s="923"/>
      <c r="AW431" s="348"/>
      <c r="AX431" s="348"/>
      <c r="AY431" s="349"/>
      <c r="AZ431" s="361"/>
      <c r="BA431" s="361"/>
      <c r="BB431" s="340"/>
      <c r="BC431" s="340">
        <f>SUM(L431:O431)</f>
        <v>-261</v>
      </c>
      <c r="BD431" s="340">
        <f>SUM(P431:S431)</f>
        <v>-31</v>
      </c>
      <c r="BE431" s="340">
        <f>SUM(T431:W431)</f>
        <v>0</v>
      </c>
      <c r="BF431" s="361">
        <f>SUM(X431:AA431)</f>
        <v>0</v>
      </c>
      <c r="BG431" s="923"/>
      <c r="BH431" s="348"/>
      <c r="BI431" s="923"/>
      <c r="BJ431" s="348"/>
      <c r="BK431" s="348"/>
      <c r="BL431" s="348"/>
      <c r="BM431" s="348"/>
      <c r="BN431" s="348"/>
      <c r="BO431" s="1205"/>
    </row>
    <row r="432" spans="1:67" ht="14.25" hidden="1" customHeight="1" outlineLevel="1">
      <c r="A432" s="1"/>
      <c r="B432" s="431" t="s">
        <v>228</v>
      </c>
      <c r="C432" s="254"/>
      <c r="D432" s="320"/>
      <c r="E432" s="269"/>
      <c r="F432" s="300"/>
      <c r="G432" s="301"/>
      <c r="H432" s="269"/>
      <c r="I432" s="300"/>
      <c r="J432" s="300"/>
      <c r="K432" s="301"/>
      <c r="L432" s="300"/>
      <c r="M432" s="300">
        <f t="shared" ref="M432:AA432" si="749">IF(ISERROR((M431-L431)/L431),"",(M431-L431)/L431)</f>
        <v>-0.31578947368421051</v>
      </c>
      <c r="N432" s="300">
        <f t="shared" si="749"/>
        <v>-0.59615384615384615</v>
      </c>
      <c r="O432" s="301">
        <f t="shared" si="749"/>
        <v>4.333333333333333</v>
      </c>
      <c r="P432" s="300">
        <f t="shared" si="749"/>
        <v>-0.7232142857142857</v>
      </c>
      <c r="Q432" s="300">
        <f t="shared" si="749"/>
        <v>-1</v>
      </c>
      <c r="R432" s="300" t="str">
        <f t="shared" si="749"/>
        <v/>
      </c>
      <c r="S432" s="301" t="str">
        <f t="shared" si="749"/>
        <v/>
      </c>
      <c r="T432" s="300" t="str">
        <f t="shared" si="749"/>
        <v/>
      </c>
      <c r="U432" s="300" t="str">
        <f t="shared" si="749"/>
        <v/>
      </c>
      <c r="V432" s="269" t="str">
        <f t="shared" si="749"/>
        <v/>
      </c>
      <c r="W432" s="301" t="str">
        <f t="shared" si="749"/>
        <v/>
      </c>
      <c r="X432" s="300" t="str">
        <f t="shared" si="749"/>
        <v/>
      </c>
      <c r="Y432" s="300" t="str">
        <f t="shared" si="749"/>
        <v/>
      </c>
      <c r="Z432" s="300" t="str">
        <f t="shared" si="749"/>
        <v/>
      </c>
      <c r="AA432" s="301" t="str">
        <f t="shared" si="749"/>
        <v/>
      </c>
      <c r="AB432" s="159"/>
      <c r="AC432" s="90"/>
      <c r="AD432" s="90"/>
      <c r="AE432" s="91"/>
      <c r="AF432" s="159"/>
      <c r="AG432" s="90"/>
      <c r="AH432" s="90"/>
      <c r="AI432" s="90"/>
      <c r="AJ432" s="159"/>
      <c r="AK432" s="90"/>
      <c r="AL432" s="90"/>
      <c r="AM432" s="91"/>
      <c r="AN432" s="1607"/>
      <c r="AO432" s="1603"/>
      <c r="AP432" s="1603"/>
      <c r="AQ432" s="1807"/>
      <c r="AR432" s="159"/>
      <c r="AS432" s="1506"/>
      <c r="AT432" s="1506"/>
      <c r="AU432" s="91"/>
      <c r="AV432" s="159"/>
      <c r="AW432" s="1506"/>
      <c r="AX432" s="1506"/>
      <c r="AY432" s="91"/>
      <c r="AZ432" s="22"/>
      <c r="BA432" s="22"/>
      <c r="BB432" s="14"/>
      <c r="BC432" s="256"/>
      <c r="BD432" s="256"/>
      <c r="BE432" s="256"/>
      <c r="BF432" s="255"/>
      <c r="BG432" s="159"/>
      <c r="BH432" s="1506"/>
      <c r="BI432" s="1607"/>
      <c r="BJ432" s="1603"/>
      <c r="BK432" s="1603"/>
      <c r="BL432" s="1806"/>
      <c r="BM432" s="1806"/>
      <c r="BN432" s="1806"/>
      <c r="BO432" s="461"/>
    </row>
    <row r="433" spans="1:67" ht="14.25" hidden="1" customHeight="1" outlineLevel="1">
      <c r="A433" s="1"/>
      <c r="B433" s="435" t="s">
        <v>229</v>
      </c>
      <c r="C433" s="34"/>
      <c r="D433" s="269"/>
      <c r="E433" s="269"/>
      <c r="F433" s="300"/>
      <c r="G433" s="301"/>
      <c r="H433" s="269"/>
      <c r="I433" s="300"/>
      <c r="J433" s="300"/>
      <c r="K433" s="301"/>
      <c r="L433" s="318" t="str">
        <f t="shared" ref="L433:AA433" si="750">IF(ISERROR(L431/H431-1),"",L431/H431-1)</f>
        <v/>
      </c>
      <c r="M433" s="318" t="str">
        <f t="shared" si="750"/>
        <v/>
      </c>
      <c r="N433" s="318" t="str">
        <f t="shared" si="750"/>
        <v/>
      </c>
      <c r="O433" s="339" t="str">
        <f t="shared" si="750"/>
        <v/>
      </c>
      <c r="P433" s="318">
        <f t="shared" si="750"/>
        <v>-0.59210526315789469</v>
      </c>
      <c r="Q433" s="318">
        <f t="shared" si="750"/>
        <v>-1</v>
      </c>
      <c r="R433" s="318">
        <f t="shared" si="750"/>
        <v>-1</v>
      </c>
      <c r="S433" s="339">
        <f t="shared" si="750"/>
        <v>-1</v>
      </c>
      <c r="T433" s="318">
        <f t="shared" si="750"/>
        <v>-1</v>
      </c>
      <c r="U433" s="318" t="str">
        <f t="shared" si="750"/>
        <v/>
      </c>
      <c r="V433" s="404" t="str">
        <f t="shared" si="750"/>
        <v/>
      </c>
      <c r="W433" s="339" t="str">
        <f t="shared" si="750"/>
        <v/>
      </c>
      <c r="X433" s="318" t="str">
        <f t="shared" si="750"/>
        <v/>
      </c>
      <c r="Y433" s="318" t="str">
        <f t="shared" si="750"/>
        <v/>
      </c>
      <c r="Z433" s="318" t="str">
        <f t="shared" si="750"/>
        <v/>
      </c>
      <c r="AA433" s="339" t="str">
        <f t="shared" si="750"/>
        <v/>
      </c>
      <c r="AB433" s="958"/>
      <c r="AC433" s="420"/>
      <c r="AD433" s="420"/>
      <c r="AE433" s="424"/>
      <c r="AF433" s="958"/>
      <c r="AG433" s="420"/>
      <c r="AH433" s="420"/>
      <c r="AI433" s="420"/>
      <c r="AJ433" s="958"/>
      <c r="AK433" s="420"/>
      <c r="AL433" s="420"/>
      <c r="AM433" s="424"/>
      <c r="AN433" s="958"/>
      <c r="AO433" s="420"/>
      <c r="AP433" s="420"/>
      <c r="AQ433" s="424"/>
      <c r="AR433" s="958"/>
      <c r="AS433" s="420"/>
      <c r="AT433" s="420"/>
      <c r="AU433" s="424"/>
      <c r="AV433" s="958"/>
      <c r="AW433" s="420"/>
      <c r="AX433" s="420"/>
      <c r="AY433" s="424"/>
      <c r="AZ433" s="22"/>
      <c r="BA433" s="652"/>
      <c r="BB433" s="317"/>
      <c r="BC433" s="256"/>
      <c r="BD433" s="256">
        <f>IF(ISERROR(BD431/BC431-1),"",BD431/BC431-1)</f>
        <v>-0.88122605363984674</v>
      </c>
      <c r="BE433" s="256">
        <f>IF(ISERROR(BE431/BD431-1),"",BE431/BD431-1)</f>
        <v>-1</v>
      </c>
      <c r="BF433" s="255" t="str">
        <f>IF(ISERROR(BF431/BE431-1),"",BF431/BE431-1)</f>
        <v/>
      </c>
      <c r="BG433" s="159"/>
      <c r="BH433" s="1506"/>
      <c r="BI433" s="1607"/>
      <c r="BJ433" s="1603"/>
      <c r="BK433" s="1603"/>
      <c r="BL433" s="1806"/>
      <c r="BM433" s="1806"/>
      <c r="BN433" s="1806"/>
      <c r="BO433" s="461"/>
    </row>
    <row r="434" spans="1:67" ht="14.25" hidden="1" customHeight="1" outlineLevel="1">
      <c r="A434" s="1"/>
      <c r="B434" s="435" t="s">
        <v>354</v>
      </c>
      <c r="C434" s="34"/>
      <c r="D434" s="269"/>
      <c r="E434" s="269"/>
      <c r="F434" s="300"/>
      <c r="G434" s="301"/>
      <c r="H434" s="269"/>
      <c r="I434" s="300"/>
      <c r="J434" s="300"/>
      <c r="K434" s="301"/>
      <c r="L434" s="300">
        <f>IF(ISERROR(L431/L$408),"",L431/L$408)</f>
        <v>-0.98701298701298701</v>
      </c>
      <c r="M434" s="300">
        <f t="shared" ref="M434:U434" si="751">IF(ISERROR(M431/M$408),"",M431/M$408)</f>
        <v>-0.47706422018348627</v>
      </c>
      <c r="N434" s="300">
        <f t="shared" si="751"/>
        <v>-0.15441176470588236</v>
      </c>
      <c r="O434" s="301">
        <f t="shared" si="751"/>
        <v>-0.86153846153846159</v>
      </c>
      <c r="P434" s="300">
        <f t="shared" si="751"/>
        <v>-0.65957446808510634</v>
      </c>
      <c r="Q434" s="300" t="str">
        <f t="shared" si="751"/>
        <v/>
      </c>
      <c r="R434" s="300" t="str">
        <f t="shared" si="751"/>
        <v/>
      </c>
      <c r="S434" s="301" t="str">
        <f t="shared" si="751"/>
        <v/>
      </c>
      <c r="T434" s="300" t="str">
        <f t="shared" si="751"/>
        <v/>
      </c>
      <c r="U434" s="300" t="str">
        <f t="shared" si="751"/>
        <v/>
      </c>
      <c r="V434" s="269" t="str">
        <f>IF(ISERROR(V431/V$408),"",V431/V$408)</f>
        <v/>
      </c>
      <c r="W434" s="301" t="str">
        <f>IF(ISERROR(W431/W$408),"",W431/W$408)</f>
        <v/>
      </c>
      <c r="X434" s="300" t="str">
        <f>IF(ISERROR(X431/X$408),"",X431/X$408)</f>
        <v/>
      </c>
      <c r="Y434" s="300" t="str">
        <f>IF(ISERROR(Y431/Y$408),"",Y431/Y$408)</f>
        <v/>
      </c>
      <c r="Z434" s="311">
        <v>0</v>
      </c>
      <c r="AA434" s="160">
        <v>0</v>
      </c>
      <c r="AB434" s="94"/>
      <c r="AC434" s="92"/>
      <c r="AD434" s="92"/>
      <c r="AE434" s="93"/>
      <c r="AF434" s="94"/>
      <c r="AG434" s="92"/>
      <c r="AH434" s="92"/>
      <c r="AI434" s="92"/>
      <c r="AJ434" s="94"/>
      <c r="AK434" s="92"/>
      <c r="AL434" s="92"/>
      <c r="AM434" s="93"/>
      <c r="AN434" s="1606"/>
      <c r="AO434" s="1604"/>
      <c r="AP434" s="1604"/>
      <c r="AQ434" s="1605"/>
      <c r="AR434" s="94"/>
      <c r="AS434" s="1518"/>
      <c r="AT434" s="1518"/>
      <c r="AU434" s="1519"/>
      <c r="AV434" s="94"/>
      <c r="AW434" s="1518"/>
      <c r="AX434" s="1518"/>
      <c r="AY434" s="1519"/>
      <c r="AZ434" s="22"/>
      <c r="BA434" s="652"/>
      <c r="BB434" s="317"/>
      <c r="BC434" s="256"/>
      <c r="BD434" s="256"/>
      <c r="BE434" s="256"/>
      <c r="BF434" s="255"/>
      <c r="BG434" s="159"/>
      <c r="BH434" s="1506"/>
      <c r="BI434" s="1607"/>
      <c r="BJ434" s="1603"/>
      <c r="BK434" s="1603"/>
      <c r="BL434" s="1806"/>
      <c r="BM434" s="1806"/>
      <c r="BN434" s="1806"/>
      <c r="BO434" s="461"/>
    </row>
    <row r="435" spans="1:67" ht="14.25" hidden="1" customHeight="1" outlineLevel="1">
      <c r="A435" s="1"/>
      <c r="B435" s="431" t="s">
        <v>230</v>
      </c>
      <c r="C435" s="254"/>
      <c r="D435" s="320"/>
      <c r="E435" s="320"/>
      <c r="F435" s="320"/>
      <c r="G435" s="93"/>
      <c r="H435" s="269"/>
      <c r="I435" s="269"/>
      <c r="J435" s="300"/>
      <c r="K435" s="301"/>
      <c r="L435" s="300">
        <f t="shared" ref="L435:AA435" si="752">L431/L$501</f>
        <v>-0.11782945736434108</v>
      </c>
      <c r="M435" s="300">
        <f t="shared" si="752"/>
        <v>-6.3183475091130009E-2</v>
      </c>
      <c r="N435" s="300">
        <f t="shared" si="752"/>
        <v>-2.1341463414634148E-2</v>
      </c>
      <c r="O435" s="301">
        <f t="shared" si="752"/>
        <v>-0.1049671977507029</v>
      </c>
      <c r="P435" s="300">
        <f t="shared" si="752"/>
        <v>-2.8571428571428571E-2</v>
      </c>
      <c r="Q435" s="300">
        <f t="shared" si="752"/>
        <v>0</v>
      </c>
      <c r="R435" s="300">
        <f t="shared" si="752"/>
        <v>0</v>
      </c>
      <c r="S435" s="301">
        <f t="shared" si="752"/>
        <v>0</v>
      </c>
      <c r="T435" s="300">
        <f t="shared" si="752"/>
        <v>0</v>
      </c>
      <c r="U435" s="300">
        <f t="shared" si="752"/>
        <v>0</v>
      </c>
      <c r="V435" s="269">
        <f t="shared" si="752"/>
        <v>0</v>
      </c>
      <c r="W435" s="301">
        <f t="shared" si="752"/>
        <v>0</v>
      </c>
      <c r="X435" s="300">
        <f t="shared" si="752"/>
        <v>0</v>
      </c>
      <c r="Y435" s="300">
        <f t="shared" si="752"/>
        <v>0</v>
      </c>
      <c r="Z435" s="300">
        <f t="shared" si="752"/>
        <v>0</v>
      </c>
      <c r="AA435" s="301">
        <f t="shared" si="752"/>
        <v>0</v>
      </c>
      <c r="AB435" s="159"/>
      <c r="AC435" s="90"/>
      <c r="AD435" s="90"/>
      <c r="AE435" s="91"/>
      <c r="AF435" s="159"/>
      <c r="AG435" s="90"/>
      <c r="AH435" s="90"/>
      <c r="AI435" s="90"/>
      <c r="AJ435" s="159"/>
      <c r="AK435" s="90"/>
      <c r="AL435" s="90"/>
      <c r="AM435" s="91"/>
      <c r="AN435" s="1607"/>
      <c r="AO435" s="1603"/>
      <c r="AP435" s="1603"/>
      <c r="AQ435" s="1807"/>
      <c r="AR435" s="159"/>
      <c r="AS435" s="1506"/>
      <c r="AT435" s="1506"/>
      <c r="AU435" s="91"/>
      <c r="AV435" s="159"/>
      <c r="AW435" s="1506"/>
      <c r="AX435" s="1506"/>
      <c r="AY435" s="91"/>
      <c r="AZ435" s="22"/>
      <c r="BA435" s="652"/>
      <c r="BB435" s="317"/>
      <c r="BC435" s="256">
        <f>BC431/BC$526</f>
        <v>-7.4168797953964194E-2</v>
      </c>
      <c r="BD435" s="256">
        <f>BD431/BD$526</f>
        <v>-7.0422535211267607E-3</v>
      </c>
      <c r="BE435" s="256">
        <f>BE431/BE$526</f>
        <v>0</v>
      </c>
      <c r="BF435" s="255">
        <f>BF431/BF$526</f>
        <v>0</v>
      </c>
      <c r="BG435" s="159"/>
      <c r="BH435" s="1506"/>
      <c r="BI435" s="1607"/>
      <c r="BJ435" s="1603"/>
      <c r="BK435" s="1603"/>
      <c r="BL435" s="1806"/>
      <c r="BM435" s="1806"/>
      <c r="BN435" s="1806"/>
      <c r="BO435" s="461"/>
    </row>
    <row r="436" spans="1:67" ht="14.25" hidden="1" customHeight="1" outlineLevel="1">
      <c r="A436" s="1"/>
      <c r="B436" s="431"/>
      <c r="C436" s="254"/>
      <c r="D436" s="320"/>
      <c r="E436" s="320"/>
      <c r="F436" s="320"/>
      <c r="G436" s="93"/>
      <c r="H436" s="269"/>
      <c r="I436" s="269"/>
      <c r="J436" s="300"/>
      <c r="K436" s="301"/>
      <c r="L436" s="255"/>
      <c r="M436" s="300"/>
      <c r="N436" s="300"/>
      <c r="O436" s="301"/>
      <c r="P436" s="300"/>
      <c r="Q436" s="300"/>
      <c r="R436" s="300"/>
      <c r="S436" s="301"/>
      <c r="T436" s="300"/>
      <c r="U436" s="300"/>
      <c r="V436" s="269"/>
      <c r="W436" s="301"/>
      <c r="X436" s="300"/>
      <c r="Y436" s="300"/>
      <c r="Z436" s="300"/>
      <c r="AA436" s="301"/>
      <c r="AB436" s="159"/>
      <c r="AC436" s="90"/>
      <c r="AD436" s="90"/>
      <c r="AE436" s="91"/>
      <c r="AF436" s="159"/>
      <c r="AG436" s="90"/>
      <c r="AH436" s="90"/>
      <c r="AI436" s="90"/>
      <c r="AJ436" s="159"/>
      <c r="AK436" s="90"/>
      <c r="AL436" s="90"/>
      <c r="AM436" s="91"/>
      <c r="AN436" s="1607"/>
      <c r="AO436" s="1603"/>
      <c r="AP436" s="1603"/>
      <c r="AQ436" s="1807"/>
      <c r="AR436" s="159"/>
      <c r="AS436" s="1506"/>
      <c r="AT436" s="1506"/>
      <c r="AU436" s="91"/>
      <c r="AV436" s="159"/>
      <c r="AW436" s="1506"/>
      <c r="AX436" s="1506"/>
      <c r="AY436" s="91"/>
      <c r="AZ436" s="22"/>
      <c r="BA436" s="652"/>
      <c r="BB436" s="317"/>
      <c r="BC436" s="256"/>
      <c r="BD436" s="256"/>
      <c r="BE436" s="256"/>
      <c r="BF436" s="255"/>
      <c r="BG436" s="159"/>
      <c r="BH436" s="1506"/>
      <c r="BI436" s="1607"/>
      <c r="BJ436" s="1603"/>
      <c r="BK436" s="1603"/>
      <c r="BL436" s="1806"/>
      <c r="BM436" s="1806"/>
      <c r="BN436" s="1806"/>
      <c r="BO436" s="461"/>
    </row>
    <row r="437" spans="1:67" s="363" customFormat="1" ht="14.25" hidden="1" customHeight="1" outlineLevel="2">
      <c r="B437" s="436" t="s">
        <v>377</v>
      </c>
      <c r="C437" s="382"/>
      <c r="D437" s="365"/>
      <c r="E437" s="365"/>
      <c r="F437" s="365"/>
      <c r="G437" s="366"/>
      <c r="H437" s="367"/>
      <c r="I437" s="367"/>
      <c r="J437" s="368"/>
      <c r="K437" s="369"/>
      <c r="L437" s="361">
        <f t="shared" ref="L437:AA437" si="753">SUM(L438:L441)</f>
        <v>-5</v>
      </c>
      <c r="M437" s="340">
        <f t="shared" si="753"/>
        <v>-6</v>
      </c>
      <c r="N437" s="340">
        <f t="shared" si="753"/>
        <v>-4</v>
      </c>
      <c r="O437" s="351">
        <f t="shared" si="753"/>
        <v>-78</v>
      </c>
      <c r="P437" s="348">
        <f t="shared" si="753"/>
        <v>-30</v>
      </c>
      <c r="Q437" s="348">
        <f t="shared" si="753"/>
        <v>0</v>
      </c>
      <c r="R437" s="348">
        <f t="shared" si="753"/>
        <v>0</v>
      </c>
      <c r="S437" s="349">
        <f t="shared" si="753"/>
        <v>0</v>
      </c>
      <c r="T437" s="348">
        <f t="shared" si="753"/>
        <v>0</v>
      </c>
      <c r="U437" s="348">
        <f t="shared" si="753"/>
        <v>0</v>
      </c>
      <c r="V437" s="348">
        <f t="shared" si="753"/>
        <v>0</v>
      </c>
      <c r="W437" s="349">
        <f t="shared" si="753"/>
        <v>0</v>
      </c>
      <c r="X437" s="348">
        <f t="shared" si="753"/>
        <v>0</v>
      </c>
      <c r="Y437" s="348">
        <f t="shared" si="753"/>
        <v>0</v>
      </c>
      <c r="Z437" s="348">
        <f t="shared" si="753"/>
        <v>0</v>
      </c>
      <c r="AA437" s="349">
        <f t="shared" si="753"/>
        <v>0</v>
      </c>
      <c r="AB437" s="923"/>
      <c r="AC437" s="348"/>
      <c r="AD437" s="348"/>
      <c r="AE437" s="349"/>
      <c r="AF437" s="923"/>
      <c r="AG437" s="348"/>
      <c r="AH437" s="348"/>
      <c r="AI437" s="348"/>
      <c r="AJ437" s="923"/>
      <c r="AK437" s="348"/>
      <c r="AL437" s="348"/>
      <c r="AM437" s="349"/>
      <c r="AN437" s="923"/>
      <c r="AO437" s="348"/>
      <c r="AP437" s="348"/>
      <c r="AQ437" s="349"/>
      <c r="AR437" s="923"/>
      <c r="AS437" s="348"/>
      <c r="AT437" s="348"/>
      <c r="AU437" s="349"/>
      <c r="AV437" s="923"/>
      <c r="AW437" s="348"/>
      <c r="AX437" s="348"/>
      <c r="AY437" s="349"/>
      <c r="AZ437" s="361"/>
      <c r="BA437" s="1124"/>
      <c r="BB437" s="372"/>
      <c r="BC437" s="340">
        <f>SUM(L437:O437)</f>
        <v>-93</v>
      </c>
      <c r="BD437" s="340">
        <f>SUM(P437:S437)</f>
        <v>-30</v>
      </c>
      <c r="BE437" s="340">
        <f>SUM(T437:W437)</f>
        <v>0</v>
      </c>
      <c r="BF437" s="361">
        <f>SUM(X437:AA437)</f>
        <v>0</v>
      </c>
      <c r="BG437" s="923"/>
      <c r="BH437" s="348"/>
      <c r="BI437" s="923"/>
      <c r="BJ437" s="348"/>
      <c r="BK437" s="348"/>
      <c r="BL437" s="348"/>
      <c r="BM437" s="348"/>
      <c r="BN437" s="348"/>
      <c r="BO437" s="1205"/>
    </row>
    <row r="438" spans="1:67" s="353" customFormat="1" ht="14.25" hidden="1" customHeight="1" outlineLevel="2">
      <c r="A438" s="6"/>
      <c r="B438" s="437" t="s">
        <v>348</v>
      </c>
      <c r="C438" s="383"/>
      <c r="D438" s="354"/>
      <c r="E438" s="354"/>
      <c r="F438" s="354"/>
      <c r="G438" s="355"/>
      <c r="H438" s="356"/>
      <c r="I438" s="356"/>
      <c r="J438" s="357"/>
      <c r="K438" s="358"/>
      <c r="L438" s="362">
        <v>-3</v>
      </c>
      <c r="M438" s="342">
        <v>0</v>
      </c>
      <c r="N438" s="342">
        <v>-2</v>
      </c>
      <c r="O438" s="343">
        <v>-2</v>
      </c>
      <c r="P438" s="72">
        <v>0</v>
      </c>
      <c r="Q438" s="348">
        <f t="shared" ref="Q438:Y438" si="754">SUM(Q439:Q442)</f>
        <v>0</v>
      </c>
      <c r="R438" s="348">
        <f t="shared" si="754"/>
        <v>0</v>
      </c>
      <c r="S438" s="349">
        <f t="shared" si="754"/>
        <v>0</v>
      </c>
      <c r="T438" s="348">
        <f t="shared" si="754"/>
        <v>0</v>
      </c>
      <c r="U438" s="348">
        <f t="shared" si="754"/>
        <v>0</v>
      </c>
      <c r="V438" s="348">
        <f t="shared" si="754"/>
        <v>0</v>
      </c>
      <c r="W438" s="349">
        <f t="shared" si="754"/>
        <v>0</v>
      </c>
      <c r="X438" s="348">
        <f t="shared" si="754"/>
        <v>0</v>
      </c>
      <c r="Y438" s="348">
        <f t="shared" si="754"/>
        <v>0</v>
      </c>
      <c r="Z438" s="380">
        <v>0</v>
      </c>
      <c r="AA438" s="381">
        <v>0</v>
      </c>
      <c r="AB438" s="1158"/>
      <c r="AC438" s="747"/>
      <c r="AD438" s="747"/>
      <c r="AE438" s="909"/>
      <c r="AF438" s="1158"/>
      <c r="AG438" s="747"/>
      <c r="AH438" s="747"/>
      <c r="AI438" s="747"/>
      <c r="AJ438" s="1158"/>
      <c r="AK438" s="747"/>
      <c r="AL438" s="747"/>
      <c r="AM438" s="909"/>
      <c r="AN438" s="1158"/>
      <c r="AO438" s="747"/>
      <c r="AP438" s="747"/>
      <c r="AQ438" s="909"/>
      <c r="AR438" s="1158"/>
      <c r="AS438" s="747"/>
      <c r="AT438" s="747"/>
      <c r="AU438" s="909"/>
      <c r="AV438" s="1158"/>
      <c r="AW438" s="747"/>
      <c r="AX438" s="747"/>
      <c r="AY438" s="909"/>
      <c r="AZ438" s="903"/>
      <c r="BA438" s="1129"/>
      <c r="BB438" s="359"/>
      <c r="BC438" s="341">
        <f>SUM(L438:O438)</f>
        <v>-7</v>
      </c>
      <c r="BD438" s="341">
        <f>SUM(P438:S438)</f>
        <v>0</v>
      </c>
      <c r="BE438" s="341">
        <f>SUM(T438:W438)</f>
        <v>0</v>
      </c>
      <c r="BF438" s="939">
        <f>SUM(X438:AA438)</f>
        <v>0</v>
      </c>
      <c r="BG438" s="1157"/>
      <c r="BH438" s="877"/>
      <c r="BI438" s="1157"/>
      <c r="BJ438" s="877"/>
      <c r="BK438" s="877"/>
      <c r="BL438" s="877"/>
      <c r="BM438" s="877"/>
      <c r="BN438" s="877"/>
      <c r="BO438" s="1302"/>
    </row>
    <row r="439" spans="1:67" s="353" customFormat="1" ht="14.25" hidden="1" customHeight="1" outlineLevel="2">
      <c r="A439" s="6"/>
      <c r="B439" s="438" t="s">
        <v>349</v>
      </c>
      <c r="C439" s="383"/>
      <c r="D439" s="354"/>
      <c r="E439" s="354"/>
      <c r="F439" s="354"/>
      <c r="G439" s="355"/>
      <c r="H439" s="356"/>
      <c r="I439" s="356"/>
      <c r="J439" s="357"/>
      <c r="K439" s="358"/>
      <c r="L439" s="362">
        <v>-1</v>
      </c>
      <c r="M439" s="342">
        <v>-6</v>
      </c>
      <c r="N439" s="342">
        <v>0</v>
      </c>
      <c r="O439" s="343">
        <v>-12</v>
      </c>
      <c r="P439" s="72">
        <v>-4</v>
      </c>
      <c r="Q439" s="342">
        <v>0</v>
      </c>
      <c r="R439" s="342">
        <v>0</v>
      </c>
      <c r="S439" s="343">
        <v>0</v>
      </c>
      <c r="T439" s="362">
        <v>0</v>
      </c>
      <c r="U439" s="342">
        <v>0</v>
      </c>
      <c r="V439" s="72">
        <v>0</v>
      </c>
      <c r="W439" s="343">
        <v>0</v>
      </c>
      <c r="X439" s="362">
        <v>0</v>
      </c>
      <c r="Y439" s="342">
        <v>0</v>
      </c>
      <c r="Z439" s="380">
        <v>0</v>
      </c>
      <c r="AA439" s="381">
        <v>0</v>
      </c>
      <c r="AB439" s="1158"/>
      <c r="AC439" s="747"/>
      <c r="AD439" s="747"/>
      <c r="AE439" s="909"/>
      <c r="AF439" s="1158"/>
      <c r="AG439" s="747"/>
      <c r="AH439" s="747"/>
      <c r="AI439" s="747"/>
      <c r="AJ439" s="1158"/>
      <c r="AK439" s="747"/>
      <c r="AL439" s="747"/>
      <c r="AM439" s="909"/>
      <c r="AN439" s="1158"/>
      <c r="AO439" s="747"/>
      <c r="AP439" s="747"/>
      <c r="AQ439" s="909"/>
      <c r="AR439" s="1158"/>
      <c r="AS439" s="747"/>
      <c r="AT439" s="747"/>
      <c r="AU439" s="909"/>
      <c r="AV439" s="1158"/>
      <c r="AW439" s="747"/>
      <c r="AX439" s="747"/>
      <c r="AY439" s="909"/>
      <c r="AZ439" s="903"/>
      <c r="BA439" s="1129"/>
      <c r="BB439" s="359"/>
      <c r="BC439" s="341">
        <f>SUM(L439:O439)</f>
        <v>-19</v>
      </c>
      <c r="BD439" s="341">
        <f>SUM(P439:S439)</f>
        <v>-4</v>
      </c>
      <c r="BE439" s="341">
        <f>SUM(T439:W439)</f>
        <v>0</v>
      </c>
      <c r="BF439" s="939">
        <f>SUM(X439:AA439)</f>
        <v>0</v>
      </c>
      <c r="BG439" s="1157"/>
      <c r="BH439" s="877"/>
      <c r="BI439" s="1157"/>
      <c r="BJ439" s="877"/>
      <c r="BK439" s="877"/>
      <c r="BL439" s="877"/>
      <c r="BM439" s="877"/>
      <c r="BN439" s="877"/>
      <c r="BO439" s="1302"/>
    </row>
    <row r="440" spans="1:67" s="353" customFormat="1" ht="14.25" hidden="1" customHeight="1" outlineLevel="2">
      <c r="A440" s="6"/>
      <c r="B440" s="438" t="s">
        <v>350</v>
      </c>
      <c r="C440" s="383"/>
      <c r="D440" s="354"/>
      <c r="E440" s="354"/>
      <c r="F440" s="354"/>
      <c r="G440" s="355"/>
      <c r="H440" s="356"/>
      <c r="I440" s="356"/>
      <c r="J440" s="357"/>
      <c r="K440" s="358"/>
      <c r="L440" s="362">
        <v>-1</v>
      </c>
      <c r="M440" s="342">
        <v>0</v>
      </c>
      <c r="N440" s="342">
        <v>-2</v>
      </c>
      <c r="O440" s="343">
        <v>5</v>
      </c>
      <c r="P440" s="72">
        <v>-26</v>
      </c>
      <c r="Q440" s="342">
        <v>0</v>
      </c>
      <c r="R440" s="342">
        <v>0</v>
      </c>
      <c r="S440" s="343">
        <v>0</v>
      </c>
      <c r="T440" s="362">
        <v>0</v>
      </c>
      <c r="U440" s="342">
        <v>0</v>
      </c>
      <c r="V440" s="72">
        <v>0</v>
      </c>
      <c r="W440" s="343">
        <v>0</v>
      </c>
      <c r="X440" s="362">
        <v>0</v>
      </c>
      <c r="Y440" s="342">
        <v>0</v>
      </c>
      <c r="Z440" s="380">
        <v>0</v>
      </c>
      <c r="AA440" s="381">
        <v>0</v>
      </c>
      <c r="AB440" s="1158"/>
      <c r="AC440" s="747"/>
      <c r="AD440" s="747"/>
      <c r="AE440" s="909"/>
      <c r="AF440" s="1158"/>
      <c r="AG440" s="747"/>
      <c r="AH440" s="747"/>
      <c r="AI440" s="747"/>
      <c r="AJ440" s="1158"/>
      <c r="AK440" s="747"/>
      <c r="AL440" s="747"/>
      <c r="AM440" s="909"/>
      <c r="AN440" s="1158"/>
      <c r="AO440" s="747"/>
      <c r="AP440" s="747"/>
      <c r="AQ440" s="909"/>
      <c r="AR440" s="1158"/>
      <c r="AS440" s="747"/>
      <c r="AT440" s="747"/>
      <c r="AU440" s="909"/>
      <c r="AV440" s="1158"/>
      <c r="AW440" s="747"/>
      <c r="AX440" s="747"/>
      <c r="AY440" s="909"/>
      <c r="AZ440" s="903"/>
      <c r="BA440" s="1129"/>
      <c r="BB440" s="359"/>
      <c r="BC440" s="341">
        <f>SUM(L440:O440)</f>
        <v>2</v>
      </c>
      <c r="BD440" s="341">
        <f>SUM(P440:S440)</f>
        <v>-26</v>
      </c>
      <c r="BE440" s="341">
        <f>SUM(T440:W440)</f>
        <v>0</v>
      </c>
      <c r="BF440" s="939">
        <f>SUM(X440:AA440)</f>
        <v>0</v>
      </c>
      <c r="BG440" s="1157"/>
      <c r="BH440" s="877"/>
      <c r="BI440" s="1157"/>
      <c r="BJ440" s="877"/>
      <c r="BK440" s="877"/>
      <c r="BL440" s="877"/>
      <c r="BM440" s="877"/>
      <c r="BN440" s="877"/>
      <c r="BO440" s="1302"/>
    </row>
    <row r="441" spans="1:67" s="353" customFormat="1" ht="14.25" hidden="1" customHeight="1" outlineLevel="2">
      <c r="A441" s="6"/>
      <c r="B441" s="438" t="s">
        <v>351</v>
      </c>
      <c r="C441" s="383"/>
      <c r="D441" s="354"/>
      <c r="E441" s="354"/>
      <c r="F441" s="354"/>
      <c r="G441" s="355"/>
      <c r="H441" s="356"/>
      <c r="I441" s="356"/>
      <c r="J441" s="357"/>
      <c r="K441" s="358"/>
      <c r="L441" s="362">
        <v>0</v>
      </c>
      <c r="M441" s="342">
        <v>0</v>
      </c>
      <c r="N441" s="342">
        <v>0</v>
      </c>
      <c r="O441" s="343">
        <v>-69</v>
      </c>
      <c r="P441" s="72">
        <v>0</v>
      </c>
      <c r="Q441" s="342">
        <v>0</v>
      </c>
      <c r="R441" s="342">
        <v>0</v>
      </c>
      <c r="S441" s="343">
        <v>0</v>
      </c>
      <c r="T441" s="362">
        <v>0</v>
      </c>
      <c r="U441" s="342">
        <v>0</v>
      </c>
      <c r="V441" s="72">
        <v>0</v>
      </c>
      <c r="W441" s="343">
        <v>0</v>
      </c>
      <c r="X441" s="362">
        <v>0</v>
      </c>
      <c r="Y441" s="342">
        <v>0</v>
      </c>
      <c r="Z441" s="380">
        <v>0</v>
      </c>
      <c r="AA441" s="381">
        <v>0</v>
      </c>
      <c r="AB441" s="1158"/>
      <c r="AC441" s="747"/>
      <c r="AD441" s="747"/>
      <c r="AE441" s="909"/>
      <c r="AF441" s="1158"/>
      <c r="AG441" s="747"/>
      <c r="AH441" s="747"/>
      <c r="AI441" s="747"/>
      <c r="AJ441" s="1158"/>
      <c r="AK441" s="747"/>
      <c r="AL441" s="747"/>
      <c r="AM441" s="909"/>
      <c r="AN441" s="1158"/>
      <c r="AO441" s="747"/>
      <c r="AP441" s="747"/>
      <c r="AQ441" s="909"/>
      <c r="AR441" s="1158"/>
      <c r="AS441" s="747"/>
      <c r="AT441" s="747"/>
      <c r="AU441" s="909"/>
      <c r="AV441" s="1158"/>
      <c r="AW441" s="747"/>
      <c r="AX441" s="747"/>
      <c r="AY441" s="909"/>
      <c r="AZ441" s="903"/>
      <c r="BA441" s="1129"/>
      <c r="BB441" s="359"/>
      <c r="BC441" s="341">
        <f>SUM(L441:O441)</f>
        <v>-69</v>
      </c>
      <c r="BD441" s="341">
        <f>SUM(P441:S441)</f>
        <v>0</v>
      </c>
      <c r="BE441" s="341">
        <f>SUM(T441:W441)</f>
        <v>0</v>
      </c>
      <c r="BF441" s="939">
        <f>SUM(X441:AA441)</f>
        <v>0</v>
      </c>
      <c r="BG441" s="1157"/>
      <c r="BH441" s="877"/>
      <c r="BI441" s="1157"/>
      <c r="BJ441" s="877"/>
      <c r="BK441" s="877"/>
      <c r="BL441" s="877"/>
      <c r="BM441" s="877"/>
      <c r="BN441" s="877"/>
      <c r="BO441" s="1302"/>
    </row>
    <row r="442" spans="1:67" ht="14.25" hidden="1" customHeight="1" outlineLevel="2">
      <c r="A442" s="1"/>
      <c r="B442" s="431"/>
      <c r="C442" s="254"/>
      <c r="D442" s="320"/>
      <c r="E442" s="320"/>
      <c r="F442" s="320"/>
      <c r="G442" s="93"/>
      <c r="H442" s="269"/>
      <c r="I442" s="269"/>
      <c r="J442" s="300"/>
      <c r="K442" s="301"/>
      <c r="L442" s="361"/>
      <c r="M442" s="340"/>
      <c r="N442" s="340"/>
      <c r="O442" s="351"/>
      <c r="P442" s="361"/>
      <c r="Q442" s="342"/>
      <c r="R442" s="342"/>
      <c r="S442" s="343"/>
      <c r="T442" s="362"/>
      <c r="U442" s="342"/>
      <c r="V442" s="72"/>
      <c r="W442" s="343"/>
      <c r="X442" s="362"/>
      <c r="Y442" s="342"/>
      <c r="Z442" s="300"/>
      <c r="AA442" s="301"/>
      <c r="AB442" s="159"/>
      <c r="AC442" s="90"/>
      <c r="AD442" s="90"/>
      <c r="AE442" s="91"/>
      <c r="AF442" s="159"/>
      <c r="AG442" s="90"/>
      <c r="AH442" s="90"/>
      <c r="AI442" s="90"/>
      <c r="AJ442" s="159"/>
      <c r="AK442" s="90"/>
      <c r="AL442" s="90"/>
      <c r="AM442" s="91"/>
      <c r="AN442" s="1607"/>
      <c r="AO442" s="1603"/>
      <c r="AP442" s="1603"/>
      <c r="AQ442" s="1807"/>
      <c r="AR442" s="159"/>
      <c r="AS442" s="1506"/>
      <c r="AT442" s="1506"/>
      <c r="AU442" s="91"/>
      <c r="AV442" s="159"/>
      <c r="AW442" s="1506"/>
      <c r="AX442" s="1506"/>
      <c r="AY442" s="91"/>
      <c r="AZ442" s="22"/>
      <c r="BA442" s="652"/>
      <c r="BB442" s="317"/>
      <c r="BC442" s="256"/>
      <c r="BD442" s="256"/>
      <c r="BE442" s="256"/>
      <c r="BF442" s="255"/>
      <c r="BG442" s="159"/>
      <c r="BH442" s="1506"/>
      <c r="BI442" s="1607"/>
      <c r="BJ442" s="1603"/>
      <c r="BK442" s="1603"/>
      <c r="BL442" s="1806"/>
      <c r="BM442" s="1806"/>
      <c r="BN442" s="1806"/>
      <c r="BO442" s="461"/>
    </row>
    <row r="443" spans="1:67" s="363" customFormat="1" ht="14.25" hidden="1" customHeight="1" outlineLevel="1">
      <c r="B443" s="436" t="s">
        <v>376</v>
      </c>
      <c r="C443" s="351"/>
      <c r="D443" s="365"/>
      <c r="E443" s="348"/>
      <c r="F443" s="340"/>
      <c r="G443" s="351"/>
      <c r="H443" s="367"/>
      <c r="I443" s="340"/>
      <c r="J443" s="344"/>
      <c r="K443" s="345"/>
      <c r="L443" s="361">
        <f>L431-L437</f>
        <v>-71</v>
      </c>
      <c r="M443" s="340">
        <f t="shared" ref="M443:AA443" si="755">M431-M437</f>
        <v>-46</v>
      </c>
      <c r="N443" s="340">
        <f t="shared" si="755"/>
        <v>-17</v>
      </c>
      <c r="O443" s="351">
        <f t="shared" si="755"/>
        <v>-34</v>
      </c>
      <c r="P443" s="348">
        <f t="shared" si="755"/>
        <v>-1</v>
      </c>
      <c r="Q443" s="348">
        <f t="shared" si="755"/>
        <v>0</v>
      </c>
      <c r="R443" s="348">
        <f t="shared" si="755"/>
        <v>0</v>
      </c>
      <c r="S443" s="349">
        <f t="shared" si="755"/>
        <v>0</v>
      </c>
      <c r="T443" s="348">
        <f t="shared" si="755"/>
        <v>0</v>
      </c>
      <c r="U443" s="348">
        <f t="shared" si="755"/>
        <v>0</v>
      </c>
      <c r="V443" s="348">
        <f>V431-V437</f>
        <v>0</v>
      </c>
      <c r="W443" s="349">
        <f>W431-W437</f>
        <v>0</v>
      </c>
      <c r="X443" s="348">
        <f>X431-X437</f>
        <v>0</v>
      </c>
      <c r="Y443" s="348">
        <f>Y431-Y437</f>
        <v>0</v>
      </c>
      <c r="Z443" s="348">
        <f t="shared" si="755"/>
        <v>0</v>
      </c>
      <c r="AA443" s="349">
        <f t="shared" si="755"/>
        <v>0</v>
      </c>
      <c r="AB443" s="923"/>
      <c r="AC443" s="348"/>
      <c r="AD443" s="348"/>
      <c r="AE443" s="349"/>
      <c r="AF443" s="923"/>
      <c r="AG443" s="348"/>
      <c r="AH443" s="348"/>
      <c r="AI443" s="348"/>
      <c r="AJ443" s="923"/>
      <c r="AK443" s="348"/>
      <c r="AL443" s="348"/>
      <c r="AM443" s="349"/>
      <c r="AN443" s="923"/>
      <c r="AO443" s="348"/>
      <c r="AP443" s="348"/>
      <c r="AQ443" s="349"/>
      <c r="AR443" s="923"/>
      <c r="AS443" s="348"/>
      <c r="AT443" s="348"/>
      <c r="AU443" s="349"/>
      <c r="AV443" s="923"/>
      <c r="AW443" s="348"/>
      <c r="AX443" s="348"/>
      <c r="AY443" s="349"/>
      <c r="AZ443" s="361"/>
      <c r="BA443" s="361"/>
      <c r="BB443" s="340"/>
      <c r="BC443" s="340">
        <f>SUM(L443:O443)</f>
        <v>-168</v>
      </c>
      <c r="BD443" s="340">
        <f>SUM(P443:S443)</f>
        <v>-1</v>
      </c>
      <c r="BE443" s="340">
        <f>SUM(T443:W443)</f>
        <v>0</v>
      </c>
      <c r="BF443" s="361">
        <f>SUM(X443:AA443)</f>
        <v>0</v>
      </c>
      <c r="BG443" s="923"/>
      <c r="BH443" s="348"/>
      <c r="BI443" s="923"/>
      <c r="BJ443" s="348"/>
      <c r="BK443" s="348"/>
      <c r="BL443" s="348"/>
      <c r="BM443" s="348"/>
      <c r="BN443" s="348"/>
      <c r="BO443" s="1205"/>
    </row>
    <row r="444" spans="1:67" ht="14.25" hidden="1" customHeight="1" outlineLevel="1">
      <c r="A444" s="1"/>
      <c r="B444" s="431" t="s">
        <v>228</v>
      </c>
      <c r="C444" s="254"/>
      <c r="D444" s="320"/>
      <c r="E444" s="269"/>
      <c r="F444" s="300"/>
      <c r="G444" s="301"/>
      <c r="H444" s="269"/>
      <c r="I444" s="300"/>
      <c r="J444" s="300"/>
      <c r="K444" s="301"/>
      <c r="L444" s="300"/>
      <c r="M444" s="300">
        <f>IF(ISERROR((M443-L443)/L443),"",(M443-L443)/L443)</f>
        <v>-0.352112676056338</v>
      </c>
      <c r="N444" s="300">
        <f t="shared" ref="N444:AA444" si="756">IF(ISERROR((N443-M443)/M443),"",(N443-M443)/M443)</f>
        <v>-0.63043478260869568</v>
      </c>
      <c r="O444" s="301">
        <f t="shared" si="756"/>
        <v>1</v>
      </c>
      <c r="P444" s="300">
        <f t="shared" si="756"/>
        <v>-0.97058823529411764</v>
      </c>
      <c r="Q444" s="300">
        <f t="shared" si="756"/>
        <v>-1</v>
      </c>
      <c r="R444" s="300" t="str">
        <f t="shared" si="756"/>
        <v/>
      </c>
      <c r="S444" s="301" t="str">
        <f t="shared" si="756"/>
        <v/>
      </c>
      <c r="T444" s="300" t="str">
        <f t="shared" si="756"/>
        <v/>
      </c>
      <c r="U444" s="300" t="str">
        <f t="shared" si="756"/>
        <v/>
      </c>
      <c r="V444" s="300" t="str">
        <f t="shared" si="756"/>
        <v/>
      </c>
      <c r="W444" s="301" t="str">
        <f t="shared" si="756"/>
        <v/>
      </c>
      <c r="X444" s="300" t="str">
        <f t="shared" si="756"/>
        <v/>
      </c>
      <c r="Y444" s="300" t="str">
        <f t="shared" si="756"/>
        <v/>
      </c>
      <c r="Z444" s="300" t="str">
        <f t="shared" si="756"/>
        <v/>
      </c>
      <c r="AA444" s="301" t="str">
        <f t="shared" si="756"/>
        <v/>
      </c>
      <c r="AB444" s="159"/>
      <c r="AC444" s="90"/>
      <c r="AD444" s="90"/>
      <c r="AE444" s="91"/>
      <c r="AF444" s="159"/>
      <c r="AG444" s="90"/>
      <c r="AH444" s="90"/>
      <c r="AI444" s="90"/>
      <c r="AJ444" s="159"/>
      <c r="AK444" s="90"/>
      <c r="AL444" s="90"/>
      <c r="AM444" s="91"/>
      <c r="AN444" s="1607"/>
      <c r="AO444" s="1603"/>
      <c r="AP444" s="1603"/>
      <c r="AQ444" s="1807"/>
      <c r="AR444" s="159"/>
      <c r="AS444" s="1506"/>
      <c r="AT444" s="1506"/>
      <c r="AU444" s="91"/>
      <c r="AV444" s="159"/>
      <c r="AW444" s="1506"/>
      <c r="AX444" s="1506"/>
      <c r="AY444" s="91"/>
      <c r="AZ444" s="22"/>
      <c r="BA444" s="22"/>
      <c r="BB444" s="14"/>
      <c r="BC444" s="256"/>
      <c r="BD444" s="256"/>
      <c r="BE444" s="256"/>
      <c r="BF444" s="255"/>
      <c r="BG444" s="159"/>
      <c r="BH444" s="1506"/>
      <c r="BI444" s="1607"/>
      <c r="BJ444" s="1603"/>
      <c r="BK444" s="1603"/>
      <c r="BL444" s="1806"/>
      <c r="BM444" s="1806"/>
      <c r="BN444" s="1806"/>
      <c r="BO444" s="461"/>
    </row>
    <row r="445" spans="1:67" ht="14.25" hidden="1" customHeight="1" outlineLevel="1">
      <c r="A445" s="1"/>
      <c r="B445" s="435" t="s">
        <v>229</v>
      </c>
      <c r="C445" s="34"/>
      <c r="D445" s="269"/>
      <c r="E445" s="269"/>
      <c r="F445" s="300"/>
      <c r="G445" s="301"/>
      <c r="H445" s="269"/>
      <c r="I445" s="300"/>
      <c r="J445" s="300"/>
      <c r="K445" s="301"/>
      <c r="L445" s="318" t="str">
        <f t="shared" ref="L445:AA445" si="757">IF(ISERROR(L443/H443-1),"",L443/H443-1)</f>
        <v/>
      </c>
      <c r="M445" s="318" t="str">
        <f t="shared" si="757"/>
        <v/>
      </c>
      <c r="N445" s="318" t="str">
        <f t="shared" si="757"/>
        <v/>
      </c>
      <c r="O445" s="339" t="str">
        <f t="shared" si="757"/>
        <v/>
      </c>
      <c r="P445" s="318">
        <f t="shared" si="757"/>
        <v>-0.9859154929577465</v>
      </c>
      <c r="Q445" s="318">
        <f t="shared" si="757"/>
        <v>-1</v>
      </c>
      <c r="R445" s="318">
        <f t="shared" si="757"/>
        <v>-1</v>
      </c>
      <c r="S445" s="339">
        <f t="shared" si="757"/>
        <v>-1</v>
      </c>
      <c r="T445" s="318">
        <f t="shared" si="757"/>
        <v>-1</v>
      </c>
      <c r="U445" s="318" t="str">
        <f t="shared" si="757"/>
        <v/>
      </c>
      <c r="V445" s="318" t="str">
        <f t="shared" si="757"/>
        <v/>
      </c>
      <c r="W445" s="339" t="str">
        <f t="shared" si="757"/>
        <v/>
      </c>
      <c r="X445" s="318" t="str">
        <f t="shared" si="757"/>
        <v/>
      </c>
      <c r="Y445" s="318" t="str">
        <f t="shared" si="757"/>
        <v/>
      </c>
      <c r="Z445" s="318" t="str">
        <f t="shared" si="757"/>
        <v/>
      </c>
      <c r="AA445" s="339" t="str">
        <f t="shared" si="757"/>
        <v/>
      </c>
      <c r="AB445" s="958"/>
      <c r="AC445" s="420"/>
      <c r="AD445" s="420"/>
      <c r="AE445" s="424"/>
      <c r="AF445" s="958"/>
      <c r="AG445" s="420"/>
      <c r="AH445" s="420"/>
      <c r="AI445" s="420"/>
      <c r="AJ445" s="958"/>
      <c r="AK445" s="420"/>
      <c r="AL445" s="420"/>
      <c r="AM445" s="424"/>
      <c r="AN445" s="958"/>
      <c r="AO445" s="420"/>
      <c r="AP445" s="420"/>
      <c r="AQ445" s="424"/>
      <c r="AR445" s="958"/>
      <c r="AS445" s="420"/>
      <c r="AT445" s="420"/>
      <c r="AU445" s="424"/>
      <c r="AV445" s="958"/>
      <c r="AW445" s="420"/>
      <c r="AX445" s="420"/>
      <c r="AY445" s="424"/>
      <c r="AZ445" s="22"/>
      <c r="BA445" s="652"/>
      <c r="BB445" s="317"/>
      <c r="BC445" s="256"/>
      <c r="BD445" s="256">
        <f>IF(ISERROR(BD443/BC443-1),"",BD443/BC443-1)</f>
        <v>-0.99404761904761907</v>
      </c>
      <c r="BE445" s="256">
        <f>IF(ISERROR(BE443/BD443-1),"",BE443/BD443-1)</f>
        <v>-1</v>
      </c>
      <c r="BF445" s="255" t="str">
        <f>IF(ISERROR(BF443/BE443-1),"",BF443/BE443-1)</f>
        <v/>
      </c>
      <c r="BG445" s="159"/>
      <c r="BH445" s="1506"/>
      <c r="BI445" s="1607"/>
      <c r="BJ445" s="1603"/>
      <c r="BK445" s="1603"/>
      <c r="BL445" s="1806"/>
      <c r="BM445" s="1806"/>
      <c r="BN445" s="1806"/>
      <c r="BO445" s="461"/>
    </row>
    <row r="446" spans="1:67" ht="14.25" hidden="1" customHeight="1" outlineLevel="1">
      <c r="A446" s="1"/>
      <c r="B446" s="435" t="s">
        <v>354</v>
      </c>
      <c r="C446" s="34"/>
      <c r="D446" s="269"/>
      <c r="E446" s="269"/>
      <c r="F446" s="300"/>
      <c r="G446" s="301"/>
      <c r="H446" s="269"/>
      <c r="I446" s="300"/>
      <c r="J446" s="300"/>
      <c r="K446" s="301"/>
      <c r="L446" s="300">
        <f>IF(ISERROR(L443/L$408),"",L443/L$408)</f>
        <v>-0.92207792207792205</v>
      </c>
      <c r="M446" s="300">
        <f t="shared" ref="M446:AA446" si="758">IF(ISERROR(M443/M$408),"",M443/M$408)</f>
        <v>-0.42201834862385323</v>
      </c>
      <c r="N446" s="300">
        <f t="shared" si="758"/>
        <v>-0.125</v>
      </c>
      <c r="O446" s="301">
        <f t="shared" si="758"/>
        <v>-0.26153846153846155</v>
      </c>
      <c r="P446" s="300">
        <f t="shared" si="758"/>
        <v>-2.1276595744680851E-2</v>
      </c>
      <c r="Q446" s="300" t="str">
        <f t="shared" si="758"/>
        <v/>
      </c>
      <c r="R446" s="300" t="str">
        <f t="shared" si="758"/>
        <v/>
      </c>
      <c r="S446" s="301" t="str">
        <f t="shared" si="758"/>
        <v/>
      </c>
      <c r="T446" s="300" t="str">
        <f t="shared" si="758"/>
        <v/>
      </c>
      <c r="U446" s="300" t="str">
        <f t="shared" si="758"/>
        <v/>
      </c>
      <c r="V446" s="300" t="str">
        <f>IF(ISERROR(V443/V$408),"",V443/V$408)</f>
        <v/>
      </c>
      <c r="W446" s="301" t="str">
        <f>IF(ISERROR(W443/W$408),"",W443/W$408)</f>
        <v/>
      </c>
      <c r="X446" s="300" t="str">
        <f>IF(ISERROR(X443/X$408),"",X443/X$408)</f>
        <v/>
      </c>
      <c r="Y446" s="300" t="str">
        <f>IF(ISERROR(Y443/Y$408),"",Y443/Y$408)</f>
        <v/>
      </c>
      <c r="Z446" s="300" t="str">
        <f t="shared" si="758"/>
        <v/>
      </c>
      <c r="AA446" s="301" t="str">
        <f t="shared" si="758"/>
        <v/>
      </c>
      <c r="AB446" s="159"/>
      <c r="AC446" s="90"/>
      <c r="AD446" s="90"/>
      <c r="AE446" s="91"/>
      <c r="AF446" s="159"/>
      <c r="AG446" s="90"/>
      <c r="AH446" s="90"/>
      <c r="AI446" s="90"/>
      <c r="AJ446" s="159"/>
      <c r="AK446" s="90"/>
      <c r="AL446" s="90"/>
      <c r="AM446" s="91"/>
      <c r="AN446" s="1607"/>
      <c r="AO446" s="1603"/>
      <c r="AP446" s="1603"/>
      <c r="AQ446" s="1807"/>
      <c r="AR446" s="159"/>
      <c r="AS446" s="1506"/>
      <c r="AT446" s="1506"/>
      <c r="AU446" s="91"/>
      <c r="AV446" s="159"/>
      <c r="AW446" s="1506"/>
      <c r="AX446" s="1506"/>
      <c r="AY446" s="91"/>
      <c r="AZ446" s="22"/>
      <c r="BA446" s="652"/>
      <c r="BB446" s="317"/>
      <c r="BC446" s="256">
        <f>IF(ISERROR(BC443/BC$408),"",BC443/BC$408)</f>
        <v>-0.37168141592920356</v>
      </c>
      <c r="BD446" s="256">
        <f>IF(ISERROR(BD443/BD$408),"",BD443/BD$408)</f>
        <v>-2.1276595744680851E-2</v>
      </c>
      <c r="BE446" s="256" t="str">
        <f>IF(ISERROR(BE443/BE$408),"",BE443/BE$408)</f>
        <v/>
      </c>
      <c r="BF446" s="255" t="str">
        <f>IF(ISERROR(BF443/BF$408),"",BF443/BF$408)</f>
        <v/>
      </c>
      <c r="BG446" s="159"/>
      <c r="BH446" s="1506"/>
      <c r="BI446" s="1607"/>
      <c r="BJ446" s="1603"/>
      <c r="BK446" s="1603"/>
      <c r="BL446" s="1806"/>
      <c r="BM446" s="1806"/>
      <c r="BN446" s="1806"/>
      <c r="BO446" s="461"/>
    </row>
    <row r="447" spans="1:67" ht="14.25" hidden="1" customHeight="1" outlineLevel="1">
      <c r="A447" s="1"/>
      <c r="B447" s="439" t="s">
        <v>230</v>
      </c>
      <c r="C447" s="276"/>
      <c r="D447" s="399"/>
      <c r="E447" s="399"/>
      <c r="F447" s="399"/>
      <c r="G447" s="400"/>
      <c r="H447" s="257"/>
      <c r="I447" s="257"/>
      <c r="J447" s="277"/>
      <c r="K447" s="278"/>
      <c r="L447" s="277">
        <f t="shared" ref="L447:AA447" si="759">L443/L$501</f>
        <v>-0.11007751937984496</v>
      </c>
      <c r="M447" s="277">
        <f t="shared" si="759"/>
        <v>-5.5893074119076548E-2</v>
      </c>
      <c r="N447" s="277">
        <f t="shared" si="759"/>
        <v>-1.7276422764227643E-2</v>
      </c>
      <c r="O447" s="278">
        <f t="shared" si="759"/>
        <v>-3.1865042174320526E-2</v>
      </c>
      <c r="P447" s="277">
        <f t="shared" si="759"/>
        <v>-9.2165898617511521E-4</v>
      </c>
      <c r="Q447" s="277">
        <f t="shared" si="759"/>
        <v>0</v>
      </c>
      <c r="R447" s="277">
        <f t="shared" si="759"/>
        <v>0</v>
      </c>
      <c r="S447" s="278">
        <f t="shared" si="759"/>
        <v>0</v>
      </c>
      <c r="T447" s="277">
        <f t="shared" si="759"/>
        <v>0</v>
      </c>
      <c r="U447" s="277">
        <f t="shared" si="759"/>
        <v>0</v>
      </c>
      <c r="V447" s="277">
        <f t="shared" si="759"/>
        <v>0</v>
      </c>
      <c r="W447" s="278">
        <f t="shared" si="759"/>
        <v>0</v>
      </c>
      <c r="X447" s="277">
        <f t="shared" si="759"/>
        <v>0</v>
      </c>
      <c r="Y447" s="277">
        <f t="shared" si="759"/>
        <v>0</v>
      </c>
      <c r="Z447" s="277">
        <f t="shared" si="759"/>
        <v>0</v>
      </c>
      <c r="AA447" s="278">
        <f t="shared" si="759"/>
        <v>0</v>
      </c>
      <c r="AB447" s="1045"/>
      <c r="AC447" s="257"/>
      <c r="AD447" s="257"/>
      <c r="AE447" s="258"/>
      <c r="AF447" s="1045"/>
      <c r="AG447" s="257"/>
      <c r="AH447" s="257"/>
      <c r="AI447" s="257"/>
      <c r="AJ447" s="1045"/>
      <c r="AK447" s="257"/>
      <c r="AL447" s="257"/>
      <c r="AM447" s="258"/>
      <c r="AN447" s="1652"/>
      <c r="AO447" s="1616"/>
      <c r="AP447" s="1616"/>
      <c r="AQ447" s="1617"/>
      <c r="AR447" s="1045"/>
      <c r="AS447" s="1508"/>
      <c r="AT447" s="1508"/>
      <c r="AU447" s="258"/>
      <c r="AV447" s="1045"/>
      <c r="AW447" s="1508"/>
      <c r="AX447" s="1508"/>
      <c r="AY447" s="258"/>
      <c r="AZ447" s="22"/>
      <c r="BA447" s="652"/>
      <c r="BB447" s="317"/>
      <c r="BC447" s="256">
        <f>BC443/BC$526</f>
        <v>-4.7740835464620629E-2</v>
      </c>
      <c r="BD447" s="256">
        <f>BD443/BD$526</f>
        <v>-2.2716946842344388E-4</v>
      </c>
      <c r="BE447" s="256">
        <f>BE443/BE$526</f>
        <v>0</v>
      </c>
      <c r="BF447" s="255">
        <f>BF443/BF$526</f>
        <v>0</v>
      </c>
      <c r="BG447" s="159"/>
      <c r="BH447" s="1506"/>
      <c r="BI447" s="1607"/>
      <c r="BJ447" s="1603"/>
      <c r="BK447" s="1603"/>
      <c r="BL447" s="1806"/>
      <c r="BM447" s="1806"/>
      <c r="BN447" s="1806"/>
      <c r="BO447" s="461"/>
    </row>
    <row r="448" spans="1:67" ht="14.25" hidden="1" customHeight="1" outlineLevel="1">
      <c r="A448" s="1"/>
      <c r="B448" s="431"/>
      <c r="C448" s="254"/>
      <c r="D448" s="92"/>
      <c r="E448" s="320"/>
      <c r="F448" s="305"/>
      <c r="G448" s="304"/>
      <c r="H448" s="302"/>
      <c r="I448" s="305"/>
      <c r="J448" s="305"/>
      <c r="K448" s="304"/>
      <c r="L448" s="302"/>
      <c r="M448" s="305"/>
      <c r="N448" s="305"/>
      <c r="O448" s="304"/>
      <c r="P448" s="305"/>
      <c r="Q448" s="305"/>
      <c r="R448" s="305"/>
      <c r="S448" s="304"/>
      <c r="T448" s="305"/>
      <c r="U448" s="305"/>
      <c r="V448" s="305"/>
      <c r="W448" s="304"/>
      <c r="X448" s="305"/>
      <c r="Y448" s="305"/>
      <c r="Z448" s="305"/>
      <c r="AA448" s="304"/>
      <c r="AB448" s="22"/>
      <c r="AC448" s="14"/>
      <c r="AD448" s="14"/>
      <c r="AE448" s="246"/>
      <c r="AF448" s="22"/>
      <c r="AG448" s="14"/>
      <c r="AH448" s="14"/>
      <c r="AI448" s="14"/>
      <c r="AJ448" s="22"/>
      <c r="AK448" s="14"/>
      <c r="AL448" s="14"/>
      <c r="AM448" s="246"/>
      <c r="AN448" s="22"/>
      <c r="AO448" s="14"/>
      <c r="AP448" s="14"/>
      <c r="AQ448" s="246"/>
      <c r="AR448" s="22"/>
      <c r="AS448" s="14"/>
      <c r="AT448" s="14"/>
      <c r="AU448" s="246"/>
      <c r="AV448" s="22"/>
      <c r="AW448" s="14"/>
      <c r="AX448" s="14"/>
      <c r="AY448" s="246"/>
      <c r="AZ448" s="22"/>
      <c r="BA448" s="22"/>
      <c r="BB448" s="14"/>
      <c r="BC448" s="14"/>
      <c r="BD448" s="14"/>
      <c r="BE448" s="14"/>
      <c r="BF448" s="22"/>
      <c r="BG448" s="22"/>
      <c r="BH448" s="14"/>
      <c r="BI448" s="22"/>
      <c r="BJ448" s="14"/>
      <c r="BK448" s="14"/>
      <c r="BL448" s="14"/>
      <c r="BM448" s="14"/>
      <c r="BN448" s="14"/>
      <c r="BO448" s="461"/>
    </row>
    <row r="449" spans="1:68" ht="14.25" customHeight="1" collapsed="1">
      <c r="A449" s="1"/>
      <c r="B449" s="703" t="s">
        <v>475</v>
      </c>
      <c r="C449" s="704"/>
      <c r="D449" s="731" t="str">
        <f t="shared" ref="D449:AK449" si="760">+D12</f>
        <v>F1Q07A</v>
      </c>
      <c r="E449" s="731" t="str">
        <f t="shared" si="760"/>
        <v>F2Q07A</v>
      </c>
      <c r="F449" s="731" t="str">
        <f t="shared" si="760"/>
        <v>F3Q07A</v>
      </c>
      <c r="G449" s="732" t="str">
        <f t="shared" si="760"/>
        <v>F4Q07A</v>
      </c>
      <c r="H449" s="733" t="str">
        <f t="shared" si="760"/>
        <v>F1Q08A</v>
      </c>
      <c r="I449" s="731" t="str">
        <f t="shared" si="760"/>
        <v>F2Q08A</v>
      </c>
      <c r="J449" s="731" t="str">
        <f t="shared" si="760"/>
        <v>F3Q08A</v>
      </c>
      <c r="K449" s="732" t="str">
        <f t="shared" si="760"/>
        <v>F4Q08A</v>
      </c>
      <c r="L449" s="733" t="str">
        <f t="shared" si="760"/>
        <v>F1Q09A</v>
      </c>
      <c r="M449" s="731" t="str">
        <f t="shared" si="760"/>
        <v>F2Q09A</v>
      </c>
      <c r="N449" s="731" t="str">
        <f t="shared" si="760"/>
        <v>F3Q09A</v>
      </c>
      <c r="O449" s="732" t="str">
        <f t="shared" si="760"/>
        <v>F4Q09A</v>
      </c>
      <c r="P449" s="733" t="str">
        <f t="shared" si="760"/>
        <v>F1Q10A</v>
      </c>
      <c r="Q449" s="731" t="str">
        <f t="shared" si="760"/>
        <v>F2Q10A</v>
      </c>
      <c r="R449" s="731" t="str">
        <f t="shared" si="760"/>
        <v>F3Q10A</v>
      </c>
      <c r="S449" s="732" t="str">
        <f t="shared" si="760"/>
        <v>F4Q10A</v>
      </c>
      <c r="T449" s="733" t="str">
        <f t="shared" si="760"/>
        <v>F1Q11A</v>
      </c>
      <c r="U449" s="731" t="str">
        <f t="shared" si="760"/>
        <v>F2Q11A</v>
      </c>
      <c r="V449" s="731" t="str">
        <f t="shared" si="760"/>
        <v>F3Q11A</v>
      </c>
      <c r="W449" s="732" t="str">
        <f t="shared" si="760"/>
        <v>F4Q11A</v>
      </c>
      <c r="X449" s="731" t="str">
        <f t="shared" si="760"/>
        <v>F1Q12A</v>
      </c>
      <c r="Y449" s="731" t="str">
        <f t="shared" si="760"/>
        <v>F2Q12A</v>
      </c>
      <c r="Z449" s="731" t="str">
        <f t="shared" si="760"/>
        <v>F3Q12A</v>
      </c>
      <c r="AA449" s="732" t="str">
        <f t="shared" si="760"/>
        <v>F4Q12A</v>
      </c>
      <c r="AB449" s="733" t="str">
        <f t="shared" si="760"/>
        <v>F1Q13A</v>
      </c>
      <c r="AC449" s="731" t="str">
        <f t="shared" si="760"/>
        <v>F2Q13A</v>
      </c>
      <c r="AD449" s="731" t="str">
        <f t="shared" si="760"/>
        <v>F3Q13A</v>
      </c>
      <c r="AE449" s="732" t="str">
        <f t="shared" si="760"/>
        <v>F4Q13A</v>
      </c>
      <c r="AF449" s="733" t="str">
        <f t="shared" si="760"/>
        <v>F1Q14A</v>
      </c>
      <c r="AG449" s="731" t="str">
        <f t="shared" si="760"/>
        <v>F2Q14A</v>
      </c>
      <c r="AH449" s="731" t="str">
        <f t="shared" si="760"/>
        <v>F3Q14A</v>
      </c>
      <c r="AI449" s="731" t="str">
        <f t="shared" si="760"/>
        <v>F4Q14A</v>
      </c>
      <c r="AJ449" s="733" t="str">
        <f t="shared" si="760"/>
        <v>F1Q15A</v>
      </c>
      <c r="AK449" s="731" t="str">
        <f t="shared" si="760"/>
        <v>F2Q15A</v>
      </c>
      <c r="AL449" s="731" t="str">
        <f t="shared" ref="AL449:AO449" si="761">+AL12</f>
        <v>F3Q15A</v>
      </c>
      <c r="AM449" s="732" t="str">
        <f t="shared" si="761"/>
        <v>F4Q15A</v>
      </c>
      <c r="AN449" s="733" t="str">
        <f t="shared" si="761"/>
        <v>F1Q16A</v>
      </c>
      <c r="AO449" s="731" t="str">
        <f t="shared" si="761"/>
        <v>F2Q16A</v>
      </c>
      <c r="AP449" s="731" t="str">
        <f t="shared" ref="AP449:AQ449" si="762">+AP12</f>
        <v>F3Q16A</v>
      </c>
      <c r="AQ449" s="732" t="str">
        <f t="shared" si="762"/>
        <v>F4Q16A</v>
      </c>
      <c r="AR449" s="733" t="str">
        <f t="shared" ref="AR449:AU449" si="763">+AR12</f>
        <v>F1Q17A</v>
      </c>
      <c r="AS449" s="731" t="str">
        <f t="shared" si="763"/>
        <v>F2Q17A</v>
      </c>
      <c r="AT449" s="731" t="str">
        <f t="shared" si="763"/>
        <v>F3Q17A</v>
      </c>
      <c r="AU449" s="732" t="str">
        <f t="shared" si="763"/>
        <v>F4Q17A</v>
      </c>
      <c r="AV449" s="733" t="str">
        <f t="shared" ref="AV449:AY449" si="764">+AV12</f>
        <v>F1Q18E</v>
      </c>
      <c r="AW449" s="731" t="str">
        <f t="shared" si="764"/>
        <v>F2Q18E</v>
      </c>
      <c r="AX449" s="731" t="str">
        <f t="shared" si="764"/>
        <v>F3Q18E</v>
      </c>
      <c r="AY449" s="732" t="str">
        <f t="shared" si="764"/>
        <v>F4Q18E</v>
      </c>
      <c r="AZ449" s="20"/>
      <c r="BA449" s="734" t="str">
        <f t="shared" ref="BA449:BJ449" si="765">+BA12</f>
        <v>FY2007A</v>
      </c>
      <c r="BB449" s="731" t="str">
        <f t="shared" si="765"/>
        <v>FY2008A</v>
      </c>
      <c r="BC449" s="735" t="str">
        <f t="shared" si="765"/>
        <v>FY2009A</v>
      </c>
      <c r="BD449" s="735" t="str">
        <f t="shared" si="765"/>
        <v>FY2010A</v>
      </c>
      <c r="BE449" s="735" t="str">
        <f t="shared" si="765"/>
        <v>FY2011A</v>
      </c>
      <c r="BF449" s="734" t="str">
        <f t="shared" si="765"/>
        <v>FY2012A</v>
      </c>
      <c r="BG449" s="734" t="str">
        <f t="shared" si="765"/>
        <v>FY2013A</v>
      </c>
      <c r="BH449" s="735" t="str">
        <f t="shared" si="765"/>
        <v>FY2014A</v>
      </c>
      <c r="BI449" s="734" t="str">
        <f t="shared" si="765"/>
        <v>FY2015A</v>
      </c>
      <c r="BJ449" s="735" t="str">
        <f t="shared" si="765"/>
        <v>FY2016A</v>
      </c>
      <c r="BK449" s="735" t="str">
        <f t="shared" ref="BK449:BM449" si="766">+BK12</f>
        <v>FY2017A</v>
      </c>
      <c r="BL449" s="735" t="str">
        <f t="shared" si="766"/>
        <v>FY2018E</v>
      </c>
      <c r="BM449" s="735" t="str">
        <f t="shared" si="766"/>
        <v>FY2019E</v>
      </c>
      <c r="BN449" s="735" t="str">
        <f t="shared" ref="BN449" si="767">+BN12</f>
        <v>FY2020E</v>
      </c>
      <c r="BO449" s="299"/>
    </row>
    <row r="450" spans="1:68" s="592" customFormat="1" ht="14.25" customHeight="1">
      <c r="B450" s="1384" t="s">
        <v>468</v>
      </c>
      <c r="C450" s="609"/>
      <c r="D450" s="614"/>
      <c r="E450" s="615"/>
      <c r="F450" s="610"/>
      <c r="G450" s="611"/>
      <c r="H450" s="616"/>
      <c r="I450" s="610"/>
      <c r="J450" s="610"/>
      <c r="K450" s="611"/>
      <c r="L450" s="616">
        <f t="shared" ref="L450:AK450" si="768">+L24</f>
        <v>100</v>
      </c>
      <c r="M450" s="612">
        <f t="shared" si="768"/>
        <v>129</v>
      </c>
      <c r="N450" s="612">
        <f t="shared" si="768"/>
        <v>170</v>
      </c>
      <c r="O450" s="611">
        <f t="shared" si="768"/>
        <v>217</v>
      </c>
      <c r="P450" s="616">
        <f t="shared" si="768"/>
        <v>228</v>
      </c>
      <c r="Q450" s="612">
        <f t="shared" si="768"/>
        <v>230</v>
      </c>
      <c r="R450" s="612">
        <f t="shared" si="768"/>
        <v>230</v>
      </c>
      <c r="S450" s="611">
        <f t="shared" si="768"/>
        <v>243</v>
      </c>
      <c r="T450" s="616">
        <f t="shared" si="768"/>
        <v>238</v>
      </c>
      <c r="U450" s="612">
        <f t="shared" si="768"/>
        <v>251</v>
      </c>
      <c r="V450" s="612">
        <f t="shared" si="768"/>
        <v>223</v>
      </c>
      <c r="W450" s="612">
        <f t="shared" si="768"/>
        <v>218</v>
      </c>
      <c r="X450" s="1377">
        <f t="shared" si="768"/>
        <v>229</v>
      </c>
      <c r="Y450" s="1378">
        <f t="shared" si="768"/>
        <v>244</v>
      </c>
      <c r="Z450" s="1378">
        <f t="shared" si="768"/>
        <v>239</v>
      </c>
      <c r="AA450" s="1379">
        <f t="shared" si="768"/>
        <v>227</v>
      </c>
      <c r="AB450" s="1377">
        <f t="shared" si="768"/>
        <v>230</v>
      </c>
      <c r="AC450" s="1378">
        <f t="shared" si="768"/>
        <v>253</v>
      </c>
      <c r="AD450" s="1378">
        <f t="shared" si="768"/>
        <v>261</v>
      </c>
      <c r="AE450" s="1379">
        <f t="shared" si="768"/>
        <v>275</v>
      </c>
      <c r="AF450" s="1377">
        <f t="shared" si="768"/>
        <v>276</v>
      </c>
      <c r="AG450" s="1378">
        <f t="shared" si="768"/>
        <v>288</v>
      </c>
      <c r="AH450" s="1378">
        <f t="shared" si="768"/>
        <v>288</v>
      </c>
      <c r="AI450" s="1378">
        <f t="shared" si="768"/>
        <v>292</v>
      </c>
      <c r="AJ450" s="616">
        <f t="shared" si="768"/>
        <v>302</v>
      </c>
      <c r="AK450" s="612">
        <f t="shared" si="768"/>
        <v>310</v>
      </c>
      <c r="AL450" s="1378">
        <f t="shared" ref="AL450:AO450" si="769">+AL24</f>
        <v>308</v>
      </c>
      <c r="AM450" s="611">
        <f t="shared" si="769"/>
        <v>422</v>
      </c>
      <c r="AN450" s="616">
        <f t="shared" si="769"/>
        <v>805</v>
      </c>
      <c r="AO450" s="612">
        <f t="shared" si="769"/>
        <v>858</v>
      </c>
      <c r="AP450" s="1378">
        <f t="shared" ref="AP450:AQ450" si="770">+AP24</f>
        <v>853</v>
      </c>
      <c r="AQ450" s="611">
        <f t="shared" si="770"/>
        <v>863</v>
      </c>
      <c r="AR450" s="1377">
        <f t="shared" ref="AR450:AU450" si="771">+AR24</f>
        <v>906</v>
      </c>
      <c r="AS450" s="1378">
        <f t="shared" si="771"/>
        <v>938</v>
      </c>
      <c r="AT450" s="1378">
        <f t="shared" si="771"/>
        <v>948</v>
      </c>
      <c r="AU450" s="1379">
        <f t="shared" si="771"/>
        <v>970</v>
      </c>
      <c r="AV450" s="1377">
        <f t="shared" ref="AV450:AY450" si="772">+AV24</f>
        <v>1008.8000000000001</v>
      </c>
      <c r="AW450" s="1378">
        <f t="shared" si="772"/>
        <v>1034.02</v>
      </c>
      <c r="AX450" s="1378">
        <f t="shared" si="772"/>
        <v>1013.3396</v>
      </c>
      <c r="AY450" s="1379">
        <f t="shared" si="772"/>
        <v>1003.206204</v>
      </c>
      <c r="AZ450" s="1913"/>
      <c r="BA450" s="616"/>
      <c r="BB450" s="612"/>
      <c r="BC450" s="705">
        <f>SUM(L450:O450)</f>
        <v>616</v>
      </c>
      <c r="BD450" s="705">
        <f>SUM(P450:S450)</f>
        <v>931</v>
      </c>
      <c r="BE450" s="705">
        <f>SUM(T450:W450)</f>
        <v>930</v>
      </c>
      <c r="BF450" s="736">
        <f>SUM(X450:AA450)</f>
        <v>939</v>
      </c>
      <c r="BG450" s="736">
        <f>SUM(AB450:AE450)</f>
        <v>1019</v>
      </c>
      <c r="BH450" s="705">
        <f t="shared" ref="BH450:BH459" si="773">SUM(AF450:AI450)</f>
        <v>1144</v>
      </c>
      <c r="BI450" s="736">
        <f t="shared" ref="BI450:BI459" si="774">SUM(AJ450:AM450)</f>
        <v>1342</v>
      </c>
      <c r="BJ450" s="705">
        <f t="shared" ref="BJ450:BJ458" si="775">SUM(AN450:AQ450)</f>
        <v>3379</v>
      </c>
      <c r="BK450" s="705">
        <f t="shared" ref="BK450:BK459" si="776">SUM(AR450:AU450)</f>
        <v>3762</v>
      </c>
      <c r="BL450" s="705">
        <f t="shared" ref="BL450:BL459" si="777">SUM(AV450:AY450)</f>
        <v>4059.365804</v>
      </c>
      <c r="BM450" s="705">
        <f t="shared" ref="BM450:BN450" si="778">+BM24</f>
        <v>4302.9277522399998</v>
      </c>
      <c r="BN450" s="705">
        <f t="shared" si="778"/>
        <v>4518.0741398520004</v>
      </c>
      <c r="BO450" s="613"/>
    </row>
    <row r="451" spans="1:68" s="592" customFormat="1" ht="14.25" customHeight="1">
      <c r="B451" s="1384" t="str">
        <f>B30</f>
        <v>Secure Identification Solutions</v>
      </c>
      <c r="C451" s="609"/>
      <c r="D451" s="614"/>
      <c r="E451" s="615"/>
      <c r="F451" s="610"/>
      <c r="G451" s="611"/>
      <c r="H451" s="616"/>
      <c r="I451" s="610"/>
      <c r="J451" s="610"/>
      <c r="K451" s="611"/>
      <c r="L451" s="616"/>
      <c r="M451" s="612"/>
      <c r="N451" s="612"/>
      <c r="O451" s="611"/>
      <c r="P451" s="616">
        <f>P32</f>
        <v>113</v>
      </c>
      <c r="Q451" s="612">
        <f t="shared" ref="Q451:AK451" si="779">Q32</f>
        <v>118</v>
      </c>
      <c r="R451" s="612">
        <f t="shared" si="779"/>
        <v>122</v>
      </c>
      <c r="S451" s="611">
        <f t="shared" si="779"/>
        <v>132</v>
      </c>
      <c r="T451" s="612">
        <f t="shared" si="779"/>
        <v>156</v>
      </c>
      <c r="U451" s="612">
        <f t="shared" si="779"/>
        <v>160</v>
      </c>
      <c r="V451" s="612">
        <f t="shared" si="779"/>
        <v>126</v>
      </c>
      <c r="W451" s="612">
        <f t="shared" si="779"/>
        <v>121</v>
      </c>
      <c r="X451" s="616">
        <f t="shared" si="779"/>
        <v>146</v>
      </c>
      <c r="Y451" s="612">
        <f t="shared" si="779"/>
        <v>161</v>
      </c>
      <c r="Z451" s="612">
        <f t="shared" si="779"/>
        <v>187</v>
      </c>
      <c r="AA451" s="611">
        <f t="shared" si="779"/>
        <v>191</v>
      </c>
      <c r="AB451" s="616">
        <f t="shared" si="779"/>
        <v>205</v>
      </c>
      <c r="AC451" s="612">
        <f t="shared" si="779"/>
        <v>261</v>
      </c>
      <c r="AD451" s="612">
        <f t="shared" si="779"/>
        <v>260</v>
      </c>
      <c r="AE451" s="611">
        <f t="shared" si="779"/>
        <v>271</v>
      </c>
      <c r="AF451" s="616">
        <f t="shared" si="779"/>
        <v>254</v>
      </c>
      <c r="AG451" s="612">
        <f t="shared" si="779"/>
        <v>267</v>
      </c>
      <c r="AH451" s="612">
        <f t="shared" si="779"/>
        <v>252</v>
      </c>
      <c r="AI451" s="612">
        <f t="shared" si="779"/>
        <v>223</v>
      </c>
      <c r="AJ451" s="616">
        <f t="shared" si="779"/>
        <v>222</v>
      </c>
      <c r="AK451" s="612">
        <f t="shared" si="779"/>
        <v>257</v>
      </c>
      <c r="AL451" s="612">
        <f t="shared" ref="AL451:AO451" si="780">AL32</f>
        <v>269</v>
      </c>
      <c r="AM451" s="611">
        <f t="shared" si="780"/>
        <v>225</v>
      </c>
      <c r="AN451" s="616">
        <f t="shared" si="780"/>
        <v>212</v>
      </c>
      <c r="AO451" s="612">
        <f t="shared" si="780"/>
        <v>200</v>
      </c>
      <c r="AP451" s="612">
        <f t="shared" ref="AP451:AQ451" si="781">AP32</f>
        <v>178</v>
      </c>
      <c r="AQ451" s="611">
        <f t="shared" si="781"/>
        <v>147</v>
      </c>
      <c r="AR451" s="616">
        <f t="shared" ref="AR451:AU451" si="782">AR32</f>
        <v>114</v>
      </c>
      <c r="AS451" s="612">
        <f t="shared" si="782"/>
        <v>134</v>
      </c>
      <c r="AT451" s="612">
        <f t="shared" si="782"/>
        <v>139</v>
      </c>
      <c r="AU451" s="611">
        <f t="shared" si="782"/>
        <v>136</v>
      </c>
      <c r="AV451" s="616">
        <f t="shared" ref="AV451:AY451" si="783">AV32</f>
        <v>126.47999999999999</v>
      </c>
      <c r="AW451" s="612">
        <f t="shared" si="783"/>
        <v>131.53919999999999</v>
      </c>
      <c r="AX451" s="612">
        <f t="shared" si="783"/>
        <v>134.169984</v>
      </c>
      <c r="AY451" s="611">
        <f t="shared" si="783"/>
        <v>134.169984</v>
      </c>
      <c r="AZ451" s="1913"/>
      <c r="BA451" s="616"/>
      <c r="BB451" s="612"/>
      <c r="BC451" s="705">
        <f t="shared" ref="BC451:BC459" si="784">SUM(L451:O451)</f>
        <v>0</v>
      </c>
      <c r="BD451" s="705">
        <f t="shared" ref="BD451:BD459" si="785">SUM(P451:S451)</f>
        <v>485</v>
      </c>
      <c r="BE451" s="705">
        <f t="shared" ref="BE451:BE459" si="786">SUM(T451:W451)</f>
        <v>563</v>
      </c>
      <c r="BF451" s="736">
        <f t="shared" ref="BF451:BF459" si="787">SUM(X451:AA451)</f>
        <v>685</v>
      </c>
      <c r="BG451" s="736">
        <f t="shared" ref="BG451:BG459" si="788">SUM(AB451:AE451)</f>
        <v>997</v>
      </c>
      <c r="BH451" s="705">
        <f t="shared" si="773"/>
        <v>996</v>
      </c>
      <c r="BI451" s="736">
        <f t="shared" si="774"/>
        <v>973</v>
      </c>
      <c r="BJ451" s="705">
        <f t="shared" si="775"/>
        <v>737</v>
      </c>
      <c r="BK451" s="705">
        <f t="shared" si="776"/>
        <v>523</v>
      </c>
      <c r="BL451" s="705">
        <f t="shared" si="777"/>
        <v>526.35916799999995</v>
      </c>
      <c r="BM451" s="705">
        <f t="shared" ref="BM451:BN451" si="789">BM32</f>
        <v>526.35916799999995</v>
      </c>
      <c r="BN451" s="705">
        <f t="shared" si="789"/>
        <v>526.35916799999995</v>
      </c>
      <c r="BO451" s="613"/>
    </row>
    <row r="452" spans="1:68" s="592" customFormat="1" ht="14.25" customHeight="1">
      <c r="B452" s="1384" t="str">
        <f>B38</f>
        <v>Secure Connected Devices</v>
      </c>
      <c r="C452" s="609"/>
      <c r="D452" s="614"/>
      <c r="E452" s="615"/>
      <c r="F452" s="610"/>
      <c r="G452" s="611"/>
      <c r="H452" s="616"/>
      <c r="I452" s="610"/>
      <c r="J452" s="610"/>
      <c r="K452" s="611"/>
      <c r="L452" s="616"/>
      <c r="M452" s="612"/>
      <c r="N452" s="612"/>
      <c r="O452" s="611"/>
      <c r="P452" s="616">
        <f>P40</f>
        <v>135</v>
      </c>
      <c r="Q452" s="612">
        <f t="shared" ref="Q452:AK452" si="790">Q40</f>
        <v>139</v>
      </c>
      <c r="R452" s="612">
        <f t="shared" si="790"/>
        <v>134</v>
      </c>
      <c r="S452" s="611">
        <f t="shared" si="790"/>
        <v>128</v>
      </c>
      <c r="T452" s="612">
        <f t="shared" si="790"/>
        <v>134</v>
      </c>
      <c r="U452" s="612">
        <f t="shared" si="790"/>
        <v>142</v>
      </c>
      <c r="V452" s="612">
        <f t="shared" si="790"/>
        <v>149</v>
      </c>
      <c r="W452" s="612">
        <f t="shared" si="790"/>
        <v>138</v>
      </c>
      <c r="X452" s="616">
        <f t="shared" si="790"/>
        <v>133</v>
      </c>
      <c r="Y452" s="612">
        <f t="shared" si="790"/>
        <v>180</v>
      </c>
      <c r="Z452" s="612">
        <f t="shared" si="790"/>
        <v>190</v>
      </c>
      <c r="AA452" s="611">
        <f t="shared" si="790"/>
        <v>192</v>
      </c>
      <c r="AB452" s="616">
        <f t="shared" si="790"/>
        <v>188</v>
      </c>
      <c r="AC452" s="612">
        <f t="shared" si="790"/>
        <v>183</v>
      </c>
      <c r="AD452" s="612">
        <f t="shared" si="790"/>
        <v>188</v>
      </c>
      <c r="AE452" s="611">
        <f t="shared" si="790"/>
        <v>193</v>
      </c>
      <c r="AF452" s="616">
        <f t="shared" si="790"/>
        <v>180</v>
      </c>
      <c r="AG452" s="612">
        <f t="shared" si="790"/>
        <v>198</v>
      </c>
      <c r="AH452" s="612">
        <f t="shared" si="790"/>
        <v>301</v>
      </c>
      <c r="AI452" s="612">
        <f t="shared" si="790"/>
        <v>349</v>
      </c>
      <c r="AJ452" s="616">
        <f t="shared" si="790"/>
        <v>289</v>
      </c>
      <c r="AK452" s="612">
        <f t="shared" si="790"/>
        <v>276</v>
      </c>
      <c r="AL452" s="612">
        <f t="shared" ref="AL452:AO452" si="791">AL40</f>
        <v>317</v>
      </c>
      <c r="AM452" s="611">
        <f t="shared" si="791"/>
        <v>379</v>
      </c>
      <c r="AN452" s="616">
        <f t="shared" si="791"/>
        <v>471</v>
      </c>
      <c r="AO452" s="612">
        <f t="shared" si="791"/>
        <v>514</v>
      </c>
      <c r="AP452" s="612">
        <f t="shared" ref="AP452:AQ452" si="792">AP40</f>
        <v>592</v>
      </c>
      <c r="AQ452" s="611">
        <f t="shared" si="792"/>
        <v>569</v>
      </c>
      <c r="AR452" s="616">
        <f t="shared" ref="AR452:AU452" si="793">AR40</f>
        <v>541</v>
      </c>
      <c r="AS452" s="612">
        <f t="shared" si="793"/>
        <v>588</v>
      </c>
      <c r="AT452" s="612">
        <f t="shared" si="793"/>
        <v>713</v>
      </c>
      <c r="AU452" s="611">
        <f t="shared" si="793"/>
        <v>745</v>
      </c>
      <c r="AV452" s="616">
        <f t="shared" ref="AV452:AY452" si="794">AV40</f>
        <v>618.35</v>
      </c>
      <c r="AW452" s="612">
        <f t="shared" si="794"/>
        <v>667.8180000000001</v>
      </c>
      <c r="AX452" s="612">
        <f t="shared" si="794"/>
        <v>774.66888000000006</v>
      </c>
      <c r="AY452" s="611">
        <f t="shared" si="794"/>
        <v>751.42881360000001</v>
      </c>
      <c r="AZ452" s="1913"/>
      <c r="BA452" s="616"/>
      <c r="BB452" s="612"/>
      <c r="BC452" s="705">
        <f t="shared" si="784"/>
        <v>0</v>
      </c>
      <c r="BD452" s="705">
        <f t="shared" si="785"/>
        <v>536</v>
      </c>
      <c r="BE452" s="705">
        <f t="shared" si="786"/>
        <v>563</v>
      </c>
      <c r="BF452" s="736">
        <f t="shared" si="787"/>
        <v>695</v>
      </c>
      <c r="BG452" s="736">
        <f t="shared" si="788"/>
        <v>752</v>
      </c>
      <c r="BH452" s="705">
        <f t="shared" si="773"/>
        <v>1028</v>
      </c>
      <c r="BI452" s="736">
        <f t="shared" si="774"/>
        <v>1261</v>
      </c>
      <c r="BJ452" s="705">
        <f t="shared" si="775"/>
        <v>2146</v>
      </c>
      <c r="BK452" s="705">
        <f t="shared" si="776"/>
        <v>2587</v>
      </c>
      <c r="BL452" s="705">
        <f t="shared" si="777"/>
        <v>2812.2656936000003</v>
      </c>
      <c r="BM452" s="705">
        <f t="shared" ref="BM452:BN452" si="795">BM40</f>
        <v>3065.3696060240004</v>
      </c>
      <c r="BN452" s="705">
        <f t="shared" si="795"/>
        <v>3310.5991745059205</v>
      </c>
      <c r="BO452" s="613"/>
    </row>
    <row r="453" spans="1:68" s="594" customFormat="1" ht="14.25" customHeight="1">
      <c r="B453" s="573" t="str">
        <f>B46</f>
        <v xml:space="preserve">Secure Interface &amp; Infrastructure </v>
      </c>
      <c r="C453" s="617"/>
      <c r="D453" s="618"/>
      <c r="E453" s="619"/>
      <c r="F453" s="620"/>
      <c r="G453" s="621"/>
      <c r="H453" s="622"/>
      <c r="I453" s="620"/>
      <c r="J453" s="620"/>
      <c r="K453" s="621"/>
      <c r="L453" s="622"/>
      <c r="M453" s="623"/>
      <c r="N453" s="623"/>
      <c r="O453" s="621"/>
      <c r="P453" s="622">
        <f>P48</f>
        <v>155</v>
      </c>
      <c r="Q453" s="623">
        <f t="shared" ref="Q453:AK453" si="796">Q48</f>
        <v>165</v>
      </c>
      <c r="R453" s="623">
        <f t="shared" si="796"/>
        <v>163</v>
      </c>
      <c r="S453" s="621">
        <f t="shared" si="796"/>
        <v>149</v>
      </c>
      <c r="T453" s="623">
        <f t="shared" si="796"/>
        <v>141</v>
      </c>
      <c r="U453" s="623">
        <f t="shared" si="796"/>
        <v>158</v>
      </c>
      <c r="V453" s="623">
        <f t="shared" si="796"/>
        <v>167</v>
      </c>
      <c r="W453" s="623">
        <f t="shared" si="796"/>
        <v>131</v>
      </c>
      <c r="X453" s="622">
        <f t="shared" si="796"/>
        <v>138</v>
      </c>
      <c r="Y453" s="623">
        <f t="shared" si="796"/>
        <v>156</v>
      </c>
      <c r="Z453" s="623">
        <f t="shared" si="796"/>
        <v>188</v>
      </c>
      <c r="AA453" s="621">
        <f t="shared" si="796"/>
        <v>175</v>
      </c>
      <c r="AB453" s="622">
        <f t="shared" si="796"/>
        <v>153</v>
      </c>
      <c r="AC453" s="623">
        <f t="shared" si="796"/>
        <v>181</v>
      </c>
      <c r="AD453" s="623">
        <f t="shared" si="796"/>
        <v>213</v>
      </c>
      <c r="AE453" s="621">
        <f t="shared" si="796"/>
        <v>218</v>
      </c>
      <c r="AF453" s="622">
        <f t="shared" si="796"/>
        <v>202</v>
      </c>
      <c r="AG453" s="623">
        <f t="shared" si="796"/>
        <v>235</v>
      </c>
      <c r="AH453" s="623">
        <f t="shared" si="796"/>
        <v>298</v>
      </c>
      <c r="AI453" s="623">
        <f t="shared" si="796"/>
        <v>305</v>
      </c>
      <c r="AJ453" s="622">
        <f t="shared" si="796"/>
        <v>291</v>
      </c>
      <c r="AK453" s="623">
        <f t="shared" si="796"/>
        <v>303</v>
      </c>
      <c r="AL453" s="623">
        <f t="shared" ref="AL453:AO453" si="797">AL48</f>
        <v>270</v>
      </c>
      <c r="AM453" s="621">
        <f t="shared" si="797"/>
        <v>280</v>
      </c>
      <c r="AN453" s="622">
        <f t="shared" si="797"/>
        <v>423</v>
      </c>
      <c r="AO453" s="623">
        <f t="shared" si="797"/>
        <v>442</v>
      </c>
      <c r="AP453" s="623">
        <f t="shared" ref="AP453:AQ453" si="798">AP48</f>
        <v>476</v>
      </c>
      <c r="AQ453" s="621">
        <f t="shared" si="798"/>
        <v>483</v>
      </c>
      <c r="AR453" s="622">
        <f t="shared" ref="AR453:AU453" si="799">AR48</f>
        <v>450</v>
      </c>
      <c r="AS453" s="623">
        <f t="shared" si="799"/>
        <v>438</v>
      </c>
      <c r="AT453" s="623">
        <f t="shared" si="799"/>
        <v>488</v>
      </c>
      <c r="AU453" s="621">
        <f t="shared" si="799"/>
        <v>497</v>
      </c>
      <c r="AV453" s="622">
        <f t="shared" ref="AV453:AY453" si="800">AV48</f>
        <v>472.15</v>
      </c>
      <c r="AW453" s="623">
        <f t="shared" si="800"/>
        <v>472.15</v>
      </c>
      <c r="AX453" s="623">
        <f t="shared" si="800"/>
        <v>481.59299999999996</v>
      </c>
      <c r="AY453" s="621">
        <f t="shared" si="800"/>
        <v>476.77706999999998</v>
      </c>
      <c r="AZ453" s="1920"/>
      <c r="BA453" s="622"/>
      <c r="BB453" s="623"/>
      <c r="BC453" s="706">
        <f t="shared" si="784"/>
        <v>0</v>
      </c>
      <c r="BD453" s="706">
        <f t="shared" si="785"/>
        <v>632</v>
      </c>
      <c r="BE453" s="706">
        <f t="shared" si="786"/>
        <v>597</v>
      </c>
      <c r="BF453" s="1221">
        <f t="shared" si="787"/>
        <v>657</v>
      </c>
      <c r="BG453" s="1221">
        <f t="shared" si="788"/>
        <v>765</v>
      </c>
      <c r="BH453" s="706">
        <f t="shared" si="773"/>
        <v>1040</v>
      </c>
      <c r="BI453" s="1221">
        <f t="shared" si="774"/>
        <v>1144</v>
      </c>
      <c r="BJ453" s="706">
        <f t="shared" si="775"/>
        <v>1824</v>
      </c>
      <c r="BK453" s="706">
        <f t="shared" si="776"/>
        <v>1873</v>
      </c>
      <c r="BL453" s="706">
        <f t="shared" si="777"/>
        <v>1902.6700700000001</v>
      </c>
      <c r="BM453" s="706">
        <f t="shared" ref="BM453:BN453" si="801">BM48</f>
        <v>1921.6967707000001</v>
      </c>
      <c r="BN453" s="706">
        <f t="shared" si="801"/>
        <v>1940.9137384070002</v>
      </c>
      <c r="BO453" s="624"/>
      <c r="BP453" s="748"/>
    </row>
    <row r="454" spans="1:68" s="595" customFormat="1" ht="14.25" customHeight="1">
      <c r="B454" s="1385" t="s">
        <v>332</v>
      </c>
      <c r="C454" s="625"/>
      <c r="D454" s="626"/>
      <c r="E454" s="627"/>
      <c r="F454" s="628"/>
      <c r="G454" s="629"/>
      <c r="H454" s="630"/>
      <c r="I454" s="628"/>
      <c r="J454" s="628"/>
      <c r="K454" s="629"/>
      <c r="L454" s="1386">
        <v>274</v>
      </c>
      <c r="M454" s="1387">
        <v>330</v>
      </c>
      <c r="N454" s="1387">
        <v>418</v>
      </c>
      <c r="O454" s="1388">
        <v>490</v>
      </c>
      <c r="P454" s="630">
        <f t="shared" ref="P454:AI454" si="802">+SUM(P450:P453)</f>
        <v>631</v>
      </c>
      <c r="Q454" s="631">
        <f t="shared" si="802"/>
        <v>652</v>
      </c>
      <c r="R454" s="631">
        <f t="shared" si="802"/>
        <v>649</v>
      </c>
      <c r="S454" s="629">
        <f t="shared" si="802"/>
        <v>652</v>
      </c>
      <c r="T454" s="630">
        <f t="shared" si="802"/>
        <v>669</v>
      </c>
      <c r="U454" s="631">
        <f t="shared" si="802"/>
        <v>711</v>
      </c>
      <c r="V454" s="631">
        <f t="shared" si="802"/>
        <v>665</v>
      </c>
      <c r="W454" s="631">
        <f t="shared" si="802"/>
        <v>608</v>
      </c>
      <c r="X454" s="630">
        <f t="shared" si="802"/>
        <v>646</v>
      </c>
      <c r="Y454" s="631">
        <f t="shared" si="802"/>
        <v>741</v>
      </c>
      <c r="Z454" s="631">
        <f>+SUM(Z450:Z453)</f>
        <v>804</v>
      </c>
      <c r="AA454" s="629">
        <f t="shared" si="802"/>
        <v>785</v>
      </c>
      <c r="AB454" s="630">
        <f t="shared" si="802"/>
        <v>776</v>
      </c>
      <c r="AC454" s="631">
        <f t="shared" si="802"/>
        <v>878</v>
      </c>
      <c r="AD454" s="631">
        <f>+SUM(AD450:AD453)</f>
        <v>922</v>
      </c>
      <c r="AE454" s="629">
        <f t="shared" si="802"/>
        <v>957</v>
      </c>
      <c r="AF454" s="630">
        <f t="shared" si="802"/>
        <v>912</v>
      </c>
      <c r="AG454" s="631">
        <f t="shared" si="802"/>
        <v>988</v>
      </c>
      <c r="AH454" s="631">
        <f t="shared" si="802"/>
        <v>1139</v>
      </c>
      <c r="AI454" s="631">
        <f t="shared" si="802"/>
        <v>1169</v>
      </c>
      <c r="AJ454" s="630">
        <f t="shared" ref="AJ454:AK454" si="803">+SUM(AJ450:AJ453)</f>
        <v>1104</v>
      </c>
      <c r="AK454" s="631">
        <f t="shared" si="803"/>
        <v>1146</v>
      </c>
      <c r="AL454" s="631">
        <f t="shared" ref="AL454:AO454" si="804">+SUM(AL450:AL453)</f>
        <v>1164</v>
      </c>
      <c r="AM454" s="629">
        <f t="shared" si="804"/>
        <v>1306</v>
      </c>
      <c r="AN454" s="630">
        <f t="shared" si="804"/>
        <v>1911</v>
      </c>
      <c r="AO454" s="631">
        <f t="shared" si="804"/>
        <v>2014</v>
      </c>
      <c r="AP454" s="631">
        <f t="shared" ref="AP454:AQ454" si="805">+SUM(AP450:AP453)</f>
        <v>2099</v>
      </c>
      <c r="AQ454" s="629">
        <f t="shared" si="805"/>
        <v>2062</v>
      </c>
      <c r="AR454" s="630">
        <f t="shared" ref="AR454:AU454" si="806">+SUM(AR450:AR453)</f>
        <v>2011</v>
      </c>
      <c r="AS454" s="631">
        <f t="shared" si="806"/>
        <v>2098</v>
      </c>
      <c r="AT454" s="631">
        <f t="shared" si="806"/>
        <v>2288</v>
      </c>
      <c r="AU454" s="629">
        <f t="shared" si="806"/>
        <v>2348</v>
      </c>
      <c r="AV454" s="630">
        <f t="shared" ref="AV454:AY454" si="807">+SUM(AV450:AV453)</f>
        <v>2225.7800000000002</v>
      </c>
      <c r="AW454" s="631">
        <f t="shared" si="807"/>
        <v>2305.5272</v>
      </c>
      <c r="AX454" s="631">
        <f t="shared" si="807"/>
        <v>2403.7714639999999</v>
      </c>
      <c r="AY454" s="629">
        <f t="shared" si="807"/>
        <v>2365.5820715999998</v>
      </c>
      <c r="AZ454" s="1921"/>
      <c r="BA454" s="630"/>
      <c r="BB454" s="631"/>
      <c r="BC454" s="707">
        <f t="shared" si="784"/>
        <v>1512</v>
      </c>
      <c r="BD454" s="707">
        <f t="shared" si="785"/>
        <v>2584</v>
      </c>
      <c r="BE454" s="707">
        <f t="shared" si="786"/>
        <v>2653</v>
      </c>
      <c r="BF454" s="737">
        <f t="shared" si="787"/>
        <v>2976</v>
      </c>
      <c r="BG454" s="737">
        <f t="shared" si="788"/>
        <v>3533</v>
      </c>
      <c r="BH454" s="707">
        <f t="shared" si="773"/>
        <v>4208</v>
      </c>
      <c r="BI454" s="737">
        <f t="shared" si="774"/>
        <v>4720</v>
      </c>
      <c r="BJ454" s="707">
        <f t="shared" si="775"/>
        <v>8086</v>
      </c>
      <c r="BK454" s="707">
        <f t="shared" si="776"/>
        <v>8745</v>
      </c>
      <c r="BL454" s="707">
        <f t="shared" si="777"/>
        <v>9300.6607356000004</v>
      </c>
      <c r="BM454" s="707">
        <f t="shared" ref="BM454:BN454" si="808">+SUM(BM450:BM453)</f>
        <v>9816.353296964</v>
      </c>
      <c r="BN454" s="707">
        <f t="shared" si="808"/>
        <v>10295.946220764921</v>
      </c>
      <c r="BO454" s="632"/>
    </row>
    <row r="455" spans="1:68" s="594" customFormat="1" ht="14.25" customHeight="1">
      <c r="B455" s="573" t="s">
        <v>331</v>
      </c>
      <c r="C455" s="617"/>
      <c r="D455" s="618"/>
      <c r="E455" s="619"/>
      <c r="F455" s="620"/>
      <c r="G455" s="621"/>
      <c r="H455" s="622"/>
      <c r="I455" s="620"/>
      <c r="J455" s="620"/>
      <c r="K455" s="621"/>
      <c r="L455" s="622">
        <v>0</v>
      </c>
      <c r="M455" s="623">
        <v>0</v>
      </c>
      <c r="N455" s="623">
        <v>0</v>
      </c>
      <c r="O455" s="621">
        <v>0</v>
      </c>
      <c r="P455" s="622">
        <f t="shared" ref="P455:AK455" si="809">+P254</f>
        <v>270</v>
      </c>
      <c r="Q455" s="623">
        <f t="shared" si="809"/>
        <v>282</v>
      </c>
      <c r="R455" s="623">
        <f t="shared" si="809"/>
        <v>297</v>
      </c>
      <c r="S455" s="621">
        <f t="shared" si="809"/>
        <v>296</v>
      </c>
      <c r="T455" s="622">
        <f t="shared" si="809"/>
        <v>318</v>
      </c>
      <c r="U455" s="623">
        <f t="shared" si="809"/>
        <v>323</v>
      </c>
      <c r="V455" s="623">
        <f t="shared" si="809"/>
        <v>315</v>
      </c>
      <c r="W455" s="623">
        <f t="shared" si="809"/>
        <v>260</v>
      </c>
      <c r="X455" s="622">
        <f t="shared" si="809"/>
        <v>274</v>
      </c>
      <c r="Y455" s="623">
        <f t="shared" si="809"/>
        <v>291</v>
      </c>
      <c r="Z455" s="623">
        <f t="shared" si="809"/>
        <v>316</v>
      </c>
      <c r="AA455" s="621">
        <f t="shared" si="809"/>
        <v>287</v>
      </c>
      <c r="AB455" s="622">
        <f t="shared" si="809"/>
        <v>279</v>
      </c>
      <c r="AC455" s="623">
        <f t="shared" si="809"/>
        <v>281</v>
      </c>
      <c r="AD455" s="623">
        <f t="shared" si="809"/>
        <v>291</v>
      </c>
      <c r="AE455" s="621">
        <f t="shared" si="809"/>
        <v>294</v>
      </c>
      <c r="AF455" s="622">
        <f t="shared" si="809"/>
        <v>295</v>
      </c>
      <c r="AG455" s="623">
        <f t="shared" si="809"/>
        <v>316</v>
      </c>
      <c r="AH455" s="623">
        <f t="shared" si="809"/>
        <v>333</v>
      </c>
      <c r="AI455" s="623">
        <f t="shared" si="809"/>
        <v>331</v>
      </c>
      <c r="AJ455" s="622">
        <f t="shared" si="809"/>
        <v>323</v>
      </c>
      <c r="AK455" s="623">
        <f t="shared" si="809"/>
        <v>322</v>
      </c>
      <c r="AL455" s="623">
        <f t="shared" ref="AL455:AO455" si="810">+AL254</f>
        <v>325</v>
      </c>
      <c r="AM455" s="621">
        <f t="shared" si="810"/>
        <v>271</v>
      </c>
      <c r="AN455" s="622">
        <f t="shared" si="810"/>
        <v>274</v>
      </c>
      <c r="AO455" s="623">
        <f t="shared" si="810"/>
        <v>303</v>
      </c>
      <c r="AP455" s="623">
        <f t="shared" ref="AP455:AQ455" si="811">+AP254</f>
        <v>320</v>
      </c>
      <c r="AQ455" s="621">
        <f t="shared" si="811"/>
        <v>323</v>
      </c>
      <c r="AR455" s="622">
        <f t="shared" ref="AR455:AU455" si="812">+AR254</f>
        <v>118</v>
      </c>
      <c r="AS455" s="623">
        <f t="shared" si="812"/>
        <v>0</v>
      </c>
      <c r="AT455" s="623">
        <f t="shared" si="812"/>
        <v>0</v>
      </c>
      <c r="AU455" s="621">
        <f t="shared" si="812"/>
        <v>0</v>
      </c>
      <c r="AV455" s="622">
        <f t="shared" ref="AV455:AY455" si="813">+AV254</f>
        <v>0</v>
      </c>
      <c r="AW455" s="623">
        <f t="shared" si="813"/>
        <v>0</v>
      </c>
      <c r="AX455" s="623">
        <f t="shared" si="813"/>
        <v>0</v>
      </c>
      <c r="AY455" s="621">
        <f t="shared" si="813"/>
        <v>0</v>
      </c>
      <c r="AZ455" s="1920"/>
      <c r="BA455" s="622"/>
      <c r="BB455" s="623"/>
      <c r="BC455" s="706">
        <f t="shared" si="784"/>
        <v>0</v>
      </c>
      <c r="BD455" s="706">
        <f t="shared" si="785"/>
        <v>1145</v>
      </c>
      <c r="BE455" s="706">
        <f t="shared" si="786"/>
        <v>1216</v>
      </c>
      <c r="BF455" s="1221">
        <f t="shared" si="787"/>
        <v>1168</v>
      </c>
      <c r="BG455" s="1221">
        <f t="shared" si="788"/>
        <v>1145</v>
      </c>
      <c r="BH455" s="706">
        <f t="shared" si="773"/>
        <v>1275</v>
      </c>
      <c r="BI455" s="1221">
        <f t="shared" si="774"/>
        <v>1241</v>
      </c>
      <c r="BJ455" s="706">
        <f t="shared" si="775"/>
        <v>1220</v>
      </c>
      <c r="BK455" s="706">
        <f t="shared" si="776"/>
        <v>118</v>
      </c>
      <c r="BL455" s="706">
        <f t="shared" si="777"/>
        <v>0</v>
      </c>
      <c r="BM455" s="706">
        <f t="shared" ref="BM455:BN455" si="814">+BM254</f>
        <v>0</v>
      </c>
      <c r="BN455" s="706">
        <f t="shared" si="814"/>
        <v>0</v>
      </c>
      <c r="BO455" s="624"/>
    </row>
    <row r="456" spans="1:68" s="595" customFormat="1" ht="14.25" customHeight="1">
      <c r="B456" s="1385" t="s">
        <v>469</v>
      </c>
      <c r="C456" s="625"/>
      <c r="D456" s="626"/>
      <c r="E456" s="627"/>
      <c r="F456" s="628"/>
      <c r="G456" s="629"/>
      <c r="H456" s="630"/>
      <c r="I456" s="628"/>
      <c r="J456" s="628"/>
      <c r="K456" s="629"/>
      <c r="L456" s="630">
        <v>274</v>
      </c>
      <c r="M456" s="631">
        <v>330</v>
      </c>
      <c r="N456" s="631">
        <v>418</v>
      </c>
      <c r="O456" s="629">
        <v>490</v>
      </c>
      <c r="P456" s="630">
        <f t="shared" ref="P456:AI456" si="815">+SUM(P454:P455)</f>
        <v>901</v>
      </c>
      <c r="Q456" s="631">
        <f t="shared" si="815"/>
        <v>934</v>
      </c>
      <c r="R456" s="631">
        <f t="shared" si="815"/>
        <v>946</v>
      </c>
      <c r="S456" s="629">
        <f t="shared" si="815"/>
        <v>948</v>
      </c>
      <c r="T456" s="630">
        <f t="shared" si="815"/>
        <v>987</v>
      </c>
      <c r="U456" s="631">
        <f t="shared" si="815"/>
        <v>1034</v>
      </c>
      <c r="V456" s="631">
        <f t="shared" si="815"/>
        <v>980</v>
      </c>
      <c r="W456" s="631">
        <f t="shared" si="815"/>
        <v>868</v>
      </c>
      <c r="X456" s="630">
        <f t="shared" si="815"/>
        <v>920</v>
      </c>
      <c r="Y456" s="631">
        <f t="shared" si="815"/>
        <v>1032</v>
      </c>
      <c r="Z456" s="631">
        <f>+SUM(Z454:Z455)</f>
        <v>1120</v>
      </c>
      <c r="AA456" s="629">
        <f t="shared" si="815"/>
        <v>1072</v>
      </c>
      <c r="AB456" s="630">
        <f t="shared" si="815"/>
        <v>1055</v>
      </c>
      <c r="AC456" s="631">
        <f t="shared" si="815"/>
        <v>1159</v>
      </c>
      <c r="AD456" s="631">
        <f>+SUM(AD454:AD455)</f>
        <v>1213</v>
      </c>
      <c r="AE456" s="629">
        <f t="shared" si="815"/>
        <v>1251</v>
      </c>
      <c r="AF456" s="630">
        <f t="shared" si="815"/>
        <v>1207</v>
      </c>
      <c r="AG456" s="631">
        <f t="shared" si="815"/>
        <v>1304</v>
      </c>
      <c r="AH456" s="631">
        <f t="shared" si="815"/>
        <v>1472</v>
      </c>
      <c r="AI456" s="631">
        <f t="shared" si="815"/>
        <v>1500</v>
      </c>
      <c r="AJ456" s="630">
        <f t="shared" ref="AJ456:AL456" si="816">+SUM(AJ454:AJ455)</f>
        <v>1427</v>
      </c>
      <c r="AK456" s="631">
        <f t="shared" si="816"/>
        <v>1468</v>
      </c>
      <c r="AL456" s="631">
        <f t="shared" si="816"/>
        <v>1489</v>
      </c>
      <c r="AM456" s="629">
        <f t="shared" ref="AM456:AP456" si="817">+SUM(AM454:AM455)</f>
        <v>1577</v>
      </c>
      <c r="AN456" s="630">
        <f t="shared" si="817"/>
        <v>2185</v>
      </c>
      <c r="AO456" s="631">
        <f t="shared" si="817"/>
        <v>2317</v>
      </c>
      <c r="AP456" s="631">
        <f t="shared" si="817"/>
        <v>2419</v>
      </c>
      <c r="AQ456" s="629">
        <f t="shared" ref="AQ456" si="818">+SUM(AQ454:AQ455)</f>
        <v>2385</v>
      </c>
      <c r="AR456" s="630">
        <f t="shared" ref="AR456:AU456" si="819">+SUM(AR454:AR455)</f>
        <v>2129</v>
      </c>
      <c r="AS456" s="631">
        <f t="shared" si="819"/>
        <v>2098</v>
      </c>
      <c r="AT456" s="631">
        <f t="shared" si="819"/>
        <v>2288</v>
      </c>
      <c r="AU456" s="629">
        <f t="shared" si="819"/>
        <v>2348</v>
      </c>
      <c r="AV456" s="630">
        <f t="shared" ref="AV456:AY456" si="820">+SUM(AV454:AV455)</f>
        <v>2225.7800000000002</v>
      </c>
      <c r="AW456" s="631">
        <f t="shared" si="820"/>
        <v>2305.5272</v>
      </c>
      <c r="AX456" s="631">
        <f t="shared" si="820"/>
        <v>2403.7714639999999</v>
      </c>
      <c r="AY456" s="629">
        <f t="shared" si="820"/>
        <v>2365.5820715999998</v>
      </c>
      <c r="AZ456" s="1921"/>
      <c r="BA456" s="630"/>
      <c r="BB456" s="631"/>
      <c r="BC456" s="707">
        <f t="shared" si="784"/>
        <v>1512</v>
      </c>
      <c r="BD456" s="707">
        <f t="shared" si="785"/>
        <v>3729</v>
      </c>
      <c r="BE456" s="707">
        <f t="shared" si="786"/>
        <v>3869</v>
      </c>
      <c r="BF456" s="737">
        <f t="shared" si="787"/>
        <v>4144</v>
      </c>
      <c r="BG456" s="737">
        <f t="shared" si="788"/>
        <v>4678</v>
      </c>
      <c r="BH456" s="707">
        <f t="shared" si="773"/>
        <v>5483</v>
      </c>
      <c r="BI456" s="737">
        <f t="shared" si="774"/>
        <v>5961</v>
      </c>
      <c r="BJ456" s="707">
        <f t="shared" si="775"/>
        <v>9306</v>
      </c>
      <c r="BK456" s="707">
        <f t="shared" si="776"/>
        <v>8863</v>
      </c>
      <c r="BL456" s="707">
        <f t="shared" si="777"/>
        <v>9300.6607356000004</v>
      </c>
      <c r="BM456" s="707">
        <f t="shared" ref="BM456:BN456" si="821">+SUM(BM454:BM455)</f>
        <v>9816.353296964</v>
      </c>
      <c r="BN456" s="707">
        <f t="shared" si="821"/>
        <v>10295.946220764921</v>
      </c>
      <c r="BO456" s="632"/>
    </row>
    <row r="457" spans="1:68" s="592" customFormat="1" ht="14.25" customHeight="1">
      <c r="B457" s="1384" t="s">
        <v>344</v>
      </c>
      <c r="C457" s="609"/>
      <c r="D457" s="614"/>
      <c r="E457" s="615"/>
      <c r="F457" s="610"/>
      <c r="G457" s="611"/>
      <c r="H457" s="616"/>
      <c r="I457" s="610"/>
      <c r="J457" s="610"/>
      <c r="K457" s="611"/>
      <c r="L457" s="616">
        <v>61</v>
      </c>
      <c r="M457" s="612">
        <v>90</v>
      </c>
      <c r="N457" s="612">
        <v>96</v>
      </c>
      <c r="O457" s="611">
        <f>77+40</f>
        <v>117</v>
      </c>
      <c r="P457" s="616">
        <f t="shared" ref="P457:AI457" si="822">+P351</f>
        <v>137</v>
      </c>
      <c r="Q457" s="612">
        <f t="shared" si="822"/>
        <v>185</v>
      </c>
      <c r="R457" s="612">
        <f t="shared" si="822"/>
        <v>174</v>
      </c>
      <c r="S457" s="611">
        <f t="shared" si="822"/>
        <v>130</v>
      </c>
      <c r="T457" s="616">
        <f t="shared" si="822"/>
        <v>95</v>
      </c>
      <c r="U457" s="612">
        <f t="shared" si="822"/>
        <v>87</v>
      </c>
      <c r="V457" s="612">
        <f t="shared" si="822"/>
        <v>80</v>
      </c>
      <c r="W457" s="612">
        <f t="shared" si="822"/>
        <v>63</v>
      </c>
      <c r="X457" s="616">
        <f t="shared" si="822"/>
        <v>58</v>
      </c>
      <c r="Y457" s="612">
        <f t="shared" si="822"/>
        <v>62</v>
      </c>
      <c r="Z457" s="612">
        <f>+Z351</f>
        <v>50</v>
      </c>
      <c r="AA457" s="611">
        <f t="shared" si="822"/>
        <v>44</v>
      </c>
      <c r="AB457" s="616">
        <f t="shared" si="822"/>
        <v>30</v>
      </c>
      <c r="AC457" s="612">
        <f t="shared" si="822"/>
        <v>29</v>
      </c>
      <c r="AD457" s="612">
        <f t="shared" si="822"/>
        <v>36</v>
      </c>
      <c r="AE457" s="611">
        <f t="shared" si="822"/>
        <v>42</v>
      </c>
      <c r="AF457" s="616">
        <f t="shared" si="822"/>
        <v>39</v>
      </c>
      <c r="AG457" s="612">
        <f t="shared" si="822"/>
        <v>45</v>
      </c>
      <c r="AH457" s="612">
        <f t="shared" si="822"/>
        <v>43</v>
      </c>
      <c r="AI457" s="612">
        <f t="shared" si="822"/>
        <v>37</v>
      </c>
      <c r="AJ457" s="616">
        <v>35</v>
      </c>
      <c r="AK457" s="612">
        <f t="shared" ref="AK457:AL457" si="823">+AK351</f>
        <v>38</v>
      </c>
      <c r="AL457" s="612">
        <f t="shared" si="823"/>
        <v>33</v>
      </c>
      <c r="AM457" s="611">
        <f t="shared" ref="AM457" si="824">+AM351</f>
        <v>29</v>
      </c>
      <c r="AN457" s="616">
        <v>35</v>
      </c>
      <c r="AO457" s="612">
        <f t="shared" ref="AO457:AQ457" si="825">+AO351</f>
        <v>48</v>
      </c>
      <c r="AP457" s="612">
        <f t="shared" si="825"/>
        <v>50</v>
      </c>
      <c r="AQ457" s="611">
        <f t="shared" si="825"/>
        <v>55</v>
      </c>
      <c r="AR457" s="616">
        <f t="shared" ref="AR457:AU457" si="826">+AR351</f>
        <v>82</v>
      </c>
      <c r="AS457" s="612">
        <f t="shared" si="826"/>
        <v>104</v>
      </c>
      <c r="AT457" s="612">
        <f t="shared" si="826"/>
        <v>99</v>
      </c>
      <c r="AU457" s="611">
        <f t="shared" si="826"/>
        <v>108</v>
      </c>
      <c r="AV457" s="616">
        <f t="shared" ref="AV457:AY457" si="827">+AV351</f>
        <v>100</v>
      </c>
      <c r="AW457" s="612">
        <f t="shared" si="827"/>
        <v>100</v>
      </c>
      <c r="AX457" s="612">
        <f t="shared" si="827"/>
        <v>100</v>
      </c>
      <c r="AY457" s="611">
        <f t="shared" si="827"/>
        <v>100</v>
      </c>
      <c r="AZ457" s="1913"/>
      <c r="BA457" s="616"/>
      <c r="BB457" s="612"/>
      <c r="BC457" s="705">
        <f t="shared" si="784"/>
        <v>364</v>
      </c>
      <c r="BD457" s="705">
        <f t="shared" si="785"/>
        <v>626</v>
      </c>
      <c r="BE457" s="705">
        <f t="shared" si="786"/>
        <v>325</v>
      </c>
      <c r="BF457" s="736">
        <f t="shared" si="787"/>
        <v>214</v>
      </c>
      <c r="BG457" s="736">
        <f t="shared" si="788"/>
        <v>137</v>
      </c>
      <c r="BH457" s="705">
        <f t="shared" si="773"/>
        <v>164</v>
      </c>
      <c r="BI457" s="736">
        <f t="shared" si="774"/>
        <v>135</v>
      </c>
      <c r="BJ457" s="705">
        <f t="shared" si="775"/>
        <v>188</v>
      </c>
      <c r="BK457" s="705">
        <f t="shared" si="776"/>
        <v>393</v>
      </c>
      <c r="BL457" s="705">
        <f t="shared" si="777"/>
        <v>400</v>
      </c>
      <c r="BM457" s="705">
        <f t="shared" ref="BM457:BN457" si="828">+BM351</f>
        <v>420</v>
      </c>
      <c r="BN457" s="705">
        <f t="shared" si="828"/>
        <v>441</v>
      </c>
      <c r="BO457" s="613"/>
    </row>
    <row r="458" spans="1:68" s="594" customFormat="1" ht="14.25" customHeight="1">
      <c r="B458" s="573" t="s">
        <v>346</v>
      </c>
      <c r="C458" s="617"/>
      <c r="D458" s="618"/>
      <c r="E458" s="619"/>
      <c r="F458" s="620"/>
      <c r="G458" s="621"/>
      <c r="H458" s="622"/>
      <c r="I458" s="620"/>
      <c r="J458" s="620"/>
      <c r="K458" s="621"/>
      <c r="L458" s="622">
        <f>77+40</f>
        <v>117</v>
      </c>
      <c r="M458" s="623">
        <f>109+43</f>
        <v>152</v>
      </c>
      <c r="N458" s="623">
        <f>136+42</f>
        <v>178</v>
      </c>
      <c r="O458" s="621">
        <v>130</v>
      </c>
      <c r="P458" s="622">
        <f t="shared" ref="P458:AK458" si="829">+P408</f>
        <v>47</v>
      </c>
      <c r="Q458" s="623">
        <f t="shared" si="829"/>
        <v>0</v>
      </c>
      <c r="R458" s="623">
        <f t="shared" si="829"/>
        <v>0</v>
      </c>
      <c r="S458" s="621">
        <f t="shared" si="829"/>
        <v>0</v>
      </c>
      <c r="T458" s="622">
        <f t="shared" si="829"/>
        <v>0</v>
      </c>
      <c r="U458" s="623">
        <f t="shared" si="829"/>
        <v>0</v>
      </c>
      <c r="V458" s="623">
        <f t="shared" si="829"/>
        <v>0</v>
      </c>
      <c r="W458" s="623">
        <f t="shared" si="829"/>
        <v>0</v>
      </c>
      <c r="X458" s="622">
        <f t="shared" si="829"/>
        <v>0</v>
      </c>
      <c r="Y458" s="623">
        <f t="shared" si="829"/>
        <v>0</v>
      </c>
      <c r="Z458" s="623">
        <f t="shared" si="829"/>
        <v>0</v>
      </c>
      <c r="AA458" s="621">
        <f t="shared" si="829"/>
        <v>0</v>
      </c>
      <c r="AB458" s="622">
        <f t="shared" si="829"/>
        <v>0</v>
      </c>
      <c r="AC458" s="623">
        <f t="shared" si="829"/>
        <v>0</v>
      </c>
      <c r="AD458" s="623">
        <f t="shared" si="829"/>
        <v>0</v>
      </c>
      <c r="AE458" s="621">
        <f t="shared" si="829"/>
        <v>0</v>
      </c>
      <c r="AF458" s="622">
        <f t="shared" si="829"/>
        <v>0</v>
      </c>
      <c r="AG458" s="623">
        <f t="shared" si="829"/>
        <v>0</v>
      </c>
      <c r="AH458" s="623">
        <f t="shared" si="829"/>
        <v>0</v>
      </c>
      <c r="AI458" s="623">
        <f t="shared" si="829"/>
        <v>0</v>
      </c>
      <c r="AJ458" s="622">
        <f t="shared" si="829"/>
        <v>0</v>
      </c>
      <c r="AK458" s="623">
        <f t="shared" si="829"/>
        <v>0</v>
      </c>
      <c r="AL458" s="623">
        <f t="shared" ref="AL458:AO458" si="830">+AL408</f>
        <v>0</v>
      </c>
      <c r="AM458" s="621">
        <f t="shared" si="830"/>
        <v>0</v>
      </c>
      <c r="AN458" s="622">
        <f t="shared" si="830"/>
        <v>0</v>
      </c>
      <c r="AO458" s="623">
        <f t="shared" si="830"/>
        <v>0</v>
      </c>
      <c r="AP458" s="623">
        <f t="shared" ref="AP458:AQ458" si="831">+AP408</f>
        <v>0</v>
      </c>
      <c r="AQ458" s="621">
        <f t="shared" si="831"/>
        <v>0</v>
      </c>
      <c r="AR458" s="622">
        <f t="shared" ref="AR458:AU458" si="832">+AR408</f>
        <v>0</v>
      </c>
      <c r="AS458" s="623">
        <f t="shared" si="832"/>
        <v>0</v>
      </c>
      <c r="AT458" s="623">
        <f t="shared" si="832"/>
        <v>0</v>
      </c>
      <c r="AU458" s="621">
        <f t="shared" si="832"/>
        <v>0</v>
      </c>
      <c r="AV458" s="622">
        <f t="shared" ref="AV458:AY458" si="833">+AV408</f>
        <v>0</v>
      </c>
      <c r="AW458" s="623">
        <f t="shared" si="833"/>
        <v>0</v>
      </c>
      <c r="AX458" s="623">
        <f t="shared" si="833"/>
        <v>0</v>
      </c>
      <c r="AY458" s="621">
        <f t="shared" si="833"/>
        <v>0</v>
      </c>
      <c r="AZ458" s="1920"/>
      <c r="BA458" s="622"/>
      <c r="BB458" s="623"/>
      <c r="BC458" s="706">
        <f t="shared" si="784"/>
        <v>577</v>
      </c>
      <c r="BD458" s="706">
        <f t="shared" si="785"/>
        <v>47</v>
      </c>
      <c r="BE458" s="706">
        <f t="shared" si="786"/>
        <v>0</v>
      </c>
      <c r="BF458" s="1221">
        <f t="shared" si="787"/>
        <v>0</v>
      </c>
      <c r="BG458" s="1221">
        <f t="shared" si="788"/>
        <v>0</v>
      </c>
      <c r="BH458" s="706">
        <f t="shared" si="773"/>
        <v>0</v>
      </c>
      <c r="BI458" s="1221">
        <f t="shared" si="774"/>
        <v>0</v>
      </c>
      <c r="BJ458" s="706">
        <f t="shared" si="775"/>
        <v>0</v>
      </c>
      <c r="BK458" s="706">
        <f t="shared" si="776"/>
        <v>0</v>
      </c>
      <c r="BL458" s="706">
        <f t="shared" si="777"/>
        <v>0</v>
      </c>
      <c r="BM458" s="706">
        <f t="shared" ref="BM458:BN458" si="834">+BM408</f>
        <v>0</v>
      </c>
      <c r="BN458" s="706">
        <f t="shared" si="834"/>
        <v>0</v>
      </c>
      <c r="BO458" s="624"/>
    </row>
    <row r="459" spans="1:68" s="595" customFormat="1" ht="14.25" customHeight="1">
      <c r="B459" s="574" t="s">
        <v>470</v>
      </c>
      <c r="C459" s="625"/>
      <c r="D459" s="626"/>
      <c r="E459" s="627"/>
      <c r="F459" s="628"/>
      <c r="G459" s="629"/>
      <c r="H459" s="630"/>
      <c r="I459" s="628"/>
      <c r="J459" s="628"/>
      <c r="K459" s="629"/>
      <c r="L459" s="630">
        <f t="shared" ref="L459:AK459" si="835">+SUM(L456:L458)</f>
        <v>452</v>
      </c>
      <c r="M459" s="631">
        <f t="shared" si="835"/>
        <v>572</v>
      </c>
      <c r="N459" s="631">
        <f t="shared" si="835"/>
        <v>692</v>
      </c>
      <c r="O459" s="629">
        <f t="shared" si="835"/>
        <v>737</v>
      </c>
      <c r="P459" s="631">
        <f t="shared" si="835"/>
        <v>1085</v>
      </c>
      <c r="Q459" s="631">
        <f t="shared" si="835"/>
        <v>1119</v>
      </c>
      <c r="R459" s="631">
        <f t="shared" si="835"/>
        <v>1120</v>
      </c>
      <c r="S459" s="629">
        <f t="shared" si="835"/>
        <v>1078</v>
      </c>
      <c r="T459" s="630">
        <f t="shared" si="835"/>
        <v>1082</v>
      </c>
      <c r="U459" s="631">
        <f t="shared" si="835"/>
        <v>1121</v>
      </c>
      <c r="V459" s="631">
        <f t="shared" si="835"/>
        <v>1060</v>
      </c>
      <c r="W459" s="631">
        <f t="shared" si="835"/>
        <v>931</v>
      </c>
      <c r="X459" s="630">
        <f t="shared" si="835"/>
        <v>978</v>
      </c>
      <c r="Y459" s="631">
        <f t="shared" si="835"/>
        <v>1094</v>
      </c>
      <c r="Z459" s="631">
        <f t="shared" si="835"/>
        <v>1170</v>
      </c>
      <c r="AA459" s="629">
        <f t="shared" si="835"/>
        <v>1116</v>
      </c>
      <c r="AB459" s="630">
        <f t="shared" si="835"/>
        <v>1085</v>
      </c>
      <c r="AC459" s="631">
        <f t="shared" si="835"/>
        <v>1188</v>
      </c>
      <c r="AD459" s="631">
        <f t="shared" si="835"/>
        <v>1249</v>
      </c>
      <c r="AE459" s="629">
        <f t="shared" si="835"/>
        <v>1293</v>
      </c>
      <c r="AF459" s="630">
        <f t="shared" si="835"/>
        <v>1246</v>
      </c>
      <c r="AG459" s="631">
        <f t="shared" si="835"/>
        <v>1349</v>
      </c>
      <c r="AH459" s="631">
        <f t="shared" si="835"/>
        <v>1515</v>
      </c>
      <c r="AI459" s="631">
        <f t="shared" si="835"/>
        <v>1537</v>
      </c>
      <c r="AJ459" s="630">
        <f t="shared" si="835"/>
        <v>1462</v>
      </c>
      <c r="AK459" s="631">
        <f t="shared" si="835"/>
        <v>1506</v>
      </c>
      <c r="AL459" s="631">
        <f t="shared" ref="AL459:AO459" si="836">+SUM(AL456:AL458)</f>
        <v>1522</v>
      </c>
      <c r="AM459" s="629">
        <f t="shared" si="836"/>
        <v>1606</v>
      </c>
      <c r="AN459" s="630">
        <f t="shared" si="836"/>
        <v>2220</v>
      </c>
      <c r="AO459" s="631">
        <f t="shared" si="836"/>
        <v>2365</v>
      </c>
      <c r="AP459" s="631">
        <f t="shared" ref="AP459:AQ459" si="837">+SUM(AP456:AP458)</f>
        <v>2469</v>
      </c>
      <c r="AQ459" s="629">
        <f t="shared" si="837"/>
        <v>2440</v>
      </c>
      <c r="AR459" s="630">
        <f t="shared" ref="AR459:AU459" si="838">+SUM(AR456:AR458)</f>
        <v>2211</v>
      </c>
      <c r="AS459" s="631">
        <f t="shared" si="838"/>
        <v>2202</v>
      </c>
      <c r="AT459" s="631">
        <f t="shared" si="838"/>
        <v>2387</v>
      </c>
      <c r="AU459" s="629">
        <f t="shared" si="838"/>
        <v>2456</v>
      </c>
      <c r="AV459" s="630">
        <f t="shared" ref="AV459:AY459" si="839">+SUM(AV456:AV458)</f>
        <v>2325.7800000000002</v>
      </c>
      <c r="AW459" s="631">
        <f t="shared" si="839"/>
        <v>2405.5272</v>
      </c>
      <c r="AX459" s="631">
        <f t="shared" si="839"/>
        <v>2503.7714639999999</v>
      </c>
      <c r="AY459" s="629">
        <f t="shared" si="839"/>
        <v>2465.5820715999998</v>
      </c>
      <c r="AZ459" s="1921"/>
      <c r="BA459" s="630"/>
      <c r="BB459" s="631"/>
      <c r="BC459" s="707">
        <f t="shared" si="784"/>
        <v>2453</v>
      </c>
      <c r="BD459" s="707">
        <f t="shared" si="785"/>
        <v>4402</v>
      </c>
      <c r="BE459" s="707">
        <f t="shared" si="786"/>
        <v>4194</v>
      </c>
      <c r="BF459" s="737">
        <f t="shared" si="787"/>
        <v>4358</v>
      </c>
      <c r="BG459" s="737">
        <f t="shared" si="788"/>
        <v>4815</v>
      </c>
      <c r="BH459" s="707">
        <f t="shared" si="773"/>
        <v>5647</v>
      </c>
      <c r="BI459" s="737">
        <f t="shared" si="774"/>
        <v>6096</v>
      </c>
      <c r="BJ459" s="707">
        <f>SUM(AN459:AQ459)</f>
        <v>9494</v>
      </c>
      <c r="BK459" s="707">
        <f t="shared" si="776"/>
        <v>9256</v>
      </c>
      <c r="BL459" s="707">
        <f t="shared" si="777"/>
        <v>9700.6607356000004</v>
      </c>
      <c r="BM459" s="707">
        <f t="shared" ref="BM459:BN459" si="840">+SUM(BM456:BM458)</f>
        <v>10236.353296964</v>
      </c>
      <c r="BN459" s="707">
        <f t="shared" si="840"/>
        <v>10736.946220764921</v>
      </c>
      <c r="BO459" s="632"/>
    </row>
    <row r="460" spans="1:68" s="595" customFormat="1" ht="14.25" customHeight="1">
      <c r="B460" s="572"/>
      <c r="C460" s="625"/>
      <c r="D460" s="626"/>
      <c r="E460" s="627"/>
      <c r="F460" s="628"/>
      <c r="G460" s="629"/>
      <c r="H460" s="630"/>
      <c r="I460" s="628"/>
      <c r="J460" s="628"/>
      <c r="K460" s="629"/>
      <c r="L460" s="630"/>
      <c r="M460" s="631"/>
      <c r="N460" s="631"/>
      <c r="O460" s="629"/>
      <c r="P460" s="1380"/>
      <c r="Q460" s="1381"/>
      <c r="R460" s="1381"/>
      <c r="S460" s="1382"/>
      <c r="T460" s="1380"/>
      <c r="U460" s="1381"/>
      <c r="V460" s="1381"/>
      <c r="W460" s="1381"/>
      <c r="X460" s="1380"/>
      <c r="Y460" s="1381"/>
      <c r="Z460" s="1381"/>
      <c r="AA460" s="1382"/>
      <c r="AB460" s="1332"/>
      <c r="AC460" s="631"/>
      <c r="AD460" s="631"/>
      <c r="AE460" s="629"/>
      <c r="AF460" s="630"/>
      <c r="AG460" s="631"/>
      <c r="AH460" s="631"/>
      <c r="AI460" s="631"/>
      <c r="AJ460" s="630"/>
      <c r="AK460" s="631"/>
      <c r="AL460" s="631"/>
      <c r="AM460" s="629"/>
      <c r="AN460" s="630"/>
      <c r="AO460" s="631"/>
      <c r="AP460" s="631"/>
      <c r="AQ460" s="629"/>
      <c r="AR460" s="630"/>
      <c r="AS460" s="631"/>
      <c r="AT460" s="631"/>
      <c r="AU460" s="629"/>
      <c r="AV460" s="630"/>
      <c r="AW460" s="631"/>
      <c r="AX460" s="631"/>
      <c r="AY460" s="629"/>
      <c r="AZ460" s="1921"/>
      <c r="BA460" s="630"/>
      <c r="BB460" s="631"/>
      <c r="BC460" s="631"/>
      <c r="BD460" s="631"/>
      <c r="BE460" s="631"/>
      <c r="BF460" s="630"/>
      <c r="BG460" s="630"/>
      <c r="BH460" s="631"/>
      <c r="BI460" s="630"/>
      <c r="BJ460" s="631"/>
      <c r="BK460" s="631"/>
      <c r="BL460" s="631"/>
      <c r="BM460" s="631"/>
      <c r="BN460" s="631"/>
      <c r="BO460" s="632"/>
    </row>
    <row r="461" spans="1:68" s="595" customFormat="1" ht="14.25" customHeight="1">
      <c r="B461" s="572"/>
      <c r="C461" s="625"/>
      <c r="D461" s="626"/>
      <c r="E461" s="627"/>
      <c r="F461" s="628"/>
      <c r="G461" s="629"/>
      <c r="H461" s="630"/>
      <c r="I461" s="628"/>
      <c r="J461" s="628"/>
      <c r="K461" s="629"/>
      <c r="L461" s="630"/>
      <c r="M461" s="631"/>
      <c r="N461" s="631"/>
      <c r="O461" s="629"/>
      <c r="P461" s="630"/>
      <c r="Q461" s="631"/>
      <c r="R461" s="631"/>
      <c r="S461" s="629"/>
      <c r="T461" s="630"/>
      <c r="U461" s="631"/>
      <c r="V461" s="631"/>
      <c r="W461" s="631"/>
      <c r="X461" s="630"/>
      <c r="Y461" s="631"/>
      <c r="Z461" s="631"/>
      <c r="AA461" s="629"/>
      <c r="AB461" s="630"/>
      <c r="AC461" s="631"/>
      <c r="AD461" s="631"/>
      <c r="AE461" s="629"/>
      <c r="AF461" s="630"/>
      <c r="AG461" s="631"/>
      <c r="AH461" s="631"/>
      <c r="AI461" s="631"/>
      <c r="AJ461" s="630"/>
      <c r="AK461" s="631"/>
      <c r="AL461" s="631"/>
      <c r="AM461" s="629"/>
      <c r="AN461" s="630"/>
      <c r="AO461" s="631"/>
      <c r="AP461" s="631"/>
      <c r="AQ461" s="629"/>
      <c r="AR461" s="630"/>
      <c r="AS461" s="631"/>
      <c r="AT461" s="631"/>
      <c r="AU461" s="629"/>
      <c r="AV461" s="630"/>
      <c r="AW461" s="631"/>
      <c r="AX461" s="631"/>
      <c r="AY461" s="629"/>
      <c r="AZ461" s="1921"/>
      <c r="BA461" s="630"/>
      <c r="BB461" s="631"/>
      <c r="BC461" s="631"/>
      <c r="BD461" s="631"/>
      <c r="BE461" s="631"/>
      <c r="BF461" s="630"/>
      <c r="BG461" s="630"/>
      <c r="BH461" s="631"/>
      <c r="BI461" s="630"/>
      <c r="BJ461" s="631"/>
      <c r="BK461" s="631"/>
      <c r="BL461" s="631"/>
      <c r="BM461" s="631"/>
      <c r="BN461" s="631"/>
      <c r="BO461" s="632"/>
    </row>
    <row r="462" spans="1:68" s="595" customFormat="1" ht="14.25" customHeight="1">
      <c r="B462" s="667" t="s">
        <v>465</v>
      </c>
      <c r="C462" s="662"/>
      <c r="D462" s="663"/>
      <c r="E462" s="663"/>
      <c r="F462" s="664"/>
      <c r="G462" s="665"/>
      <c r="H462" s="666"/>
      <c r="I462" s="664"/>
      <c r="J462" s="664"/>
      <c r="K462" s="665"/>
      <c r="L462" s="666"/>
      <c r="M462" s="664"/>
      <c r="N462" s="664"/>
      <c r="O462" s="665"/>
      <c r="P462" s="666"/>
      <c r="Q462" s="664"/>
      <c r="R462" s="664"/>
      <c r="S462" s="665"/>
      <c r="T462" s="666"/>
      <c r="U462" s="664"/>
      <c r="V462" s="664"/>
      <c r="W462" s="664"/>
      <c r="X462" s="666"/>
      <c r="Y462" s="664"/>
      <c r="Z462" s="664"/>
      <c r="AA462" s="665"/>
      <c r="AB462" s="666"/>
      <c r="AC462" s="664"/>
      <c r="AD462" s="664"/>
      <c r="AE462" s="665"/>
      <c r="AF462" s="666"/>
      <c r="AG462" s="664"/>
      <c r="AH462" s="664"/>
      <c r="AI462" s="664"/>
      <c r="AJ462" s="666"/>
      <c r="AK462" s="664"/>
      <c r="AL462" s="664"/>
      <c r="AM462" s="665"/>
      <c r="AN462" s="666"/>
      <c r="AO462" s="664"/>
      <c r="AP462" s="664"/>
      <c r="AQ462" s="665"/>
      <c r="AR462" s="666"/>
      <c r="AS462" s="664"/>
      <c r="AT462" s="664"/>
      <c r="AU462" s="665"/>
      <c r="AV462" s="666"/>
      <c r="AW462" s="664"/>
      <c r="AX462" s="664"/>
      <c r="AY462" s="665"/>
      <c r="AZ462" s="1921"/>
      <c r="BA462" s="666"/>
      <c r="BB462" s="664"/>
      <c r="BC462" s="664"/>
      <c r="BD462" s="664"/>
      <c r="BE462" s="664"/>
      <c r="BF462" s="666"/>
      <c r="BG462" s="630"/>
      <c r="BH462" s="631"/>
      <c r="BI462" s="630"/>
      <c r="BJ462" s="631"/>
      <c r="BK462" s="631"/>
      <c r="BL462" s="631"/>
      <c r="BM462" s="631"/>
      <c r="BN462" s="631"/>
      <c r="BO462" s="632"/>
    </row>
    <row r="463" spans="1:68" s="603" customFormat="1" ht="14.25" customHeight="1">
      <c r="B463" s="640" t="str">
        <f>B450</f>
        <v>Automotives</v>
      </c>
      <c r="C463" s="646"/>
      <c r="D463" s="647"/>
      <c r="E463" s="648"/>
      <c r="F463" s="649"/>
      <c r="G463" s="650"/>
      <c r="H463" s="651"/>
      <c r="I463" s="649"/>
      <c r="J463" s="649"/>
      <c r="K463" s="650"/>
      <c r="L463" s="651"/>
      <c r="M463" s="738">
        <f t="shared" ref="M463:AQ463" si="841">+M450/L450-1</f>
        <v>0.29000000000000004</v>
      </c>
      <c r="N463" s="738">
        <f t="shared" si="841"/>
        <v>0.31782945736434098</v>
      </c>
      <c r="O463" s="650">
        <f t="shared" si="841"/>
        <v>0.27647058823529402</v>
      </c>
      <c r="P463" s="738">
        <f t="shared" si="841"/>
        <v>5.0691244239631228E-2</v>
      </c>
      <c r="Q463" s="738">
        <f t="shared" si="841"/>
        <v>8.7719298245614308E-3</v>
      </c>
      <c r="R463" s="738">
        <f t="shared" si="841"/>
        <v>0</v>
      </c>
      <c r="S463" s="650">
        <f t="shared" si="841"/>
        <v>5.6521739130434678E-2</v>
      </c>
      <c r="T463" s="651">
        <f t="shared" si="841"/>
        <v>-2.0576131687242816E-2</v>
      </c>
      <c r="U463" s="738">
        <f t="shared" si="841"/>
        <v>5.4621848739495826E-2</v>
      </c>
      <c r="V463" s="738">
        <f t="shared" si="841"/>
        <v>-0.11155378486055778</v>
      </c>
      <c r="W463" s="650">
        <f t="shared" si="841"/>
        <v>-2.2421524663677084E-2</v>
      </c>
      <c r="X463" s="738">
        <f t="shared" si="841"/>
        <v>5.0458715596330306E-2</v>
      </c>
      <c r="Y463" s="738">
        <f t="shared" si="841"/>
        <v>6.5502183406113579E-2</v>
      </c>
      <c r="Z463" s="738">
        <f t="shared" si="841"/>
        <v>-2.0491803278688492E-2</v>
      </c>
      <c r="AA463" s="650">
        <f t="shared" si="841"/>
        <v>-5.0209205020920522E-2</v>
      </c>
      <c r="AB463" s="738">
        <f t="shared" si="841"/>
        <v>1.3215859030837107E-2</v>
      </c>
      <c r="AC463" s="738">
        <f t="shared" si="841"/>
        <v>0.10000000000000009</v>
      </c>
      <c r="AD463" s="738">
        <f t="shared" si="841"/>
        <v>3.1620553359683834E-2</v>
      </c>
      <c r="AE463" s="650">
        <f t="shared" si="841"/>
        <v>5.3639846743295028E-2</v>
      </c>
      <c r="AF463" s="738">
        <f t="shared" si="841"/>
        <v>3.6363636363636598E-3</v>
      </c>
      <c r="AG463" s="738">
        <f t="shared" si="841"/>
        <v>4.3478260869565188E-2</v>
      </c>
      <c r="AH463" s="738">
        <f t="shared" si="841"/>
        <v>0</v>
      </c>
      <c r="AI463" s="738">
        <f t="shared" si="841"/>
        <v>1.388888888888884E-2</v>
      </c>
      <c r="AJ463" s="651">
        <f t="shared" si="841"/>
        <v>3.4246575342465668E-2</v>
      </c>
      <c r="AK463" s="738">
        <f t="shared" si="841"/>
        <v>2.6490066225165476E-2</v>
      </c>
      <c r="AL463" s="738">
        <f t="shared" si="841"/>
        <v>-6.4516129032258229E-3</v>
      </c>
      <c r="AM463" s="650">
        <f t="shared" si="841"/>
        <v>0.37012987012987009</v>
      </c>
      <c r="AN463" s="651">
        <f t="shared" si="841"/>
        <v>0.90758293838862558</v>
      </c>
      <c r="AO463" s="738">
        <f t="shared" si="841"/>
        <v>6.5838509316770155E-2</v>
      </c>
      <c r="AP463" s="738">
        <f t="shared" si="841"/>
        <v>-5.8275058275057967E-3</v>
      </c>
      <c r="AQ463" s="650">
        <f t="shared" si="841"/>
        <v>1.1723329425556761E-2</v>
      </c>
      <c r="AR463" s="1166">
        <f t="shared" ref="AR463:AR470" si="842">+AR450/AQ450-1</f>
        <v>4.9826187717265435E-2</v>
      </c>
      <c r="AS463" s="1167">
        <f t="shared" ref="AS463:AS470" si="843">+AS450/AR450-1</f>
        <v>3.5320088300220709E-2</v>
      </c>
      <c r="AT463" s="1167">
        <f t="shared" ref="AT463:AT470" si="844">+AT450/AS450-1</f>
        <v>1.0660980810234477E-2</v>
      </c>
      <c r="AU463" s="1168">
        <f t="shared" ref="AU463:AU470" si="845">+AU450/AT450-1</f>
        <v>2.320675105485237E-2</v>
      </c>
      <c r="AV463" s="1166">
        <f t="shared" ref="AV463:AV470" si="846">+AV450/AU450-1</f>
        <v>4.0000000000000036E-2</v>
      </c>
      <c r="AW463" s="1167">
        <f t="shared" ref="AW463:AW470" si="847">+AW450/AV450-1</f>
        <v>2.4999999999999911E-2</v>
      </c>
      <c r="AX463" s="1167">
        <f t="shared" ref="AX463:AX470" si="848">+AX450/AW450-1</f>
        <v>-2.0000000000000018E-2</v>
      </c>
      <c r="AY463" s="1168">
        <f t="shared" ref="AY463:AY470" si="849">+AY450/AX450-1</f>
        <v>-1.0000000000000009E-2</v>
      </c>
      <c r="AZ463" s="1906"/>
      <c r="BA463" s="696"/>
      <c r="BB463" s="697"/>
      <c r="BC463" s="697"/>
      <c r="BD463" s="697"/>
      <c r="BE463" s="697"/>
      <c r="BF463" s="696"/>
      <c r="BG463" s="696"/>
      <c r="BH463" s="697"/>
      <c r="BI463" s="696"/>
      <c r="BJ463" s="697"/>
      <c r="BK463" s="697"/>
      <c r="BL463" s="697"/>
      <c r="BM463" s="697">
        <f t="shared" ref="BM463:BN470" si="850">+BM450/BL450-1</f>
        <v>5.9999999999999831E-2</v>
      </c>
      <c r="BN463" s="697">
        <f t="shared" si="850"/>
        <v>5.0000000000000044E-2</v>
      </c>
      <c r="BO463" s="605"/>
    </row>
    <row r="464" spans="1:68" s="603" customFormat="1" ht="14.25" customHeight="1">
      <c r="B464" s="640" t="str">
        <f>B451</f>
        <v>Secure Identification Solutions</v>
      </c>
      <c r="C464" s="646"/>
      <c r="D464" s="647"/>
      <c r="E464" s="648"/>
      <c r="F464" s="649"/>
      <c r="G464" s="650"/>
      <c r="H464" s="651"/>
      <c r="I464" s="649"/>
      <c r="J464" s="649"/>
      <c r="K464" s="650"/>
      <c r="L464" s="651"/>
      <c r="M464" s="738" t="str">
        <f t="shared" ref="M464:P465" si="851">IFERROR(+M451/L451-1,"")</f>
        <v/>
      </c>
      <c r="N464" s="738" t="str">
        <f t="shared" si="851"/>
        <v/>
      </c>
      <c r="O464" s="650" t="str">
        <f t="shared" si="851"/>
        <v/>
      </c>
      <c r="P464" s="738" t="str">
        <f t="shared" si="851"/>
        <v/>
      </c>
      <c r="Q464" s="738">
        <f t="shared" ref="Q464:AQ464" si="852">+Q451/P451-1</f>
        <v>4.4247787610619538E-2</v>
      </c>
      <c r="R464" s="738">
        <f t="shared" si="852"/>
        <v>3.3898305084745672E-2</v>
      </c>
      <c r="S464" s="650">
        <f t="shared" si="852"/>
        <v>8.1967213114754189E-2</v>
      </c>
      <c r="T464" s="651">
        <f t="shared" si="852"/>
        <v>0.18181818181818188</v>
      </c>
      <c r="U464" s="738">
        <f t="shared" si="852"/>
        <v>2.564102564102555E-2</v>
      </c>
      <c r="V464" s="738">
        <f t="shared" si="852"/>
        <v>-0.21250000000000002</v>
      </c>
      <c r="W464" s="650">
        <f t="shared" si="852"/>
        <v>-3.9682539682539653E-2</v>
      </c>
      <c r="X464" s="738">
        <f t="shared" si="852"/>
        <v>0.20661157024793386</v>
      </c>
      <c r="Y464" s="738">
        <f t="shared" si="852"/>
        <v>0.10273972602739723</v>
      </c>
      <c r="Z464" s="738">
        <f t="shared" si="852"/>
        <v>0.16149068322981375</v>
      </c>
      <c r="AA464" s="650">
        <f t="shared" si="852"/>
        <v>2.1390374331550888E-2</v>
      </c>
      <c r="AB464" s="738">
        <f t="shared" si="852"/>
        <v>7.3298429319371694E-2</v>
      </c>
      <c r="AC464" s="738">
        <f t="shared" si="852"/>
        <v>0.27317073170731709</v>
      </c>
      <c r="AD464" s="738">
        <f t="shared" si="852"/>
        <v>-3.8314176245211051E-3</v>
      </c>
      <c r="AE464" s="650">
        <f t="shared" si="852"/>
        <v>4.2307692307692379E-2</v>
      </c>
      <c r="AF464" s="738">
        <f t="shared" si="852"/>
        <v>-6.2730627306273101E-2</v>
      </c>
      <c r="AG464" s="738">
        <f t="shared" si="852"/>
        <v>5.1181102362204633E-2</v>
      </c>
      <c r="AH464" s="738">
        <f t="shared" si="852"/>
        <v>-5.6179775280898903E-2</v>
      </c>
      <c r="AI464" s="738">
        <f t="shared" si="852"/>
        <v>-0.11507936507936511</v>
      </c>
      <c r="AJ464" s="651">
        <f t="shared" si="852"/>
        <v>-4.484304932735439E-3</v>
      </c>
      <c r="AK464" s="738">
        <f t="shared" si="852"/>
        <v>0.1576576576576576</v>
      </c>
      <c r="AL464" s="738">
        <f t="shared" si="852"/>
        <v>4.6692607003891107E-2</v>
      </c>
      <c r="AM464" s="650">
        <f t="shared" si="852"/>
        <v>-0.16356877323420072</v>
      </c>
      <c r="AN464" s="651">
        <f t="shared" si="852"/>
        <v>-5.7777777777777817E-2</v>
      </c>
      <c r="AO464" s="738">
        <f t="shared" si="852"/>
        <v>-5.6603773584905648E-2</v>
      </c>
      <c r="AP464" s="738">
        <f t="shared" si="852"/>
        <v>-0.10999999999999999</v>
      </c>
      <c r="AQ464" s="650">
        <f t="shared" si="852"/>
        <v>-0.1741573033707865</v>
      </c>
      <c r="AR464" s="651">
        <f t="shared" si="842"/>
        <v>-0.22448979591836737</v>
      </c>
      <c r="AS464" s="738">
        <f t="shared" si="843"/>
        <v>0.17543859649122817</v>
      </c>
      <c r="AT464" s="738">
        <f t="shared" si="844"/>
        <v>3.7313432835820892E-2</v>
      </c>
      <c r="AU464" s="650">
        <f t="shared" si="845"/>
        <v>-2.1582733812949617E-2</v>
      </c>
      <c r="AV464" s="651">
        <f t="shared" si="846"/>
        <v>-7.0000000000000062E-2</v>
      </c>
      <c r="AW464" s="738">
        <f t="shared" si="847"/>
        <v>4.0000000000000036E-2</v>
      </c>
      <c r="AX464" s="738">
        <f t="shared" si="848"/>
        <v>2.0000000000000018E-2</v>
      </c>
      <c r="AY464" s="650">
        <f t="shared" si="849"/>
        <v>0</v>
      </c>
      <c r="AZ464" s="1906"/>
      <c r="BA464" s="652"/>
      <c r="BB464" s="317"/>
      <c r="BC464" s="317"/>
      <c r="BD464" s="317"/>
      <c r="BE464" s="317"/>
      <c r="BF464" s="652"/>
      <c r="BG464" s="652"/>
      <c r="BH464" s="317"/>
      <c r="BI464" s="652"/>
      <c r="BJ464" s="317"/>
      <c r="BK464" s="317"/>
      <c r="BL464" s="317"/>
      <c r="BM464" s="317">
        <f t="shared" si="850"/>
        <v>0</v>
      </c>
      <c r="BN464" s="317">
        <f t="shared" si="850"/>
        <v>0</v>
      </c>
      <c r="BO464" s="605"/>
    </row>
    <row r="465" spans="2:67" s="603" customFormat="1" ht="14.25" customHeight="1">
      <c r="B465" s="640" t="str">
        <f>B452</f>
        <v>Secure Connected Devices</v>
      </c>
      <c r="C465" s="646"/>
      <c r="D465" s="647"/>
      <c r="E465" s="648"/>
      <c r="F465" s="649"/>
      <c r="G465" s="650"/>
      <c r="H465" s="651"/>
      <c r="I465" s="649"/>
      <c r="J465" s="649"/>
      <c r="K465" s="650"/>
      <c r="L465" s="651"/>
      <c r="M465" s="738" t="str">
        <f t="shared" si="851"/>
        <v/>
      </c>
      <c r="N465" s="738" t="str">
        <f t="shared" si="851"/>
        <v/>
      </c>
      <c r="O465" s="650" t="str">
        <f t="shared" si="851"/>
        <v/>
      </c>
      <c r="P465" s="738" t="str">
        <f t="shared" si="851"/>
        <v/>
      </c>
      <c r="Q465" s="738">
        <f t="shared" ref="Q465:AQ465" si="853">+Q452/P452-1</f>
        <v>2.9629629629629672E-2</v>
      </c>
      <c r="R465" s="738">
        <f t="shared" si="853"/>
        <v>-3.5971223021582732E-2</v>
      </c>
      <c r="S465" s="650">
        <f t="shared" si="853"/>
        <v>-4.4776119402985093E-2</v>
      </c>
      <c r="T465" s="651">
        <f t="shared" si="853"/>
        <v>4.6875E-2</v>
      </c>
      <c r="U465" s="738">
        <f t="shared" si="853"/>
        <v>5.9701492537313383E-2</v>
      </c>
      <c r="V465" s="738">
        <f t="shared" si="853"/>
        <v>4.9295774647887258E-2</v>
      </c>
      <c r="W465" s="650">
        <f t="shared" si="853"/>
        <v>-7.3825503355704702E-2</v>
      </c>
      <c r="X465" s="738">
        <f t="shared" si="853"/>
        <v>-3.6231884057971064E-2</v>
      </c>
      <c r="Y465" s="738">
        <f t="shared" si="853"/>
        <v>0.35338345864661647</v>
      </c>
      <c r="Z465" s="738">
        <f t="shared" si="853"/>
        <v>5.555555555555558E-2</v>
      </c>
      <c r="AA465" s="650">
        <f t="shared" si="853"/>
        <v>1.0526315789473717E-2</v>
      </c>
      <c r="AB465" s="738">
        <f t="shared" si="853"/>
        <v>-2.083333333333337E-2</v>
      </c>
      <c r="AC465" s="738">
        <f t="shared" si="853"/>
        <v>-2.6595744680851019E-2</v>
      </c>
      <c r="AD465" s="738">
        <f t="shared" si="853"/>
        <v>2.732240437158473E-2</v>
      </c>
      <c r="AE465" s="650">
        <f t="shared" si="853"/>
        <v>2.659574468085113E-2</v>
      </c>
      <c r="AF465" s="738">
        <f t="shared" si="853"/>
        <v>-6.7357512953367893E-2</v>
      </c>
      <c r="AG465" s="738">
        <f t="shared" si="853"/>
        <v>0.10000000000000009</v>
      </c>
      <c r="AH465" s="738">
        <f t="shared" si="853"/>
        <v>0.52020202020202011</v>
      </c>
      <c r="AI465" s="738">
        <f t="shared" si="853"/>
        <v>0.15946843853820591</v>
      </c>
      <c r="AJ465" s="651">
        <f t="shared" si="853"/>
        <v>-0.17191977077363896</v>
      </c>
      <c r="AK465" s="738">
        <f t="shared" si="853"/>
        <v>-4.4982698961937739E-2</v>
      </c>
      <c r="AL465" s="738">
        <f t="shared" si="853"/>
        <v>0.14855072463768115</v>
      </c>
      <c r="AM465" s="650">
        <f t="shared" si="853"/>
        <v>0.19558359621451094</v>
      </c>
      <c r="AN465" s="651">
        <f t="shared" si="853"/>
        <v>0.24274406332453835</v>
      </c>
      <c r="AO465" s="738">
        <f t="shared" si="853"/>
        <v>9.1295116772823759E-2</v>
      </c>
      <c r="AP465" s="738">
        <f t="shared" si="853"/>
        <v>0.15175097276264582</v>
      </c>
      <c r="AQ465" s="650">
        <f t="shared" si="853"/>
        <v>-3.8851351351351315E-2</v>
      </c>
      <c r="AR465" s="651">
        <f t="shared" si="842"/>
        <v>-4.9209138840070277E-2</v>
      </c>
      <c r="AS465" s="738">
        <f t="shared" si="843"/>
        <v>8.687615526802217E-2</v>
      </c>
      <c r="AT465" s="738">
        <f t="shared" si="844"/>
        <v>0.21258503401360551</v>
      </c>
      <c r="AU465" s="650">
        <f t="shared" si="845"/>
        <v>4.4880785413744739E-2</v>
      </c>
      <c r="AV465" s="651">
        <f t="shared" si="846"/>
        <v>-0.16999999999999993</v>
      </c>
      <c r="AW465" s="738">
        <f t="shared" si="847"/>
        <v>8.0000000000000071E-2</v>
      </c>
      <c r="AX465" s="738">
        <f t="shared" si="848"/>
        <v>0.15999999999999992</v>
      </c>
      <c r="AY465" s="650">
        <f t="shared" si="849"/>
        <v>-3.0000000000000027E-2</v>
      </c>
      <c r="AZ465" s="1906"/>
      <c r="BA465" s="652"/>
      <c r="BB465" s="317"/>
      <c r="BC465" s="317"/>
      <c r="BD465" s="317"/>
      <c r="BE465" s="317"/>
      <c r="BF465" s="652"/>
      <c r="BG465" s="652"/>
      <c r="BH465" s="317"/>
      <c r="BI465" s="652"/>
      <c r="BJ465" s="317"/>
      <c r="BK465" s="317"/>
      <c r="BL465" s="317"/>
      <c r="BM465" s="317">
        <f t="shared" si="850"/>
        <v>9.000000000000008E-2</v>
      </c>
      <c r="BN465" s="317">
        <f t="shared" si="850"/>
        <v>8.0000000000000071E-2</v>
      </c>
      <c r="BO465" s="605"/>
    </row>
    <row r="466" spans="2:67" s="658" customFormat="1" ht="14.25" customHeight="1">
      <c r="B466" s="644" t="str">
        <f>B453</f>
        <v xml:space="preserve">Secure Interface &amp; Infrastructure </v>
      </c>
      <c r="C466" s="674"/>
      <c r="D466" s="675"/>
      <c r="E466" s="676"/>
      <c r="F466" s="677"/>
      <c r="G466" s="678"/>
      <c r="H466" s="679"/>
      <c r="I466" s="677"/>
      <c r="J466" s="677"/>
      <c r="K466" s="678"/>
      <c r="L466" s="679"/>
      <c r="M466" s="739"/>
      <c r="N466" s="739"/>
      <c r="O466" s="678"/>
      <c r="P466" s="739"/>
      <c r="Q466" s="739">
        <f t="shared" ref="Q466:AQ466" si="854">+Q453/P453-1</f>
        <v>6.4516129032258007E-2</v>
      </c>
      <c r="R466" s="739">
        <f t="shared" si="854"/>
        <v>-1.2121212121212088E-2</v>
      </c>
      <c r="S466" s="678">
        <f t="shared" si="854"/>
        <v>-8.5889570552147187E-2</v>
      </c>
      <c r="T466" s="679">
        <f t="shared" si="854"/>
        <v>-5.3691275167785268E-2</v>
      </c>
      <c r="U466" s="739">
        <f t="shared" si="854"/>
        <v>0.12056737588652489</v>
      </c>
      <c r="V466" s="739">
        <f t="shared" si="854"/>
        <v>5.6962025316455778E-2</v>
      </c>
      <c r="W466" s="678">
        <f t="shared" si="854"/>
        <v>-0.21556886227544914</v>
      </c>
      <c r="X466" s="739">
        <f t="shared" si="854"/>
        <v>5.3435114503816772E-2</v>
      </c>
      <c r="Y466" s="739">
        <f t="shared" si="854"/>
        <v>0.13043478260869557</v>
      </c>
      <c r="Z466" s="739">
        <f t="shared" si="854"/>
        <v>0.20512820512820507</v>
      </c>
      <c r="AA466" s="678">
        <f t="shared" si="854"/>
        <v>-6.9148936170212782E-2</v>
      </c>
      <c r="AB466" s="739">
        <f t="shared" si="854"/>
        <v>-0.12571428571428567</v>
      </c>
      <c r="AC466" s="739">
        <f t="shared" si="854"/>
        <v>0.18300653594771243</v>
      </c>
      <c r="AD466" s="739">
        <f t="shared" si="854"/>
        <v>0.17679558011049723</v>
      </c>
      <c r="AE466" s="678">
        <f t="shared" si="854"/>
        <v>2.3474178403755763E-2</v>
      </c>
      <c r="AF466" s="739">
        <f t="shared" si="854"/>
        <v>-7.3394495412844041E-2</v>
      </c>
      <c r="AG466" s="739">
        <f t="shared" si="854"/>
        <v>0.16336633663366329</v>
      </c>
      <c r="AH466" s="739">
        <f t="shared" si="854"/>
        <v>0.26808510638297878</v>
      </c>
      <c r="AI466" s="739">
        <f t="shared" si="854"/>
        <v>2.3489932885905951E-2</v>
      </c>
      <c r="AJ466" s="679">
        <f t="shared" si="854"/>
        <v>-4.5901639344262279E-2</v>
      </c>
      <c r="AK466" s="739">
        <f t="shared" si="854"/>
        <v>4.1237113402061931E-2</v>
      </c>
      <c r="AL466" s="739">
        <f t="shared" si="854"/>
        <v>-0.1089108910891089</v>
      </c>
      <c r="AM466" s="678">
        <f t="shared" si="854"/>
        <v>3.7037037037036979E-2</v>
      </c>
      <c r="AN466" s="679">
        <f t="shared" si="854"/>
        <v>0.51071428571428568</v>
      </c>
      <c r="AO466" s="739">
        <f t="shared" si="854"/>
        <v>4.4917257683215084E-2</v>
      </c>
      <c r="AP466" s="739">
        <f t="shared" si="854"/>
        <v>7.6923076923076872E-2</v>
      </c>
      <c r="AQ466" s="678">
        <f t="shared" si="854"/>
        <v>1.4705882352941124E-2</v>
      </c>
      <c r="AR466" s="679">
        <f t="shared" si="842"/>
        <v>-6.8322981366459645E-2</v>
      </c>
      <c r="AS466" s="739">
        <f t="shared" si="843"/>
        <v>-2.6666666666666616E-2</v>
      </c>
      <c r="AT466" s="739">
        <f t="shared" si="844"/>
        <v>0.11415525114155245</v>
      </c>
      <c r="AU466" s="678">
        <f t="shared" si="845"/>
        <v>1.8442622950819665E-2</v>
      </c>
      <c r="AV466" s="679">
        <f t="shared" si="846"/>
        <v>-5.0000000000000044E-2</v>
      </c>
      <c r="AW466" s="739">
        <f t="shared" si="847"/>
        <v>0</v>
      </c>
      <c r="AX466" s="739">
        <f t="shared" si="848"/>
        <v>2.0000000000000018E-2</v>
      </c>
      <c r="AY466" s="678">
        <f t="shared" si="849"/>
        <v>-1.0000000000000009E-2</v>
      </c>
      <c r="AZ466" s="1922"/>
      <c r="BA466" s="659"/>
      <c r="BB466" s="660"/>
      <c r="BC466" s="660"/>
      <c r="BD466" s="660"/>
      <c r="BE466" s="660"/>
      <c r="BF466" s="659"/>
      <c r="BG466" s="659"/>
      <c r="BH466" s="660"/>
      <c r="BI466" s="659"/>
      <c r="BJ466" s="660"/>
      <c r="BK466" s="660"/>
      <c r="BL466" s="660"/>
      <c r="BM466" s="660">
        <f t="shared" si="850"/>
        <v>1.0000000000000009E-2</v>
      </c>
      <c r="BN466" s="660">
        <f t="shared" si="850"/>
        <v>1.0000000000000009E-2</v>
      </c>
      <c r="BO466" s="661"/>
    </row>
    <row r="467" spans="2:67" s="653" customFormat="1" ht="14.25" customHeight="1">
      <c r="B467" s="645" t="s">
        <v>332</v>
      </c>
      <c r="C467" s="641"/>
      <c r="D467" s="642"/>
      <c r="E467" s="486"/>
      <c r="F467" s="487"/>
      <c r="G467" s="488"/>
      <c r="H467" s="643"/>
      <c r="I467" s="487"/>
      <c r="J467" s="487"/>
      <c r="K467" s="488"/>
      <c r="L467" s="643"/>
      <c r="M467" s="738">
        <f>+M454/L454-1</f>
        <v>0.20437956204379559</v>
      </c>
      <c r="N467" s="489">
        <f>+N454/M454-1</f>
        <v>0.26666666666666661</v>
      </c>
      <c r="O467" s="488">
        <f>+O454/N454-1</f>
        <v>0.17224880382775121</v>
      </c>
      <c r="P467" s="489">
        <f>+P454/O454-1</f>
        <v>0.28775510204081622</v>
      </c>
      <c r="Q467" s="489">
        <f t="shared" ref="Q467:AQ467" si="855">+Q454/P454-1</f>
        <v>3.3280507131537185E-2</v>
      </c>
      <c r="R467" s="489">
        <f t="shared" si="855"/>
        <v>-4.6012269938650041E-3</v>
      </c>
      <c r="S467" s="488">
        <f t="shared" si="855"/>
        <v>4.6224961479199855E-3</v>
      </c>
      <c r="T467" s="643">
        <f t="shared" si="855"/>
        <v>2.6073619631901801E-2</v>
      </c>
      <c r="U467" s="489">
        <f t="shared" si="855"/>
        <v>6.2780269058295923E-2</v>
      </c>
      <c r="V467" s="489">
        <f t="shared" si="855"/>
        <v>-6.469760900140642E-2</v>
      </c>
      <c r="W467" s="488">
        <f t="shared" si="855"/>
        <v>-8.5714285714285743E-2</v>
      </c>
      <c r="X467" s="489">
        <f t="shared" si="855"/>
        <v>6.25E-2</v>
      </c>
      <c r="Y467" s="489">
        <f t="shared" si="855"/>
        <v>0.14705882352941169</v>
      </c>
      <c r="Z467" s="489">
        <f t="shared" si="855"/>
        <v>8.5020242914979782E-2</v>
      </c>
      <c r="AA467" s="488">
        <f t="shared" si="855"/>
        <v>-2.3631840796019876E-2</v>
      </c>
      <c r="AB467" s="489">
        <f t="shared" si="855"/>
        <v>-1.1464968152866239E-2</v>
      </c>
      <c r="AC467" s="489">
        <f t="shared" si="855"/>
        <v>0.13144329896907214</v>
      </c>
      <c r="AD467" s="489">
        <f t="shared" si="855"/>
        <v>5.0113895216400861E-2</v>
      </c>
      <c r="AE467" s="488">
        <f t="shared" si="855"/>
        <v>3.7960954446854656E-2</v>
      </c>
      <c r="AF467" s="489">
        <f t="shared" si="855"/>
        <v>-4.7021943573667735E-2</v>
      </c>
      <c r="AG467" s="489">
        <f t="shared" si="855"/>
        <v>8.3333333333333259E-2</v>
      </c>
      <c r="AH467" s="489">
        <f t="shared" si="855"/>
        <v>0.15283400809716596</v>
      </c>
      <c r="AI467" s="489">
        <f t="shared" si="855"/>
        <v>2.6338893766461702E-2</v>
      </c>
      <c r="AJ467" s="643">
        <f t="shared" si="855"/>
        <v>-5.5603079555175405E-2</v>
      </c>
      <c r="AK467" s="489">
        <f t="shared" si="855"/>
        <v>3.8043478260869623E-2</v>
      </c>
      <c r="AL467" s="489">
        <f t="shared" si="855"/>
        <v>1.5706806282722585E-2</v>
      </c>
      <c r="AM467" s="488">
        <f t="shared" si="855"/>
        <v>0.12199312714776633</v>
      </c>
      <c r="AN467" s="643">
        <f t="shared" si="855"/>
        <v>0.46324655436447171</v>
      </c>
      <c r="AO467" s="489">
        <f t="shared" si="855"/>
        <v>5.3898482469911135E-2</v>
      </c>
      <c r="AP467" s="489">
        <f t="shared" si="855"/>
        <v>4.2204568023833211E-2</v>
      </c>
      <c r="AQ467" s="488">
        <f t="shared" si="855"/>
        <v>-1.7627441638875641E-2</v>
      </c>
      <c r="AR467" s="643">
        <f t="shared" si="842"/>
        <v>-2.4733268671192965E-2</v>
      </c>
      <c r="AS467" s="489">
        <f t="shared" si="843"/>
        <v>4.326205867727495E-2</v>
      </c>
      <c r="AT467" s="489">
        <f t="shared" si="844"/>
        <v>9.0562440419447165E-2</v>
      </c>
      <c r="AU467" s="488">
        <f t="shared" si="845"/>
        <v>2.6223776223776252E-2</v>
      </c>
      <c r="AV467" s="643">
        <f t="shared" si="846"/>
        <v>-5.2052810902896041E-2</v>
      </c>
      <c r="AW467" s="489">
        <f t="shared" si="847"/>
        <v>3.5828877966375794E-2</v>
      </c>
      <c r="AX467" s="489">
        <f t="shared" si="848"/>
        <v>4.2612494010046742E-2</v>
      </c>
      <c r="AY467" s="488">
        <f t="shared" si="849"/>
        <v>-1.5887280871722753E-2</v>
      </c>
      <c r="AZ467" s="1923"/>
      <c r="BA467" s="655"/>
      <c r="BB467" s="656"/>
      <c r="BC467" s="656"/>
      <c r="BD467" s="656"/>
      <c r="BE467" s="656"/>
      <c r="BF467" s="655"/>
      <c r="BG467" s="655"/>
      <c r="BH467" s="656"/>
      <c r="BI467" s="1640"/>
      <c r="BJ467" s="1641"/>
      <c r="BK467" s="1641"/>
      <c r="BL467" s="1641"/>
      <c r="BM467" s="1641">
        <f t="shared" si="850"/>
        <v>5.5446873724797952E-2</v>
      </c>
      <c r="BN467" s="1641">
        <f t="shared" si="850"/>
        <v>4.8856526379225773E-2</v>
      </c>
      <c r="BO467" s="657"/>
    </row>
    <row r="468" spans="2:67" s="658" customFormat="1" ht="14.25" customHeight="1">
      <c r="B468" s="644" t="s">
        <v>331</v>
      </c>
      <c r="C468" s="674"/>
      <c r="D468" s="675"/>
      <c r="E468" s="676"/>
      <c r="F468" s="677"/>
      <c r="G468" s="678"/>
      <c r="H468" s="679"/>
      <c r="I468" s="677"/>
      <c r="J468" s="677"/>
      <c r="K468" s="678"/>
      <c r="L468" s="679"/>
      <c r="M468" s="739"/>
      <c r="N468" s="739"/>
      <c r="O468" s="678"/>
      <c r="P468" s="739"/>
      <c r="Q468" s="739">
        <f t="shared" ref="Q468:AQ468" si="856">+Q455/P455-1</f>
        <v>4.4444444444444509E-2</v>
      </c>
      <c r="R468" s="739">
        <f t="shared" si="856"/>
        <v>5.3191489361702038E-2</v>
      </c>
      <c r="S468" s="678">
        <f t="shared" si="856"/>
        <v>-3.3670033670033517E-3</v>
      </c>
      <c r="T468" s="679">
        <f t="shared" si="856"/>
        <v>7.4324324324324342E-2</v>
      </c>
      <c r="U468" s="739">
        <f t="shared" si="856"/>
        <v>1.572327044025168E-2</v>
      </c>
      <c r="V468" s="739">
        <f t="shared" si="856"/>
        <v>-2.4767801857585092E-2</v>
      </c>
      <c r="W468" s="678">
        <f t="shared" si="856"/>
        <v>-0.17460317460317465</v>
      </c>
      <c r="X468" s="739">
        <f t="shared" si="856"/>
        <v>5.3846153846153877E-2</v>
      </c>
      <c r="Y468" s="739">
        <f t="shared" si="856"/>
        <v>6.2043795620438047E-2</v>
      </c>
      <c r="Z468" s="739">
        <f t="shared" si="856"/>
        <v>8.5910652920962116E-2</v>
      </c>
      <c r="AA468" s="678">
        <f t="shared" si="856"/>
        <v>-9.1772151898734222E-2</v>
      </c>
      <c r="AB468" s="739">
        <f t="shared" si="856"/>
        <v>-2.7874564459930307E-2</v>
      </c>
      <c r="AC468" s="739">
        <f t="shared" si="856"/>
        <v>7.1684587813620748E-3</v>
      </c>
      <c r="AD468" s="739">
        <f t="shared" si="856"/>
        <v>3.5587188612099752E-2</v>
      </c>
      <c r="AE468" s="678">
        <f t="shared" si="856"/>
        <v>1.0309278350515427E-2</v>
      </c>
      <c r="AF468" s="739">
        <f t="shared" si="856"/>
        <v>3.4013605442175798E-3</v>
      </c>
      <c r="AG468" s="739">
        <f t="shared" si="856"/>
        <v>7.118644067796609E-2</v>
      </c>
      <c r="AH468" s="739">
        <f t="shared" si="856"/>
        <v>5.3797468354430444E-2</v>
      </c>
      <c r="AI468" s="739">
        <f t="shared" si="856"/>
        <v>-6.0060060060059817E-3</v>
      </c>
      <c r="AJ468" s="679">
        <f t="shared" si="856"/>
        <v>-2.4169184290030232E-2</v>
      </c>
      <c r="AK468" s="739">
        <f t="shared" si="856"/>
        <v>-3.0959752321981782E-3</v>
      </c>
      <c r="AL468" s="739">
        <f t="shared" si="856"/>
        <v>9.3167701863354768E-3</v>
      </c>
      <c r="AM468" s="678">
        <f t="shared" si="856"/>
        <v>-0.16615384615384621</v>
      </c>
      <c r="AN468" s="679">
        <f t="shared" si="856"/>
        <v>1.1070110701107083E-2</v>
      </c>
      <c r="AO468" s="739">
        <f t="shared" si="856"/>
        <v>0.1058394160583942</v>
      </c>
      <c r="AP468" s="739">
        <f t="shared" si="856"/>
        <v>5.6105610561056007E-2</v>
      </c>
      <c r="AQ468" s="678">
        <f t="shared" si="856"/>
        <v>9.3749999999999112E-3</v>
      </c>
      <c r="AR468" s="679">
        <f t="shared" si="842"/>
        <v>-0.6346749226006192</v>
      </c>
      <c r="AS468" s="739"/>
      <c r="AT468" s="739"/>
      <c r="AU468" s="678"/>
      <c r="AV468" s="679"/>
      <c r="AW468" s="739"/>
      <c r="AX468" s="739"/>
      <c r="AY468" s="678"/>
      <c r="AZ468" s="1922"/>
      <c r="BA468" s="659"/>
      <c r="BB468" s="660"/>
      <c r="BC468" s="660"/>
      <c r="BD468" s="660"/>
      <c r="BE468" s="660"/>
      <c r="BF468" s="659"/>
      <c r="BG468" s="659"/>
      <c r="BH468" s="660"/>
      <c r="BI468" s="659"/>
      <c r="BJ468" s="660"/>
      <c r="BK468" s="660"/>
      <c r="BL468" s="660"/>
      <c r="BM468" s="660"/>
      <c r="BN468" s="660"/>
      <c r="BO468" s="661"/>
    </row>
    <row r="469" spans="2:67" s="653" customFormat="1" ht="14.25" customHeight="1">
      <c r="B469" s="645" t="s">
        <v>469</v>
      </c>
      <c r="C469" s="641"/>
      <c r="D469" s="642"/>
      <c r="E469" s="486"/>
      <c r="F469" s="487"/>
      <c r="G469" s="488"/>
      <c r="H469" s="643"/>
      <c r="I469" s="487"/>
      <c r="J469" s="487"/>
      <c r="K469" s="488"/>
      <c r="L469" s="643"/>
      <c r="M469" s="738">
        <f t="shared" ref="M469:P472" si="857">+M456/L456-1</f>
        <v>0.20437956204379559</v>
      </c>
      <c r="N469" s="489">
        <f t="shared" si="857"/>
        <v>0.26666666666666661</v>
      </c>
      <c r="O469" s="488">
        <f t="shared" si="857"/>
        <v>0.17224880382775121</v>
      </c>
      <c r="P469" s="489">
        <f t="shared" si="857"/>
        <v>0.8387755102040817</v>
      </c>
      <c r="Q469" s="489">
        <f t="shared" ref="Q469:AQ469" si="858">+Q456/P456-1</f>
        <v>3.662597114317423E-2</v>
      </c>
      <c r="R469" s="489">
        <f t="shared" si="858"/>
        <v>1.2847965738758127E-2</v>
      </c>
      <c r="S469" s="488">
        <f t="shared" si="858"/>
        <v>2.1141649048626032E-3</v>
      </c>
      <c r="T469" s="643">
        <f t="shared" si="858"/>
        <v>4.1139240506329111E-2</v>
      </c>
      <c r="U469" s="489">
        <f t="shared" si="858"/>
        <v>4.7619047619047672E-2</v>
      </c>
      <c r="V469" s="489">
        <f t="shared" si="858"/>
        <v>-5.2224371373307599E-2</v>
      </c>
      <c r="W469" s="488">
        <f t="shared" si="858"/>
        <v>-0.11428571428571432</v>
      </c>
      <c r="X469" s="489">
        <f t="shared" si="858"/>
        <v>5.9907834101382562E-2</v>
      </c>
      <c r="Y469" s="489">
        <f t="shared" si="858"/>
        <v>0.12173913043478257</v>
      </c>
      <c r="Z469" s="489">
        <f t="shared" si="858"/>
        <v>8.5271317829457294E-2</v>
      </c>
      <c r="AA469" s="488">
        <f t="shared" si="858"/>
        <v>-4.2857142857142816E-2</v>
      </c>
      <c r="AB469" s="489">
        <f t="shared" si="858"/>
        <v>-1.5858208955223829E-2</v>
      </c>
      <c r="AC469" s="489">
        <f t="shared" si="858"/>
        <v>9.8578199052132609E-2</v>
      </c>
      <c r="AD469" s="489">
        <f t="shared" si="858"/>
        <v>4.6591889559965516E-2</v>
      </c>
      <c r="AE469" s="488">
        <f t="shared" si="858"/>
        <v>3.1327287716405694E-2</v>
      </c>
      <c r="AF469" s="489">
        <f t="shared" si="858"/>
        <v>-3.5171862509992047E-2</v>
      </c>
      <c r="AG469" s="489">
        <f t="shared" si="858"/>
        <v>8.0364540182270128E-2</v>
      </c>
      <c r="AH469" s="489">
        <f t="shared" si="858"/>
        <v>0.12883435582822078</v>
      </c>
      <c r="AI469" s="489">
        <f t="shared" si="858"/>
        <v>1.9021739130434812E-2</v>
      </c>
      <c r="AJ469" s="643">
        <f t="shared" si="858"/>
        <v>-4.8666666666666636E-2</v>
      </c>
      <c r="AK469" s="489">
        <f t="shared" si="858"/>
        <v>2.8731604765241725E-2</v>
      </c>
      <c r="AL469" s="489">
        <f t="shared" si="858"/>
        <v>1.4305177111716638E-2</v>
      </c>
      <c r="AM469" s="488">
        <f t="shared" si="858"/>
        <v>5.9100067159167269E-2</v>
      </c>
      <c r="AN469" s="643">
        <f t="shared" si="858"/>
        <v>0.3855421686746987</v>
      </c>
      <c r="AO469" s="489">
        <f t="shared" si="858"/>
        <v>6.0411899313501216E-2</v>
      </c>
      <c r="AP469" s="489">
        <f t="shared" si="858"/>
        <v>4.4022442813983709E-2</v>
      </c>
      <c r="AQ469" s="488">
        <f t="shared" si="858"/>
        <v>-1.4055394791236075E-2</v>
      </c>
      <c r="AR469" s="643">
        <f t="shared" si="842"/>
        <v>-0.10733752620545078</v>
      </c>
      <c r="AS469" s="489">
        <f t="shared" si="843"/>
        <v>-1.4560826679192118E-2</v>
      </c>
      <c r="AT469" s="489">
        <f t="shared" si="844"/>
        <v>9.0562440419447165E-2</v>
      </c>
      <c r="AU469" s="488">
        <f t="shared" si="845"/>
        <v>2.6223776223776252E-2</v>
      </c>
      <c r="AV469" s="643">
        <f t="shared" si="846"/>
        <v>-5.2052810902896041E-2</v>
      </c>
      <c r="AW469" s="489">
        <f t="shared" si="847"/>
        <v>3.5828877966375794E-2</v>
      </c>
      <c r="AX469" s="489">
        <f t="shared" si="848"/>
        <v>4.2612494010046742E-2</v>
      </c>
      <c r="AY469" s="488">
        <f t="shared" si="849"/>
        <v>-1.5887280871722753E-2</v>
      </c>
      <c r="AZ469" s="1923"/>
      <c r="BA469" s="655"/>
      <c r="BB469" s="656"/>
      <c r="BC469" s="656"/>
      <c r="BD469" s="656"/>
      <c r="BE469" s="656"/>
      <c r="BF469" s="655"/>
      <c r="BG469" s="655"/>
      <c r="BH469" s="656"/>
      <c r="BI469" s="1640"/>
      <c r="BJ469" s="1641"/>
      <c r="BK469" s="1641"/>
      <c r="BL469" s="1641"/>
      <c r="BM469" s="1641">
        <f t="shared" si="850"/>
        <v>5.5446873724797952E-2</v>
      </c>
      <c r="BN469" s="1641">
        <f t="shared" si="850"/>
        <v>4.8856526379225773E-2</v>
      </c>
      <c r="BO469" s="657"/>
    </row>
    <row r="470" spans="2:67" s="603" customFormat="1" ht="14.25" customHeight="1">
      <c r="B470" s="640" t="s">
        <v>344</v>
      </c>
      <c r="C470" s="646"/>
      <c r="D470" s="647"/>
      <c r="E470" s="648"/>
      <c r="F470" s="649"/>
      <c r="G470" s="650"/>
      <c r="H470" s="651"/>
      <c r="I470" s="649"/>
      <c r="J470" s="649"/>
      <c r="K470" s="650"/>
      <c r="L470" s="651"/>
      <c r="M470" s="738">
        <f t="shared" si="857"/>
        <v>0.47540983606557385</v>
      </c>
      <c r="N470" s="738">
        <f t="shared" si="857"/>
        <v>6.6666666666666652E-2</v>
      </c>
      <c r="O470" s="650">
        <f t="shared" si="857"/>
        <v>0.21875</v>
      </c>
      <c r="P470" s="738">
        <f t="shared" si="857"/>
        <v>0.170940170940171</v>
      </c>
      <c r="Q470" s="738">
        <f t="shared" ref="Q470:AQ470" si="859">+Q457/P457-1</f>
        <v>0.35036496350364965</v>
      </c>
      <c r="R470" s="738">
        <f t="shared" si="859"/>
        <v>-5.9459459459459407E-2</v>
      </c>
      <c r="S470" s="650">
        <f t="shared" si="859"/>
        <v>-0.25287356321839083</v>
      </c>
      <c r="T470" s="651">
        <f t="shared" si="859"/>
        <v>-0.26923076923076927</v>
      </c>
      <c r="U470" s="738">
        <f t="shared" si="859"/>
        <v>-8.4210526315789513E-2</v>
      </c>
      <c r="V470" s="738">
        <f t="shared" si="859"/>
        <v>-8.0459770114942541E-2</v>
      </c>
      <c r="W470" s="650">
        <f t="shared" si="859"/>
        <v>-0.21250000000000002</v>
      </c>
      <c r="X470" s="738">
        <f t="shared" si="859"/>
        <v>-7.9365079365079416E-2</v>
      </c>
      <c r="Y470" s="738">
        <f t="shared" si="859"/>
        <v>6.8965517241379226E-2</v>
      </c>
      <c r="Z470" s="738">
        <f t="shared" si="859"/>
        <v>-0.19354838709677424</v>
      </c>
      <c r="AA470" s="650">
        <f t="shared" si="859"/>
        <v>-0.12</v>
      </c>
      <c r="AB470" s="738">
        <f t="shared" si="859"/>
        <v>-0.31818181818181823</v>
      </c>
      <c r="AC470" s="738">
        <f t="shared" si="859"/>
        <v>-3.3333333333333326E-2</v>
      </c>
      <c r="AD470" s="738">
        <f t="shared" si="859"/>
        <v>0.24137931034482762</v>
      </c>
      <c r="AE470" s="650">
        <f t="shared" si="859"/>
        <v>0.16666666666666674</v>
      </c>
      <c r="AF470" s="738">
        <f t="shared" si="859"/>
        <v>-7.1428571428571397E-2</v>
      </c>
      <c r="AG470" s="738">
        <f t="shared" si="859"/>
        <v>0.15384615384615374</v>
      </c>
      <c r="AH470" s="738">
        <f t="shared" si="859"/>
        <v>-4.4444444444444398E-2</v>
      </c>
      <c r="AI470" s="738">
        <f t="shared" si="859"/>
        <v>-0.13953488372093026</v>
      </c>
      <c r="AJ470" s="651">
        <f t="shared" si="859"/>
        <v>-5.4054054054054057E-2</v>
      </c>
      <c r="AK470" s="738">
        <f t="shared" si="859"/>
        <v>8.5714285714285632E-2</v>
      </c>
      <c r="AL470" s="738">
        <f t="shared" si="859"/>
        <v>-0.13157894736842102</v>
      </c>
      <c r="AM470" s="650">
        <f t="shared" si="859"/>
        <v>-0.12121212121212122</v>
      </c>
      <c r="AN470" s="651">
        <f t="shared" si="859"/>
        <v>0.2068965517241379</v>
      </c>
      <c r="AO470" s="738">
        <f t="shared" si="859"/>
        <v>0.37142857142857144</v>
      </c>
      <c r="AP470" s="738">
        <f t="shared" si="859"/>
        <v>4.1666666666666741E-2</v>
      </c>
      <c r="AQ470" s="650">
        <f t="shared" si="859"/>
        <v>0.10000000000000009</v>
      </c>
      <c r="AR470" s="651">
        <f t="shared" si="842"/>
        <v>0.49090909090909096</v>
      </c>
      <c r="AS470" s="738">
        <f t="shared" si="843"/>
        <v>0.26829268292682928</v>
      </c>
      <c r="AT470" s="738">
        <f t="shared" si="844"/>
        <v>-4.8076923076923128E-2</v>
      </c>
      <c r="AU470" s="650">
        <f t="shared" si="845"/>
        <v>9.0909090909090828E-2</v>
      </c>
      <c r="AV470" s="651">
        <f t="shared" si="846"/>
        <v>-7.407407407407407E-2</v>
      </c>
      <c r="AW470" s="738">
        <f t="shared" si="847"/>
        <v>0</v>
      </c>
      <c r="AX470" s="738">
        <f t="shared" si="848"/>
        <v>0</v>
      </c>
      <c r="AY470" s="650">
        <f t="shared" si="849"/>
        <v>0</v>
      </c>
      <c r="AZ470" s="1906"/>
      <c r="BA470" s="652"/>
      <c r="BB470" s="317"/>
      <c r="BC470" s="317"/>
      <c r="BD470" s="317"/>
      <c r="BE470" s="317"/>
      <c r="BF470" s="652"/>
      <c r="BG470" s="652"/>
      <c r="BH470" s="317"/>
      <c r="BI470" s="652"/>
      <c r="BJ470" s="317"/>
      <c r="BK470" s="317"/>
      <c r="BL470" s="317"/>
      <c r="BM470" s="317">
        <f t="shared" si="850"/>
        <v>5.0000000000000044E-2</v>
      </c>
      <c r="BN470" s="317">
        <f t="shared" si="850"/>
        <v>5.0000000000000044E-2</v>
      </c>
      <c r="BO470" s="605"/>
    </row>
    <row r="471" spans="2:67" s="658" customFormat="1" ht="14.25" customHeight="1">
      <c r="B471" s="644" t="s">
        <v>346</v>
      </c>
      <c r="C471" s="674"/>
      <c r="D471" s="675"/>
      <c r="E471" s="676"/>
      <c r="F471" s="677"/>
      <c r="G471" s="678"/>
      <c r="H471" s="679"/>
      <c r="I471" s="677"/>
      <c r="J471" s="677"/>
      <c r="K471" s="678"/>
      <c r="L471" s="679"/>
      <c r="M471" s="739">
        <f t="shared" si="857"/>
        <v>0.29914529914529919</v>
      </c>
      <c r="N471" s="739">
        <f t="shared" si="857"/>
        <v>0.17105263157894735</v>
      </c>
      <c r="O471" s="678">
        <f t="shared" si="857"/>
        <v>-0.2696629213483146</v>
      </c>
      <c r="P471" s="739">
        <f t="shared" si="857"/>
        <v>-0.63846153846153841</v>
      </c>
      <c r="Q471" s="739">
        <f>+Q458/P458-1</f>
        <v>-1</v>
      </c>
      <c r="R471" s="1383" t="str">
        <f t="shared" ref="R471:AQ471" si="860">IFERROR(+R458/Q458-1,"")</f>
        <v/>
      </c>
      <c r="S471" s="678" t="str">
        <f t="shared" si="860"/>
        <v/>
      </c>
      <c r="T471" s="679" t="str">
        <f t="shared" si="860"/>
        <v/>
      </c>
      <c r="U471" s="739" t="str">
        <f t="shared" si="860"/>
        <v/>
      </c>
      <c r="V471" s="739" t="str">
        <f t="shared" si="860"/>
        <v/>
      </c>
      <c r="W471" s="678" t="str">
        <f t="shared" si="860"/>
        <v/>
      </c>
      <c r="X471" s="739" t="str">
        <f t="shared" si="860"/>
        <v/>
      </c>
      <c r="Y471" s="739" t="str">
        <f t="shared" si="860"/>
        <v/>
      </c>
      <c r="Z471" s="739" t="str">
        <f t="shared" si="860"/>
        <v/>
      </c>
      <c r="AA471" s="678" t="str">
        <f t="shared" si="860"/>
        <v/>
      </c>
      <c r="AB471" s="739" t="str">
        <f t="shared" si="860"/>
        <v/>
      </c>
      <c r="AC471" s="739" t="str">
        <f t="shared" si="860"/>
        <v/>
      </c>
      <c r="AD471" s="739" t="str">
        <f t="shared" si="860"/>
        <v/>
      </c>
      <c r="AE471" s="678" t="str">
        <f t="shared" si="860"/>
        <v/>
      </c>
      <c r="AF471" s="739" t="str">
        <f t="shared" si="860"/>
        <v/>
      </c>
      <c r="AG471" s="739" t="str">
        <f t="shared" si="860"/>
        <v/>
      </c>
      <c r="AH471" s="739" t="str">
        <f t="shared" si="860"/>
        <v/>
      </c>
      <c r="AI471" s="739" t="str">
        <f t="shared" si="860"/>
        <v/>
      </c>
      <c r="AJ471" s="679" t="str">
        <f t="shared" si="860"/>
        <v/>
      </c>
      <c r="AK471" s="739" t="str">
        <f t="shared" si="860"/>
        <v/>
      </c>
      <c r="AL471" s="739" t="str">
        <f t="shared" si="860"/>
        <v/>
      </c>
      <c r="AM471" s="678" t="str">
        <f t="shared" si="860"/>
        <v/>
      </c>
      <c r="AN471" s="679" t="str">
        <f t="shared" si="860"/>
        <v/>
      </c>
      <c r="AO471" s="739" t="str">
        <f t="shared" si="860"/>
        <v/>
      </c>
      <c r="AP471" s="739" t="str">
        <f t="shared" si="860"/>
        <v/>
      </c>
      <c r="AQ471" s="678" t="str">
        <f t="shared" si="860"/>
        <v/>
      </c>
      <c r="AR471" s="679" t="str">
        <f t="shared" ref="AR471" si="861">IFERROR(+AR458/AQ458-1,"")</f>
        <v/>
      </c>
      <c r="AS471" s="739" t="str">
        <f t="shared" ref="AS471" si="862">IFERROR(+AS458/AR458-1,"")</f>
        <v/>
      </c>
      <c r="AT471" s="739" t="str">
        <f t="shared" ref="AT471" si="863">IFERROR(+AT458/AS458-1,"")</f>
        <v/>
      </c>
      <c r="AU471" s="678" t="str">
        <f t="shared" ref="AU471" si="864">IFERROR(+AU458/AT458-1,"")</f>
        <v/>
      </c>
      <c r="AV471" s="679" t="str">
        <f t="shared" ref="AV471" si="865">IFERROR(+AV458/AU458-1,"")</f>
        <v/>
      </c>
      <c r="AW471" s="739" t="str">
        <f t="shared" ref="AW471" si="866">IFERROR(+AW458/AV458-1,"")</f>
        <v/>
      </c>
      <c r="AX471" s="739" t="str">
        <f t="shared" ref="AX471" si="867">IFERROR(+AX458/AW458-1,"")</f>
        <v/>
      </c>
      <c r="AY471" s="678" t="str">
        <f t="shared" ref="AY471" si="868">IFERROR(+AY458/AX458-1,"")</f>
        <v/>
      </c>
      <c r="AZ471" s="1922"/>
      <c r="BA471" s="659"/>
      <c r="BB471" s="660"/>
      <c r="BC471" s="660"/>
      <c r="BD471" s="660"/>
      <c r="BE471" s="660"/>
      <c r="BF471" s="659"/>
      <c r="BG471" s="659"/>
      <c r="BH471" s="660"/>
      <c r="BI471" s="659"/>
      <c r="BJ471" s="660"/>
      <c r="BK471" s="660"/>
      <c r="BL471" s="660"/>
      <c r="BM471" s="660" t="str">
        <f t="shared" ref="BM471:BN471" si="869">IFERROR(+BM458/BL458-1,"")</f>
        <v/>
      </c>
      <c r="BN471" s="660" t="str">
        <f t="shared" si="869"/>
        <v/>
      </c>
      <c r="BO471" s="661"/>
    </row>
    <row r="472" spans="2:67" s="653" customFormat="1" ht="14.25" customHeight="1">
      <c r="B472" s="671" t="s">
        <v>470</v>
      </c>
      <c r="C472" s="680"/>
      <c r="D472" s="681"/>
      <c r="E472" s="681"/>
      <c r="F472" s="682"/>
      <c r="G472" s="683"/>
      <c r="H472" s="684"/>
      <c r="I472" s="682"/>
      <c r="J472" s="682"/>
      <c r="K472" s="683"/>
      <c r="L472" s="684"/>
      <c r="M472" s="685">
        <f t="shared" si="857"/>
        <v>0.26548672566371678</v>
      </c>
      <c r="N472" s="682">
        <f t="shared" si="857"/>
        <v>0.20979020979020979</v>
      </c>
      <c r="O472" s="683">
        <f t="shared" si="857"/>
        <v>6.5028901734104139E-2</v>
      </c>
      <c r="P472" s="682">
        <f t="shared" si="857"/>
        <v>0.47218453188602449</v>
      </c>
      <c r="Q472" s="682">
        <f>+Q459/P459-1</f>
        <v>3.133640552995387E-2</v>
      </c>
      <c r="R472" s="682">
        <f t="shared" ref="R472:AQ472" si="870">+R459/Q459-1</f>
        <v>8.9365504915095428E-4</v>
      </c>
      <c r="S472" s="683">
        <f t="shared" si="870"/>
        <v>-3.7499999999999978E-2</v>
      </c>
      <c r="T472" s="684">
        <f t="shared" si="870"/>
        <v>3.7105751391466324E-3</v>
      </c>
      <c r="U472" s="682">
        <f t="shared" si="870"/>
        <v>3.6044362292051657E-2</v>
      </c>
      <c r="V472" s="682">
        <f t="shared" si="870"/>
        <v>-5.4415700267618217E-2</v>
      </c>
      <c r="W472" s="683">
        <f t="shared" si="870"/>
        <v>-0.1216981132075472</v>
      </c>
      <c r="X472" s="682">
        <f t="shared" si="870"/>
        <v>5.0483351235230955E-2</v>
      </c>
      <c r="Y472" s="682">
        <f t="shared" si="870"/>
        <v>0.11860940695296529</v>
      </c>
      <c r="Z472" s="682">
        <f t="shared" si="870"/>
        <v>6.9469835466179131E-2</v>
      </c>
      <c r="AA472" s="683">
        <f t="shared" si="870"/>
        <v>-4.6153846153846101E-2</v>
      </c>
      <c r="AB472" s="682">
        <f t="shared" si="870"/>
        <v>-2.777777777777779E-2</v>
      </c>
      <c r="AC472" s="682">
        <f t="shared" si="870"/>
        <v>9.4930875576036966E-2</v>
      </c>
      <c r="AD472" s="682">
        <f t="shared" si="870"/>
        <v>5.1346801346801252E-2</v>
      </c>
      <c r="AE472" s="683">
        <f t="shared" si="870"/>
        <v>3.5228182546036768E-2</v>
      </c>
      <c r="AF472" s="682">
        <f t="shared" si="870"/>
        <v>-3.6349574632637327E-2</v>
      </c>
      <c r="AG472" s="682">
        <f t="shared" si="870"/>
        <v>8.26645264847512E-2</v>
      </c>
      <c r="AH472" s="682">
        <f t="shared" si="870"/>
        <v>0.1230541141586361</v>
      </c>
      <c r="AI472" s="682">
        <f t="shared" si="870"/>
        <v>1.4521452145214608E-2</v>
      </c>
      <c r="AJ472" s="684">
        <f t="shared" si="870"/>
        <v>-4.8796356538711727E-2</v>
      </c>
      <c r="AK472" s="682">
        <f t="shared" si="870"/>
        <v>3.0095759233926156E-2</v>
      </c>
      <c r="AL472" s="682">
        <f t="shared" si="870"/>
        <v>1.0624169986719778E-2</v>
      </c>
      <c r="AM472" s="683">
        <f t="shared" si="870"/>
        <v>5.5190538764783081E-2</v>
      </c>
      <c r="AN472" s="684">
        <f t="shared" si="870"/>
        <v>0.38231631382316311</v>
      </c>
      <c r="AO472" s="682">
        <f t="shared" si="870"/>
        <v>6.5315315315315425E-2</v>
      </c>
      <c r="AP472" s="682">
        <f t="shared" si="870"/>
        <v>4.3974630021141659E-2</v>
      </c>
      <c r="AQ472" s="683">
        <f t="shared" si="870"/>
        <v>-1.174564601053063E-2</v>
      </c>
      <c r="AR472" s="684">
        <f t="shared" ref="AR472" si="871">+AR459/AQ459-1</f>
        <v>-9.3852459016393497E-2</v>
      </c>
      <c r="AS472" s="682">
        <f t="shared" ref="AS472" si="872">+AS459/AR459-1</f>
        <v>-4.070556309362261E-3</v>
      </c>
      <c r="AT472" s="682">
        <f t="shared" ref="AT472" si="873">+AT459/AS459-1</f>
        <v>8.4014532243415152E-2</v>
      </c>
      <c r="AU472" s="683">
        <f t="shared" ref="AU472" si="874">+AU459/AT459-1</f>
        <v>2.8906577293674074E-2</v>
      </c>
      <c r="AV472" s="684">
        <f t="shared" ref="AV472" si="875">+AV459/AU459-1</f>
        <v>-5.302117263843642E-2</v>
      </c>
      <c r="AW472" s="682">
        <f t="shared" ref="AW472" si="876">+AW459/AV459-1</f>
        <v>3.4288367773392059E-2</v>
      </c>
      <c r="AX472" s="682">
        <f t="shared" ref="AX472" si="877">+AX459/AW459-1</f>
        <v>4.0841053054814669E-2</v>
      </c>
      <c r="AY472" s="683">
        <f t="shared" ref="AY472" si="878">+AY459/AX459-1</f>
        <v>-1.5252746885687896E-2</v>
      </c>
      <c r="AZ472" s="1923"/>
      <c r="BA472" s="698"/>
      <c r="BB472" s="699"/>
      <c r="BC472" s="699"/>
      <c r="BD472" s="699"/>
      <c r="BE472" s="699"/>
      <c r="BF472" s="698"/>
      <c r="BG472" s="698"/>
      <c r="BH472" s="699"/>
      <c r="BI472" s="1646"/>
      <c r="BJ472" s="1647"/>
      <c r="BK472" s="1647"/>
      <c r="BL472" s="1647"/>
      <c r="BM472" s="1647">
        <f t="shared" ref="BM472:BN472" si="879">+BM459/BL459-1</f>
        <v>5.5222275674283283E-2</v>
      </c>
      <c r="BN472" s="1647">
        <f t="shared" si="879"/>
        <v>4.890344337268937E-2</v>
      </c>
      <c r="BO472" s="657"/>
    </row>
    <row r="473" spans="2:67" s="595" customFormat="1" ht="14.25" customHeight="1">
      <c r="B473" s="574"/>
      <c r="C473" s="625"/>
      <c r="D473" s="626"/>
      <c r="E473" s="627"/>
      <c r="F473" s="628"/>
      <c r="G473" s="629"/>
      <c r="H473" s="630"/>
      <c r="I473" s="628"/>
      <c r="J473" s="628"/>
      <c r="K473" s="629"/>
      <c r="L473" s="630"/>
      <c r="M473" s="631"/>
      <c r="N473" s="631"/>
      <c r="O473" s="629"/>
      <c r="P473" s="631"/>
      <c r="Q473" s="631"/>
      <c r="R473" s="631"/>
      <c r="S473" s="629"/>
      <c r="T473" s="630"/>
      <c r="U473" s="631"/>
      <c r="V473" s="631"/>
      <c r="W473" s="629"/>
      <c r="X473" s="631"/>
      <c r="Y473" s="631"/>
      <c r="Z473" s="631"/>
      <c r="AA473" s="629"/>
      <c r="AB473" s="630"/>
      <c r="AC473" s="631"/>
      <c r="AD473" s="631"/>
      <c r="AE473" s="629"/>
      <c r="AF473" s="630"/>
      <c r="AG473" s="631"/>
      <c r="AH473" s="631"/>
      <c r="AI473" s="631"/>
      <c r="AJ473" s="630"/>
      <c r="AK473" s="631"/>
      <c r="AL473" s="631"/>
      <c r="AM473" s="629"/>
      <c r="AN473" s="630"/>
      <c r="AO473" s="631"/>
      <c r="AP473" s="631"/>
      <c r="AQ473" s="629"/>
      <c r="AR473" s="630"/>
      <c r="AS473" s="631"/>
      <c r="AT473" s="631"/>
      <c r="AU473" s="629"/>
      <c r="AV473" s="630"/>
      <c r="AW473" s="631"/>
      <c r="AX473" s="631"/>
      <c r="AY473" s="629"/>
      <c r="AZ473" s="1921"/>
      <c r="BA473" s="630"/>
      <c r="BB473" s="631"/>
      <c r="BC473" s="631"/>
      <c r="BD473" s="631"/>
      <c r="BE473" s="631"/>
      <c r="BF473" s="630"/>
      <c r="BG473" s="700"/>
      <c r="BH473" s="701"/>
      <c r="BI473" s="700"/>
      <c r="BJ473" s="701"/>
      <c r="BK473" s="701"/>
      <c r="BL473" s="701"/>
      <c r="BM473" s="701"/>
      <c r="BN473" s="701"/>
      <c r="BO473" s="632"/>
    </row>
    <row r="474" spans="2:67" s="595" customFormat="1" ht="14.25" customHeight="1">
      <c r="B474" s="574"/>
      <c r="C474" s="625"/>
      <c r="D474" s="626"/>
      <c r="E474" s="627"/>
      <c r="F474" s="628"/>
      <c r="G474" s="629"/>
      <c r="H474" s="630"/>
      <c r="I474" s="628"/>
      <c r="J474" s="628"/>
      <c r="K474" s="629"/>
      <c r="L474" s="630"/>
      <c r="M474" s="631"/>
      <c r="N474" s="631"/>
      <c r="O474" s="629"/>
      <c r="P474" s="631"/>
      <c r="Q474" s="631"/>
      <c r="R474" s="631"/>
      <c r="S474" s="629"/>
      <c r="T474" s="630"/>
      <c r="U474" s="631"/>
      <c r="V474" s="631"/>
      <c r="W474" s="629"/>
      <c r="X474" s="631"/>
      <c r="Y474" s="631"/>
      <c r="Z474" s="631"/>
      <c r="AA474" s="629"/>
      <c r="AB474" s="630"/>
      <c r="AC474" s="631"/>
      <c r="AD474" s="631"/>
      <c r="AE474" s="629"/>
      <c r="AF474" s="630"/>
      <c r="AG474" s="631"/>
      <c r="AH474" s="631"/>
      <c r="AI474" s="631"/>
      <c r="AJ474" s="630"/>
      <c r="AK474" s="631"/>
      <c r="AL474" s="631"/>
      <c r="AM474" s="629"/>
      <c r="AN474" s="630"/>
      <c r="AO474" s="631"/>
      <c r="AP474" s="631"/>
      <c r="AQ474" s="629"/>
      <c r="AR474" s="630"/>
      <c r="AS474" s="631"/>
      <c r="AT474" s="631"/>
      <c r="AU474" s="629"/>
      <c r="AV474" s="630"/>
      <c r="AW474" s="631"/>
      <c r="AX474" s="631"/>
      <c r="AY474" s="629"/>
      <c r="AZ474" s="1921"/>
      <c r="BA474" s="630"/>
      <c r="BB474" s="631"/>
      <c r="BC474" s="631"/>
      <c r="BD474" s="631"/>
      <c r="BE474" s="631"/>
      <c r="BF474" s="630"/>
      <c r="BG474" s="630"/>
      <c r="BH474" s="631"/>
      <c r="BI474" s="630"/>
      <c r="BJ474" s="631"/>
      <c r="BK474" s="631"/>
      <c r="BL474" s="631"/>
      <c r="BM474" s="631"/>
      <c r="BN474" s="631"/>
      <c r="BO474" s="632"/>
    </row>
    <row r="475" spans="2:67" s="595" customFormat="1" ht="14.25" customHeight="1">
      <c r="B475" s="667" t="s">
        <v>466</v>
      </c>
      <c r="C475" s="662"/>
      <c r="D475" s="663"/>
      <c r="E475" s="663"/>
      <c r="F475" s="664"/>
      <c r="G475" s="665"/>
      <c r="H475" s="666"/>
      <c r="I475" s="664"/>
      <c r="J475" s="664"/>
      <c r="K475" s="665"/>
      <c r="L475" s="666"/>
      <c r="M475" s="664"/>
      <c r="N475" s="664"/>
      <c r="O475" s="665"/>
      <c r="P475" s="664"/>
      <c r="Q475" s="664"/>
      <c r="R475" s="664"/>
      <c r="S475" s="665"/>
      <c r="T475" s="666"/>
      <c r="U475" s="664"/>
      <c r="V475" s="664"/>
      <c r="W475" s="665"/>
      <c r="X475" s="664"/>
      <c r="Y475" s="664"/>
      <c r="Z475" s="664"/>
      <c r="AA475" s="665"/>
      <c r="AB475" s="666"/>
      <c r="AC475" s="664"/>
      <c r="AD475" s="664"/>
      <c r="AE475" s="665"/>
      <c r="AF475" s="666"/>
      <c r="AG475" s="664"/>
      <c r="AH475" s="664"/>
      <c r="AI475" s="664"/>
      <c r="AJ475" s="666"/>
      <c r="AK475" s="664"/>
      <c r="AL475" s="664"/>
      <c r="AM475" s="665"/>
      <c r="AN475" s="666"/>
      <c r="AO475" s="664"/>
      <c r="AP475" s="664"/>
      <c r="AQ475" s="665"/>
      <c r="AR475" s="666"/>
      <c r="AS475" s="664"/>
      <c r="AT475" s="664"/>
      <c r="AU475" s="665"/>
      <c r="AV475" s="666"/>
      <c r="AW475" s="664"/>
      <c r="AX475" s="664"/>
      <c r="AY475" s="665"/>
      <c r="AZ475" s="1921"/>
      <c r="BA475" s="630"/>
      <c r="BB475" s="631"/>
      <c r="BC475" s="631"/>
      <c r="BD475" s="631"/>
      <c r="BE475" s="631"/>
      <c r="BF475" s="630"/>
      <c r="BG475" s="666"/>
      <c r="BH475" s="664"/>
      <c r="BI475" s="666"/>
      <c r="BJ475" s="664"/>
      <c r="BK475" s="664"/>
      <c r="BL475" s="664"/>
      <c r="BM475" s="664"/>
      <c r="BN475" s="664"/>
      <c r="BO475" s="632"/>
    </row>
    <row r="476" spans="2:67" s="595" customFormat="1" ht="14.25" customHeight="1">
      <c r="B476" s="640" t="str">
        <f>B463</f>
        <v>Automotives</v>
      </c>
      <c r="C476" s="625"/>
      <c r="D476" s="626"/>
      <c r="E476" s="627"/>
      <c r="F476" s="628"/>
      <c r="G476" s="629"/>
      <c r="H476" s="630"/>
      <c r="I476" s="628"/>
      <c r="J476" s="628"/>
      <c r="K476" s="629"/>
      <c r="L476" s="630"/>
      <c r="M476" s="631"/>
      <c r="N476" s="631"/>
      <c r="O476" s="629"/>
      <c r="P476" s="741">
        <f t="shared" ref="P476:AQ476" si="880">+P450/L450-1</f>
        <v>1.2799999999999998</v>
      </c>
      <c r="Q476" s="741">
        <f t="shared" si="880"/>
        <v>0.78294573643410859</v>
      </c>
      <c r="R476" s="741">
        <f t="shared" si="880"/>
        <v>0.35294117647058831</v>
      </c>
      <c r="S476" s="668">
        <f t="shared" si="880"/>
        <v>0.1198156682027649</v>
      </c>
      <c r="T476" s="740">
        <f t="shared" si="880"/>
        <v>4.3859649122806932E-2</v>
      </c>
      <c r="U476" s="741">
        <f t="shared" si="880"/>
        <v>9.1304347826086873E-2</v>
      </c>
      <c r="V476" s="741">
        <f t="shared" si="880"/>
        <v>-3.0434782608695699E-2</v>
      </c>
      <c r="W476" s="668">
        <f t="shared" si="880"/>
        <v>-0.10288065843621397</v>
      </c>
      <c r="X476" s="741">
        <f t="shared" si="880"/>
        <v>-3.7815126050420145E-2</v>
      </c>
      <c r="Y476" s="741">
        <f t="shared" si="880"/>
        <v>-2.7888446215139417E-2</v>
      </c>
      <c r="Z476" s="741">
        <f t="shared" si="880"/>
        <v>7.1748878923766801E-2</v>
      </c>
      <c r="AA476" s="668">
        <f t="shared" si="880"/>
        <v>4.1284403669724856E-2</v>
      </c>
      <c r="AB476" s="740">
        <f t="shared" si="880"/>
        <v>4.366812227074135E-3</v>
      </c>
      <c r="AC476" s="741">
        <f t="shared" si="880"/>
        <v>3.688524590163933E-2</v>
      </c>
      <c r="AD476" s="741">
        <f t="shared" si="880"/>
        <v>9.2050209205020828E-2</v>
      </c>
      <c r="AE476" s="668">
        <f t="shared" si="880"/>
        <v>0.21145374449339216</v>
      </c>
      <c r="AF476" s="740">
        <f t="shared" si="880"/>
        <v>0.19999999999999996</v>
      </c>
      <c r="AG476" s="741">
        <f t="shared" si="880"/>
        <v>0.13833992094861669</v>
      </c>
      <c r="AH476" s="741">
        <f t="shared" si="880"/>
        <v>0.10344827586206895</v>
      </c>
      <c r="AI476" s="741">
        <f t="shared" si="880"/>
        <v>6.1818181818181772E-2</v>
      </c>
      <c r="AJ476" s="740">
        <f t="shared" si="880"/>
        <v>9.4202898550724612E-2</v>
      </c>
      <c r="AK476" s="741">
        <f t="shared" si="880"/>
        <v>7.638888888888884E-2</v>
      </c>
      <c r="AL476" s="741">
        <f t="shared" si="880"/>
        <v>6.944444444444442E-2</v>
      </c>
      <c r="AM476" s="668">
        <f t="shared" si="880"/>
        <v>0.4452054794520548</v>
      </c>
      <c r="AN476" s="740">
        <f t="shared" si="880"/>
        <v>1.6655629139072849</v>
      </c>
      <c r="AO476" s="741">
        <f t="shared" si="880"/>
        <v>1.7677419354838708</v>
      </c>
      <c r="AP476" s="741">
        <f t="shared" si="880"/>
        <v>1.7694805194805197</v>
      </c>
      <c r="AQ476" s="668">
        <f t="shared" si="880"/>
        <v>1.0450236966824646</v>
      </c>
      <c r="AR476" s="740">
        <f t="shared" ref="AR476:AR483" si="881">+AR450/AN450-1</f>
        <v>0.12546583850931681</v>
      </c>
      <c r="AS476" s="741">
        <f t="shared" ref="AS476:AS483" si="882">+AS450/AO450-1</f>
        <v>9.3240093240093191E-2</v>
      </c>
      <c r="AT476" s="741">
        <f t="shared" ref="AT476:AT483" si="883">+AT450/AP450-1</f>
        <v>0.11137162954279023</v>
      </c>
      <c r="AU476" s="668">
        <f t="shared" ref="AU476:AU483" si="884">+AU450/AQ450-1</f>
        <v>0.12398609501738123</v>
      </c>
      <c r="AV476" s="740">
        <f t="shared" ref="AV476:AV483" si="885">+AV450/AR450-1</f>
        <v>0.11346578366445925</v>
      </c>
      <c r="AW476" s="741">
        <f t="shared" ref="AW476:AW483" si="886">+AW450/AS450-1</f>
        <v>0.10236673773987204</v>
      </c>
      <c r="AX476" s="741">
        <f t="shared" ref="AX476:AX483" si="887">+AX450/AT450-1</f>
        <v>6.8923628691983208E-2</v>
      </c>
      <c r="AY476" s="668">
        <f t="shared" ref="AY476:AY483" si="888">+AY450/AU450-1</f>
        <v>3.4233199999999853E-2</v>
      </c>
      <c r="AZ476" s="1921"/>
      <c r="BA476" s="700"/>
      <c r="BB476" s="701"/>
      <c r="BC476" s="701"/>
      <c r="BD476" s="1135">
        <f t="shared" ref="BD476:BL478" si="889">+BD450/BC450-1</f>
        <v>0.51136363636363646</v>
      </c>
      <c r="BE476" s="1135">
        <f t="shared" si="889"/>
        <v>-1.0741138560687036E-3</v>
      </c>
      <c r="BF476" s="1134">
        <f t="shared" si="889"/>
        <v>9.6774193548387899E-3</v>
      </c>
      <c r="BG476" s="686">
        <f t="shared" si="889"/>
        <v>8.5197018104366418E-2</v>
      </c>
      <c r="BH476" s="556">
        <f t="shared" si="889"/>
        <v>0.12266928361138363</v>
      </c>
      <c r="BI476" s="686">
        <f t="shared" si="889"/>
        <v>0.17307692307692313</v>
      </c>
      <c r="BJ476" s="556">
        <f t="shared" si="889"/>
        <v>1.5178837555886737</v>
      </c>
      <c r="BK476" s="556">
        <f t="shared" si="889"/>
        <v>0.11334714412548097</v>
      </c>
      <c r="BL476" s="556">
        <f t="shared" si="889"/>
        <v>7.9044604997341894E-2</v>
      </c>
      <c r="BM476" s="556">
        <f t="shared" ref="BM476:BN483" si="890">+BM450/BI450-1</f>
        <v>2.2063545098658719</v>
      </c>
      <c r="BN476" s="556">
        <f t="shared" si="890"/>
        <v>0.33710391827522956</v>
      </c>
      <c r="BO476" s="632"/>
    </row>
    <row r="477" spans="2:67" s="595" customFormat="1" ht="14.25" customHeight="1">
      <c r="B477" s="640" t="str">
        <f>B464</f>
        <v>Secure Identification Solutions</v>
      </c>
      <c r="C477" s="625"/>
      <c r="D477" s="626"/>
      <c r="E477" s="627"/>
      <c r="F477" s="628"/>
      <c r="G477" s="629"/>
      <c r="H477" s="630"/>
      <c r="I477" s="628"/>
      <c r="J477" s="628"/>
      <c r="K477" s="629"/>
      <c r="L477" s="630"/>
      <c r="M477" s="631"/>
      <c r="N477" s="631"/>
      <c r="O477" s="629"/>
      <c r="P477" s="741" t="str">
        <f t="shared" ref="P477:S478" si="891">IFERROR(+P451/L451-1,"")</f>
        <v/>
      </c>
      <c r="Q477" s="741" t="str">
        <f t="shared" si="891"/>
        <v/>
      </c>
      <c r="R477" s="741" t="str">
        <f t="shared" si="891"/>
        <v/>
      </c>
      <c r="S477" s="668" t="str">
        <f t="shared" si="891"/>
        <v/>
      </c>
      <c r="T477" s="740">
        <f t="shared" ref="T477:AC483" si="892">+T451/P451-1</f>
        <v>0.38053097345132736</v>
      </c>
      <c r="U477" s="741">
        <f t="shared" si="892"/>
        <v>0.35593220338983045</v>
      </c>
      <c r="V477" s="741">
        <f t="shared" si="892"/>
        <v>3.2786885245901676E-2</v>
      </c>
      <c r="W477" s="668">
        <f t="shared" si="892"/>
        <v>-8.333333333333337E-2</v>
      </c>
      <c r="X477" s="741">
        <f t="shared" si="892"/>
        <v>-6.4102564102564097E-2</v>
      </c>
      <c r="Y477" s="741">
        <f t="shared" si="892"/>
        <v>6.2500000000000888E-3</v>
      </c>
      <c r="Z477" s="741">
        <f t="shared" si="892"/>
        <v>0.48412698412698418</v>
      </c>
      <c r="AA477" s="668">
        <f t="shared" si="892"/>
        <v>0.57851239669421495</v>
      </c>
      <c r="AB477" s="740">
        <f t="shared" si="892"/>
        <v>0.40410958904109595</v>
      </c>
      <c r="AC477" s="741">
        <f t="shared" si="892"/>
        <v>0.62111801242236031</v>
      </c>
      <c r="AD477" s="741">
        <f t="shared" ref="AD477:AQ483" si="893">+AD451/Z451-1</f>
        <v>0.39037433155080214</v>
      </c>
      <c r="AE477" s="668">
        <f t="shared" si="893"/>
        <v>0.41884816753926701</v>
      </c>
      <c r="AF477" s="740">
        <f t="shared" si="893"/>
        <v>0.23902439024390243</v>
      </c>
      <c r="AG477" s="741">
        <f t="shared" si="893"/>
        <v>2.2988505747126409E-2</v>
      </c>
      <c r="AH477" s="741">
        <f t="shared" si="893"/>
        <v>-3.0769230769230771E-2</v>
      </c>
      <c r="AI477" s="741">
        <f t="shared" si="893"/>
        <v>-0.17712177121771222</v>
      </c>
      <c r="AJ477" s="740">
        <f t="shared" si="893"/>
        <v>-0.12598425196850394</v>
      </c>
      <c r="AK477" s="741">
        <f t="shared" si="893"/>
        <v>-3.7453183520599231E-2</v>
      </c>
      <c r="AL477" s="741">
        <f t="shared" si="893"/>
        <v>6.7460317460317443E-2</v>
      </c>
      <c r="AM477" s="668">
        <f t="shared" si="893"/>
        <v>8.9686098654708779E-3</v>
      </c>
      <c r="AN477" s="740">
        <f t="shared" si="893"/>
        <v>-4.5045045045045029E-2</v>
      </c>
      <c r="AO477" s="741">
        <f t="shared" si="893"/>
        <v>-0.22178988326848248</v>
      </c>
      <c r="AP477" s="741">
        <f t="shared" si="893"/>
        <v>-0.33828996282527879</v>
      </c>
      <c r="AQ477" s="668">
        <f t="shared" si="893"/>
        <v>-0.34666666666666668</v>
      </c>
      <c r="AR477" s="740">
        <f t="shared" si="881"/>
        <v>-0.46226415094339623</v>
      </c>
      <c r="AS477" s="741">
        <f t="shared" si="882"/>
        <v>-0.32999999999999996</v>
      </c>
      <c r="AT477" s="741">
        <f t="shared" si="883"/>
        <v>-0.2191011235955056</v>
      </c>
      <c r="AU477" s="668">
        <f t="shared" si="884"/>
        <v>-7.4829931972789088E-2</v>
      </c>
      <c r="AV477" s="740">
        <f t="shared" si="885"/>
        <v>0.10947368421052617</v>
      </c>
      <c r="AW477" s="741">
        <f t="shared" si="886"/>
        <v>-1.8364179104477629E-2</v>
      </c>
      <c r="AX477" s="741">
        <f t="shared" si="887"/>
        <v>-3.4748316546762581E-2</v>
      </c>
      <c r="AY477" s="668">
        <f t="shared" si="888"/>
        <v>-1.3456000000000023E-2</v>
      </c>
      <c r="AZ477" s="1921"/>
      <c r="BA477" s="630"/>
      <c r="BB477" s="631"/>
      <c r="BC477" s="631"/>
      <c r="BD477" s="556"/>
      <c r="BE477" s="556">
        <f t="shared" si="889"/>
        <v>0.16082474226804133</v>
      </c>
      <c r="BF477" s="686">
        <f t="shared" si="889"/>
        <v>0.21669626998223812</v>
      </c>
      <c r="BG477" s="686">
        <f t="shared" si="889"/>
        <v>0.4554744525547445</v>
      </c>
      <c r="BH477" s="556">
        <f t="shared" si="889"/>
        <v>-1.0030090270812808E-3</v>
      </c>
      <c r="BI477" s="686">
        <f t="shared" si="889"/>
        <v>-2.3092369477911601E-2</v>
      </c>
      <c r="BJ477" s="556">
        <f t="shared" si="889"/>
        <v>-0.24254881808838646</v>
      </c>
      <c r="BK477" s="556">
        <f t="shared" si="889"/>
        <v>-0.29036635006784262</v>
      </c>
      <c r="BL477" s="556">
        <f t="shared" si="889"/>
        <v>6.4228833652006934E-3</v>
      </c>
      <c r="BM477" s="556">
        <f t="shared" si="890"/>
        <v>-0.4590347708119219</v>
      </c>
      <c r="BN477" s="556">
        <f t="shared" si="890"/>
        <v>-0.28580845590230675</v>
      </c>
      <c r="BO477" s="632"/>
    </row>
    <row r="478" spans="2:67" s="595" customFormat="1" ht="14.25" customHeight="1">
      <c r="B478" s="640" t="str">
        <f>B465</f>
        <v>Secure Connected Devices</v>
      </c>
      <c r="C478" s="625"/>
      <c r="D478" s="626"/>
      <c r="E478" s="627"/>
      <c r="F478" s="628"/>
      <c r="G478" s="629"/>
      <c r="H478" s="630"/>
      <c r="I478" s="628"/>
      <c r="J478" s="628"/>
      <c r="K478" s="629"/>
      <c r="L478" s="630"/>
      <c r="M478" s="631"/>
      <c r="N478" s="631"/>
      <c r="O478" s="629"/>
      <c r="P478" s="741" t="str">
        <f t="shared" si="891"/>
        <v/>
      </c>
      <c r="Q478" s="741" t="str">
        <f t="shared" si="891"/>
        <v/>
      </c>
      <c r="R478" s="741" t="str">
        <f t="shared" si="891"/>
        <v/>
      </c>
      <c r="S478" s="668" t="str">
        <f t="shared" si="891"/>
        <v/>
      </c>
      <c r="T478" s="740">
        <f t="shared" si="892"/>
        <v>-7.4074074074074181E-3</v>
      </c>
      <c r="U478" s="741">
        <f t="shared" si="892"/>
        <v>2.1582733812949728E-2</v>
      </c>
      <c r="V478" s="741">
        <f t="shared" si="892"/>
        <v>0.11194029850746268</v>
      </c>
      <c r="W478" s="668">
        <f t="shared" si="892"/>
        <v>7.8125E-2</v>
      </c>
      <c r="X478" s="741">
        <f t="shared" si="892"/>
        <v>-7.4626865671642006E-3</v>
      </c>
      <c r="Y478" s="741">
        <f t="shared" si="892"/>
        <v>0.26760563380281699</v>
      </c>
      <c r="Z478" s="741">
        <f t="shared" si="892"/>
        <v>0.27516778523489926</v>
      </c>
      <c r="AA478" s="668">
        <f t="shared" si="892"/>
        <v>0.39130434782608692</v>
      </c>
      <c r="AB478" s="740">
        <f t="shared" si="892"/>
        <v>0.41353383458646609</v>
      </c>
      <c r="AC478" s="741">
        <f t="shared" si="892"/>
        <v>1.6666666666666607E-2</v>
      </c>
      <c r="AD478" s="741">
        <f t="shared" si="893"/>
        <v>-1.0526315789473717E-2</v>
      </c>
      <c r="AE478" s="668">
        <f t="shared" si="893"/>
        <v>5.2083333333332593E-3</v>
      </c>
      <c r="AF478" s="740">
        <f t="shared" si="893"/>
        <v>-4.2553191489361653E-2</v>
      </c>
      <c r="AG478" s="741">
        <f t="shared" si="893"/>
        <v>8.1967213114754189E-2</v>
      </c>
      <c r="AH478" s="741">
        <f t="shared" si="893"/>
        <v>0.60106382978723394</v>
      </c>
      <c r="AI478" s="741">
        <f t="shared" si="893"/>
        <v>0.80829015544041449</v>
      </c>
      <c r="AJ478" s="740">
        <f t="shared" si="893"/>
        <v>0.60555555555555562</v>
      </c>
      <c r="AK478" s="741">
        <f t="shared" si="893"/>
        <v>0.39393939393939403</v>
      </c>
      <c r="AL478" s="741">
        <f t="shared" si="893"/>
        <v>5.3156146179401897E-2</v>
      </c>
      <c r="AM478" s="668">
        <f t="shared" si="893"/>
        <v>8.5959885386819535E-2</v>
      </c>
      <c r="AN478" s="740">
        <f t="shared" si="893"/>
        <v>0.62975778546712813</v>
      </c>
      <c r="AO478" s="741">
        <f t="shared" si="893"/>
        <v>0.8623188405797102</v>
      </c>
      <c r="AP478" s="741">
        <f t="shared" si="893"/>
        <v>0.86750788643533117</v>
      </c>
      <c r="AQ478" s="668">
        <f t="shared" si="893"/>
        <v>0.50131926121372028</v>
      </c>
      <c r="AR478" s="740">
        <f t="shared" si="881"/>
        <v>0.14861995753715496</v>
      </c>
      <c r="AS478" s="741">
        <f t="shared" si="882"/>
        <v>0.14396887159533067</v>
      </c>
      <c r="AT478" s="741">
        <f t="shared" si="883"/>
        <v>0.20439189189189189</v>
      </c>
      <c r="AU478" s="668">
        <f t="shared" si="884"/>
        <v>0.30931458699472758</v>
      </c>
      <c r="AV478" s="740">
        <f t="shared" si="885"/>
        <v>0.14297597042513877</v>
      </c>
      <c r="AW478" s="741">
        <f t="shared" si="886"/>
        <v>0.13574489795918376</v>
      </c>
      <c r="AX478" s="741">
        <f t="shared" si="887"/>
        <v>8.6492117812061897E-2</v>
      </c>
      <c r="AY478" s="668">
        <f t="shared" si="888"/>
        <v>8.6292800000000724E-3</v>
      </c>
      <c r="AZ478" s="1921"/>
      <c r="BA478" s="630"/>
      <c r="BB478" s="631"/>
      <c r="BC478" s="631"/>
      <c r="BD478" s="556"/>
      <c r="BE478" s="556">
        <f t="shared" si="889"/>
        <v>5.0373134328358216E-2</v>
      </c>
      <c r="BF478" s="686">
        <f t="shared" si="889"/>
        <v>0.23445825932504438</v>
      </c>
      <c r="BG478" s="686">
        <f t="shared" si="889"/>
        <v>8.2014388489208612E-2</v>
      </c>
      <c r="BH478" s="556">
        <f t="shared" si="889"/>
        <v>0.36702127659574457</v>
      </c>
      <c r="BI478" s="686">
        <f t="shared" si="889"/>
        <v>0.22665369649805456</v>
      </c>
      <c r="BJ478" s="556">
        <f t="shared" si="889"/>
        <v>0.70182394924662961</v>
      </c>
      <c r="BK478" s="556">
        <f t="shared" si="889"/>
        <v>0.20549860205032622</v>
      </c>
      <c r="BL478" s="556">
        <f t="shared" si="889"/>
        <v>8.7076031542327126E-2</v>
      </c>
      <c r="BM478" s="556">
        <f t="shared" si="890"/>
        <v>1.4309037319777955</v>
      </c>
      <c r="BN478" s="556">
        <f t="shared" si="890"/>
        <v>0.54268367870732548</v>
      </c>
      <c r="BO478" s="632"/>
    </row>
    <row r="479" spans="2:67" s="730" customFormat="1" ht="14.25" customHeight="1">
      <c r="B479" s="644" t="str">
        <f>B466</f>
        <v xml:space="preserve">Secure Interface &amp; Infrastructure </v>
      </c>
      <c r="C479" s="722"/>
      <c r="D479" s="723"/>
      <c r="E479" s="724"/>
      <c r="F479" s="725"/>
      <c r="G479" s="726"/>
      <c r="H479" s="727"/>
      <c r="I479" s="725"/>
      <c r="J479" s="725"/>
      <c r="K479" s="726"/>
      <c r="L479" s="727"/>
      <c r="M479" s="728"/>
      <c r="N479" s="728"/>
      <c r="O479" s="726"/>
      <c r="P479" s="743"/>
      <c r="Q479" s="743"/>
      <c r="R479" s="743"/>
      <c r="S479" s="669"/>
      <c r="T479" s="742">
        <f t="shared" si="892"/>
        <v>-9.0322580645161299E-2</v>
      </c>
      <c r="U479" s="743">
        <f t="shared" si="892"/>
        <v>-4.2424242424242475E-2</v>
      </c>
      <c r="V479" s="743">
        <f t="shared" si="892"/>
        <v>2.4539877300613577E-2</v>
      </c>
      <c r="W479" s="669">
        <f t="shared" si="892"/>
        <v>-0.12080536912751683</v>
      </c>
      <c r="X479" s="743">
        <f t="shared" si="892"/>
        <v>-2.1276595744680882E-2</v>
      </c>
      <c r="Y479" s="743">
        <f t="shared" si="892"/>
        <v>-1.2658227848101222E-2</v>
      </c>
      <c r="Z479" s="743">
        <f t="shared" si="892"/>
        <v>0.12574850299401197</v>
      </c>
      <c r="AA479" s="669">
        <f t="shared" si="892"/>
        <v>0.33587786259541974</v>
      </c>
      <c r="AB479" s="742">
        <f t="shared" si="892"/>
        <v>0.10869565217391308</v>
      </c>
      <c r="AC479" s="743">
        <f t="shared" si="892"/>
        <v>0.16025641025641035</v>
      </c>
      <c r="AD479" s="743">
        <f t="shared" si="893"/>
        <v>0.13297872340425543</v>
      </c>
      <c r="AE479" s="669">
        <f t="shared" si="893"/>
        <v>0.24571428571428577</v>
      </c>
      <c r="AF479" s="742">
        <f t="shared" si="893"/>
        <v>0.3202614379084967</v>
      </c>
      <c r="AG479" s="743">
        <f t="shared" si="893"/>
        <v>0.29834254143646399</v>
      </c>
      <c r="AH479" s="743">
        <f t="shared" si="893"/>
        <v>0.39906103286384975</v>
      </c>
      <c r="AI479" s="743">
        <f t="shared" si="893"/>
        <v>0.39908256880733939</v>
      </c>
      <c r="AJ479" s="742">
        <f t="shared" si="893"/>
        <v>0.44059405940594054</v>
      </c>
      <c r="AK479" s="743">
        <f t="shared" si="893"/>
        <v>0.28936170212765955</v>
      </c>
      <c r="AL479" s="743">
        <f t="shared" si="893"/>
        <v>-9.3959731543624136E-2</v>
      </c>
      <c r="AM479" s="669">
        <f t="shared" si="893"/>
        <v>-8.1967213114754078E-2</v>
      </c>
      <c r="AN479" s="742">
        <f t="shared" si="893"/>
        <v>0.45360824742268036</v>
      </c>
      <c r="AO479" s="743">
        <f t="shared" si="893"/>
        <v>0.45874587458745864</v>
      </c>
      <c r="AP479" s="743">
        <f t="shared" si="893"/>
        <v>0.76296296296296306</v>
      </c>
      <c r="AQ479" s="669">
        <f t="shared" si="893"/>
        <v>0.72500000000000009</v>
      </c>
      <c r="AR479" s="742">
        <f t="shared" si="881"/>
        <v>6.3829787234042534E-2</v>
      </c>
      <c r="AS479" s="743">
        <f t="shared" si="882"/>
        <v>-9.0497737556560764E-3</v>
      </c>
      <c r="AT479" s="743">
        <f t="shared" si="883"/>
        <v>2.5210084033613356E-2</v>
      </c>
      <c r="AU479" s="669">
        <f t="shared" si="884"/>
        <v>2.8985507246376718E-2</v>
      </c>
      <c r="AV479" s="742">
        <f t="shared" si="885"/>
        <v>4.9222222222222278E-2</v>
      </c>
      <c r="AW479" s="743">
        <f t="shared" si="886"/>
        <v>7.7968036529680207E-2</v>
      </c>
      <c r="AX479" s="743">
        <f t="shared" si="887"/>
        <v>-1.3129098360655789E-2</v>
      </c>
      <c r="AY479" s="669">
        <f t="shared" si="888"/>
        <v>-4.0690000000000004E-2</v>
      </c>
      <c r="AZ479" s="1924"/>
      <c r="BA479" s="727"/>
      <c r="BB479" s="728"/>
      <c r="BC479" s="728"/>
      <c r="BD479" s="570"/>
      <c r="BE479" s="570">
        <f t="shared" ref="BE479:BL483" si="894">+BE453/BD453-1</f>
        <v>-5.5379746835443E-2</v>
      </c>
      <c r="BF479" s="690">
        <f t="shared" si="894"/>
        <v>0.10050251256281406</v>
      </c>
      <c r="BG479" s="690">
        <f t="shared" si="894"/>
        <v>0.16438356164383561</v>
      </c>
      <c r="BH479" s="570">
        <f t="shared" si="894"/>
        <v>0.35947712418300659</v>
      </c>
      <c r="BI479" s="690">
        <f t="shared" si="894"/>
        <v>0.10000000000000009</v>
      </c>
      <c r="BJ479" s="570">
        <f t="shared" si="894"/>
        <v>0.59440559440559437</v>
      </c>
      <c r="BK479" s="570">
        <f t="shared" si="894"/>
        <v>2.6864035087719396E-2</v>
      </c>
      <c r="BL479" s="570">
        <f t="shared" si="894"/>
        <v>1.5840934329951928E-2</v>
      </c>
      <c r="BM479" s="570">
        <f t="shared" si="890"/>
        <v>0.679804869493007</v>
      </c>
      <c r="BN479" s="570">
        <f t="shared" si="890"/>
        <v>6.4097444302083417E-2</v>
      </c>
      <c r="BO479" s="729"/>
    </row>
    <row r="480" spans="2:67" s="595" customFormat="1" ht="14.25" customHeight="1">
      <c r="B480" s="645" t="s">
        <v>332</v>
      </c>
      <c r="C480" s="625"/>
      <c r="D480" s="626"/>
      <c r="E480" s="627"/>
      <c r="F480" s="628"/>
      <c r="G480" s="629"/>
      <c r="H480" s="630"/>
      <c r="I480" s="628"/>
      <c r="J480" s="628"/>
      <c r="K480" s="629"/>
      <c r="L480" s="630"/>
      <c r="M480" s="631"/>
      <c r="N480" s="631"/>
      <c r="O480" s="629"/>
      <c r="P480" s="745">
        <f>+P454/L454-1</f>
        <v>1.3029197080291972</v>
      </c>
      <c r="Q480" s="745">
        <f>+Q454/M454-1</f>
        <v>0.97575757575757582</v>
      </c>
      <c r="R480" s="745">
        <f>+R454/N454-1</f>
        <v>0.55263157894736836</v>
      </c>
      <c r="S480" s="670">
        <f>+S454/O454-1</f>
        <v>0.33061224489795915</v>
      </c>
      <c r="T480" s="744">
        <f t="shared" si="892"/>
        <v>6.0221870047543646E-2</v>
      </c>
      <c r="U480" s="745">
        <f t="shared" si="892"/>
        <v>9.0490797546012303E-2</v>
      </c>
      <c r="V480" s="745">
        <f t="shared" si="892"/>
        <v>2.4653312788905923E-2</v>
      </c>
      <c r="W480" s="670">
        <f t="shared" si="892"/>
        <v>-6.7484662576687171E-2</v>
      </c>
      <c r="X480" s="745">
        <f t="shared" si="892"/>
        <v>-3.4379671150971625E-2</v>
      </c>
      <c r="Y480" s="745">
        <f t="shared" si="892"/>
        <v>4.2194092827004148E-2</v>
      </c>
      <c r="Z480" s="745">
        <f t="shared" si="892"/>
        <v>0.20902255639097755</v>
      </c>
      <c r="AA480" s="670">
        <f t="shared" si="892"/>
        <v>0.29111842105263164</v>
      </c>
      <c r="AB480" s="744">
        <f t="shared" si="892"/>
        <v>0.20123839009287936</v>
      </c>
      <c r="AC480" s="745">
        <f t="shared" si="892"/>
        <v>0.18488529014844812</v>
      </c>
      <c r="AD480" s="745">
        <f t="shared" si="893"/>
        <v>0.1467661691542288</v>
      </c>
      <c r="AE480" s="670">
        <f t="shared" si="893"/>
        <v>0.21910828025477702</v>
      </c>
      <c r="AF480" s="744">
        <f t="shared" si="893"/>
        <v>0.17525773195876293</v>
      </c>
      <c r="AG480" s="745">
        <f t="shared" si="893"/>
        <v>0.12528473804100226</v>
      </c>
      <c r="AH480" s="745">
        <f t="shared" si="893"/>
        <v>0.23535791757049895</v>
      </c>
      <c r="AI480" s="745">
        <f t="shared" si="893"/>
        <v>0.22152560083594564</v>
      </c>
      <c r="AJ480" s="744">
        <f t="shared" si="893"/>
        <v>0.21052631578947367</v>
      </c>
      <c r="AK480" s="745">
        <f t="shared" si="893"/>
        <v>0.15991902834008087</v>
      </c>
      <c r="AL480" s="745">
        <f t="shared" si="893"/>
        <v>2.1949078138718159E-2</v>
      </c>
      <c r="AM480" s="670">
        <f t="shared" si="893"/>
        <v>0.11719418306244656</v>
      </c>
      <c r="AN480" s="744">
        <f t="shared" si="893"/>
        <v>0.73097826086956519</v>
      </c>
      <c r="AO480" s="745">
        <f t="shared" si="893"/>
        <v>0.75741710296684128</v>
      </c>
      <c r="AP480" s="745">
        <f t="shared" si="893"/>
        <v>0.8032646048109966</v>
      </c>
      <c r="AQ480" s="670">
        <f t="shared" si="893"/>
        <v>0.57886676875957122</v>
      </c>
      <c r="AR480" s="744">
        <f t="shared" si="881"/>
        <v>5.2328623757195158E-2</v>
      </c>
      <c r="AS480" s="745">
        <f t="shared" si="882"/>
        <v>4.170804369414105E-2</v>
      </c>
      <c r="AT480" s="745">
        <f t="shared" si="883"/>
        <v>9.004287756074314E-2</v>
      </c>
      <c r="AU480" s="670">
        <f t="shared" si="884"/>
        <v>0.13870029097963132</v>
      </c>
      <c r="AV480" s="744">
        <f t="shared" si="885"/>
        <v>0.10680258577821999</v>
      </c>
      <c r="AW480" s="745">
        <f t="shared" si="886"/>
        <v>9.8916682554814006E-2</v>
      </c>
      <c r="AX480" s="745">
        <f t="shared" si="887"/>
        <v>5.0599416083916049E-2</v>
      </c>
      <c r="AY480" s="670">
        <f t="shared" si="888"/>
        <v>7.4881054514479573E-3</v>
      </c>
      <c r="AZ480" s="1921"/>
      <c r="BA480" s="630"/>
      <c r="BB480" s="631"/>
      <c r="BC480" s="631"/>
      <c r="BD480" s="562">
        <f>+BD454/BC454-1</f>
        <v>0.70899470899470907</v>
      </c>
      <c r="BE480" s="562">
        <f t="shared" si="894"/>
        <v>2.6702786377708954E-2</v>
      </c>
      <c r="BF480" s="637">
        <f t="shared" si="894"/>
        <v>0.12174896343761787</v>
      </c>
      <c r="BG480" s="637">
        <f t="shared" si="894"/>
        <v>0.18716397849462374</v>
      </c>
      <c r="BH480" s="562">
        <f t="shared" si="894"/>
        <v>0.19105575997735635</v>
      </c>
      <c r="BI480" s="637">
        <f t="shared" si="894"/>
        <v>0.1216730038022813</v>
      </c>
      <c r="BJ480" s="562">
        <f t="shared" si="894"/>
        <v>0.71313559322033893</v>
      </c>
      <c r="BK480" s="562">
        <f t="shared" si="894"/>
        <v>8.1498886965124973E-2</v>
      </c>
      <c r="BL480" s="562">
        <f t="shared" si="894"/>
        <v>6.3540392864493977E-2</v>
      </c>
      <c r="BM480" s="562">
        <f t="shared" si="890"/>
        <v>1.0797358680008475</v>
      </c>
      <c r="BN480" s="562">
        <f t="shared" si="890"/>
        <v>0.27330524619897623</v>
      </c>
      <c r="BO480" s="632"/>
    </row>
    <row r="481" spans="2:67" s="730" customFormat="1" ht="14.25" customHeight="1">
      <c r="B481" s="644" t="s">
        <v>331</v>
      </c>
      <c r="C481" s="722"/>
      <c r="D481" s="723"/>
      <c r="E481" s="724"/>
      <c r="F481" s="725"/>
      <c r="G481" s="726"/>
      <c r="H481" s="727"/>
      <c r="I481" s="725"/>
      <c r="J481" s="725"/>
      <c r="K481" s="726"/>
      <c r="L481" s="727"/>
      <c r="M481" s="728"/>
      <c r="N481" s="728"/>
      <c r="O481" s="726"/>
      <c r="P481" s="743"/>
      <c r="Q481" s="743"/>
      <c r="R481" s="743"/>
      <c r="S481" s="669"/>
      <c r="T481" s="742">
        <f t="shared" si="892"/>
        <v>0.17777777777777781</v>
      </c>
      <c r="U481" s="743">
        <f t="shared" si="892"/>
        <v>0.14539007092198575</v>
      </c>
      <c r="V481" s="743">
        <f t="shared" si="892"/>
        <v>6.0606060606060552E-2</v>
      </c>
      <c r="W481" s="669">
        <f t="shared" si="892"/>
        <v>-0.1216216216216216</v>
      </c>
      <c r="X481" s="743">
        <f t="shared" si="892"/>
        <v>-0.13836477987421381</v>
      </c>
      <c r="Y481" s="743">
        <f t="shared" si="892"/>
        <v>-9.9071207430340591E-2</v>
      </c>
      <c r="Z481" s="743">
        <f t="shared" si="892"/>
        <v>3.1746031746031633E-3</v>
      </c>
      <c r="AA481" s="669">
        <f t="shared" si="892"/>
        <v>0.10384615384615392</v>
      </c>
      <c r="AB481" s="742">
        <f t="shared" si="892"/>
        <v>1.8248175182481674E-2</v>
      </c>
      <c r="AC481" s="743">
        <f t="shared" si="892"/>
        <v>-3.4364261168384869E-2</v>
      </c>
      <c r="AD481" s="743">
        <f t="shared" si="893"/>
        <v>-7.9113924050632889E-2</v>
      </c>
      <c r="AE481" s="669">
        <f t="shared" si="893"/>
        <v>2.4390243902439046E-2</v>
      </c>
      <c r="AF481" s="742">
        <f t="shared" si="893"/>
        <v>5.7347670250896154E-2</v>
      </c>
      <c r="AG481" s="743">
        <f t="shared" si="893"/>
        <v>0.12455516014234869</v>
      </c>
      <c r="AH481" s="743">
        <f t="shared" si="893"/>
        <v>0.14432989690721643</v>
      </c>
      <c r="AI481" s="743">
        <f t="shared" si="893"/>
        <v>0.12585034013605445</v>
      </c>
      <c r="AJ481" s="742">
        <f t="shared" si="893"/>
        <v>9.4915254237288194E-2</v>
      </c>
      <c r="AK481" s="743">
        <f t="shared" si="893"/>
        <v>1.8987341772152E-2</v>
      </c>
      <c r="AL481" s="743">
        <f t="shared" si="893"/>
        <v>-2.4024024024024038E-2</v>
      </c>
      <c r="AM481" s="669">
        <f t="shared" si="893"/>
        <v>-0.18126888217522663</v>
      </c>
      <c r="AN481" s="742">
        <f t="shared" si="893"/>
        <v>-0.15170278637770895</v>
      </c>
      <c r="AO481" s="743">
        <f t="shared" si="893"/>
        <v>-5.9006211180124168E-2</v>
      </c>
      <c r="AP481" s="743">
        <f t="shared" si="893"/>
        <v>-1.538461538461533E-2</v>
      </c>
      <c r="AQ481" s="669">
        <f t="shared" si="893"/>
        <v>0.19188191881918826</v>
      </c>
      <c r="AR481" s="742">
        <f t="shared" si="881"/>
        <v>-0.56934306569343063</v>
      </c>
      <c r="AS481" s="743"/>
      <c r="AT481" s="743"/>
      <c r="AU481" s="669"/>
      <c r="AV481" s="742"/>
      <c r="AW481" s="743"/>
      <c r="AX481" s="743"/>
      <c r="AY481" s="669"/>
      <c r="AZ481" s="1924"/>
      <c r="BA481" s="727"/>
      <c r="BB481" s="728"/>
      <c r="BC481" s="728"/>
      <c r="BD481" s="570"/>
      <c r="BE481" s="570">
        <f t="shared" si="894"/>
        <v>6.2008733624454138E-2</v>
      </c>
      <c r="BF481" s="690">
        <f t="shared" si="894"/>
        <v>-3.9473684210526327E-2</v>
      </c>
      <c r="BG481" s="690">
        <f t="shared" si="894"/>
        <v>-1.9691780821917804E-2</v>
      </c>
      <c r="BH481" s="570">
        <f t="shared" si="894"/>
        <v>0.11353711790393017</v>
      </c>
      <c r="BI481" s="690">
        <f t="shared" si="894"/>
        <v>-2.6666666666666616E-2</v>
      </c>
      <c r="BJ481" s="570">
        <f t="shared" si="894"/>
        <v>-1.6921837228041858E-2</v>
      </c>
      <c r="BK481" s="570">
        <f t="shared" si="894"/>
        <v>-0.90327868852459015</v>
      </c>
      <c r="BL481" s="570">
        <f t="shared" si="894"/>
        <v>-1</v>
      </c>
      <c r="BM481" s="570">
        <f t="shared" si="890"/>
        <v>-1</v>
      </c>
      <c r="BN481" s="570">
        <f t="shared" si="890"/>
        <v>-1</v>
      </c>
      <c r="BO481" s="729"/>
    </row>
    <row r="482" spans="2:67" s="595" customFormat="1" ht="14.25" customHeight="1">
      <c r="B482" s="645" t="s">
        <v>469</v>
      </c>
      <c r="C482" s="625"/>
      <c r="D482" s="626"/>
      <c r="E482" s="627"/>
      <c r="F482" s="628"/>
      <c r="G482" s="629"/>
      <c r="H482" s="630"/>
      <c r="I482" s="628"/>
      <c r="J482" s="628"/>
      <c r="K482" s="629"/>
      <c r="L482" s="630"/>
      <c r="M482" s="631"/>
      <c r="N482" s="631"/>
      <c r="O482" s="629"/>
      <c r="P482" s="745">
        <f t="shared" ref="P482:S483" si="895">+P456/L456-1</f>
        <v>2.2883211678832116</v>
      </c>
      <c r="Q482" s="745">
        <f t="shared" si="895"/>
        <v>1.8303030303030301</v>
      </c>
      <c r="R482" s="745">
        <f t="shared" si="895"/>
        <v>1.263157894736842</v>
      </c>
      <c r="S482" s="670">
        <f t="shared" si="895"/>
        <v>0.93469387755102051</v>
      </c>
      <c r="T482" s="744">
        <f t="shared" si="892"/>
        <v>9.5449500554938949E-2</v>
      </c>
      <c r="U482" s="745">
        <f t="shared" si="892"/>
        <v>0.10706638115631684</v>
      </c>
      <c r="V482" s="745">
        <f t="shared" si="892"/>
        <v>3.5940803382663811E-2</v>
      </c>
      <c r="W482" s="670">
        <f t="shared" si="892"/>
        <v>-8.4388185654008407E-2</v>
      </c>
      <c r="X482" s="745">
        <f t="shared" si="892"/>
        <v>-6.7882472137791305E-2</v>
      </c>
      <c r="Y482" s="745">
        <f t="shared" si="892"/>
        <v>-1.9342359767892114E-3</v>
      </c>
      <c r="Z482" s="745">
        <f t="shared" si="892"/>
        <v>0.14285714285714279</v>
      </c>
      <c r="AA482" s="670">
        <f t="shared" si="892"/>
        <v>0.23502304147465436</v>
      </c>
      <c r="AB482" s="744">
        <f t="shared" si="892"/>
        <v>0.14673913043478271</v>
      </c>
      <c r="AC482" s="745">
        <f t="shared" si="892"/>
        <v>0.12306201550387597</v>
      </c>
      <c r="AD482" s="745">
        <f t="shared" si="893"/>
        <v>8.3035714285714324E-2</v>
      </c>
      <c r="AE482" s="670">
        <f t="shared" si="893"/>
        <v>0.16697761194029859</v>
      </c>
      <c r="AF482" s="744">
        <f t="shared" si="893"/>
        <v>0.14407582938388619</v>
      </c>
      <c r="AG482" s="745">
        <f t="shared" si="893"/>
        <v>0.12510785159620363</v>
      </c>
      <c r="AH482" s="745">
        <f t="shared" si="893"/>
        <v>0.21352019785655396</v>
      </c>
      <c r="AI482" s="745">
        <f t="shared" si="893"/>
        <v>0.19904076738609122</v>
      </c>
      <c r="AJ482" s="744">
        <f t="shared" si="893"/>
        <v>0.18227009113504566</v>
      </c>
      <c r="AK482" s="745">
        <f t="shared" si="893"/>
        <v>0.12576687116564411</v>
      </c>
      <c r="AL482" s="745">
        <f t="shared" si="893"/>
        <v>1.1548913043478271E-2</v>
      </c>
      <c r="AM482" s="670">
        <f t="shared" si="893"/>
        <v>5.1333333333333231E-2</v>
      </c>
      <c r="AN482" s="744">
        <f t="shared" si="893"/>
        <v>0.53118430273300632</v>
      </c>
      <c r="AO482" s="745">
        <f t="shared" si="893"/>
        <v>0.57833787465940056</v>
      </c>
      <c r="AP482" s="745">
        <f t="shared" si="893"/>
        <v>0.6245802552048354</v>
      </c>
      <c r="AQ482" s="670">
        <f t="shared" si="893"/>
        <v>0.51236525047558645</v>
      </c>
      <c r="AR482" s="744">
        <f t="shared" si="881"/>
        <v>-2.5629290617849021E-2</v>
      </c>
      <c r="AS482" s="745">
        <f t="shared" si="882"/>
        <v>-9.451877427708244E-2</v>
      </c>
      <c r="AT482" s="745">
        <f t="shared" si="883"/>
        <v>-5.4154609342703552E-2</v>
      </c>
      <c r="AU482" s="670">
        <f t="shared" si="884"/>
        <v>-1.5513626834381511E-2</v>
      </c>
      <c r="AV482" s="744">
        <f t="shared" si="885"/>
        <v>4.5457961484264953E-2</v>
      </c>
      <c r="AW482" s="745">
        <f t="shared" si="886"/>
        <v>9.8916682554814006E-2</v>
      </c>
      <c r="AX482" s="745">
        <f t="shared" si="887"/>
        <v>5.0599416083916049E-2</v>
      </c>
      <c r="AY482" s="670">
        <f t="shared" si="888"/>
        <v>7.4881054514479573E-3</v>
      </c>
      <c r="AZ482" s="1921"/>
      <c r="BA482" s="630"/>
      <c r="BB482" s="631"/>
      <c r="BC482" s="631"/>
      <c r="BD482" s="562">
        <f>+BD456/BC456-1</f>
        <v>1.4662698412698414</v>
      </c>
      <c r="BE482" s="562">
        <f t="shared" si="894"/>
        <v>3.75435773665862E-2</v>
      </c>
      <c r="BF482" s="637">
        <f t="shared" si="894"/>
        <v>7.1077797880589211E-2</v>
      </c>
      <c r="BG482" s="637">
        <f t="shared" si="894"/>
        <v>0.12886100386100385</v>
      </c>
      <c r="BH482" s="562">
        <f t="shared" si="894"/>
        <v>0.17208208636169298</v>
      </c>
      <c r="BI482" s="637">
        <f t="shared" si="894"/>
        <v>8.7178551887652667E-2</v>
      </c>
      <c r="BJ482" s="562">
        <f t="shared" si="894"/>
        <v>0.56114745848012082</v>
      </c>
      <c r="BK482" s="562">
        <f t="shared" si="894"/>
        <v>-4.7603696539866736E-2</v>
      </c>
      <c r="BL482" s="562">
        <f t="shared" si="894"/>
        <v>4.9380653909511407E-2</v>
      </c>
      <c r="BM482" s="562">
        <f t="shared" si="890"/>
        <v>0.64676284129575579</v>
      </c>
      <c r="BN482" s="562">
        <f t="shared" si="890"/>
        <v>0.10637719973833248</v>
      </c>
      <c r="BO482" s="632"/>
    </row>
    <row r="483" spans="2:67" s="595" customFormat="1" ht="14.25" customHeight="1">
      <c r="B483" s="640" t="s">
        <v>344</v>
      </c>
      <c r="C483" s="625"/>
      <c r="D483" s="626"/>
      <c r="E483" s="627"/>
      <c r="F483" s="628"/>
      <c r="G483" s="629"/>
      <c r="H483" s="630"/>
      <c r="I483" s="628"/>
      <c r="J483" s="628"/>
      <c r="K483" s="629"/>
      <c r="L483" s="630"/>
      <c r="M483" s="631"/>
      <c r="N483" s="631"/>
      <c r="O483" s="629"/>
      <c r="P483" s="741">
        <f t="shared" si="895"/>
        <v>1.2459016393442623</v>
      </c>
      <c r="Q483" s="741">
        <f t="shared" si="895"/>
        <v>1.0555555555555554</v>
      </c>
      <c r="R483" s="741">
        <f t="shared" si="895"/>
        <v>0.8125</v>
      </c>
      <c r="S483" s="668">
        <f t="shared" si="895"/>
        <v>0.11111111111111116</v>
      </c>
      <c r="T483" s="740">
        <f t="shared" si="892"/>
        <v>-0.30656934306569339</v>
      </c>
      <c r="U483" s="741">
        <f t="shared" si="892"/>
        <v>-0.52972972972972965</v>
      </c>
      <c r="V483" s="741">
        <f t="shared" si="892"/>
        <v>-0.54022988505747127</v>
      </c>
      <c r="W483" s="668">
        <f t="shared" si="892"/>
        <v>-0.51538461538461533</v>
      </c>
      <c r="X483" s="741">
        <f t="shared" si="892"/>
        <v>-0.38947368421052631</v>
      </c>
      <c r="Y483" s="741">
        <f t="shared" si="892"/>
        <v>-0.28735632183908044</v>
      </c>
      <c r="Z483" s="741">
        <f t="shared" si="892"/>
        <v>-0.375</v>
      </c>
      <c r="AA483" s="668">
        <f t="shared" si="892"/>
        <v>-0.30158730158730163</v>
      </c>
      <c r="AB483" s="740">
        <f t="shared" si="892"/>
        <v>-0.48275862068965514</v>
      </c>
      <c r="AC483" s="741">
        <f t="shared" si="892"/>
        <v>-0.532258064516129</v>
      </c>
      <c r="AD483" s="741">
        <f t="shared" si="893"/>
        <v>-0.28000000000000003</v>
      </c>
      <c r="AE483" s="668">
        <f t="shared" si="893"/>
        <v>-4.5454545454545414E-2</v>
      </c>
      <c r="AF483" s="740">
        <f t="shared" si="893"/>
        <v>0.30000000000000004</v>
      </c>
      <c r="AG483" s="741">
        <f t="shared" si="893"/>
        <v>0.55172413793103448</v>
      </c>
      <c r="AH483" s="741">
        <f t="shared" si="893"/>
        <v>0.19444444444444442</v>
      </c>
      <c r="AI483" s="741">
        <f t="shared" si="893"/>
        <v>-0.11904761904761907</v>
      </c>
      <c r="AJ483" s="740">
        <f t="shared" si="893"/>
        <v>-0.10256410256410253</v>
      </c>
      <c r="AK483" s="741">
        <f t="shared" si="893"/>
        <v>-0.15555555555555556</v>
      </c>
      <c r="AL483" s="741">
        <f t="shared" si="893"/>
        <v>-0.23255813953488369</v>
      </c>
      <c r="AM483" s="668">
        <f t="shared" si="893"/>
        <v>-0.21621621621621623</v>
      </c>
      <c r="AN483" s="740">
        <f t="shared" si="893"/>
        <v>0</v>
      </c>
      <c r="AO483" s="741">
        <f t="shared" si="893"/>
        <v>0.26315789473684204</v>
      </c>
      <c r="AP483" s="741">
        <f t="shared" si="893"/>
        <v>0.51515151515151514</v>
      </c>
      <c r="AQ483" s="668">
        <f t="shared" si="893"/>
        <v>0.89655172413793105</v>
      </c>
      <c r="AR483" s="740">
        <f t="shared" si="881"/>
        <v>1.342857142857143</v>
      </c>
      <c r="AS483" s="741">
        <f t="shared" si="882"/>
        <v>1.1666666666666665</v>
      </c>
      <c r="AT483" s="741">
        <f t="shared" si="883"/>
        <v>0.98</v>
      </c>
      <c r="AU483" s="668">
        <f t="shared" si="884"/>
        <v>0.96363636363636362</v>
      </c>
      <c r="AV483" s="740">
        <f t="shared" si="885"/>
        <v>0.21951219512195119</v>
      </c>
      <c r="AW483" s="741">
        <f t="shared" si="886"/>
        <v>-3.8461538461538436E-2</v>
      </c>
      <c r="AX483" s="741">
        <f t="shared" si="887"/>
        <v>1.0101010101010166E-2</v>
      </c>
      <c r="AY483" s="668">
        <f t="shared" si="888"/>
        <v>-7.407407407407407E-2</v>
      </c>
      <c r="AZ483" s="1921"/>
      <c r="BA483" s="630"/>
      <c r="BB483" s="631"/>
      <c r="BC483" s="631"/>
      <c r="BD483" s="556">
        <f>+BD457/BC457-1</f>
        <v>0.71978021978021989</v>
      </c>
      <c r="BE483" s="556">
        <f t="shared" si="894"/>
        <v>-0.48083067092651754</v>
      </c>
      <c r="BF483" s="686">
        <f t="shared" si="894"/>
        <v>-0.34153846153846157</v>
      </c>
      <c r="BG483" s="686">
        <f t="shared" si="894"/>
        <v>-0.35981308411214952</v>
      </c>
      <c r="BH483" s="556">
        <f t="shared" si="894"/>
        <v>0.19708029197080301</v>
      </c>
      <c r="BI483" s="686">
        <f t="shared" si="894"/>
        <v>-0.17682926829268297</v>
      </c>
      <c r="BJ483" s="556">
        <f t="shared" si="894"/>
        <v>0.3925925925925926</v>
      </c>
      <c r="BK483" s="556">
        <f t="shared" si="894"/>
        <v>1.0904255319148937</v>
      </c>
      <c r="BL483" s="556">
        <f t="shared" si="894"/>
        <v>1.7811704834605591E-2</v>
      </c>
      <c r="BM483" s="556">
        <f t="shared" si="890"/>
        <v>2.1111111111111112</v>
      </c>
      <c r="BN483" s="556">
        <f t="shared" si="890"/>
        <v>1.3457446808510638</v>
      </c>
      <c r="BO483" s="632"/>
    </row>
    <row r="484" spans="2:67" s="595" customFormat="1" ht="14.25" customHeight="1">
      <c r="B484" s="644" t="s">
        <v>346</v>
      </c>
      <c r="C484" s="625"/>
      <c r="D484" s="626"/>
      <c r="E484" s="627"/>
      <c r="F484" s="628"/>
      <c r="G484" s="629"/>
      <c r="H484" s="630"/>
      <c r="I484" s="628"/>
      <c r="J484" s="628"/>
      <c r="K484" s="629"/>
      <c r="L484" s="630"/>
      <c r="M484" s="631"/>
      <c r="N484" s="631"/>
      <c r="O484" s="629"/>
      <c r="P484" s="743">
        <f>+P458/L458-1</f>
        <v>-0.59829059829059827</v>
      </c>
      <c r="Q484" s="743"/>
      <c r="R484" s="743"/>
      <c r="S484" s="669"/>
      <c r="T484" s="742"/>
      <c r="U484" s="743"/>
      <c r="V484" s="743"/>
      <c r="W484" s="669"/>
      <c r="X484" s="743"/>
      <c r="Y484" s="743"/>
      <c r="Z484" s="743"/>
      <c r="AA484" s="669"/>
      <c r="AB484" s="742"/>
      <c r="AC484" s="743"/>
      <c r="AD484" s="743"/>
      <c r="AE484" s="669"/>
      <c r="AF484" s="742"/>
      <c r="AG484" s="743"/>
      <c r="AH484" s="743"/>
      <c r="AI484" s="743"/>
      <c r="AJ484" s="742"/>
      <c r="AK484" s="743"/>
      <c r="AL484" s="743"/>
      <c r="AM484" s="669"/>
      <c r="AN484" s="742"/>
      <c r="AO484" s="743"/>
      <c r="AP484" s="743"/>
      <c r="AQ484" s="669"/>
      <c r="AR484" s="742"/>
      <c r="AS484" s="743"/>
      <c r="AT484" s="743"/>
      <c r="AU484" s="669"/>
      <c r="AV484" s="742"/>
      <c r="AW484" s="743"/>
      <c r="AX484" s="743"/>
      <c r="AY484" s="669"/>
      <c r="AZ484" s="1921"/>
      <c r="BA484" s="630"/>
      <c r="BB484" s="631"/>
      <c r="BC484" s="631"/>
      <c r="BD484" s="556">
        <f>+BD458/BC458-1</f>
        <v>-0.91854419410745236</v>
      </c>
      <c r="BE484" s="556">
        <f>+BE458/BD458-1</f>
        <v>-1</v>
      </c>
      <c r="BF484" s="686"/>
      <c r="BG484" s="686"/>
      <c r="BH484" s="556"/>
      <c r="BI484" s="686"/>
      <c r="BJ484" s="556"/>
      <c r="BK484" s="556"/>
      <c r="BL484" s="556"/>
      <c r="BM484" s="556"/>
      <c r="BN484" s="556"/>
      <c r="BO484" s="632"/>
    </row>
    <row r="485" spans="2:67" s="595" customFormat="1" ht="14.25" customHeight="1">
      <c r="B485" s="671" t="s">
        <v>470</v>
      </c>
      <c r="C485" s="662"/>
      <c r="D485" s="663"/>
      <c r="E485" s="663"/>
      <c r="F485" s="664"/>
      <c r="G485" s="665"/>
      <c r="H485" s="666"/>
      <c r="I485" s="664"/>
      <c r="J485" s="664"/>
      <c r="K485" s="665"/>
      <c r="L485" s="666"/>
      <c r="M485" s="664"/>
      <c r="N485" s="664"/>
      <c r="O485" s="665"/>
      <c r="P485" s="672">
        <f>+P459/L459-1</f>
        <v>1.4004424778761062</v>
      </c>
      <c r="Q485" s="672">
        <f t="shared" ref="Q485:AQ485" si="896">+Q459/M459-1</f>
        <v>0.95629370629370625</v>
      </c>
      <c r="R485" s="672">
        <f t="shared" si="896"/>
        <v>0.61849710982658967</v>
      </c>
      <c r="S485" s="673">
        <f t="shared" si="896"/>
        <v>0.46268656716417911</v>
      </c>
      <c r="T485" s="746">
        <f t="shared" si="896"/>
        <v>-2.7649769585254003E-3</v>
      </c>
      <c r="U485" s="672">
        <f t="shared" si="896"/>
        <v>1.7873100983021306E-3</v>
      </c>
      <c r="V485" s="672">
        <f t="shared" si="896"/>
        <v>-5.3571428571428603E-2</v>
      </c>
      <c r="W485" s="673">
        <f t="shared" si="896"/>
        <v>-0.13636363636363635</v>
      </c>
      <c r="X485" s="672">
        <f t="shared" si="896"/>
        <v>-9.6118299445471345E-2</v>
      </c>
      <c r="Y485" s="672">
        <f t="shared" si="896"/>
        <v>-2.408563782337203E-2</v>
      </c>
      <c r="Z485" s="672">
        <f t="shared" si="896"/>
        <v>0.10377358490566047</v>
      </c>
      <c r="AA485" s="673">
        <f t="shared" si="896"/>
        <v>0.1987110633727176</v>
      </c>
      <c r="AB485" s="746">
        <f t="shared" si="896"/>
        <v>0.10940695296523528</v>
      </c>
      <c r="AC485" s="672">
        <f t="shared" si="896"/>
        <v>8.5923217550274211E-2</v>
      </c>
      <c r="AD485" s="672">
        <f t="shared" si="896"/>
        <v>6.7521367521367504E-2</v>
      </c>
      <c r="AE485" s="673">
        <f t="shared" si="896"/>
        <v>0.15860215053763449</v>
      </c>
      <c r="AF485" s="746">
        <f t="shared" si="896"/>
        <v>0.14838709677419359</v>
      </c>
      <c r="AG485" s="672">
        <f t="shared" si="896"/>
        <v>0.1355218855218856</v>
      </c>
      <c r="AH485" s="672">
        <f t="shared" si="896"/>
        <v>0.21297037630104088</v>
      </c>
      <c r="AI485" s="672">
        <f t="shared" si="896"/>
        <v>0.18870843000773396</v>
      </c>
      <c r="AJ485" s="746">
        <f t="shared" si="896"/>
        <v>0.173354735152488</v>
      </c>
      <c r="AK485" s="672">
        <f t="shared" si="896"/>
        <v>0.11638250555967389</v>
      </c>
      <c r="AL485" s="672">
        <f t="shared" si="896"/>
        <v>4.6204620462046986E-3</v>
      </c>
      <c r="AM485" s="673">
        <f t="shared" si="896"/>
        <v>4.4892648015614878E-2</v>
      </c>
      <c r="AN485" s="746">
        <f t="shared" si="896"/>
        <v>0.51846785225718195</v>
      </c>
      <c r="AO485" s="672">
        <f t="shared" si="896"/>
        <v>0.57038512616201853</v>
      </c>
      <c r="AP485" s="672">
        <f t="shared" si="896"/>
        <v>0.62220762155059139</v>
      </c>
      <c r="AQ485" s="673">
        <f t="shared" si="896"/>
        <v>0.51930261519302623</v>
      </c>
      <c r="AR485" s="746">
        <f t="shared" ref="AR485" si="897">+AR459/AN459-1</f>
        <v>-4.0540540540540126E-3</v>
      </c>
      <c r="AS485" s="672">
        <f t="shared" ref="AS485" si="898">+AS459/AO459-1</f>
        <v>-6.892177589852011E-2</v>
      </c>
      <c r="AT485" s="672">
        <f t="shared" ref="AT485" si="899">+AT459/AP459-1</f>
        <v>-3.3211826650465737E-2</v>
      </c>
      <c r="AU485" s="673">
        <f t="shared" ref="AU485" si="900">+AU459/AQ459-1</f>
        <v>6.5573770491802463E-3</v>
      </c>
      <c r="AV485" s="746">
        <f t="shared" ref="AV485" si="901">+AV459/AR459-1</f>
        <v>5.1913161465400259E-2</v>
      </c>
      <c r="AW485" s="672">
        <f t="shared" ref="AW485" si="902">+AW459/AS459-1</f>
        <v>9.2428337874659316E-2</v>
      </c>
      <c r="AX485" s="672">
        <f t="shared" ref="AX485" si="903">+AX459/AT459-1</f>
        <v>4.8919758692919979E-2</v>
      </c>
      <c r="AY485" s="673">
        <f t="shared" ref="AY485" si="904">+AY459/AU459-1</f>
        <v>3.9014949511400054E-3</v>
      </c>
      <c r="AZ485" s="1921"/>
      <c r="BA485" s="666"/>
      <c r="BB485" s="664"/>
      <c r="BC485" s="664"/>
      <c r="BD485" s="693">
        <f>+BD459/BC459-1</f>
        <v>0.79453730126375866</v>
      </c>
      <c r="BE485" s="693">
        <f>+BE459/BD459-1</f>
        <v>-4.725124943207637E-2</v>
      </c>
      <c r="BF485" s="695">
        <f t="shared" ref="BF485:BL485" si="905">+BF459/BE459-1</f>
        <v>3.91034811635671E-2</v>
      </c>
      <c r="BG485" s="637">
        <f t="shared" si="905"/>
        <v>0.10486461679669579</v>
      </c>
      <c r="BH485" s="562">
        <f t="shared" si="905"/>
        <v>0.17279335410176522</v>
      </c>
      <c r="BI485" s="637">
        <f t="shared" si="905"/>
        <v>7.9511244908801126E-2</v>
      </c>
      <c r="BJ485" s="562">
        <f t="shared" si="905"/>
        <v>0.5574146981627297</v>
      </c>
      <c r="BK485" s="562">
        <f t="shared" si="905"/>
        <v>-2.5068464293237835E-2</v>
      </c>
      <c r="BL485" s="562">
        <f t="shared" si="905"/>
        <v>4.80402696197062E-2</v>
      </c>
      <c r="BM485" s="562">
        <f t="shared" ref="BM485:BN485" si="906">+BM459/BI459-1</f>
        <v>0.67919181380643034</v>
      </c>
      <c r="BN485" s="562">
        <f t="shared" si="906"/>
        <v>0.13091913005739642</v>
      </c>
      <c r="BO485" s="632"/>
    </row>
    <row r="486" spans="2:67" s="595" customFormat="1" ht="14.25" customHeight="1">
      <c r="B486" s="574"/>
      <c r="C486" s="625"/>
      <c r="D486" s="626"/>
      <c r="E486" s="627"/>
      <c r="F486" s="628"/>
      <c r="G486" s="629"/>
      <c r="H486" s="630"/>
      <c r="I486" s="628"/>
      <c r="J486" s="628"/>
      <c r="K486" s="629"/>
      <c r="L486" s="630"/>
      <c r="M486" s="631"/>
      <c r="N486" s="631"/>
      <c r="O486" s="629"/>
      <c r="P486" s="631"/>
      <c r="Q486" s="631"/>
      <c r="R486" s="631"/>
      <c r="S486" s="629"/>
      <c r="T486" s="630"/>
      <c r="U486" s="631"/>
      <c r="V486" s="631"/>
      <c r="W486" s="629"/>
      <c r="X486" s="631"/>
      <c r="Y486" s="631"/>
      <c r="Z486" s="631"/>
      <c r="AA486" s="629"/>
      <c r="AB486" s="630"/>
      <c r="AC486" s="631"/>
      <c r="AD486" s="631"/>
      <c r="AE486" s="629"/>
      <c r="AF486" s="630"/>
      <c r="AG486" s="631"/>
      <c r="AH486" s="631"/>
      <c r="AI486" s="631"/>
      <c r="AJ486" s="630"/>
      <c r="AK486" s="631"/>
      <c r="AL486" s="631"/>
      <c r="AM486" s="629"/>
      <c r="AN486" s="630"/>
      <c r="AO486" s="631"/>
      <c r="AP486" s="631"/>
      <c r="AQ486" s="629"/>
      <c r="AR486" s="630"/>
      <c r="AS486" s="631"/>
      <c r="AT486" s="631"/>
      <c r="AU486" s="629"/>
      <c r="AV486" s="630"/>
      <c r="AW486" s="631"/>
      <c r="AX486" s="631"/>
      <c r="AY486" s="629"/>
      <c r="AZ486" s="1921"/>
      <c r="BA486" s="630"/>
      <c r="BB486" s="631"/>
      <c r="BC486" s="631"/>
      <c r="BD486" s="631"/>
      <c r="BE486" s="631"/>
      <c r="BF486" s="630"/>
      <c r="BG486" s="700"/>
      <c r="BH486" s="701"/>
      <c r="BI486" s="700"/>
      <c r="BJ486" s="701"/>
      <c r="BK486" s="701"/>
      <c r="BL486" s="701"/>
      <c r="BM486" s="701"/>
      <c r="BN486" s="701"/>
      <c r="BO486" s="632"/>
    </row>
    <row r="487" spans="2:67" s="595" customFormat="1" ht="14.25" customHeight="1">
      <c r="B487" s="574"/>
      <c r="C487" s="625"/>
      <c r="D487" s="626"/>
      <c r="E487" s="627"/>
      <c r="F487" s="628"/>
      <c r="G487" s="629"/>
      <c r="H487" s="630"/>
      <c r="I487" s="628"/>
      <c r="J487" s="628"/>
      <c r="K487" s="629"/>
      <c r="L487" s="630"/>
      <c r="M487" s="631"/>
      <c r="N487" s="631"/>
      <c r="O487" s="629"/>
      <c r="P487" s="631"/>
      <c r="Q487" s="631"/>
      <c r="R487" s="631"/>
      <c r="S487" s="629"/>
      <c r="T487" s="630"/>
      <c r="U487" s="631"/>
      <c r="V487" s="631"/>
      <c r="W487" s="629"/>
      <c r="X487" s="631"/>
      <c r="Y487" s="631"/>
      <c r="Z487" s="631"/>
      <c r="AA487" s="629"/>
      <c r="AB487" s="630"/>
      <c r="AC487" s="631"/>
      <c r="AD487" s="631"/>
      <c r="AE487" s="629"/>
      <c r="AF487" s="630"/>
      <c r="AG487" s="631"/>
      <c r="AH487" s="631"/>
      <c r="AI487" s="631"/>
      <c r="AJ487" s="630"/>
      <c r="AK487" s="631"/>
      <c r="AL487" s="631"/>
      <c r="AM487" s="629"/>
      <c r="AN487" s="630"/>
      <c r="AO487" s="631"/>
      <c r="AP487" s="631"/>
      <c r="AQ487" s="629"/>
      <c r="AR487" s="630"/>
      <c r="AS487" s="631"/>
      <c r="AT487" s="631"/>
      <c r="AU487" s="629"/>
      <c r="AV487" s="630"/>
      <c r="AW487" s="631"/>
      <c r="AX487" s="631"/>
      <c r="AY487" s="629"/>
      <c r="AZ487" s="1921"/>
      <c r="BA487" s="630"/>
      <c r="BB487" s="631"/>
      <c r="BC487" s="631"/>
      <c r="BD487" s="631"/>
      <c r="BE487" s="631"/>
      <c r="BF487" s="630"/>
      <c r="BG487" s="630"/>
      <c r="BH487" s="631"/>
      <c r="BI487" s="630"/>
      <c r="BJ487" s="631"/>
      <c r="BK487" s="631"/>
      <c r="BL487" s="631"/>
      <c r="BM487" s="631"/>
      <c r="BN487" s="631"/>
      <c r="BO487" s="632"/>
    </row>
    <row r="488" spans="2:67" s="595" customFormat="1" ht="14.25" customHeight="1">
      <c r="B488" s="667" t="s">
        <v>479</v>
      </c>
      <c r="C488" s="662"/>
      <c r="D488" s="663"/>
      <c r="E488" s="663"/>
      <c r="F488" s="664"/>
      <c r="G488" s="665"/>
      <c r="H488" s="666"/>
      <c r="I488" s="664"/>
      <c r="J488" s="664"/>
      <c r="K488" s="665"/>
      <c r="L488" s="666"/>
      <c r="M488" s="664"/>
      <c r="N488" s="664"/>
      <c r="O488" s="665"/>
      <c r="P488" s="664"/>
      <c r="Q488" s="664"/>
      <c r="R488" s="664"/>
      <c r="S488" s="665"/>
      <c r="T488" s="666"/>
      <c r="U488" s="664"/>
      <c r="V488" s="664"/>
      <c r="W488" s="665"/>
      <c r="X488" s="664"/>
      <c r="Y488" s="664"/>
      <c r="Z488" s="664"/>
      <c r="AA488" s="665"/>
      <c r="AB488" s="666"/>
      <c r="AC488" s="664"/>
      <c r="AD488" s="664"/>
      <c r="AE488" s="665"/>
      <c r="AF488" s="666"/>
      <c r="AG488" s="664"/>
      <c r="AH488" s="664"/>
      <c r="AI488" s="664"/>
      <c r="AJ488" s="666"/>
      <c r="AK488" s="664"/>
      <c r="AL488" s="664"/>
      <c r="AM488" s="665"/>
      <c r="AN488" s="666"/>
      <c r="AO488" s="664"/>
      <c r="AP488" s="664"/>
      <c r="AQ488" s="665"/>
      <c r="AR488" s="666"/>
      <c r="AS488" s="664"/>
      <c r="AT488" s="664"/>
      <c r="AU488" s="665"/>
      <c r="AV488" s="666"/>
      <c r="AW488" s="664"/>
      <c r="AX488" s="664"/>
      <c r="AY488" s="665"/>
      <c r="AZ488" s="1921"/>
      <c r="BA488" s="630"/>
      <c r="BB488" s="631"/>
      <c r="BC488" s="631"/>
      <c r="BD488" s="631"/>
      <c r="BE488" s="631"/>
      <c r="BF488" s="630"/>
      <c r="BG488" s="666"/>
      <c r="BH488" s="664"/>
      <c r="BI488" s="666"/>
      <c r="BJ488" s="664"/>
      <c r="BK488" s="664"/>
      <c r="BL488" s="664"/>
      <c r="BM488" s="664"/>
      <c r="BN488" s="664"/>
      <c r="BO488" s="632"/>
    </row>
    <row r="489" spans="2:67" s="552" customFormat="1" ht="14.25" customHeight="1">
      <c r="B489" s="635" t="str">
        <f>B476</f>
        <v>Automotives</v>
      </c>
      <c r="C489" s="553"/>
      <c r="D489" s="688"/>
      <c r="E489" s="501"/>
      <c r="F489" s="499"/>
      <c r="G489" s="500"/>
      <c r="H489" s="686"/>
      <c r="I489" s="499"/>
      <c r="J489" s="499"/>
      <c r="K489" s="500"/>
      <c r="L489" s="686">
        <f t="shared" ref="L489:AK489" si="907">+L450/L$459</f>
        <v>0.22123893805309736</v>
      </c>
      <c r="M489" s="556">
        <f t="shared" si="907"/>
        <v>0.22552447552447552</v>
      </c>
      <c r="N489" s="556">
        <f t="shared" si="907"/>
        <v>0.24566473988439305</v>
      </c>
      <c r="O489" s="500">
        <f t="shared" si="907"/>
        <v>0.29443690637720488</v>
      </c>
      <c r="P489" s="556">
        <f t="shared" si="907"/>
        <v>0.21013824884792626</v>
      </c>
      <c r="Q489" s="556">
        <f t="shared" si="907"/>
        <v>0.20554066130473636</v>
      </c>
      <c r="R489" s="556">
        <f t="shared" si="907"/>
        <v>0.20535714285714285</v>
      </c>
      <c r="S489" s="500">
        <f t="shared" si="907"/>
        <v>0.22541743970315398</v>
      </c>
      <c r="T489" s="686">
        <f t="shared" si="907"/>
        <v>0.21996303142329021</v>
      </c>
      <c r="U489" s="556">
        <f t="shared" si="907"/>
        <v>0.22390722569134702</v>
      </c>
      <c r="V489" s="556">
        <f t="shared" si="907"/>
        <v>0.21037735849056605</v>
      </c>
      <c r="W489" s="500">
        <f t="shared" si="907"/>
        <v>0.23415682062298604</v>
      </c>
      <c r="X489" s="556">
        <f t="shared" si="907"/>
        <v>0.23415132924335377</v>
      </c>
      <c r="Y489" s="556">
        <f t="shared" si="907"/>
        <v>0.2230347349177331</v>
      </c>
      <c r="Z489" s="556">
        <f t="shared" si="907"/>
        <v>0.20427350427350427</v>
      </c>
      <c r="AA489" s="500">
        <f t="shared" si="907"/>
        <v>0.20340501792114696</v>
      </c>
      <c r="AB489" s="686">
        <f t="shared" si="907"/>
        <v>0.2119815668202765</v>
      </c>
      <c r="AC489" s="556">
        <f t="shared" si="907"/>
        <v>0.21296296296296297</v>
      </c>
      <c r="AD489" s="556">
        <f t="shared" si="907"/>
        <v>0.20896717373899118</v>
      </c>
      <c r="AE489" s="500">
        <f t="shared" si="907"/>
        <v>0.21268368136117555</v>
      </c>
      <c r="AF489" s="686">
        <f t="shared" si="907"/>
        <v>0.22150882825040127</v>
      </c>
      <c r="AG489" s="556">
        <f t="shared" si="907"/>
        <v>0.21349147516679021</v>
      </c>
      <c r="AH489" s="556">
        <f t="shared" si="907"/>
        <v>0.1900990099009901</v>
      </c>
      <c r="AI489" s="556">
        <f t="shared" si="907"/>
        <v>0.18998048145738453</v>
      </c>
      <c r="AJ489" s="686">
        <f t="shared" si="907"/>
        <v>0.20656634746922026</v>
      </c>
      <c r="AK489" s="556">
        <f t="shared" si="907"/>
        <v>0.20584329349269589</v>
      </c>
      <c r="AL489" s="556">
        <f t="shared" ref="AL489:AO489" si="908">+AL450/AL$459</f>
        <v>0.202365308804205</v>
      </c>
      <c r="AM489" s="500">
        <f t="shared" si="908"/>
        <v>0.26276463262764632</v>
      </c>
      <c r="AN489" s="686">
        <f t="shared" si="908"/>
        <v>0.36261261261261263</v>
      </c>
      <c r="AO489" s="556">
        <f t="shared" si="908"/>
        <v>0.36279069767441863</v>
      </c>
      <c r="AP489" s="556">
        <f t="shared" ref="AP489:AQ489" si="909">+AP450/AP$459</f>
        <v>0.34548400162008913</v>
      </c>
      <c r="AQ489" s="500">
        <f t="shared" si="909"/>
        <v>0.35368852459016392</v>
      </c>
      <c r="AR489" s="686">
        <f t="shared" ref="AR489:AU489" si="910">+AR450/AR$459</f>
        <v>0.40976933514246949</v>
      </c>
      <c r="AS489" s="556">
        <f t="shared" si="910"/>
        <v>0.42597638510445052</v>
      </c>
      <c r="AT489" s="556">
        <f t="shared" si="910"/>
        <v>0.39715123586091328</v>
      </c>
      <c r="AU489" s="500">
        <f t="shared" si="910"/>
        <v>0.39495114006514659</v>
      </c>
      <c r="AV489" s="686">
        <f t="shared" ref="AV489:AY489" si="911">+AV450/AV$459</f>
        <v>0.43374695800978597</v>
      </c>
      <c r="AW489" s="556">
        <f t="shared" si="911"/>
        <v>0.42985171815974477</v>
      </c>
      <c r="AX489" s="556">
        <f t="shared" si="911"/>
        <v>0.40472527727474733</v>
      </c>
      <c r="AY489" s="500">
        <f t="shared" si="911"/>
        <v>0.40688412507355126</v>
      </c>
      <c r="AZ489" s="1910"/>
      <c r="BA489" s="1134"/>
      <c r="BB489" s="1135"/>
      <c r="BC489" s="1135">
        <f t="shared" ref="BC489:BJ498" si="912">+BC450/BC$459</f>
        <v>0.25112107623318386</v>
      </c>
      <c r="BD489" s="1135">
        <f t="shared" si="912"/>
        <v>0.21149477510222625</v>
      </c>
      <c r="BE489" s="1135">
        <f t="shared" si="912"/>
        <v>0.22174535050071531</v>
      </c>
      <c r="BF489" s="1134">
        <f t="shared" si="912"/>
        <v>0.21546581000458925</v>
      </c>
      <c r="BG489" s="686">
        <f t="shared" si="912"/>
        <v>0.21163032191069575</v>
      </c>
      <c r="BH489" s="556">
        <f t="shared" si="912"/>
        <v>0.20258544359837083</v>
      </c>
      <c r="BI489" s="686">
        <f t="shared" si="912"/>
        <v>0.22014435695538057</v>
      </c>
      <c r="BJ489" s="556">
        <f t="shared" si="912"/>
        <v>0.35590899515483465</v>
      </c>
      <c r="BK489" s="556">
        <f t="shared" ref="BK489:BM489" si="913">+BK450/BK$459</f>
        <v>0.40643906655142609</v>
      </c>
      <c r="BL489" s="556">
        <f t="shared" si="913"/>
        <v>0.41846281553819564</v>
      </c>
      <c r="BM489" s="556">
        <f t="shared" si="913"/>
        <v>0.42035748741851309</v>
      </c>
      <c r="BN489" s="556">
        <f t="shared" ref="BN489" si="914">+BN450/BN$459</f>
        <v>0.4207969423479262</v>
      </c>
      <c r="BO489" s="557"/>
    </row>
    <row r="490" spans="2:67" s="552" customFormat="1" ht="14.25" customHeight="1">
      <c r="B490" s="635" t="str">
        <f>B477</f>
        <v>Secure Identification Solutions</v>
      </c>
      <c r="C490" s="553"/>
      <c r="D490" s="688"/>
      <c r="E490" s="501"/>
      <c r="F490" s="499"/>
      <c r="G490" s="500"/>
      <c r="H490" s="686"/>
      <c r="I490" s="499"/>
      <c r="J490" s="499"/>
      <c r="K490" s="500"/>
      <c r="L490" s="686">
        <f t="shared" ref="L490:AK490" si="915">+L451/L$459</f>
        <v>0</v>
      </c>
      <c r="M490" s="556">
        <f t="shared" si="915"/>
        <v>0</v>
      </c>
      <c r="N490" s="556">
        <f t="shared" si="915"/>
        <v>0</v>
      </c>
      <c r="O490" s="500">
        <f t="shared" si="915"/>
        <v>0</v>
      </c>
      <c r="P490" s="556">
        <f t="shared" si="915"/>
        <v>0.10414746543778802</v>
      </c>
      <c r="Q490" s="556">
        <f t="shared" si="915"/>
        <v>0.10545129579982127</v>
      </c>
      <c r="R490" s="556">
        <f t="shared" si="915"/>
        <v>0.10892857142857143</v>
      </c>
      <c r="S490" s="500">
        <f t="shared" si="915"/>
        <v>0.12244897959183673</v>
      </c>
      <c r="T490" s="686">
        <f t="shared" si="915"/>
        <v>0.14417744916820702</v>
      </c>
      <c r="U490" s="556">
        <f t="shared" si="915"/>
        <v>0.14272970561998216</v>
      </c>
      <c r="V490" s="556">
        <f t="shared" si="915"/>
        <v>0.11886792452830189</v>
      </c>
      <c r="W490" s="500">
        <f t="shared" si="915"/>
        <v>0.12996777658431793</v>
      </c>
      <c r="X490" s="556">
        <f t="shared" si="915"/>
        <v>0.1492842535787321</v>
      </c>
      <c r="Y490" s="556">
        <f t="shared" si="915"/>
        <v>0.14716636197440586</v>
      </c>
      <c r="Z490" s="556">
        <f t="shared" si="915"/>
        <v>0.15982905982905982</v>
      </c>
      <c r="AA490" s="500">
        <f t="shared" si="915"/>
        <v>0.17114695340501793</v>
      </c>
      <c r="AB490" s="686">
        <f t="shared" si="915"/>
        <v>0.1889400921658986</v>
      </c>
      <c r="AC490" s="556">
        <f t="shared" si="915"/>
        <v>0.2196969696969697</v>
      </c>
      <c r="AD490" s="556">
        <f t="shared" si="915"/>
        <v>0.20816653322658127</v>
      </c>
      <c r="AE490" s="500">
        <f t="shared" si="915"/>
        <v>0.20959010054137664</v>
      </c>
      <c r="AF490" s="686">
        <f t="shared" si="915"/>
        <v>0.20385232744783308</v>
      </c>
      <c r="AG490" s="556">
        <f t="shared" si="915"/>
        <v>0.19792438843587842</v>
      </c>
      <c r="AH490" s="556">
        <f t="shared" si="915"/>
        <v>0.16633663366336635</v>
      </c>
      <c r="AI490" s="556">
        <f t="shared" si="915"/>
        <v>0.14508783344176968</v>
      </c>
      <c r="AJ490" s="686">
        <f t="shared" si="915"/>
        <v>0.15184678522571821</v>
      </c>
      <c r="AK490" s="556">
        <f t="shared" si="915"/>
        <v>0.17065073041168657</v>
      </c>
      <c r="AL490" s="556">
        <f t="shared" ref="AL490:AO490" si="916">+AL451/AL$459</f>
        <v>0.17674113009198422</v>
      </c>
      <c r="AM490" s="500">
        <f t="shared" si="916"/>
        <v>0.14009962640099627</v>
      </c>
      <c r="AN490" s="686">
        <f t="shared" si="916"/>
        <v>9.5495495495495492E-2</v>
      </c>
      <c r="AO490" s="556">
        <f t="shared" si="916"/>
        <v>8.4566596194503171E-2</v>
      </c>
      <c r="AP490" s="556">
        <f t="shared" ref="AP490:AQ490" si="917">+AP451/AP$459</f>
        <v>7.2093965168084251E-2</v>
      </c>
      <c r="AQ490" s="500">
        <f t="shared" si="917"/>
        <v>6.0245901639344263E-2</v>
      </c>
      <c r="AR490" s="686">
        <f t="shared" ref="AR490:AU490" si="918">+AR451/AR$459</f>
        <v>5.1560379918588875E-2</v>
      </c>
      <c r="AS490" s="556">
        <f t="shared" si="918"/>
        <v>6.0853769300635789E-2</v>
      </c>
      <c r="AT490" s="556">
        <f t="shared" si="918"/>
        <v>5.8232090490155007E-2</v>
      </c>
      <c r="AU490" s="500">
        <f t="shared" si="918"/>
        <v>5.5374592833876218E-2</v>
      </c>
      <c r="AV490" s="686">
        <f t="shared" ref="AV490:AY490" si="919">+AV451/AV$459</f>
        <v>5.4381755798054834E-2</v>
      </c>
      <c r="AW490" s="556">
        <f t="shared" si="919"/>
        <v>5.4682067199240146E-2</v>
      </c>
      <c r="AX490" s="556">
        <f t="shared" si="919"/>
        <v>5.3587152792951558E-2</v>
      </c>
      <c r="AY490" s="500">
        <f t="shared" si="919"/>
        <v>5.441716402201633E-2</v>
      </c>
      <c r="AZ490" s="1910"/>
      <c r="BA490" s="686"/>
      <c r="BB490" s="556"/>
      <c r="BC490" s="556">
        <f t="shared" si="912"/>
        <v>0</v>
      </c>
      <c r="BD490" s="556">
        <f t="shared" si="912"/>
        <v>0.11017719218537028</v>
      </c>
      <c r="BE490" s="556">
        <f t="shared" si="912"/>
        <v>0.13423938960419646</v>
      </c>
      <c r="BF490" s="686">
        <f t="shared" si="912"/>
        <v>0.15718219366681965</v>
      </c>
      <c r="BG490" s="686">
        <f t="shared" si="912"/>
        <v>0.20706126687435097</v>
      </c>
      <c r="BH490" s="556">
        <f t="shared" si="912"/>
        <v>0.17637683725872144</v>
      </c>
      <c r="BI490" s="686">
        <f t="shared" si="912"/>
        <v>0.15961286089238846</v>
      </c>
      <c r="BJ490" s="556">
        <f t="shared" si="912"/>
        <v>7.7627975563513793E-2</v>
      </c>
      <c r="BK490" s="556">
        <f t="shared" ref="BK490:BM490" si="920">+BK451/BK$459</f>
        <v>5.6503889369057911E-2</v>
      </c>
      <c r="BL490" s="556">
        <f t="shared" si="920"/>
        <v>5.4260135710997408E-2</v>
      </c>
      <c r="BM490" s="556">
        <f t="shared" si="920"/>
        <v>5.1420574566932234E-2</v>
      </c>
      <c r="BN490" s="556">
        <f t="shared" ref="BN490" si="921">+BN451/BN$459</f>
        <v>4.9023172620725031E-2</v>
      </c>
      <c r="BO490" s="557"/>
    </row>
    <row r="491" spans="2:67" s="552" customFormat="1" ht="14.25" customHeight="1">
      <c r="B491" s="635" t="str">
        <f>B478</f>
        <v>Secure Connected Devices</v>
      </c>
      <c r="C491" s="553"/>
      <c r="D491" s="688"/>
      <c r="E491" s="501"/>
      <c r="F491" s="499"/>
      <c r="G491" s="500"/>
      <c r="H491" s="686"/>
      <c r="I491" s="499"/>
      <c r="J491" s="499"/>
      <c r="K491" s="500"/>
      <c r="L491" s="686">
        <f t="shared" ref="L491:AK491" si="922">+L452/L$459</f>
        <v>0</v>
      </c>
      <c r="M491" s="556">
        <f t="shared" si="922"/>
        <v>0</v>
      </c>
      <c r="N491" s="556">
        <f t="shared" si="922"/>
        <v>0</v>
      </c>
      <c r="O491" s="500">
        <f t="shared" si="922"/>
        <v>0</v>
      </c>
      <c r="P491" s="556">
        <f t="shared" si="922"/>
        <v>0.12442396313364056</v>
      </c>
      <c r="Q491" s="556">
        <f t="shared" si="922"/>
        <v>0.12421805183199285</v>
      </c>
      <c r="R491" s="556">
        <f t="shared" si="922"/>
        <v>0.11964285714285715</v>
      </c>
      <c r="S491" s="500">
        <f t="shared" si="922"/>
        <v>0.11873840445269017</v>
      </c>
      <c r="T491" s="686">
        <f t="shared" si="922"/>
        <v>0.12384473197781885</v>
      </c>
      <c r="U491" s="556">
        <f t="shared" si="922"/>
        <v>0.12667261373773417</v>
      </c>
      <c r="V491" s="556">
        <f t="shared" si="922"/>
        <v>0.14056603773584905</v>
      </c>
      <c r="W491" s="500">
        <f t="shared" si="922"/>
        <v>0.14822771213748656</v>
      </c>
      <c r="X491" s="556">
        <f t="shared" si="922"/>
        <v>0.1359918200408998</v>
      </c>
      <c r="Y491" s="556">
        <f t="shared" si="922"/>
        <v>0.16453382084095064</v>
      </c>
      <c r="Z491" s="556">
        <f t="shared" si="922"/>
        <v>0.1623931623931624</v>
      </c>
      <c r="AA491" s="500">
        <f t="shared" si="922"/>
        <v>0.17204301075268819</v>
      </c>
      <c r="AB491" s="686">
        <f t="shared" si="922"/>
        <v>0.17327188940092167</v>
      </c>
      <c r="AC491" s="556">
        <f t="shared" si="922"/>
        <v>0.15404040404040403</v>
      </c>
      <c r="AD491" s="556">
        <f t="shared" si="922"/>
        <v>0.15052041633306645</v>
      </c>
      <c r="AE491" s="500">
        <f t="shared" si="922"/>
        <v>0.14926527455529776</v>
      </c>
      <c r="AF491" s="686">
        <f t="shared" si="922"/>
        <v>0.14446227929373998</v>
      </c>
      <c r="AG491" s="556">
        <f t="shared" si="922"/>
        <v>0.14677538917716829</v>
      </c>
      <c r="AH491" s="556">
        <f t="shared" si="922"/>
        <v>0.19867986798679868</v>
      </c>
      <c r="AI491" s="556">
        <f t="shared" si="922"/>
        <v>0.22706571242680545</v>
      </c>
      <c r="AJ491" s="686">
        <f t="shared" si="922"/>
        <v>0.19767441860465115</v>
      </c>
      <c r="AK491" s="556">
        <f t="shared" si="922"/>
        <v>0.18326693227091634</v>
      </c>
      <c r="AL491" s="556">
        <f t="shared" ref="AL491:AO491" si="923">+AL452/AL$459</f>
        <v>0.20827858081471748</v>
      </c>
      <c r="AM491" s="500">
        <f t="shared" si="923"/>
        <v>0.23599003735990037</v>
      </c>
      <c r="AN491" s="686">
        <f t="shared" si="923"/>
        <v>0.21216216216216216</v>
      </c>
      <c r="AO491" s="556">
        <f t="shared" si="923"/>
        <v>0.21733615221987315</v>
      </c>
      <c r="AP491" s="556">
        <f t="shared" ref="AP491:AQ491" si="924">+AP452/AP$459</f>
        <v>0.2397731875253139</v>
      </c>
      <c r="AQ491" s="500">
        <f t="shared" si="924"/>
        <v>0.2331967213114754</v>
      </c>
      <c r="AR491" s="686">
        <f t="shared" ref="AR491:AU491" si="925">+AR452/AR$459</f>
        <v>0.24468566259611035</v>
      </c>
      <c r="AS491" s="556">
        <f t="shared" si="925"/>
        <v>0.2670299727520436</v>
      </c>
      <c r="AT491" s="556">
        <f t="shared" si="925"/>
        <v>0.29870129870129869</v>
      </c>
      <c r="AU491" s="500">
        <f t="shared" si="925"/>
        <v>0.30333876221498374</v>
      </c>
      <c r="AV491" s="686">
        <f t="shared" ref="AV491:AY491" si="926">+AV452/AV$459</f>
        <v>0.26586779489031637</v>
      </c>
      <c r="AW491" s="556">
        <f t="shared" si="926"/>
        <v>0.27761814541111823</v>
      </c>
      <c r="AX491" s="556">
        <f t="shared" si="926"/>
        <v>0.30940079441691409</v>
      </c>
      <c r="AY491" s="500">
        <f t="shared" si="926"/>
        <v>0.30476730921083167</v>
      </c>
      <c r="AZ491" s="1910"/>
      <c r="BA491" s="686"/>
      <c r="BB491" s="556"/>
      <c r="BC491" s="556">
        <f t="shared" si="912"/>
        <v>0</v>
      </c>
      <c r="BD491" s="556">
        <f t="shared" si="912"/>
        <v>0.12176283507496592</v>
      </c>
      <c r="BE491" s="556">
        <f t="shared" si="912"/>
        <v>0.13423938960419646</v>
      </c>
      <c r="BF491" s="686">
        <f t="shared" si="912"/>
        <v>0.15947682423129875</v>
      </c>
      <c r="BG491" s="686">
        <f t="shared" si="912"/>
        <v>0.1561786085150571</v>
      </c>
      <c r="BH491" s="556">
        <f t="shared" si="912"/>
        <v>0.18204356295378077</v>
      </c>
      <c r="BI491" s="686">
        <f t="shared" si="912"/>
        <v>0.20685695538057744</v>
      </c>
      <c r="BJ491" s="556">
        <f t="shared" si="912"/>
        <v>0.22603749736675796</v>
      </c>
      <c r="BK491" s="556">
        <f t="shared" ref="BK491:BM491" si="927">+BK452/BK$459</f>
        <v>0.2794943820224719</v>
      </c>
      <c r="BL491" s="556">
        <f t="shared" si="927"/>
        <v>0.2899045508600665</v>
      </c>
      <c r="BM491" s="556">
        <f t="shared" si="927"/>
        <v>0.29945914498019116</v>
      </c>
      <c r="BN491" s="556">
        <f t="shared" ref="BN491" si="928">+BN452/BN$459</f>
        <v>0.30833712923916151</v>
      </c>
      <c r="BO491" s="557"/>
    </row>
    <row r="492" spans="2:67" s="563" customFormat="1" ht="14.25" customHeight="1">
      <c r="B492" s="638" t="str">
        <f>B479</f>
        <v xml:space="preserve">Secure Interface &amp; Infrastructure </v>
      </c>
      <c r="C492" s="564"/>
      <c r="D492" s="689"/>
      <c r="E492" s="567"/>
      <c r="F492" s="568"/>
      <c r="G492" s="569"/>
      <c r="H492" s="690"/>
      <c r="I492" s="568"/>
      <c r="J492" s="568"/>
      <c r="K492" s="569"/>
      <c r="L492" s="690">
        <f t="shared" ref="L492:AK492" si="929">+L453/L$459</f>
        <v>0</v>
      </c>
      <c r="M492" s="570">
        <f t="shared" si="929"/>
        <v>0</v>
      </c>
      <c r="N492" s="570">
        <f t="shared" si="929"/>
        <v>0</v>
      </c>
      <c r="O492" s="569">
        <f t="shared" si="929"/>
        <v>0</v>
      </c>
      <c r="P492" s="570">
        <f t="shared" si="929"/>
        <v>0.14285714285714285</v>
      </c>
      <c r="Q492" s="570">
        <f t="shared" si="929"/>
        <v>0.14745308310991956</v>
      </c>
      <c r="R492" s="570">
        <f t="shared" si="929"/>
        <v>0.1455357142857143</v>
      </c>
      <c r="S492" s="569">
        <f t="shared" si="929"/>
        <v>0.13821892393320964</v>
      </c>
      <c r="T492" s="690">
        <f t="shared" si="929"/>
        <v>0.13031423290203328</v>
      </c>
      <c r="U492" s="570">
        <f t="shared" si="929"/>
        <v>0.14094558429973239</v>
      </c>
      <c r="V492" s="570">
        <f t="shared" si="929"/>
        <v>0.15754716981132075</v>
      </c>
      <c r="W492" s="569">
        <f t="shared" si="929"/>
        <v>0.14070891514500536</v>
      </c>
      <c r="X492" s="570">
        <f t="shared" si="929"/>
        <v>0.1411042944785276</v>
      </c>
      <c r="Y492" s="570">
        <f t="shared" si="929"/>
        <v>0.14259597806215721</v>
      </c>
      <c r="Z492" s="570">
        <f t="shared" si="929"/>
        <v>0.1606837606837607</v>
      </c>
      <c r="AA492" s="569">
        <f t="shared" si="929"/>
        <v>0.15681003584229392</v>
      </c>
      <c r="AB492" s="690">
        <f t="shared" si="929"/>
        <v>0.14101382488479264</v>
      </c>
      <c r="AC492" s="570">
        <f t="shared" si="929"/>
        <v>0.15235690235690236</v>
      </c>
      <c r="AD492" s="570">
        <f t="shared" si="929"/>
        <v>0.17053642914331466</v>
      </c>
      <c r="AE492" s="569">
        <f t="shared" si="929"/>
        <v>0.16860015467904099</v>
      </c>
      <c r="AF492" s="690">
        <f t="shared" si="929"/>
        <v>0.16211878009630817</v>
      </c>
      <c r="AG492" s="570">
        <f t="shared" si="929"/>
        <v>0.17420311341734618</v>
      </c>
      <c r="AH492" s="570">
        <f t="shared" si="929"/>
        <v>0.1966996699669967</v>
      </c>
      <c r="AI492" s="570">
        <f t="shared" si="929"/>
        <v>0.19843851659076123</v>
      </c>
      <c r="AJ492" s="690">
        <f t="shared" si="929"/>
        <v>0.19904240766073872</v>
      </c>
      <c r="AK492" s="570">
        <f t="shared" si="929"/>
        <v>0.20119521912350596</v>
      </c>
      <c r="AL492" s="570">
        <f t="shared" ref="AL492:AO492" si="930">+AL453/AL$459</f>
        <v>0.1773981603153745</v>
      </c>
      <c r="AM492" s="569">
        <f t="shared" si="930"/>
        <v>0.17434620174346202</v>
      </c>
      <c r="AN492" s="690">
        <f t="shared" si="930"/>
        <v>0.19054054054054054</v>
      </c>
      <c r="AO492" s="570">
        <f t="shared" si="930"/>
        <v>0.18689217758985202</v>
      </c>
      <c r="AP492" s="570">
        <f t="shared" ref="AP492:AQ492" si="931">+AP453/AP$459</f>
        <v>0.19279060348319157</v>
      </c>
      <c r="AQ492" s="569">
        <f t="shared" si="931"/>
        <v>0.19795081967213116</v>
      </c>
      <c r="AR492" s="690">
        <f t="shared" ref="AR492:AU492" si="932">+AR453/AR$459</f>
        <v>0.20352781546811397</v>
      </c>
      <c r="AS492" s="570">
        <f t="shared" si="932"/>
        <v>0.1989100817438692</v>
      </c>
      <c r="AT492" s="570">
        <f t="shared" si="932"/>
        <v>0.20444072056975282</v>
      </c>
      <c r="AU492" s="569">
        <f t="shared" si="932"/>
        <v>0.20236156351791532</v>
      </c>
      <c r="AV492" s="690">
        <f t="shared" ref="AV492:AY492" si="933">+AV453/AV$459</f>
        <v>0.2030071631882637</v>
      </c>
      <c r="AW492" s="570">
        <f t="shared" si="933"/>
        <v>0.19627714041229713</v>
      </c>
      <c r="AX492" s="570">
        <f t="shared" si="933"/>
        <v>0.1923470280432911</v>
      </c>
      <c r="AY492" s="569">
        <f t="shared" si="933"/>
        <v>0.1933730276074741</v>
      </c>
      <c r="AZ492" s="1911"/>
      <c r="BA492" s="690"/>
      <c r="BB492" s="570"/>
      <c r="BC492" s="570">
        <f t="shared" si="912"/>
        <v>0</v>
      </c>
      <c r="BD492" s="570">
        <f t="shared" si="912"/>
        <v>0.14357110404361653</v>
      </c>
      <c r="BE492" s="570">
        <f t="shared" si="912"/>
        <v>0.14234620886981403</v>
      </c>
      <c r="BF492" s="690">
        <f t="shared" si="912"/>
        <v>0.15075722808627812</v>
      </c>
      <c r="BG492" s="690">
        <f t="shared" si="912"/>
        <v>0.15887850467289719</v>
      </c>
      <c r="BH492" s="570">
        <f t="shared" si="912"/>
        <v>0.18416858508942802</v>
      </c>
      <c r="BI492" s="690">
        <f t="shared" si="912"/>
        <v>0.18766404199475065</v>
      </c>
      <c r="BJ492" s="570">
        <f t="shared" si="912"/>
        <v>0.19212133979355384</v>
      </c>
      <c r="BK492" s="570">
        <f t="shared" ref="BK492:BM492" si="934">+BK453/BK$459</f>
        <v>0.20235522904062231</v>
      </c>
      <c r="BL492" s="570">
        <f t="shared" si="934"/>
        <v>0.19613819324878359</v>
      </c>
      <c r="BM492" s="570">
        <f t="shared" si="934"/>
        <v>0.18773255620924653</v>
      </c>
      <c r="BN492" s="570">
        <f t="shared" ref="BN492" si="935">+BN453/BN$459</f>
        <v>0.18076962466789051</v>
      </c>
      <c r="BO492" s="571"/>
    </row>
    <row r="493" spans="2:67" s="532" customFormat="1" ht="14.25" customHeight="1">
      <c r="B493" s="639" t="s">
        <v>332</v>
      </c>
      <c r="C493" s="558"/>
      <c r="D493" s="636"/>
      <c r="E493" s="561"/>
      <c r="F493" s="541"/>
      <c r="G493" s="542"/>
      <c r="H493" s="637"/>
      <c r="I493" s="541"/>
      <c r="J493" s="541"/>
      <c r="K493" s="542"/>
      <c r="L493" s="637">
        <f t="shared" ref="L493:AK493" si="936">+L454/L$459</f>
        <v>0.60619469026548678</v>
      </c>
      <c r="M493" s="562">
        <f t="shared" si="936"/>
        <v>0.57692307692307687</v>
      </c>
      <c r="N493" s="562">
        <f t="shared" si="936"/>
        <v>0.60404624277456642</v>
      </c>
      <c r="O493" s="542">
        <f t="shared" si="936"/>
        <v>0.66485753052917229</v>
      </c>
      <c r="P493" s="562">
        <f t="shared" si="936"/>
        <v>0.58156682027649764</v>
      </c>
      <c r="Q493" s="562">
        <f t="shared" si="936"/>
        <v>0.58266309204647004</v>
      </c>
      <c r="R493" s="562">
        <f t="shared" si="936"/>
        <v>0.57946428571428577</v>
      </c>
      <c r="S493" s="542">
        <f t="shared" si="936"/>
        <v>0.60482374768089053</v>
      </c>
      <c r="T493" s="637">
        <f t="shared" si="936"/>
        <v>0.61829944547134941</v>
      </c>
      <c r="U493" s="562">
        <f t="shared" si="936"/>
        <v>0.63425512934879569</v>
      </c>
      <c r="V493" s="562">
        <f t="shared" si="936"/>
        <v>0.62735849056603776</v>
      </c>
      <c r="W493" s="542">
        <f t="shared" si="936"/>
        <v>0.65306122448979587</v>
      </c>
      <c r="X493" s="562">
        <f t="shared" si="936"/>
        <v>0.66053169734151329</v>
      </c>
      <c r="Y493" s="562">
        <f t="shared" si="936"/>
        <v>0.67733089579524675</v>
      </c>
      <c r="Z493" s="562">
        <f t="shared" si="936"/>
        <v>0.68717948717948718</v>
      </c>
      <c r="AA493" s="542">
        <f t="shared" si="936"/>
        <v>0.70340501792114696</v>
      </c>
      <c r="AB493" s="637">
        <f t="shared" si="936"/>
        <v>0.71520737327188943</v>
      </c>
      <c r="AC493" s="562">
        <f t="shared" si="936"/>
        <v>0.73905723905723908</v>
      </c>
      <c r="AD493" s="562">
        <f t="shared" si="936"/>
        <v>0.73819055244195353</v>
      </c>
      <c r="AE493" s="542">
        <f t="shared" si="936"/>
        <v>0.74013921113689096</v>
      </c>
      <c r="AF493" s="637">
        <f t="shared" si="936"/>
        <v>0.7319422150882825</v>
      </c>
      <c r="AG493" s="562">
        <f t="shared" si="936"/>
        <v>0.73239436619718312</v>
      </c>
      <c r="AH493" s="562">
        <f t="shared" si="936"/>
        <v>0.75181518151815185</v>
      </c>
      <c r="AI493" s="562">
        <f t="shared" si="936"/>
        <v>0.76057254391672091</v>
      </c>
      <c r="AJ493" s="637">
        <f t="shared" si="936"/>
        <v>0.75512995896032831</v>
      </c>
      <c r="AK493" s="562">
        <f t="shared" si="936"/>
        <v>0.76095617529880477</v>
      </c>
      <c r="AL493" s="562">
        <f t="shared" ref="AL493:AO493" si="937">+AL454/AL$459</f>
        <v>0.76478318002628121</v>
      </c>
      <c r="AM493" s="542">
        <f t="shared" si="937"/>
        <v>0.81320049813200501</v>
      </c>
      <c r="AN493" s="637">
        <f t="shared" si="937"/>
        <v>0.86081081081081079</v>
      </c>
      <c r="AO493" s="562">
        <f t="shared" si="937"/>
        <v>0.85158562367864699</v>
      </c>
      <c r="AP493" s="562">
        <f t="shared" ref="AP493:AQ493" si="938">+AP454/AP$459</f>
        <v>0.85014175779667878</v>
      </c>
      <c r="AQ493" s="542">
        <f t="shared" si="938"/>
        <v>0.84508196721311479</v>
      </c>
      <c r="AR493" s="637">
        <f t="shared" ref="AR493:AU493" si="939">+AR454/AR$459</f>
        <v>0.90954319312528265</v>
      </c>
      <c r="AS493" s="562">
        <f t="shared" si="939"/>
        <v>0.95277020890099906</v>
      </c>
      <c r="AT493" s="562">
        <f t="shared" si="939"/>
        <v>0.95852534562211977</v>
      </c>
      <c r="AU493" s="542">
        <f t="shared" si="939"/>
        <v>0.9560260586319218</v>
      </c>
      <c r="AV493" s="637">
        <f t="shared" ref="AV493:AY493" si="940">+AV454/AV$459</f>
        <v>0.95700367188642088</v>
      </c>
      <c r="AW493" s="562">
        <f t="shared" si="940"/>
        <v>0.95842907118240028</v>
      </c>
      <c r="AX493" s="562">
        <f t="shared" si="940"/>
        <v>0.96006025252790406</v>
      </c>
      <c r="AY493" s="542">
        <f t="shared" si="940"/>
        <v>0.95944162591387327</v>
      </c>
      <c r="AZ493" s="1909"/>
      <c r="BA493" s="637"/>
      <c r="BB493" s="562"/>
      <c r="BC493" s="562">
        <f t="shared" si="912"/>
        <v>0.61638809620872403</v>
      </c>
      <c r="BD493" s="562">
        <f t="shared" si="912"/>
        <v>0.587005906406179</v>
      </c>
      <c r="BE493" s="562">
        <f t="shared" si="912"/>
        <v>0.63257033857892231</v>
      </c>
      <c r="BF493" s="637">
        <f t="shared" si="912"/>
        <v>0.68288205598898577</v>
      </c>
      <c r="BG493" s="637">
        <f t="shared" si="912"/>
        <v>0.73374870197300102</v>
      </c>
      <c r="BH493" s="562">
        <f t="shared" si="912"/>
        <v>0.74517442890030106</v>
      </c>
      <c r="BI493" s="637">
        <f t="shared" si="912"/>
        <v>0.77427821522309714</v>
      </c>
      <c r="BJ493" s="562">
        <f t="shared" si="912"/>
        <v>0.85169580787866017</v>
      </c>
      <c r="BK493" s="562">
        <f t="shared" ref="BK493:BM493" si="941">+BK454/BK$459</f>
        <v>0.94479256698357827</v>
      </c>
      <c r="BL493" s="562">
        <f t="shared" si="941"/>
        <v>0.95876569535804312</v>
      </c>
      <c r="BM493" s="562">
        <f t="shared" si="941"/>
        <v>0.95896976317488303</v>
      </c>
      <c r="BN493" s="562">
        <f t="shared" ref="BN493" si="942">+BN454/BN$459</f>
        <v>0.95892686887570322</v>
      </c>
      <c r="BO493" s="540"/>
    </row>
    <row r="494" spans="2:67" s="563" customFormat="1" ht="14.25" customHeight="1">
      <c r="B494" s="638" t="s">
        <v>331</v>
      </c>
      <c r="C494" s="564"/>
      <c r="D494" s="689"/>
      <c r="E494" s="567"/>
      <c r="F494" s="568"/>
      <c r="G494" s="569"/>
      <c r="H494" s="690"/>
      <c r="I494" s="568"/>
      <c r="J494" s="568"/>
      <c r="K494" s="569"/>
      <c r="L494" s="690">
        <f t="shared" ref="L494:AK494" si="943">+L455/L$459</f>
        <v>0</v>
      </c>
      <c r="M494" s="570">
        <f t="shared" si="943"/>
        <v>0</v>
      </c>
      <c r="N494" s="570">
        <f t="shared" si="943"/>
        <v>0</v>
      </c>
      <c r="O494" s="569">
        <f t="shared" si="943"/>
        <v>0</v>
      </c>
      <c r="P494" s="570">
        <f t="shared" si="943"/>
        <v>0.24884792626728111</v>
      </c>
      <c r="Q494" s="570">
        <f t="shared" si="943"/>
        <v>0.25201072386058981</v>
      </c>
      <c r="R494" s="570">
        <f t="shared" si="943"/>
        <v>0.26517857142857143</v>
      </c>
      <c r="S494" s="569">
        <f t="shared" si="943"/>
        <v>0.27458256029684602</v>
      </c>
      <c r="T494" s="690">
        <f t="shared" si="943"/>
        <v>0.29390018484288355</v>
      </c>
      <c r="U494" s="570">
        <f t="shared" si="943"/>
        <v>0.28813559322033899</v>
      </c>
      <c r="V494" s="570">
        <f t="shared" si="943"/>
        <v>0.29716981132075471</v>
      </c>
      <c r="W494" s="569">
        <f t="shared" si="943"/>
        <v>0.27926960257787325</v>
      </c>
      <c r="X494" s="570">
        <f t="shared" si="943"/>
        <v>0.28016359918200406</v>
      </c>
      <c r="Y494" s="570">
        <f t="shared" si="943"/>
        <v>0.26599634369287017</v>
      </c>
      <c r="Z494" s="570">
        <f t="shared" si="943"/>
        <v>0.27008547008547007</v>
      </c>
      <c r="AA494" s="569">
        <f t="shared" si="943"/>
        <v>0.25716845878136202</v>
      </c>
      <c r="AB494" s="690">
        <f t="shared" si="943"/>
        <v>0.25714285714285712</v>
      </c>
      <c r="AC494" s="570">
        <f t="shared" si="943"/>
        <v>0.23653198653198654</v>
      </c>
      <c r="AD494" s="570">
        <f t="shared" si="943"/>
        <v>0.23298638911128902</v>
      </c>
      <c r="AE494" s="569">
        <f t="shared" si="943"/>
        <v>0.22737819025522041</v>
      </c>
      <c r="AF494" s="690">
        <f t="shared" si="943"/>
        <v>0.23675762439807382</v>
      </c>
      <c r="AG494" s="570">
        <f t="shared" si="943"/>
        <v>0.23424759080800592</v>
      </c>
      <c r="AH494" s="570">
        <f t="shared" si="943"/>
        <v>0.2198019801980198</v>
      </c>
      <c r="AI494" s="570">
        <f t="shared" si="943"/>
        <v>0.21535458685751463</v>
      </c>
      <c r="AJ494" s="690">
        <f t="shared" si="943"/>
        <v>0.22093023255813954</v>
      </c>
      <c r="AK494" s="570">
        <f t="shared" si="943"/>
        <v>0.21381142098273573</v>
      </c>
      <c r="AL494" s="570">
        <f t="shared" ref="AL494:AO494" si="944">+AL455/AL$459</f>
        <v>0.21353482260183967</v>
      </c>
      <c r="AM494" s="569">
        <f t="shared" si="944"/>
        <v>0.16874221668742218</v>
      </c>
      <c r="AN494" s="690">
        <f t="shared" si="944"/>
        <v>0.12342342342342343</v>
      </c>
      <c r="AO494" s="570">
        <f t="shared" si="944"/>
        <v>0.12811839323467231</v>
      </c>
      <c r="AP494" s="570">
        <f t="shared" ref="AP494:AQ494" si="945">+AP455/AP$459</f>
        <v>0.12960712839206157</v>
      </c>
      <c r="AQ494" s="569">
        <f t="shared" si="945"/>
        <v>0.13237704918032786</v>
      </c>
      <c r="AR494" s="690">
        <f t="shared" ref="AR494:AU494" si="946">+AR455/AR$459</f>
        <v>5.336951605608322E-2</v>
      </c>
      <c r="AS494" s="570">
        <f t="shared" si="946"/>
        <v>0</v>
      </c>
      <c r="AT494" s="570">
        <f t="shared" si="946"/>
        <v>0</v>
      </c>
      <c r="AU494" s="569">
        <f t="shared" si="946"/>
        <v>0</v>
      </c>
      <c r="AV494" s="690">
        <f t="shared" ref="AV494:AY494" si="947">+AV455/AV$459</f>
        <v>0</v>
      </c>
      <c r="AW494" s="570">
        <f t="shared" si="947"/>
        <v>0</v>
      </c>
      <c r="AX494" s="570">
        <f t="shared" si="947"/>
        <v>0</v>
      </c>
      <c r="AY494" s="569">
        <f t="shared" si="947"/>
        <v>0</v>
      </c>
      <c r="AZ494" s="1911"/>
      <c r="BA494" s="690"/>
      <c r="BB494" s="570"/>
      <c r="BC494" s="570">
        <f t="shared" si="912"/>
        <v>0</v>
      </c>
      <c r="BD494" s="570">
        <f t="shared" si="912"/>
        <v>0.26010904134484325</v>
      </c>
      <c r="BE494" s="570">
        <f t="shared" si="912"/>
        <v>0.28993800667620412</v>
      </c>
      <c r="BF494" s="690">
        <f t="shared" si="912"/>
        <v>0.26801284993116109</v>
      </c>
      <c r="BG494" s="690">
        <f t="shared" si="912"/>
        <v>0.23779854620976115</v>
      </c>
      <c r="BH494" s="570">
        <f t="shared" si="912"/>
        <v>0.22578360191251992</v>
      </c>
      <c r="BI494" s="690">
        <f t="shared" si="912"/>
        <v>0.20357611548556431</v>
      </c>
      <c r="BJ494" s="570">
        <f t="shared" si="912"/>
        <v>0.12850221192331998</v>
      </c>
      <c r="BK494" s="570">
        <f t="shared" ref="BK494:BM494" si="948">+BK455/BK$459</f>
        <v>1.274848746758859E-2</v>
      </c>
      <c r="BL494" s="570">
        <f t="shared" si="948"/>
        <v>0</v>
      </c>
      <c r="BM494" s="570">
        <f t="shared" si="948"/>
        <v>0</v>
      </c>
      <c r="BN494" s="570">
        <f t="shared" ref="BN494" si="949">+BN455/BN$459</f>
        <v>0</v>
      </c>
      <c r="BO494" s="571"/>
    </row>
    <row r="495" spans="2:67" s="532" customFormat="1" ht="14.25" customHeight="1">
      <c r="B495" s="639" t="s">
        <v>469</v>
      </c>
      <c r="C495" s="558"/>
      <c r="D495" s="636"/>
      <c r="E495" s="561"/>
      <c r="F495" s="541"/>
      <c r="G495" s="542"/>
      <c r="H495" s="637"/>
      <c r="I495" s="541"/>
      <c r="J495" s="541"/>
      <c r="K495" s="542"/>
      <c r="L495" s="637">
        <f t="shared" ref="L495:AK495" si="950">+L456/L$459</f>
        <v>0.60619469026548678</v>
      </c>
      <c r="M495" s="562">
        <f t="shared" si="950"/>
        <v>0.57692307692307687</v>
      </c>
      <c r="N495" s="562">
        <f t="shared" si="950"/>
        <v>0.60404624277456642</v>
      </c>
      <c r="O495" s="542">
        <f t="shared" si="950"/>
        <v>0.66485753052917229</v>
      </c>
      <c r="P495" s="562">
        <f t="shared" si="950"/>
        <v>0.83041474654377878</v>
      </c>
      <c r="Q495" s="562">
        <f t="shared" si="950"/>
        <v>0.83467381590705991</v>
      </c>
      <c r="R495" s="562">
        <f t="shared" si="950"/>
        <v>0.84464285714285714</v>
      </c>
      <c r="S495" s="542">
        <f t="shared" si="950"/>
        <v>0.87940630797773656</v>
      </c>
      <c r="T495" s="637">
        <f t="shared" si="950"/>
        <v>0.9121996303142329</v>
      </c>
      <c r="U495" s="562">
        <f t="shared" si="950"/>
        <v>0.92239072256913468</v>
      </c>
      <c r="V495" s="562">
        <f t="shared" si="950"/>
        <v>0.92452830188679247</v>
      </c>
      <c r="W495" s="542">
        <f t="shared" si="950"/>
        <v>0.93233082706766912</v>
      </c>
      <c r="X495" s="562">
        <f t="shared" si="950"/>
        <v>0.94069529652351735</v>
      </c>
      <c r="Y495" s="562">
        <f t="shared" si="950"/>
        <v>0.94332723948811703</v>
      </c>
      <c r="Z495" s="562">
        <f t="shared" si="950"/>
        <v>0.95726495726495731</v>
      </c>
      <c r="AA495" s="542">
        <f t="shared" si="950"/>
        <v>0.96057347670250892</v>
      </c>
      <c r="AB495" s="637">
        <f t="shared" si="950"/>
        <v>0.97235023041474655</v>
      </c>
      <c r="AC495" s="562">
        <f t="shared" si="950"/>
        <v>0.97558922558922556</v>
      </c>
      <c r="AD495" s="562">
        <f t="shared" si="950"/>
        <v>0.97117694155324263</v>
      </c>
      <c r="AE495" s="542">
        <f t="shared" si="950"/>
        <v>0.9675174013921114</v>
      </c>
      <c r="AF495" s="637">
        <f t="shared" si="950"/>
        <v>0.9686998394863563</v>
      </c>
      <c r="AG495" s="562">
        <f t="shared" si="950"/>
        <v>0.96664195700518907</v>
      </c>
      <c r="AH495" s="562">
        <f t="shared" si="950"/>
        <v>0.97161716171617163</v>
      </c>
      <c r="AI495" s="562">
        <f t="shared" si="950"/>
        <v>0.97592713077423554</v>
      </c>
      <c r="AJ495" s="637">
        <f t="shared" si="950"/>
        <v>0.9760601915184679</v>
      </c>
      <c r="AK495" s="562">
        <f t="shared" si="950"/>
        <v>0.97476759628154053</v>
      </c>
      <c r="AL495" s="562">
        <f t="shared" ref="AL495:AO495" si="951">+AL456/AL$459</f>
        <v>0.97831800262812085</v>
      </c>
      <c r="AM495" s="542">
        <f t="shared" si="951"/>
        <v>0.98194271481942719</v>
      </c>
      <c r="AN495" s="637">
        <f t="shared" si="951"/>
        <v>0.98423423423423428</v>
      </c>
      <c r="AO495" s="562">
        <f t="shared" si="951"/>
        <v>0.97970401691331921</v>
      </c>
      <c r="AP495" s="562">
        <f t="shared" ref="AP495:AQ495" si="952">+AP456/AP$459</f>
        <v>0.97974888618874034</v>
      </c>
      <c r="AQ495" s="542">
        <f t="shared" si="952"/>
        <v>0.97745901639344257</v>
      </c>
      <c r="AR495" s="637">
        <f t="shared" ref="AR495:AU495" si="953">+AR456/AR$459</f>
        <v>0.96291270918136584</v>
      </c>
      <c r="AS495" s="562">
        <f t="shared" si="953"/>
        <v>0.95277020890099906</v>
      </c>
      <c r="AT495" s="562">
        <f t="shared" si="953"/>
        <v>0.95852534562211977</v>
      </c>
      <c r="AU495" s="542">
        <f t="shared" si="953"/>
        <v>0.9560260586319218</v>
      </c>
      <c r="AV495" s="637">
        <f t="shared" ref="AV495:AY495" si="954">+AV456/AV$459</f>
        <v>0.95700367188642088</v>
      </c>
      <c r="AW495" s="562">
        <f t="shared" si="954"/>
        <v>0.95842907118240028</v>
      </c>
      <c r="AX495" s="562">
        <f t="shared" si="954"/>
        <v>0.96006025252790406</v>
      </c>
      <c r="AY495" s="542">
        <f t="shared" si="954"/>
        <v>0.95944162591387327</v>
      </c>
      <c r="AZ495" s="1909"/>
      <c r="BA495" s="637"/>
      <c r="BB495" s="562"/>
      <c r="BC495" s="562">
        <f t="shared" si="912"/>
        <v>0.61638809620872403</v>
      </c>
      <c r="BD495" s="562">
        <f t="shared" si="912"/>
        <v>0.84711494775102225</v>
      </c>
      <c r="BE495" s="562">
        <f t="shared" si="912"/>
        <v>0.92250834525512637</v>
      </c>
      <c r="BF495" s="637">
        <f t="shared" si="912"/>
        <v>0.9508949059201468</v>
      </c>
      <c r="BG495" s="637">
        <f t="shared" si="912"/>
        <v>0.97154724818276217</v>
      </c>
      <c r="BH495" s="562">
        <f t="shared" si="912"/>
        <v>0.97095803081282095</v>
      </c>
      <c r="BI495" s="637">
        <f t="shared" si="912"/>
        <v>0.97785433070866146</v>
      </c>
      <c r="BJ495" s="562">
        <f t="shared" si="912"/>
        <v>0.98019801980198018</v>
      </c>
      <c r="BK495" s="562">
        <f t="shared" ref="BK495:BM495" si="955">+BK456/BK$459</f>
        <v>0.95754105445116677</v>
      </c>
      <c r="BL495" s="562">
        <f t="shared" si="955"/>
        <v>0.95876569535804312</v>
      </c>
      <c r="BM495" s="562">
        <f t="shared" si="955"/>
        <v>0.95896976317488303</v>
      </c>
      <c r="BN495" s="562">
        <f t="shared" ref="BN495" si="956">+BN456/BN$459</f>
        <v>0.95892686887570322</v>
      </c>
      <c r="BO495" s="540"/>
    </row>
    <row r="496" spans="2:67" s="552" customFormat="1" ht="14.25" customHeight="1">
      <c r="B496" s="640" t="s">
        <v>344</v>
      </c>
      <c r="C496" s="553"/>
      <c r="D496" s="688"/>
      <c r="E496" s="501"/>
      <c r="F496" s="499"/>
      <c r="G496" s="500"/>
      <c r="H496" s="686"/>
      <c r="I496" s="499"/>
      <c r="J496" s="499"/>
      <c r="K496" s="500"/>
      <c r="L496" s="686">
        <f t="shared" ref="L496:AK496" si="957">+L457/L$459</f>
        <v>0.13495575221238937</v>
      </c>
      <c r="M496" s="556">
        <f t="shared" si="957"/>
        <v>0.15734265734265734</v>
      </c>
      <c r="N496" s="556">
        <f t="shared" si="957"/>
        <v>0.13872832369942195</v>
      </c>
      <c r="O496" s="500">
        <f t="shared" si="957"/>
        <v>0.1587516960651289</v>
      </c>
      <c r="P496" s="556">
        <f t="shared" si="957"/>
        <v>0.12626728110599078</v>
      </c>
      <c r="Q496" s="556">
        <f t="shared" si="957"/>
        <v>0.16532618409294011</v>
      </c>
      <c r="R496" s="556">
        <f t="shared" si="957"/>
        <v>0.15535714285714286</v>
      </c>
      <c r="S496" s="500">
        <f t="shared" si="957"/>
        <v>0.12059369202226346</v>
      </c>
      <c r="T496" s="686">
        <f t="shared" si="957"/>
        <v>8.7800369685767099E-2</v>
      </c>
      <c r="U496" s="556">
        <f t="shared" si="957"/>
        <v>7.7609277430865292E-2</v>
      </c>
      <c r="V496" s="556">
        <f t="shared" si="957"/>
        <v>7.5471698113207544E-2</v>
      </c>
      <c r="W496" s="500">
        <f t="shared" si="957"/>
        <v>6.7669172932330823E-2</v>
      </c>
      <c r="X496" s="556">
        <f t="shared" si="957"/>
        <v>5.9304703476482618E-2</v>
      </c>
      <c r="Y496" s="556">
        <f t="shared" si="957"/>
        <v>5.6672760511882997E-2</v>
      </c>
      <c r="Z496" s="556">
        <f t="shared" si="957"/>
        <v>4.2735042735042736E-2</v>
      </c>
      <c r="AA496" s="500">
        <f t="shared" si="957"/>
        <v>3.9426523297491037E-2</v>
      </c>
      <c r="AB496" s="686">
        <f t="shared" si="957"/>
        <v>2.7649769585253458E-2</v>
      </c>
      <c r="AC496" s="556">
        <f t="shared" si="957"/>
        <v>2.4410774410774411E-2</v>
      </c>
      <c r="AD496" s="556">
        <f t="shared" si="957"/>
        <v>2.8823058446757407E-2</v>
      </c>
      <c r="AE496" s="500">
        <f t="shared" si="957"/>
        <v>3.248259860788863E-2</v>
      </c>
      <c r="AF496" s="686">
        <f t="shared" si="957"/>
        <v>3.1300160513643663E-2</v>
      </c>
      <c r="AG496" s="556">
        <f t="shared" si="957"/>
        <v>3.3358042994810974E-2</v>
      </c>
      <c r="AH496" s="556">
        <f t="shared" si="957"/>
        <v>2.8382838283828381E-2</v>
      </c>
      <c r="AI496" s="556">
        <f t="shared" si="957"/>
        <v>2.4072869225764477E-2</v>
      </c>
      <c r="AJ496" s="686">
        <f t="shared" si="957"/>
        <v>2.3939808481532147E-2</v>
      </c>
      <c r="AK496" s="556">
        <f t="shared" si="957"/>
        <v>2.5232403718459494E-2</v>
      </c>
      <c r="AL496" s="556">
        <f t="shared" ref="AL496:AO496" si="958">+AL457/AL$459</f>
        <v>2.1681997371879105E-2</v>
      </c>
      <c r="AM496" s="500">
        <f t="shared" si="958"/>
        <v>1.8057285180572851E-2</v>
      </c>
      <c r="AN496" s="686">
        <f t="shared" si="958"/>
        <v>1.5765765765765764E-2</v>
      </c>
      <c r="AO496" s="556">
        <f t="shared" si="958"/>
        <v>2.029598308668076E-2</v>
      </c>
      <c r="AP496" s="556">
        <f t="shared" ref="AP496:AQ496" si="959">+AP457/AP$459</f>
        <v>2.025111381125962E-2</v>
      </c>
      <c r="AQ496" s="500">
        <f t="shared" si="959"/>
        <v>2.2540983606557378E-2</v>
      </c>
      <c r="AR496" s="686">
        <f t="shared" ref="AR496:AU496" si="960">+AR457/AR$459</f>
        <v>3.70872908186341E-2</v>
      </c>
      <c r="AS496" s="556">
        <f t="shared" si="960"/>
        <v>4.7229791099000905E-2</v>
      </c>
      <c r="AT496" s="556">
        <f t="shared" si="960"/>
        <v>4.1474654377880185E-2</v>
      </c>
      <c r="AU496" s="500">
        <f t="shared" si="960"/>
        <v>4.3973941368078175E-2</v>
      </c>
      <c r="AV496" s="686">
        <f t="shared" ref="AV496:AY496" si="961">+AV457/AV$459</f>
        <v>4.2996328113579098E-2</v>
      </c>
      <c r="AW496" s="556">
        <f t="shared" si="961"/>
        <v>4.1570928817599738E-2</v>
      </c>
      <c r="AX496" s="556">
        <f t="shared" si="961"/>
        <v>3.9939747472095964E-2</v>
      </c>
      <c r="AY496" s="500">
        <f t="shared" si="961"/>
        <v>4.055837408612669E-2</v>
      </c>
      <c r="AZ496" s="1910"/>
      <c r="BA496" s="686"/>
      <c r="BB496" s="556"/>
      <c r="BC496" s="556">
        <f t="shared" si="912"/>
        <v>0.14838972686506319</v>
      </c>
      <c r="BD496" s="556">
        <f t="shared" si="912"/>
        <v>0.14220808723307587</v>
      </c>
      <c r="BE496" s="556">
        <f t="shared" si="912"/>
        <v>7.7491654744873628E-2</v>
      </c>
      <c r="BF496" s="686">
        <f t="shared" si="912"/>
        <v>4.9105094079853147E-2</v>
      </c>
      <c r="BG496" s="686">
        <f t="shared" si="912"/>
        <v>2.84527518172378E-2</v>
      </c>
      <c r="BH496" s="556">
        <f t="shared" si="912"/>
        <v>2.9041969187179034E-2</v>
      </c>
      <c r="BI496" s="686">
        <f t="shared" si="912"/>
        <v>2.2145669291338582E-2</v>
      </c>
      <c r="BJ496" s="556">
        <f t="shared" si="912"/>
        <v>1.9801980198019802E-2</v>
      </c>
      <c r="BK496" s="556">
        <f t="shared" ref="BK496:BM496" si="962">+BK457/BK$459</f>
        <v>4.2458945548833192E-2</v>
      </c>
      <c r="BL496" s="556">
        <f t="shared" si="962"/>
        <v>4.1234304641956883E-2</v>
      </c>
      <c r="BM496" s="556">
        <f t="shared" si="962"/>
        <v>4.1030236825116986E-2</v>
      </c>
      <c r="BN496" s="556">
        <f t="shared" ref="BN496" si="963">+BN457/BN$459</f>
        <v>4.1073131124296745E-2</v>
      </c>
      <c r="BO496" s="557"/>
    </row>
    <row r="497" spans="1:67" s="563" customFormat="1" ht="14.25" customHeight="1">
      <c r="B497" s="638" t="s">
        <v>346</v>
      </c>
      <c r="C497" s="564"/>
      <c r="D497" s="689"/>
      <c r="E497" s="567"/>
      <c r="F497" s="568"/>
      <c r="G497" s="569"/>
      <c r="H497" s="690"/>
      <c r="I497" s="568"/>
      <c r="J497" s="568"/>
      <c r="K497" s="569"/>
      <c r="L497" s="690">
        <f t="shared" ref="L497:AK497" si="964">+L458/L$459</f>
        <v>0.25884955752212391</v>
      </c>
      <c r="M497" s="570">
        <f t="shared" si="964"/>
        <v>0.26573426573426573</v>
      </c>
      <c r="N497" s="570">
        <f t="shared" si="964"/>
        <v>0.25722543352601157</v>
      </c>
      <c r="O497" s="569">
        <f t="shared" si="964"/>
        <v>0.17639077340569878</v>
      </c>
      <c r="P497" s="570">
        <f t="shared" si="964"/>
        <v>4.3317972350230417E-2</v>
      </c>
      <c r="Q497" s="570">
        <f t="shared" si="964"/>
        <v>0</v>
      </c>
      <c r="R497" s="570">
        <f t="shared" si="964"/>
        <v>0</v>
      </c>
      <c r="S497" s="569">
        <f t="shared" si="964"/>
        <v>0</v>
      </c>
      <c r="T497" s="690">
        <f t="shared" si="964"/>
        <v>0</v>
      </c>
      <c r="U497" s="570">
        <f t="shared" si="964"/>
        <v>0</v>
      </c>
      <c r="V497" s="570">
        <f t="shared" si="964"/>
        <v>0</v>
      </c>
      <c r="W497" s="569">
        <f t="shared" si="964"/>
        <v>0</v>
      </c>
      <c r="X497" s="570">
        <f t="shared" si="964"/>
        <v>0</v>
      </c>
      <c r="Y497" s="570">
        <f t="shared" si="964"/>
        <v>0</v>
      </c>
      <c r="Z497" s="570">
        <f t="shared" si="964"/>
        <v>0</v>
      </c>
      <c r="AA497" s="569">
        <f t="shared" si="964"/>
        <v>0</v>
      </c>
      <c r="AB497" s="690">
        <f t="shared" si="964"/>
        <v>0</v>
      </c>
      <c r="AC497" s="570">
        <f t="shared" si="964"/>
        <v>0</v>
      </c>
      <c r="AD497" s="570">
        <f t="shared" si="964"/>
        <v>0</v>
      </c>
      <c r="AE497" s="569">
        <f t="shared" si="964"/>
        <v>0</v>
      </c>
      <c r="AF497" s="690">
        <f t="shared" si="964"/>
        <v>0</v>
      </c>
      <c r="AG497" s="570">
        <f t="shared" si="964"/>
        <v>0</v>
      </c>
      <c r="AH497" s="570">
        <f t="shared" si="964"/>
        <v>0</v>
      </c>
      <c r="AI497" s="570">
        <f t="shared" si="964"/>
        <v>0</v>
      </c>
      <c r="AJ497" s="690">
        <f t="shared" si="964"/>
        <v>0</v>
      </c>
      <c r="AK497" s="570">
        <f t="shared" si="964"/>
        <v>0</v>
      </c>
      <c r="AL497" s="570">
        <f t="shared" ref="AL497:AO497" si="965">+AL458/AL$459</f>
        <v>0</v>
      </c>
      <c r="AM497" s="569">
        <f t="shared" si="965"/>
        <v>0</v>
      </c>
      <c r="AN497" s="690">
        <f t="shared" si="965"/>
        <v>0</v>
      </c>
      <c r="AO497" s="570">
        <f t="shared" si="965"/>
        <v>0</v>
      </c>
      <c r="AP497" s="570">
        <f t="shared" ref="AP497:AQ497" si="966">+AP458/AP$459</f>
        <v>0</v>
      </c>
      <c r="AQ497" s="569">
        <f t="shared" si="966"/>
        <v>0</v>
      </c>
      <c r="AR497" s="690">
        <f t="shared" ref="AR497:AU497" si="967">+AR458/AR$459</f>
        <v>0</v>
      </c>
      <c r="AS497" s="570">
        <f t="shared" si="967"/>
        <v>0</v>
      </c>
      <c r="AT497" s="570">
        <f t="shared" si="967"/>
        <v>0</v>
      </c>
      <c r="AU497" s="569">
        <f t="shared" si="967"/>
        <v>0</v>
      </c>
      <c r="AV497" s="690">
        <f t="shared" ref="AV497:AY497" si="968">+AV458/AV$459</f>
        <v>0</v>
      </c>
      <c r="AW497" s="570">
        <f t="shared" si="968"/>
        <v>0</v>
      </c>
      <c r="AX497" s="570">
        <f t="shared" si="968"/>
        <v>0</v>
      </c>
      <c r="AY497" s="569">
        <f t="shared" si="968"/>
        <v>0</v>
      </c>
      <c r="AZ497" s="1911"/>
      <c r="BA497" s="690"/>
      <c r="BB497" s="570"/>
      <c r="BC497" s="570">
        <f t="shared" si="912"/>
        <v>0.23522217692621281</v>
      </c>
      <c r="BD497" s="570">
        <f t="shared" si="912"/>
        <v>1.0676965015901863E-2</v>
      </c>
      <c r="BE497" s="570">
        <f t="shared" si="912"/>
        <v>0</v>
      </c>
      <c r="BF497" s="690">
        <f t="shared" si="912"/>
        <v>0</v>
      </c>
      <c r="BG497" s="690">
        <f t="shared" si="912"/>
        <v>0</v>
      </c>
      <c r="BH497" s="570">
        <f t="shared" si="912"/>
        <v>0</v>
      </c>
      <c r="BI497" s="690">
        <f t="shared" si="912"/>
        <v>0</v>
      </c>
      <c r="BJ497" s="570">
        <f t="shared" si="912"/>
        <v>0</v>
      </c>
      <c r="BK497" s="570">
        <f t="shared" ref="BK497:BM497" si="969">+BK458/BK$459</f>
        <v>0</v>
      </c>
      <c r="BL497" s="570">
        <f t="shared" si="969"/>
        <v>0</v>
      </c>
      <c r="BM497" s="570">
        <f t="shared" si="969"/>
        <v>0</v>
      </c>
      <c r="BN497" s="570">
        <f t="shared" ref="BN497" si="970">+BN458/BN$459</f>
        <v>0</v>
      </c>
      <c r="BO497" s="571"/>
    </row>
    <row r="498" spans="1:67" s="532" customFormat="1" ht="14.25" customHeight="1">
      <c r="B498" s="687" t="s">
        <v>470</v>
      </c>
      <c r="C498" s="691"/>
      <c r="D498" s="692"/>
      <c r="E498" s="692"/>
      <c r="F498" s="693"/>
      <c r="G498" s="694"/>
      <c r="H498" s="695"/>
      <c r="I498" s="693"/>
      <c r="J498" s="693"/>
      <c r="K498" s="694"/>
      <c r="L498" s="695">
        <f t="shared" ref="L498:AK498" si="971">+L459/L$459</f>
        <v>1</v>
      </c>
      <c r="M498" s="693">
        <f t="shared" si="971"/>
        <v>1</v>
      </c>
      <c r="N498" s="693">
        <f t="shared" si="971"/>
        <v>1</v>
      </c>
      <c r="O498" s="694">
        <f t="shared" si="971"/>
        <v>1</v>
      </c>
      <c r="P498" s="693">
        <f t="shared" si="971"/>
        <v>1</v>
      </c>
      <c r="Q498" s="693">
        <f t="shared" si="971"/>
        <v>1</v>
      </c>
      <c r="R498" s="693">
        <f t="shared" si="971"/>
        <v>1</v>
      </c>
      <c r="S498" s="694">
        <f t="shared" si="971"/>
        <v>1</v>
      </c>
      <c r="T498" s="695">
        <f t="shared" si="971"/>
        <v>1</v>
      </c>
      <c r="U498" s="693">
        <f t="shared" si="971"/>
        <v>1</v>
      </c>
      <c r="V498" s="693">
        <f t="shared" si="971"/>
        <v>1</v>
      </c>
      <c r="W498" s="694">
        <f t="shared" si="971"/>
        <v>1</v>
      </c>
      <c r="X498" s="693">
        <f t="shared" si="971"/>
        <v>1</v>
      </c>
      <c r="Y498" s="693">
        <f t="shared" si="971"/>
        <v>1</v>
      </c>
      <c r="Z498" s="693">
        <f t="shared" si="971"/>
        <v>1</v>
      </c>
      <c r="AA498" s="694">
        <f t="shared" si="971"/>
        <v>1</v>
      </c>
      <c r="AB498" s="695">
        <f t="shared" si="971"/>
        <v>1</v>
      </c>
      <c r="AC498" s="693">
        <f t="shared" si="971"/>
        <v>1</v>
      </c>
      <c r="AD498" s="693">
        <f t="shared" si="971"/>
        <v>1</v>
      </c>
      <c r="AE498" s="694">
        <f t="shared" si="971"/>
        <v>1</v>
      </c>
      <c r="AF498" s="695">
        <f t="shared" si="971"/>
        <v>1</v>
      </c>
      <c r="AG498" s="693">
        <f t="shared" si="971"/>
        <v>1</v>
      </c>
      <c r="AH498" s="693">
        <f t="shared" si="971"/>
        <v>1</v>
      </c>
      <c r="AI498" s="693">
        <f t="shared" si="971"/>
        <v>1</v>
      </c>
      <c r="AJ498" s="695">
        <f t="shared" si="971"/>
        <v>1</v>
      </c>
      <c r="AK498" s="693">
        <f t="shared" si="971"/>
        <v>1</v>
      </c>
      <c r="AL498" s="693">
        <f t="shared" ref="AL498:AO498" si="972">+AL459/AL$459</f>
        <v>1</v>
      </c>
      <c r="AM498" s="694">
        <f t="shared" si="972"/>
        <v>1</v>
      </c>
      <c r="AN498" s="695">
        <f t="shared" si="972"/>
        <v>1</v>
      </c>
      <c r="AO498" s="693">
        <f t="shared" si="972"/>
        <v>1</v>
      </c>
      <c r="AP498" s="693">
        <f t="shared" ref="AP498:AQ498" si="973">+AP459/AP$459</f>
        <v>1</v>
      </c>
      <c r="AQ498" s="694">
        <f t="shared" si="973"/>
        <v>1</v>
      </c>
      <c r="AR498" s="695">
        <f t="shared" ref="AR498:AU498" si="974">+AR459/AR$459</f>
        <v>1</v>
      </c>
      <c r="AS498" s="693">
        <f t="shared" si="974"/>
        <v>1</v>
      </c>
      <c r="AT498" s="693">
        <f t="shared" si="974"/>
        <v>1</v>
      </c>
      <c r="AU498" s="694">
        <f t="shared" si="974"/>
        <v>1</v>
      </c>
      <c r="AV498" s="695">
        <f t="shared" ref="AV498:AY498" si="975">+AV459/AV$459</f>
        <v>1</v>
      </c>
      <c r="AW498" s="693">
        <f t="shared" si="975"/>
        <v>1</v>
      </c>
      <c r="AX498" s="693">
        <f t="shared" si="975"/>
        <v>1</v>
      </c>
      <c r="AY498" s="694">
        <f t="shared" si="975"/>
        <v>1</v>
      </c>
      <c r="AZ498" s="1909"/>
      <c r="BA498" s="695"/>
      <c r="BB498" s="693"/>
      <c r="BC498" s="693">
        <f t="shared" si="912"/>
        <v>1</v>
      </c>
      <c r="BD498" s="693">
        <f t="shared" si="912"/>
        <v>1</v>
      </c>
      <c r="BE498" s="693">
        <f t="shared" si="912"/>
        <v>1</v>
      </c>
      <c r="BF498" s="695">
        <f t="shared" si="912"/>
        <v>1</v>
      </c>
      <c r="BG498" s="637">
        <f t="shared" si="912"/>
        <v>1</v>
      </c>
      <c r="BH498" s="562">
        <f t="shared" si="912"/>
        <v>1</v>
      </c>
      <c r="BI498" s="637">
        <f t="shared" si="912"/>
        <v>1</v>
      </c>
      <c r="BJ498" s="562">
        <f t="shared" si="912"/>
        <v>1</v>
      </c>
      <c r="BK498" s="562">
        <f t="shared" ref="BK498:BM498" si="976">+BK459/BK$459</f>
        <v>1</v>
      </c>
      <c r="BL498" s="562">
        <f t="shared" si="976"/>
        <v>1</v>
      </c>
      <c r="BM498" s="562">
        <f t="shared" si="976"/>
        <v>1</v>
      </c>
      <c r="BN498" s="562">
        <f t="shared" ref="BN498" si="977">+BN459/BN$459</f>
        <v>1</v>
      </c>
      <c r="BO498" s="540"/>
    </row>
    <row r="499" spans="1:67" s="595" customFormat="1" ht="14.25" customHeight="1">
      <c r="B499" s="1188"/>
      <c r="C499" s="1189"/>
      <c r="D499" s="1190"/>
      <c r="E499" s="1190"/>
      <c r="F499" s="701"/>
      <c r="G499" s="702"/>
      <c r="H499" s="700"/>
      <c r="I499" s="701"/>
      <c r="J499" s="701"/>
      <c r="K499" s="702"/>
      <c r="L499" s="700"/>
      <c r="M499" s="701"/>
      <c r="N499" s="701"/>
      <c r="O499" s="701"/>
      <c r="P499" s="700"/>
      <c r="Q499" s="701"/>
      <c r="R499" s="701"/>
      <c r="S499" s="702"/>
      <c r="T499" s="701"/>
      <c r="U499" s="701"/>
      <c r="V499" s="701"/>
      <c r="W499" s="702"/>
      <c r="X499" s="701"/>
      <c r="Y499" s="701"/>
      <c r="Z499" s="701"/>
      <c r="AA499" s="702"/>
      <c r="AB499" s="701"/>
      <c r="AC499" s="701"/>
      <c r="AD499" s="701"/>
      <c r="AE499" s="702"/>
      <c r="AF499" s="700"/>
      <c r="AG499" s="701"/>
      <c r="AH499" s="701"/>
      <c r="AI499" s="701"/>
      <c r="AJ499" s="700"/>
      <c r="AK499" s="701"/>
      <c r="AL499" s="701"/>
      <c r="AM499" s="702"/>
      <c r="AN499" s="700"/>
      <c r="AO499" s="701"/>
      <c r="AP499" s="701"/>
      <c r="AQ499" s="702"/>
      <c r="AR499" s="700"/>
      <c r="AS499" s="701"/>
      <c r="AT499" s="701"/>
      <c r="AU499" s="702"/>
      <c r="AV499" s="700"/>
      <c r="AW499" s="701"/>
      <c r="AX499" s="701"/>
      <c r="AY499" s="702"/>
      <c r="AZ499" s="1921"/>
      <c r="BA499" s="630"/>
      <c r="BB499" s="631"/>
      <c r="BC499" s="631"/>
      <c r="BD499" s="631"/>
      <c r="BE499" s="631"/>
      <c r="BF499" s="630"/>
      <c r="BG499" s="700"/>
      <c r="BH499" s="701"/>
      <c r="BI499" s="700"/>
      <c r="BJ499" s="701"/>
      <c r="BK499" s="701"/>
      <c r="BL499" s="701"/>
      <c r="BM499" s="701"/>
      <c r="BN499" s="701"/>
      <c r="BO499" s="632"/>
    </row>
    <row r="500" spans="1:67" s="595" customFormat="1" ht="14.25" hidden="1" customHeight="1" outlineLevel="1">
      <c r="B500" s="574"/>
      <c r="C500" s="625"/>
      <c r="D500" s="626"/>
      <c r="E500" s="626"/>
      <c r="F500" s="631"/>
      <c r="G500" s="629"/>
      <c r="H500" s="630"/>
      <c r="I500" s="631"/>
      <c r="J500" s="631"/>
      <c r="K500" s="629"/>
      <c r="L500" s="630"/>
      <c r="M500" s="631"/>
      <c r="N500" s="631"/>
      <c r="O500" s="631"/>
      <c r="P500" s="630"/>
      <c r="Q500" s="631"/>
      <c r="R500" s="631"/>
      <c r="S500" s="629"/>
      <c r="T500" s="631"/>
      <c r="U500" s="631"/>
      <c r="V500" s="631"/>
      <c r="W500" s="629"/>
      <c r="X500" s="631"/>
      <c r="Y500" s="1191"/>
      <c r="Z500" s="631"/>
      <c r="AA500" s="629"/>
      <c r="AB500" s="631"/>
      <c r="AC500" s="631"/>
      <c r="AD500" s="631"/>
      <c r="AE500" s="629"/>
      <c r="AF500" s="630"/>
      <c r="AG500" s="631"/>
      <c r="AH500" s="631"/>
      <c r="AI500" s="631"/>
      <c r="AJ500" s="630"/>
      <c r="AK500" s="631"/>
      <c r="AL500" s="631"/>
      <c r="AM500" s="629"/>
      <c r="AN500" s="630"/>
      <c r="AO500" s="631"/>
      <c r="AP500" s="631"/>
      <c r="AQ500" s="629"/>
      <c r="AR500" s="630"/>
      <c r="AS500" s="631"/>
      <c r="AT500" s="631"/>
      <c r="AU500" s="629"/>
      <c r="AV500" s="630"/>
      <c r="AW500" s="631"/>
      <c r="AX500" s="631"/>
      <c r="AY500" s="629"/>
      <c r="AZ500" s="1921"/>
      <c r="BA500" s="630"/>
      <c r="BB500" s="631"/>
      <c r="BC500" s="631"/>
      <c r="BD500" s="631"/>
      <c r="BE500" s="631"/>
      <c r="BF500" s="630"/>
      <c r="BG500" s="630"/>
      <c r="BH500" s="631"/>
      <c r="BI500" s="630"/>
      <c r="BJ500" s="631"/>
      <c r="BK500" s="631"/>
      <c r="BL500" s="631"/>
      <c r="BM500" s="631"/>
      <c r="BN500" s="631"/>
      <c r="BO500" s="632"/>
    </row>
    <row r="501" spans="1:67" s="363" customFormat="1" ht="14.25" hidden="1" customHeight="1" outlineLevel="1">
      <c r="B501" s="436" t="s">
        <v>231</v>
      </c>
      <c r="C501" s="351"/>
      <c r="D501" s="348"/>
      <c r="E501" s="348"/>
      <c r="F501" s="340"/>
      <c r="G501" s="351"/>
      <c r="H501" s="361"/>
      <c r="I501" s="340"/>
      <c r="J501" s="340"/>
      <c r="K501" s="351"/>
      <c r="L501" s="1389">
        <v>645</v>
      </c>
      <c r="M501" s="1390">
        <v>823</v>
      </c>
      <c r="N501" s="1390">
        <v>984</v>
      </c>
      <c r="O501" s="1390">
        <v>1067</v>
      </c>
      <c r="P501" s="361">
        <f t="shared" ref="P501:AA501" si="978">SUM(P24,P56,P114,P137,P254,P351,P408)</f>
        <v>1085</v>
      </c>
      <c r="Q501" s="340">
        <f t="shared" si="978"/>
        <v>1119</v>
      </c>
      <c r="R501" s="340">
        <f t="shared" si="978"/>
        <v>1120</v>
      </c>
      <c r="S501" s="351">
        <f t="shared" si="978"/>
        <v>1078</v>
      </c>
      <c r="T501" s="361">
        <f t="shared" si="978"/>
        <v>1082</v>
      </c>
      <c r="U501" s="340">
        <f t="shared" si="978"/>
        <v>1121</v>
      </c>
      <c r="V501" s="340">
        <f t="shared" si="978"/>
        <v>1060</v>
      </c>
      <c r="W501" s="351">
        <f t="shared" si="978"/>
        <v>931</v>
      </c>
      <c r="X501" s="361">
        <f t="shared" si="978"/>
        <v>978</v>
      </c>
      <c r="Y501" s="340">
        <f t="shared" si="978"/>
        <v>1094</v>
      </c>
      <c r="Z501" s="340">
        <f t="shared" si="978"/>
        <v>1170</v>
      </c>
      <c r="AA501" s="351">
        <f t="shared" si="978"/>
        <v>1116</v>
      </c>
      <c r="AB501" s="361">
        <f t="shared" ref="AB501:AH501" si="979">SUM(AB24,AB56,AB114,AB137,AB254,AB351,AB382,AB408)</f>
        <v>1085</v>
      </c>
      <c r="AC501" s="340">
        <f t="shared" si="979"/>
        <v>1188</v>
      </c>
      <c r="AD501" s="340">
        <f t="shared" si="979"/>
        <v>1249</v>
      </c>
      <c r="AE501" s="351">
        <f t="shared" si="979"/>
        <v>1293</v>
      </c>
      <c r="AF501" s="361">
        <f t="shared" si="979"/>
        <v>1246</v>
      </c>
      <c r="AG501" s="340">
        <f t="shared" si="979"/>
        <v>1349</v>
      </c>
      <c r="AH501" s="340">
        <f t="shared" si="979"/>
        <v>1515</v>
      </c>
      <c r="AI501" s="340">
        <f>SUM(AI24,AI56,AI114,AI137,AI254,AI351,AI382,AI408)</f>
        <v>1537</v>
      </c>
      <c r="AJ501" s="361">
        <f>SUM(AJ24,AJ32,AJ40,AJ48,AJ351,AJ254)</f>
        <v>1467</v>
      </c>
      <c r="AK501" s="340">
        <f>SUM(AK16,AK254,AK351)</f>
        <v>1506</v>
      </c>
      <c r="AL501" s="340">
        <f>SUM(AL16,AL254,AL351)</f>
        <v>1522</v>
      </c>
      <c r="AM501" s="351">
        <f>SUM(AM16,AM254,AM351)</f>
        <v>1606</v>
      </c>
      <c r="AN501" s="361">
        <f>SUM(AN24,AN32,AN40,AN48,AN351,AN254)</f>
        <v>2224</v>
      </c>
      <c r="AO501" s="340">
        <f>SUM(AO16,AO254,AO351)</f>
        <v>2365</v>
      </c>
      <c r="AP501" s="340">
        <f>SUM(AP16,AP254,AP351)</f>
        <v>2469</v>
      </c>
      <c r="AQ501" s="351">
        <f>SUM(AQ16,AQ254,AQ351)</f>
        <v>2440</v>
      </c>
      <c r="AR501" s="361">
        <f t="shared" ref="AR501:AU501" si="980">SUM(AR16,AR254,AR351)</f>
        <v>2211</v>
      </c>
      <c r="AS501" s="340">
        <f t="shared" si="980"/>
        <v>2202</v>
      </c>
      <c r="AT501" s="340">
        <f t="shared" si="980"/>
        <v>2387</v>
      </c>
      <c r="AU501" s="351">
        <f t="shared" si="980"/>
        <v>2456</v>
      </c>
      <c r="AV501" s="361">
        <f t="shared" ref="AV501:AY501" si="981">SUM(AV16,AV254,AV351)</f>
        <v>2325.7800000000002</v>
      </c>
      <c r="AW501" s="340">
        <f t="shared" si="981"/>
        <v>2405.5272</v>
      </c>
      <c r="AX501" s="340">
        <f t="shared" si="981"/>
        <v>2503.7714639999999</v>
      </c>
      <c r="AY501" s="351">
        <f t="shared" si="981"/>
        <v>2465.5820715999998</v>
      </c>
      <c r="AZ501" s="1901"/>
      <c r="BA501" s="361"/>
      <c r="BB501" s="340"/>
      <c r="BC501" s="340">
        <v>3519</v>
      </c>
      <c r="BD501" s="340">
        <f t="shared" ref="BD501:BH501" si="982">SUM(BD24,BD56,BD114,BD137,BD254,BD351,BD382,BD408)</f>
        <v>4503</v>
      </c>
      <c r="BE501" s="340">
        <f t="shared" si="982"/>
        <v>4203</v>
      </c>
      <c r="BF501" s="361">
        <f t="shared" si="982"/>
        <v>4361</v>
      </c>
      <c r="BG501" s="361">
        <f t="shared" si="982"/>
        <v>4815</v>
      </c>
      <c r="BH501" s="340">
        <f t="shared" si="982"/>
        <v>5647</v>
      </c>
      <c r="BI501" s="361">
        <f t="shared" ref="BI501:BJ501" si="983">SUM(BI16,BI254,BI351)</f>
        <v>6101</v>
      </c>
      <c r="BJ501" s="340">
        <f t="shared" si="983"/>
        <v>9498</v>
      </c>
      <c r="BK501" s="340">
        <f t="shared" ref="BK501:BL501" si="984">SUM(BK16,BK254,BK351)</f>
        <v>9256</v>
      </c>
      <c r="BL501" s="340">
        <f t="shared" si="984"/>
        <v>9700.6607356000004</v>
      </c>
      <c r="BM501" s="340">
        <f>SUM(BM16,BM254,BM351)</f>
        <v>10236.353296964</v>
      </c>
      <c r="BN501" s="340">
        <f>SUM(BN16,BN254,BN351)</f>
        <v>10736.946220764921</v>
      </c>
      <c r="BO501" s="364"/>
    </row>
    <row r="502" spans="1:67" ht="14.25" hidden="1" customHeight="1" outlineLevel="1">
      <c r="A502" s="1"/>
      <c r="B502" s="450" t="s">
        <v>228</v>
      </c>
      <c r="C502" s="254"/>
      <c r="D502" s="90"/>
      <c r="E502" s="90"/>
      <c r="F502" s="256"/>
      <c r="G502" s="301"/>
      <c r="H502" s="255"/>
      <c r="I502" s="256"/>
      <c r="J502" s="256"/>
      <c r="K502" s="301"/>
      <c r="L502" s="255"/>
      <c r="M502" s="256">
        <f t="shared" ref="M502:Y502" si="985">(M501-L501)/L501</f>
        <v>0.27596899224806204</v>
      </c>
      <c r="N502" s="256">
        <f t="shared" si="985"/>
        <v>0.19562575941676794</v>
      </c>
      <c r="O502" s="256">
        <f t="shared" si="985"/>
        <v>8.434959349593496E-2</v>
      </c>
      <c r="P502" s="255">
        <f t="shared" si="985"/>
        <v>1.6869728209934397E-2</v>
      </c>
      <c r="Q502" s="256">
        <f t="shared" si="985"/>
        <v>3.1336405529953919E-2</v>
      </c>
      <c r="R502" s="256">
        <f t="shared" si="985"/>
        <v>8.9365504915102768E-4</v>
      </c>
      <c r="S502" s="301">
        <f t="shared" si="985"/>
        <v>-3.7499999999999999E-2</v>
      </c>
      <c r="T502" s="256">
        <f t="shared" ref="T502:AQ502" si="986">T501/S501-1</f>
        <v>3.7105751391466324E-3</v>
      </c>
      <c r="U502" s="256">
        <f t="shared" si="985"/>
        <v>3.6044362292051754E-2</v>
      </c>
      <c r="V502" s="256">
        <f t="shared" si="985"/>
        <v>-5.4415700267618196E-2</v>
      </c>
      <c r="W502" s="301">
        <f t="shared" si="985"/>
        <v>-0.12169811320754717</v>
      </c>
      <c r="X502" s="256">
        <f t="shared" si="986"/>
        <v>5.0483351235230955E-2</v>
      </c>
      <c r="Y502" s="256">
        <f t="shared" si="985"/>
        <v>0.11860940695296524</v>
      </c>
      <c r="Z502" s="256">
        <f t="shared" si="986"/>
        <v>6.9469835466179131E-2</v>
      </c>
      <c r="AA502" s="301">
        <f t="shared" si="986"/>
        <v>-4.6153846153846101E-2</v>
      </c>
      <c r="AB502" s="256">
        <f t="shared" si="986"/>
        <v>-2.777777777777779E-2</v>
      </c>
      <c r="AC502" s="256">
        <f t="shared" si="986"/>
        <v>9.4930875576036966E-2</v>
      </c>
      <c r="AD502" s="256">
        <f t="shared" si="986"/>
        <v>5.1346801346801252E-2</v>
      </c>
      <c r="AE502" s="301">
        <f t="shared" si="986"/>
        <v>3.5228182546036768E-2</v>
      </c>
      <c r="AF502" s="255">
        <f t="shared" si="986"/>
        <v>-3.6349574632637327E-2</v>
      </c>
      <c r="AG502" s="256">
        <f t="shared" si="986"/>
        <v>8.26645264847512E-2</v>
      </c>
      <c r="AH502" s="256">
        <f t="shared" si="986"/>
        <v>0.1230541141586361</v>
      </c>
      <c r="AI502" s="256">
        <f t="shared" si="986"/>
        <v>1.4521452145214608E-2</v>
      </c>
      <c r="AJ502" s="255">
        <f t="shared" si="986"/>
        <v>-4.5543266102797686E-2</v>
      </c>
      <c r="AK502" s="256">
        <f t="shared" ref="AK502:AO502" si="987">AK501/AJ501-1</f>
        <v>2.6584867075664542E-2</v>
      </c>
      <c r="AL502" s="256">
        <f t="shared" si="986"/>
        <v>1.0624169986719778E-2</v>
      </c>
      <c r="AM502" s="301">
        <f t="shared" si="986"/>
        <v>5.5190538764783081E-2</v>
      </c>
      <c r="AN502" s="1614">
        <f t="shared" si="986"/>
        <v>0.38480697384806972</v>
      </c>
      <c r="AO502" s="1715">
        <f t="shared" si="987"/>
        <v>6.3399280575539674E-2</v>
      </c>
      <c r="AP502" s="1715">
        <f t="shared" si="986"/>
        <v>4.3974630021141659E-2</v>
      </c>
      <c r="AQ502" s="1628">
        <f t="shared" si="986"/>
        <v>-1.174564601053063E-2</v>
      </c>
      <c r="AR502" s="1515">
        <f t="shared" ref="AR502" si="988">AR501/AQ501-1</f>
        <v>-9.3852459016393497E-2</v>
      </c>
      <c r="AS502" s="1516">
        <f t="shared" ref="AS502" si="989">AS501/AR501-1</f>
        <v>-4.070556309362261E-3</v>
      </c>
      <c r="AT502" s="1516">
        <f t="shared" ref="AT502" si="990">AT501/AS501-1</f>
        <v>8.4014532243415152E-2</v>
      </c>
      <c r="AU502" s="1517">
        <f t="shared" ref="AU502" si="991">AU501/AT501-1</f>
        <v>2.8906577293674074E-2</v>
      </c>
      <c r="AV502" s="1515">
        <f t="shared" ref="AV502" si="992">AV501/AU501-1</f>
        <v>-5.302117263843642E-2</v>
      </c>
      <c r="AW502" s="1516">
        <f t="shared" ref="AW502" si="993">AW501/AV501-1</f>
        <v>3.4288367773392059E-2</v>
      </c>
      <c r="AX502" s="1516">
        <f t="shared" ref="AX502" si="994">AX501/AW501-1</f>
        <v>4.0841053054814669E-2</v>
      </c>
      <c r="AY502" s="1517">
        <f t="shared" ref="AY502" si="995">AY501/AX501-1</f>
        <v>-1.5252746885687896E-2</v>
      </c>
      <c r="AZ502" s="20"/>
      <c r="BA502" s="22"/>
      <c r="BB502" s="14"/>
      <c r="BC502" s="14"/>
      <c r="BD502" s="256"/>
      <c r="BE502" s="256"/>
      <c r="BF502" s="255">
        <f t="shared" ref="BF502:BN502" si="996">BF501/BE501-1</f>
        <v>3.7592196050440174E-2</v>
      </c>
      <c r="BG502" s="1515">
        <f t="shared" si="996"/>
        <v>0.10410456317358396</v>
      </c>
      <c r="BH502" s="1516">
        <f t="shared" si="996"/>
        <v>0.17279335410176522</v>
      </c>
      <c r="BI502" s="1614">
        <f t="shared" si="996"/>
        <v>8.0396670798654091E-2</v>
      </c>
      <c r="BJ502" s="1615">
        <f t="shared" si="996"/>
        <v>0.55679396820193405</v>
      </c>
      <c r="BK502" s="1615">
        <f t="shared" si="996"/>
        <v>-2.5479048220678036E-2</v>
      </c>
      <c r="BL502" s="1715">
        <f t="shared" si="996"/>
        <v>4.80402696197062E-2</v>
      </c>
      <c r="BM502" s="1715">
        <f t="shared" si="996"/>
        <v>5.5222275674283283E-2</v>
      </c>
      <c r="BN502" s="1715">
        <f t="shared" si="996"/>
        <v>4.890344337268937E-2</v>
      </c>
      <c r="BO502" s="299"/>
    </row>
    <row r="503" spans="1:67" ht="14.25" hidden="1" customHeight="1" outlineLevel="1">
      <c r="A503" s="1"/>
      <c r="B503" s="1192" t="s">
        <v>229</v>
      </c>
      <c r="C503" s="1193"/>
      <c r="D503" s="257"/>
      <c r="E503" s="257"/>
      <c r="F503" s="277"/>
      <c r="G503" s="278"/>
      <c r="H503" s="279"/>
      <c r="I503" s="277"/>
      <c r="J503" s="277"/>
      <c r="K503" s="278"/>
      <c r="L503" s="279"/>
      <c r="M503" s="277"/>
      <c r="N503" s="277"/>
      <c r="O503" s="277"/>
      <c r="P503" s="279">
        <f>P501/L501-1</f>
        <v>0.68217054263565902</v>
      </c>
      <c r="Q503" s="277">
        <f>Q501/M501-1</f>
        <v>0.35965978128797094</v>
      </c>
      <c r="R503" s="277">
        <f>R501/N501-1</f>
        <v>0.13821138211382111</v>
      </c>
      <c r="S503" s="278">
        <f>S501/O501-1</f>
        <v>1.0309278350515427E-2</v>
      </c>
      <c r="T503" s="277">
        <f t="shared" ref="T503:AQ503" si="997">T501/P501-1</f>
        <v>-2.7649769585254003E-3</v>
      </c>
      <c r="U503" s="277">
        <f>U501/Q501-1</f>
        <v>1.7873100983021306E-3</v>
      </c>
      <c r="V503" s="277">
        <f>V501/R501-1</f>
        <v>-5.3571428571428603E-2</v>
      </c>
      <c r="W503" s="278">
        <f>W501/S501-1</f>
        <v>-0.13636363636363635</v>
      </c>
      <c r="X503" s="277">
        <f t="shared" si="997"/>
        <v>-9.6118299445471345E-2</v>
      </c>
      <c r="Y503" s="277">
        <f>Y501/U501-1</f>
        <v>-2.408563782337203E-2</v>
      </c>
      <c r="Z503" s="277">
        <f t="shared" si="997"/>
        <v>0.10377358490566047</v>
      </c>
      <c r="AA503" s="278">
        <f t="shared" si="997"/>
        <v>0.1987110633727176</v>
      </c>
      <c r="AB503" s="277">
        <f t="shared" si="997"/>
        <v>0.10940695296523528</v>
      </c>
      <c r="AC503" s="277">
        <f t="shared" si="997"/>
        <v>8.5923217550274211E-2</v>
      </c>
      <c r="AD503" s="277">
        <f t="shared" si="997"/>
        <v>6.7521367521367504E-2</v>
      </c>
      <c r="AE503" s="278">
        <f t="shared" si="997"/>
        <v>0.15860215053763449</v>
      </c>
      <c r="AF503" s="279">
        <f t="shared" si="997"/>
        <v>0.14838709677419359</v>
      </c>
      <c r="AG503" s="277">
        <f t="shared" si="997"/>
        <v>0.1355218855218856</v>
      </c>
      <c r="AH503" s="277">
        <f t="shared" si="997"/>
        <v>0.21297037630104088</v>
      </c>
      <c r="AI503" s="277">
        <f t="shared" si="997"/>
        <v>0.18870843000773396</v>
      </c>
      <c r="AJ503" s="279">
        <f t="shared" si="997"/>
        <v>0.17736757624398081</v>
      </c>
      <c r="AK503" s="277">
        <f t="shared" ref="AK503:AO503" si="998">AK501/AG501-1</f>
        <v>0.11638250555967389</v>
      </c>
      <c r="AL503" s="277">
        <f t="shared" si="997"/>
        <v>4.6204620462046986E-3</v>
      </c>
      <c r="AM503" s="278">
        <f t="shared" si="997"/>
        <v>4.4892648015614878E-2</v>
      </c>
      <c r="AN503" s="1627">
        <f t="shared" si="997"/>
        <v>0.51601908657123374</v>
      </c>
      <c r="AO503" s="1625">
        <f t="shared" si="998"/>
        <v>0.57038512616201853</v>
      </c>
      <c r="AP503" s="1625">
        <f t="shared" si="997"/>
        <v>0.62220762155059139</v>
      </c>
      <c r="AQ503" s="1626">
        <f t="shared" si="997"/>
        <v>0.51930261519302623</v>
      </c>
      <c r="AR503" s="1512">
        <f t="shared" ref="AR503" si="999">AR501/AN501-1</f>
        <v>-5.8453237410072134E-3</v>
      </c>
      <c r="AS503" s="1509">
        <f t="shared" ref="AS503" si="1000">AS501/AO501-1</f>
        <v>-6.892177589852011E-2</v>
      </c>
      <c r="AT503" s="1509">
        <f t="shared" ref="AT503" si="1001">AT501/AP501-1</f>
        <v>-3.3211826650465737E-2</v>
      </c>
      <c r="AU503" s="1510">
        <f t="shared" ref="AU503" si="1002">AU501/AQ501-1</f>
        <v>6.5573770491802463E-3</v>
      </c>
      <c r="AV503" s="1512">
        <f t="shared" ref="AV503" si="1003">AV501/AR501-1</f>
        <v>5.1913161465400259E-2</v>
      </c>
      <c r="AW503" s="1509">
        <f t="shared" ref="AW503" si="1004">AW501/AS501-1</f>
        <v>9.2428337874659316E-2</v>
      </c>
      <c r="AX503" s="1509">
        <f t="shared" ref="AX503" si="1005">AX501/AT501-1</f>
        <v>4.8919758692919979E-2</v>
      </c>
      <c r="AY503" s="1510">
        <f t="shared" ref="AY503" si="1006">AY501/AU501-1</f>
        <v>3.9014949511400054E-3</v>
      </c>
      <c r="AZ503" s="20"/>
      <c r="BA503" s="652"/>
      <c r="BB503" s="317"/>
      <c r="BC503" s="317"/>
      <c r="BD503" s="256">
        <f>IF(ISERROR(BD501/BC501-1),"",BD501/BC501-1)</f>
        <v>0.27962489343563512</v>
      </c>
      <c r="BE503" s="256">
        <f t="shared" ref="BE503:BL503" si="1007">IF(ISERROR(BE501/BD501-1),"",BE501/BD501-1)</f>
        <v>-6.6622251832111901E-2</v>
      </c>
      <c r="BF503" s="255">
        <f t="shared" si="1007"/>
        <v>3.7592196050440174E-2</v>
      </c>
      <c r="BG503" s="1515">
        <f t="shared" si="1007"/>
        <v>0.10410456317358396</v>
      </c>
      <c r="BH503" s="1516">
        <f t="shared" si="1007"/>
        <v>0.17279335410176522</v>
      </c>
      <c r="BI503" s="1614">
        <f t="shared" si="1007"/>
        <v>8.0396670798654091E-2</v>
      </c>
      <c r="BJ503" s="1615">
        <f t="shared" si="1007"/>
        <v>0.55679396820193405</v>
      </c>
      <c r="BK503" s="1615">
        <f t="shared" si="1007"/>
        <v>-2.5479048220678036E-2</v>
      </c>
      <c r="BL503" s="1715">
        <f t="shared" si="1007"/>
        <v>4.80402696197062E-2</v>
      </c>
      <c r="BM503" s="1715">
        <f t="shared" ref="BM503:BN503" si="1008">BM501/BI501-1</f>
        <v>0.6778156526739878</v>
      </c>
      <c r="BN503" s="1715">
        <f t="shared" si="1008"/>
        <v>0.13044285331279437</v>
      </c>
      <c r="BO503" s="299"/>
    </row>
    <row r="504" spans="1:67" ht="14.25" customHeight="1" collapsed="1">
      <c r="A504" s="1"/>
      <c r="B504" s="436" t="s">
        <v>487</v>
      </c>
      <c r="C504" s="246"/>
      <c r="D504" s="58"/>
      <c r="E504" s="11"/>
      <c r="F504" s="8"/>
      <c r="G504" s="246"/>
      <c r="H504" s="22"/>
      <c r="I504" s="8"/>
      <c r="J504" s="8"/>
      <c r="K504" s="246"/>
      <c r="L504" s="22"/>
      <c r="M504" s="8"/>
      <c r="N504" s="8"/>
      <c r="O504" s="14"/>
      <c r="P504" s="255"/>
      <c r="Q504" s="256"/>
      <c r="R504" s="256"/>
      <c r="S504" s="301"/>
      <c r="T504" s="300"/>
      <c r="U504" s="300"/>
      <c r="V504" s="300"/>
      <c r="W504" s="301"/>
      <c r="X504" s="300"/>
      <c r="Y504" s="300"/>
      <c r="Z504" s="300"/>
      <c r="AA504" s="301"/>
      <c r="AB504" s="300"/>
      <c r="AC504" s="300"/>
      <c r="AD504" s="300"/>
      <c r="AE504" s="301"/>
      <c r="AF504" s="255"/>
      <c r="AG504" s="256"/>
      <c r="AH504" s="256"/>
      <c r="AI504" s="256"/>
      <c r="AJ504" s="255"/>
      <c r="AK504" s="256"/>
      <c r="AL504" s="256"/>
      <c r="AM504" s="301"/>
      <c r="AN504" s="1614"/>
      <c r="AO504" s="1715"/>
      <c r="AP504" s="1715"/>
      <c r="AQ504" s="1628"/>
      <c r="AR504" s="1515"/>
      <c r="AS504" s="1516"/>
      <c r="AT504" s="1516"/>
      <c r="AU504" s="1517"/>
      <c r="AV504" s="1515"/>
      <c r="AW504" s="1516"/>
      <c r="AX504" s="1516"/>
      <c r="AY504" s="1517"/>
      <c r="AZ504" s="20"/>
      <c r="BA504" s="22"/>
      <c r="BB504" s="14"/>
      <c r="BC504" s="14"/>
      <c r="BD504" s="14"/>
      <c r="BE504" s="14"/>
      <c r="BF504" s="22"/>
      <c r="BG504" s="22"/>
      <c r="BH504" s="14"/>
      <c r="BI504" s="22"/>
      <c r="BJ504" s="14"/>
      <c r="BK504" s="14"/>
      <c r="BL504" s="14"/>
      <c r="BM504" s="14"/>
      <c r="BN504" s="14"/>
      <c r="BO504" s="299"/>
    </row>
    <row r="505" spans="1:67" s="363" customFormat="1" ht="14.25" hidden="1" customHeight="1" outlineLevel="1">
      <c r="B505" s="597" t="s">
        <v>368</v>
      </c>
      <c r="C505" s="1194"/>
      <c r="D505" s="1195"/>
      <c r="E505" s="1195"/>
      <c r="F505" s="1136"/>
      <c r="G505" s="1194"/>
      <c r="H505" s="1196"/>
      <c r="I505" s="1136"/>
      <c r="J505" s="1136"/>
      <c r="K505" s="1194"/>
      <c r="L505" s="1196">
        <f t="shared" ref="L505:AD505" si="1009">L215+L313+L356+L385+L413</f>
        <v>62</v>
      </c>
      <c r="M505" s="1136">
        <f t="shared" si="1009"/>
        <v>166</v>
      </c>
      <c r="N505" s="1136">
        <f t="shared" si="1009"/>
        <v>300</v>
      </c>
      <c r="O505" s="1136">
        <f t="shared" si="1009"/>
        <v>370</v>
      </c>
      <c r="P505" s="1196">
        <f t="shared" si="1009"/>
        <v>406</v>
      </c>
      <c r="Q505" s="1136">
        <f t="shared" si="1009"/>
        <v>446</v>
      </c>
      <c r="R505" s="1136">
        <f t="shared" si="1009"/>
        <v>476</v>
      </c>
      <c r="S505" s="1194">
        <f t="shared" si="1009"/>
        <v>495</v>
      </c>
      <c r="T505" s="1136">
        <f t="shared" si="1009"/>
        <v>506</v>
      </c>
      <c r="U505" s="1136">
        <f t="shared" si="1009"/>
        <v>523</v>
      </c>
      <c r="V505" s="1136">
        <f t="shared" si="1009"/>
        <v>488</v>
      </c>
      <c r="W505" s="1194">
        <f t="shared" si="1009"/>
        <v>389</v>
      </c>
      <c r="X505" s="1196">
        <f t="shared" si="1009"/>
        <v>424</v>
      </c>
      <c r="Y505" s="1136">
        <f t="shared" si="1009"/>
        <v>538</v>
      </c>
      <c r="Z505" s="1136">
        <f t="shared" si="1009"/>
        <v>536</v>
      </c>
      <c r="AA505" s="1194">
        <f t="shared" si="1009"/>
        <v>490</v>
      </c>
      <c r="AB505" s="1196">
        <f t="shared" si="1009"/>
        <v>482</v>
      </c>
      <c r="AC505" s="1136">
        <f t="shared" si="1009"/>
        <v>535</v>
      </c>
      <c r="AD505" s="1136">
        <f t="shared" si="1009"/>
        <v>570</v>
      </c>
      <c r="AE505" s="1194">
        <f>AE215+AE313</f>
        <v>589</v>
      </c>
      <c r="AF505" s="1196">
        <f>AF215+AF313+AF356</f>
        <v>585</v>
      </c>
      <c r="AG505" s="1136">
        <f>AG215+AG313+AG356</f>
        <v>638</v>
      </c>
      <c r="AH505" s="1136">
        <f>AH215+AH313+AH356</f>
        <v>713</v>
      </c>
      <c r="AI505" s="1136">
        <f>AI215+AI313+AI356</f>
        <v>704</v>
      </c>
      <c r="AJ505" s="1196">
        <f>AJ215+AJ313+AJ356</f>
        <v>704</v>
      </c>
      <c r="AK505" s="1136">
        <f t="shared" ref="AK505" si="1010">AK215+AK313</f>
        <v>719</v>
      </c>
      <c r="AL505" s="1136">
        <f>AL215+AL313+AL356</f>
        <v>740</v>
      </c>
      <c r="AM505" s="1194">
        <f>AM215+AM313+AM356</f>
        <v>806</v>
      </c>
      <c r="AN505" s="1196">
        <f>AN215+AN313+AN356</f>
        <v>684</v>
      </c>
      <c r="AO505" s="1136">
        <f t="shared" ref="AO505" si="1011">AO215+AO313</f>
        <v>707</v>
      </c>
      <c r="AP505" s="1136">
        <f>AP215+AP313+AP356</f>
        <v>1247</v>
      </c>
      <c r="AQ505" s="1194">
        <f>AQ215+AQ313+AQ356</f>
        <v>1247.8520000000001</v>
      </c>
      <c r="AR505" s="1560">
        <f>'IS Inc FSL'!AR19</f>
        <v>1079</v>
      </c>
      <c r="AS505" s="1568">
        <f>'IS Inc FSL'!AS19</f>
        <v>1083</v>
      </c>
      <c r="AT505" s="1568">
        <f>'IS Inc FSL'!AT19</f>
        <v>1215</v>
      </c>
      <c r="AU505" s="1556">
        <f>'IS Inc FSL'!AU19</f>
        <v>1242</v>
      </c>
      <c r="AV505" s="1568">
        <f>'IS Inc FSL'!AV19</f>
        <v>1258.3399199999999</v>
      </c>
      <c r="AW505" s="1568">
        <f>'IS Inc FSL'!AW19</f>
        <v>1307.9283951999998</v>
      </c>
      <c r="AX505" s="1568">
        <f>'IS Inc FSL'!AX19</f>
        <v>1368.3421915519998</v>
      </c>
      <c r="AY505" s="1556">
        <f>'IS Inc FSL'!AY19</f>
        <v>1349.0161987403999</v>
      </c>
      <c r="AZ505" s="1901"/>
      <c r="BA505" s="1196"/>
      <c r="BB505" s="1136"/>
      <c r="BC505" s="1136">
        <f>SUM(L505:O505)</f>
        <v>898</v>
      </c>
      <c r="BD505" s="1136">
        <f>SUM(P505:S505)</f>
        <v>1823</v>
      </c>
      <c r="BE505" s="1136">
        <f>SUM(T505:W505)</f>
        <v>1906</v>
      </c>
      <c r="BF505" s="1196">
        <f>SUM(X505:AA505)</f>
        <v>1988</v>
      </c>
      <c r="BG505" s="1196">
        <f>SUM(AB505:AE505)</f>
        <v>2176</v>
      </c>
      <c r="BH505" s="1136">
        <f>SUM(AF505:AI505)</f>
        <v>2640</v>
      </c>
      <c r="BI505" s="1196">
        <f>SUM(AJ505:AM505)</f>
        <v>2969</v>
      </c>
      <c r="BJ505" s="1136">
        <f>SUM(AN510:AQ510)</f>
        <v>3927.8519999999999</v>
      </c>
      <c r="BK505" s="1136">
        <f>SUM(AR510:AU510)</f>
        <v>4871.0079999999998</v>
      </c>
      <c r="BL505" s="1136">
        <f>SUM(AV510:AY510)</f>
        <v>5323.6267054923992</v>
      </c>
      <c r="BM505" s="1136"/>
      <c r="BN505" s="1136"/>
      <c r="BO505" s="364"/>
    </row>
    <row r="506" spans="1:67" s="363" customFormat="1" ht="14.25" hidden="1" customHeight="1" outlineLevel="1">
      <c r="B506" s="431" t="s">
        <v>347</v>
      </c>
      <c r="C506" s="351"/>
      <c r="D506" s="348"/>
      <c r="E506" s="348"/>
      <c r="F506" s="340"/>
      <c r="G506" s="351"/>
      <c r="H506" s="361"/>
      <c r="I506" s="340"/>
      <c r="J506" s="340"/>
      <c r="K506" s="351"/>
      <c r="L506" s="255">
        <f>L505/L$501</f>
        <v>9.6124031007751937E-2</v>
      </c>
      <c r="M506" s="256">
        <f t="shared" ref="M506:AH506" si="1012">M505/M$501</f>
        <v>0.20170109356014582</v>
      </c>
      <c r="N506" s="256">
        <f t="shared" si="1012"/>
        <v>0.3048780487804878</v>
      </c>
      <c r="O506" s="256">
        <f t="shared" si="1012"/>
        <v>0.34676663542642922</v>
      </c>
      <c r="P506" s="255">
        <f t="shared" si="1012"/>
        <v>0.37419354838709679</v>
      </c>
      <c r="Q506" s="256">
        <f t="shared" si="1012"/>
        <v>0.39857015192135836</v>
      </c>
      <c r="R506" s="256">
        <f t="shared" si="1012"/>
        <v>0.42499999999999999</v>
      </c>
      <c r="S506" s="301">
        <f t="shared" si="1012"/>
        <v>0.45918367346938777</v>
      </c>
      <c r="T506" s="256">
        <f t="shared" si="1012"/>
        <v>0.46765249537892789</v>
      </c>
      <c r="U506" s="256">
        <f t="shared" si="1012"/>
        <v>0.46654772524531668</v>
      </c>
      <c r="V506" s="256">
        <f t="shared" si="1012"/>
        <v>0.46037735849056605</v>
      </c>
      <c r="W506" s="301">
        <f t="shared" si="1012"/>
        <v>0.41783029001074112</v>
      </c>
      <c r="X506" s="256">
        <f t="shared" si="1012"/>
        <v>0.43353783231083842</v>
      </c>
      <c r="Y506" s="256">
        <f t="shared" si="1012"/>
        <v>0.49177330895795246</v>
      </c>
      <c r="Z506" s="256">
        <f t="shared" si="1012"/>
        <v>0.4581196581196581</v>
      </c>
      <c r="AA506" s="301">
        <f t="shared" si="1012"/>
        <v>0.43906810035842292</v>
      </c>
      <c r="AB506" s="255">
        <f t="shared" si="1012"/>
        <v>0.44423963133640554</v>
      </c>
      <c r="AC506" s="256">
        <f t="shared" si="1012"/>
        <v>0.45033670033670031</v>
      </c>
      <c r="AD506" s="256">
        <f t="shared" si="1012"/>
        <v>0.45636509207365894</v>
      </c>
      <c r="AE506" s="301">
        <f t="shared" si="1012"/>
        <v>0.45552977571539055</v>
      </c>
      <c r="AF506" s="255">
        <f t="shared" si="1012"/>
        <v>0.4695024077046549</v>
      </c>
      <c r="AG506" s="256">
        <f t="shared" si="1012"/>
        <v>0.47294292068198668</v>
      </c>
      <c r="AH506" s="256">
        <f t="shared" si="1012"/>
        <v>0.47062706270627064</v>
      </c>
      <c r="AI506" s="256">
        <f>AI505/AI$501</f>
        <v>0.45803513337670787</v>
      </c>
      <c r="AJ506" s="1614">
        <f>AJ505/AJ$501</f>
        <v>0.47989093387866394</v>
      </c>
      <c r="AK506" s="1615">
        <f t="shared" ref="AK506:AL506" si="1013">AK505/AK$501</f>
        <v>0.47742363877822047</v>
      </c>
      <c r="AL506" s="1615">
        <f t="shared" si="1013"/>
        <v>0.48620236530880423</v>
      </c>
      <c r="AM506" s="1628">
        <f t="shared" ref="AM506:AY506" si="1014">AM505/AM$501</f>
        <v>0.50186799501867996</v>
      </c>
      <c r="AN506" s="1614">
        <f>AN505/AN$501</f>
        <v>0.30755395683453235</v>
      </c>
      <c r="AO506" s="1715">
        <f t="shared" ref="AO506:AQ506" si="1015">AO505/AO$501</f>
        <v>0.29894291754756869</v>
      </c>
      <c r="AP506" s="1715">
        <f t="shared" si="1015"/>
        <v>0.50506277845281489</v>
      </c>
      <c r="AQ506" s="1628">
        <f t="shared" si="1015"/>
        <v>0.51141475409836068</v>
      </c>
      <c r="AR506" s="1614">
        <f t="shared" si="1014"/>
        <v>0.48801447308909995</v>
      </c>
      <c r="AS506" s="1615">
        <f t="shared" si="1014"/>
        <v>0.49182561307901906</v>
      </c>
      <c r="AT506" s="1615">
        <f t="shared" si="1014"/>
        <v>0.50900712191034769</v>
      </c>
      <c r="AU506" s="1628">
        <f t="shared" si="1014"/>
        <v>0.50570032573289903</v>
      </c>
      <c r="AV506" s="1615">
        <f t="shared" si="1014"/>
        <v>0.54103996078734862</v>
      </c>
      <c r="AW506" s="1615">
        <f t="shared" si="1014"/>
        <v>0.54371798215376643</v>
      </c>
      <c r="AX506" s="1615">
        <f t="shared" si="1014"/>
        <v>0.54651241586001231</v>
      </c>
      <c r="AY506" s="1628">
        <f t="shared" si="1014"/>
        <v>0.54713903636757766</v>
      </c>
      <c r="AZ506" s="1901"/>
      <c r="BA506" s="361"/>
      <c r="BB506" s="340"/>
      <c r="BC506" s="256">
        <f t="shared" ref="BC506:BJ506" si="1016">BC505/BC$501</f>
        <v>0.25518613242398408</v>
      </c>
      <c r="BD506" s="256">
        <f t="shared" si="1016"/>
        <v>0.4048412169664668</v>
      </c>
      <c r="BE506" s="256">
        <f t="shared" si="1016"/>
        <v>0.45348560551986677</v>
      </c>
      <c r="BF506" s="255">
        <f t="shared" si="1016"/>
        <v>0.45585874799357945</v>
      </c>
      <c r="BG506" s="1515">
        <f t="shared" si="1016"/>
        <v>0.45192107995846315</v>
      </c>
      <c r="BH506" s="1516">
        <f t="shared" si="1016"/>
        <v>0.4675048698423942</v>
      </c>
      <c r="BI506" s="1614">
        <f t="shared" si="1016"/>
        <v>0.48664153417472544</v>
      </c>
      <c r="BJ506" s="1615">
        <f t="shared" si="1016"/>
        <v>0.41354516740366393</v>
      </c>
      <c r="BK506" s="1615">
        <f t="shared" ref="BK506:BL506" si="1017">BK505/BK$501</f>
        <v>0.52625410544511664</v>
      </c>
      <c r="BL506" s="1715">
        <f t="shared" si="1017"/>
        <v>0.54879011343582718</v>
      </c>
      <c r="BM506" s="1715"/>
      <c r="BN506" s="1715"/>
      <c r="BO506" s="364"/>
    </row>
    <row r="507" spans="1:67" ht="14.25" hidden="1" customHeight="1" outlineLevel="1">
      <c r="A507" s="1"/>
      <c r="B507" s="431" t="s">
        <v>228</v>
      </c>
      <c r="C507" s="254"/>
      <c r="D507" s="90"/>
      <c r="E507" s="90"/>
      <c r="F507" s="256"/>
      <c r="G507" s="301"/>
      <c r="H507" s="255"/>
      <c r="I507" s="256"/>
      <c r="J507" s="256"/>
      <c r="K507" s="301"/>
      <c r="L507" s="255"/>
      <c r="M507" s="256">
        <f t="shared" ref="M507:S507" si="1018">(M505-L505)/L505</f>
        <v>1.6774193548387097</v>
      </c>
      <c r="N507" s="256">
        <f t="shared" si="1018"/>
        <v>0.80722891566265065</v>
      </c>
      <c r="O507" s="256">
        <f t="shared" si="1018"/>
        <v>0.23333333333333334</v>
      </c>
      <c r="P507" s="255">
        <f t="shared" si="1018"/>
        <v>9.7297297297297303E-2</v>
      </c>
      <c r="Q507" s="256">
        <f t="shared" si="1018"/>
        <v>9.8522167487684734E-2</v>
      </c>
      <c r="R507" s="256">
        <f t="shared" si="1018"/>
        <v>6.726457399103139E-2</v>
      </c>
      <c r="S507" s="301">
        <f t="shared" si="1018"/>
        <v>3.9915966386554619E-2</v>
      </c>
      <c r="T507" s="256">
        <f>T505/S505-1</f>
        <v>2.2222222222222143E-2</v>
      </c>
      <c r="U507" s="256">
        <f>(U505-T505)/T505</f>
        <v>3.3596837944664032E-2</v>
      </c>
      <c r="V507" s="256">
        <f>(V505-U505)/U505</f>
        <v>-6.6921606118546847E-2</v>
      </c>
      <c r="W507" s="301">
        <f>(W505-V505)/V505</f>
        <v>-0.2028688524590164</v>
      </c>
      <c r="X507" s="256">
        <f>X505/W505-1</f>
        <v>8.9974293059125854E-2</v>
      </c>
      <c r="Y507" s="256">
        <f>(Y505-X505)/X505</f>
        <v>0.26886792452830188</v>
      </c>
      <c r="Z507" s="256">
        <f t="shared" ref="Z507:AQ507" si="1019">Z505/Y505-1</f>
        <v>-3.7174721189591198E-3</v>
      </c>
      <c r="AA507" s="301">
        <f t="shared" si="1019"/>
        <v>-8.582089552238803E-2</v>
      </c>
      <c r="AB507" s="255">
        <f t="shared" si="1019"/>
        <v>-1.6326530612244872E-2</v>
      </c>
      <c r="AC507" s="256">
        <f t="shared" si="1019"/>
        <v>0.10995850622406644</v>
      </c>
      <c r="AD507" s="256">
        <f t="shared" si="1019"/>
        <v>6.5420560747663448E-2</v>
      </c>
      <c r="AE507" s="301">
        <f t="shared" si="1019"/>
        <v>3.3333333333333437E-2</v>
      </c>
      <c r="AF507" s="255">
        <f t="shared" si="1019"/>
        <v>-6.7911714770797493E-3</v>
      </c>
      <c r="AG507" s="256">
        <f t="shared" si="1019"/>
        <v>9.0598290598290498E-2</v>
      </c>
      <c r="AH507" s="256">
        <f t="shared" si="1019"/>
        <v>0.11755485893416928</v>
      </c>
      <c r="AI507" s="256">
        <f t="shared" si="1019"/>
        <v>-1.2622720897615736E-2</v>
      </c>
      <c r="AJ507" s="1614">
        <f t="shared" si="1019"/>
        <v>0</v>
      </c>
      <c r="AK507" s="1615">
        <f t="shared" ref="AK507" si="1020">AK505/AJ505-1</f>
        <v>2.1306818181818121E-2</v>
      </c>
      <c r="AL507" s="1615">
        <f t="shared" si="1019"/>
        <v>2.9207232267037586E-2</v>
      </c>
      <c r="AM507" s="1628">
        <f t="shared" si="1019"/>
        <v>8.9189189189189166E-2</v>
      </c>
      <c r="AN507" s="1614">
        <f t="shared" si="1019"/>
        <v>-0.15136476426799006</v>
      </c>
      <c r="AO507" s="1715">
        <f t="shared" si="1019"/>
        <v>3.3625730994152114E-2</v>
      </c>
      <c r="AP507" s="1715">
        <f t="shared" si="1019"/>
        <v>0.76379066478076374</v>
      </c>
      <c r="AQ507" s="1628">
        <f t="shared" si="1019"/>
        <v>6.8323977546125292E-4</v>
      </c>
      <c r="AR507" s="1614">
        <f t="shared" ref="AR507" si="1021">AR505/AQ505-1</f>
        <v>-0.13531412379032137</v>
      </c>
      <c r="AS507" s="1615">
        <f t="shared" ref="AS507" si="1022">AS505/AR505-1</f>
        <v>3.707136237256714E-3</v>
      </c>
      <c r="AT507" s="1615">
        <f t="shared" ref="AT507" si="1023">AT505/AS505-1</f>
        <v>0.12188365650969524</v>
      </c>
      <c r="AU507" s="1628">
        <f t="shared" ref="AU507" si="1024">AU505/AT505-1</f>
        <v>2.2222222222222143E-2</v>
      </c>
      <c r="AV507" s="1615">
        <f t="shared" ref="AV507" si="1025">AV505/AU505-1</f>
        <v>1.3156135265700364E-2</v>
      </c>
      <c r="AW507" s="1615">
        <f t="shared" ref="AW507" si="1026">AW505/AV505-1</f>
        <v>3.9407853483659716E-2</v>
      </c>
      <c r="AX507" s="1615">
        <f t="shared" ref="AX507" si="1027">AX505/AW505-1</f>
        <v>4.6190446337669666E-2</v>
      </c>
      <c r="AY507" s="1628">
        <f t="shared" ref="AY507" si="1028">AY505/AX505-1</f>
        <v>-1.4123654836426525E-2</v>
      </c>
      <c r="AZ507" s="20"/>
      <c r="BA507" s="22"/>
      <c r="BB507" s="14"/>
      <c r="BC507" s="14"/>
      <c r="BD507" s="256"/>
      <c r="BE507" s="256"/>
      <c r="BF507" s="255">
        <f t="shared" ref="BF507:BL507" si="1029">BF505/BE505-1</f>
        <v>4.3022035676810066E-2</v>
      </c>
      <c r="BG507" s="1515">
        <f t="shared" si="1029"/>
        <v>9.456740442655942E-2</v>
      </c>
      <c r="BH507" s="1516">
        <f t="shared" si="1029"/>
        <v>0.21323529411764697</v>
      </c>
      <c r="BI507" s="1614">
        <f t="shared" si="1029"/>
        <v>0.12462121212121202</v>
      </c>
      <c r="BJ507" s="1615">
        <f t="shared" si="1029"/>
        <v>0.32295453014482978</v>
      </c>
      <c r="BK507" s="1615">
        <f t="shared" si="1029"/>
        <v>0.24012004525628772</v>
      </c>
      <c r="BL507" s="1715">
        <f t="shared" si="1029"/>
        <v>9.2920953012682217E-2</v>
      </c>
      <c r="BM507" s="1715"/>
      <c r="BN507" s="1715"/>
      <c r="BO507" s="299"/>
    </row>
    <row r="508" spans="1:67" ht="14.25" hidden="1" customHeight="1" outlineLevel="1">
      <c r="A508" s="1"/>
      <c r="B508" s="435" t="s">
        <v>229</v>
      </c>
      <c r="C508" s="34"/>
      <c r="D508" s="90"/>
      <c r="E508" s="90"/>
      <c r="F508" s="256"/>
      <c r="G508" s="301"/>
      <c r="H508" s="255"/>
      <c r="I508" s="256"/>
      <c r="J508" s="256"/>
      <c r="K508" s="301"/>
      <c r="L508" s="255"/>
      <c r="M508" s="256"/>
      <c r="N508" s="256"/>
      <c r="O508" s="256"/>
      <c r="P508" s="255">
        <f t="shared" ref="P508:AQ508" si="1030">P505/L505-1</f>
        <v>5.5483870967741939</v>
      </c>
      <c r="Q508" s="256">
        <f t="shared" si="1030"/>
        <v>1.6867469879518073</v>
      </c>
      <c r="R508" s="256">
        <f t="shared" si="1030"/>
        <v>0.58666666666666667</v>
      </c>
      <c r="S508" s="301">
        <f t="shared" si="1030"/>
        <v>0.33783783783783794</v>
      </c>
      <c r="T508" s="256">
        <f t="shared" si="1030"/>
        <v>0.24630541871921174</v>
      </c>
      <c r="U508" s="256">
        <f t="shared" si="1030"/>
        <v>0.17264573991031384</v>
      </c>
      <c r="V508" s="256">
        <f t="shared" si="1030"/>
        <v>2.5210084033613356E-2</v>
      </c>
      <c r="W508" s="301">
        <f t="shared" si="1030"/>
        <v>-0.21414141414141419</v>
      </c>
      <c r="X508" s="256">
        <f t="shared" si="1030"/>
        <v>-0.1620553359683794</v>
      </c>
      <c r="Y508" s="256">
        <f t="shared" si="1030"/>
        <v>2.8680688336520044E-2</v>
      </c>
      <c r="Z508" s="256">
        <f t="shared" si="1030"/>
        <v>9.8360655737705027E-2</v>
      </c>
      <c r="AA508" s="301">
        <f t="shared" si="1030"/>
        <v>0.25964010282776351</v>
      </c>
      <c r="AB508" s="255">
        <f t="shared" si="1030"/>
        <v>0.1367924528301887</v>
      </c>
      <c r="AC508" s="256">
        <f t="shared" si="1030"/>
        <v>-5.5762081784386242E-3</v>
      </c>
      <c r="AD508" s="256">
        <f t="shared" si="1030"/>
        <v>6.3432835820895539E-2</v>
      </c>
      <c r="AE508" s="301">
        <f t="shared" si="1030"/>
        <v>0.20204081632653059</v>
      </c>
      <c r="AF508" s="255">
        <f t="shared" si="1030"/>
        <v>0.21369294605809119</v>
      </c>
      <c r="AG508" s="256">
        <f t="shared" si="1030"/>
        <v>0.1925233644859814</v>
      </c>
      <c r="AH508" s="256">
        <f t="shared" si="1030"/>
        <v>0.25087719298245603</v>
      </c>
      <c r="AI508" s="256">
        <f t="shared" si="1030"/>
        <v>0.1952461799660441</v>
      </c>
      <c r="AJ508" s="1614">
        <f t="shared" si="1030"/>
        <v>0.20341880341880336</v>
      </c>
      <c r="AK508" s="1615">
        <f t="shared" ref="AK508" si="1031">AK505/AG505-1</f>
        <v>0.12695924764890276</v>
      </c>
      <c r="AL508" s="1615">
        <f t="shared" si="1030"/>
        <v>3.7868162692847207E-2</v>
      </c>
      <c r="AM508" s="1628">
        <f t="shared" si="1030"/>
        <v>0.14488636363636354</v>
      </c>
      <c r="AN508" s="1614">
        <f t="shared" si="1030"/>
        <v>-2.8409090909090939E-2</v>
      </c>
      <c r="AO508" s="1715">
        <f t="shared" si="1030"/>
        <v>-1.6689847009735748E-2</v>
      </c>
      <c r="AP508" s="1715">
        <f t="shared" si="1030"/>
        <v>0.68513513513513513</v>
      </c>
      <c r="AQ508" s="1628">
        <f t="shared" si="1030"/>
        <v>0.54820347394540958</v>
      </c>
      <c r="AR508" s="1614">
        <f t="shared" ref="AR508" si="1032">AR505/AN505-1</f>
        <v>0.57748538011695905</v>
      </c>
      <c r="AS508" s="1615">
        <f t="shared" ref="AS508" si="1033">AS505/AO505-1</f>
        <v>0.53182461103253176</v>
      </c>
      <c r="AT508" s="1615">
        <f t="shared" ref="AT508" si="1034">AT505/AP505-1</f>
        <v>-2.566158781074579E-2</v>
      </c>
      <c r="AU508" s="1628">
        <f t="shared" ref="AU508" si="1035">AU505/AQ505-1</f>
        <v>-4.6896587095265341E-3</v>
      </c>
      <c r="AV508" s="1615">
        <f t="shared" ref="AV508" si="1036">AV505/AR505-1</f>
        <v>0.16620937905468014</v>
      </c>
      <c r="AW508" s="1615">
        <f t="shared" ref="AW508" si="1037">AW505/AS505-1</f>
        <v>0.20769011560480144</v>
      </c>
      <c r="AX508" s="1615">
        <f t="shared" ref="AX508" si="1038">AX505/AT505-1</f>
        <v>0.12620756506337427</v>
      </c>
      <c r="AY508" s="1628">
        <f t="shared" ref="AY508" si="1039">AY505/AU505-1</f>
        <v>8.6164411224154414E-2</v>
      </c>
      <c r="AZ508" s="20"/>
      <c r="BA508" s="652"/>
      <c r="BB508" s="317"/>
      <c r="BC508" s="317"/>
      <c r="BD508" s="256">
        <f t="shared" ref="BD508:BL508" si="1040">BD505/BC505-1</f>
        <v>1.0300668151447661</v>
      </c>
      <c r="BE508" s="256">
        <f t="shared" si="1040"/>
        <v>4.5529347229840811E-2</v>
      </c>
      <c r="BF508" s="255">
        <f t="shared" si="1040"/>
        <v>4.3022035676810066E-2</v>
      </c>
      <c r="BG508" s="1515">
        <f t="shared" si="1040"/>
        <v>9.456740442655942E-2</v>
      </c>
      <c r="BH508" s="1516">
        <f t="shared" si="1040"/>
        <v>0.21323529411764697</v>
      </c>
      <c r="BI508" s="1614">
        <f t="shared" si="1040"/>
        <v>0.12462121212121202</v>
      </c>
      <c r="BJ508" s="1615">
        <f t="shared" si="1040"/>
        <v>0.32295453014482978</v>
      </c>
      <c r="BK508" s="1615">
        <f t="shared" si="1040"/>
        <v>0.24012004525628772</v>
      </c>
      <c r="BL508" s="1715">
        <f t="shared" si="1040"/>
        <v>9.2920953012682217E-2</v>
      </c>
      <c r="BM508" s="1715"/>
      <c r="BN508" s="1715"/>
      <c r="BO508" s="299"/>
    </row>
    <row r="509" spans="1:67" ht="14.25" hidden="1" customHeight="1" outlineLevel="1">
      <c r="A509" s="1"/>
      <c r="B509" s="435"/>
      <c r="C509" s="246"/>
      <c r="D509" s="58"/>
      <c r="E509" s="58"/>
      <c r="F509" s="14"/>
      <c r="G509" s="246"/>
      <c r="H509" s="22"/>
      <c r="I509" s="14"/>
      <c r="J509" s="14"/>
      <c r="K509" s="246"/>
      <c r="L509" s="22"/>
      <c r="M509" s="14"/>
      <c r="N509" s="14"/>
      <c r="O509" s="14"/>
      <c r="P509" s="255"/>
      <c r="Q509" s="256"/>
      <c r="R509" s="256"/>
      <c r="S509" s="301"/>
      <c r="T509" s="256"/>
      <c r="U509" s="256"/>
      <c r="V509" s="256"/>
      <c r="W509" s="301"/>
      <c r="X509" s="256"/>
      <c r="Y509" s="256"/>
      <c r="Z509" s="256"/>
      <c r="AA509" s="301"/>
      <c r="AB509" s="255"/>
      <c r="AC509" s="256"/>
      <c r="AD509" s="256"/>
      <c r="AE509" s="301"/>
      <c r="AF509" s="255"/>
      <c r="AG509" s="256"/>
      <c r="AH509" s="256"/>
      <c r="AI509" s="256"/>
      <c r="AJ509" s="1614"/>
      <c r="AK509" s="1615"/>
      <c r="AL509" s="1615"/>
      <c r="AM509" s="1628"/>
      <c r="AN509" s="1614"/>
      <c r="AO509" s="1715"/>
      <c r="AP509" s="1715"/>
      <c r="AQ509" s="1628"/>
      <c r="AR509" s="1614"/>
      <c r="AS509" s="1615"/>
      <c r="AT509" s="1615"/>
      <c r="AU509" s="1628"/>
      <c r="AV509" s="1615"/>
      <c r="AW509" s="1615"/>
      <c r="AX509" s="1615"/>
      <c r="AY509" s="1628"/>
      <c r="AZ509" s="20"/>
      <c r="BA509" s="22"/>
      <c r="BB509" s="14"/>
      <c r="BC509" s="14"/>
      <c r="BD509" s="14"/>
      <c r="BE509" s="14"/>
      <c r="BF509" s="22"/>
      <c r="BG509" s="22"/>
      <c r="BH509" s="14"/>
      <c r="BI509" s="22"/>
      <c r="BJ509" s="14"/>
      <c r="BK509" s="14"/>
      <c r="BL509" s="14"/>
      <c r="BM509" s="14"/>
      <c r="BN509" s="14"/>
      <c r="BO509" s="299"/>
    </row>
    <row r="510" spans="1:67" s="363" customFormat="1" ht="14.25" hidden="1" customHeight="1" outlineLevel="1">
      <c r="B510" s="436" t="s">
        <v>369</v>
      </c>
      <c r="C510" s="351"/>
      <c r="D510" s="348"/>
      <c r="E510" s="348"/>
      <c r="F510" s="340"/>
      <c r="G510" s="351"/>
      <c r="H510" s="361"/>
      <c r="I510" s="340"/>
      <c r="J510" s="340"/>
      <c r="K510" s="351"/>
      <c r="L510" s="361">
        <f t="shared" ref="L510:AH510" si="1041">L225+L323+L364+L394+L425</f>
        <v>107</v>
      </c>
      <c r="M510" s="340">
        <f t="shared" si="1041"/>
        <v>257</v>
      </c>
      <c r="N510" s="340">
        <f t="shared" si="1041"/>
        <v>348</v>
      </c>
      <c r="O510" s="340">
        <f t="shared" si="1041"/>
        <v>413</v>
      </c>
      <c r="P510" s="361">
        <f t="shared" si="1041"/>
        <v>423</v>
      </c>
      <c r="Q510" s="340">
        <f t="shared" si="1041"/>
        <v>456</v>
      </c>
      <c r="R510" s="340">
        <f t="shared" si="1041"/>
        <v>488</v>
      </c>
      <c r="S510" s="351">
        <f t="shared" si="1041"/>
        <v>508</v>
      </c>
      <c r="T510" s="340">
        <f t="shared" si="1041"/>
        <v>517</v>
      </c>
      <c r="U510" s="340">
        <f t="shared" si="1041"/>
        <v>536</v>
      </c>
      <c r="V510" s="340">
        <f t="shared" si="1041"/>
        <v>512</v>
      </c>
      <c r="W510" s="351">
        <f t="shared" si="1041"/>
        <v>423</v>
      </c>
      <c r="X510" s="361">
        <f t="shared" si="1041"/>
        <v>433</v>
      </c>
      <c r="Y510" s="340">
        <f t="shared" si="1041"/>
        <v>505</v>
      </c>
      <c r="Z510" s="340">
        <f t="shared" si="1041"/>
        <v>542</v>
      </c>
      <c r="AA510" s="351">
        <f t="shared" si="1041"/>
        <v>514</v>
      </c>
      <c r="AB510" s="361">
        <f t="shared" si="1041"/>
        <v>536</v>
      </c>
      <c r="AC510" s="340">
        <f t="shared" si="1041"/>
        <v>540</v>
      </c>
      <c r="AD510" s="340">
        <f t="shared" si="1041"/>
        <v>585</v>
      </c>
      <c r="AE510" s="351">
        <f t="shared" si="1041"/>
        <v>636</v>
      </c>
      <c r="AF510" s="361">
        <f t="shared" si="1041"/>
        <v>617</v>
      </c>
      <c r="AG510" s="340">
        <f t="shared" si="1041"/>
        <v>655</v>
      </c>
      <c r="AH510" s="340">
        <f t="shared" si="1041"/>
        <v>725</v>
      </c>
      <c r="AI510" s="340">
        <f>AI225+AI323+AI364+AI394+AI425</f>
        <v>716</v>
      </c>
      <c r="AJ510" s="361">
        <f>AJ225+AJ323+AJ364+AJ394+AJ425</f>
        <v>711</v>
      </c>
      <c r="AK510" s="340">
        <f t="shared" ref="AK510:AM510" si="1042">AK225+AK323+AK364+AK394+AK425</f>
        <v>734</v>
      </c>
      <c r="AL510" s="340">
        <f t="shared" si="1042"/>
        <v>752</v>
      </c>
      <c r="AM510" s="351">
        <f t="shared" si="1042"/>
        <v>818</v>
      </c>
      <c r="AN510" s="361">
        <f>AN225+AN323+AN364+AN394+AN425</f>
        <v>692</v>
      </c>
      <c r="AO510" s="340">
        <f t="shared" ref="AO510:AQ510" si="1043">AO225+AO323+AO364+AO394+AO425</f>
        <v>717</v>
      </c>
      <c r="AP510" s="340">
        <f t="shared" si="1043"/>
        <v>1259</v>
      </c>
      <c r="AQ510" s="351">
        <f t="shared" si="1043"/>
        <v>1259.8520000000001</v>
      </c>
      <c r="AR510" s="361">
        <f>AR215+AR313</f>
        <v>1138.008</v>
      </c>
      <c r="AS510" s="340">
        <f t="shared" ref="AS510:AU510" si="1044">AS215+AS313</f>
        <v>1148</v>
      </c>
      <c r="AT510" s="340">
        <f t="shared" si="1044"/>
        <v>1269</v>
      </c>
      <c r="AU510" s="351">
        <f t="shared" si="1044"/>
        <v>1316</v>
      </c>
      <c r="AV510" s="1938">
        <f>AV215+AV313+AV356</f>
        <v>1268.3399199999999</v>
      </c>
      <c r="AW510" s="1938">
        <f t="shared" ref="AW510:AY510" si="1045">AW215+AW313+AW356</f>
        <v>1317.9283951999998</v>
      </c>
      <c r="AX510" s="1938">
        <f t="shared" si="1045"/>
        <v>1378.3421915519998</v>
      </c>
      <c r="AY510" s="1938">
        <f t="shared" si="1045"/>
        <v>1359.0161987403999</v>
      </c>
      <c r="AZ510" s="1901"/>
      <c r="BA510" s="361"/>
      <c r="BB510" s="340"/>
      <c r="BC510" s="340">
        <f>BC225+BC323+BC364+BC394+BC425</f>
        <v>1125</v>
      </c>
      <c r="BD510" s="340">
        <f>BD225+BD323+BD364+BD394+BD425</f>
        <v>1875</v>
      </c>
      <c r="BE510" s="340">
        <f>BE225+BE323+BE364+BE394+BE425</f>
        <v>1988</v>
      </c>
      <c r="BF510" s="361">
        <f>BF225+BF323+BF364+BF394+BF425</f>
        <v>1994</v>
      </c>
      <c r="BG510" s="361">
        <f>BG225+BG323+BG364+BG394+BG425</f>
        <v>319</v>
      </c>
      <c r="BH510" s="340"/>
      <c r="BI510" s="1196">
        <f>SUM(AJ510:AM510)</f>
        <v>3015</v>
      </c>
      <c r="BJ510" s="1136">
        <f>SUM(AN510:AQ510)</f>
        <v>3927.8519999999999</v>
      </c>
      <c r="BK510" s="1136">
        <f>SUM(AR510:AU510)</f>
        <v>4871.0079999999998</v>
      </c>
      <c r="BL510" s="1136">
        <f>SUM(AV510:AY510)</f>
        <v>5323.6267054923992</v>
      </c>
      <c r="BM510" s="1136">
        <f>BM215+BM313+BM356</f>
        <v>5586.4728658652166</v>
      </c>
      <c r="BN510" s="1136">
        <f>BN215+BN313+BN356</f>
        <v>5825.980146769175</v>
      </c>
      <c r="BO510" s="364"/>
    </row>
    <row r="511" spans="1:67" s="363" customFormat="1" ht="14.25" hidden="1" customHeight="1" outlineLevel="1">
      <c r="B511" s="431" t="s">
        <v>347</v>
      </c>
      <c r="C511" s="351"/>
      <c r="D511" s="348"/>
      <c r="E511" s="348"/>
      <c r="F511" s="340"/>
      <c r="G511" s="351"/>
      <c r="H511" s="361"/>
      <c r="I511" s="340"/>
      <c r="J511" s="340"/>
      <c r="K511" s="351"/>
      <c r="L511" s="255">
        <f t="shared" ref="L511:AE511" si="1046">L510/L$501</f>
        <v>0.16589147286821707</v>
      </c>
      <c r="M511" s="256">
        <f t="shared" si="1046"/>
        <v>0.31227217496962334</v>
      </c>
      <c r="N511" s="256">
        <f t="shared" si="1046"/>
        <v>0.35365853658536583</v>
      </c>
      <c r="O511" s="256">
        <f t="shared" si="1046"/>
        <v>0.38706654170571697</v>
      </c>
      <c r="P511" s="255">
        <f t="shared" si="1046"/>
        <v>0.38986175115207372</v>
      </c>
      <c r="Q511" s="256">
        <f t="shared" si="1046"/>
        <v>0.40750670241286863</v>
      </c>
      <c r="R511" s="256">
        <f t="shared" si="1046"/>
        <v>0.43571428571428572</v>
      </c>
      <c r="S511" s="301">
        <f t="shared" si="1046"/>
        <v>0.4712430426716141</v>
      </c>
      <c r="T511" s="256">
        <f t="shared" si="1046"/>
        <v>0.47781885397412199</v>
      </c>
      <c r="U511" s="256">
        <f t="shared" si="1046"/>
        <v>0.47814451382694023</v>
      </c>
      <c r="V511" s="256">
        <f t="shared" si="1046"/>
        <v>0.48301886792452831</v>
      </c>
      <c r="W511" s="301">
        <f t="shared" si="1046"/>
        <v>0.45435016111707843</v>
      </c>
      <c r="X511" s="256">
        <f t="shared" si="1046"/>
        <v>0.44274028629856849</v>
      </c>
      <c r="Y511" s="256">
        <f t="shared" si="1046"/>
        <v>0.46160877513711152</v>
      </c>
      <c r="Z511" s="256">
        <f t="shared" si="1046"/>
        <v>0.46324786324786327</v>
      </c>
      <c r="AA511" s="301">
        <f t="shared" si="1046"/>
        <v>0.46057347670250898</v>
      </c>
      <c r="AB511" s="255">
        <f t="shared" si="1046"/>
        <v>0.49400921658986174</v>
      </c>
      <c r="AC511" s="256">
        <f t="shared" si="1046"/>
        <v>0.45454545454545453</v>
      </c>
      <c r="AD511" s="256">
        <f t="shared" si="1046"/>
        <v>0.46837469975980783</v>
      </c>
      <c r="AE511" s="301">
        <f t="shared" si="1046"/>
        <v>0.49187935034802782</v>
      </c>
      <c r="AF511" s="255">
        <f>AF510/AF$501</f>
        <v>0.49518459069020865</v>
      </c>
      <c r="AG511" s="256">
        <f>AG510/AG$501</f>
        <v>0.4855448480355819</v>
      </c>
      <c r="AH511" s="256">
        <f>AH510/AH$501</f>
        <v>0.47854785478547857</v>
      </c>
      <c r="AI511" s="256">
        <f>AI510/AI$501</f>
        <v>0.46584255042290174</v>
      </c>
      <c r="AJ511" s="1614">
        <f>AJ510/AJ$501</f>
        <v>0.48466257668711654</v>
      </c>
      <c r="AK511" s="1615">
        <f t="shared" ref="AK511:AM511" si="1047">AK510/AK$501</f>
        <v>0.48738379814077026</v>
      </c>
      <c r="AL511" s="1615">
        <f t="shared" si="1047"/>
        <v>0.4940867279894875</v>
      </c>
      <c r="AM511" s="1628">
        <f t="shared" si="1047"/>
        <v>0.50933997509339979</v>
      </c>
      <c r="AN511" s="1614">
        <f>AN510/AN$501</f>
        <v>0.31115107913669066</v>
      </c>
      <c r="AO511" s="1715">
        <f t="shared" ref="AO511:AQ511" si="1048">AO510/AO$501</f>
        <v>0.30317124735729389</v>
      </c>
      <c r="AP511" s="1715">
        <f t="shared" si="1048"/>
        <v>0.50992304576751724</v>
      </c>
      <c r="AQ511" s="1628">
        <f t="shared" si="1048"/>
        <v>0.51633278688524598</v>
      </c>
      <c r="AR511" s="1614">
        <f t="shared" ref="AR511:AU511" si="1049">AR510/AR$501</f>
        <v>0.51470284938941657</v>
      </c>
      <c r="AS511" s="1615">
        <f t="shared" si="1049"/>
        <v>0.52134423251589468</v>
      </c>
      <c r="AT511" s="1615">
        <f t="shared" si="1049"/>
        <v>0.53162966066191875</v>
      </c>
      <c r="AU511" s="1628">
        <f t="shared" si="1049"/>
        <v>0.53583061889250816</v>
      </c>
      <c r="AV511" s="1615">
        <f t="shared" ref="AV511" si="1050">AV510/AV$501</f>
        <v>0.54533959359870654</v>
      </c>
      <c r="AW511" s="1615">
        <f t="shared" ref="AW511" si="1051">AW510/AW$501</f>
        <v>0.54787507503552646</v>
      </c>
      <c r="AX511" s="1615">
        <f t="shared" ref="AX511" si="1052">AX510/AX$501</f>
        <v>0.55050639060722195</v>
      </c>
      <c r="AY511" s="1628">
        <f t="shared" ref="AY511" si="1053">AY510/AY$501</f>
        <v>0.55119487377619036</v>
      </c>
      <c r="AZ511" s="1901"/>
      <c r="BA511" s="361"/>
      <c r="BB511" s="340"/>
      <c r="BC511" s="256">
        <f>BC510/BC$501</f>
        <v>0.31969309462915602</v>
      </c>
      <c r="BD511" s="256">
        <f>BD510/BD$501</f>
        <v>0.41638907395069952</v>
      </c>
      <c r="BE511" s="256">
        <f>BE510/BE$501</f>
        <v>0.47299547941946229</v>
      </c>
      <c r="BF511" s="255">
        <f>BF510/BF$501</f>
        <v>0.45723457922494842</v>
      </c>
      <c r="BG511" s="1515">
        <f>BG510/BG$501</f>
        <v>6.6251298026998959E-2</v>
      </c>
      <c r="BH511" s="1516"/>
      <c r="BI511" s="1614">
        <f t="shared" ref="BI511" si="1054">BI510/BI$501</f>
        <v>0.49418128175708897</v>
      </c>
      <c r="BJ511" s="1615">
        <f t="shared" ref="BJ511:BK511" si="1055">BJ510/BJ$501</f>
        <v>0.41354516740366393</v>
      </c>
      <c r="BK511" s="1615">
        <f t="shared" si="1055"/>
        <v>0.52625410544511664</v>
      </c>
      <c r="BL511" s="1715">
        <f t="shared" ref="BL511:BM511" si="1056">BL510/BL$501</f>
        <v>0.54879011343582718</v>
      </c>
      <c r="BM511" s="1715">
        <f t="shared" si="1056"/>
        <v>0.54574834453223775</v>
      </c>
      <c r="BN511" s="1715">
        <f t="shared" ref="BN511" si="1057">BN510/BN$501</f>
        <v>0.54261053627165512</v>
      </c>
      <c r="BO511" s="364"/>
    </row>
    <row r="512" spans="1:67" ht="14.25" hidden="1" customHeight="1" outlineLevel="1">
      <c r="A512" s="1"/>
      <c r="B512" s="431" t="s">
        <v>228</v>
      </c>
      <c r="C512" s="254"/>
      <c r="D512" s="90"/>
      <c r="E512" s="90"/>
      <c r="F512" s="256"/>
      <c r="G512" s="301"/>
      <c r="H512" s="255"/>
      <c r="I512" s="256"/>
      <c r="J512" s="256"/>
      <c r="K512" s="301"/>
      <c r="L512" s="255"/>
      <c r="M512" s="256">
        <f t="shared" ref="M512:S512" si="1058">(M510-L510)/L510</f>
        <v>1.4018691588785046</v>
      </c>
      <c r="N512" s="256">
        <f t="shared" si="1058"/>
        <v>0.35408560311284049</v>
      </c>
      <c r="O512" s="256">
        <f t="shared" si="1058"/>
        <v>0.18678160919540229</v>
      </c>
      <c r="P512" s="255">
        <f t="shared" si="1058"/>
        <v>2.4213075060532687E-2</v>
      </c>
      <c r="Q512" s="256">
        <f t="shared" si="1058"/>
        <v>7.8014184397163122E-2</v>
      </c>
      <c r="R512" s="256">
        <f t="shared" si="1058"/>
        <v>7.0175438596491224E-2</v>
      </c>
      <c r="S512" s="301">
        <f t="shared" si="1058"/>
        <v>4.0983606557377046E-2</v>
      </c>
      <c r="T512" s="256">
        <f>T510/S510-1</f>
        <v>1.7716535433070835E-2</v>
      </c>
      <c r="U512" s="256">
        <f>(U510-T510)/T510</f>
        <v>3.6750483558994199E-2</v>
      </c>
      <c r="V512" s="256">
        <f>(V510-U510)/U510</f>
        <v>-4.4776119402985072E-2</v>
      </c>
      <c r="W512" s="301">
        <f>(W510-V510)/V510</f>
        <v>-0.173828125</v>
      </c>
      <c r="X512" s="256">
        <f>X510/W510-1</f>
        <v>2.3640661938534313E-2</v>
      </c>
      <c r="Y512" s="256">
        <f>(Y510-X510)/X510</f>
        <v>0.16628175519630484</v>
      </c>
      <c r="Z512" s="256">
        <f t="shared" ref="Z512:AJ512" si="1059">Z510/Y510-1</f>
        <v>7.3267326732673332E-2</v>
      </c>
      <c r="AA512" s="301">
        <f t="shared" si="1059"/>
        <v>-5.1660516605166018E-2</v>
      </c>
      <c r="AB512" s="255">
        <f t="shared" si="1059"/>
        <v>4.2801556420233533E-2</v>
      </c>
      <c r="AC512" s="256">
        <f t="shared" si="1059"/>
        <v>7.4626865671640896E-3</v>
      </c>
      <c r="AD512" s="256">
        <f t="shared" si="1059"/>
        <v>8.3333333333333259E-2</v>
      </c>
      <c r="AE512" s="301">
        <f t="shared" si="1059"/>
        <v>8.7179487179487092E-2</v>
      </c>
      <c r="AF512" s="255">
        <f t="shared" si="1059"/>
        <v>-2.9874213836478036E-2</v>
      </c>
      <c r="AG512" s="256">
        <f t="shared" si="1059"/>
        <v>6.1588330632090793E-2</v>
      </c>
      <c r="AH512" s="256">
        <f t="shared" si="1059"/>
        <v>0.10687022900763354</v>
      </c>
      <c r="AI512" s="256">
        <f t="shared" si="1059"/>
        <v>-1.2413793103448256E-2</v>
      </c>
      <c r="AJ512" s="1614">
        <f t="shared" si="1059"/>
        <v>-6.9832402234636382E-3</v>
      </c>
      <c r="AK512" s="1615">
        <f t="shared" ref="AK512" si="1060">AK510/AJ510-1</f>
        <v>3.234880450070321E-2</v>
      </c>
      <c r="AL512" s="1615">
        <f t="shared" ref="AL512" si="1061">AL510/AK510-1</f>
        <v>2.4523160762942808E-2</v>
      </c>
      <c r="AM512" s="1628">
        <f t="shared" ref="AM512:AQ512" si="1062">AM510/AL510-1</f>
        <v>8.7765957446808596E-2</v>
      </c>
      <c r="AN512" s="1614">
        <f t="shared" si="1062"/>
        <v>-0.15403422982885084</v>
      </c>
      <c r="AO512" s="1715">
        <f t="shared" si="1062"/>
        <v>3.6127167630057855E-2</v>
      </c>
      <c r="AP512" s="1715">
        <f t="shared" si="1062"/>
        <v>0.75592747559274764</v>
      </c>
      <c r="AQ512" s="1628">
        <f t="shared" si="1062"/>
        <v>6.7672756155690017E-4</v>
      </c>
      <c r="AR512" s="1614">
        <f t="shared" ref="AR512" si="1063">AR510/AQ510-1</f>
        <v>-9.6712947235072066E-2</v>
      </c>
      <c r="AS512" s="1615">
        <f t="shared" ref="AS512" si="1064">AS510/AR510-1</f>
        <v>8.7802546203541443E-3</v>
      </c>
      <c r="AT512" s="1615">
        <f t="shared" ref="AT512" si="1065">AT510/AS510-1</f>
        <v>0.10540069686411146</v>
      </c>
      <c r="AU512" s="1628">
        <f t="shared" ref="AU512" si="1066">AU510/AT510-1</f>
        <v>3.7037037037036979E-2</v>
      </c>
      <c r="AV512" s="1615">
        <f t="shared" ref="AV512" si="1067">AV510/AU510-1</f>
        <v>-3.6215866261398277E-2</v>
      </c>
      <c r="AW512" s="1615">
        <f t="shared" ref="AW512" si="1068">AW510/AV510-1</f>
        <v>3.9097149287866007E-2</v>
      </c>
      <c r="AX512" s="1615">
        <f t="shared" ref="AX512" si="1069">AX510/AW510-1</f>
        <v>4.5839968675105425E-2</v>
      </c>
      <c r="AY512" s="1628">
        <f t="shared" ref="AY512" si="1070">AY510/AX510-1</f>
        <v>-1.402118641513761E-2</v>
      </c>
      <c r="AZ512" s="20"/>
      <c r="BA512" s="22"/>
      <c r="BB512" s="14"/>
      <c r="BC512" s="14"/>
      <c r="BD512" s="256"/>
      <c r="BE512" s="256"/>
      <c r="BF512" s="255">
        <f>BF510/BE510-1</f>
        <v>3.0181086519114331E-3</v>
      </c>
      <c r="BG512" s="1515">
        <f>BG510/BF510-1</f>
        <v>-0.84002006018054165</v>
      </c>
      <c r="BH512" s="1516"/>
      <c r="BI512" s="1614"/>
      <c r="BJ512" s="1615">
        <f t="shared" ref="BJ512:BN512" si="1071">BJ510/BI510-1</f>
        <v>0.30277014925373136</v>
      </c>
      <c r="BK512" s="1615">
        <f t="shared" si="1071"/>
        <v>0.24012004525628772</v>
      </c>
      <c r="BL512" s="1715">
        <f t="shared" si="1071"/>
        <v>9.2920953012682217E-2</v>
      </c>
      <c r="BM512" s="1715">
        <f t="shared" si="1071"/>
        <v>4.9373514506875216E-2</v>
      </c>
      <c r="BN512" s="1715">
        <f t="shared" si="1071"/>
        <v>4.2872718914900521E-2</v>
      </c>
      <c r="BO512" s="299"/>
    </row>
    <row r="513" spans="1:67" ht="14.25" hidden="1" customHeight="1" outlineLevel="1">
      <c r="A513" s="1"/>
      <c r="B513" s="1197" t="s">
        <v>229</v>
      </c>
      <c r="C513" s="1193"/>
      <c r="D513" s="257"/>
      <c r="E513" s="257"/>
      <c r="F513" s="277"/>
      <c r="G513" s="278"/>
      <c r="H513" s="279"/>
      <c r="I513" s="277"/>
      <c r="J513" s="277"/>
      <c r="K513" s="278"/>
      <c r="L513" s="279"/>
      <c r="M513" s="277"/>
      <c r="N513" s="277"/>
      <c r="O513" s="277"/>
      <c r="P513" s="279">
        <f t="shared" ref="P513:AJ513" si="1072">P510/L510-1</f>
        <v>2.9532710280373831</v>
      </c>
      <c r="Q513" s="277">
        <f t="shared" si="1072"/>
        <v>0.77431906614785984</v>
      </c>
      <c r="R513" s="277">
        <f t="shared" si="1072"/>
        <v>0.40229885057471271</v>
      </c>
      <c r="S513" s="278">
        <f t="shared" si="1072"/>
        <v>0.23002421307506049</v>
      </c>
      <c r="T513" s="277">
        <f t="shared" si="1072"/>
        <v>0.22222222222222232</v>
      </c>
      <c r="U513" s="277">
        <f t="shared" si="1072"/>
        <v>0.17543859649122817</v>
      </c>
      <c r="V513" s="277">
        <f t="shared" si="1072"/>
        <v>4.9180327868852514E-2</v>
      </c>
      <c r="W513" s="278">
        <f t="shared" si="1072"/>
        <v>-0.16732283464566933</v>
      </c>
      <c r="X513" s="277">
        <f t="shared" si="1072"/>
        <v>-0.1624758220502901</v>
      </c>
      <c r="Y513" s="277">
        <f t="shared" si="1072"/>
        <v>-5.7835820895522416E-2</v>
      </c>
      <c r="Z513" s="277">
        <f t="shared" si="1072"/>
        <v>5.859375E-2</v>
      </c>
      <c r="AA513" s="278">
        <f t="shared" si="1072"/>
        <v>0.21513002364066192</v>
      </c>
      <c r="AB513" s="279">
        <f t="shared" si="1072"/>
        <v>0.23787528868360286</v>
      </c>
      <c r="AC513" s="277">
        <f t="shared" si="1072"/>
        <v>6.9306930693069368E-2</v>
      </c>
      <c r="AD513" s="277">
        <f t="shared" si="1072"/>
        <v>7.9335793357933504E-2</v>
      </c>
      <c r="AE513" s="278">
        <f t="shared" si="1072"/>
        <v>0.23735408560311289</v>
      </c>
      <c r="AF513" s="279">
        <f t="shared" si="1072"/>
        <v>0.15111940298507465</v>
      </c>
      <c r="AG513" s="277">
        <f t="shared" si="1072"/>
        <v>0.21296296296296302</v>
      </c>
      <c r="AH513" s="277">
        <f t="shared" si="1072"/>
        <v>0.23931623931623935</v>
      </c>
      <c r="AI513" s="277">
        <f t="shared" si="1072"/>
        <v>0.12578616352201255</v>
      </c>
      <c r="AJ513" s="1627">
        <f t="shared" si="1072"/>
        <v>0.1523500810372771</v>
      </c>
      <c r="AK513" s="1625">
        <f t="shared" ref="AK513" si="1073">AK510/AG510-1</f>
        <v>0.12061068702290068</v>
      </c>
      <c r="AL513" s="1625">
        <f t="shared" ref="AL513" si="1074">AL510/AH510-1</f>
        <v>3.7241379310344769E-2</v>
      </c>
      <c r="AM513" s="1626">
        <f t="shared" ref="AM513:AQ513" si="1075">AM510/AI510-1</f>
        <v>0.14245810055865915</v>
      </c>
      <c r="AN513" s="1627">
        <f t="shared" si="1075"/>
        <v>-2.6722925457102642E-2</v>
      </c>
      <c r="AO513" s="1625">
        <f t="shared" si="1075"/>
        <v>-2.3160762942779245E-2</v>
      </c>
      <c r="AP513" s="1625">
        <f t="shared" si="1075"/>
        <v>0.67420212765957444</v>
      </c>
      <c r="AQ513" s="1626">
        <f t="shared" si="1075"/>
        <v>0.54016136919315416</v>
      </c>
      <c r="AR513" s="1627">
        <f t="shared" ref="AR513" si="1076">AR510/AN510-1</f>
        <v>0.64452023121387292</v>
      </c>
      <c r="AS513" s="1625">
        <f t="shared" ref="AS513" si="1077">AS510/AO510-1</f>
        <v>0.60111576011157597</v>
      </c>
      <c r="AT513" s="1625">
        <f t="shared" ref="AT513" si="1078">AT510/AP510-1</f>
        <v>7.9428117553614896E-3</v>
      </c>
      <c r="AU513" s="1626">
        <f t="shared" ref="AU513" si="1079">AU510/AQ510-1</f>
        <v>4.4567139632274211E-2</v>
      </c>
      <c r="AV513" s="1625">
        <f t="shared" ref="AV513" si="1080">AV510/AR510-1</f>
        <v>0.11452636536825733</v>
      </c>
      <c r="AW513" s="1625">
        <f t="shared" ref="AW513" si="1081">AW510/AS510-1</f>
        <v>0.14802125017421597</v>
      </c>
      <c r="AX513" s="1625">
        <f t="shared" ref="AX513" si="1082">AX510/AT510-1</f>
        <v>8.6164059536642856E-2</v>
      </c>
      <c r="AY513" s="1626">
        <f t="shared" ref="AY513" si="1083">AY510/AU510-1</f>
        <v>3.2687081109726401E-2</v>
      </c>
      <c r="AZ513" s="20"/>
      <c r="BA513" s="401"/>
      <c r="BB513" s="402"/>
      <c r="BC513" s="402"/>
      <c r="BD513" s="277">
        <f>BD510/BC510-1</f>
        <v>0.66666666666666674</v>
      </c>
      <c r="BE513" s="277">
        <f>BE510/BD510-1</f>
        <v>6.0266666666666691E-2</v>
      </c>
      <c r="BF513" s="279">
        <f>BF510/BE510-1</f>
        <v>3.0181086519114331E-3</v>
      </c>
      <c r="BG513" s="1512">
        <f>BG510/BF510-1</f>
        <v>-0.84002006018054165</v>
      </c>
      <c r="BH513" s="1509"/>
      <c r="BI513" s="1627"/>
      <c r="BJ513" s="1625">
        <f t="shared" ref="BJ513:BL513" si="1084">BJ510/BI510-1</f>
        <v>0.30277014925373136</v>
      </c>
      <c r="BK513" s="1625">
        <f t="shared" si="1084"/>
        <v>0.24012004525628772</v>
      </c>
      <c r="BL513" s="1625">
        <f t="shared" si="1084"/>
        <v>9.2920953012682217E-2</v>
      </c>
      <c r="BM513" s="1625">
        <f t="shared" ref="BM513:BN513" si="1085">BM510/BI510-1</f>
        <v>0.85289315617420125</v>
      </c>
      <c r="BN513" s="1625">
        <f t="shared" si="1085"/>
        <v>0.48324838786420043</v>
      </c>
      <c r="BO513" s="299"/>
    </row>
    <row r="514" spans="1:67" ht="14.25" hidden="1" customHeight="1" outlineLevel="1">
      <c r="A514" s="1"/>
      <c r="B514" s="440"/>
      <c r="C514" s="246"/>
      <c r="D514" s="58"/>
      <c r="E514" s="11"/>
      <c r="F514" s="8"/>
      <c r="G514" s="246"/>
      <c r="H514" s="22"/>
      <c r="I514" s="8"/>
      <c r="J514" s="8"/>
      <c r="K514" s="246"/>
      <c r="L514" s="22"/>
      <c r="M514" s="8"/>
      <c r="N514" s="8"/>
      <c r="O514" s="14"/>
      <c r="P514" s="255"/>
      <c r="Q514" s="256"/>
      <c r="R514" s="256"/>
      <c r="S514" s="301"/>
      <c r="T514" s="300"/>
      <c r="U514" s="300"/>
      <c r="V514" s="300"/>
      <c r="W514" s="301"/>
      <c r="X514" s="300"/>
      <c r="Y514" s="300"/>
      <c r="Z514" s="300"/>
      <c r="AA514" s="301"/>
      <c r="AB514" s="255"/>
      <c r="AC514" s="256"/>
      <c r="AD514" s="256"/>
      <c r="AE514" s="301"/>
      <c r="AF514" s="255"/>
      <c r="AG514" s="256"/>
      <c r="AH514" s="256"/>
      <c r="AI514" s="256"/>
      <c r="AJ514" s="255"/>
      <c r="AK514" s="256"/>
      <c r="AL514" s="256"/>
      <c r="AM514" s="301"/>
      <c r="AN514" s="1614"/>
      <c r="AO514" s="1715"/>
      <c r="AP514" s="1715"/>
      <c r="AQ514" s="1628"/>
      <c r="AR514" s="1515"/>
      <c r="AS514" s="1516"/>
      <c r="AT514" s="1516"/>
      <c r="AU514" s="1517"/>
      <c r="AV514" s="1515"/>
      <c r="AW514" s="1516"/>
      <c r="AX514" s="1516"/>
      <c r="AY514" s="1517"/>
      <c r="AZ514" s="20"/>
      <c r="BA514" s="22"/>
      <c r="BB514" s="14"/>
      <c r="BC514" s="14"/>
      <c r="BD514" s="14"/>
      <c r="BE514" s="14"/>
      <c r="BF514" s="22"/>
      <c r="BG514" s="22"/>
      <c r="BH514" s="14"/>
      <c r="BI514" s="22"/>
      <c r="BJ514" s="14"/>
      <c r="BK514" s="14"/>
      <c r="BL514" s="14"/>
      <c r="BM514" s="14"/>
      <c r="BN514" s="14"/>
      <c r="BO514" s="299"/>
    </row>
    <row r="515" spans="1:67" ht="14.25" hidden="1" customHeight="1" outlineLevel="1">
      <c r="A515" s="1"/>
      <c r="B515" s="436" t="s">
        <v>208</v>
      </c>
      <c r="C515" s="246"/>
      <c r="D515" s="58"/>
      <c r="E515" s="11"/>
      <c r="F515" s="8"/>
      <c r="G515" s="246"/>
      <c r="H515" s="22"/>
      <c r="I515" s="8"/>
      <c r="J515" s="8"/>
      <c r="K515" s="246"/>
      <c r="L515" s="22"/>
      <c r="M515" s="8"/>
      <c r="N515" s="8"/>
      <c r="O515" s="14"/>
      <c r="P515" s="255"/>
      <c r="Q515" s="256"/>
      <c r="R515" s="256"/>
      <c r="S515" s="301"/>
      <c r="T515" s="300"/>
      <c r="U515" s="300"/>
      <c r="V515" s="300"/>
      <c r="W515" s="301"/>
      <c r="X515" s="300"/>
      <c r="Y515" s="300"/>
      <c r="Z515" s="300"/>
      <c r="AA515" s="301"/>
      <c r="AB515" s="255"/>
      <c r="AC515" s="256"/>
      <c r="AD515" s="256"/>
      <c r="AE515" s="301"/>
      <c r="AF515" s="255"/>
      <c r="AG515" s="256"/>
      <c r="AH515" s="256"/>
      <c r="AI515" s="256"/>
      <c r="AJ515" s="255"/>
      <c r="AK515" s="256"/>
      <c r="AL515" s="256"/>
      <c r="AM515" s="301"/>
      <c r="AN515" s="1614"/>
      <c r="AO515" s="1715"/>
      <c r="AP515" s="1715"/>
      <c r="AQ515" s="1628"/>
      <c r="AR515" s="1515"/>
      <c r="AS515" s="1516"/>
      <c r="AT515" s="1516"/>
      <c r="AU515" s="1517"/>
      <c r="AV515" s="1515"/>
      <c r="AW515" s="1516"/>
      <c r="AX515" s="1516"/>
      <c r="AY515" s="1517"/>
      <c r="AZ515" s="20"/>
      <c r="BA515" s="22"/>
      <c r="BB515" s="14"/>
      <c r="BC515" s="14"/>
      <c r="BD515" s="14"/>
      <c r="BE515" s="14"/>
      <c r="BF515" s="22"/>
      <c r="BG515" s="22"/>
      <c r="BH515" s="14"/>
      <c r="BI515" s="22"/>
      <c r="BJ515" s="14"/>
      <c r="BK515" s="14"/>
      <c r="BL515" s="14"/>
      <c r="BM515" s="14"/>
      <c r="BN515" s="14"/>
      <c r="BO515" s="299"/>
    </row>
    <row r="516" spans="1:67" s="363" customFormat="1" ht="14.25" hidden="1" customHeight="1" outlineLevel="1">
      <c r="B516" s="597" t="s">
        <v>370</v>
      </c>
      <c r="C516" s="1194"/>
      <c r="D516" s="1195"/>
      <c r="E516" s="1195"/>
      <c r="F516" s="1136"/>
      <c r="G516" s="1194"/>
      <c r="H516" s="1196"/>
      <c r="I516" s="1136"/>
      <c r="J516" s="1136"/>
      <c r="K516" s="1194"/>
      <c r="L516" s="1196">
        <f t="shared" ref="L516:AG516" si="1086">L230+L330+L369+L397+L431</f>
        <v>-345</v>
      </c>
      <c r="M516" s="1136">
        <f t="shared" si="1086"/>
        <v>-226</v>
      </c>
      <c r="N516" s="1136">
        <f t="shared" si="1086"/>
        <v>-144</v>
      </c>
      <c r="O516" s="1136">
        <f t="shared" si="1086"/>
        <v>-216</v>
      </c>
      <c r="P516" s="1196">
        <f t="shared" si="1086"/>
        <v>-15</v>
      </c>
      <c r="Q516" s="1136">
        <f t="shared" si="1086"/>
        <v>76</v>
      </c>
      <c r="R516" s="1136">
        <f t="shared" si="1086"/>
        <v>106</v>
      </c>
      <c r="S516" s="1194">
        <f t="shared" si="1086"/>
        <v>106</v>
      </c>
      <c r="T516" s="1136">
        <f t="shared" si="1086"/>
        <v>108</v>
      </c>
      <c r="U516" s="1136">
        <f t="shared" si="1086"/>
        <v>133</v>
      </c>
      <c r="V516" s="1136">
        <f t="shared" si="1086"/>
        <v>109</v>
      </c>
      <c r="W516" s="1194">
        <f t="shared" si="1086"/>
        <v>7</v>
      </c>
      <c r="X516" s="1196">
        <f t="shared" si="1086"/>
        <v>55</v>
      </c>
      <c r="Y516" s="1136">
        <f t="shared" si="1086"/>
        <v>156</v>
      </c>
      <c r="Z516" s="1136">
        <f t="shared" si="1086"/>
        <v>168</v>
      </c>
      <c r="AA516" s="1194">
        <f t="shared" si="1086"/>
        <v>33</v>
      </c>
      <c r="AB516" s="1196">
        <f t="shared" si="1086"/>
        <v>123</v>
      </c>
      <c r="AC516" s="1136">
        <f t="shared" si="1086"/>
        <v>170</v>
      </c>
      <c r="AD516" s="1136">
        <f t="shared" si="1086"/>
        <v>168</v>
      </c>
      <c r="AE516" s="1194">
        <f t="shared" si="1086"/>
        <v>198</v>
      </c>
      <c r="AF516" s="1196">
        <f t="shared" si="1086"/>
        <v>183</v>
      </c>
      <c r="AG516" s="1136">
        <f t="shared" si="1086"/>
        <v>249</v>
      </c>
      <c r="AH516" s="1136">
        <f>AH230+AH330+AH369+AH397+AH431</f>
        <v>302</v>
      </c>
      <c r="AI516" s="1136">
        <f>AI230+AI330+AI369+AI397+AI431</f>
        <v>302</v>
      </c>
      <c r="AJ516" s="1196">
        <f>AJ230+AJ330+AJ369+AJ397+AJ431</f>
        <v>295</v>
      </c>
      <c r="AK516" s="1136"/>
      <c r="AL516" s="1136">
        <f>AL230+AL330+AL369+AL397+AL431</f>
        <v>302</v>
      </c>
      <c r="AM516" s="1194">
        <f>AM230+AM330+AM369+AM397+AM431</f>
        <v>302</v>
      </c>
      <c r="AN516" s="1196">
        <f>AN230+AN330+AN369+AN397+AN431</f>
        <v>281</v>
      </c>
      <c r="AO516" s="1136"/>
      <c r="AP516" s="1136">
        <f>AP230+AP330+AP369+AP397+AP431</f>
        <v>302</v>
      </c>
      <c r="AQ516" s="1194">
        <f>AQ230+AQ330+AQ369+AQ397+AQ431</f>
        <v>302</v>
      </c>
      <c r="AR516" s="1196"/>
      <c r="AS516" s="1136"/>
      <c r="AT516" s="1136"/>
      <c r="AU516" s="1194"/>
      <c r="AV516" s="1196"/>
      <c r="AW516" s="1136"/>
      <c r="AX516" s="1136"/>
      <c r="AY516" s="1194"/>
      <c r="AZ516" s="1901"/>
      <c r="BA516" s="1196"/>
      <c r="BB516" s="1136"/>
      <c r="BC516" s="1136">
        <f>BC230+BC330+BC369+BC397+BC431</f>
        <v>-931</v>
      </c>
      <c r="BD516" s="1136">
        <f>BD230+BD330+BD369+BD397+BD431</f>
        <v>273</v>
      </c>
      <c r="BE516" s="1136">
        <f>BE230+BE330+BE369+BE397+BE431</f>
        <v>357</v>
      </c>
      <c r="BF516" s="1196">
        <f>BF230+BF330+BF369+BF397+BF431</f>
        <v>412</v>
      </c>
      <c r="BG516" s="1196">
        <f>BG230+BG330+BG369+BG397+BG431</f>
        <v>13</v>
      </c>
      <c r="BH516" s="1136"/>
      <c r="BI516" s="1196"/>
      <c r="BJ516" s="1136"/>
      <c r="BK516" s="1136"/>
      <c r="BL516" s="1136"/>
      <c r="BM516" s="1136"/>
      <c r="BN516" s="1136"/>
      <c r="BO516" s="364"/>
    </row>
    <row r="517" spans="1:67" s="363" customFormat="1" ht="14.25" hidden="1" customHeight="1" outlineLevel="1">
      <c r="B517" s="431" t="s">
        <v>354</v>
      </c>
      <c r="C517" s="351"/>
      <c r="D517" s="348"/>
      <c r="E517" s="348"/>
      <c r="F517" s="340"/>
      <c r="G517" s="351"/>
      <c r="H517" s="361"/>
      <c r="I517" s="340"/>
      <c r="J517" s="340"/>
      <c r="K517" s="351"/>
      <c r="L517" s="255">
        <f t="shared" ref="L517:AE517" si="1087">L516/L$501</f>
        <v>-0.53488372093023251</v>
      </c>
      <c r="M517" s="256">
        <f t="shared" si="1087"/>
        <v>-0.27460510328068044</v>
      </c>
      <c r="N517" s="256">
        <f t="shared" si="1087"/>
        <v>-0.14634146341463414</v>
      </c>
      <c r="O517" s="256">
        <f t="shared" si="1087"/>
        <v>-0.20243673851921273</v>
      </c>
      <c r="P517" s="255">
        <f t="shared" si="1087"/>
        <v>-1.3824884792626729E-2</v>
      </c>
      <c r="Q517" s="256">
        <f t="shared" si="1087"/>
        <v>6.7917783735478104E-2</v>
      </c>
      <c r="R517" s="256">
        <f t="shared" si="1087"/>
        <v>9.464285714285714E-2</v>
      </c>
      <c r="S517" s="301">
        <f t="shared" si="1087"/>
        <v>9.8330241187384038E-2</v>
      </c>
      <c r="T517" s="256">
        <f t="shared" si="1087"/>
        <v>9.9815157116451017E-2</v>
      </c>
      <c r="U517" s="256">
        <f t="shared" si="1087"/>
        <v>0.11864406779661017</v>
      </c>
      <c r="V517" s="256">
        <f t="shared" si="1087"/>
        <v>0.10283018867924529</v>
      </c>
      <c r="W517" s="301">
        <f t="shared" si="1087"/>
        <v>7.5187969924812026E-3</v>
      </c>
      <c r="X517" s="256">
        <f t="shared" si="1087"/>
        <v>5.6237218813905927E-2</v>
      </c>
      <c r="Y517" s="256">
        <f t="shared" si="1087"/>
        <v>0.14259597806215721</v>
      </c>
      <c r="Z517" s="256">
        <f t="shared" si="1087"/>
        <v>0.14358974358974358</v>
      </c>
      <c r="AA517" s="301">
        <f t="shared" si="1087"/>
        <v>2.9569892473118281E-2</v>
      </c>
      <c r="AB517" s="255">
        <f t="shared" si="1087"/>
        <v>0.11336405529953918</v>
      </c>
      <c r="AC517" s="256">
        <f t="shared" si="1087"/>
        <v>0.14309764309764308</v>
      </c>
      <c r="AD517" s="256">
        <f t="shared" si="1087"/>
        <v>0.13450760608486789</v>
      </c>
      <c r="AE517" s="301">
        <f t="shared" si="1087"/>
        <v>0.1531322505800464</v>
      </c>
      <c r="AF517" s="255">
        <f>AF516/AF$501</f>
        <v>0.14686998394863562</v>
      </c>
      <c r="AG517" s="256">
        <f>AG516/AG$501</f>
        <v>0.18458117123795403</v>
      </c>
      <c r="AH517" s="256">
        <f>AH516/AH$501</f>
        <v>0.19933993399339933</v>
      </c>
      <c r="AI517" s="256">
        <f>AI516/AI$501</f>
        <v>0.19648666232921275</v>
      </c>
      <c r="AJ517" s="255">
        <f>AJ516/AJ$501</f>
        <v>0.20109066121336061</v>
      </c>
      <c r="AK517" s="256"/>
      <c r="AL517" s="256">
        <f>AL516/AL$501</f>
        <v>0.19842312746386334</v>
      </c>
      <c r="AM517" s="301">
        <f>AM516/AM$501</f>
        <v>0.18804483188044832</v>
      </c>
      <c r="AN517" s="1614">
        <f>AN516/AN$501</f>
        <v>0.12634892086330934</v>
      </c>
      <c r="AO517" s="1715"/>
      <c r="AP517" s="1715">
        <f>AP516/AP$501</f>
        <v>0.1223167274200081</v>
      </c>
      <c r="AQ517" s="1628">
        <f>AQ516/AQ$501</f>
        <v>0.12377049180327869</v>
      </c>
      <c r="AR517" s="1515"/>
      <c r="AS517" s="1516"/>
      <c r="AT517" s="1516"/>
      <c r="AU517" s="1517"/>
      <c r="AV517" s="1515"/>
      <c r="AW517" s="1516"/>
      <c r="AX517" s="1516"/>
      <c r="AY517" s="1517"/>
      <c r="AZ517" s="1901"/>
      <c r="BA517" s="361"/>
      <c r="BB517" s="340"/>
      <c r="BC517" s="256">
        <f>BC516/BC$501</f>
        <v>-0.26456379653310602</v>
      </c>
      <c r="BD517" s="256">
        <f>BD516/BD$501</f>
        <v>6.0626249167221855E-2</v>
      </c>
      <c r="BE517" s="256">
        <f>BE516/BE$501</f>
        <v>8.4939329050678081E-2</v>
      </c>
      <c r="BF517" s="255">
        <f>BF516/BF$501</f>
        <v>9.4473744554001371E-2</v>
      </c>
      <c r="BG517" s="1515">
        <f>BG516/BG$501</f>
        <v>2.6998961578400833E-3</v>
      </c>
      <c r="BH517" s="1516"/>
      <c r="BI517" s="1614"/>
      <c r="BJ517" s="1615"/>
      <c r="BK517" s="1615"/>
      <c r="BL517" s="1715"/>
      <c r="BM517" s="1715"/>
      <c r="BN517" s="1715"/>
      <c r="BO517" s="364"/>
    </row>
    <row r="518" spans="1:67" ht="14.25" hidden="1" customHeight="1" outlineLevel="1">
      <c r="A518" s="1"/>
      <c r="B518" s="431" t="s">
        <v>228</v>
      </c>
      <c r="C518" s="254"/>
      <c r="D518" s="90"/>
      <c r="E518" s="90"/>
      <c r="F518" s="256"/>
      <c r="G518" s="301"/>
      <c r="H518" s="255"/>
      <c r="I518" s="256"/>
      <c r="J518" s="256"/>
      <c r="K518" s="301"/>
      <c r="L518" s="255"/>
      <c r="M518" s="256">
        <f t="shared" ref="M518:S518" si="1088">(M516-L516)/L516</f>
        <v>-0.34492753623188405</v>
      </c>
      <c r="N518" s="256">
        <f t="shared" si="1088"/>
        <v>-0.36283185840707965</v>
      </c>
      <c r="O518" s="256">
        <f t="shared" si="1088"/>
        <v>0.5</v>
      </c>
      <c r="P518" s="255">
        <f t="shared" si="1088"/>
        <v>-0.93055555555555558</v>
      </c>
      <c r="Q518" s="256">
        <f t="shared" si="1088"/>
        <v>-6.0666666666666664</v>
      </c>
      <c r="R518" s="256">
        <f t="shared" si="1088"/>
        <v>0.39473684210526316</v>
      </c>
      <c r="S518" s="301">
        <f t="shared" si="1088"/>
        <v>0</v>
      </c>
      <c r="T518" s="256">
        <f>T516/S516-1</f>
        <v>1.8867924528301883E-2</v>
      </c>
      <c r="U518" s="256">
        <f>(U516-T516)/T516</f>
        <v>0.23148148148148148</v>
      </c>
      <c r="V518" s="256">
        <f>(V516-U516)/U516</f>
        <v>-0.18045112781954886</v>
      </c>
      <c r="W518" s="301">
        <f>(W516-V516)/V516</f>
        <v>-0.93577981651376152</v>
      </c>
      <c r="X518" s="256">
        <f>X516/W516-1</f>
        <v>6.8571428571428568</v>
      </c>
      <c r="Y518" s="256">
        <f>(Y516-X516)/X516</f>
        <v>1.8363636363636364</v>
      </c>
      <c r="Z518" s="256">
        <f t="shared" ref="Z518:AJ518" si="1089">Z516/Y516-1</f>
        <v>7.6923076923076872E-2</v>
      </c>
      <c r="AA518" s="301">
        <f t="shared" si="1089"/>
        <v>-0.8035714285714286</v>
      </c>
      <c r="AB518" s="255">
        <f t="shared" si="1089"/>
        <v>2.7272727272727271</v>
      </c>
      <c r="AC518" s="256">
        <f t="shared" si="1089"/>
        <v>0.38211382113821135</v>
      </c>
      <c r="AD518" s="256">
        <f t="shared" si="1089"/>
        <v>-1.1764705882352899E-2</v>
      </c>
      <c r="AE518" s="301">
        <f t="shared" si="1089"/>
        <v>0.1785714285714286</v>
      </c>
      <c r="AF518" s="255">
        <f t="shared" si="1089"/>
        <v>-7.5757575757575801E-2</v>
      </c>
      <c r="AG518" s="256">
        <f t="shared" si="1089"/>
        <v>0.36065573770491799</v>
      </c>
      <c r="AH518" s="256">
        <f t="shared" si="1089"/>
        <v>0.21285140562248994</v>
      </c>
      <c r="AI518" s="256">
        <f t="shared" si="1089"/>
        <v>0</v>
      </c>
      <c r="AJ518" s="255">
        <f t="shared" si="1089"/>
        <v>-2.3178807947019875E-2</v>
      </c>
      <c r="AK518" s="256"/>
      <c r="AL518" s="256"/>
      <c r="AM518" s="301"/>
      <c r="AN518" s="1614">
        <f t="shared" ref="AN518" si="1090">AN516/AM516-1</f>
        <v>-6.9536423841059625E-2</v>
      </c>
      <c r="AO518" s="1715"/>
      <c r="AP518" s="1715"/>
      <c r="AQ518" s="1628"/>
      <c r="AR518" s="1515"/>
      <c r="AS518" s="1516"/>
      <c r="AT518" s="1516"/>
      <c r="AU518" s="1517"/>
      <c r="AV518" s="1515"/>
      <c r="AW518" s="1516"/>
      <c r="AX518" s="1516"/>
      <c r="AY518" s="1517"/>
      <c r="AZ518" s="20"/>
      <c r="BA518" s="22"/>
      <c r="BB518" s="14"/>
      <c r="BC518" s="14"/>
      <c r="BD518" s="256"/>
      <c r="BE518" s="256"/>
      <c r="BF518" s="255">
        <f>BF516/BE516-1</f>
        <v>0.15406162464985984</v>
      </c>
      <c r="BG518" s="1515">
        <f>BG516/BF516-1</f>
        <v>-0.96844660194174759</v>
      </c>
      <c r="BH518" s="1516"/>
      <c r="BI518" s="1614"/>
      <c r="BJ518" s="1615"/>
      <c r="BK518" s="1615"/>
      <c r="BL518" s="1715"/>
      <c r="BM518" s="1715"/>
      <c r="BN518" s="1715"/>
      <c r="BO518" s="299"/>
    </row>
    <row r="519" spans="1:67" ht="14.25" hidden="1" customHeight="1" outlineLevel="1">
      <c r="A519" s="1"/>
      <c r="B519" s="435" t="s">
        <v>229</v>
      </c>
      <c r="C519" s="34"/>
      <c r="D519" s="90"/>
      <c r="E519" s="90"/>
      <c r="F519" s="256"/>
      <c r="G519" s="301"/>
      <c r="H519" s="255"/>
      <c r="I519" s="256"/>
      <c r="J519" s="256"/>
      <c r="K519" s="301"/>
      <c r="L519" s="255"/>
      <c r="M519" s="256"/>
      <c r="N519" s="256"/>
      <c r="O519" s="256"/>
      <c r="P519" s="255">
        <f t="shared" ref="P519:AQ519" si="1091">P516/L516-1</f>
        <v>-0.95652173913043481</v>
      </c>
      <c r="Q519" s="256">
        <f t="shared" si="1091"/>
        <v>-1.336283185840708</v>
      </c>
      <c r="R519" s="256">
        <f t="shared" si="1091"/>
        <v>-1.7361111111111112</v>
      </c>
      <c r="S519" s="301">
        <f t="shared" si="1091"/>
        <v>-1.4907407407407407</v>
      </c>
      <c r="T519" s="256">
        <f t="shared" si="1091"/>
        <v>-8.1999999999999993</v>
      </c>
      <c r="U519" s="256">
        <f t="shared" si="1091"/>
        <v>0.75</v>
      </c>
      <c r="V519" s="256">
        <f t="shared" si="1091"/>
        <v>2.8301886792452935E-2</v>
      </c>
      <c r="W519" s="301">
        <f t="shared" si="1091"/>
        <v>-0.93396226415094341</v>
      </c>
      <c r="X519" s="256">
        <f t="shared" si="1091"/>
        <v>-0.4907407407407407</v>
      </c>
      <c r="Y519" s="256">
        <f t="shared" si="1091"/>
        <v>0.1729323308270676</v>
      </c>
      <c r="Z519" s="256">
        <f t="shared" si="1091"/>
        <v>0.54128440366972486</v>
      </c>
      <c r="AA519" s="301">
        <f t="shared" si="1091"/>
        <v>3.7142857142857144</v>
      </c>
      <c r="AB519" s="255">
        <f t="shared" si="1091"/>
        <v>1.2363636363636363</v>
      </c>
      <c r="AC519" s="256">
        <f t="shared" si="1091"/>
        <v>8.9743589743589647E-2</v>
      </c>
      <c r="AD519" s="256">
        <f t="shared" si="1091"/>
        <v>0</v>
      </c>
      <c r="AE519" s="301">
        <f t="shared" si="1091"/>
        <v>5</v>
      </c>
      <c r="AF519" s="255">
        <f t="shared" si="1091"/>
        <v>0.48780487804878048</v>
      </c>
      <c r="AG519" s="256">
        <f t="shared" si="1091"/>
        <v>0.46470588235294108</v>
      </c>
      <c r="AH519" s="256">
        <f t="shared" si="1091"/>
        <v>0.79761904761904767</v>
      </c>
      <c r="AI519" s="256">
        <f t="shared" si="1091"/>
        <v>0.5252525252525253</v>
      </c>
      <c r="AJ519" s="255">
        <f t="shared" si="1091"/>
        <v>0.61202185792349728</v>
      </c>
      <c r="AK519" s="256"/>
      <c r="AL519" s="256">
        <f t="shared" si="1091"/>
        <v>0</v>
      </c>
      <c r="AM519" s="301">
        <f t="shared" si="1091"/>
        <v>0</v>
      </c>
      <c r="AN519" s="1614">
        <f t="shared" si="1091"/>
        <v>-4.7457627118644097E-2</v>
      </c>
      <c r="AO519" s="1715"/>
      <c r="AP519" s="1715">
        <f t="shared" si="1091"/>
        <v>0</v>
      </c>
      <c r="AQ519" s="1628">
        <f t="shared" si="1091"/>
        <v>0</v>
      </c>
      <c r="AR519" s="1515"/>
      <c r="AS519" s="1516"/>
      <c r="AT519" s="1516"/>
      <c r="AU519" s="1517"/>
      <c r="AV519" s="1515"/>
      <c r="AW519" s="1516"/>
      <c r="AX519" s="1516"/>
      <c r="AY519" s="1517"/>
      <c r="AZ519" s="20"/>
      <c r="BA519" s="652"/>
      <c r="BB519" s="317"/>
      <c r="BC519" s="317"/>
      <c r="BD519" s="256">
        <f>BD516/BC516-1</f>
        <v>-1.2932330827067668</v>
      </c>
      <c r="BE519" s="256">
        <f>BE516/BD516-1</f>
        <v>0.30769230769230771</v>
      </c>
      <c r="BF519" s="255">
        <f>BF516/BE516-1</f>
        <v>0.15406162464985984</v>
      </c>
      <c r="BG519" s="1515">
        <f>BG516/BF516-1</f>
        <v>-0.96844660194174759</v>
      </c>
      <c r="BH519" s="1516"/>
      <c r="BI519" s="1614"/>
      <c r="BJ519" s="1615"/>
      <c r="BK519" s="1615"/>
      <c r="BL519" s="1715"/>
      <c r="BM519" s="1715"/>
      <c r="BN519" s="1715"/>
      <c r="BO519" s="299"/>
    </row>
    <row r="520" spans="1:67" ht="14.25" hidden="1" customHeight="1" outlineLevel="1">
      <c r="A520" s="1"/>
      <c r="B520" s="435"/>
      <c r="C520" s="34"/>
      <c r="D520" s="90"/>
      <c r="E520" s="90"/>
      <c r="F520" s="256"/>
      <c r="G520" s="301"/>
      <c r="H520" s="255"/>
      <c r="I520" s="256"/>
      <c r="J520" s="256"/>
      <c r="K520" s="301"/>
      <c r="L520" s="255"/>
      <c r="M520" s="256"/>
      <c r="N520" s="256"/>
      <c r="O520" s="256"/>
      <c r="P520" s="255"/>
      <c r="Q520" s="256"/>
      <c r="R520" s="256"/>
      <c r="S520" s="301"/>
      <c r="T520" s="256"/>
      <c r="U520" s="256"/>
      <c r="V520" s="256"/>
      <c r="W520" s="301"/>
      <c r="X520" s="256"/>
      <c r="Y520" s="256"/>
      <c r="Z520" s="256"/>
      <c r="AA520" s="301"/>
      <c r="AB520" s="255"/>
      <c r="AC520" s="256"/>
      <c r="AD520" s="256"/>
      <c r="AE520" s="301"/>
      <c r="AF520" s="255"/>
      <c r="AG520" s="256"/>
      <c r="AH520" s="256"/>
      <c r="AI520" s="256"/>
      <c r="AJ520" s="255"/>
      <c r="AK520" s="256"/>
      <c r="AL520" s="256"/>
      <c r="AM520" s="301"/>
      <c r="AN520" s="1614"/>
      <c r="AO520" s="1715"/>
      <c r="AP520" s="1715"/>
      <c r="AQ520" s="1628"/>
      <c r="AR520" s="1515"/>
      <c r="AS520" s="1516"/>
      <c r="AT520" s="1516"/>
      <c r="AU520" s="1517"/>
      <c r="AV520" s="1515"/>
      <c r="AW520" s="1516"/>
      <c r="AX520" s="1516"/>
      <c r="AY520" s="1517"/>
      <c r="AZ520" s="20"/>
      <c r="BA520" s="652"/>
      <c r="BB520" s="317"/>
      <c r="BC520" s="317"/>
      <c r="BD520" s="256"/>
      <c r="BE520" s="256"/>
      <c r="BF520" s="255"/>
      <c r="BG520" s="1515"/>
      <c r="BH520" s="1516"/>
      <c r="BI520" s="1614"/>
      <c r="BJ520" s="1615"/>
      <c r="BK520" s="1615"/>
      <c r="BL520" s="1715"/>
      <c r="BM520" s="1715"/>
      <c r="BN520" s="1715"/>
      <c r="BO520" s="299"/>
    </row>
    <row r="521" spans="1:67" s="363" customFormat="1" ht="14.25" hidden="1" customHeight="1" outlineLevel="1">
      <c r="B521" s="436" t="s">
        <v>371</v>
      </c>
      <c r="C521" s="351"/>
      <c r="D521" s="348"/>
      <c r="E521" s="348"/>
      <c r="F521" s="340"/>
      <c r="G521" s="351"/>
      <c r="H521" s="361"/>
      <c r="I521" s="340"/>
      <c r="J521" s="340"/>
      <c r="K521" s="351"/>
      <c r="L521" s="361">
        <f t="shared" ref="L521:AH521" si="1092">L240+L339+L376+L404+L443</f>
        <v>-200</v>
      </c>
      <c r="M521" s="340">
        <f t="shared" si="1092"/>
        <v>-38</v>
      </c>
      <c r="N521" s="340">
        <f t="shared" si="1092"/>
        <v>32</v>
      </c>
      <c r="O521" s="340">
        <f t="shared" si="1092"/>
        <v>59</v>
      </c>
      <c r="P521" s="361">
        <f t="shared" si="1092"/>
        <v>127</v>
      </c>
      <c r="Q521" s="340">
        <f t="shared" si="1092"/>
        <v>165</v>
      </c>
      <c r="R521" s="340">
        <f t="shared" si="1092"/>
        <v>185</v>
      </c>
      <c r="S521" s="351">
        <f t="shared" si="1092"/>
        <v>208</v>
      </c>
      <c r="T521" s="340">
        <f t="shared" si="1092"/>
        <v>223</v>
      </c>
      <c r="U521" s="340">
        <f t="shared" si="1092"/>
        <v>229</v>
      </c>
      <c r="V521" s="340">
        <f t="shared" si="1092"/>
        <v>210</v>
      </c>
      <c r="W521" s="351">
        <f t="shared" si="1092"/>
        <v>148</v>
      </c>
      <c r="X521" s="361">
        <f t="shared" si="1092"/>
        <v>141</v>
      </c>
      <c r="Y521" s="340">
        <f t="shared" si="1092"/>
        <v>204</v>
      </c>
      <c r="Z521" s="340">
        <f t="shared" si="1092"/>
        <v>232</v>
      </c>
      <c r="AA521" s="351">
        <f t="shared" si="1092"/>
        <v>209</v>
      </c>
      <c r="AB521" s="361">
        <f t="shared" si="1092"/>
        <v>257</v>
      </c>
      <c r="AC521" s="340">
        <f t="shared" si="1092"/>
        <v>256</v>
      </c>
      <c r="AD521" s="340">
        <f t="shared" si="1092"/>
        <v>285</v>
      </c>
      <c r="AE521" s="351">
        <f t="shared" si="1092"/>
        <v>321</v>
      </c>
      <c r="AF521" s="361">
        <f t="shared" si="1092"/>
        <v>301</v>
      </c>
      <c r="AG521" s="340">
        <f t="shared" si="1092"/>
        <v>334</v>
      </c>
      <c r="AH521" s="340">
        <f t="shared" si="1092"/>
        <v>388</v>
      </c>
      <c r="AI521" s="340">
        <f>AI240+AI339+AI376+AI404+AI443</f>
        <v>388</v>
      </c>
      <c r="AJ521" s="361">
        <f>AJ240+AJ339+AJ376+AJ404+AJ443</f>
        <v>385</v>
      </c>
      <c r="AK521" s="340"/>
      <c r="AL521" s="340">
        <f t="shared" ref="AL521:AM521" si="1093">AL240+AL339+AL376+AL404+AL443</f>
        <v>388</v>
      </c>
      <c r="AM521" s="351">
        <f t="shared" si="1093"/>
        <v>388</v>
      </c>
      <c r="AN521" s="361">
        <f>AN240+AN339+AN376+AN404+AN443</f>
        <v>369</v>
      </c>
      <c r="AO521" s="340"/>
      <c r="AP521" s="340">
        <f t="shared" ref="AP521:AQ521" si="1094">AP240+AP339+AP376+AP404+AP443</f>
        <v>388</v>
      </c>
      <c r="AQ521" s="351">
        <f t="shared" si="1094"/>
        <v>388</v>
      </c>
      <c r="AR521" s="361"/>
      <c r="AS521" s="340"/>
      <c r="AT521" s="340"/>
      <c r="AU521" s="351"/>
      <c r="AV521" s="361"/>
      <c r="AW521" s="340"/>
      <c r="AX521" s="340"/>
      <c r="AY521" s="351"/>
      <c r="AZ521" s="1901"/>
      <c r="BA521" s="361"/>
      <c r="BB521" s="340"/>
      <c r="BC521" s="340">
        <f>BC240+BC339+BC376+BC404+BC443</f>
        <v>-147</v>
      </c>
      <c r="BD521" s="340">
        <f>BD240+BD339+BD376+BD404+BD443</f>
        <v>685</v>
      </c>
      <c r="BE521" s="340">
        <f>BE240+BE339+BE376+BE404+BE443</f>
        <v>810</v>
      </c>
      <c r="BF521" s="361">
        <f>BF240+BF339+BF376+BF404+BF443</f>
        <v>786</v>
      </c>
      <c r="BG521" s="361">
        <f>BG240+BG339+BG376+BG404+BG443</f>
        <v>144</v>
      </c>
      <c r="BH521" s="340"/>
      <c r="BI521" s="361"/>
      <c r="BJ521" s="340"/>
      <c r="BK521" s="340"/>
      <c r="BL521" s="340"/>
      <c r="BM521" s="340"/>
      <c r="BN521" s="340"/>
      <c r="BO521" s="364"/>
    </row>
    <row r="522" spans="1:67" s="363" customFormat="1" ht="14.25" hidden="1" customHeight="1" outlineLevel="1">
      <c r="B522" s="431" t="s">
        <v>354</v>
      </c>
      <c r="C522" s="351"/>
      <c r="D522" s="348"/>
      <c r="E522" s="348"/>
      <c r="F522" s="340"/>
      <c r="G522" s="351"/>
      <c r="H522" s="361"/>
      <c r="I522" s="340"/>
      <c r="J522" s="340"/>
      <c r="K522" s="351"/>
      <c r="L522" s="255">
        <f t="shared" ref="L522:AE522" si="1095">L521/L$501</f>
        <v>-0.31007751937984496</v>
      </c>
      <c r="M522" s="256">
        <f t="shared" si="1095"/>
        <v>-4.6172539489671933E-2</v>
      </c>
      <c r="N522" s="256">
        <f t="shared" si="1095"/>
        <v>3.2520325203252036E-2</v>
      </c>
      <c r="O522" s="256">
        <f t="shared" si="1095"/>
        <v>5.5295220243673851E-2</v>
      </c>
      <c r="P522" s="255">
        <f t="shared" si="1095"/>
        <v>0.11705069124423963</v>
      </c>
      <c r="Q522" s="256">
        <f t="shared" si="1095"/>
        <v>0.14745308310991956</v>
      </c>
      <c r="R522" s="256">
        <f t="shared" si="1095"/>
        <v>0.16517857142857142</v>
      </c>
      <c r="S522" s="301">
        <f t="shared" si="1095"/>
        <v>0.19294990723562153</v>
      </c>
      <c r="T522" s="256">
        <f t="shared" si="1095"/>
        <v>0.20609981515711645</v>
      </c>
      <c r="U522" s="256">
        <f t="shared" si="1095"/>
        <v>0.20428189116859946</v>
      </c>
      <c r="V522" s="256">
        <f t="shared" si="1095"/>
        <v>0.19811320754716982</v>
      </c>
      <c r="W522" s="301">
        <f t="shared" si="1095"/>
        <v>0.15896885069817401</v>
      </c>
      <c r="X522" s="256">
        <f t="shared" si="1095"/>
        <v>0.14417177914110429</v>
      </c>
      <c r="Y522" s="256">
        <f t="shared" si="1095"/>
        <v>0.18647166361974407</v>
      </c>
      <c r="Z522" s="256">
        <f t="shared" si="1095"/>
        <v>0.19829059829059828</v>
      </c>
      <c r="AA522" s="301">
        <f t="shared" si="1095"/>
        <v>0.18727598566308243</v>
      </c>
      <c r="AB522" s="255">
        <f t="shared" si="1095"/>
        <v>0.2368663594470046</v>
      </c>
      <c r="AC522" s="256">
        <f t="shared" si="1095"/>
        <v>0.21548821548821548</v>
      </c>
      <c r="AD522" s="256">
        <f t="shared" si="1095"/>
        <v>0.22818254603682947</v>
      </c>
      <c r="AE522" s="301">
        <f t="shared" si="1095"/>
        <v>0.24825986078886311</v>
      </c>
      <c r="AF522" s="255">
        <f>AF521/AF$501</f>
        <v>0.24157303370786518</v>
      </c>
      <c r="AG522" s="256">
        <f>AG521/AG$501</f>
        <v>0.24759080800593031</v>
      </c>
      <c r="AH522" s="256">
        <f>AH521/AH$501</f>
        <v>0.25610561056105613</v>
      </c>
      <c r="AI522" s="256">
        <f>AI521/AI$501</f>
        <v>0.25243981782693559</v>
      </c>
      <c r="AJ522" s="255">
        <f>AJ521/AJ$501</f>
        <v>0.26244035446489433</v>
      </c>
      <c r="AK522" s="256"/>
      <c r="AL522" s="256">
        <f>AL521/AL$501</f>
        <v>0.25492772667542707</v>
      </c>
      <c r="AM522" s="301">
        <f>AM521/AM$501</f>
        <v>0.24159402241594022</v>
      </c>
      <c r="AN522" s="1614">
        <f>AN521/AN$501</f>
        <v>0.16591726618705036</v>
      </c>
      <c r="AO522" s="1715"/>
      <c r="AP522" s="1715">
        <f>AP521/AP$501</f>
        <v>0.15714864317537464</v>
      </c>
      <c r="AQ522" s="1628">
        <f>AQ521/AQ$501</f>
        <v>0.15901639344262294</v>
      </c>
      <c r="AR522" s="1515"/>
      <c r="AS522" s="1516"/>
      <c r="AT522" s="1516"/>
      <c r="AU522" s="1517"/>
      <c r="AV522" s="1515"/>
      <c r="AW522" s="1516"/>
      <c r="AX522" s="1516"/>
      <c r="AY522" s="1517"/>
      <c r="AZ522" s="1901"/>
      <c r="BA522" s="361"/>
      <c r="BB522" s="340"/>
      <c r="BC522" s="256">
        <f>BC521/BC$501</f>
        <v>-4.1773231031543054E-2</v>
      </c>
      <c r="BD522" s="256">
        <f>BD521/BD$501</f>
        <v>0.1521208083499889</v>
      </c>
      <c r="BE522" s="256">
        <f>BE521/BE$501</f>
        <v>0.19271948608137046</v>
      </c>
      <c r="BF522" s="255">
        <f>BF521/BF$501</f>
        <v>0.18023389130933273</v>
      </c>
      <c r="BG522" s="1515">
        <f>BG521/BG$501</f>
        <v>2.9906542056074768E-2</v>
      </c>
      <c r="BH522" s="1516"/>
      <c r="BI522" s="1614"/>
      <c r="BJ522" s="1615"/>
      <c r="BK522" s="1615"/>
      <c r="BL522" s="1715"/>
      <c r="BM522" s="1715"/>
      <c r="BN522" s="1715"/>
      <c r="BO522" s="364"/>
    </row>
    <row r="523" spans="1:67" ht="14.25" hidden="1" customHeight="1" outlineLevel="1">
      <c r="A523" s="1"/>
      <c r="B523" s="431" t="s">
        <v>228</v>
      </c>
      <c r="C523" s="254"/>
      <c r="D523" s="90"/>
      <c r="E523" s="90"/>
      <c r="F523" s="256"/>
      <c r="G523" s="301"/>
      <c r="H523" s="255"/>
      <c r="I523" s="256"/>
      <c r="J523" s="256"/>
      <c r="K523" s="301"/>
      <c r="L523" s="255"/>
      <c r="M523" s="256">
        <f t="shared" ref="M523:S523" si="1096">(M521-L521)/L521</f>
        <v>-0.81</v>
      </c>
      <c r="N523" s="256">
        <f t="shared" si="1096"/>
        <v>-1.8421052631578947</v>
      </c>
      <c r="O523" s="256">
        <f t="shared" si="1096"/>
        <v>0.84375</v>
      </c>
      <c r="P523" s="255">
        <f t="shared" si="1096"/>
        <v>1.152542372881356</v>
      </c>
      <c r="Q523" s="256">
        <f t="shared" si="1096"/>
        <v>0.29921259842519687</v>
      </c>
      <c r="R523" s="256">
        <f t="shared" si="1096"/>
        <v>0.12121212121212122</v>
      </c>
      <c r="S523" s="301">
        <f t="shared" si="1096"/>
        <v>0.12432432432432433</v>
      </c>
      <c r="T523" s="256">
        <f>T521/S521-1</f>
        <v>7.2115384615384581E-2</v>
      </c>
      <c r="U523" s="256">
        <f>(U521-T521)/T521</f>
        <v>2.6905829596412557E-2</v>
      </c>
      <c r="V523" s="256">
        <f>(V521-U521)/U521</f>
        <v>-8.296943231441048E-2</v>
      </c>
      <c r="W523" s="301">
        <f>(W521-V521)/V521</f>
        <v>-0.29523809523809524</v>
      </c>
      <c r="X523" s="256">
        <f>X521/W521-1</f>
        <v>-4.7297297297297258E-2</v>
      </c>
      <c r="Y523" s="256">
        <f>(Y521-X521)/X521</f>
        <v>0.44680851063829785</v>
      </c>
      <c r="Z523" s="256">
        <f t="shared" ref="Z523:AJ523" si="1097">Z521/Y521-1</f>
        <v>0.13725490196078427</v>
      </c>
      <c r="AA523" s="301">
        <f t="shared" si="1097"/>
        <v>-9.9137931034482762E-2</v>
      </c>
      <c r="AB523" s="255">
        <f t="shared" si="1097"/>
        <v>0.22966507177033502</v>
      </c>
      <c r="AC523" s="256">
        <f t="shared" si="1097"/>
        <v>-3.8910505836575737E-3</v>
      </c>
      <c r="AD523" s="256">
        <f t="shared" si="1097"/>
        <v>0.11328125</v>
      </c>
      <c r="AE523" s="301">
        <f t="shared" si="1097"/>
        <v>0.12631578947368416</v>
      </c>
      <c r="AF523" s="255">
        <f t="shared" si="1097"/>
        <v>-6.230529595015577E-2</v>
      </c>
      <c r="AG523" s="256">
        <f t="shared" si="1097"/>
        <v>0.10963455149501655</v>
      </c>
      <c r="AH523" s="256">
        <f t="shared" si="1097"/>
        <v>0.16167664670658688</v>
      </c>
      <c r="AI523" s="256">
        <f t="shared" si="1097"/>
        <v>0</v>
      </c>
      <c r="AJ523" s="255">
        <f t="shared" si="1097"/>
        <v>-7.7319587628865705E-3</v>
      </c>
      <c r="AK523" s="256"/>
      <c r="AL523" s="256"/>
      <c r="AM523" s="301"/>
      <c r="AN523" s="1614">
        <f t="shared" ref="AN523" si="1098">AN521/AM521-1</f>
        <v>-4.8969072164948502E-2</v>
      </c>
      <c r="AO523" s="1715"/>
      <c r="AP523" s="1715"/>
      <c r="AQ523" s="1628"/>
      <c r="AR523" s="1515"/>
      <c r="AS523" s="1516"/>
      <c r="AT523" s="1516"/>
      <c r="AU523" s="1517"/>
      <c r="AV523" s="1515"/>
      <c r="AW523" s="1516"/>
      <c r="AX523" s="1516"/>
      <c r="AY523" s="1517"/>
      <c r="AZ523" s="20"/>
      <c r="BA523" s="22"/>
      <c r="BB523" s="14"/>
      <c r="BC523" s="14"/>
      <c r="BD523" s="256"/>
      <c r="BE523" s="256"/>
      <c r="BF523" s="255"/>
      <c r="BG523" s="1515"/>
      <c r="BH523" s="1516"/>
      <c r="BI523" s="1614"/>
      <c r="BJ523" s="1615"/>
      <c r="BK523" s="1615"/>
      <c r="BL523" s="1715"/>
      <c r="BM523" s="1715"/>
      <c r="BN523" s="1715"/>
      <c r="BO523" s="299"/>
    </row>
    <row r="524" spans="1:67" ht="14.25" hidden="1" customHeight="1" outlineLevel="1">
      <c r="A524" s="1"/>
      <c r="B524" s="1197" t="s">
        <v>229</v>
      </c>
      <c r="C524" s="1193"/>
      <c r="D524" s="257"/>
      <c r="E524" s="257"/>
      <c r="F524" s="277"/>
      <c r="G524" s="278"/>
      <c r="H524" s="279"/>
      <c r="I524" s="277"/>
      <c r="J524" s="277"/>
      <c r="K524" s="278"/>
      <c r="L524" s="279"/>
      <c r="M524" s="277"/>
      <c r="N524" s="277"/>
      <c r="O524" s="277"/>
      <c r="P524" s="279">
        <f t="shared" ref="P524:AQ524" si="1099">P521/L521-1</f>
        <v>-1.635</v>
      </c>
      <c r="Q524" s="277">
        <f t="shared" si="1099"/>
        <v>-5.3421052631578947</v>
      </c>
      <c r="R524" s="277">
        <f t="shared" si="1099"/>
        <v>4.78125</v>
      </c>
      <c r="S524" s="278">
        <f t="shared" si="1099"/>
        <v>2.5254237288135593</v>
      </c>
      <c r="T524" s="277">
        <f t="shared" si="1099"/>
        <v>0.75590551181102361</v>
      </c>
      <c r="U524" s="277">
        <f t="shared" si="1099"/>
        <v>0.38787878787878793</v>
      </c>
      <c r="V524" s="277">
        <f t="shared" si="1099"/>
        <v>0.13513513513513509</v>
      </c>
      <c r="W524" s="278">
        <f t="shared" si="1099"/>
        <v>-0.28846153846153844</v>
      </c>
      <c r="X524" s="277">
        <f t="shared" si="1099"/>
        <v>-0.36771300448430488</v>
      </c>
      <c r="Y524" s="277">
        <f t="shared" si="1099"/>
        <v>-0.10917030567685593</v>
      </c>
      <c r="Z524" s="277">
        <f t="shared" si="1099"/>
        <v>0.10476190476190483</v>
      </c>
      <c r="AA524" s="278">
        <f t="shared" si="1099"/>
        <v>0.41216216216216206</v>
      </c>
      <c r="AB524" s="279">
        <f t="shared" si="1099"/>
        <v>0.82269503546099298</v>
      </c>
      <c r="AC524" s="277">
        <f t="shared" si="1099"/>
        <v>0.25490196078431371</v>
      </c>
      <c r="AD524" s="277">
        <f t="shared" si="1099"/>
        <v>0.22844827586206895</v>
      </c>
      <c r="AE524" s="278">
        <f t="shared" si="1099"/>
        <v>0.53588516746411474</v>
      </c>
      <c r="AF524" s="279">
        <f t="shared" si="1099"/>
        <v>0.17120622568093391</v>
      </c>
      <c r="AG524" s="277">
        <f t="shared" si="1099"/>
        <v>0.3046875</v>
      </c>
      <c r="AH524" s="277">
        <f t="shared" si="1099"/>
        <v>0.36140350877192984</v>
      </c>
      <c r="AI524" s="277">
        <f t="shared" si="1099"/>
        <v>0.20872274143302172</v>
      </c>
      <c r="AJ524" s="279">
        <f t="shared" si="1099"/>
        <v>0.27906976744186052</v>
      </c>
      <c r="AK524" s="277"/>
      <c r="AL524" s="277">
        <f t="shared" si="1099"/>
        <v>0</v>
      </c>
      <c r="AM524" s="278">
        <f t="shared" si="1099"/>
        <v>0</v>
      </c>
      <c r="AN524" s="1627">
        <f t="shared" si="1099"/>
        <v>-4.1558441558441572E-2</v>
      </c>
      <c r="AO524" s="1625"/>
      <c r="AP524" s="1625">
        <f t="shared" si="1099"/>
        <v>0</v>
      </c>
      <c r="AQ524" s="1626">
        <f t="shared" si="1099"/>
        <v>0</v>
      </c>
      <c r="AR524" s="1512"/>
      <c r="AS524" s="1509"/>
      <c r="AT524" s="1509"/>
      <c r="AU524" s="1510"/>
      <c r="AV524" s="1512"/>
      <c r="AW524" s="1509"/>
      <c r="AX524" s="1509"/>
      <c r="AY524" s="1510"/>
      <c r="AZ524" s="20"/>
      <c r="BA524" s="401"/>
      <c r="BB524" s="402"/>
      <c r="BC524" s="402" t="str">
        <f>IF(ISERROR(BC521/BB521-1),"",BC521/BB521-1)</f>
        <v/>
      </c>
      <c r="BD524" s="277">
        <f>IF(ISERROR(BD521/BC521-1),"",BD521/BC521-1)</f>
        <v>-5.6598639455782314</v>
      </c>
      <c r="BE524" s="277">
        <f>IF(ISERROR(BE521/BD521-1),"",BE521/BD521-1)</f>
        <v>0.18248175182481763</v>
      </c>
      <c r="BF524" s="279">
        <f>IF(ISERROR(BF521/BE521-1),"",BF521/BE521-1)</f>
        <v>-2.9629629629629672E-2</v>
      </c>
      <c r="BG524" s="1512">
        <f>IF(ISERROR(BG521/BF521-1),"",BG521/BF521-1)</f>
        <v>-0.81679389312977102</v>
      </c>
      <c r="BH524" s="1509"/>
      <c r="BI524" s="1627"/>
      <c r="BJ524" s="1625"/>
      <c r="BK524" s="1625"/>
      <c r="BL524" s="1625"/>
      <c r="BM524" s="1625"/>
      <c r="BN524" s="1625"/>
      <c r="BO524" s="299"/>
    </row>
    <row r="525" spans="1:67" ht="14.25" hidden="1" customHeight="1" outlineLevel="1">
      <c r="A525" s="1"/>
      <c r="B525" s="435"/>
      <c r="C525" s="34"/>
      <c r="D525" s="90"/>
      <c r="E525" s="269"/>
      <c r="F525" s="300"/>
      <c r="G525" s="301"/>
      <c r="H525" s="1198"/>
      <c r="I525" s="1199"/>
      <c r="J525" s="1199"/>
      <c r="K525" s="1200"/>
      <c r="L525" s="1198"/>
      <c r="M525" s="1199"/>
      <c r="N525" s="1199"/>
      <c r="O525" s="1200"/>
      <c r="P525" s="1198"/>
      <c r="Q525" s="1199"/>
      <c r="R525" s="1199"/>
      <c r="S525" s="1200"/>
      <c r="T525" s="1198"/>
      <c r="U525" s="1199"/>
      <c r="V525" s="1199"/>
      <c r="W525" s="1200"/>
      <c r="X525" s="1198"/>
      <c r="Y525" s="1199"/>
      <c r="Z525" s="1199"/>
      <c r="AA525" s="1200"/>
      <c r="AB525" s="1198"/>
      <c r="AC525" s="1199"/>
      <c r="AD525" s="1199"/>
      <c r="AE525" s="1200"/>
      <c r="AF525" s="1198"/>
      <c r="AG525" s="1199"/>
      <c r="AH525" s="300"/>
      <c r="AI525" s="300"/>
      <c r="AJ525" s="1198"/>
      <c r="AK525" s="1199"/>
      <c r="AL525" s="300"/>
      <c r="AM525" s="1200"/>
      <c r="AN525" s="1643"/>
      <c r="AO525" s="1644"/>
      <c r="AP525" s="1511"/>
      <c r="AQ525" s="1645"/>
      <c r="AR525" s="1198"/>
      <c r="AS525" s="1199"/>
      <c r="AT525" s="1199"/>
      <c r="AU525" s="1200"/>
      <c r="AV525" s="1198"/>
      <c r="AW525" s="1199"/>
      <c r="AX525" s="1199"/>
      <c r="AY525" s="1200"/>
      <c r="AZ525" s="20"/>
      <c r="BA525" s="696"/>
      <c r="BB525" s="697"/>
      <c r="BC525" s="697"/>
      <c r="BD525" s="1199"/>
      <c r="BE525" s="1199"/>
      <c r="BF525" s="1198"/>
      <c r="BG525" s="1198"/>
      <c r="BH525" s="1199"/>
      <c r="BI525" s="1614"/>
      <c r="BJ525" s="1615"/>
      <c r="BK525" s="1615"/>
      <c r="BL525" s="1715"/>
      <c r="BM525" s="1715"/>
      <c r="BN525" s="1715"/>
      <c r="BO525" s="299"/>
    </row>
    <row r="526" spans="1:67" ht="14.25" customHeight="1" collapsed="1">
      <c r="A526" s="1"/>
      <c r="B526" s="436" t="s">
        <v>372</v>
      </c>
      <c r="C526" s="351"/>
      <c r="D526" s="348"/>
      <c r="E526" s="348"/>
      <c r="F526" s="340"/>
      <c r="G526" s="351"/>
      <c r="H526" s="361"/>
      <c r="I526" s="340"/>
      <c r="J526" s="340"/>
      <c r="K526" s="351"/>
      <c r="L526" s="384">
        <v>645</v>
      </c>
      <c r="M526" s="385">
        <v>823</v>
      </c>
      <c r="N526" s="385">
        <v>984</v>
      </c>
      <c r="O526" s="386">
        <v>1067</v>
      </c>
      <c r="P526" s="384">
        <v>1085</v>
      </c>
      <c r="Q526" s="385">
        <v>1119</v>
      </c>
      <c r="R526" s="385">
        <v>1120</v>
      </c>
      <c r="S526" s="386">
        <v>1078</v>
      </c>
      <c r="T526" s="384">
        <v>1082</v>
      </c>
      <c r="U526" s="385">
        <v>1121</v>
      </c>
      <c r="V526" s="385">
        <v>1060</v>
      </c>
      <c r="W526" s="386">
        <v>931</v>
      </c>
      <c r="X526" s="384">
        <v>978</v>
      </c>
      <c r="Y526" s="385">
        <v>1094</v>
      </c>
      <c r="Z526" s="385">
        <v>1170</v>
      </c>
      <c r="AA526" s="386">
        <v>1116</v>
      </c>
      <c r="AB526" s="384">
        <v>1085</v>
      </c>
      <c r="AC526" s="385">
        <v>1188</v>
      </c>
      <c r="AD526" s="385">
        <v>1249</v>
      </c>
      <c r="AE526" s="386">
        <v>1293</v>
      </c>
      <c r="AF526" s="384">
        <v>1246</v>
      </c>
      <c r="AG526" s="385">
        <v>1349</v>
      </c>
      <c r="AH526" s="385">
        <v>1515</v>
      </c>
      <c r="AI526" s="385">
        <v>1537</v>
      </c>
      <c r="AJ526" s="387">
        <v>1467</v>
      </c>
      <c r="AK526" s="388">
        <v>1506</v>
      </c>
      <c r="AL526" s="385">
        <v>1522</v>
      </c>
      <c r="AM526" s="389">
        <v>1606</v>
      </c>
      <c r="AN526" s="387">
        <v>2224</v>
      </c>
      <c r="AO526" s="388">
        <v>2365</v>
      </c>
      <c r="AP526" s="385">
        <v>2469</v>
      </c>
      <c r="AQ526" s="389">
        <v>2440</v>
      </c>
      <c r="AR526" s="387">
        <v>2211</v>
      </c>
      <c r="AS526" s="388">
        <v>2202</v>
      </c>
      <c r="AT526" s="388">
        <v>2387</v>
      </c>
      <c r="AU526" s="389">
        <v>2456</v>
      </c>
      <c r="AV526" s="387">
        <v>2325.7800000000002</v>
      </c>
      <c r="AW526" s="388">
        <v>2405.5272</v>
      </c>
      <c r="AX526" s="388">
        <v>2503.7714639999999</v>
      </c>
      <c r="AY526" s="389">
        <v>2465.5820715999998</v>
      </c>
      <c r="AZ526" s="1925"/>
      <c r="BA526" s="384"/>
      <c r="BB526" s="385"/>
      <c r="BC526" s="385">
        <v>3519</v>
      </c>
      <c r="BD526" s="385">
        <v>4402</v>
      </c>
      <c r="BE526" s="385">
        <v>4194</v>
      </c>
      <c r="BF526" s="384">
        <v>4358</v>
      </c>
      <c r="BG526" s="387">
        <v>4815</v>
      </c>
      <c r="BH526" s="388">
        <v>5647</v>
      </c>
      <c r="BI526" s="387">
        <v>6101</v>
      </c>
      <c r="BJ526" s="388">
        <v>9498</v>
      </c>
      <c r="BK526" s="388">
        <v>9256</v>
      </c>
      <c r="BL526" s="388">
        <v>9700.6607356000004</v>
      </c>
      <c r="BM526" s="388">
        <v>10185.69377238</v>
      </c>
      <c r="BN526" s="388">
        <v>10694.978460999</v>
      </c>
      <c r="BO526" s="299"/>
    </row>
    <row r="527" spans="1:67" ht="14.25" hidden="1" customHeight="1" outlineLevel="1">
      <c r="A527" s="1"/>
      <c r="B527" s="436" t="s">
        <v>373</v>
      </c>
      <c r="C527" s="340"/>
      <c r="D527" s="348"/>
      <c r="E527" s="348"/>
      <c r="F527" s="340"/>
      <c r="G527" s="351"/>
      <c r="H527" s="361"/>
      <c r="I527" s="340"/>
      <c r="J527" s="340"/>
      <c r="K527" s="351"/>
      <c r="L527" s="384">
        <v>62</v>
      </c>
      <c r="M527" s="385">
        <v>166</v>
      </c>
      <c r="N527" s="385">
        <v>300</v>
      </c>
      <c r="O527" s="386">
        <v>370</v>
      </c>
      <c r="P527" s="384">
        <v>406</v>
      </c>
      <c r="Q527" s="385">
        <v>446</v>
      </c>
      <c r="R527" s="385">
        <v>476</v>
      </c>
      <c r="S527" s="386">
        <v>495</v>
      </c>
      <c r="T527" s="384">
        <v>506</v>
      </c>
      <c r="U527" s="385">
        <v>523</v>
      </c>
      <c r="V527" s="385">
        <v>488</v>
      </c>
      <c r="W527" s="386">
        <v>389</v>
      </c>
      <c r="X527" s="384">
        <v>424</v>
      </c>
      <c r="Y527" s="385">
        <v>538</v>
      </c>
      <c r="Z527" s="385">
        <v>536</v>
      </c>
      <c r="AA527" s="386">
        <v>490</v>
      </c>
      <c r="AB527" s="384">
        <v>483</v>
      </c>
      <c r="AC527" s="385">
        <v>535</v>
      </c>
      <c r="AD527" s="385">
        <v>570</v>
      </c>
      <c r="AE527" s="386">
        <v>589</v>
      </c>
      <c r="AF527" s="384">
        <v>585</v>
      </c>
      <c r="AG527" s="385">
        <v>638</v>
      </c>
      <c r="AH527" s="385">
        <v>713</v>
      </c>
      <c r="AI527" s="385">
        <v>704</v>
      </c>
      <c r="AJ527" s="384">
        <v>704</v>
      </c>
      <c r="AK527" s="385">
        <v>724</v>
      </c>
      <c r="AL527" s="385">
        <v>740</v>
      </c>
      <c r="AM527" s="386">
        <v>619</v>
      </c>
      <c r="AN527" s="384">
        <v>597</v>
      </c>
      <c r="AO527" s="385">
        <v>717</v>
      </c>
      <c r="AP527" s="385">
        <v>1259</v>
      </c>
      <c r="AQ527" s="386">
        <v>1259.8520000000001</v>
      </c>
      <c r="AR527" s="384">
        <v>1138.008</v>
      </c>
      <c r="AS527" s="385">
        <v>1148</v>
      </c>
      <c r="AT527" s="385">
        <v>1269</v>
      </c>
      <c r="AU527" s="386">
        <v>1316</v>
      </c>
      <c r="AV527" s="384">
        <v>1268.3399199999999</v>
      </c>
      <c r="AW527" s="385">
        <v>1317.9283951999998</v>
      </c>
      <c r="AX527" s="385">
        <v>1378.3421915519998</v>
      </c>
      <c r="AY527" s="386">
        <v>1359.0161987403999</v>
      </c>
      <c r="AZ527" s="340"/>
      <c r="BA527" s="361"/>
      <c r="BB527" s="340"/>
      <c r="BC527" s="385">
        <v>898</v>
      </c>
      <c r="BD527" s="385">
        <v>1823</v>
      </c>
      <c r="BE527" s="385">
        <v>1906</v>
      </c>
      <c r="BF527" s="384">
        <v>1988</v>
      </c>
      <c r="BG527" s="384">
        <v>2177</v>
      </c>
      <c r="BH527" s="385">
        <v>2640</v>
      </c>
      <c r="BI527" s="384">
        <v>2787</v>
      </c>
      <c r="BJ527" s="385">
        <v>3832.8519999999999</v>
      </c>
      <c r="BK527" s="385">
        <v>4871.0079999999998</v>
      </c>
      <c r="BL527" s="385">
        <v>5323.6267054924001</v>
      </c>
      <c r="BM527" s="385">
        <v>5599.9937345394001</v>
      </c>
      <c r="BN527" s="385">
        <v>5890.688399727369</v>
      </c>
      <c r="BO527" s="461"/>
    </row>
    <row r="528" spans="1:67" ht="14.25" hidden="1" customHeight="1" outlineLevel="1">
      <c r="A528" s="1"/>
      <c r="B528" s="436" t="s">
        <v>374</v>
      </c>
      <c r="C528" s="340"/>
      <c r="D528" s="348"/>
      <c r="E528" s="348"/>
      <c r="F528" s="340"/>
      <c r="G528" s="351"/>
      <c r="H528" s="361"/>
      <c r="I528" s="340"/>
      <c r="J528" s="340"/>
      <c r="K528" s="351"/>
      <c r="L528" s="384">
        <v>107</v>
      </c>
      <c r="M528" s="385">
        <v>257</v>
      </c>
      <c r="N528" s="385">
        <v>348</v>
      </c>
      <c r="O528" s="386">
        <v>413</v>
      </c>
      <c r="P528" s="384">
        <v>423</v>
      </c>
      <c r="Q528" s="385">
        <v>456</v>
      </c>
      <c r="R528" s="385">
        <v>488</v>
      </c>
      <c r="S528" s="386">
        <v>508</v>
      </c>
      <c r="T528" s="384">
        <v>517</v>
      </c>
      <c r="U528" s="385">
        <v>536</v>
      </c>
      <c r="V528" s="385">
        <v>512</v>
      </c>
      <c r="W528" s="386">
        <v>423</v>
      </c>
      <c r="X528" s="384">
        <v>433</v>
      </c>
      <c r="Y528" s="385">
        <v>505</v>
      </c>
      <c r="Z528" s="385">
        <v>542</v>
      </c>
      <c r="AA528" s="386">
        <v>514</v>
      </c>
      <c r="AB528" s="384">
        <v>537</v>
      </c>
      <c r="AC528" s="385">
        <v>540</v>
      </c>
      <c r="AD528" s="385">
        <v>585</v>
      </c>
      <c r="AE528" s="386">
        <v>636</v>
      </c>
      <c r="AF528" s="384">
        <v>617</v>
      </c>
      <c r="AG528" s="385">
        <v>655</v>
      </c>
      <c r="AH528" s="385">
        <v>725</v>
      </c>
      <c r="AI528" s="385">
        <v>716</v>
      </c>
      <c r="AJ528" s="384">
        <v>711</v>
      </c>
      <c r="AK528" s="385"/>
      <c r="AL528" s="385">
        <v>748</v>
      </c>
      <c r="AM528" s="386">
        <v>806</v>
      </c>
      <c r="AN528" s="384">
        <v>1112</v>
      </c>
      <c r="AO528" s="385"/>
      <c r="AP528" s="385">
        <v>1274</v>
      </c>
      <c r="AQ528" s="386">
        <v>1274.8520000000001</v>
      </c>
      <c r="AR528" s="384"/>
      <c r="AS528" s="385"/>
      <c r="AT528" s="385"/>
      <c r="AU528" s="386"/>
      <c r="AV528" s="384"/>
      <c r="AW528" s="385"/>
      <c r="AX528" s="385"/>
      <c r="AY528" s="386"/>
      <c r="AZ528" s="340"/>
      <c r="BA528" s="361"/>
      <c r="BB528" s="340"/>
      <c r="BC528" s="385">
        <v>0</v>
      </c>
      <c r="BD528" s="385">
        <v>0</v>
      </c>
      <c r="BE528" s="385">
        <v>0</v>
      </c>
      <c r="BF528" s="384">
        <v>0</v>
      </c>
      <c r="BG528" s="384">
        <v>0</v>
      </c>
      <c r="BH528" s="385">
        <v>0</v>
      </c>
      <c r="BI528" s="384">
        <v>0</v>
      </c>
      <c r="BJ528" s="385">
        <v>0</v>
      </c>
      <c r="BK528" s="385">
        <v>0</v>
      </c>
      <c r="BL528" s="385">
        <v>0</v>
      </c>
      <c r="BM528" s="385"/>
      <c r="BN528" s="385"/>
      <c r="BO528" s="461"/>
    </row>
    <row r="529" spans="1:67" ht="14.25" hidden="1" customHeight="1" outlineLevel="1">
      <c r="A529" s="1"/>
      <c r="B529" s="436" t="s">
        <v>375</v>
      </c>
      <c r="C529" s="340"/>
      <c r="D529" s="348"/>
      <c r="E529" s="348"/>
      <c r="F529" s="340"/>
      <c r="G529" s="351"/>
      <c r="H529" s="374"/>
      <c r="I529" s="375"/>
      <c r="J529" s="375"/>
      <c r="K529" s="377"/>
      <c r="L529" s="387">
        <v>-345</v>
      </c>
      <c r="M529" s="388">
        <v>-226</v>
      </c>
      <c r="N529" s="388">
        <v>-144</v>
      </c>
      <c r="O529" s="389">
        <v>-216</v>
      </c>
      <c r="P529" s="387">
        <v>-15</v>
      </c>
      <c r="Q529" s="388">
        <v>76</v>
      </c>
      <c r="R529" s="388">
        <v>106</v>
      </c>
      <c r="S529" s="389">
        <v>106</v>
      </c>
      <c r="T529" s="387">
        <v>108</v>
      </c>
      <c r="U529" s="388">
        <v>133</v>
      </c>
      <c r="V529" s="388">
        <v>109</v>
      </c>
      <c r="W529" s="389">
        <v>7</v>
      </c>
      <c r="X529" s="387">
        <v>55</v>
      </c>
      <c r="Y529" s="388">
        <v>156</v>
      </c>
      <c r="Z529" s="388">
        <v>168</v>
      </c>
      <c r="AA529" s="389">
        <v>33</v>
      </c>
      <c r="AB529" s="387">
        <v>115</v>
      </c>
      <c r="AC529" s="388">
        <v>170</v>
      </c>
      <c r="AD529" s="388">
        <v>168</v>
      </c>
      <c r="AE529" s="389">
        <v>198</v>
      </c>
      <c r="AF529" s="387">
        <v>184</v>
      </c>
      <c r="AG529" s="388">
        <v>249</v>
      </c>
      <c r="AH529" s="385">
        <v>307</v>
      </c>
      <c r="AI529" s="385">
        <v>310</v>
      </c>
      <c r="AJ529" s="387">
        <v>295</v>
      </c>
      <c r="AK529" s="388"/>
      <c r="AL529" s="385">
        <v>375</v>
      </c>
      <c r="AM529" s="389">
        <v>1013</v>
      </c>
      <c r="AN529" s="387">
        <v>-471</v>
      </c>
      <c r="AO529" s="388"/>
      <c r="AP529" s="385">
        <v>554.18102774080944</v>
      </c>
      <c r="AQ529" s="389">
        <v>559.17230481564093</v>
      </c>
      <c r="AR529" s="387"/>
      <c r="AS529" s="388"/>
      <c r="AT529" s="388"/>
      <c r="AU529" s="389"/>
      <c r="AV529" s="387"/>
      <c r="AW529" s="388"/>
      <c r="AX529" s="388"/>
      <c r="AY529" s="389"/>
      <c r="AZ529" s="340"/>
      <c r="BA529" s="374"/>
      <c r="BB529" s="375"/>
      <c r="BC529" s="388">
        <v>-931</v>
      </c>
      <c r="BD529" s="388">
        <v>273</v>
      </c>
      <c r="BE529" s="388">
        <v>357</v>
      </c>
      <c r="BF529" s="387">
        <v>412</v>
      </c>
      <c r="BG529" s="387">
        <v>651</v>
      </c>
      <c r="BH529" s="388">
        <v>1050</v>
      </c>
      <c r="BI529" s="387">
        <v>2015</v>
      </c>
      <c r="BJ529" s="385">
        <v>666.08824712479509</v>
      </c>
      <c r="BK529" s="385">
        <v>2148.3014028703956</v>
      </c>
      <c r="BL529" s="385">
        <v>2556.253622299052</v>
      </c>
      <c r="BM529" s="385"/>
      <c r="BN529" s="385"/>
      <c r="BO529" s="461"/>
    </row>
    <row r="530" spans="1:67" ht="14.25" customHeight="1" collapsed="1">
      <c r="A530" s="1"/>
      <c r="B530" s="442"/>
      <c r="C530" s="396"/>
      <c r="D530" s="397"/>
      <c r="E530" s="397"/>
      <c r="F530" s="396"/>
      <c r="G530" s="396"/>
      <c r="H530" s="396"/>
      <c r="I530" s="396"/>
      <c r="J530" s="396"/>
      <c r="K530" s="396"/>
      <c r="L530" s="396"/>
      <c r="M530" s="396"/>
      <c r="N530" s="396"/>
      <c r="O530" s="396"/>
      <c r="P530" s="396"/>
      <c r="Q530" s="396"/>
      <c r="R530" s="396"/>
      <c r="S530" s="396"/>
      <c r="T530" s="396"/>
      <c r="U530" s="396"/>
      <c r="V530" s="396"/>
      <c r="W530" s="396"/>
      <c r="X530" s="396"/>
      <c r="Y530" s="396"/>
      <c r="Z530" s="396"/>
      <c r="AA530" s="396"/>
      <c r="AB530" s="1136"/>
      <c r="AC530" s="1136"/>
      <c r="AD530" s="1136"/>
      <c r="AE530" s="1136"/>
      <c r="AF530" s="1136"/>
      <c r="AG530" s="1136"/>
      <c r="AH530" s="1136"/>
      <c r="AI530" s="1136"/>
      <c r="AJ530" s="1136"/>
      <c r="AK530" s="1136"/>
      <c r="AL530" s="1136"/>
      <c r="AM530" s="1136"/>
      <c r="AN530" s="1136"/>
      <c r="AO530" s="1136"/>
      <c r="AP530" s="1136"/>
      <c r="AQ530" s="1136"/>
      <c r="AR530" s="1136"/>
      <c r="AS530" s="1136"/>
      <c r="AT530" s="1136"/>
      <c r="AU530" s="1136"/>
      <c r="AV530" s="1136"/>
      <c r="AW530" s="1136"/>
      <c r="AX530" s="1136"/>
      <c r="AY530" s="1136"/>
      <c r="AZ530" s="340"/>
      <c r="BA530" s="340"/>
      <c r="BB530" s="340"/>
      <c r="BC530" s="340"/>
      <c r="BD530" s="340"/>
      <c r="BE530" s="340"/>
      <c r="BF530" s="374"/>
      <c r="BG530" s="361"/>
      <c r="BH530" s="340"/>
      <c r="BI530" s="361"/>
      <c r="BJ530" s="340"/>
      <c r="BK530" s="340"/>
      <c r="BL530" s="340"/>
      <c r="BM530" s="340"/>
      <c r="BN530" s="340"/>
      <c r="BO530" s="340"/>
    </row>
    <row r="531" spans="1:67" ht="14.25" customHeight="1">
      <c r="A531" s="1"/>
      <c r="B531" s="1328" t="s">
        <v>394</v>
      </c>
      <c r="C531" s="1329"/>
      <c r="D531" s="598" t="str">
        <f t="shared" ref="D531:AD531" si="1100">IF(ABS(D501-D526)&lt;1,"OK",D501-D526)</f>
        <v>OK</v>
      </c>
      <c r="E531" s="599" t="str">
        <f t="shared" si="1100"/>
        <v>OK</v>
      </c>
      <c r="F531" s="599" t="str">
        <f t="shared" si="1100"/>
        <v>OK</v>
      </c>
      <c r="G531" s="600" t="str">
        <f t="shared" si="1100"/>
        <v>OK</v>
      </c>
      <c r="H531" s="598" t="str">
        <f t="shared" si="1100"/>
        <v>OK</v>
      </c>
      <c r="I531" s="599" t="str">
        <f t="shared" si="1100"/>
        <v>OK</v>
      </c>
      <c r="J531" s="599" t="str">
        <f t="shared" si="1100"/>
        <v>OK</v>
      </c>
      <c r="K531" s="600" t="str">
        <f t="shared" si="1100"/>
        <v>OK</v>
      </c>
      <c r="L531" s="598" t="str">
        <f t="shared" si="1100"/>
        <v>OK</v>
      </c>
      <c r="M531" s="599" t="str">
        <f t="shared" si="1100"/>
        <v>OK</v>
      </c>
      <c r="N531" s="599" t="str">
        <f t="shared" si="1100"/>
        <v>OK</v>
      </c>
      <c r="O531" s="600" t="str">
        <f t="shared" si="1100"/>
        <v>OK</v>
      </c>
      <c r="P531" s="598" t="str">
        <f t="shared" si="1100"/>
        <v>OK</v>
      </c>
      <c r="Q531" s="599" t="str">
        <f t="shared" si="1100"/>
        <v>OK</v>
      </c>
      <c r="R531" s="599" t="str">
        <f t="shared" si="1100"/>
        <v>OK</v>
      </c>
      <c r="S531" s="600" t="str">
        <f t="shared" si="1100"/>
        <v>OK</v>
      </c>
      <c r="T531" s="598" t="str">
        <f t="shared" si="1100"/>
        <v>OK</v>
      </c>
      <c r="U531" s="599" t="str">
        <f>IF(ABS(U501-U526)&lt;1,"OK",U501-U526)</f>
        <v>OK</v>
      </c>
      <c r="V531" s="599" t="str">
        <f t="shared" si="1100"/>
        <v>OK</v>
      </c>
      <c r="W531" s="600" t="str">
        <f>IF(ABS(W501-W526)&lt;1,"OK",W501-W526)</f>
        <v>OK</v>
      </c>
      <c r="X531" s="598" t="str">
        <f t="shared" si="1100"/>
        <v>OK</v>
      </c>
      <c r="Y531" s="599" t="str">
        <f t="shared" si="1100"/>
        <v>OK</v>
      </c>
      <c r="Z531" s="599" t="str">
        <f t="shared" si="1100"/>
        <v>OK</v>
      </c>
      <c r="AA531" s="600" t="str">
        <f>IF(ABS(AA501-AA526)&lt;1,"OK",AA501-AA526)</f>
        <v>OK</v>
      </c>
      <c r="AB531" s="598" t="str">
        <f>IF(ABS(AB501-AB526)&lt;1,"OK",AB501-AB526)</f>
        <v>OK</v>
      </c>
      <c r="AC531" s="599" t="str">
        <f t="shared" si="1100"/>
        <v>OK</v>
      </c>
      <c r="AD531" s="599" t="str">
        <f t="shared" si="1100"/>
        <v>OK</v>
      </c>
      <c r="AE531" s="600" t="str">
        <f t="shared" ref="AE531:AI531" si="1101">IF(ABS(AE501-AE526)&lt;1,"OK",AE501-AE526)</f>
        <v>OK</v>
      </c>
      <c r="AF531" s="598" t="str">
        <f t="shared" si="1101"/>
        <v>OK</v>
      </c>
      <c r="AG531" s="599" t="str">
        <f t="shared" si="1101"/>
        <v>OK</v>
      </c>
      <c r="AH531" s="599" t="str">
        <f>IF(ABS(AH501-AH526)&lt;1,"OK",AH501-AH526)</f>
        <v>OK</v>
      </c>
      <c r="AI531" s="600" t="str">
        <f t="shared" si="1101"/>
        <v>OK</v>
      </c>
      <c r="AJ531" s="598" t="str">
        <f t="shared" ref="AJ531:AO531" si="1102">IF(ABS(AJ501-AJ526)&lt;1,"OK",AJ501-AJ526)</f>
        <v>OK</v>
      </c>
      <c r="AK531" s="599" t="str">
        <f t="shared" si="1102"/>
        <v>OK</v>
      </c>
      <c r="AL531" s="599" t="str">
        <f t="shared" si="1102"/>
        <v>OK</v>
      </c>
      <c r="AM531" s="600" t="str">
        <f t="shared" si="1102"/>
        <v>OK</v>
      </c>
      <c r="AN531" s="598" t="str">
        <f t="shared" si="1102"/>
        <v>OK</v>
      </c>
      <c r="AO531" s="599" t="str">
        <f t="shared" si="1102"/>
        <v>OK</v>
      </c>
      <c r="AP531" s="599" t="str">
        <f t="shared" ref="AP531:AQ531" si="1103">IF(ABS(AP501-AP526)&lt;1,"OK",AP501-AP526)</f>
        <v>OK</v>
      </c>
      <c r="AQ531" s="600" t="str">
        <f t="shared" si="1103"/>
        <v>OK</v>
      </c>
      <c r="AR531" s="598" t="str">
        <f t="shared" ref="AR531:AU531" si="1104">IF(ABS(AR501-AR526)&lt;1,"OK",AR501-AR526)</f>
        <v>OK</v>
      </c>
      <c r="AS531" s="599" t="str">
        <f t="shared" si="1104"/>
        <v>OK</v>
      </c>
      <c r="AT531" s="599" t="str">
        <f t="shared" si="1104"/>
        <v>OK</v>
      </c>
      <c r="AU531" s="600" t="str">
        <f t="shared" si="1104"/>
        <v>OK</v>
      </c>
      <c r="AV531" s="598" t="str">
        <f t="shared" ref="AV531:AY531" si="1105">IF(ABS(AV501-AV526)&lt;1,"OK",AV501-AV526)</f>
        <v>OK</v>
      </c>
      <c r="AW531" s="599" t="str">
        <f t="shared" si="1105"/>
        <v>OK</v>
      </c>
      <c r="AX531" s="599" t="str">
        <f t="shared" si="1105"/>
        <v>OK</v>
      </c>
      <c r="AY531" s="600" t="str">
        <f t="shared" si="1105"/>
        <v>OK</v>
      </c>
      <c r="AZ531" s="20"/>
      <c r="BA531" s="598" t="str">
        <f t="shared" ref="BA531:BI531" si="1106">IF(ABS(BA501-BA526)&lt;1,"OK",BA501-BA526)</f>
        <v>OK</v>
      </c>
      <c r="BB531" s="599" t="str">
        <f t="shared" si="1106"/>
        <v>OK</v>
      </c>
      <c r="BC531" s="599" t="str">
        <f t="shared" si="1106"/>
        <v>OK</v>
      </c>
      <c r="BD531" s="599">
        <f t="shared" si="1106"/>
        <v>101</v>
      </c>
      <c r="BE531" s="599">
        <f t="shared" si="1106"/>
        <v>9</v>
      </c>
      <c r="BF531" s="598">
        <f t="shared" si="1106"/>
        <v>3</v>
      </c>
      <c r="BG531" s="598" t="str">
        <f t="shared" si="1106"/>
        <v>OK</v>
      </c>
      <c r="BH531" s="599" t="str">
        <f t="shared" si="1106"/>
        <v>OK</v>
      </c>
      <c r="BI531" s="598" t="str">
        <f t="shared" si="1106"/>
        <v>OK</v>
      </c>
      <c r="BJ531" s="1521" t="str">
        <f>IF(ABS(BJ501-BJ526)&lt;1,"OK",BJ501-BJ526)</f>
        <v>OK</v>
      </c>
      <c r="BK531" s="1521" t="str">
        <f>IF(ABS(BK501-BK526)&lt;1,"OK",BK501-BK526)</f>
        <v>OK</v>
      </c>
      <c r="BL531" s="1521" t="str">
        <f>IF(ABS(BL501-BL526)&lt;1,"OK",BL501-BL526)</f>
        <v>OK</v>
      </c>
      <c r="BM531" s="1521">
        <f>IF(ABS(BM501-BM526)&lt;1,"OK",BM501-BM526)</f>
        <v>50.659524583999882</v>
      </c>
      <c r="BN531" s="1521">
        <f>IF(ABS(BN501-BN526)&lt;1,"OK",BN501-BN526)</f>
        <v>41.967759765921073</v>
      </c>
      <c r="BO531" s="299"/>
    </row>
    <row r="532" spans="1:67" ht="14.25" hidden="1" customHeight="1" outlineLevel="1">
      <c r="A532" s="1"/>
      <c r="B532" s="433" t="s">
        <v>395</v>
      </c>
      <c r="C532" s="293"/>
      <c r="D532" s="393" t="str">
        <f t="shared" ref="D532:AD532" si="1107">IF(ABS(D505-D527)&lt;1,"OK",D505-D527)</f>
        <v>OK</v>
      </c>
      <c r="E532" s="394" t="str">
        <f t="shared" si="1107"/>
        <v>OK</v>
      </c>
      <c r="F532" s="394" t="str">
        <f t="shared" si="1107"/>
        <v>OK</v>
      </c>
      <c r="G532" s="395" t="str">
        <f t="shared" si="1107"/>
        <v>OK</v>
      </c>
      <c r="H532" s="393" t="str">
        <f t="shared" si="1107"/>
        <v>OK</v>
      </c>
      <c r="I532" s="394" t="str">
        <f t="shared" si="1107"/>
        <v>OK</v>
      </c>
      <c r="J532" s="394" t="str">
        <f t="shared" si="1107"/>
        <v>OK</v>
      </c>
      <c r="K532" s="395" t="str">
        <f t="shared" si="1107"/>
        <v>OK</v>
      </c>
      <c r="L532" s="393" t="str">
        <f t="shared" si="1107"/>
        <v>OK</v>
      </c>
      <c r="M532" s="394" t="str">
        <f t="shared" si="1107"/>
        <v>OK</v>
      </c>
      <c r="N532" s="394" t="str">
        <f t="shared" si="1107"/>
        <v>OK</v>
      </c>
      <c r="O532" s="395" t="str">
        <f t="shared" si="1107"/>
        <v>OK</v>
      </c>
      <c r="P532" s="393" t="str">
        <f t="shared" si="1107"/>
        <v>OK</v>
      </c>
      <c r="Q532" s="394" t="str">
        <f t="shared" si="1107"/>
        <v>OK</v>
      </c>
      <c r="R532" s="394" t="str">
        <f t="shared" si="1107"/>
        <v>OK</v>
      </c>
      <c r="S532" s="395" t="str">
        <f t="shared" si="1107"/>
        <v>OK</v>
      </c>
      <c r="T532" s="393" t="str">
        <f t="shared" si="1107"/>
        <v>OK</v>
      </c>
      <c r="U532" s="394" t="str">
        <f t="shared" si="1107"/>
        <v>OK</v>
      </c>
      <c r="V532" s="394" t="str">
        <f t="shared" si="1107"/>
        <v>OK</v>
      </c>
      <c r="W532" s="395" t="str">
        <f t="shared" si="1107"/>
        <v>OK</v>
      </c>
      <c r="X532" s="393" t="str">
        <f t="shared" si="1107"/>
        <v>OK</v>
      </c>
      <c r="Y532" s="394" t="str">
        <f t="shared" si="1107"/>
        <v>OK</v>
      </c>
      <c r="Z532" s="394" t="str">
        <f t="shared" si="1107"/>
        <v>OK</v>
      </c>
      <c r="AA532" s="395" t="str">
        <f t="shared" si="1107"/>
        <v>OK</v>
      </c>
      <c r="AB532" s="393">
        <f t="shared" si="1107"/>
        <v>-1</v>
      </c>
      <c r="AC532" s="394" t="str">
        <f t="shared" si="1107"/>
        <v>OK</v>
      </c>
      <c r="AD532" s="394" t="str">
        <f t="shared" si="1107"/>
        <v>OK</v>
      </c>
      <c r="AE532" s="395" t="str">
        <f t="shared" ref="AE532:AM532" si="1108">IF(ABS(AE505-AE527)&lt;1,"OK",AE505-AE527)</f>
        <v>OK</v>
      </c>
      <c r="AF532" s="393" t="str">
        <f t="shared" si="1108"/>
        <v>OK</v>
      </c>
      <c r="AG532" s="394" t="str">
        <f t="shared" si="1108"/>
        <v>OK</v>
      </c>
      <c r="AH532" s="394" t="str">
        <f t="shared" si="1108"/>
        <v>OK</v>
      </c>
      <c r="AI532" s="395" t="str">
        <f>IF(ABS(AI505-AI527)&lt;1,"OK",AI505-AI527)</f>
        <v>OK</v>
      </c>
      <c r="AJ532" s="393" t="str">
        <f>IF(ABS(AJ505-AJ527)&lt;1,"OK",AJ505-AJ527)</f>
        <v>OK</v>
      </c>
      <c r="AK532" s="394">
        <f t="shared" si="1108"/>
        <v>-5</v>
      </c>
      <c r="AL532" s="394" t="str">
        <f t="shared" si="1108"/>
        <v>OK</v>
      </c>
      <c r="AM532" s="395">
        <f t="shared" si="1108"/>
        <v>187</v>
      </c>
      <c r="AN532" s="393">
        <f t="shared" ref="AN532:AU532" si="1109">IF(ABS(AN510-AN527)&lt;1,"OK",AN510-AN527)</f>
        <v>95</v>
      </c>
      <c r="AO532" s="394">
        <f t="shared" ref="AO532" si="1110">IF(ABS(AO505-AO527)&lt;1,"OK",AO505-AO527)</f>
        <v>-10</v>
      </c>
      <c r="AP532" s="394" t="str">
        <f t="shared" si="1109"/>
        <v>OK</v>
      </c>
      <c r="AQ532" s="395" t="str">
        <f t="shared" si="1109"/>
        <v>OK</v>
      </c>
      <c r="AR532" s="393" t="str">
        <f t="shared" si="1109"/>
        <v>OK</v>
      </c>
      <c r="AS532" s="394" t="str">
        <f t="shared" si="1109"/>
        <v>OK</v>
      </c>
      <c r="AT532" s="394" t="str">
        <f t="shared" si="1109"/>
        <v>OK</v>
      </c>
      <c r="AU532" s="395" t="str">
        <f t="shared" si="1109"/>
        <v>OK</v>
      </c>
      <c r="AV532" s="1944"/>
      <c r="AW532" s="392"/>
      <c r="AX532" s="392"/>
      <c r="AY532" s="392"/>
      <c r="AZ532" s="246"/>
      <c r="BA532" s="306" t="str">
        <f t="shared" ref="BA532:BI532" si="1111">IF(ABS(BA505-BA527)&lt;1,"OK",BA505-BA527)</f>
        <v>OK</v>
      </c>
      <c r="BB532" s="306" t="str">
        <f t="shared" si="1111"/>
        <v>OK</v>
      </c>
      <c r="BC532" s="306" t="str">
        <f t="shared" si="1111"/>
        <v>OK</v>
      </c>
      <c r="BD532" s="306" t="str">
        <f t="shared" si="1111"/>
        <v>OK</v>
      </c>
      <c r="BE532" s="306" t="str">
        <f t="shared" si="1111"/>
        <v>OK</v>
      </c>
      <c r="BF532" s="393" t="str">
        <f t="shared" si="1111"/>
        <v>OK</v>
      </c>
      <c r="BG532" s="394">
        <f t="shared" si="1111"/>
        <v>-1</v>
      </c>
      <c r="BH532" s="394" t="str">
        <f t="shared" si="1111"/>
        <v>OK</v>
      </c>
      <c r="BI532" s="394">
        <f t="shared" si="1111"/>
        <v>182</v>
      </c>
      <c r="BJ532" s="1222">
        <f>IF(ABS(BJ505-BJ527)&lt;1,"OK",BJ505-BJ527)</f>
        <v>95</v>
      </c>
      <c r="BK532" s="306"/>
      <c r="BL532" s="1222"/>
      <c r="BM532" s="1222"/>
      <c r="BN532" s="1222"/>
      <c r="BO532" s="299"/>
    </row>
    <row r="533" spans="1:67" ht="14.25" hidden="1" customHeight="1" outlineLevel="1">
      <c r="A533" s="1"/>
      <c r="B533" s="433" t="s">
        <v>396</v>
      </c>
      <c r="C533" s="293"/>
      <c r="D533" s="393" t="str">
        <f t="shared" ref="D533:AD533" si="1112">IF(ABS(D510-D528)&lt;1,"OK",D510-D528)</f>
        <v>OK</v>
      </c>
      <c r="E533" s="394" t="str">
        <f t="shared" si="1112"/>
        <v>OK</v>
      </c>
      <c r="F533" s="394" t="str">
        <f t="shared" si="1112"/>
        <v>OK</v>
      </c>
      <c r="G533" s="395" t="str">
        <f t="shared" si="1112"/>
        <v>OK</v>
      </c>
      <c r="H533" s="393" t="str">
        <f t="shared" si="1112"/>
        <v>OK</v>
      </c>
      <c r="I533" s="394" t="str">
        <f t="shared" si="1112"/>
        <v>OK</v>
      </c>
      <c r="J533" s="394" t="str">
        <f t="shared" si="1112"/>
        <v>OK</v>
      </c>
      <c r="K533" s="395" t="str">
        <f t="shared" si="1112"/>
        <v>OK</v>
      </c>
      <c r="L533" s="393" t="str">
        <f t="shared" si="1112"/>
        <v>OK</v>
      </c>
      <c r="M533" s="394" t="str">
        <f t="shared" si="1112"/>
        <v>OK</v>
      </c>
      <c r="N533" s="394" t="str">
        <f t="shared" si="1112"/>
        <v>OK</v>
      </c>
      <c r="O533" s="395" t="str">
        <f t="shared" si="1112"/>
        <v>OK</v>
      </c>
      <c r="P533" s="393" t="str">
        <f t="shared" si="1112"/>
        <v>OK</v>
      </c>
      <c r="Q533" s="394" t="str">
        <f t="shared" si="1112"/>
        <v>OK</v>
      </c>
      <c r="R533" s="394" t="str">
        <f t="shared" si="1112"/>
        <v>OK</v>
      </c>
      <c r="S533" s="395" t="str">
        <f t="shared" si="1112"/>
        <v>OK</v>
      </c>
      <c r="T533" s="393" t="str">
        <f t="shared" si="1112"/>
        <v>OK</v>
      </c>
      <c r="U533" s="394" t="str">
        <f t="shared" si="1112"/>
        <v>OK</v>
      </c>
      <c r="V533" s="394" t="str">
        <f t="shared" si="1112"/>
        <v>OK</v>
      </c>
      <c r="W533" s="395" t="str">
        <f>IF(ABS(W510-W528)&lt;1,"OK",W510-W528)</f>
        <v>OK</v>
      </c>
      <c r="X533" s="393" t="str">
        <f t="shared" si="1112"/>
        <v>OK</v>
      </c>
      <c r="Y533" s="394" t="str">
        <f t="shared" si="1112"/>
        <v>OK</v>
      </c>
      <c r="Z533" s="394" t="str">
        <f t="shared" si="1112"/>
        <v>OK</v>
      </c>
      <c r="AA533" s="395" t="str">
        <f t="shared" si="1112"/>
        <v>OK</v>
      </c>
      <c r="AB533" s="393">
        <f t="shared" si="1112"/>
        <v>-1</v>
      </c>
      <c r="AC533" s="394" t="str">
        <f t="shared" si="1112"/>
        <v>OK</v>
      </c>
      <c r="AD533" s="394" t="str">
        <f t="shared" si="1112"/>
        <v>OK</v>
      </c>
      <c r="AE533" s="395" t="str">
        <f t="shared" ref="AE533:AM533" si="1113">IF(ABS(AE510-AE528)&lt;1,"OK",AE510-AE528)</f>
        <v>OK</v>
      </c>
      <c r="AF533" s="393" t="str">
        <f t="shared" si="1113"/>
        <v>OK</v>
      </c>
      <c r="AG533" s="394" t="str">
        <f t="shared" si="1113"/>
        <v>OK</v>
      </c>
      <c r="AH533" s="394" t="str">
        <f t="shared" si="1113"/>
        <v>OK</v>
      </c>
      <c r="AI533" s="395" t="str">
        <f t="shared" si="1113"/>
        <v>OK</v>
      </c>
      <c r="AJ533" s="393" t="str">
        <f>IF(ABS(AJ510-AJ528)&lt;1,"OK",AJ510-AJ528)</f>
        <v>OK</v>
      </c>
      <c r="AK533" s="394">
        <f t="shared" si="1113"/>
        <v>734</v>
      </c>
      <c r="AL533" s="394">
        <f t="shared" si="1113"/>
        <v>4</v>
      </c>
      <c r="AM533" s="395">
        <f t="shared" si="1113"/>
        <v>12</v>
      </c>
      <c r="AN533" s="393"/>
      <c r="AO533" s="394"/>
      <c r="AP533" s="394"/>
      <c r="AQ533" s="395"/>
      <c r="AR533" s="393"/>
      <c r="AS533" s="394"/>
      <c r="AT533" s="394"/>
      <c r="AU533" s="395"/>
      <c r="AV533" s="1944"/>
      <c r="AW533" s="392"/>
      <c r="AX533" s="392"/>
      <c r="AY533" s="392"/>
      <c r="AZ533" s="246"/>
      <c r="BA533" s="306" t="str">
        <f t="shared" ref="BA533:BM533" si="1114">IF(ABS(BA510-BA528)&lt;1,"OK",BA510-BA528)</f>
        <v>OK</v>
      </c>
      <c r="BB533" s="306" t="str">
        <f t="shared" si="1114"/>
        <v>OK</v>
      </c>
      <c r="BC533" s="306">
        <f t="shared" si="1114"/>
        <v>1125</v>
      </c>
      <c r="BD533" s="306">
        <f t="shared" si="1114"/>
        <v>1875</v>
      </c>
      <c r="BE533" s="306">
        <f t="shared" si="1114"/>
        <v>1988</v>
      </c>
      <c r="BF533" s="306">
        <f t="shared" si="1114"/>
        <v>1994</v>
      </c>
      <c r="BG533" s="306">
        <f t="shared" si="1114"/>
        <v>319</v>
      </c>
      <c r="BH533" s="306" t="str">
        <f t="shared" si="1114"/>
        <v>OK</v>
      </c>
      <c r="BI533" s="306">
        <f t="shared" si="1114"/>
        <v>3015</v>
      </c>
      <c r="BJ533" s="306">
        <f>IF(ABS(BJ510-BJ528)&lt;1,"OK",BJ510-BJ528)</f>
        <v>3927.8519999999999</v>
      </c>
      <c r="BK533" s="306">
        <f t="shared" si="1114"/>
        <v>4871.0079999999998</v>
      </c>
      <c r="BL533" s="306">
        <f t="shared" si="1114"/>
        <v>5323.6267054923992</v>
      </c>
      <c r="BM533" s="306">
        <f t="shared" si="1114"/>
        <v>5586.4728658652166</v>
      </c>
      <c r="BN533" s="306">
        <f t="shared" ref="BN533" si="1115">IF(ABS(BN510-BN528)&lt;1,"OK",BN510-BN528)</f>
        <v>5825.980146769175</v>
      </c>
      <c r="BO533" s="299"/>
    </row>
    <row r="534" spans="1:67" ht="14.25" hidden="1" customHeight="1" outlineLevel="1">
      <c r="A534" s="1"/>
      <c r="B534" s="433" t="s">
        <v>397</v>
      </c>
      <c r="C534" s="293"/>
      <c r="D534" s="598" t="str">
        <f t="shared" ref="D534:AD534" si="1116">IF(ABS(D516-D529)&lt;1,"OK",D516-D529)</f>
        <v>OK</v>
      </c>
      <c r="E534" s="599" t="str">
        <f t="shared" si="1116"/>
        <v>OK</v>
      </c>
      <c r="F534" s="599" t="str">
        <f t="shared" si="1116"/>
        <v>OK</v>
      </c>
      <c r="G534" s="600" t="str">
        <f t="shared" si="1116"/>
        <v>OK</v>
      </c>
      <c r="H534" s="598" t="str">
        <f t="shared" si="1116"/>
        <v>OK</v>
      </c>
      <c r="I534" s="599" t="str">
        <f t="shared" si="1116"/>
        <v>OK</v>
      </c>
      <c r="J534" s="599" t="str">
        <f t="shared" si="1116"/>
        <v>OK</v>
      </c>
      <c r="K534" s="600" t="str">
        <f t="shared" si="1116"/>
        <v>OK</v>
      </c>
      <c r="L534" s="598" t="str">
        <f t="shared" si="1116"/>
        <v>OK</v>
      </c>
      <c r="M534" s="599" t="str">
        <f t="shared" si="1116"/>
        <v>OK</v>
      </c>
      <c r="N534" s="599" t="str">
        <f t="shared" si="1116"/>
        <v>OK</v>
      </c>
      <c r="O534" s="600" t="str">
        <f t="shared" si="1116"/>
        <v>OK</v>
      </c>
      <c r="P534" s="598" t="str">
        <f t="shared" si="1116"/>
        <v>OK</v>
      </c>
      <c r="Q534" s="599" t="str">
        <f t="shared" si="1116"/>
        <v>OK</v>
      </c>
      <c r="R534" s="599" t="str">
        <f t="shared" si="1116"/>
        <v>OK</v>
      </c>
      <c r="S534" s="600" t="str">
        <f t="shared" si="1116"/>
        <v>OK</v>
      </c>
      <c r="T534" s="598" t="str">
        <f t="shared" si="1116"/>
        <v>OK</v>
      </c>
      <c r="U534" s="599" t="str">
        <f t="shared" si="1116"/>
        <v>OK</v>
      </c>
      <c r="V534" s="599" t="str">
        <f t="shared" si="1116"/>
        <v>OK</v>
      </c>
      <c r="W534" s="600" t="str">
        <f t="shared" si="1116"/>
        <v>OK</v>
      </c>
      <c r="X534" s="598" t="str">
        <f t="shared" si="1116"/>
        <v>OK</v>
      </c>
      <c r="Y534" s="599" t="str">
        <f t="shared" si="1116"/>
        <v>OK</v>
      </c>
      <c r="Z534" s="599" t="str">
        <f t="shared" si="1116"/>
        <v>OK</v>
      </c>
      <c r="AA534" s="600" t="str">
        <f t="shared" si="1116"/>
        <v>OK</v>
      </c>
      <c r="AB534" s="598">
        <f t="shared" si="1116"/>
        <v>8</v>
      </c>
      <c r="AC534" s="599" t="str">
        <f t="shared" si="1116"/>
        <v>OK</v>
      </c>
      <c r="AD534" s="599" t="str">
        <f t="shared" si="1116"/>
        <v>OK</v>
      </c>
      <c r="AE534" s="600" t="str">
        <f t="shared" ref="AE534:AM534" si="1117">IF(ABS(AE516-AE529)&lt;1,"OK",AE516-AE529)</f>
        <v>OK</v>
      </c>
      <c r="AF534" s="598">
        <f t="shared" si="1117"/>
        <v>-1</v>
      </c>
      <c r="AG534" s="599" t="str">
        <f t="shared" si="1117"/>
        <v>OK</v>
      </c>
      <c r="AH534" s="599">
        <f>IF(ABS(AH516-AH529)&lt;1,"OK",AH516-AH529)</f>
        <v>-5</v>
      </c>
      <c r="AI534" s="600">
        <f t="shared" si="1117"/>
        <v>-8</v>
      </c>
      <c r="AJ534" s="598" t="str">
        <f>IF(ABS(AJ516-AJ529)&lt;1,"OK",AJ516-AJ529)</f>
        <v>OK</v>
      </c>
      <c r="AK534" s="599" t="str">
        <f t="shared" si="1117"/>
        <v>OK</v>
      </c>
      <c r="AL534" s="599">
        <f t="shared" si="1117"/>
        <v>-73</v>
      </c>
      <c r="AM534" s="600">
        <f t="shared" si="1117"/>
        <v>-711</v>
      </c>
      <c r="AN534" s="598"/>
      <c r="AO534" s="599" t="str">
        <f t="shared" ref="AO534" si="1118">IF(ABS(AO516-AO529)&lt;1,"OK",AO516-AO529)</f>
        <v>OK</v>
      </c>
      <c r="AP534" s="599"/>
      <c r="AQ534" s="600"/>
      <c r="AR534" s="598"/>
      <c r="AS534" s="599"/>
      <c r="AT534" s="599"/>
      <c r="AU534" s="600"/>
      <c r="AV534" s="1945"/>
      <c r="AW534" s="395"/>
      <c r="AX534" s="395"/>
      <c r="AY534" s="395"/>
      <c r="AZ534" s="20"/>
      <c r="BA534" s="306" t="str">
        <f t="shared" ref="BA534:BM534" si="1119">IF(ABS(BA516-BA529)&lt;1,"OK",BA516-BA529)</f>
        <v>OK</v>
      </c>
      <c r="BB534" s="306" t="str">
        <f t="shared" si="1119"/>
        <v>OK</v>
      </c>
      <c r="BC534" s="306" t="str">
        <f t="shared" si="1119"/>
        <v>OK</v>
      </c>
      <c r="BD534" s="306" t="str">
        <f t="shared" si="1119"/>
        <v>OK</v>
      </c>
      <c r="BE534" s="306" t="str">
        <f t="shared" si="1119"/>
        <v>OK</v>
      </c>
      <c r="BF534" s="306" t="str">
        <f t="shared" si="1119"/>
        <v>OK</v>
      </c>
      <c r="BG534" s="306">
        <f t="shared" si="1119"/>
        <v>-638</v>
      </c>
      <c r="BH534" s="306">
        <f t="shared" si="1119"/>
        <v>-1050</v>
      </c>
      <c r="BI534" s="306">
        <f t="shared" si="1119"/>
        <v>-2015</v>
      </c>
      <c r="BJ534" s="306">
        <f>IF(ABS(BJ516-BJ529)&lt;1,"OK",BJ516-BJ529)</f>
        <v>-666.08824712479509</v>
      </c>
      <c r="BK534" s="306">
        <f t="shared" si="1119"/>
        <v>-2148.3014028703956</v>
      </c>
      <c r="BL534" s="306">
        <f t="shared" si="1119"/>
        <v>-2556.253622299052</v>
      </c>
      <c r="BM534" s="306" t="str">
        <f t="shared" si="1119"/>
        <v>OK</v>
      </c>
      <c r="BN534" s="306" t="str">
        <f t="shared" ref="BN534" si="1120">IF(ABS(BN516-BN529)&lt;1,"OK",BN516-BN529)</f>
        <v>OK</v>
      </c>
      <c r="BO534" s="299"/>
    </row>
    <row r="535" spans="1:67" ht="14.25" customHeight="1" collapsed="1">
      <c r="A535" s="1"/>
      <c r="B535" s="443"/>
      <c r="C535" s="390"/>
      <c r="D535" s="391"/>
      <c r="E535" s="391"/>
      <c r="F535" s="391"/>
      <c r="G535" s="391"/>
      <c r="H535" s="391"/>
      <c r="I535" s="391"/>
      <c r="J535" s="391"/>
      <c r="K535" s="391"/>
      <c r="L535" s="391"/>
      <c r="M535" s="391"/>
      <c r="N535" s="391"/>
      <c r="O535" s="391"/>
      <c r="P535" s="391"/>
      <c r="Q535" s="391"/>
      <c r="R535" s="391"/>
      <c r="S535" s="391"/>
      <c r="T535" s="391"/>
      <c r="U535" s="391"/>
      <c r="V535" s="391"/>
      <c r="W535" s="391"/>
      <c r="X535" s="391"/>
      <c r="Y535" s="391"/>
      <c r="Z535" s="391"/>
      <c r="AA535" s="391"/>
      <c r="AB535" s="306"/>
      <c r="AC535" s="306"/>
      <c r="AD535" s="306"/>
      <c r="AE535" s="306"/>
      <c r="AF535" s="306"/>
      <c r="AG535" s="306"/>
      <c r="AH535" s="306"/>
      <c r="AI535" s="306"/>
      <c r="AJ535" s="306"/>
      <c r="AK535" s="306"/>
      <c r="AL535" s="306"/>
      <c r="AM535" s="306"/>
      <c r="AN535" s="306"/>
      <c r="AO535" s="306"/>
      <c r="AP535" s="306"/>
      <c r="AQ535" s="306"/>
      <c r="AR535" s="306"/>
      <c r="AS535" s="306"/>
      <c r="AT535" s="306"/>
      <c r="AU535" s="306"/>
      <c r="AV535" s="306"/>
      <c r="AW535" s="306"/>
      <c r="AX535" s="306"/>
      <c r="AY535" s="306"/>
      <c r="AZ535" s="8"/>
      <c r="BA535" s="314"/>
      <c r="BB535" s="314"/>
      <c r="BC535" s="391"/>
      <c r="BD535" s="391"/>
      <c r="BE535" s="391"/>
      <c r="BF535" s="391"/>
      <c r="BG535" s="306"/>
      <c r="BH535" s="306"/>
      <c r="BI535" s="306"/>
      <c r="BJ535" s="306"/>
      <c r="BK535" s="391"/>
      <c r="BL535" s="306"/>
      <c r="BM535" s="306"/>
      <c r="BN535" s="306"/>
    </row>
    <row r="536" spans="1:67" s="363" customFormat="1" ht="14.25" hidden="1" customHeight="1" outlineLevel="1">
      <c r="B536" s="444"/>
      <c r="C536" s="340"/>
      <c r="D536" s="378"/>
      <c r="E536" s="378"/>
      <c r="F536" s="378"/>
      <c r="G536" s="378"/>
      <c r="H536" s="378"/>
      <c r="I536" s="378"/>
      <c r="J536" s="378"/>
      <c r="K536" s="378"/>
      <c r="L536" s="378"/>
      <c r="M536" s="378"/>
      <c r="N536" s="378"/>
      <c r="O536" s="378"/>
      <c r="P536" s="378"/>
      <c r="Q536" s="378"/>
      <c r="R536" s="378"/>
      <c r="S536" s="378"/>
      <c r="T536" s="378"/>
      <c r="U536" s="378"/>
      <c r="V536" s="378"/>
      <c r="W536" s="378"/>
      <c r="X536" s="378"/>
      <c r="Y536" s="378"/>
      <c r="Z536" s="378"/>
      <c r="AA536" s="378"/>
      <c r="AB536" s="378"/>
      <c r="AC536" s="378"/>
      <c r="AD536" s="378"/>
      <c r="AE536" s="378"/>
      <c r="AF536" s="378"/>
      <c r="AG536" s="378"/>
      <c r="AH536" s="378"/>
      <c r="AI536" s="378"/>
      <c r="AJ536" s="378"/>
      <c r="AK536" s="378"/>
      <c r="AL536" s="378"/>
      <c r="AM536" s="378"/>
      <c r="AN536" s="378"/>
      <c r="AO536" s="378"/>
      <c r="AP536" s="378"/>
      <c r="AQ536" s="378"/>
      <c r="AR536" s="378"/>
      <c r="AS536" s="378"/>
      <c r="AT536" s="378"/>
      <c r="AU536" s="378"/>
      <c r="AV536" s="378"/>
      <c r="AW536" s="378"/>
      <c r="AX536" s="378"/>
      <c r="AY536" s="378"/>
      <c r="AZ536" s="350"/>
      <c r="BA536" s="379"/>
      <c r="BB536" s="379"/>
      <c r="BC536" s="379"/>
      <c r="BD536" s="379"/>
      <c r="BE536" s="379"/>
      <c r="BF536" s="379"/>
      <c r="BG536" s="379"/>
      <c r="BH536" s="379"/>
      <c r="BI536" s="379"/>
      <c r="BJ536" s="379"/>
      <c r="BK536" s="379"/>
      <c r="BL536" s="379"/>
      <c r="BM536" s="379"/>
      <c r="BN536" s="379"/>
    </row>
    <row r="537" spans="1:67" ht="14.25" customHeight="1" collapsed="1">
      <c r="A537" s="1"/>
      <c r="B537" s="445"/>
      <c r="C537" s="307"/>
      <c r="D537" s="308"/>
      <c r="E537" s="308"/>
      <c r="F537" s="308"/>
      <c r="G537" s="308"/>
      <c r="H537" s="308"/>
      <c r="I537" s="308"/>
      <c r="J537" s="308"/>
      <c r="K537" s="308"/>
      <c r="L537" s="308"/>
      <c r="M537" s="308"/>
      <c r="N537" s="308"/>
      <c r="O537" s="308"/>
      <c r="P537" s="308"/>
      <c r="Q537" s="308"/>
      <c r="R537" s="308"/>
      <c r="S537" s="308"/>
      <c r="T537" s="308"/>
      <c r="U537" s="308"/>
      <c r="V537" s="308"/>
      <c r="W537" s="308"/>
      <c r="X537" s="308"/>
      <c r="Y537" s="308"/>
      <c r="Z537" s="308"/>
      <c r="AA537" s="308"/>
      <c r="AB537" s="308"/>
      <c r="AC537" s="308"/>
      <c r="AD537" s="308"/>
      <c r="AE537" s="308"/>
      <c r="AF537" s="308"/>
      <c r="AG537" s="308"/>
      <c r="AH537" s="308"/>
      <c r="AI537" s="308"/>
      <c r="AJ537" s="308"/>
      <c r="AK537" s="308"/>
      <c r="AL537" s="308"/>
      <c r="AM537" s="308"/>
      <c r="AN537" s="308"/>
      <c r="AO537" s="308"/>
      <c r="AP537" s="308"/>
      <c r="AQ537" s="308"/>
      <c r="AR537" s="308"/>
      <c r="AS537" s="308"/>
      <c r="AT537" s="308"/>
      <c r="AU537" s="308"/>
      <c r="AV537" s="308"/>
      <c r="AW537" s="308"/>
      <c r="AX537" s="308"/>
      <c r="AY537" s="308"/>
      <c r="AZ537" s="1"/>
      <c r="BA537" s="193"/>
      <c r="BB537" s="193"/>
      <c r="BC537" s="308"/>
      <c r="BD537" s="308"/>
      <c r="BE537" s="308"/>
      <c r="BF537" s="308"/>
      <c r="BG537" s="308"/>
      <c r="BH537" s="308"/>
      <c r="BI537" s="308"/>
      <c r="BJ537" s="308"/>
      <c r="BK537" s="308"/>
      <c r="BL537" s="308"/>
      <c r="BM537" s="308"/>
      <c r="BN537" s="308"/>
    </row>
    <row r="538" spans="1:67" ht="14.25" customHeight="1">
      <c r="A538" s="1"/>
      <c r="B538" s="445"/>
      <c r="C538" s="307"/>
      <c r="D538" s="308"/>
      <c r="E538" s="308"/>
      <c r="F538" s="308"/>
      <c r="G538" s="308"/>
      <c r="H538" s="308"/>
      <c r="I538" s="308"/>
      <c r="J538" s="308"/>
      <c r="K538" s="308"/>
      <c r="L538" s="308"/>
      <c r="M538" s="308"/>
      <c r="N538" s="308"/>
      <c r="O538" s="308"/>
      <c r="P538" s="308"/>
      <c r="Q538" s="308"/>
      <c r="R538" s="308"/>
      <c r="S538" s="308"/>
      <c r="T538" s="308"/>
      <c r="U538" s="308"/>
      <c r="V538" s="308"/>
      <c r="W538" s="308"/>
      <c r="X538" s="308"/>
      <c r="Y538" s="308"/>
      <c r="Z538" s="308"/>
      <c r="AA538" s="308"/>
      <c r="AB538" s="308"/>
      <c r="AC538" s="308"/>
      <c r="AD538" s="308"/>
      <c r="AE538" s="308"/>
      <c r="AF538" s="308"/>
      <c r="AG538" s="308"/>
      <c r="AH538" s="308"/>
      <c r="AI538" s="308"/>
      <c r="AJ538" s="308"/>
      <c r="AK538" s="308"/>
      <c r="AL538" s="308"/>
      <c r="AM538" s="308"/>
      <c r="AN538" s="308"/>
      <c r="AO538" s="308"/>
      <c r="AP538" s="308"/>
      <c r="AQ538" s="308"/>
      <c r="AR538" s="308"/>
      <c r="AS538" s="308"/>
      <c r="AT538" s="308"/>
      <c r="AU538" s="308"/>
      <c r="AV538" s="308"/>
      <c r="AW538" s="308"/>
      <c r="AX538" s="308"/>
      <c r="AY538" s="308"/>
      <c r="AZ538" s="1"/>
      <c r="BA538" s="193"/>
      <c r="BB538" s="193"/>
      <c r="BC538" s="308"/>
      <c r="BD538" s="308"/>
      <c r="BE538" s="308"/>
      <c r="BF538" s="308"/>
      <c r="BG538" s="308"/>
      <c r="BH538" s="308"/>
      <c r="BI538" s="308"/>
      <c r="BJ538" s="308"/>
      <c r="BK538" s="308"/>
      <c r="BL538" s="308"/>
      <c r="BM538" s="308"/>
      <c r="BN538" s="308"/>
    </row>
    <row r="539" spans="1:67" ht="14.25" customHeight="1">
      <c r="A539" s="1"/>
      <c r="B539" s="445"/>
      <c r="C539" s="307"/>
      <c r="D539" s="308"/>
      <c r="E539" s="308"/>
      <c r="F539" s="308"/>
      <c r="G539" s="308"/>
      <c r="H539" s="308"/>
      <c r="I539" s="308"/>
      <c r="J539" s="308"/>
      <c r="K539" s="308"/>
      <c r="L539" s="308"/>
      <c r="M539" s="308"/>
      <c r="N539" s="308"/>
      <c r="O539" s="308"/>
      <c r="P539" s="308"/>
      <c r="Q539" s="308"/>
      <c r="R539" s="308"/>
      <c r="S539" s="308"/>
      <c r="T539" s="308"/>
      <c r="U539" s="308"/>
      <c r="V539" s="308"/>
      <c r="W539" s="308"/>
      <c r="X539" s="308"/>
      <c r="Y539" s="308"/>
      <c r="Z539" s="308"/>
      <c r="AA539" s="308"/>
      <c r="AB539" s="308"/>
      <c r="AC539" s="308"/>
      <c r="AD539" s="308"/>
      <c r="AE539" s="308"/>
      <c r="AF539" s="308"/>
      <c r="AG539" s="308"/>
      <c r="AH539" s="308"/>
      <c r="AI539" s="308"/>
      <c r="AJ539" s="308"/>
      <c r="AK539" s="308"/>
      <c r="AL539" s="308"/>
      <c r="AM539" s="308"/>
      <c r="AN539" s="308"/>
      <c r="AO539" s="308"/>
      <c r="AP539" s="308"/>
      <c r="AQ539" s="308"/>
      <c r="AR539" s="308"/>
      <c r="AS539" s="308"/>
      <c r="AT539" s="308"/>
      <c r="AU539" s="308"/>
      <c r="AV539" s="308"/>
      <c r="AW539" s="308"/>
      <c r="AX539" s="308"/>
      <c r="AY539" s="308"/>
      <c r="AZ539" s="1"/>
      <c r="BA539" s="1"/>
      <c r="BB539" s="1"/>
      <c r="BC539" s="308"/>
      <c r="BD539" s="308"/>
      <c r="BE539" s="308"/>
      <c r="BF539" s="308"/>
      <c r="BG539" s="308"/>
      <c r="BH539" s="308"/>
      <c r="BI539" s="308"/>
      <c r="BJ539" s="308"/>
      <c r="BK539" s="308"/>
      <c r="BL539" s="308"/>
      <c r="BM539" s="308"/>
      <c r="BN539" s="308"/>
    </row>
    <row r="540" spans="1:67" s="797" customFormat="1" ht="14.25" customHeight="1">
      <c r="B540" s="798" t="s">
        <v>477</v>
      </c>
      <c r="C540" s="799"/>
      <c r="D540" s="799"/>
      <c r="E540" s="799"/>
      <c r="F540" s="799"/>
      <c r="G540" s="799"/>
      <c r="H540" s="799"/>
      <c r="I540" s="799"/>
      <c r="J540" s="799"/>
      <c r="K540" s="799"/>
      <c r="L540" s="799"/>
      <c r="M540" s="554">
        <v>0.62</v>
      </c>
      <c r="N540" s="554">
        <v>0.73</v>
      </c>
      <c r="O540" s="554"/>
      <c r="P540" s="554">
        <v>0.93</v>
      </c>
      <c r="Q540" s="554">
        <v>0.96</v>
      </c>
      <c r="R540" s="554">
        <v>0.99</v>
      </c>
      <c r="S540" s="800">
        <v>0.97</v>
      </c>
      <c r="T540" s="800">
        <v>0.97</v>
      </c>
      <c r="U540" s="800">
        <v>0.94</v>
      </c>
      <c r="V540" s="800">
        <v>0.79</v>
      </c>
      <c r="W540" s="800">
        <v>0.71</v>
      </c>
      <c r="X540" s="800">
        <v>0.84</v>
      </c>
      <c r="Y540" s="800">
        <v>0.92</v>
      </c>
      <c r="Z540" s="800">
        <v>0.91</v>
      </c>
      <c r="AA540" s="800">
        <v>0.85</v>
      </c>
      <c r="AB540" s="800">
        <v>0.83</v>
      </c>
      <c r="AC540" s="800">
        <v>0.9</v>
      </c>
      <c r="AD540" s="800">
        <v>0.91</v>
      </c>
      <c r="AE540" s="800">
        <v>0.95</v>
      </c>
      <c r="AF540" s="800">
        <v>0.93</v>
      </c>
      <c r="AG540" s="799"/>
      <c r="AH540" s="799"/>
      <c r="AI540" s="799"/>
      <c r="AJ540" s="799"/>
      <c r="AK540" s="799"/>
      <c r="AL540" s="799"/>
      <c r="AM540" s="799"/>
      <c r="AN540" s="799"/>
      <c r="AO540" s="799"/>
      <c r="AP540" s="799"/>
      <c r="AQ540" s="799"/>
      <c r="AR540" s="799"/>
      <c r="AS540" s="799"/>
      <c r="AT540" s="799"/>
      <c r="AU540" s="799"/>
      <c r="AV540" s="799"/>
      <c r="AW540" s="799"/>
      <c r="AX540" s="799"/>
      <c r="AY540" s="799"/>
      <c r="BC540" s="799"/>
      <c r="BD540" s="799"/>
      <c r="BE540" s="799"/>
      <c r="BF540" s="799"/>
      <c r="BG540" s="799"/>
      <c r="BH540" s="799"/>
      <c r="BI540" s="799"/>
      <c r="BJ540" s="799"/>
      <c r="BK540" s="799"/>
      <c r="BL540" s="799"/>
      <c r="BM540" s="799"/>
      <c r="BN540" s="799"/>
    </row>
    <row r="541" spans="1:67" s="801" customFormat="1" ht="14.25" customHeight="1">
      <c r="B541" s="799" t="s">
        <v>481</v>
      </c>
      <c r="C541" s="799"/>
      <c r="D541" s="799"/>
      <c r="E541" s="799"/>
      <c r="F541" s="799"/>
      <c r="G541" s="799"/>
      <c r="H541" s="799"/>
      <c r="I541" s="799"/>
      <c r="J541" s="799"/>
      <c r="K541" s="799"/>
      <c r="L541" s="799"/>
      <c r="M541" s="554"/>
      <c r="N541" s="554"/>
      <c r="O541" s="502"/>
      <c r="P541" s="502"/>
      <c r="Q541" s="502"/>
      <c r="R541" s="502"/>
      <c r="S541" s="799"/>
      <c r="T541" s="799"/>
      <c r="U541" s="799"/>
      <c r="V541" s="799"/>
      <c r="W541" s="799"/>
      <c r="X541" s="799"/>
      <c r="Y541" s="799"/>
      <c r="Z541" s="799"/>
      <c r="AA541" s="802"/>
      <c r="AB541" s="802"/>
      <c r="AC541" s="802"/>
      <c r="AD541" s="802"/>
      <c r="AE541" s="802"/>
      <c r="AF541" s="802"/>
      <c r="AG541" s="802"/>
      <c r="AH541" s="802"/>
      <c r="AI541" s="802"/>
      <c r="AJ541" s="802"/>
      <c r="AK541" s="802"/>
      <c r="AL541" s="802"/>
      <c r="AM541" s="802"/>
      <c r="AN541" s="802"/>
      <c r="AO541" s="802"/>
      <c r="AP541" s="802"/>
      <c r="AQ541" s="802"/>
      <c r="AR541" s="802"/>
      <c r="AS541" s="802"/>
      <c r="AT541" s="802"/>
      <c r="AU541" s="802"/>
      <c r="AV541" s="802"/>
      <c r="AW541" s="802"/>
      <c r="AX541" s="802"/>
      <c r="AY541" s="802"/>
      <c r="BC541" s="802"/>
      <c r="BD541" s="802"/>
      <c r="BE541" s="802"/>
      <c r="BF541" s="802"/>
      <c r="BG541" s="802"/>
      <c r="BH541" s="802"/>
      <c r="BI541" s="802"/>
      <c r="BJ541" s="802"/>
      <c r="BK541" s="802"/>
      <c r="BL541" s="802"/>
      <c r="BM541" s="802"/>
      <c r="BN541" s="802"/>
    </row>
    <row r="542" spans="1:67" s="801" customFormat="1" ht="14.25" customHeight="1">
      <c r="B542" s="798"/>
      <c r="C542" s="799"/>
      <c r="D542" s="799"/>
      <c r="E542" s="799"/>
      <c r="F542" s="799"/>
      <c r="G542" s="799"/>
      <c r="H542" s="799"/>
      <c r="I542" s="799"/>
      <c r="J542" s="799"/>
      <c r="K542" s="799"/>
      <c r="L542" s="799"/>
      <c r="M542" s="554"/>
      <c r="N542" s="554"/>
      <c r="O542" s="502"/>
      <c r="P542" s="502"/>
      <c r="Q542" s="502"/>
      <c r="R542" s="502"/>
      <c r="S542" s="799"/>
      <c r="T542" s="799"/>
      <c r="U542" s="799"/>
      <c r="V542" s="799"/>
      <c r="W542" s="799"/>
      <c r="X542" s="799"/>
      <c r="Y542" s="799"/>
      <c r="Z542" s="799"/>
      <c r="AA542" s="802"/>
      <c r="AB542" s="802"/>
      <c r="AC542" s="802"/>
      <c r="AD542" s="802"/>
      <c r="AE542" s="802"/>
      <c r="AF542" s="802"/>
      <c r="AG542" s="802"/>
      <c r="AH542" s="802"/>
      <c r="AI542" s="802"/>
      <c r="AJ542" s="802"/>
      <c r="AK542" s="802"/>
      <c r="AL542" s="802"/>
      <c r="AM542" s="802"/>
      <c r="AN542" s="802"/>
      <c r="AO542" s="802"/>
      <c r="AP542" s="802"/>
      <c r="AQ542" s="802"/>
      <c r="AR542" s="802"/>
      <c r="AS542" s="802"/>
      <c r="AT542" s="802"/>
      <c r="AU542" s="802"/>
      <c r="AV542" s="802"/>
      <c r="AW542" s="802"/>
      <c r="AX542" s="802"/>
      <c r="AY542" s="802"/>
      <c r="BC542" s="802"/>
      <c r="BD542" s="802"/>
      <c r="BE542" s="802"/>
      <c r="BF542" s="802"/>
      <c r="BG542" s="802"/>
      <c r="BH542" s="802"/>
      <c r="BI542" s="802"/>
      <c r="BJ542" s="802"/>
      <c r="BK542" s="802"/>
      <c r="BL542" s="802"/>
      <c r="BM542" s="802"/>
      <c r="BN542" s="802"/>
    </row>
    <row r="543" spans="1:67" s="291" customFormat="1" ht="14.25" customHeight="1">
      <c r="B543" s="803" t="s">
        <v>480</v>
      </c>
      <c r="C543" s="804"/>
      <c r="D543" s="805"/>
      <c r="E543" s="805"/>
      <c r="F543" s="805"/>
      <c r="G543" s="805"/>
      <c r="H543" s="805"/>
      <c r="I543" s="805"/>
      <c r="J543" s="805"/>
      <c r="K543" s="805"/>
      <c r="L543" s="805"/>
      <c r="M543" s="805"/>
      <c r="N543" s="805"/>
      <c r="O543" s="805"/>
      <c r="P543" s="805"/>
      <c r="Q543" s="805"/>
      <c r="R543" s="805"/>
      <c r="S543" s="805"/>
      <c r="T543" s="805"/>
      <c r="U543" s="805"/>
      <c r="V543" s="805"/>
      <c r="W543" s="805"/>
      <c r="X543" s="805"/>
      <c r="Y543" s="805"/>
      <c r="Z543" s="805"/>
      <c r="AA543" s="805"/>
      <c r="AB543" s="805"/>
      <c r="AC543" s="805"/>
      <c r="AD543" s="805"/>
      <c r="AE543" s="805"/>
      <c r="AF543" s="805"/>
      <c r="AG543" s="805"/>
      <c r="AH543" s="805"/>
      <c r="AI543" s="805"/>
      <c r="AJ543" s="805"/>
      <c r="AK543" s="805"/>
      <c r="AL543" s="805"/>
      <c r="AM543" s="805"/>
      <c r="AN543" s="805"/>
      <c r="AO543" s="805"/>
      <c r="AP543" s="805"/>
      <c r="AQ543" s="805"/>
      <c r="AR543" s="805"/>
      <c r="AS543" s="805"/>
      <c r="AT543" s="805"/>
      <c r="AU543" s="805"/>
      <c r="AV543" s="805"/>
      <c r="AW543" s="805"/>
      <c r="AX543" s="805"/>
      <c r="AY543" s="805"/>
      <c r="AZ543" s="806"/>
      <c r="BA543" s="806"/>
      <c r="BB543" s="806"/>
      <c r="BC543" s="805"/>
      <c r="BD543" s="805"/>
      <c r="BE543" s="805"/>
      <c r="BF543" s="805"/>
      <c r="BG543" s="805"/>
      <c r="BH543" s="805"/>
      <c r="BI543" s="805"/>
      <c r="BJ543" s="805"/>
      <c r="BK543" s="807"/>
      <c r="BL543" s="805"/>
      <c r="BM543" s="805"/>
      <c r="BN543" s="805"/>
    </row>
    <row r="544" spans="1:67" s="291" customFormat="1" ht="14.25" customHeight="1">
      <c r="B544" s="808" t="s">
        <v>484</v>
      </c>
      <c r="C544" s="804"/>
      <c r="D544" s="805"/>
      <c r="E544" s="805"/>
      <c r="F544" s="805"/>
      <c r="G544" s="805"/>
      <c r="H544" s="805"/>
      <c r="I544" s="805"/>
      <c r="J544" s="805"/>
      <c r="K544" s="805"/>
      <c r="L544" s="805"/>
      <c r="M544" s="805"/>
      <c r="N544" s="805"/>
      <c r="O544" s="805"/>
      <c r="P544" s="805"/>
      <c r="Q544" s="805"/>
      <c r="R544" s="805"/>
      <c r="S544" s="805"/>
      <c r="T544" s="805"/>
      <c r="U544" s="805"/>
      <c r="V544" s="805"/>
      <c r="W544" s="805"/>
      <c r="X544" s="805"/>
      <c r="Y544" s="805"/>
      <c r="Z544" s="805"/>
      <c r="AA544" s="805"/>
      <c r="AB544" s="805"/>
      <c r="AC544" s="805"/>
      <c r="AD544" s="805"/>
      <c r="AE544" s="805"/>
      <c r="AF544" s="805"/>
      <c r="AG544" s="805"/>
      <c r="AH544" s="805"/>
      <c r="AI544" s="805"/>
      <c r="AJ544" s="805"/>
      <c r="AK544" s="805"/>
      <c r="AL544" s="805"/>
      <c r="AM544" s="805"/>
      <c r="AN544" s="805"/>
      <c r="AO544" s="805"/>
      <c r="AP544" s="805"/>
      <c r="AQ544" s="805"/>
      <c r="AR544" s="805"/>
      <c r="AS544" s="805"/>
      <c r="AT544" s="805"/>
      <c r="AU544" s="805"/>
      <c r="AV544" s="805"/>
      <c r="AW544" s="805"/>
      <c r="AX544" s="805"/>
      <c r="AY544" s="805"/>
      <c r="AZ544" s="806"/>
      <c r="BA544" s="806"/>
      <c r="BB544" s="806"/>
      <c r="BC544" s="805"/>
      <c r="BD544" s="805"/>
      <c r="BE544" s="805"/>
      <c r="BF544" s="805"/>
      <c r="BG544" s="805"/>
      <c r="BH544" s="805"/>
      <c r="BI544" s="805"/>
      <c r="BJ544" s="805"/>
      <c r="BK544" s="807"/>
      <c r="BL544" s="805"/>
      <c r="BM544" s="805"/>
      <c r="BN544" s="805"/>
    </row>
    <row r="545" spans="1:66" s="291" customFormat="1" ht="14.25" customHeight="1">
      <c r="B545" s="808" t="s">
        <v>249</v>
      </c>
      <c r="C545" s="804"/>
      <c r="D545" s="805"/>
      <c r="E545" s="805"/>
      <c r="F545" s="805"/>
      <c r="G545" s="805"/>
      <c r="H545" s="805"/>
      <c r="I545" s="805"/>
      <c r="J545" s="805"/>
      <c r="K545" s="805"/>
      <c r="L545" s="805"/>
      <c r="M545" s="805"/>
      <c r="N545" s="805"/>
      <c r="O545" s="805"/>
      <c r="P545" s="805"/>
      <c r="Q545" s="805"/>
      <c r="R545" s="805"/>
      <c r="S545" s="805"/>
      <c r="T545" s="805"/>
      <c r="U545" s="805"/>
      <c r="V545" s="805"/>
      <c r="W545" s="805"/>
      <c r="X545" s="805"/>
      <c r="Y545" s="805"/>
      <c r="Z545" s="805"/>
      <c r="AA545" s="805"/>
      <c r="AB545" s="805"/>
      <c r="AC545" s="805"/>
      <c r="AD545" s="805"/>
      <c r="AE545" s="805"/>
      <c r="AF545" s="805"/>
      <c r="AG545" s="805"/>
      <c r="AH545" s="805"/>
      <c r="AI545" s="805"/>
      <c r="AJ545" s="805"/>
      <c r="AK545" s="805"/>
      <c r="AL545" s="805"/>
      <c r="AM545" s="805"/>
      <c r="AN545" s="805"/>
      <c r="AO545" s="805"/>
      <c r="AP545" s="805"/>
      <c r="AQ545" s="805"/>
      <c r="AR545" s="805"/>
      <c r="AS545" s="805"/>
      <c r="AT545" s="805"/>
      <c r="AU545" s="805"/>
      <c r="AV545" s="805"/>
      <c r="AW545" s="805"/>
      <c r="AX545" s="805"/>
      <c r="AY545" s="805"/>
      <c r="AZ545" s="806"/>
      <c r="BA545" s="806"/>
      <c r="BB545" s="806"/>
      <c r="BC545" s="805"/>
      <c r="BD545" s="805"/>
      <c r="BE545" s="805"/>
      <c r="BF545" s="805"/>
      <c r="BG545" s="805"/>
      <c r="BH545" s="805"/>
      <c r="BI545" s="805"/>
      <c r="BJ545" s="805"/>
      <c r="BK545" s="807"/>
      <c r="BL545" s="805"/>
      <c r="BM545" s="805"/>
      <c r="BN545" s="805"/>
    </row>
    <row r="546" spans="1:66" s="291" customFormat="1" ht="14.25" customHeight="1">
      <c r="B546" s="809"/>
      <c r="C546" s="810"/>
      <c r="D546" s="811"/>
      <c r="E546" s="811"/>
      <c r="F546" s="811"/>
      <c r="G546" s="811"/>
      <c r="H546" s="811"/>
      <c r="I546" s="811"/>
      <c r="J546" s="811"/>
      <c r="K546" s="811"/>
      <c r="L546" s="811"/>
      <c r="M546" s="811"/>
      <c r="N546" s="811"/>
      <c r="O546" s="811"/>
      <c r="P546" s="811"/>
      <c r="Q546" s="811"/>
      <c r="R546" s="811"/>
      <c r="S546" s="811"/>
      <c r="T546" s="811"/>
      <c r="U546" s="811"/>
      <c r="V546" s="811"/>
      <c r="W546" s="811"/>
      <c r="X546" s="811"/>
      <c r="Y546" s="811"/>
      <c r="Z546" s="811"/>
      <c r="AA546" s="811"/>
      <c r="AB546" s="811"/>
      <c r="AC546" s="811"/>
      <c r="AD546" s="811"/>
      <c r="AE546" s="811"/>
      <c r="AF546" s="811"/>
      <c r="AG546" s="811"/>
      <c r="AH546" s="811"/>
      <c r="AI546" s="811"/>
      <c r="AJ546" s="811"/>
      <c r="AK546" s="811"/>
      <c r="AL546" s="811"/>
      <c r="AM546" s="811"/>
      <c r="AN546" s="811"/>
      <c r="AO546" s="811"/>
      <c r="AP546" s="811"/>
      <c r="AQ546" s="811"/>
      <c r="AR546" s="811"/>
      <c r="AS546" s="811"/>
      <c r="AT546" s="811"/>
      <c r="AU546" s="811"/>
      <c r="AV546" s="811"/>
      <c r="AW546" s="811"/>
      <c r="AX546" s="811"/>
      <c r="AY546" s="811"/>
      <c r="AZ546" s="812"/>
      <c r="BA546" s="812"/>
      <c r="BB546" s="812"/>
      <c r="BC546" s="811"/>
      <c r="BD546" s="811"/>
      <c r="BE546" s="811"/>
      <c r="BF546" s="811"/>
      <c r="BG546" s="811"/>
      <c r="BH546" s="811"/>
      <c r="BI546" s="811"/>
      <c r="BJ546" s="811"/>
      <c r="BK546" s="807"/>
      <c r="BL546" s="811"/>
      <c r="BM546" s="811"/>
      <c r="BN546" s="811"/>
    </row>
    <row r="547" spans="1:66" s="291" customFormat="1" ht="14.25" customHeight="1">
      <c r="B547" s="444"/>
      <c r="C547" s="813"/>
      <c r="BG547" s="824"/>
      <c r="BH547" s="824"/>
      <c r="BI547" s="824"/>
      <c r="BJ547" s="824"/>
      <c r="BL547" s="824"/>
      <c r="BM547" s="824"/>
      <c r="BN547" s="824"/>
    </row>
    <row r="548" spans="1:66" s="291" customFormat="1" ht="14.25" customHeight="1">
      <c r="B548" s="814" t="s">
        <v>482</v>
      </c>
      <c r="C548" s="813"/>
      <c r="BG548" s="824"/>
      <c r="BH548" s="824"/>
      <c r="BI548" s="824"/>
      <c r="BJ548" s="824"/>
      <c r="BL548" s="824"/>
      <c r="BM548" s="824"/>
      <c r="BN548" s="824"/>
    </row>
    <row r="549" spans="1:66" s="291" customFormat="1" ht="14.25" customHeight="1">
      <c r="B549" s="814" t="s">
        <v>483</v>
      </c>
      <c r="C549" s="813"/>
      <c r="BG549" s="824"/>
      <c r="BH549" s="824"/>
      <c r="BI549" s="824"/>
      <c r="BJ549" s="824"/>
      <c r="BL549" s="824"/>
      <c r="BM549" s="824"/>
      <c r="BN549" s="824"/>
    </row>
    <row r="550" spans="1:66" s="291" customFormat="1" ht="14.25" customHeight="1">
      <c r="B550" s="444"/>
      <c r="C550" s="813"/>
      <c r="BG550" s="824"/>
      <c r="BH550" s="824"/>
      <c r="BI550" s="824"/>
      <c r="BJ550" s="824"/>
      <c r="BL550" s="824"/>
      <c r="BM550" s="824"/>
      <c r="BN550" s="824"/>
    </row>
    <row r="551" spans="1:66" ht="14.25" customHeight="1">
      <c r="A551" s="1"/>
      <c r="B551" s="445"/>
      <c r="C551" s="307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93"/>
      <c r="BH551" s="193"/>
      <c r="BI551" s="193"/>
      <c r="BJ551" s="193"/>
      <c r="BK551" s="1"/>
      <c r="BL551" s="193"/>
      <c r="BM551" s="193"/>
      <c r="BN551" s="193"/>
    </row>
    <row r="552" spans="1:66" ht="14.25" customHeight="1">
      <c r="A552" s="1"/>
      <c r="B552" s="446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93"/>
      <c r="BH552" s="193"/>
      <c r="BI552" s="193"/>
      <c r="BJ552" s="193"/>
      <c r="BK552" s="1"/>
      <c r="BL552" s="193"/>
      <c r="BM552" s="193"/>
      <c r="BN552" s="193"/>
    </row>
    <row r="553" spans="1:66" ht="14.25" customHeight="1">
      <c r="A553" s="3"/>
      <c r="B553" s="447"/>
      <c r="C553" s="289"/>
      <c r="D553" s="289" t="s">
        <v>268</v>
      </c>
      <c r="E553" s="289" t="s">
        <v>269</v>
      </c>
      <c r="F553" s="289" t="s">
        <v>270</v>
      </c>
      <c r="G553" s="289" t="s">
        <v>271</v>
      </c>
      <c r="H553" s="289" t="s">
        <v>81</v>
      </c>
      <c r="I553" s="289" t="s">
        <v>82</v>
      </c>
      <c r="J553" s="289" t="s">
        <v>83</v>
      </c>
      <c r="K553" s="289" t="s">
        <v>84</v>
      </c>
      <c r="L553" s="289" t="s">
        <v>85</v>
      </c>
      <c r="M553" s="289" t="s">
        <v>86</v>
      </c>
      <c r="N553" s="289" t="s">
        <v>87</v>
      </c>
      <c r="O553" s="289" t="s">
        <v>88</v>
      </c>
      <c r="P553" s="289" t="s">
        <v>89</v>
      </c>
      <c r="Q553" s="289" t="s">
        <v>90</v>
      </c>
      <c r="R553" s="289" t="s">
        <v>91</v>
      </c>
      <c r="S553" s="289" t="s">
        <v>92</v>
      </c>
      <c r="T553" s="289" t="s">
        <v>93</v>
      </c>
      <c r="U553" s="289" t="s">
        <v>94</v>
      </c>
      <c r="V553" s="289" t="s">
        <v>95</v>
      </c>
      <c r="W553" s="289" t="s">
        <v>96</v>
      </c>
      <c r="X553" s="289" t="s">
        <v>97</v>
      </c>
      <c r="Y553" s="289" t="s">
        <v>98</v>
      </c>
      <c r="Z553" s="289" t="s">
        <v>99</v>
      </c>
      <c r="AA553" s="289" t="s">
        <v>100</v>
      </c>
      <c r="AB553" s="289" t="s">
        <v>101</v>
      </c>
      <c r="AC553" s="289" t="s">
        <v>102</v>
      </c>
      <c r="AD553" s="289" t="s">
        <v>103</v>
      </c>
      <c r="AE553" s="289" t="s">
        <v>104</v>
      </c>
      <c r="AF553" s="289" t="s">
        <v>105</v>
      </c>
      <c r="AG553" s="289" t="s">
        <v>106</v>
      </c>
      <c r="AH553" s="289" t="s">
        <v>107</v>
      </c>
      <c r="AI553" s="289" t="s">
        <v>108</v>
      </c>
      <c r="AJ553" s="289" t="s">
        <v>127</v>
      </c>
      <c r="AK553" s="289" t="s">
        <v>128</v>
      </c>
      <c r="AL553" s="289" t="s">
        <v>129</v>
      </c>
      <c r="AM553" s="289" t="s">
        <v>130</v>
      </c>
      <c r="AN553" s="289" t="s">
        <v>131</v>
      </c>
      <c r="AO553" s="289" t="s">
        <v>132</v>
      </c>
      <c r="AP553" s="289" t="s">
        <v>133</v>
      </c>
      <c r="AQ553" s="289" t="s">
        <v>134</v>
      </c>
      <c r="AR553" s="289" t="s">
        <v>135</v>
      </c>
      <c r="AS553" s="289" t="s">
        <v>136</v>
      </c>
      <c r="AT553" s="289" t="s">
        <v>137</v>
      </c>
      <c r="AU553" s="289" t="s">
        <v>138</v>
      </c>
      <c r="AV553" s="289" t="s">
        <v>139</v>
      </c>
      <c r="AW553" s="289" t="s">
        <v>140</v>
      </c>
      <c r="AX553" s="289" t="s">
        <v>141</v>
      </c>
      <c r="AY553" s="289" t="s">
        <v>142</v>
      </c>
      <c r="AZ553" s="3"/>
      <c r="BA553" s="3" t="s">
        <v>109</v>
      </c>
      <c r="BB553" s="3" t="s">
        <v>110</v>
      </c>
      <c r="BC553" s="3" t="s">
        <v>111</v>
      </c>
      <c r="BD553" s="3" t="s">
        <v>112</v>
      </c>
      <c r="BE553" s="3" t="s">
        <v>113</v>
      </c>
      <c r="BF553" s="3" t="s">
        <v>114</v>
      </c>
      <c r="BG553" s="289" t="s">
        <v>115</v>
      </c>
      <c r="BH553" s="289" t="s">
        <v>116</v>
      </c>
      <c r="BI553" s="289" t="s">
        <v>117</v>
      </c>
      <c r="BJ553" s="289" t="s">
        <v>118</v>
      </c>
      <c r="BK553" s="3" t="s">
        <v>119</v>
      </c>
      <c r="BL553" s="289" t="s">
        <v>120</v>
      </c>
      <c r="BM553" s="289" t="s">
        <v>121</v>
      </c>
      <c r="BN553" s="289" t="s">
        <v>143</v>
      </c>
    </row>
    <row r="554" spans="1:66" ht="14.25" customHeight="1">
      <c r="A554" s="5"/>
      <c r="B554" s="448" t="s">
        <v>122</v>
      </c>
      <c r="C554" s="192"/>
      <c r="D554" s="290" t="s">
        <v>125</v>
      </c>
      <c r="E554" s="290" t="s">
        <v>125</v>
      </c>
      <c r="F554" s="290" t="s">
        <v>125</v>
      </c>
      <c r="G554" s="290" t="s">
        <v>125</v>
      </c>
      <c r="H554" s="290" t="s">
        <v>125</v>
      </c>
      <c r="I554" s="290" t="s">
        <v>125</v>
      </c>
      <c r="J554" s="290" t="s">
        <v>125</v>
      </c>
      <c r="K554" s="290" t="s">
        <v>125</v>
      </c>
      <c r="L554" s="290" t="s">
        <v>125</v>
      </c>
      <c r="M554" s="290" t="s">
        <v>125</v>
      </c>
      <c r="N554" s="290" t="s">
        <v>125</v>
      </c>
      <c r="O554" s="290" t="s">
        <v>125</v>
      </c>
      <c r="P554" s="290" t="s">
        <v>125</v>
      </c>
      <c r="Q554" s="290" t="s">
        <v>125</v>
      </c>
      <c r="R554" s="290" t="s">
        <v>125</v>
      </c>
      <c r="S554" s="290" t="s">
        <v>125</v>
      </c>
      <c r="T554" s="290" t="s">
        <v>125</v>
      </c>
      <c r="U554" s="290" t="s">
        <v>125</v>
      </c>
      <c r="V554" s="290" t="s">
        <v>125</v>
      </c>
      <c r="W554" s="290" t="s">
        <v>125</v>
      </c>
      <c r="X554" s="290" t="s">
        <v>125</v>
      </c>
      <c r="Y554" s="290" t="s">
        <v>125</v>
      </c>
      <c r="Z554" s="290" t="s">
        <v>125</v>
      </c>
      <c r="AA554" s="290" t="s">
        <v>125</v>
      </c>
      <c r="AB554" s="290" t="s">
        <v>125</v>
      </c>
      <c r="AC554" s="290" t="s">
        <v>125</v>
      </c>
      <c r="AD554" s="290" t="s">
        <v>125</v>
      </c>
      <c r="AE554" s="290" t="s">
        <v>125</v>
      </c>
      <c r="AF554" s="290" t="s">
        <v>125</v>
      </c>
      <c r="AG554" s="290" t="s">
        <v>125</v>
      </c>
      <c r="AH554" s="290" t="s">
        <v>125</v>
      </c>
      <c r="AI554" s="290" t="s">
        <v>125</v>
      </c>
      <c r="AJ554" s="290" t="s">
        <v>125</v>
      </c>
      <c r="AK554" s="290" t="s">
        <v>125</v>
      </c>
      <c r="AL554" s="290" t="s">
        <v>125</v>
      </c>
      <c r="AM554" s="290" t="s">
        <v>125</v>
      </c>
      <c r="AN554" s="290" t="s">
        <v>125</v>
      </c>
      <c r="AO554" s="290" t="s">
        <v>125</v>
      </c>
      <c r="AP554" s="290" t="s">
        <v>125</v>
      </c>
      <c r="AQ554" s="290" t="s">
        <v>125</v>
      </c>
      <c r="AR554" s="290" t="s">
        <v>125</v>
      </c>
      <c r="AS554" s="290" t="s">
        <v>125</v>
      </c>
      <c r="AT554" s="290" t="s">
        <v>125</v>
      </c>
      <c r="AU554" s="290" t="s">
        <v>125</v>
      </c>
      <c r="AV554" s="290" t="s">
        <v>126</v>
      </c>
      <c r="AW554" s="290" t="s">
        <v>126</v>
      </c>
      <c r="AX554" s="290" t="s">
        <v>126</v>
      </c>
      <c r="AY554" s="290" t="s">
        <v>126</v>
      </c>
      <c r="AZ554" s="309"/>
      <c r="BA554" s="290" t="s">
        <v>125</v>
      </c>
      <c r="BB554" s="290" t="s">
        <v>125</v>
      </c>
      <c r="BC554" s="290" t="s">
        <v>125</v>
      </c>
      <c r="BD554" s="290" t="s">
        <v>125</v>
      </c>
      <c r="BE554" s="290" t="s">
        <v>125</v>
      </c>
      <c r="BF554" s="290" t="s">
        <v>125</v>
      </c>
      <c r="BG554" s="1210" t="s">
        <v>125</v>
      </c>
      <c r="BH554" s="1210" t="s">
        <v>125</v>
      </c>
      <c r="BI554" s="1210" t="s">
        <v>125</v>
      </c>
      <c r="BJ554" s="1210" t="s">
        <v>125</v>
      </c>
      <c r="BK554" s="290" t="s">
        <v>125</v>
      </c>
      <c r="BL554" s="1210" t="s">
        <v>125</v>
      </c>
      <c r="BM554" s="1210" t="s">
        <v>126</v>
      </c>
      <c r="BN554" s="1210" t="s">
        <v>126</v>
      </c>
    </row>
    <row r="555" spans="1:66" ht="14.25" customHeight="1">
      <c r="A555" s="1"/>
      <c r="B555" s="446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93"/>
      <c r="BH555" s="193"/>
      <c r="BI555" s="193"/>
      <c r="BJ555" s="193"/>
      <c r="BK555" s="1"/>
      <c r="BL555" s="193"/>
      <c r="BM555" s="193"/>
      <c r="BN555" s="193"/>
    </row>
  </sheetData>
  <phoneticPr fontId="41" type="noConversion"/>
  <pageMargins left="0.18" right="0.2" top="0.51" bottom="1" header="0.5" footer="0.5"/>
  <pageSetup scale="69"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3"/>
  <sheetViews>
    <sheetView workbookViewId="0">
      <selection activeCell="B42" sqref="B42"/>
    </sheetView>
  </sheetViews>
  <sheetFormatPr defaultRowHeight="12.75"/>
  <cols>
    <col min="1" max="1" width="29.5703125" style="1891" bestFit="1" customWidth="1"/>
    <col min="2" max="2" width="19.85546875" style="1967" customWidth="1"/>
    <col min="3" max="3" width="12" style="1891" bestFit="1" customWidth="1"/>
    <col min="4" max="256" width="9.140625" style="1891"/>
    <col min="257" max="257" width="29.5703125" style="1891" bestFit="1" customWidth="1"/>
    <col min="258" max="258" width="19.85546875" style="1891" customWidth="1"/>
    <col min="259" max="259" width="12" style="1891" bestFit="1" customWidth="1"/>
    <col min="260" max="512" width="9.140625" style="1891"/>
    <col min="513" max="513" width="29.5703125" style="1891" bestFit="1" customWidth="1"/>
    <col min="514" max="514" width="19.85546875" style="1891" customWidth="1"/>
    <col min="515" max="515" width="12" style="1891" bestFit="1" customWidth="1"/>
    <col min="516" max="768" width="9.140625" style="1891"/>
    <col min="769" max="769" width="29.5703125" style="1891" bestFit="1" customWidth="1"/>
    <col min="770" max="770" width="19.85546875" style="1891" customWidth="1"/>
    <col min="771" max="771" width="12" style="1891" bestFit="1" customWidth="1"/>
    <col min="772" max="1024" width="9.140625" style="1891"/>
    <col min="1025" max="1025" width="29.5703125" style="1891" bestFit="1" customWidth="1"/>
    <col min="1026" max="1026" width="19.85546875" style="1891" customWidth="1"/>
    <col min="1027" max="1027" width="12" style="1891" bestFit="1" customWidth="1"/>
    <col min="1028" max="1280" width="9.140625" style="1891"/>
    <col min="1281" max="1281" width="29.5703125" style="1891" bestFit="1" customWidth="1"/>
    <col min="1282" max="1282" width="19.85546875" style="1891" customWidth="1"/>
    <col min="1283" max="1283" width="12" style="1891" bestFit="1" customWidth="1"/>
    <col min="1284" max="1536" width="9.140625" style="1891"/>
    <col min="1537" max="1537" width="29.5703125" style="1891" bestFit="1" customWidth="1"/>
    <col min="1538" max="1538" width="19.85546875" style="1891" customWidth="1"/>
    <col min="1539" max="1539" width="12" style="1891" bestFit="1" customWidth="1"/>
    <col min="1540" max="1792" width="9.140625" style="1891"/>
    <col min="1793" max="1793" width="29.5703125" style="1891" bestFit="1" customWidth="1"/>
    <col min="1794" max="1794" width="19.85546875" style="1891" customWidth="1"/>
    <col min="1795" max="1795" width="12" style="1891" bestFit="1" customWidth="1"/>
    <col min="1796" max="2048" width="9.140625" style="1891"/>
    <col min="2049" max="2049" width="29.5703125" style="1891" bestFit="1" customWidth="1"/>
    <col min="2050" max="2050" width="19.85546875" style="1891" customWidth="1"/>
    <col min="2051" max="2051" width="12" style="1891" bestFit="1" customWidth="1"/>
    <col min="2052" max="2304" width="9.140625" style="1891"/>
    <col min="2305" max="2305" width="29.5703125" style="1891" bestFit="1" customWidth="1"/>
    <col min="2306" max="2306" width="19.85546875" style="1891" customWidth="1"/>
    <col min="2307" max="2307" width="12" style="1891" bestFit="1" customWidth="1"/>
    <col min="2308" max="2560" width="9.140625" style="1891"/>
    <col min="2561" max="2561" width="29.5703125" style="1891" bestFit="1" customWidth="1"/>
    <col min="2562" max="2562" width="19.85546875" style="1891" customWidth="1"/>
    <col min="2563" max="2563" width="12" style="1891" bestFit="1" customWidth="1"/>
    <col min="2564" max="2816" width="9.140625" style="1891"/>
    <col min="2817" max="2817" width="29.5703125" style="1891" bestFit="1" customWidth="1"/>
    <col min="2818" max="2818" width="19.85546875" style="1891" customWidth="1"/>
    <col min="2819" max="2819" width="12" style="1891" bestFit="1" customWidth="1"/>
    <col min="2820" max="3072" width="9.140625" style="1891"/>
    <col min="3073" max="3073" width="29.5703125" style="1891" bestFit="1" customWidth="1"/>
    <col min="3074" max="3074" width="19.85546875" style="1891" customWidth="1"/>
    <col min="3075" max="3075" width="12" style="1891" bestFit="1" customWidth="1"/>
    <col min="3076" max="3328" width="9.140625" style="1891"/>
    <col min="3329" max="3329" width="29.5703125" style="1891" bestFit="1" customWidth="1"/>
    <col min="3330" max="3330" width="19.85546875" style="1891" customWidth="1"/>
    <col min="3331" max="3331" width="12" style="1891" bestFit="1" customWidth="1"/>
    <col min="3332" max="3584" width="9.140625" style="1891"/>
    <col min="3585" max="3585" width="29.5703125" style="1891" bestFit="1" customWidth="1"/>
    <col min="3586" max="3586" width="19.85546875" style="1891" customWidth="1"/>
    <col min="3587" max="3587" width="12" style="1891" bestFit="1" customWidth="1"/>
    <col min="3588" max="3840" width="9.140625" style="1891"/>
    <col min="3841" max="3841" width="29.5703125" style="1891" bestFit="1" customWidth="1"/>
    <col min="3842" max="3842" width="19.85546875" style="1891" customWidth="1"/>
    <col min="3843" max="3843" width="12" style="1891" bestFit="1" customWidth="1"/>
    <col min="3844" max="4096" width="9.140625" style="1891"/>
    <col min="4097" max="4097" width="29.5703125" style="1891" bestFit="1" customWidth="1"/>
    <col min="4098" max="4098" width="19.85546875" style="1891" customWidth="1"/>
    <col min="4099" max="4099" width="12" style="1891" bestFit="1" customWidth="1"/>
    <col min="4100" max="4352" width="9.140625" style="1891"/>
    <col min="4353" max="4353" width="29.5703125" style="1891" bestFit="1" customWidth="1"/>
    <col min="4354" max="4354" width="19.85546875" style="1891" customWidth="1"/>
    <col min="4355" max="4355" width="12" style="1891" bestFit="1" customWidth="1"/>
    <col min="4356" max="4608" width="9.140625" style="1891"/>
    <col min="4609" max="4609" width="29.5703125" style="1891" bestFit="1" customWidth="1"/>
    <col min="4610" max="4610" width="19.85546875" style="1891" customWidth="1"/>
    <col min="4611" max="4611" width="12" style="1891" bestFit="1" customWidth="1"/>
    <col min="4612" max="4864" width="9.140625" style="1891"/>
    <col min="4865" max="4865" width="29.5703125" style="1891" bestFit="1" customWidth="1"/>
    <col min="4866" max="4866" width="19.85546875" style="1891" customWidth="1"/>
    <col min="4867" max="4867" width="12" style="1891" bestFit="1" customWidth="1"/>
    <col min="4868" max="5120" width="9.140625" style="1891"/>
    <col min="5121" max="5121" width="29.5703125" style="1891" bestFit="1" customWidth="1"/>
    <col min="5122" max="5122" width="19.85546875" style="1891" customWidth="1"/>
    <col min="5123" max="5123" width="12" style="1891" bestFit="1" customWidth="1"/>
    <col min="5124" max="5376" width="9.140625" style="1891"/>
    <col min="5377" max="5377" width="29.5703125" style="1891" bestFit="1" customWidth="1"/>
    <col min="5378" max="5378" width="19.85546875" style="1891" customWidth="1"/>
    <col min="5379" max="5379" width="12" style="1891" bestFit="1" customWidth="1"/>
    <col min="5380" max="5632" width="9.140625" style="1891"/>
    <col min="5633" max="5633" width="29.5703125" style="1891" bestFit="1" customWidth="1"/>
    <col min="5634" max="5634" width="19.85546875" style="1891" customWidth="1"/>
    <col min="5635" max="5635" width="12" style="1891" bestFit="1" customWidth="1"/>
    <col min="5636" max="5888" width="9.140625" style="1891"/>
    <col min="5889" max="5889" width="29.5703125" style="1891" bestFit="1" customWidth="1"/>
    <col min="5890" max="5890" width="19.85546875" style="1891" customWidth="1"/>
    <col min="5891" max="5891" width="12" style="1891" bestFit="1" customWidth="1"/>
    <col min="5892" max="6144" width="9.140625" style="1891"/>
    <col min="6145" max="6145" width="29.5703125" style="1891" bestFit="1" customWidth="1"/>
    <col min="6146" max="6146" width="19.85546875" style="1891" customWidth="1"/>
    <col min="6147" max="6147" width="12" style="1891" bestFit="1" customWidth="1"/>
    <col min="6148" max="6400" width="9.140625" style="1891"/>
    <col min="6401" max="6401" width="29.5703125" style="1891" bestFit="1" customWidth="1"/>
    <col min="6402" max="6402" width="19.85546875" style="1891" customWidth="1"/>
    <col min="6403" max="6403" width="12" style="1891" bestFit="1" customWidth="1"/>
    <col min="6404" max="6656" width="9.140625" style="1891"/>
    <col min="6657" max="6657" width="29.5703125" style="1891" bestFit="1" customWidth="1"/>
    <col min="6658" max="6658" width="19.85546875" style="1891" customWidth="1"/>
    <col min="6659" max="6659" width="12" style="1891" bestFit="1" customWidth="1"/>
    <col min="6660" max="6912" width="9.140625" style="1891"/>
    <col min="6913" max="6913" width="29.5703125" style="1891" bestFit="1" customWidth="1"/>
    <col min="6914" max="6914" width="19.85546875" style="1891" customWidth="1"/>
    <col min="6915" max="6915" width="12" style="1891" bestFit="1" customWidth="1"/>
    <col min="6916" max="7168" width="9.140625" style="1891"/>
    <col min="7169" max="7169" width="29.5703125" style="1891" bestFit="1" customWidth="1"/>
    <col min="7170" max="7170" width="19.85546875" style="1891" customWidth="1"/>
    <col min="7171" max="7171" width="12" style="1891" bestFit="1" customWidth="1"/>
    <col min="7172" max="7424" width="9.140625" style="1891"/>
    <col min="7425" max="7425" width="29.5703125" style="1891" bestFit="1" customWidth="1"/>
    <col min="7426" max="7426" width="19.85546875" style="1891" customWidth="1"/>
    <col min="7427" max="7427" width="12" style="1891" bestFit="1" customWidth="1"/>
    <col min="7428" max="7680" width="9.140625" style="1891"/>
    <col min="7681" max="7681" width="29.5703125" style="1891" bestFit="1" customWidth="1"/>
    <col min="7682" max="7682" width="19.85546875" style="1891" customWidth="1"/>
    <col min="7683" max="7683" width="12" style="1891" bestFit="1" customWidth="1"/>
    <col min="7684" max="7936" width="9.140625" style="1891"/>
    <col min="7937" max="7937" width="29.5703125" style="1891" bestFit="1" customWidth="1"/>
    <col min="7938" max="7938" width="19.85546875" style="1891" customWidth="1"/>
    <col min="7939" max="7939" width="12" style="1891" bestFit="1" customWidth="1"/>
    <col min="7940" max="8192" width="9.140625" style="1891"/>
    <col min="8193" max="8193" width="29.5703125" style="1891" bestFit="1" customWidth="1"/>
    <col min="8194" max="8194" width="19.85546875" style="1891" customWidth="1"/>
    <col min="8195" max="8195" width="12" style="1891" bestFit="1" customWidth="1"/>
    <col min="8196" max="8448" width="9.140625" style="1891"/>
    <col min="8449" max="8449" width="29.5703125" style="1891" bestFit="1" customWidth="1"/>
    <col min="8450" max="8450" width="19.85546875" style="1891" customWidth="1"/>
    <col min="8451" max="8451" width="12" style="1891" bestFit="1" customWidth="1"/>
    <col min="8452" max="8704" width="9.140625" style="1891"/>
    <col min="8705" max="8705" width="29.5703125" style="1891" bestFit="1" customWidth="1"/>
    <col min="8706" max="8706" width="19.85546875" style="1891" customWidth="1"/>
    <col min="8707" max="8707" width="12" style="1891" bestFit="1" customWidth="1"/>
    <col min="8708" max="8960" width="9.140625" style="1891"/>
    <col min="8961" max="8961" width="29.5703125" style="1891" bestFit="1" customWidth="1"/>
    <col min="8962" max="8962" width="19.85546875" style="1891" customWidth="1"/>
    <col min="8963" max="8963" width="12" style="1891" bestFit="1" customWidth="1"/>
    <col min="8964" max="9216" width="9.140625" style="1891"/>
    <col min="9217" max="9217" width="29.5703125" style="1891" bestFit="1" customWidth="1"/>
    <col min="9218" max="9218" width="19.85546875" style="1891" customWidth="1"/>
    <col min="9219" max="9219" width="12" style="1891" bestFit="1" customWidth="1"/>
    <col min="9220" max="9472" width="9.140625" style="1891"/>
    <col min="9473" max="9473" width="29.5703125" style="1891" bestFit="1" customWidth="1"/>
    <col min="9474" max="9474" width="19.85546875" style="1891" customWidth="1"/>
    <col min="9475" max="9475" width="12" style="1891" bestFit="1" customWidth="1"/>
    <col min="9476" max="9728" width="9.140625" style="1891"/>
    <col min="9729" max="9729" width="29.5703125" style="1891" bestFit="1" customWidth="1"/>
    <col min="9730" max="9730" width="19.85546875" style="1891" customWidth="1"/>
    <col min="9731" max="9731" width="12" style="1891" bestFit="1" customWidth="1"/>
    <col min="9732" max="9984" width="9.140625" style="1891"/>
    <col min="9985" max="9985" width="29.5703125" style="1891" bestFit="1" customWidth="1"/>
    <col min="9986" max="9986" width="19.85546875" style="1891" customWidth="1"/>
    <col min="9987" max="9987" width="12" style="1891" bestFit="1" customWidth="1"/>
    <col min="9988" max="10240" width="9.140625" style="1891"/>
    <col min="10241" max="10241" width="29.5703125" style="1891" bestFit="1" customWidth="1"/>
    <col min="10242" max="10242" width="19.85546875" style="1891" customWidth="1"/>
    <col min="10243" max="10243" width="12" style="1891" bestFit="1" customWidth="1"/>
    <col min="10244" max="10496" width="9.140625" style="1891"/>
    <col min="10497" max="10497" width="29.5703125" style="1891" bestFit="1" customWidth="1"/>
    <col min="10498" max="10498" width="19.85546875" style="1891" customWidth="1"/>
    <col min="10499" max="10499" width="12" style="1891" bestFit="1" customWidth="1"/>
    <col min="10500" max="10752" width="9.140625" style="1891"/>
    <col min="10753" max="10753" width="29.5703125" style="1891" bestFit="1" customWidth="1"/>
    <col min="10754" max="10754" width="19.85546875" style="1891" customWidth="1"/>
    <col min="10755" max="10755" width="12" style="1891" bestFit="1" customWidth="1"/>
    <col min="10756" max="11008" width="9.140625" style="1891"/>
    <col min="11009" max="11009" width="29.5703125" style="1891" bestFit="1" customWidth="1"/>
    <col min="11010" max="11010" width="19.85546875" style="1891" customWidth="1"/>
    <col min="11011" max="11011" width="12" style="1891" bestFit="1" customWidth="1"/>
    <col min="11012" max="11264" width="9.140625" style="1891"/>
    <col min="11265" max="11265" width="29.5703125" style="1891" bestFit="1" customWidth="1"/>
    <col min="11266" max="11266" width="19.85546875" style="1891" customWidth="1"/>
    <col min="11267" max="11267" width="12" style="1891" bestFit="1" customWidth="1"/>
    <col min="11268" max="11520" width="9.140625" style="1891"/>
    <col min="11521" max="11521" width="29.5703125" style="1891" bestFit="1" customWidth="1"/>
    <col min="11522" max="11522" width="19.85546875" style="1891" customWidth="1"/>
    <col min="11523" max="11523" width="12" style="1891" bestFit="1" customWidth="1"/>
    <col min="11524" max="11776" width="9.140625" style="1891"/>
    <col min="11777" max="11777" width="29.5703125" style="1891" bestFit="1" customWidth="1"/>
    <col min="11778" max="11778" width="19.85546875" style="1891" customWidth="1"/>
    <col min="11779" max="11779" width="12" style="1891" bestFit="1" customWidth="1"/>
    <col min="11780" max="12032" width="9.140625" style="1891"/>
    <col min="12033" max="12033" width="29.5703125" style="1891" bestFit="1" customWidth="1"/>
    <col min="12034" max="12034" width="19.85546875" style="1891" customWidth="1"/>
    <col min="12035" max="12035" width="12" style="1891" bestFit="1" customWidth="1"/>
    <col min="12036" max="12288" width="9.140625" style="1891"/>
    <col min="12289" max="12289" width="29.5703125" style="1891" bestFit="1" customWidth="1"/>
    <col min="12290" max="12290" width="19.85546875" style="1891" customWidth="1"/>
    <col min="12291" max="12291" width="12" style="1891" bestFit="1" customWidth="1"/>
    <col min="12292" max="12544" width="9.140625" style="1891"/>
    <col min="12545" max="12545" width="29.5703125" style="1891" bestFit="1" customWidth="1"/>
    <col min="12546" max="12546" width="19.85546875" style="1891" customWidth="1"/>
    <col min="12547" max="12547" width="12" style="1891" bestFit="1" customWidth="1"/>
    <col min="12548" max="12800" width="9.140625" style="1891"/>
    <col min="12801" max="12801" width="29.5703125" style="1891" bestFit="1" customWidth="1"/>
    <col min="12802" max="12802" width="19.85546875" style="1891" customWidth="1"/>
    <col min="12803" max="12803" width="12" style="1891" bestFit="1" customWidth="1"/>
    <col min="12804" max="13056" width="9.140625" style="1891"/>
    <col min="13057" max="13057" width="29.5703125" style="1891" bestFit="1" customWidth="1"/>
    <col min="13058" max="13058" width="19.85546875" style="1891" customWidth="1"/>
    <col min="13059" max="13059" width="12" style="1891" bestFit="1" customWidth="1"/>
    <col min="13060" max="13312" width="9.140625" style="1891"/>
    <col min="13313" max="13313" width="29.5703125" style="1891" bestFit="1" customWidth="1"/>
    <col min="13314" max="13314" width="19.85546875" style="1891" customWidth="1"/>
    <col min="13315" max="13315" width="12" style="1891" bestFit="1" customWidth="1"/>
    <col min="13316" max="13568" width="9.140625" style="1891"/>
    <col min="13569" max="13569" width="29.5703125" style="1891" bestFit="1" customWidth="1"/>
    <col min="13570" max="13570" width="19.85546875" style="1891" customWidth="1"/>
    <col min="13571" max="13571" width="12" style="1891" bestFit="1" customWidth="1"/>
    <col min="13572" max="13824" width="9.140625" style="1891"/>
    <col min="13825" max="13825" width="29.5703125" style="1891" bestFit="1" customWidth="1"/>
    <col min="13826" max="13826" width="19.85546875" style="1891" customWidth="1"/>
    <col min="13827" max="13827" width="12" style="1891" bestFit="1" customWidth="1"/>
    <col min="13828" max="14080" width="9.140625" style="1891"/>
    <col min="14081" max="14081" width="29.5703125" style="1891" bestFit="1" customWidth="1"/>
    <col min="14082" max="14082" width="19.85546875" style="1891" customWidth="1"/>
    <col min="14083" max="14083" width="12" style="1891" bestFit="1" customWidth="1"/>
    <col min="14084" max="14336" width="9.140625" style="1891"/>
    <col min="14337" max="14337" width="29.5703125" style="1891" bestFit="1" customWidth="1"/>
    <col min="14338" max="14338" width="19.85546875" style="1891" customWidth="1"/>
    <col min="14339" max="14339" width="12" style="1891" bestFit="1" customWidth="1"/>
    <col min="14340" max="14592" width="9.140625" style="1891"/>
    <col min="14593" max="14593" width="29.5703125" style="1891" bestFit="1" customWidth="1"/>
    <col min="14594" max="14594" width="19.85546875" style="1891" customWidth="1"/>
    <col min="14595" max="14595" width="12" style="1891" bestFit="1" customWidth="1"/>
    <col min="14596" max="14848" width="9.140625" style="1891"/>
    <col min="14849" max="14849" width="29.5703125" style="1891" bestFit="1" customWidth="1"/>
    <col min="14850" max="14850" width="19.85546875" style="1891" customWidth="1"/>
    <col min="14851" max="14851" width="12" style="1891" bestFit="1" customWidth="1"/>
    <col min="14852" max="15104" width="9.140625" style="1891"/>
    <col min="15105" max="15105" width="29.5703125" style="1891" bestFit="1" customWidth="1"/>
    <col min="15106" max="15106" width="19.85546875" style="1891" customWidth="1"/>
    <col min="15107" max="15107" width="12" style="1891" bestFit="1" customWidth="1"/>
    <col min="15108" max="15360" width="9.140625" style="1891"/>
    <col min="15361" max="15361" width="29.5703125" style="1891" bestFit="1" customWidth="1"/>
    <col min="15362" max="15362" width="19.85546875" style="1891" customWidth="1"/>
    <col min="15363" max="15363" width="12" style="1891" bestFit="1" customWidth="1"/>
    <col min="15364" max="15616" width="9.140625" style="1891"/>
    <col min="15617" max="15617" width="29.5703125" style="1891" bestFit="1" customWidth="1"/>
    <col min="15618" max="15618" width="19.85546875" style="1891" customWidth="1"/>
    <col min="15619" max="15619" width="12" style="1891" bestFit="1" customWidth="1"/>
    <col min="15620" max="15872" width="9.140625" style="1891"/>
    <col min="15873" max="15873" width="29.5703125" style="1891" bestFit="1" customWidth="1"/>
    <col min="15874" max="15874" width="19.85546875" style="1891" customWidth="1"/>
    <col min="15875" max="15875" width="12" style="1891" bestFit="1" customWidth="1"/>
    <col min="15876" max="16128" width="9.140625" style="1891"/>
    <col min="16129" max="16129" width="29.5703125" style="1891" bestFit="1" customWidth="1"/>
    <col min="16130" max="16130" width="19.85546875" style="1891" customWidth="1"/>
    <col min="16131" max="16131" width="12" style="1891" bestFit="1" customWidth="1"/>
    <col min="16132" max="16384" width="9.140625" style="1891"/>
  </cols>
  <sheetData>
    <row r="1" spans="1:2">
      <c r="A1" s="1891" t="s">
        <v>849</v>
      </c>
      <c r="B1" s="1966">
        <v>6.1</v>
      </c>
    </row>
    <row r="2" spans="1:2">
      <c r="A2" s="1891" t="s">
        <v>850</v>
      </c>
      <c r="B2" s="1970">
        <v>43178.329328703701</v>
      </c>
    </row>
    <row r="3" spans="1:2">
      <c r="A3" s="1891" t="s">
        <v>851</v>
      </c>
      <c r="B3" s="1967" t="s">
        <v>549</v>
      </c>
    </row>
    <row r="4" spans="1:2">
      <c r="A4" s="1891" t="s">
        <v>852</v>
      </c>
      <c r="B4" s="1967" t="s">
        <v>485</v>
      </c>
    </row>
    <row r="5" spans="1:2">
      <c r="A5" s="1891" t="s">
        <v>853</v>
      </c>
      <c r="B5" s="1967" t="s">
        <v>854</v>
      </c>
    </row>
    <row r="6" spans="1:2">
      <c r="A6" s="1891" t="s">
        <v>855</v>
      </c>
    </row>
    <row r="7" spans="1:2">
      <c r="A7" s="1891" t="s">
        <v>511</v>
      </c>
      <c r="B7" s="1967" t="s">
        <v>299</v>
      </c>
    </row>
    <row r="8" spans="1:2">
      <c r="A8" s="1891" t="s">
        <v>856</v>
      </c>
      <c r="B8" s="1967" t="s">
        <v>857</v>
      </c>
    </row>
    <row r="9" spans="1:2">
      <c r="A9" s="1891" t="s">
        <v>858</v>
      </c>
      <c r="B9" s="1967" t="s">
        <v>895</v>
      </c>
    </row>
    <row r="10" spans="1:2">
      <c r="A10" s="1891" t="s">
        <v>859</v>
      </c>
    </row>
    <row r="11" spans="1:2">
      <c r="A11" s="1891" t="s">
        <v>860</v>
      </c>
    </row>
    <row r="12" spans="1:2">
      <c r="A12" s="1891" t="s">
        <v>861</v>
      </c>
    </row>
    <row r="13" spans="1:2">
      <c r="A13" s="1891" t="s">
        <v>862</v>
      </c>
    </row>
    <row r="14" spans="1:2">
      <c r="A14" s="1891" t="s">
        <v>863</v>
      </c>
    </row>
    <row r="15" spans="1:2">
      <c r="A15" s="1891" t="s">
        <v>864</v>
      </c>
    </row>
    <row r="16" spans="1:2">
      <c r="A16" s="1891" t="s">
        <v>865</v>
      </c>
    </row>
    <row r="17" spans="1:4">
      <c r="A17" s="1891" t="s">
        <v>866</v>
      </c>
      <c r="B17" s="1967" t="s">
        <v>896</v>
      </c>
    </row>
    <row r="18" spans="1:4">
      <c r="A18" s="1891" t="s">
        <v>867</v>
      </c>
      <c r="B18" s="1967" t="s">
        <v>899</v>
      </c>
    </row>
    <row r="19" spans="1:4">
      <c r="A19" s="1891" t="s">
        <v>868</v>
      </c>
      <c r="B19" s="1967" t="s">
        <v>298</v>
      </c>
    </row>
    <row r="20" spans="1:4">
      <c r="A20" s="1891" t="s">
        <v>869</v>
      </c>
      <c r="B20" s="1968"/>
    </row>
    <row r="21" spans="1:4">
      <c r="A21" s="1891" t="s">
        <v>870</v>
      </c>
      <c r="B21" s="1967" t="s">
        <v>298</v>
      </c>
    </row>
    <row r="22" spans="1:4">
      <c r="A22" s="1891" t="s">
        <v>871</v>
      </c>
      <c r="B22" s="1968" t="s">
        <v>303</v>
      </c>
    </row>
    <row r="23" spans="1:4">
      <c r="A23" s="1891" t="s">
        <v>265</v>
      </c>
      <c r="B23" s="1966">
        <v>122.5</v>
      </c>
    </row>
    <row r="24" spans="1:4">
      <c r="A24" s="1891" t="s">
        <v>260</v>
      </c>
      <c r="B24" s="1967" t="s">
        <v>123</v>
      </c>
      <c r="D24" s="1891" t="s">
        <v>156</v>
      </c>
    </row>
    <row r="25" spans="1:4">
      <c r="A25" s="1891" t="s">
        <v>872</v>
      </c>
      <c r="B25" s="1967" t="s">
        <v>900</v>
      </c>
    </row>
    <row r="26" spans="1:4">
      <c r="A26" s="1891" t="s">
        <v>873</v>
      </c>
      <c r="B26" s="1967">
        <v>0</v>
      </c>
    </row>
    <row r="27" spans="1:4">
      <c r="A27" s="1891" t="s">
        <v>874</v>
      </c>
      <c r="B27" s="1967" t="s">
        <v>875</v>
      </c>
    </row>
    <row r="28" spans="1:4">
      <c r="A28" s="1891" t="s">
        <v>876</v>
      </c>
      <c r="B28" s="1967" t="s">
        <v>877</v>
      </c>
    </row>
    <row r="29" spans="1:4">
      <c r="A29" s="1891" t="s">
        <v>878</v>
      </c>
    </row>
    <row r="30" spans="1:4">
      <c r="A30" s="1891" t="s">
        <v>879</v>
      </c>
    </row>
    <row r="31" spans="1:4">
      <c r="A31" s="1891" t="s">
        <v>880</v>
      </c>
    </row>
    <row r="32" spans="1:4">
      <c r="A32" s="1891" t="s">
        <v>881</v>
      </c>
      <c r="B32" s="1966"/>
    </row>
    <row r="33" spans="1:2">
      <c r="A33" s="1891" t="s">
        <v>882</v>
      </c>
      <c r="B33" s="1966"/>
    </row>
    <row r="34" spans="1:2">
      <c r="A34" s="1891" t="s">
        <v>883</v>
      </c>
      <c r="B34" s="1966"/>
    </row>
    <row r="35" spans="1:2">
      <c r="A35" s="1891" t="s">
        <v>884</v>
      </c>
      <c r="B35" s="1967">
        <v>1000000</v>
      </c>
    </row>
    <row r="36" spans="1:2">
      <c r="A36" s="1891" t="s">
        <v>885</v>
      </c>
      <c r="B36" s="1967" t="s">
        <v>897</v>
      </c>
    </row>
    <row r="37" spans="1:2">
      <c r="A37" s="1891" t="s">
        <v>886</v>
      </c>
      <c r="B37" s="1967" t="s">
        <v>887</v>
      </c>
    </row>
    <row r="38" spans="1:2">
      <c r="A38" s="1891" t="s">
        <v>888</v>
      </c>
      <c r="B38" s="1967" t="s">
        <v>889</v>
      </c>
    </row>
    <row r="39" spans="1:2">
      <c r="A39" s="1891" t="s">
        <v>890</v>
      </c>
      <c r="B39" s="1967" t="s">
        <v>898</v>
      </c>
    </row>
    <row r="40" spans="1:2">
      <c r="A40" s="1891" t="s">
        <v>891</v>
      </c>
      <c r="B40" s="1967">
        <v>1500000092</v>
      </c>
    </row>
    <row r="41" spans="1:2">
      <c r="A41" s="1891" t="s">
        <v>892</v>
      </c>
      <c r="B41" s="1967">
        <v>1</v>
      </c>
    </row>
    <row r="42" spans="1:2">
      <c r="A42" s="1969" t="s">
        <v>893</v>
      </c>
    </row>
    <row r="43" spans="1:2">
      <c r="A43" s="1891" t="s">
        <v>894</v>
      </c>
    </row>
  </sheetData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3"/>
  <sheetViews>
    <sheetView workbookViewId="0">
      <selection activeCell="E11" sqref="E11"/>
    </sheetView>
  </sheetViews>
  <sheetFormatPr defaultRowHeight="12.75"/>
  <cols>
    <col min="1" max="1" width="28.5703125" style="1891" bestFit="1" customWidth="1"/>
    <col min="2" max="256" width="9.140625" style="1891"/>
    <col min="257" max="257" width="28.5703125" style="1891" bestFit="1" customWidth="1"/>
    <col min="258" max="512" width="9.140625" style="1891"/>
    <col min="513" max="513" width="28.5703125" style="1891" bestFit="1" customWidth="1"/>
    <col min="514" max="768" width="9.140625" style="1891"/>
    <col min="769" max="769" width="28.5703125" style="1891" bestFit="1" customWidth="1"/>
    <col min="770" max="1024" width="9.140625" style="1891"/>
    <col min="1025" max="1025" width="28.5703125" style="1891" bestFit="1" customWidth="1"/>
    <col min="1026" max="1280" width="9.140625" style="1891"/>
    <col min="1281" max="1281" width="28.5703125" style="1891" bestFit="1" customWidth="1"/>
    <col min="1282" max="1536" width="9.140625" style="1891"/>
    <col min="1537" max="1537" width="28.5703125" style="1891" bestFit="1" customWidth="1"/>
    <col min="1538" max="1792" width="9.140625" style="1891"/>
    <col min="1793" max="1793" width="28.5703125" style="1891" bestFit="1" customWidth="1"/>
    <col min="1794" max="2048" width="9.140625" style="1891"/>
    <col min="2049" max="2049" width="28.5703125" style="1891" bestFit="1" customWidth="1"/>
    <col min="2050" max="2304" width="9.140625" style="1891"/>
    <col min="2305" max="2305" width="28.5703125" style="1891" bestFit="1" customWidth="1"/>
    <col min="2306" max="2560" width="9.140625" style="1891"/>
    <col min="2561" max="2561" width="28.5703125" style="1891" bestFit="1" customWidth="1"/>
    <col min="2562" max="2816" width="9.140625" style="1891"/>
    <col min="2817" max="2817" width="28.5703125" style="1891" bestFit="1" customWidth="1"/>
    <col min="2818" max="3072" width="9.140625" style="1891"/>
    <col min="3073" max="3073" width="28.5703125" style="1891" bestFit="1" customWidth="1"/>
    <col min="3074" max="3328" width="9.140625" style="1891"/>
    <col min="3329" max="3329" width="28.5703125" style="1891" bestFit="1" customWidth="1"/>
    <col min="3330" max="3584" width="9.140625" style="1891"/>
    <col min="3585" max="3585" width="28.5703125" style="1891" bestFit="1" customWidth="1"/>
    <col min="3586" max="3840" width="9.140625" style="1891"/>
    <col min="3841" max="3841" width="28.5703125" style="1891" bestFit="1" customWidth="1"/>
    <col min="3842" max="4096" width="9.140625" style="1891"/>
    <col min="4097" max="4097" width="28.5703125" style="1891" bestFit="1" customWidth="1"/>
    <col min="4098" max="4352" width="9.140625" style="1891"/>
    <col min="4353" max="4353" width="28.5703125" style="1891" bestFit="1" customWidth="1"/>
    <col min="4354" max="4608" width="9.140625" style="1891"/>
    <col min="4609" max="4609" width="28.5703125" style="1891" bestFit="1" customWidth="1"/>
    <col min="4610" max="4864" width="9.140625" style="1891"/>
    <col min="4865" max="4865" width="28.5703125" style="1891" bestFit="1" customWidth="1"/>
    <col min="4866" max="5120" width="9.140625" style="1891"/>
    <col min="5121" max="5121" width="28.5703125" style="1891" bestFit="1" customWidth="1"/>
    <col min="5122" max="5376" width="9.140625" style="1891"/>
    <col min="5377" max="5377" width="28.5703125" style="1891" bestFit="1" customWidth="1"/>
    <col min="5378" max="5632" width="9.140625" style="1891"/>
    <col min="5633" max="5633" width="28.5703125" style="1891" bestFit="1" customWidth="1"/>
    <col min="5634" max="5888" width="9.140625" style="1891"/>
    <col min="5889" max="5889" width="28.5703125" style="1891" bestFit="1" customWidth="1"/>
    <col min="5890" max="6144" width="9.140625" style="1891"/>
    <col min="6145" max="6145" width="28.5703125" style="1891" bestFit="1" customWidth="1"/>
    <col min="6146" max="6400" width="9.140625" style="1891"/>
    <col min="6401" max="6401" width="28.5703125" style="1891" bestFit="1" customWidth="1"/>
    <col min="6402" max="6656" width="9.140625" style="1891"/>
    <col min="6657" max="6657" width="28.5703125" style="1891" bestFit="1" customWidth="1"/>
    <col min="6658" max="6912" width="9.140625" style="1891"/>
    <col min="6913" max="6913" width="28.5703125" style="1891" bestFit="1" customWidth="1"/>
    <col min="6914" max="7168" width="9.140625" style="1891"/>
    <col min="7169" max="7169" width="28.5703125" style="1891" bestFit="1" customWidth="1"/>
    <col min="7170" max="7424" width="9.140625" style="1891"/>
    <col min="7425" max="7425" width="28.5703125" style="1891" bestFit="1" customWidth="1"/>
    <col min="7426" max="7680" width="9.140625" style="1891"/>
    <col min="7681" max="7681" width="28.5703125" style="1891" bestFit="1" customWidth="1"/>
    <col min="7682" max="7936" width="9.140625" style="1891"/>
    <col min="7937" max="7937" width="28.5703125" style="1891" bestFit="1" customWidth="1"/>
    <col min="7938" max="8192" width="9.140625" style="1891"/>
    <col min="8193" max="8193" width="28.5703125" style="1891" bestFit="1" customWidth="1"/>
    <col min="8194" max="8448" width="9.140625" style="1891"/>
    <col min="8449" max="8449" width="28.5703125" style="1891" bestFit="1" customWidth="1"/>
    <col min="8450" max="8704" width="9.140625" style="1891"/>
    <col min="8705" max="8705" width="28.5703125" style="1891" bestFit="1" customWidth="1"/>
    <col min="8706" max="8960" width="9.140625" style="1891"/>
    <col min="8961" max="8961" width="28.5703125" style="1891" bestFit="1" customWidth="1"/>
    <col min="8962" max="9216" width="9.140625" style="1891"/>
    <col min="9217" max="9217" width="28.5703125" style="1891" bestFit="1" customWidth="1"/>
    <col min="9218" max="9472" width="9.140625" style="1891"/>
    <col min="9473" max="9473" width="28.5703125" style="1891" bestFit="1" customWidth="1"/>
    <col min="9474" max="9728" width="9.140625" style="1891"/>
    <col min="9729" max="9729" width="28.5703125" style="1891" bestFit="1" customWidth="1"/>
    <col min="9730" max="9984" width="9.140625" style="1891"/>
    <col min="9985" max="9985" width="28.5703125" style="1891" bestFit="1" customWidth="1"/>
    <col min="9986" max="10240" width="9.140625" style="1891"/>
    <col min="10241" max="10241" width="28.5703125" style="1891" bestFit="1" customWidth="1"/>
    <col min="10242" max="10496" width="9.140625" style="1891"/>
    <col min="10497" max="10497" width="28.5703125" style="1891" bestFit="1" customWidth="1"/>
    <col min="10498" max="10752" width="9.140625" style="1891"/>
    <col min="10753" max="10753" width="28.5703125" style="1891" bestFit="1" customWidth="1"/>
    <col min="10754" max="11008" width="9.140625" style="1891"/>
    <col min="11009" max="11009" width="28.5703125" style="1891" bestFit="1" customWidth="1"/>
    <col min="11010" max="11264" width="9.140625" style="1891"/>
    <col min="11265" max="11265" width="28.5703125" style="1891" bestFit="1" customWidth="1"/>
    <col min="11266" max="11520" width="9.140625" style="1891"/>
    <col min="11521" max="11521" width="28.5703125" style="1891" bestFit="1" customWidth="1"/>
    <col min="11522" max="11776" width="9.140625" style="1891"/>
    <col min="11777" max="11777" width="28.5703125" style="1891" bestFit="1" customWidth="1"/>
    <col min="11778" max="12032" width="9.140625" style="1891"/>
    <col min="12033" max="12033" width="28.5703125" style="1891" bestFit="1" customWidth="1"/>
    <col min="12034" max="12288" width="9.140625" style="1891"/>
    <col min="12289" max="12289" width="28.5703125" style="1891" bestFit="1" customWidth="1"/>
    <col min="12290" max="12544" width="9.140625" style="1891"/>
    <col min="12545" max="12545" width="28.5703125" style="1891" bestFit="1" customWidth="1"/>
    <col min="12546" max="12800" width="9.140625" style="1891"/>
    <col min="12801" max="12801" width="28.5703125" style="1891" bestFit="1" customWidth="1"/>
    <col min="12802" max="13056" width="9.140625" style="1891"/>
    <col min="13057" max="13057" width="28.5703125" style="1891" bestFit="1" customWidth="1"/>
    <col min="13058" max="13312" width="9.140625" style="1891"/>
    <col min="13313" max="13313" width="28.5703125" style="1891" bestFit="1" customWidth="1"/>
    <col min="13314" max="13568" width="9.140625" style="1891"/>
    <col min="13569" max="13569" width="28.5703125" style="1891" bestFit="1" customWidth="1"/>
    <col min="13570" max="13824" width="9.140625" style="1891"/>
    <col min="13825" max="13825" width="28.5703125" style="1891" bestFit="1" customWidth="1"/>
    <col min="13826" max="14080" width="9.140625" style="1891"/>
    <col min="14081" max="14081" width="28.5703125" style="1891" bestFit="1" customWidth="1"/>
    <col min="14082" max="14336" width="9.140625" style="1891"/>
    <col min="14337" max="14337" width="28.5703125" style="1891" bestFit="1" customWidth="1"/>
    <col min="14338" max="14592" width="9.140625" style="1891"/>
    <col min="14593" max="14593" width="28.5703125" style="1891" bestFit="1" customWidth="1"/>
    <col min="14594" max="14848" width="9.140625" style="1891"/>
    <col min="14849" max="14849" width="28.5703125" style="1891" bestFit="1" customWidth="1"/>
    <col min="14850" max="15104" width="9.140625" style="1891"/>
    <col min="15105" max="15105" width="28.5703125" style="1891" bestFit="1" customWidth="1"/>
    <col min="15106" max="15360" width="9.140625" style="1891"/>
    <col min="15361" max="15361" width="28.5703125" style="1891" bestFit="1" customWidth="1"/>
    <col min="15362" max="15616" width="9.140625" style="1891"/>
    <col min="15617" max="15617" width="28.5703125" style="1891" bestFit="1" customWidth="1"/>
    <col min="15618" max="15872" width="9.140625" style="1891"/>
    <col min="15873" max="15873" width="28.5703125" style="1891" bestFit="1" customWidth="1"/>
    <col min="15874" max="16128" width="9.140625" style="1891"/>
    <col min="16129" max="16129" width="28.5703125" style="1891" bestFit="1" customWidth="1"/>
    <col min="16130" max="16384" width="9.140625" style="1891"/>
  </cols>
  <sheetData>
    <row r="1" spans="1:1">
      <c r="A1" s="1971" t="s">
        <v>901</v>
      </c>
    </row>
    <row r="2" spans="1:1">
      <c r="A2" s="1971" t="s">
        <v>906</v>
      </c>
    </row>
    <row r="3" spans="1:1">
      <c r="A3" s="1971" t="s">
        <v>907</v>
      </c>
    </row>
    <row r="4" spans="1:1">
      <c r="A4" s="1971" t="s">
        <v>908</v>
      </c>
    </row>
    <row r="5" spans="1:1">
      <c r="A5" s="1971" t="s">
        <v>909</v>
      </c>
    </row>
    <row r="6" spans="1:1">
      <c r="A6" s="1971" t="s">
        <v>902</v>
      </c>
    </row>
    <row r="7" spans="1:1">
      <c r="A7" s="1971" t="s">
        <v>910</v>
      </c>
    </row>
    <row r="8" spans="1:1">
      <c r="A8" s="1971" t="s">
        <v>911</v>
      </c>
    </row>
    <row r="9" spans="1:1">
      <c r="A9" s="1971" t="s">
        <v>912</v>
      </c>
    </row>
    <row r="10" spans="1:1">
      <c r="A10" s="1971" t="s">
        <v>903</v>
      </c>
    </row>
    <row r="11" spans="1:1">
      <c r="A11" s="1971" t="s">
        <v>913</v>
      </c>
    </row>
    <row r="12" spans="1:1">
      <c r="A12" s="1971" t="s">
        <v>904</v>
      </c>
    </row>
    <row r="13" spans="1:1">
      <c r="A13" s="1971" t="s">
        <v>905</v>
      </c>
    </row>
  </sheetData>
  <pageMargins left="0.75" right="0.75" top="1" bottom="1" header="0.5" footer="0.5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mtd:Metadata xmlns:lkmtd="thomsonreuters.linking.metadatachange">
  <MetadataChanged>0</MetadataChanged>
</lkmtd:Metadata>
</file>

<file path=customXml/item2.xml><?xml version="1.0" encoding="utf-8"?>
<lk:Links xmlns:lk="thomsonreuters.linking.metadata">
  <Link>
    <GUID>592a4d08-190b-4d99-b012-bbe8bd872a06</GUID>
    <SOURCE_ALTADDRESS>$D$7:$R$15</SOURCE_ALTADDRESS>
    <SOURCETYPE>Table</SOURCETYPE>
    <SOURCE_OBJECTNAME>Linking_Range_32</SOURCE_OBJECTNAME>
    <OBJECTTYPE>Native</OBJECTTYPE>
    <SOURCE_SHEETCODE>Sheet34</SOURCE_SHEETCODE>
    <SOURCE_SHEETNAME>MS vs. Cons.</SOURCE_SHEETNAME>
    <SOURCEAPPLICATION>EXCEL_SOURCE</SOURCEAPPLICATION>
    <UPDATEDAT>1/28/2015 4:42:13 PM</UPDATEDAT>
    <SOURCE_ISOUTOFDATE>False</SOURCE_ISOUTOFDATE>
    <SOURCE_WORKBOOKNAME>NXPI WIP.xls</SOURCE_WORKBOOKNAME>
    <SOURCE_WORKBOOKPATH>\\MSAD\ROOT\NA\NY\LIB\ER\SEMI CAP\Joe Files\Companies\NXPI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/MSResearch/Content/ExternalAssets/2015-01/Images/jRUf-mKR2kWM9Ui139Eq8Q--.png</TARGET_BINARYFULLNAME>
    <TARGET_STORYFULLNAME>/MSResearch/Content/ExternalAssets/2015-01/Sections/20150128_044154_Linking_Range_32.xml</TARGET_STORYFULLNAME>
    <TARGET_UUID>79f45d16-a736-11e4-9d5a-3eb708603406</TARGET_UUID>
    <TRANSPARENTBACKGROUND>False</TRANSPARENTBACKGROUND>
    <TRANSPARENTPLOTAREA>False</TRANSPARENTPLOTAREA>
  </Link>
  <Link>
    <GUID>4ecddd83-ae71-41f8-9ffc-2bdd0d80a23e</GUID>
    <SOURCETYPE>Chart</SOURCETYPE>
    <SOURCE_OBJECTNAME>MWA_Risk_Reward</SOURCE_OBJECTNAME>
    <SOURCE_SHEETCODE>MWRSSData</SOURCE_SHEETCODE>
    <SOURCE_SHEETNAME>MWA RR</SOURCE_SHEETNAME>
    <OBJECTTYPE>Native</OBJECTTYPE>
    <SOURCEAPPLICATION>EXCEL_SOURCE</SOURCEAPPLICATION>
    <UPDATEDAT>2/5/2015 10:49:40 AM</UPDATEDAT>
    <SOURCE_ISOUTOFDATE>False</SOURCE_ISOUTOFDATE>
    <SOURCE_WORKBOOKNAME>NXPI WIP.xls</SOURCE_WORKBOOKNAME>
    <SOURCE_WORKBOOKPATH>\\MSAD\ROOT\NA\NY\LIB\ER\SEMI CAP\Joe Files\Companies\NXPI</SOURCE_WORKBOOKPATH>
    <TRANSPARENTBACKGROUND>False</TRANSPARENTBACKGROUND>
    <TRANSPARENTPLOTAREA>False</TRANSPARENTPLOTAREA>
    <TARGETTYPE>Picture</TARGETTYPE>
    <TARGETAPPLICATION>METHODE_TARGET</TARGETAPPLICATION>
    <TABLEBACKGROUND>Existing</TABLEBACKGROUND>
    <TARGET_BINARYFULLNAME>/MSResearch/Content/ExternalAssets/2015-02/Images/xtxFWLDMxk6-xkK43FpMwA--.png</TARGET_BINARYFULLNAME>
    <TARGET_STORYFULLNAME>/MSResearch/Content/ExternalAssets/2015-02/Sections/20150205_104937_MWA_Risk_Reward.xml</TARGET_STORYFULLNAME>
    <TARGET_UUID>96857618-ad4e-11e4-946e-d93333148876</TARGET_UUID>
  </Link>
  <Link>
    <GUID>082fba63-53b6-4ff9-b532-df15c4691289</GUID>
    <SOURCE_ALTADDRESS>$C$8:$L$19</SOURCE_ALTADDRESS>
    <SOURCETYPE>Table</SOURCETYPE>
    <SOURCE_OBJECTNAME>Linking_Range_58</SOURCE_OBJECTNAME>
    <OBJECTTYPE>Native</OBJECTTYPE>
    <SOURCE_SHEETCODE>Sheet13</SOURCE_SHEETCODE>
    <SOURCE_SHEETNAME>Snapshot</SOURCE_SHEETNAME>
    <SOURCEAPPLICATION>EXCEL_SOURCE</SOURCEAPPLICATION>
    <UPDATEDAT>2/5/2015 11:02:14 AM</UPDATEDAT>
    <SOURCE_ISOUTOFDATE>False</SOURCE_ISOUTOFDATE>
    <SOURCE_WORKBOOKNAME>NXPI WIP.xls</SOURCE_WORKBOOKNAME>
    <SOURCE_WORKBOOKPATH>\\MSAD\ROOT\NA\NY\LIB\ER\SEMI CAP\Joe Files\Companies\NXPI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/MSResearch/Content/ExternalAssets/2015-02/Images/I7rUBd852kWaUh18eQnXwA--.png</TARGET_BINARYFULLNAME>
    <TARGET_STORYFULLNAME>/MSResearch/Content/ExternalAssets/2015-02/Sections/20150205_105406_Linking_Range_58.xml</TARGET_STORYFULLNAME>
    <TARGET_UUID>3757f728-ad4f-11e4-946e-d93333148876</TARGET_UUID>
    <LINKSTATUS>Unknown</LINKSTATUS>
  </Link>
  <Link>
    <GUID>ed3c5106-ed5f-49aa-bdc3-d52273cbe186</GUID>
    <SOURCE_ALTADDRESS>$B$5:$M$32</SOURCE_ALTADDRESS>
    <SOURCETYPE>Table</SOURCETYPE>
    <SOURCE_OBJECTNAME>Linking_Range_59</SOURCE_OBJECTNAME>
    <OBJECTTYPE>Native</OBJECTTYPE>
    <SOURCE_SHEETCODE>Sheet15</SOURCE_SHEETCODE>
    <SOURCE_SHEETNAME>QoQ Comp</SOURCE_SHEETNAME>
    <SOURCEAPPLICATION>EXCEL_SOURCE</SOURCEAPPLICATION>
    <UPDATEDAT>2/5/2015 11:28:33 AM</UPDATEDAT>
    <SOURCE_ISOUTOFDATE>False</SOURCE_ISOUTOFDATE>
    <SOURCE_WORKBOOKNAME>NXPI WIP.xls</SOURCE_WORKBOOKNAME>
    <SOURCE_WORKBOOKPATH>\\MSAD\ROOT\NA\NY\LIB\ER\SEMI CAP\Joe Files\Companies\NXPI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/MSResearch/Content/ExternalAssets/2015-02/Images/R716bb-hvUyUvQeiQR9HtQ--.png</TARGET_BINARYFULLNAME>
    <TARGET_STORYFULLNAME>/MSResearch/Content/ExternalAssets/2015-02/Sections/20150205_105524_Linking_Range_59.xml</TARGET_STORYFULLNAME>
    <TARGET_UUID>655abd0e-ad4f-11e4-946e-d93333148876</TARGET_UUID>
    <LINKSTATUS>Unknown</LINKSTATUS>
  </Link>
  <Link>
    <GUID>0ff1a32c-3605-47de-89f7-12868108881e</GUID>
    <SOURCE_ALTADDRESS>$B$7:$BB$111</SOURCE_ALTADDRESS>
    <SOURCETYPE>Table</SOURCETYPE>
    <SOURCE_OBJECTNAME>Linking_Range_42</SOURCE_OBJECTNAME>
    <OBJECTTYPE>Native</OBJECTTYPE>
    <SOURCE_SHEETCODE>Sheet2</SOURCE_SHEETCODE>
    <SOURCE_SHEETNAME>IS</SOURCE_SHEETNAME>
    <SOURCEAPPLICATION>EXCEL_SOURCE</SOURCEAPPLICATION>
    <UPDATEDAT>4/30/2015 12:44:58 PM</UPDATEDAT>
    <SOURCE_ISOUTOFDATE>False</SOURCE_ISOUTOFDATE>
    <SOURCE_WORKBOOKNAME>NXPI WIP.xls</SOURCE_WORKBOOKNAME>
    <SOURCE_WORKBOOKPATH>\\MSAD\ROOT\NA\NY\LIB\ER\SEMI CAP\Joe Files\Companies\NXPI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/MSResearch/Content/ExternalAssets/2015-02/Images/h7n4J1mP4UOvToLpaBT8_g--.png</TARGET_BINARYFULLNAME>
    <TARGET_STORYFULLNAME>/MSResearch/Content/ExternalAssets/2015-02/Sections/20150205_110007_Linking_Range_42.xml</TARGET_STORYFULLNAME>
    <TARGET_UUID>0e7b89e0-ad50-11e4-946e-d93333148876</TARGET_UUID>
    <TRANSPARENTBACKGROUND>False</TRANSPARENTBACKGROUND>
    <TRANSPARENTPLOTAREA>False</TRANSPARENTPLOTAREA>
    <EXTRACTSOURCEMODE>CopyToClipboard</EXTRACTSOURCEMODE>
  </Link>
  <Link>
    <GUID>82034ca9-6af8-48dc-add7-e483793ce0e8</GUID>
    <SOURCE_ALTADDRESS>$B$7:$AQ$41</SOURCE_ALTADDRESS>
    <SOURCETYPE>Table</SOURCETYPE>
    <SOURCE_OBJECTNAME>Linking_Range_51</SOURCE_OBJECTNAME>
    <OBJECTTYPE>Native</OBJECTTYPE>
    <SOURCE_SHEETCODE>Sheet3</SOURCE_SHEETCODE>
    <SOURCE_SHEETNAME>BS</SOURCE_SHEETNAME>
    <SOURCEAPPLICATION>EXCEL_SOURCE</SOURCEAPPLICATION>
    <UPDATEDAT>4/30/2015 12:45:28 PM</UPDATEDAT>
    <SOURCE_ISOUTOFDATE>False</SOURCE_ISOUTOFDATE>
    <SOURCE_WORKBOOKNAME>NXPI WIP.xls</SOURCE_WORKBOOKNAME>
    <SOURCE_WORKBOOKPATH>\\MSAD\ROOT\NA\NY\LIB\ER\SEMI CAP\Joe Files\Companies\NXPI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/MSResearch/Content/ExternalAssets/2015-02/Images/WScWsoWizEWxStJ2tIk8gg--.png</TARGET_BINARYFULLNAME>
    <TARGET_STORYFULLNAME>/MSResearch/Content/ExternalAssets/2015-02/Sections/20150205_110048_Linking_Range_51.xml</TARGET_STORYFULLNAME>
    <TARGET_UUID>269e13ee-ad50-11e4-946e-d93333148876</TARGET_UUID>
    <TRANSPARENTBACKGROUND>False</TRANSPARENTBACKGROUND>
    <TRANSPARENTPLOTAREA>False</TRANSPARENTPLOTAREA>
    <EXTRACTSOURCEMODE>CopyToClipboard</EXTRACTSOURCEMODE>
  </Link>
  <Link>
    <GUID>98639e6d-473a-4646-8bd8-c21b5f1d3fa7</GUID>
    <SOURCE_ALTADDRESS>$B$7:$BB$54</SOURCE_ALTADDRESS>
    <SOURCETYPE>Table</SOURCETYPE>
    <SOURCE_OBJECTNAME>Linking_Range_44</SOURCE_OBJECTNAME>
    <OBJECTTYPE>Native</OBJECTTYPE>
    <SOURCE_SHEETCODE>Sheet4</SOURCE_SHEETCODE>
    <SOURCE_SHEETNAME>CFS</SOURCE_SHEETNAME>
    <SOURCEAPPLICATION>EXCEL_SOURCE</SOURCEAPPLICATION>
    <UPDATEDAT>4/30/2015 12:46:25 PM</UPDATEDAT>
    <SOURCE_ISOUTOFDATE>False</SOURCE_ISOUTOFDATE>
    <SOURCE_WORKBOOKNAME>NXPI WIP.xls</SOURCE_WORKBOOKNAME>
    <SOURCE_WORKBOOKPATH>\\MSAD\ROOT\NA\NY\LIB\ER\SEMI CAP\Joe Files\Companies\NXPI</SOURCE_WORKBOOKPATH>
    <IMPORTEXPORTINBLACKANDWHITE>False</IMPORTEXPORTINBLACKANDWHITE>
    <IMPORTEXPORTTABLETEXTINBLACKANDWHITE>False</IMPORTEXPORTTABLETEXTINBLACKANDWHITE>
    <TABLEBACKGROUND>Existing</TABLEBACKGROUND>
    <HIDEGRIDLINES>True</HIDEGRIDLINES>
    <TARGETTYPE>Picture</TARGETTYPE>
    <TARGETAPPLICATION>METHODE_TARGET</TARGETAPPLICATION>
    <TARGET_BINARYFULLNAME>/MSResearch/Content/ExternalAssets/2015-02/Images/A_xPN8Scfk2wlWTevXjVSg--.png</TARGET_BINARYFULLNAME>
    <TARGET_STORYFULLNAME>/MSResearch/Content/ExternalAssets/2015-02/Sections/20150205_110128_Linking_Range_44.xml</TARGET_STORYFULLNAME>
    <TARGET_UUID>3ea5ec1e-ad50-11e4-946e-d93333148876</TARGET_UUID>
    <TRANSPARENTBACKGROUND>False</TRANSPARENTBACKGROUND>
    <TRANSPARENTPLOTAREA>False</TRANSPARENTPLOTAREA>
    <EXTRACTSOURCEMODE>CopyToClipboard</EXTRACTSOURCEMODE>
  </Link>
</lk:Links>
</file>

<file path=customXml/itemProps1.xml><?xml version="1.0" encoding="utf-8"?>
<ds:datastoreItem xmlns:ds="http://schemas.openxmlformats.org/officeDocument/2006/customXml" ds:itemID="{E0B2F54A-7862-47F2-85D1-90AEF1103844}">
  <ds:schemaRefs>
    <ds:schemaRef ds:uri="thomsonreuters.linking.metadatachange"/>
  </ds:schemaRefs>
</ds:datastoreItem>
</file>

<file path=customXml/itemProps2.xml><?xml version="1.0" encoding="utf-8"?>
<ds:datastoreItem xmlns:ds="http://schemas.openxmlformats.org/officeDocument/2006/customXml" ds:itemID="{B00DFC86-764D-4EEA-BAFB-B338BCFC3E22}">
  <ds:schemaRefs>
    <ds:schemaRef ds:uri="thomsonreuters.linking.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90</vt:i4>
      </vt:variant>
    </vt:vector>
  </HeadingPairs>
  <TitlesOfParts>
    <vt:vector size="97" baseType="lpstr">
      <vt:lpstr>ImportantDisclosures</vt:lpstr>
      <vt:lpstr>IS Inc FSL</vt:lpstr>
      <vt:lpstr>BS</vt:lpstr>
      <vt:lpstr>CFS</vt:lpstr>
      <vt:lpstr>NXP BU-Segment</vt:lpstr>
      <vt:lpstr>IndexInformation</vt:lpstr>
      <vt:lpstr>ModPubIndex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ModPubIndex!BRO</vt:lpstr>
      <vt:lpstr>BS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ModPubIndex!HL</vt:lpstr>
      <vt:lpstr>ModPubIndex!IND</vt:lpstr>
      <vt:lpstr>ImportantDisclosures!Industry</vt:lpstr>
      <vt:lpstr>IndustryId</vt:lpstr>
      <vt:lpstr>ImportantDisclosures!IndustryRating</vt:lpstr>
      <vt:lpstr>IndexInformation!KeepVersions</vt:lpstr>
      <vt:lpstr>LanguageCode</vt:lpstr>
      <vt:lpstr>ImportantDisclosures!LastCell</vt:lpstr>
      <vt:lpstr>Linking_11</vt:lpstr>
      <vt:lpstr>Linking_14</vt:lpstr>
      <vt:lpstr>Linking_24</vt:lpstr>
      <vt:lpstr>Linking_31</vt:lpstr>
      <vt:lpstr>Linking_37</vt:lpstr>
      <vt:lpstr>Linking_38</vt:lpstr>
      <vt:lpstr>Linking_5</vt:lpstr>
      <vt:lpstr>Linking_6</vt:lpstr>
      <vt:lpstr>Linking_Range_15</vt:lpstr>
      <vt:lpstr>Linking_Range_23</vt:lpstr>
      <vt:lpstr>Linking_Range_24</vt:lpstr>
      <vt:lpstr>Linking_Range_30</vt:lpstr>
      <vt:lpstr>Linking_Range_31</vt:lpstr>
      <vt:lpstr>Linking_Range_37</vt:lpstr>
      <vt:lpstr>Linking_Range_43</vt:lpstr>
      <vt:lpstr>Linking_Range_44</vt:lpstr>
      <vt:lpstr>Linking_Range_51</vt:lpstr>
      <vt:lpstr>Linking_Range_6</vt:lpstr>
      <vt:lpstr>Linking_Range_7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ModPubIndex!PANA</vt:lpstr>
      <vt:lpstr>IndexInformation!PathName</vt:lpstr>
      <vt:lpstr>'NXP BU-Segment'!Print_Area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2011-04-06T14:26:47Z</dcterms:created>
  <dc:creator>josuev</dc:creator>
  <cp:lastModifiedBy>Rao, Vinayak (Research)</cp:lastModifiedBy>
  <cp:lastPrinted>2018-03-18T14:57:41Z</cp:lastPrinted>
  <dcterms:modified xsi:type="dcterms:W3CDTF">2018-03-19T11:54:15Z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59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757106</vt:lpwstr>
  </property>
  <property fmtid="{D5CDD505-2E9C-101B-9397-08002B2CF9AE}" name="ERModPubCompanyName" pid="6">
    <vt:lpwstr>NXP Semiconductor NV</vt:lpwstr>
  </property>
  <property fmtid="{D5CDD505-2E9C-101B-9397-08002B2CF9AE}" name="MSDH34TAG" pid="7">
    <vt:lpwstr>.TEZUF76X5TAHATHESADREYAK-00-INB160+*94600-06=434fae06/-2b6c/-11e8/-b383/-f99601a31d31,MD=20180319080742/-0400,ZZ=000Z-9c57.</vt:lpwstr>
  </property>
</Properties>
</file>