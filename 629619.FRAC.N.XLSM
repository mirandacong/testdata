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80" yWindow="675" windowWidth="19440" windowHeight="12675"/>
  </bookViews>
  <sheets>
    <sheet name="ImportantDisclosures" sheetId="26" r:id="rId1"/>
    <sheet name="Model" sheetId="2" r:id="rId2"/>
    <sheet name="IndexInformation" sheetId="27" r:id="rId3"/>
    <sheet name="ModPubIndex" sheetId="28" r:id="rId4"/>
    <sheet name="MW-Cache" sheetId="19" state="veryHidden" r:id="rId5"/>
  </sheets>
  <externalReferences>
    <externalReference r:id="rId6"/>
  </externalReferences>
  <definedNames>
    <definedName name="__FDS_HYPERLINK_TOGGLE_STATE__" hidden="1">"ON"</definedName>
    <definedName name="_xlnm._FilterDatabase" localSheetId="1" hidden="1">Model!$BG$76:$BQ$76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Model!$B$9:$O$63</definedName>
    <definedName name="Linking_2">Model!$B$156:$O$181</definedName>
    <definedName name="Linking_3">Model!$B$184:$O$231</definedName>
    <definedName name="MacroVersion" localSheetId="2">IndexInformation!$B$1</definedName>
    <definedName name="Model">Model!$B$9:$BV$429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ObjectType">IndexInformation!$B$37</definedName>
    <definedName name="PANA" localSheetId="3">ModPubIndex!$A$11</definedName>
    <definedName name="PathName" localSheetId="2">IndexInformation!$B$25</definedName>
    <definedName name="_xlnm.Print_Area" localSheetId="1">Model!$B$8:$O$78,Model!$BB$8:$BL$78,Model!$B$155:$O$181,Model!$BB$155:$BL$181,Model!$B$183:$O$231,Model!$BB$183:$BL$231</definedName>
    <definedName name="_xlnm.Print_Titles" localSheetId="1">Model!$B:$B</definedName>
    <definedName name="PRODUCT" localSheetId="3">ModPubIndex!$A$6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/>
</workbook>
</file>

<file path=xl/calcChain.xml><?xml version="1.0" encoding="utf-8"?>
<calcChain xmlns="http://schemas.openxmlformats.org/spreadsheetml/2006/main">
  <c r="BX47" i="2" l="1"/>
  <c r="BX48" i="2" s="1"/>
  <c r="BX49" i="2" s="1"/>
  <c r="BX50" i="2" s="1"/>
  <c r="BX51" i="2" s="1"/>
  <c r="BX52" i="2" s="1"/>
  <c r="BX53" i="2" s="1"/>
  <c r="BX54" i="2" s="1"/>
  <c r="BX55" i="2" s="1"/>
  <c r="BX56" i="2" s="1"/>
  <c r="BX57" i="2" s="1"/>
  <c r="BX58" i="2" s="1"/>
  <c r="BX59" i="2" s="1"/>
  <c r="BX60" i="2" s="1"/>
  <c r="BX61" i="2" s="1"/>
  <c r="BX62" i="2" s="1"/>
  <c r="BX63" i="2" s="1"/>
  <c r="BX64" i="2" s="1"/>
  <c r="BX65" i="2" s="1"/>
  <c r="BX66" i="2" s="1"/>
  <c r="BX67" i="2" s="1"/>
  <c r="BX68" i="2" s="1"/>
  <c r="BX69" i="2" s="1"/>
  <c r="BX70" i="2" s="1"/>
  <c r="BX71" i="2" s="1"/>
  <c r="BX72" i="2" s="1"/>
  <c r="BX73" i="2" s="1"/>
  <c r="BX74" i="2" s="1"/>
  <c r="BX75" i="2" s="1"/>
  <c r="BX76" i="2" s="1"/>
  <c r="BX77" i="2" s="1"/>
  <c r="BX78" i="2" s="1"/>
  <c r="BX79" i="2" s="1"/>
  <c r="BX80" i="2" s="1"/>
  <c r="BX81" i="2" s="1"/>
  <c r="BX82" i="2" s="1"/>
  <c r="BX83" i="2" s="1"/>
  <c r="BX84" i="2" s="1"/>
  <c r="BX85" i="2" s="1"/>
  <c r="BX86" i="2" s="1"/>
  <c r="BX87" i="2" s="1"/>
  <c r="BX88" i="2" s="1"/>
  <c r="BX89" i="2" s="1"/>
  <c r="BX90" i="2" s="1"/>
  <c r="BX91" i="2" s="1"/>
  <c r="BX92" i="2" s="1"/>
  <c r="BX93" i="2" s="1"/>
  <c r="BX94" i="2" s="1"/>
  <c r="BX95" i="2" s="1"/>
  <c r="BX96" i="2" s="1"/>
  <c r="BX97" i="2" s="1"/>
  <c r="BX98" i="2" s="1"/>
  <c r="BX99" i="2" s="1"/>
  <c r="BX100" i="2" s="1"/>
  <c r="BX101" i="2" s="1"/>
  <c r="BX102" i="2" s="1"/>
  <c r="BX103" i="2" s="1"/>
  <c r="BX104" i="2" s="1"/>
  <c r="BX105" i="2" s="1"/>
  <c r="BX106" i="2" s="1"/>
  <c r="BX107" i="2" s="1"/>
  <c r="BX108" i="2" s="1"/>
  <c r="BX109" i="2" s="1"/>
  <c r="BX110" i="2" s="1"/>
  <c r="BX111" i="2" s="1"/>
  <c r="BX112" i="2" s="1"/>
  <c r="BX113" i="2" s="1"/>
  <c r="BX114" i="2" s="1"/>
  <c r="BX115" i="2" s="1"/>
  <c r="BX116" i="2" s="1"/>
  <c r="BX117" i="2" s="1"/>
  <c r="BX118" i="2" s="1"/>
  <c r="BX119" i="2" s="1"/>
  <c r="BX120" i="2" s="1"/>
  <c r="BX121" i="2" s="1"/>
  <c r="BX122" i="2" s="1"/>
  <c r="BX123" i="2" s="1"/>
  <c r="BX124" i="2" s="1"/>
  <c r="BX125" i="2" s="1"/>
  <c r="BX126" i="2" s="1"/>
  <c r="BX127" i="2" s="1"/>
  <c r="BX128" i="2" s="1"/>
  <c r="BX129" i="2" s="1"/>
  <c r="BX130" i="2" s="1"/>
  <c r="BX131" i="2" s="1"/>
  <c r="BX132" i="2" s="1"/>
  <c r="BX133" i="2" s="1"/>
  <c r="BX134" i="2" s="1"/>
  <c r="BX135" i="2" s="1"/>
  <c r="BX136" i="2" s="1"/>
  <c r="BX137" i="2" s="1"/>
  <c r="BX138" i="2" s="1"/>
  <c r="BX139" i="2" s="1"/>
  <c r="BX140" i="2" s="1"/>
  <c r="BX141" i="2" s="1"/>
  <c r="BX142" i="2" s="1"/>
  <c r="BX143" i="2" s="1"/>
  <c r="BX144" i="2" s="1"/>
  <c r="BX145" i="2" s="1"/>
  <c r="BX146" i="2" s="1"/>
  <c r="BX147" i="2" s="1"/>
  <c r="BX148" i="2" s="1"/>
  <c r="BX149" i="2" s="1"/>
  <c r="BX150" i="2" s="1"/>
  <c r="BX151" i="2" s="1"/>
  <c r="BX152" i="2" s="1"/>
  <c r="BX153" i="2" s="1"/>
  <c r="BX154" i="2" s="1"/>
  <c r="BX155" i="2" s="1"/>
  <c r="BX156" i="2" s="1"/>
  <c r="BX157" i="2" s="1"/>
  <c r="BX158" i="2" s="1"/>
  <c r="BX159" i="2" s="1"/>
  <c r="BX160" i="2" s="1"/>
  <c r="BX161" i="2" s="1"/>
  <c r="BX162" i="2" s="1"/>
  <c r="BX163" i="2" s="1"/>
  <c r="BX164" i="2" s="1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15" i="2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11" i="2"/>
  <c r="BX12" i="2" s="1"/>
  <c r="BX13" i="2" s="1"/>
  <c r="BX14" i="2" s="1"/>
  <c r="BX10" i="2"/>
  <c r="M428" i="2"/>
  <c r="L428" i="2"/>
  <c r="K428" i="2"/>
  <c r="J428" i="2"/>
  <c r="I428" i="2"/>
  <c r="H428" i="2"/>
  <c r="G428" i="2"/>
  <c r="F428" i="2"/>
  <c r="E428" i="2"/>
  <c r="D428" i="2"/>
  <c r="C428" i="2"/>
  <c r="BU427" i="2"/>
  <c r="BT427" i="2"/>
  <c r="BS427" i="2"/>
  <c r="BR427" i="2"/>
  <c r="BQ427" i="2"/>
  <c r="BP427" i="2"/>
  <c r="BO427" i="2"/>
  <c r="BN427" i="2"/>
  <c r="BM427" i="2"/>
  <c r="BL427" i="2"/>
  <c r="BK427" i="2"/>
  <c r="BJ427" i="2"/>
  <c r="BI427" i="2"/>
  <c r="BF427" i="2"/>
  <c r="BD427" i="2"/>
  <c r="BC427" i="2"/>
  <c r="BB427" i="2"/>
  <c r="BA427" i="2"/>
  <c r="AZ427" i="2"/>
  <c r="AY427" i="2"/>
  <c r="AX427" i="2"/>
  <c r="AW427" i="2"/>
  <c r="AV427" i="2"/>
  <c r="AU427" i="2"/>
  <c r="AT427" i="2"/>
  <c r="AS427" i="2"/>
  <c r="AR427" i="2"/>
  <c r="AQ427" i="2"/>
  <c r="AP427" i="2"/>
  <c r="AO427" i="2"/>
  <c r="AN427" i="2"/>
  <c r="AM427" i="2"/>
  <c r="AL427" i="2"/>
  <c r="AK427" i="2"/>
  <c r="AJ427" i="2"/>
  <c r="AI427" i="2"/>
  <c r="AH427" i="2"/>
  <c r="AG427" i="2"/>
  <c r="AF427" i="2"/>
  <c r="AE427" i="2"/>
  <c r="AD427" i="2"/>
  <c r="AC427" i="2"/>
  <c r="AB427" i="2"/>
  <c r="AA427" i="2"/>
  <c r="Z427" i="2"/>
  <c r="Y427" i="2"/>
  <c r="X427" i="2"/>
  <c r="W427" i="2"/>
  <c r="V427" i="2"/>
  <c r="U427" i="2"/>
  <c r="T427" i="2"/>
  <c r="S427" i="2"/>
  <c r="J427" i="2"/>
  <c r="I427" i="2"/>
  <c r="H427" i="2"/>
  <c r="G427" i="2"/>
  <c r="F427" i="2"/>
  <c r="E427" i="2"/>
  <c r="D427" i="2"/>
  <c r="K408" i="2"/>
  <c r="BH394" i="2"/>
  <c r="BG394" i="2"/>
  <c r="BF394" i="2"/>
  <c r="BE394" i="2"/>
  <c r="BD394" i="2"/>
  <c r="BC394" i="2"/>
  <c r="BI387" i="2"/>
  <c r="BE387" i="2"/>
  <c r="BD382" i="2"/>
  <c r="BD390" i="2" s="1"/>
  <c r="BC382" i="2"/>
  <c r="BC390" i="2" s="1"/>
  <c r="BB382" i="2"/>
  <c r="BI380" i="2"/>
  <c r="BH380" i="2"/>
  <c r="BG380" i="2"/>
  <c r="BF380" i="2"/>
  <c r="BE380" i="2"/>
  <c r="BE396" i="2" s="1"/>
  <c r="BD380" i="2"/>
  <c r="BC380" i="2"/>
  <c r="BB380" i="2"/>
  <c r="BA377" i="2"/>
  <c r="AW377" i="2"/>
  <c r="AS377" i="2"/>
  <c r="AO377" i="2"/>
  <c r="AK377" i="2"/>
  <c r="AG377" i="2"/>
  <c r="AC377" i="2"/>
  <c r="Y377" i="2"/>
  <c r="U377" i="2"/>
  <c r="AT376" i="2"/>
  <c r="AP376" i="2"/>
  <c r="AL376" i="2"/>
  <c r="AD376" i="2"/>
  <c r="Z376" i="2"/>
  <c r="V376" i="2"/>
  <c r="BA376" i="2"/>
  <c r="AZ377" i="2"/>
  <c r="AY376" i="2"/>
  <c r="AW376" i="2"/>
  <c r="AV377" i="2"/>
  <c r="AU376" i="2"/>
  <c r="AS376" i="2"/>
  <c r="AR377" i="2"/>
  <c r="AQ376" i="2"/>
  <c r="AO376" i="2"/>
  <c r="AN377" i="2"/>
  <c r="AM376" i="2"/>
  <c r="AK376" i="2"/>
  <c r="AJ377" i="2"/>
  <c r="AI376" i="2"/>
  <c r="AG376" i="2"/>
  <c r="AF377" i="2"/>
  <c r="AE376" i="2"/>
  <c r="AC376" i="2"/>
  <c r="AB377" i="2"/>
  <c r="AA376" i="2"/>
  <c r="Y376" i="2"/>
  <c r="X377" i="2"/>
  <c r="W376" i="2"/>
  <c r="U376" i="2"/>
  <c r="T377" i="2"/>
  <c r="S376" i="2"/>
  <c r="S377" i="2"/>
  <c r="I373" i="2"/>
  <c r="H373" i="2"/>
  <c r="G373" i="2"/>
  <c r="F373" i="2"/>
  <c r="I372" i="2"/>
  <c r="H372" i="2"/>
  <c r="G372" i="2"/>
  <c r="F372" i="2"/>
  <c r="AV370" i="2"/>
  <c r="AN370" i="2"/>
  <c r="AF370" i="2"/>
  <c r="AV369" i="2"/>
  <c r="AX367" i="2"/>
  <c r="AU367" i="2"/>
  <c r="AT367" i="2"/>
  <c r="AS367" i="2"/>
  <c r="AR367" i="2"/>
  <c r="AQ367" i="2"/>
  <c r="AP367" i="2"/>
  <c r="AP366" i="2" s="1"/>
  <c r="AP370" i="2" s="1"/>
  <c r="AO367" i="2"/>
  <c r="AN367" i="2"/>
  <c r="AM367" i="2"/>
  <c r="AL367" i="2"/>
  <c r="AL366" i="2" s="1"/>
  <c r="AL370" i="2" s="1"/>
  <c r="AK367" i="2"/>
  <c r="AJ367" i="2"/>
  <c r="AI367" i="2"/>
  <c r="AH367" i="2"/>
  <c r="AG367" i="2"/>
  <c r="AF367" i="2"/>
  <c r="AE367" i="2"/>
  <c r="AD367" i="2"/>
  <c r="AY366" i="2"/>
  <c r="AY370" i="2" s="1"/>
  <c r="AX366" i="2"/>
  <c r="AX370" i="2" s="1"/>
  <c r="AW366" i="2"/>
  <c r="AW370" i="2" s="1"/>
  <c r="AV366" i="2"/>
  <c r="AT366" i="2"/>
  <c r="AT370" i="2" s="1"/>
  <c r="AQ366" i="2"/>
  <c r="AQ370" i="2" s="1"/>
  <c r="AO366" i="2"/>
  <c r="AO370" i="2" s="1"/>
  <c r="AN366" i="2"/>
  <c r="AM366" i="2"/>
  <c r="AM370" i="2" s="1"/>
  <c r="AH366" i="2"/>
  <c r="AH370" i="2" s="1"/>
  <c r="AD366" i="2"/>
  <c r="AD370" i="2" s="1"/>
  <c r="AX364" i="2"/>
  <c r="AU364" i="2"/>
  <c r="AT364" i="2"/>
  <c r="AS364" i="2"/>
  <c r="AR364" i="2"/>
  <c r="AQ364" i="2"/>
  <c r="AP364" i="2"/>
  <c r="AO364" i="2"/>
  <c r="AN364" i="2"/>
  <c r="AM364" i="2"/>
  <c r="AL364" i="2"/>
  <c r="AK364" i="2"/>
  <c r="AJ364" i="2"/>
  <c r="AI364" i="2"/>
  <c r="AH364" i="2"/>
  <c r="AG364" i="2"/>
  <c r="AF364" i="2"/>
  <c r="AE364" i="2"/>
  <c r="AD364" i="2"/>
  <c r="AX363" i="2"/>
  <c r="AU363" i="2"/>
  <c r="AT363" i="2"/>
  <c r="AS363" i="2"/>
  <c r="AR363" i="2"/>
  <c r="AQ363" i="2"/>
  <c r="AP363" i="2"/>
  <c r="AO363" i="2"/>
  <c r="AN363" i="2"/>
  <c r="AM363" i="2"/>
  <c r="AL363" i="2"/>
  <c r="AK363" i="2"/>
  <c r="AJ363" i="2"/>
  <c r="AI363" i="2"/>
  <c r="AH363" i="2"/>
  <c r="AG363" i="2"/>
  <c r="AF363" i="2"/>
  <c r="AE363" i="2"/>
  <c r="AD363" i="2"/>
  <c r="AX362" i="2"/>
  <c r="AU362" i="2"/>
  <c r="AT362" i="2"/>
  <c r="AS362" i="2"/>
  <c r="AR362" i="2"/>
  <c r="AQ362" i="2"/>
  <c r="AP362" i="2"/>
  <c r="AO362" i="2"/>
  <c r="AN362" i="2"/>
  <c r="AM362" i="2"/>
  <c r="AL362" i="2"/>
  <c r="AK362" i="2"/>
  <c r="AJ362" i="2"/>
  <c r="AI362" i="2"/>
  <c r="AH362" i="2"/>
  <c r="AH361" i="2" s="1"/>
  <c r="AG362" i="2"/>
  <c r="AF362" i="2"/>
  <c r="AE362" i="2"/>
  <c r="AD362" i="2"/>
  <c r="AD361" i="2" s="1"/>
  <c r="AX361" i="2"/>
  <c r="AT361" i="2"/>
  <c r="AP361" i="2"/>
  <c r="AL361" i="2"/>
  <c r="AI361" i="2"/>
  <c r="AG361" i="2"/>
  <c r="AF361" i="2"/>
  <c r="AE361" i="2"/>
  <c r="AZ360" i="2"/>
  <c r="AY360" i="2"/>
  <c r="AX360" i="2"/>
  <c r="AW360" i="2"/>
  <c r="AV360" i="2"/>
  <c r="BA358" i="2"/>
  <c r="AZ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AK358" i="2"/>
  <c r="AJ358" i="2"/>
  <c r="AI358" i="2"/>
  <c r="AH358" i="2"/>
  <c r="AG358" i="2"/>
  <c r="AF358" i="2"/>
  <c r="AE358" i="2"/>
  <c r="AD358" i="2"/>
  <c r="AC358" i="2"/>
  <c r="AB358" i="2"/>
  <c r="AA358" i="2"/>
  <c r="Z358" i="2"/>
  <c r="Y358" i="2"/>
  <c r="X358" i="2"/>
  <c r="W358" i="2"/>
  <c r="V358" i="2"/>
  <c r="U358" i="2"/>
  <c r="T358" i="2"/>
  <c r="S358" i="2"/>
  <c r="BA357" i="2"/>
  <c r="AZ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AJ357" i="2"/>
  <c r="AI357" i="2"/>
  <c r="AH357" i="2"/>
  <c r="AG357" i="2"/>
  <c r="AF357" i="2"/>
  <c r="AE357" i="2"/>
  <c r="AD357" i="2"/>
  <c r="AC357" i="2"/>
  <c r="AB357" i="2"/>
  <c r="AA357" i="2"/>
  <c r="Z357" i="2"/>
  <c r="Y357" i="2"/>
  <c r="X357" i="2"/>
  <c r="W357" i="2"/>
  <c r="V357" i="2"/>
  <c r="U357" i="2"/>
  <c r="T357" i="2"/>
  <c r="S357" i="2"/>
  <c r="AZ355" i="2"/>
  <c r="AY355" i="2"/>
  <c r="AY367" i="2" s="1"/>
  <c r="AW355" i="2"/>
  <c r="AW367" i="2" s="1"/>
  <c r="AV355" i="2"/>
  <c r="AV367" i="2" s="1"/>
  <c r="BA354" i="2"/>
  <c r="BA366" i="2" s="1"/>
  <c r="AX354" i="2"/>
  <c r="AU354" i="2"/>
  <c r="AU366" i="2" s="1"/>
  <c r="AU370" i="2" s="1"/>
  <c r="AT354" i="2"/>
  <c r="AS354" i="2"/>
  <c r="AS366" i="2" s="1"/>
  <c r="AS370" i="2" s="1"/>
  <c r="AR354" i="2"/>
  <c r="AR366" i="2" s="1"/>
  <c r="AR370" i="2" s="1"/>
  <c r="AK354" i="2"/>
  <c r="AK366" i="2" s="1"/>
  <c r="AK370" i="2" s="1"/>
  <c r="AJ354" i="2"/>
  <c r="AJ366" i="2" s="1"/>
  <c r="AJ370" i="2" s="1"/>
  <c r="AI354" i="2"/>
  <c r="AI366" i="2" s="1"/>
  <c r="AI370" i="2" s="1"/>
  <c r="AH354" i="2"/>
  <c r="AG354" i="2"/>
  <c r="AG366" i="2" s="1"/>
  <c r="AG370" i="2" s="1"/>
  <c r="AF354" i="2"/>
  <c r="AF366" i="2" s="1"/>
  <c r="AE354" i="2"/>
  <c r="AE366" i="2" s="1"/>
  <c r="AE370" i="2" s="1"/>
  <c r="AD354" i="2"/>
  <c r="BA345" i="2"/>
  <c r="AZ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AK345" i="2"/>
  <c r="AJ345" i="2"/>
  <c r="AI345" i="2"/>
  <c r="AH345" i="2"/>
  <c r="AG345" i="2"/>
  <c r="AF345" i="2"/>
  <c r="AE345" i="2"/>
  <c r="AD345" i="2"/>
  <c r="AC345" i="2"/>
  <c r="AB345" i="2"/>
  <c r="AA345" i="2"/>
  <c r="Z345" i="2"/>
  <c r="Y345" i="2"/>
  <c r="X345" i="2"/>
  <c r="W345" i="2"/>
  <c r="V345" i="2"/>
  <c r="U345" i="2"/>
  <c r="T345" i="2"/>
  <c r="S345" i="2"/>
  <c r="R345" i="2"/>
  <c r="BA344" i="2"/>
  <c r="AZ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AJ344" i="2"/>
  <c r="AI344" i="2"/>
  <c r="AH344" i="2"/>
  <c r="AG344" i="2"/>
  <c r="AF344" i="2"/>
  <c r="AE344" i="2"/>
  <c r="AD344" i="2"/>
  <c r="AC344" i="2"/>
  <c r="AB344" i="2"/>
  <c r="AA344" i="2"/>
  <c r="Z344" i="2"/>
  <c r="Y344" i="2"/>
  <c r="X344" i="2"/>
  <c r="W344" i="2"/>
  <c r="V344" i="2"/>
  <c r="U344" i="2"/>
  <c r="T344" i="2"/>
  <c r="S344" i="2"/>
  <c r="R344" i="2"/>
  <c r="BA343" i="2"/>
  <c r="AZ343" i="2"/>
  <c r="AY343" i="2"/>
  <c r="AY369" i="2" s="1"/>
  <c r="AX343" i="2"/>
  <c r="AX369" i="2" s="1"/>
  <c r="AW343" i="2"/>
  <c r="AW369" i="2" s="1"/>
  <c r="AV343" i="2"/>
  <c r="AV361" i="2" s="1"/>
  <c r="AU343" i="2"/>
  <c r="AU361" i="2" s="1"/>
  <c r="AT343" i="2"/>
  <c r="AT369" i="2" s="1"/>
  <c r="AS343" i="2"/>
  <c r="AR343" i="2"/>
  <c r="AQ343" i="2"/>
  <c r="AQ369" i="2" s="1"/>
  <c r="AP343" i="2"/>
  <c r="AO343" i="2"/>
  <c r="AO369" i="2" s="1"/>
  <c r="AN343" i="2"/>
  <c r="AN361" i="2" s="1"/>
  <c r="AM343" i="2"/>
  <c r="AM369" i="2" s="1"/>
  <c r="AL343" i="2"/>
  <c r="AK343" i="2"/>
  <c r="AJ343" i="2"/>
  <c r="AI343" i="2"/>
  <c r="AH343" i="2"/>
  <c r="AG343" i="2"/>
  <c r="AF343" i="2"/>
  <c r="AF369" i="2" s="1"/>
  <c r="AE343" i="2"/>
  <c r="AD343" i="2"/>
  <c r="AD369" i="2" s="1"/>
  <c r="AC343" i="2"/>
  <c r="AB343" i="2"/>
  <c r="AA343" i="2"/>
  <c r="Z343" i="2"/>
  <c r="Y343" i="2"/>
  <c r="X343" i="2"/>
  <c r="W343" i="2"/>
  <c r="V343" i="2"/>
  <c r="U343" i="2"/>
  <c r="T343" i="2"/>
  <c r="S343" i="2"/>
  <c r="R343" i="2"/>
  <c r="BA340" i="2"/>
  <c r="AZ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AJ340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Y339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BA337" i="2"/>
  <c r="AY337" i="2"/>
  <c r="AW337" i="2"/>
  <c r="AU337" i="2"/>
  <c r="AS337" i="2"/>
  <c r="AQ337" i="2"/>
  <c r="AO337" i="2"/>
  <c r="AM337" i="2"/>
  <c r="AK337" i="2"/>
  <c r="AI337" i="2"/>
  <c r="AG337" i="2"/>
  <c r="AE337" i="2"/>
  <c r="AC337" i="2"/>
  <c r="AA337" i="2"/>
  <c r="Y337" i="2"/>
  <c r="W337" i="2"/>
  <c r="S337" i="2"/>
  <c r="BA336" i="2"/>
  <c r="AZ336" i="2"/>
  <c r="AZ337" i="2" s="1"/>
  <c r="AY336" i="2"/>
  <c r="AX336" i="2"/>
  <c r="AX337" i="2" s="1"/>
  <c r="AW336" i="2"/>
  <c r="AV336" i="2"/>
  <c r="AV337" i="2" s="1"/>
  <c r="AU336" i="2"/>
  <c r="AT336" i="2"/>
  <c r="AT337" i="2" s="1"/>
  <c r="AS336" i="2"/>
  <c r="AR336" i="2"/>
  <c r="AR337" i="2" s="1"/>
  <c r="AQ336" i="2"/>
  <c r="AP336" i="2"/>
  <c r="AP337" i="2" s="1"/>
  <c r="AO336" i="2"/>
  <c r="AN336" i="2"/>
  <c r="AN337" i="2" s="1"/>
  <c r="AM336" i="2"/>
  <c r="AL336" i="2"/>
  <c r="AL337" i="2" s="1"/>
  <c r="AK336" i="2"/>
  <c r="AJ336" i="2"/>
  <c r="AJ337" i="2" s="1"/>
  <c r="AI336" i="2"/>
  <c r="AH336" i="2"/>
  <c r="AH337" i="2" s="1"/>
  <c r="AG336" i="2"/>
  <c r="AF336" i="2"/>
  <c r="AF337" i="2" s="1"/>
  <c r="AE336" i="2"/>
  <c r="AD336" i="2"/>
  <c r="AD337" i="2" s="1"/>
  <c r="AC336" i="2"/>
  <c r="AB336" i="2"/>
  <c r="AB337" i="2" s="1"/>
  <c r="AA336" i="2"/>
  <c r="Z336" i="2"/>
  <c r="Z337" i="2" s="1"/>
  <c r="Y336" i="2"/>
  <c r="X336" i="2"/>
  <c r="X337" i="2" s="1"/>
  <c r="W336" i="2"/>
  <c r="V336" i="2"/>
  <c r="V337" i="2" s="1"/>
  <c r="U336" i="2"/>
  <c r="U337" i="2" s="1"/>
  <c r="T336" i="2"/>
  <c r="T337" i="2" s="1"/>
  <c r="S336" i="2"/>
  <c r="R336" i="2"/>
  <c r="R337" i="2" s="1"/>
  <c r="BB335" i="2"/>
  <c r="BA335" i="2"/>
  <c r="AZ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AM335" i="2"/>
  <c r="AL335" i="2"/>
  <c r="AK335" i="2"/>
  <c r="AJ335" i="2"/>
  <c r="AI335" i="2"/>
  <c r="AH335" i="2"/>
  <c r="AG335" i="2"/>
  <c r="AF335" i="2"/>
  <c r="AE335" i="2"/>
  <c r="AD335" i="2"/>
  <c r="AC335" i="2"/>
  <c r="AB335" i="2"/>
  <c r="AA335" i="2"/>
  <c r="Z335" i="2"/>
  <c r="Y335" i="2"/>
  <c r="X335" i="2"/>
  <c r="W335" i="2"/>
  <c r="V335" i="2"/>
  <c r="U335" i="2"/>
  <c r="T335" i="2"/>
  <c r="S335" i="2"/>
  <c r="BB332" i="2"/>
  <c r="BB340" i="2" s="1"/>
  <c r="BB330" i="2"/>
  <c r="BB329" i="2"/>
  <c r="BB331" i="2" s="1"/>
  <c r="BB339" i="2" s="1"/>
  <c r="BA331" i="2"/>
  <c r="BA339" i="2" s="1"/>
  <c r="AZ331" i="2"/>
  <c r="AZ339" i="2" s="1"/>
  <c r="AY331" i="2"/>
  <c r="AY339" i="2" s="1"/>
  <c r="AX331" i="2"/>
  <c r="AX339" i="2" s="1"/>
  <c r="AW331" i="2"/>
  <c r="AW339" i="2" s="1"/>
  <c r="AV331" i="2"/>
  <c r="AV339" i="2" s="1"/>
  <c r="AU331" i="2"/>
  <c r="AU339" i="2" s="1"/>
  <c r="AT331" i="2"/>
  <c r="AT339" i="2" s="1"/>
  <c r="AS331" i="2"/>
  <c r="AS339" i="2" s="1"/>
  <c r="AR331" i="2"/>
  <c r="AR339" i="2" s="1"/>
  <c r="AQ331" i="2"/>
  <c r="AQ339" i="2" s="1"/>
  <c r="AP331" i="2"/>
  <c r="AP339" i="2" s="1"/>
  <c r="AO331" i="2"/>
  <c r="AO339" i="2" s="1"/>
  <c r="AN331" i="2"/>
  <c r="AN339" i="2" s="1"/>
  <c r="AM331" i="2"/>
  <c r="AM339" i="2" s="1"/>
  <c r="AL331" i="2"/>
  <c r="AL339" i="2" s="1"/>
  <c r="AK331" i="2"/>
  <c r="AK339" i="2" s="1"/>
  <c r="AJ331" i="2"/>
  <c r="AJ339" i="2" s="1"/>
  <c r="AI331" i="2"/>
  <c r="AI339" i="2" s="1"/>
  <c r="AH331" i="2"/>
  <c r="AH339" i="2" s="1"/>
  <c r="AG331" i="2"/>
  <c r="AG339" i="2" s="1"/>
  <c r="AF331" i="2"/>
  <c r="AF339" i="2" s="1"/>
  <c r="AE331" i="2"/>
  <c r="AE339" i="2" s="1"/>
  <c r="AD331" i="2"/>
  <c r="AD339" i="2" s="1"/>
  <c r="AC331" i="2"/>
  <c r="AC339" i="2" s="1"/>
  <c r="AB331" i="2"/>
  <c r="AB339" i="2" s="1"/>
  <c r="AA331" i="2"/>
  <c r="AA339" i="2" s="1"/>
  <c r="Z331" i="2"/>
  <c r="Z339" i="2" s="1"/>
  <c r="Y331" i="2"/>
  <c r="X331" i="2"/>
  <c r="X339" i="2" s="1"/>
  <c r="W331" i="2"/>
  <c r="W339" i="2" s="1"/>
  <c r="V331" i="2"/>
  <c r="V339" i="2" s="1"/>
  <c r="U331" i="2"/>
  <c r="T331" i="2"/>
  <c r="T339" i="2" s="1"/>
  <c r="S331" i="2"/>
  <c r="S339" i="2" s="1"/>
  <c r="R331" i="2"/>
  <c r="R339" i="2" s="1"/>
  <c r="BG324" i="2"/>
  <c r="BG323" i="2"/>
  <c r="BI322" i="2"/>
  <c r="BH322" i="2"/>
  <c r="BG322" i="2"/>
  <c r="BK321" i="2"/>
  <c r="BI321" i="2"/>
  <c r="BH321" i="2"/>
  <c r="BG321" i="2"/>
  <c r="BG325" i="2" s="1"/>
  <c r="BF321" i="2"/>
  <c r="BI320" i="2"/>
  <c r="BH320" i="2"/>
  <c r="BG320" i="2"/>
  <c r="BF320" i="2"/>
  <c r="BU319" i="2"/>
  <c r="BT319" i="2"/>
  <c r="BS319" i="2"/>
  <c r="BR319" i="2"/>
  <c r="BQ319" i="2"/>
  <c r="BP319" i="2"/>
  <c r="BO319" i="2"/>
  <c r="BN319" i="2"/>
  <c r="BM319" i="2"/>
  <c r="BL319" i="2"/>
  <c r="BK319" i="2"/>
  <c r="BJ319" i="2"/>
  <c r="BI319" i="2"/>
  <c r="BH319" i="2"/>
  <c r="BG319" i="2"/>
  <c r="BL313" i="2"/>
  <c r="BM313" i="2" s="1"/>
  <c r="BN313" i="2" s="1"/>
  <c r="BO313" i="2" s="1"/>
  <c r="BP313" i="2" s="1"/>
  <c r="BQ313" i="2" s="1"/>
  <c r="BR313" i="2" s="1"/>
  <c r="BS313" i="2" s="1"/>
  <c r="BT313" i="2" s="1"/>
  <c r="BU313" i="2" s="1"/>
  <c r="BH313" i="2"/>
  <c r="BI313" i="2" s="1"/>
  <c r="BJ313" i="2" s="1"/>
  <c r="BK313" i="2" s="1"/>
  <c r="BG313" i="2"/>
  <c r="BF313" i="2"/>
  <c r="BE313" i="2"/>
  <c r="BI307" i="2"/>
  <c r="BH307" i="2"/>
  <c r="BG307" i="2"/>
  <c r="BF307" i="2"/>
  <c r="BE307" i="2"/>
  <c r="BD307" i="2"/>
  <c r="BF305" i="2"/>
  <c r="BF308" i="2" s="1"/>
  <c r="BF311" i="2" s="1"/>
  <c r="BF312" i="2" s="1"/>
  <c r="BE305" i="2"/>
  <c r="BE308" i="2" s="1"/>
  <c r="BD305" i="2"/>
  <c r="BH303" i="2"/>
  <c r="BG303" i="2"/>
  <c r="BG305" i="2" s="1"/>
  <c r="BG308" i="2" s="1"/>
  <c r="BG311" i="2" s="1"/>
  <c r="BG312" i="2" s="1"/>
  <c r="BJ301" i="2"/>
  <c r="BI301" i="2"/>
  <c r="BI323" i="2" s="1"/>
  <c r="BH301" i="2"/>
  <c r="BH323" i="2" s="1"/>
  <c r="BG301" i="2"/>
  <c r="BF301" i="2"/>
  <c r="BD301" i="2"/>
  <c r="BE300" i="2"/>
  <c r="BF322" i="2" s="1"/>
  <c r="BM300" i="2"/>
  <c r="BL300" i="2"/>
  <c r="BL322" i="2" s="1"/>
  <c r="BK300" i="2"/>
  <c r="BK322" i="2" s="1"/>
  <c r="BJ300" i="2"/>
  <c r="BJ322" i="2" s="1"/>
  <c r="BM299" i="2"/>
  <c r="BL299" i="2"/>
  <c r="BL321" i="2" s="1"/>
  <c r="BK299" i="2"/>
  <c r="BJ299" i="2"/>
  <c r="BJ321" i="2" s="1"/>
  <c r="BM298" i="2"/>
  <c r="BL298" i="2"/>
  <c r="BK298" i="2"/>
  <c r="BK320" i="2" s="1"/>
  <c r="BJ298" i="2"/>
  <c r="BJ320" i="2" s="1"/>
  <c r="BE297" i="2"/>
  <c r="BI293" i="2"/>
  <c r="BH293" i="2"/>
  <c r="BG293" i="2"/>
  <c r="BD293" i="2"/>
  <c r="BI289" i="2"/>
  <c r="BH289" i="2"/>
  <c r="BG289" i="2"/>
  <c r="BF289" i="2"/>
  <c r="BE289" i="2"/>
  <c r="BD289" i="2"/>
  <c r="BE276" i="2"/>
  <c r="BE288" i="2" s="1"/>
  <c r="BE290" i="2" s="1"/>
  <c r="BD276" i="2"/>
  <c r="BD288" i="2" s="1"/>
  <c r="BD290" i="2" s="1"/>
  <c r="BH272" i="2"/>
  <c r="BG272" i="2"/>
  <c r="BF272" i="2"/>
  <c r="BE272" i="2"/>
  <c r="BD272" i="2"/>
  <c r="BG269" i="2"/>
  <c r="BH264" i="2"/>
  <c r="BG264" i="2"/>
  <c r="BF264" i="2"/>
  <c r="BE264" i="2"/>
  <c r="BK263" i="2"/>
  <c r="BL263" i="2" s="1"/>
  <c r="BJ263" i="2"/>
  <c r="BJ261" i="2"/>
  <c r="BE263" i="2"/>
  <c r="BD263" i="2"/>
  <c r="BC263" i="2" s="1"/>
  <c r="BB263" i="2"/>
  <c r="BA263" i="2" s="1"/>
  <c r="AZ263" i="2" s="1"/>
  <c r="AY263" i="2" s="1"/>
  <c r="AX263" i="2" s="1"/>
  <c r="AW263" i="2" s="1"/>
  <c r="AV263" i="2" s="1"/>
  <c r="AU263" i="2" s="1"/>
  <c r="AT263" i="2"/>
  <c r="AS263" i="2" s="1"/>
  <c r="AR263" i="2" s="1"/>
  <c r="AQ263" i="2" s="1"/>
  <c r="AP263" i="2" s="1"/>
  <c r="AO263" i="2" s="1"/>
  <c r="AN263" i="2" s="1"/>
  <c r="AM263" i="2" s="1"/>
  <c r="AL263" i="2"/>
  <c r="AK263" i="2" s="1"/>
  <c r="AJ263" i="2" s="1"/>
  <c r="AI263" i="2" s="1"/>
  <c r="AH263" i="2" s="1"/>
  <c r="AG263" i="2" s="1"/>
  <c r="AF263" i="2" s="1"/>
  <c r="AE263" i="2" s="1"/>
  <c r="AD263" i="2"/>
  <c r="AC263" i="2" s="1"/>
  <c r="AB263" i="2" s="1"/>
  <c r="AA263" i="2" s="1"/>
  <c r="Z263" i="2" s="1"/>
  <c r="Y263" i="2" s="1"/>
  <c r="X263" i="2" s="1"/>
  <c r="W263" i="2" s="1"/>
  <c r="V263" i="2" s="1"/>
  <c r="U263" i="2" s="1"/>
  <c r="T263" i="2" s="1"/>
  <c r="S263" i="2" s="1"/>
  <c r="R263" i="2" s="1"/>
  <c r="BE262" i="2"/>
  <c r="BD262" i="2"/>
  <c r="BC262" i="2" s="1"/>
  <c r="BB262" i="2"/>
  <c r="BE261" i="2"/>
  <c r="BD261" i="2"/>
  <c r="BC261" i="2" s="1"/>
  <c r="BB261" i="2"/>
  <c r="BA261" i="2" s="1"/>
  <c r="AZ261" i="2" s="1"/>
  <c r="AY261" i="2" s="1"/>
  <c r="AX261" i="2" s="1"/>
  <c r="AW261" i="2" s="1"/>
  <c r="AV261" i="2" s="1"/>
  <c r="AU261" i="2" s="1"/>
  <c r="AT261" i="2"/>
  <c r="AS261" i="2" s="1"/>
  <c r="AR261" i="2" s="1"/>
  <c r="AQ261" i="2" s="1"/>
  <c r="AP261" i="2" s="1"/>
  <c r="AO261" i="2" s="1"/>
  <c r="AN261" i="2" s="1"/>
  <c r="AM261" i="2" s="1"/>
  <c r="AL261" i="2" s="1"/>
  <c r="AK261" i="2" s="1"/>
  <c r="AJ261" i="2" s="1"/>
  <c r="AI261" i="2" s="1"/>
  <c r="AH261" i="2" s="1"/>
  <c r="AG261" i="2" s="1"/>
  <c r="AF261" i="2" s="1"/>
  <c r="AE261" i="2" s="1"/>
  <c r="AD261" i="2" s="1"/>
  <c r="AC261" i="2" s="1"/>
  <c r="AB261" i="2" s="1"/>
  <c r="AA261" i="2" s="1"/>
  <c r="Z261" i="2" s="1"/>
  <c r="Y261" i="2" s="1"/>
  <c r="X261" i="2" s="1"/>
  <c r="W261" i="2" s="1"/>
  <c r="V261" i="2" s="1"/>
  <c r="U261" i="2" s="1"/>
  <c r="T261" i="2" s="1"/>
  <c r="S261" i="2" s="1"/>
  <c r="R261" i="2" s="1"/>
  <c r="BF251" i="2"/>
  <c r="BD251" i="2"/>
  <c r="BE235" i="2"/>
  <c r="BD235" i="2"/>
  <c r="K231" i="2"/>
  <c r="J231" i="2"/>
  <c r="BA219" i="2"/>
  <c r="BA220" i="2" s="1"/>
  <c r="BA222" i="2" s="1"/>
  <c r="BG219" i="2"/>
  <c r="BG220" i="2" s="1"/>
  <c r="BF219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I215" i="2"/>
  <c r="H215" i="2"/>
  <c r="G215" i="2"/>
  <c r="BU216" i="2"/>
  <c r="BT216" i="2"/>
  <c r="BS216" i="2"/>
  <c r="BR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BB216" i="2"/>
  <c r="BA216" i="2"/>
  <c r="AZ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AJ216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BF215" i="2"/>
  <c r="Z215" i="2"/>
  <c r="BF214" i="2"/>
  <c r="AX214" i="2"/>
  <c r="AX215" i="2" s="1"/>
  <c r="AP214" i="2"/>
  <c r="AH214" i="2"/>
  <c r="AH215" i="2" s="1"/>
  <c r="Z214" i="2"/>
  <c r="R214" i="2"/>
  <c r="R215" i="2" s="1"/>
  <c r="BI213" i="2"/>
  <c r="BH213" i="2"/>
  <c r="BG213" i="2"/>
  <c r="BF213" i="2"/>
  <c r="BE213" i="2"/>
  <c r="BD213" i="2"/>
  <c r="BC213" i="2"/>
  <c r="BB213" i="2"/>
  <c r="BA213" i="2"/>
  <c r="AZ213" i="2"/>
  <c r="AZ214" i="2" s="1"/>
  <c r="AZ215" i="2" s="1"/>
  <c r="AY213" i="2"/>
  <c r="AY214" i="2" s="1"/>
  <c r="AY215" i="2" s="1"/>
  <c r="AX213" i="2"/>
  <c r="AW213" i="2"/>
  <c r="AV213" i="2"/>
  <c r="AV214" i="2" s="1"/>
  <c r="AV215" i="2" s="1"/>
  <c r="AU213" i="2"/>
  <c r="AU214" i="2" s="1"/>
  <c r="AU215" i="2" s="1"/>
  <c r="AT213" i="2"/>
  <c r="AT214" i="2" s="1"/>
  <c r="AS213" i="2"/>
  <c r="AR213" i="2"/>
  <c r="AR214" i="2" s="1"/>
  <c r="AR215" i="2" s="1"/>
  <c r="AQ213" i="2"/>
  <c r="AQ214" i="2" s="1"/>
  <c r="AQ215" i="2" s="1"/>
  <c r="AP213" i="2"/>
  <c r="AO213" i="2"/>
  <c r="AN213" i="2"/>
  <c r="AN214" i="2" s="1"/>
  <c r="AN215" i="2" s="1"/>
  <c r="AM213" i="2"/>
  <c r="AM214" i="2" s="1"/>
  <c r="AM215" i="2" s="1"/>
  <c r="AL213" i="2"/>
  <c r="AL214" i="2" s="1"/>
  <c r="AK213" i="2"/>
  <c r="AJ213" i="2"/>
  <c r="AJ214" i="2" s="1"/>
  <c r="AJ215" i="2" s="1"/>
  <c r="AI213" i="2"/>
  <c r="AI214" i="2" s="1"/>
  <c r="AI215" i="2" s="1"/>
  <c r="AH213" i="2"/>
  <c r="AG213" i="2"/>
  <c r="AF213" i="2"/>
  <c r="AF214" i="2" s="1"/>
  <c r="AF215" i="2" s="1"/>
  <c r="AE213" i="2"/>
  <c r="AE214" i="2" s="1"/>
  <c r="AE215" i="2" s="1"/>
  <c r="AD213" i="2"/>
  <c r="AD214" i="2" s="1"/>
  <c r="AC213" i="2"/>
  <c r="AB213" i="2"/>
  <c r="AB214" i="2" s="1"/>
  <c r="AB215" i="2" s="1"/>
  <c r="AA213" i="2"/>
  <c r="AA214" i="2" s="1"/>
  <c r="AA215" i="2" s="1"/>
  <c r="Z213" i="2"/>
  <c r="Y213" i="2"/>
  <c r="X213" i="2"/>
  <c r="X214" i="2" s="1"/>
  <c r="X215" i="2" s="1"/>
  <c r="W213" i="2"/>
  <c r="W214" i="2" s="1"/>
  <c r="W215" i="2" s="1"/>
  <c r="V213" i="2"/>
  <c r="V214" i="2" s="1"/>
  <c r="U213" i="2"/>
  <c r="T213" i="2"/>
  <c r="T214" i="2" s="1"/>
  <c r="T215" i="2" s="1"/>
  <c r="S213" i="2"/>
  <c r="S214" i="2" s="1"/>
  <c r="S215" i="2" s="1"/>
  <c r="R213" i="2"/>
  <c r="BF209" i="2"/>
  <c r="AZ209" i="2"/>
  <c r="AY209" i="2"/>
  <c r="AU209" i="2"/>
  <c r="AT209" i="2"/>
  <c r="AQ209" i="2"/>
  <c r="AP209" i="2"/>
  <c r="AM209" i="2"/>
  <c r="AL209" i="2"/>
  <c r="AI209" i="2"/>
  <c r="AH209" i="2"/>
  <c r="AE209" i="2"/>
  <c r="AD209" i="2"/>
  <c r="AA209" i="2"/>
  <c r="Z209" i="2"/>
  <c r="W209" i="2"/>
  <c r="V209" i="2"/>
  <c r="S209" i="2"/>
  <c r="R209" i="2"/>
  <c r="BI208" i="2"/>
  <c r="BH208" i="2"/>
  <c r="BG208" i="2"/>
  <c r="BF208" i="2"/>
  <c r="BA206" i="2"/>
  <c r="BA205" i="2"/>
  <c r="BA209" i="2" s="1"/>
  <c r="AW206" i="2"/>
  <c r="AW205" i="2"/>
  <c r="AW204" i="2"/>
  <c r="AW203" i="2"/>
  <c r="BI206" i="2"/>
  <c r="BH206" i="2"/>
  <c r="BG206" i="2"/>
  <c r="BF206" i="2"/>
  <c r="BF316" i="2" s="1"/>
  <c r="BE206" i="2"/>
  <c r="BE316" i="2" s="1"/>
  <c r="BD206" i="2"/>
  <c r="BD316" i="2" s="1"/>
  <c r="BG205" i="2"/>
  <c r="BF205" i="2"/>
  <c r="BC205" i="2"/>
  <c r="BC209" i="2" s="1"/>
  <c r="BB205" i="2"/>
  <c r="BB209" i="2" s="1"/>
  <c r="AZ205" i="2"/>
  <c r="AY205" i="2"/>
  <c r="AX205" i="2"/>
  <c r="AX209" i="2" s="1"/>
  <c r="AV205" i="2"/>
  <c r="AV209" i="2" s="1"/>
  <c r="AU205" i="2"/>
  <c r="AT205" i="2"/>
  <c r="AS205" i="2"/>
  <c r="AS209" i="2" s="1"/>
  <c r="AR205" i="2"/>
  <c r="AR209" i="2" s="1"/>
  <c r="AQ205" i="2"/>
  <c r="AP205" i="2"/>
  <c r="AO205" i="2"/>
  <c r="AO209" i="2" s="1"/>
  <c r="AN205" i="2"/>
  <c r="AN209" i="2" s="1"/>
  <c r="AM205" i="2"/>
  <c r="AL205" i="2"/>
  <c r="AK205" i="2"/>
  <c r="AK209" i="2" s="1"/>
  <c r="AJ205" i="2"/>
  <c r="AJ209" i="2" s="1"/>
  <c r="AI205" i="2"/>
  <c r="AH205" i="2"/>
  <c r="AG205" i="2"/>
  <c r="AG209" i="2" s="1"/>
  <c r="AF205" i="2"/>
  <c r="AF209" i="2" s="1"/>
  <c r="AE205" i="2"/>
  <c r="AD205" i="2"/>
  <c r="AC205" i="2"/>
  <c r="AC209" i="2" s="1"/>
  <c r="AB205" i="2"/>
  <c r="AB209" i="2" s="1"/>
  <c r="AA205" i="2"/>
  <c r="Z205" i="2"/>
  <c r="Y205" i="2"/>
  <c r="Y209" i="2" s="1"/>
  <c r="X205" i="2"/>
  <c r="X209" i="2" s="1"/>
  <c r="W205" i="2"/>
  <c r="V205" i="2"/>
  <c r="U205" i="2"/>
  <c r="U209" i="2" s="1"/>
  <c r="T205" i="2"/>
  <c r="T209" i="2" s="1"/>
  <c r="S205" i="2"/>
  <c r="R205" i="2"/>
  <c r="BI204" i="2"/>
  <c r="BH204" i="2"/>
  <c r="BG204" i="2"/>
  <c r="BF204" i="2"/>
  <c r="BF235" i="2" s="1"/>
  <c r="BI203" i="2"/>
  <c r="BH203" i="2"/>
  <c r="BG203" i="2"/>
  <c r="BG277" i="2" s="1"/>
  <c r="BF203" i="2"/>
  <c r="BE203" i="2"/>
  <c r="BD203" i="2"/>
  <c r="BA203" i="2"/>
  <c r="BA218" i="2" s="1"/>
  <c r="BK212" i="2"/>
  <c r="BL212" i="2" s="1"/>
  <c r="BM212" i="2" s="1"/>
  <c r="BN212" i="2" s="1"/>
  <c r="BO212" i="2" s="1"/>
  <c r="BP212" i="2" s="1"/>
  <c r="BQ212" i="2" s="1"/>
  <c r="BR212" i="2" s="1"/>
  <c r="BS212" i="2" s="1"/>
  <c r="BT212" i="2" s="1"/>
  <c r="BU212" i="2" s="1"/>
  <c r="BJ212" i="2"/>
  <c r="BL208" i="2"/>
  <c r="BK208" i="2"/>
  <c r="BJ208" i="2"/>
  <c r="BU203" i="2"/>
  <c r="BT203" i="2"/>
  <c r="BS203" i="2"/>
  <c r="BR203" i="2"/>
  <c r="BI198" i="2"/>
  <c r="BF198" i="2"/>
  <c r="BE198" i="2"/>
  <c r="BB198" i="2"/>
  <c r="BA198" i="2"/>
  <c r="AS198" i="2"/>
  <c r="AO198" i="2"/>
  <c r="AK198" i="2"/>
  <c r="AG198" i="2"/>
  <c r="AC198" i="2"/>
  <c r="Y198" i="2"/>
  <c r="U198" i="2"/>
  <c r="AW197" i="2"/>
  <c r="AW198" i="2" s="1"/>
  <c r="BF196" i="2"/>
  <c r="BA191" i="2"/>
  <c r="BA190" i="2"/>
  <c r="BI191" i="2"/>
  <c r="BH191" i="2"/>
  <c r="BG191" i="2"/>
  <c r="BF191" i="2"/>
  <c r="BE191" i="2"/>
  <c r="BE256" i="2" s="1"/>
  <c r="BD191" i="2"/>
  <c r="BI190" i="2"/>
  <c r="BH190" i="2"/>
  <c r="BG190" i="2"/>
  <c r="BF190" i="2"/>
  <c r="BE190" i="2"/>
  <c r="BD190" i="2"/>
  <c r="BC190" i="2"/>
  <c r="BC198" i="2" s="1"/>
  <c r="BB190" i="2"/>
  <c r="AZ190" i="2"/>
  <c r="AZ198" i="2" s="1"/>
  <c r="AY190" i="2"/>
  <c r="AY198" i="2" s="1"/>
  <c r="AX190" i="2"/>
  <c r="AX198" i="2" s="1"/>
  <c r="AW190" i="2"/>
  <c r="AV190" i="2"/>
  <c r="AV198" i="2" s="1"/>
  <c r="AU190" i="2"/>
  <c r="AU198" i="2" s="1"/>
  <c r="AT190" i="2"/>
  <c r="AT198" i="2" s="1"/>
  <c r="AS190" i="2"/>
  <c r="AR190" i="2"/>
  <c r="AR198" i="2" s="1"/>
  <c r="AQ190" i="2"/>
  <c r="AQ198" i="2" s="1"/>
  <c r="AP190" i="2"/>
  <c r="AP198" i="2" s="1"/>
  <c r="AP215" i="2" s="1"/>
  <c r="AO190" i="2"/>
  <c r="AN190" i="2"/>
  <c r="AN198" i="2" s="1"/>
  <c r="AM190" i="2"/>
  <c r="AM198" i="2" s="1"/>
  <c r="AL190" i="2"/>
  <c r="AL198" i="2" s="1"/>
  <c r="AK190" i="2"/>
  <c r="AJ190" i="2"/>
  <c r="AJ198" i="2" s="1"/>
  <c r="AI190" i="2"/>
  <c r="AI198" i="2" s="1"/>
  <c r="AH190" i="2"/>
  <c r="AH198" i="2" s="1"/>
  <c r="AG190" i="2"/>
  <c r="AF190" i="2"/>
  <c r="AF198" i="2" s="1"/>
  <c r="AE190" i="2"/>
  <c r="AE198" i="2" s="1"/>
  <c r="AD190" i="2"/>
  <c r="AD198" i="2" s="1"/>
  <c r="AC190" i="2"/>
  <c r="AB190" i="2"/>
  <c r="AB198" i="2" s="1"/>
  <c r="AA190" i="2"/>
  <c r="AA198" i="2" s="1"/>
  <c r="Z190" i="2"/>
  <c r="Z198" i="2" s="1"/>
  <c r="Y190" i="2"/>
  <c r="X190" i="2"/>
  <c r="X198" i="2" s="1"/>
  <c r="W190" i="2"/>
  <c r="W198" i="2" s="1"/>
  <c r="V190" i="2"/>
  <c r="V198" i="2" s="1"/>
  <c r="U190" i="2"/>
  <c r="T190" i="2"/>
  <c r="T198" i="2" s="1"/>
  <c r="S190" i="2"/>
  <c r="S198" i="2" s="1"/>
  <c r="R190" i="2"/>
  <c r="R198" i="2" s="1"/>
  <c r="BH189" i="2"/>
  <c r="BL197" i="2"/>
  <c r="BM197" i="2" s="1"/>
  <c r="BK197" i="2"/>
  <c r="BJ197" i="2"/>
  <c r="BO196" i="2"/>
  <c r="BP196" i="2" s="1"/>
  <c r="BQ196" i="2" s="1"/>
  <c r="BR196" i="2" s="1"/>
  <c r="BS196" i="2" s="1"/>
  <c r="BT196" i="2" s="1"/>
  <c r="BU196" i="2" s="1"/>
  <c r="BL196" i="2"/>
  <c r="BM196" i="2" s="1"/>
  <c r="BN196" i="2" s="1"/>
  <c r="BK196" i="2"/>
  <c r="BJ196" i="2"/>
  <c r="BT195" i="2"/>
  <c r="BU195" i="2" s="1"/>
  <c r="BL195" i="2"/>
  <c r="BM195" i="2" s="1"/>
  <c r="BN195" i="2" s="1"/>
  <c r="BO195" i="2" s="1"/>
  <c r="BP195" i="2" s="1"/>
  <c r="BQ195" i="2" s="1"/>
  <c r="BR195" i="2" s="1"/>
  <c r="BS195" i="2" s="1"/>
  <c r="BK195" i="2"/>
  <c r="BJ195" i="2"/>
  <c r="BS194" i="2"/>
  <c r="BT194" i="2" s="1"/>
  <c r="BU194" i="2" s="1"/>
  <c r="BK194" i="2"/>
  <c r="BL194" i="2" s="1"/>
  <c r="BM194" i="2" s="1"/>
  <c r="BN194" i="2" s="1"/>
  <c r="BO194" i="2" s="1"/>
  <c r="BP194" i="2" s="1"/>
  <c r="BQ194" i="2" s="1"/>
  <c r="BR194" i="2" s="1"/>
  <c r="BJ194" i="2"/>
  <c r="BL189" i="2"/>
  <c r="BK189" i="2"/>
  <c r="BJ189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BB184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I182" i="2"/>
  <c r="H182" i="2"/>
  <c r="G182" i="2"/>
  <c r="F182" i="2"/>
  <c r="E182" i="2"/>
  <c r="D182" i="2"/>
  <c r="AU181" i="2"/>
  <c r="AM181" i="2"/>
  <c r="W181" i="2"/>
  <c r="J181" i="2"/>
  <c r="BE180" i="2"/>
  <c r="BE179" i="2"/>
  <c r="BG180" i="2"/>
  <c r="BH180" i="2" s="1"/>
  <c r="BI180" i="2" s="1"/>
  <c r="BF179" i="2"/>
  <c r="BG179" i="2" s="1"/>
  <c r="BH179" i="2" s="1"/>
  <c r="BI179" i="2" s="1"/>
  <c r="K179" i="2"/>
  <c r="J179" i="2"/>
  <c r="K175" i="2"/>
  <c r="K174" i="2"/>
  <c r="BH177" i="2"/>
  <c r="BH427" i="2" s="1"/>
  <c r="BG177" i="2"/>
  <c r="BG427" i="2" s="1"/>
  <c r="BE177" i="2"/>
  <c r="BE427" i="2" s="1"/>
  <c r="BE176" i="2"/>
  <c r="BE173" i="2"/>
  <c r="BE172" i="2"/>
  <c r="BE170" i="2"/>
  <c r="BE251" i="2" s="1"/>
  <c r="BF176" i="2"/>
  <c r="BF175" i="2"/>
  <c r="BF174" i="2"/>
  <c r="BG174" i="2" s="1"/>
  <c r="BL176" i="2"/>
  <c r="BK176" i="2"/>
  <c r="BJ176" i="2"/>
  <c r="BI176" i="2"/>
  <c r="BH176" i="2"/>
  <c r="BG175" i="2"/>
  <c r="BH175" i="2" s="1"/>
  <c r="BI175" i="2" s="1"/>
  <c r="BG173" i="2"/>
  <c r="BD175" i="2"/>
  <c r="BE175" i="2" s="1"/>
  <c r="BD174" i="2"/>
  <c r="BE174" i="2" s="1"/>
  <c r="J175" i="2"/>
  <c r="J174" i="2"/>
  <c r="BH174" i="2"/>
  <c r="BI174" i="2" s="1"/>
  <c r="BH173" i="2"/>
  <c r="BI173" i="2" s="1"/>
  <c r="BH172" i="2"/>
  <c r="BI172" i="2" s="1"/>
  <c r="BG171" i="2"/>
  <c r="BF171" i="2"/>
  <c r="BB171" i="2"/>
  <c r="BB181" i="2" s="1"/>
  <c r="BA171" i="2"/>
  <c r="BA181" i="2" s="1"/>
  <c r="AW171" i="2"/>
  <c r="AW181" i="2" s="1"/>
  <c r="AT171" i="2"/>
  <c r="AT181" i="2" s="1"/>
  <c r="AS171" i="2"/>
  <c r="AS181" i="2" s="1"/>
  <c r="AO171" i="2"/>
  <c r="AO181" i="2" s="1"/>
  <c r="AL171" i="2"/>
  <c r="AL181" i="2" s="1"/>
  <c r="AK171" i="2"/>
  <c r="AK181" i="2" s="1"/>
  <c r="AG171" i="2"/>
  <c r="AG181" i="2" s="1"/>
  <c r="AD171" i="2"/>
  <c r="AD181" i="2" s="1"/>
  <c r="AC171" i="2"/>
  <c r="AC181" i="2" s="1"/>
  <c r="Y171" i="2"/>
  <c r="Y181" i="2" s="1"/>
  <c r="V171" i="2"/>
  <c r="V181" i="2" s="1"/>
  <c r="U171" i="2"/>
  <c r="U181" i="2" s="1"/>
  <c r="K171" i="2"/>
  <c r="J171" i="2"/>
  <c r="BC169" i="2"/>
  <c r="BB169" i="2"/>
  <c r="BA169" i="2"/>
  <c r="AZ169" i="2"/>
  <c r="AZ171" i="2" s="1"/>
  <c r="AZ181" i="2" s="1"/>
  <c r="AY169" i="2"/>
  <c r="AY171" i="2" s="1"/>
  <c r="AY181" i="2" s="1"/>
  <c r="AX169" i="2"/>
  <c r="AX171" i="2" s="1"/>
  <c r="AX181" i="2" s="1"/>
  <c r="AW169" i="2"/>
  <c r="AV169" i="2"/>
  <c r="AV171" i="2" s="1"/>
  <c r="AV181" i="2" s="1"/>
  <c r="AU169" i="2"/>
  <c r="AU171" i="2" s="1"/>
  <c r="AT169" i="2"/>
  <c r="AS169" i="2"/>
  <c r="AR169" i="2"/>
  <c r="AR171" i="2" s="1"/>
  <c r="AR181" i="2" s="1"/>
  <c r="AQ169" i="2"/>
  <c r="AQ171" i="2" s="1"/>
  <c r="AQ181" i="2" s="1"/>
  <c r="AP169" i="2"/>
  <c r="AP171" i="2" s="1"/>
  <c r="AP181" i="2" s="1"/>
  <c r="AO169" i="2"/>
  <c r="AN169" i="2"/>
  <c r="AN171" i="2" s="1"/>
  <c r="AN181" i="2" s="1"/>
  <c r="AM169" i="2"/>
  <c r="AM171" i="2" s="1"/>
  <c r="AL169" i="2"/>
  <c r="AK169" i="2"/>
  <c r="AJ169" i="2"/>
  <c r="AJ171" i="2" s="1"/>
  <c r="AJ181" i="2" s="1"/>
  <c r="AI169" i="2"/>
  <c r="AI171" i="2" s="1"/>
  <c r="AI181" i="2" s="1"/>
  <c r="AH169" i="2"/>
  <c r="AH171" i="2" s="1"/>
  <c r="AH181" i="2" s="1"/>
  <c r="AG169" i="2"/>
  <c r="AF169" i="2"/>
  <c r="AF171" i="2" s="1"/>
  <c r="AF181" i="2" s="1"/>
  <c r="AE169" i="2"/>
  <c r="AE171" i="2" s="1"/>
  <c r="AE181" i="2" s="1"/>
  <c r="AD169" i="2"/>
  <c r="AC169" i="2"/>
  <c r="AB169" i="2"/>
  <c r="AB171" i="2" s="1"/>
  <c r="AB181" i="2" s="1"/>
  <c r="AA169" i="2"/>
  <c r="AA171" i="2" s="1"/>
  <c r="AA181" i="2" s="1"/>
  <c r="Z169" i="2"/>
  <c r="Z171" i="2" s="1"/>
  <c r="Z181" i="2" s="1"/>
  <c r="Y169" i="2"/>
  <c r="X169" i="2"/>
  <c r="X171" i="2" s="1"/>
  <c r="X181" i="2" s="1"/>
  <c r="W169" i="2"/>
  <c r="W171" i="2" s="1"/>
  <c r="V169" i="2"/>
  <c r="U169" i="2"/>
  <c r="T169" i="2"/>
  <c r="T171" i="2" s="1"/>
  <c r="T181" i="2" s="1"/>
  <c r="S169" i="2"/>
  <c r="S171" i="2" s="1"/>
  <c r="S181" i="2" s="1"/>
  <c r="R169" i="2"/>
  <c r="R171" i="2" s="1"/>
  <c r="R181" i="2" s="1"/>
  <c r="BF168" i="2"/>
  <c r="BF167" i="2"/>
  <c r="BD168" i="2"/>
  <c r="BE168" i="2" s="1"/>
  <c r="BD167" i="2"/>
  <c r="BE167" i="2" s="1"/>
  <c r="BD166" i="2"/>
  <c r="BE166" i="2" s="1"/>
  <c r="BD165" i="2"/>
  <c r="BE165" i="2" s="1"/>
  <c r="BD164" i="2"/>
  <c r="BE164" i="2" s="1"/>
  <c r="BD163" i="2"/>
  <c r="BE163" i="2" s="1"/>
  <c r="K168" i="2"/>
  <c r="J168" i="2"/>
  <c r="K167" i="2"/>
  <c r="BG170" i="2"/>
  <c r="BG251" i="2" s="1"/>
  <c r="BH169" i="2"/>
  <c r="BG169" i="2"/>
  <c r="BK168" i="2"/>
  <c r="BJ168" i="2"/>
  <c r="BG168" i="2"/>
  <c r="BH168" i="2" s="1"/>
  <c r="BI168" i="2" s="1"/>
  <c r="BG167" i="2"/>
  <c r="BH167" i="2" s="1"/>
  <c r="BI167" i="2" s="1"/>
  <c r="BI166" i="2"/>
  <c r="BG166" i="2"/>
  <c r="BH166" i="2" s="1"/>
  <c r="BI165" i="2"/>
  <c r="BH165" i="2"/>
  <c r="BG165" i="2"/>
  <c r="BH164" i="2"/>
  <c r="BI164" i="2" s="1"/>
  <c r="BG164" i="2"/>
  <c r="BG163" i="2"/>
  <c r="BH163" i="2" s="1"/>
  <c r="BI163" i="2" s="1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J210" i="2" s="1"/>
  <c r="BH160" i="2"/>
  <c r="BI160" i="2" s="1"/>
  <c r="BG160" i="2"/>
  <c r="BD160" i="2"/>
  <c r="BE160" i="2" s="1"/>
  <c r="BI159" i="2"/>
  <c r="BI158" i="2"/>
  <c r="BI250" i="2" s="1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8" i="2"/>
  <c r="BH250" i="2" s="1"/>
  <c r="BG158" i="2"/>
  <c r="BG250" i="2" s="1"/>
  <c r="BF158" i="2"/>
  <c r="BF250" i="2" s="1"/>
  <c r="BE158" i="2"/>
  <c r="BE250" i="2" s="1"/>
  <c r="BD158" i="2"/>
  <c r="BD250" i="2" s="1"/>
  <c r="BD157" i="2"/>
  <c r="BH156" i="2"/>
  <c r="BG156" i="2"/>
  <c r="BF156" i="2"/>
  <c r="BE156" i="2"/>
  <c r="BD156" i="2"/>
  <c r="BC156" i="2"/>
  <c r="BB156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P156" i="2"/>
  <c r="O156" i="2"/>
  <c r="N156" i="2"/>
  <c r="M156" i="2"/>
  <c r="L156" i="2"/>
  <c r="K158" i="2"/>
  <c r="J158" i="2"/>
  <c r="K156" i="2"/>
  <c r="J156" i="2"/>
  <c r="I156" i="2"/>
  <c r="H156" i="2"/>
  <c r="G156" i="2"/>
  <c r="F156" i="2"/>
  <c r="E156" i="2"/>
  <c r="D156" i="2"/>
  <c r="C156" i="2"/>
  <c r="BA153" i="2"/>
  <c r="AY153" i="2"/>
  <c r="AW153" i="2"/>
  <c r="AU153" i="2"/>
  <c r="AS153" i="2"/>
  <c r="AQ153" i="2"/>
  <c r="AO153" i="2"/>
  <c r="AM153" i="2"/>
  <c r="AK153" i="2"/>
  <c r="AI153" i="2"/>
  <c r="AG153" i="2"/>
  <c r="AE153" i="2"/>
  <c r="AC153" i="2"/>
  <c r="AA153" i="2"/>
  <c r="W153" i="2"/>
  <c r="S153" i="2"/>
  <c r="BA152" i="2"/>
  <c r="AY152" i="2"/>
  <c r="AW152" i="2"/>
  <c r="AU152" i="2"/>
  <c r="AS152" i="2"/>
  <c r="AQ152" i="2"/>
  <c r="AO152" i="2"/>
  <c r="AM152" i="2"/>
  <c r="AK152" i="2"/>
  <c r="AI152" i="2"/>
  <c r="AG152" i="2"/>
  <c r="AE152" i="2"/>
  <c r="AC152" i="2"/>
  <c r="AA152" i="2"/>
  <c r="Y152" i="2"/>
  <c r="W152" i="2"/>
  <c r="U152" i="2"/>
  <c r="S152" i="2"/>
  <c r="H152" i="2"/>
  <c r="D152" i="2"/>
  <c r="BG151" i="2"/>
  <c r="AQ151" i="2"/>
  <c r="AA151" i="2"/>
  <c r="BU400" i="2"/>
  <c r="BT400" i="2"/>
  <c r="BS400" i="2"/>
  <c r="BS151" i="2"/>
  <c r="BQ400" i="2"/>
  <c r="BP400" i="2"/>
  <c r="BO400" i="2"/>
  <c r="BM400" i="2"/>
  <c r="BL400" i="2"/>
  <c r="BK400" i="2"/>
  <c r="BK151" i="2"/>
  <c r="BI400" i="2"/>
  <c r="BH400" i="2"/>
  <c r="BG400" i="2"/>
  <c r="BE400" i="2"/>
  <c r="BD400" i="2"/>
  <c r="BC400" i="2"/>
  <c r="BC151" i="2"/>
  <c r="BA400" i="2"/>
  <c r="AZ400" i="2"/>
  <c r="AY400" i="2"/>
  <c r="AW400" i="2"/>
  <c r="AV400" i="2"/>
  <c r="AU400" i="2"/>
  <c r="AU151" i="2"/>
  <c r="AS400" i="2"/>
  <c r="AR400" i="2"/>
  <c r="AQ400" i="2"/>
  <c r="AO400" i="2"/>
  <c r="AN400" i="2"/>
  <c r="AM400" i="2"/>
  <c r="AM151" i="2"/>
  <c r="AK400" i="2"/>
  <c r="AJ400" i="2"/>
  <c r="AI400" i="2"/>
  <c r="AG400" i="2"/>
  <c r="AF400" i="2"/>
  <c r="AE400" i="2"/>
  <c r="AE151" i="2"/>
  <c r="AC400" i="2"/>
  <c r="AB400" i="2"/>
  <c r="AA400" i="2"/>
  <c r="Y400" i="2"/>
  <c r="X400" i="2"/>
  <c r="W400" i="2"/>
  <c r="W151" i="2"/>
  <c r="U400" i="2"/>
  <c r="T400" i="2"/>
  <c r="S400" i="2"/>
  <c r="M151" i="2"/>
  <c r="I151" i="2"/>
  <c r="E151" i="2"/>
  <c r="P400" i="2"/>
  <c r="P402" i="2" s="1"/>
  <c r="O400" i="2"/>
  <c r="M400" i="2"/>
  <c r="L400" i="2"/>
  <c r="L402" i="2" s="1"/>
  <c r="K400" i="2"/>
  <c r="I400" i="2"/>
  <c r="H400" i="2"/>
  <c r="G400" i="2"/>
  <c r="E400" i="2"/>
  <c r="D400" i="2"/>
  <c r="C400" i="2"/>
  <c r="C401" i="2" s="1"/>
  <c r="BM148" i="2"/>
  <c r="BI148" i="2"/>
  <c r="BE148" i="2"/>
  <c r="AW148" i="2"/>
  <c r="AS148" i="2"/>
  <c r="AO148" i="2"/>
  <c r="BN148" i="2"/>
  <c r="BL148" i="2"/>
  <c r="BK148" i="2"/>
  <c r="BJ148" i="2"/>
  <c r="BH148" i="2"/>
  <c r="BG148" i="2"/>
  <c r="BF148" i="2"/>
  <c r="BD148" i="2"/>
  <c r="BC148" i="2"/>
  <c r="BB148" i="2"/>
  <c r="BA148" i="2"/>
  <c r="AZ148" i="2"/>
  <c r="AY148" i="2"/>
  <c r="AX148" i="2"/>
  <c r="AV148" i="2"/>
  <c r="AU148" i="2"/>
  <c r="AT148" i="2"/>
  <c r="AR148" i="2"/>
  <c r="AQ148" i="2"/>
  <c r="AP148" i="2"/>
  <c r="AN148" i="2"/>
  <c r="AM148" i="2"/>
  <c r="AL148" i="2"/>
  <c r="BD142" i="2"/>
  <c r="BC142" i="2"/>
  <c r="BB142" i="2"/>
  <c r="K142" i="2"/>
  <c r="J142" i="2"/>
  <c r="BH141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O137" i="2"/>
  <c r="BO142" i="2" s="1"/>
  <c r="BI137" i="2"/>
  <c r="BI142" i="2" s="1"/>
  <c r="BH137" i="2"/>
  <c r="BH142" i="2" s="1"/>
  <c r="BG137" i="2"/>
  <c r="BG142" i="2" s="1"/>
  <c r="BF137" i="2"/>
  <c r="BI136" i="2"/>
  <c r="BG136" i="2"/>
  <c r="BF136" i="2"/>
  <c r="BF142" i="2" s="1"/>
  <c r="BH133" i="2"/>
  <c r="BH132" i="2"/>
  <c r="BG132" i="2"/>
  <c r="BF132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G131" i="2"/>
  <c r="BG133" i="2" s="1"/>
  <c r="BD131" i="2"/>
  <c r="BC131" i="2"/>
  <c r="BB131" i="2"/>
  <c r="BI130" i="2"/>
  <c r="BI131" i="2" s="1"/>
  <c r="BI133" i="2" s="1"/>
  <c r="BH130" i="2"/>
  <c r="BH131" i="2" s="1"/>
  <c r="BG130" i="2"/>
  <c r="BF130" i="2"/>
  <c r="BF131" i="2" s="1"/>
  <c r="BF133" i="2" s="1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E129" i="2"/>
  <c r="BE131" i="2" s="1"/>
  <c r="BG126" i="2"/>
  <c r="BC126" i="2"/>
  <c r="BG125" i="2"/>
  <c r="BC125" i="2"/>
  <c r="BD122" i="2"/>
  <c r="BI121" i="2"/>
  <c r="BI126" i="2" s="1"/>
  <c r="BH121" i="2"/>
  <c r="BH126" i="2" s="1"/>
  <c r="BG121" i="2"/>
  <c r="BF121" i="2"/>
  <c r="BF126" i="2" s="1"/>
  <c r="BD121" i="2"/>
  <c r="BD126" i="2" s="1"/>
  <c r="BC121" i="2"/>
  <c r="BB121" i="2"/>
  <c r="BB126" i="2" s="1"/>
  <c r="BI120" i="2"/>
  <c r="BI125" i="2" s="1"/>
  <c r="BI79" i="2" s="1"/>
  <c r="BH120" i="2"/>
  <c r="BH125" i="2" s="1"/>
  <c r="BG120" i="2"/>
  <c r="BD120" i="2"/>
  <c r="BD125" i="2" s="1"/>
  <c r="BC120" i="2"/>
  <c r="BB120" i="2"/>
  <c r="BB125" i="2" s="1"/>
  <c r="J121" i="2"/>
  <c r="J126" i="2" s="1"/>
  <c r="K120" i="2"/>
  <c r="K125" i="2" s="1"/>
  <c r="J120" i="2"/>
  <c r="J125" i="2" s="1"/>
  <c r="J79" i="2" s="1"/>
  <c r="BI117" i="2"/>
  <c r="BG117" i="2"/>
  <c r="BE117" i="2"/>
  <c r="BD117" i="2"/>
  <c r="BC117" i="2"/>
  <c r="BB117" i="2"/>
  <c r="BE116" i="2"/>
  <c r="BE121" i="2" s="1"/>
  <c r="BE126" i="2" s="1"/>
  <c r="BE115" i="2"/>
  <c r="BE120" i="2" s="1"/>
  <c r="BE125" i="2" s="1"/>
  <c r="BH115" i="2"/>
  <c r="BH117" i="2" s="1"/>
  <c r="BH122" i="2" s="1"/>
  <c r="BF115" i="2"/>
  <c r="BI112" i="2"/>
  <c r="BI122" i="2" s="1"/>
  <c r="BH112" i="2"/>
  <c r="BG112" i="2"/>
  <c r="BG122" i="2" s="1"/>
  <c r="BF112" i="2"/>
  <c r="BE112" i="2"/>
  <c r="BE122" i="2" s="1"/>
  <c r="BD112" i="2"/>
  <c r="BC112" i="2"/>
  <c r="BC122" i="2" s="1"/>
  <c r="BB112" i="2"/>
  <c r="BB122" i="2" s="1"/>
  <c r="K112" i="2"/>
  <c r="J112" i="2"/>
  <c r="BG106" i="2"/>
  <c r="BF106" i="2"/>
  <c r="BF105" i="2" s="1"/>
  <c r="BE106" i="2"/>
  <c r="BK105" i="2"/>
  <c r="BN103" i="2"/>
  <c r="BO103" i="2" s="1"/>
  <c r="BP103" i="2" s="1"/>
  <c r="BQ103" i="2" s="1"/>
  <c r="BL103" i="2"/>
  <c r="BM103" i="2" s="1"/>
  <c r="BK103" i="2"/>
  <c r="BE103" i="2"/>
  <c r="BF103" i="2" s="1"/>
  <c r="BG103" i="2" s="1"/>
  <c r="BC103" i="2"/>
  <c r="BD103" i="2" s="1"/>
  <c r="BN102" i="2"/>
  <c r="BN106" i="2" s="1"/>
  <c r="BN170" i="2" s="1"/>
  <c r="BN251" i="2" s="1"/>
  <c r="BM102" i="2"/>
  <c r="BM106" i="2" s="1"/>
  <c r="BM170" i="2" s="1"/>
  <c r="BM251" i="2" s="1"/>
  <c r="BL102" i="2"/>
  <c r="BL106" i="2" s="1"/>
  <c r="BL170" i="2" s="1"/>
  <c r="BL251" i="2" s="1"/>
  <c r="BK102" i="2"/>
  <c r="BK106" i="2" s="1"/>
  <c r="BK170" i="2" s="1"/>
  <c r="BK251" i="2" s="1"/>
  <c r="BJ102" i="2"/>
  <c r="BJ106" i="2" s="1"/>
  <c r="BJ170" i="2" s="1"/>
  <c r="BJ251" i="2" s="1"/>
  <c r="BI102" i="2"/>
  <c r="BH102" i="2"/>
  <c r="BG102" i="2"/>
  <c r="BF102" i="2"/>
  <c r="BE102" i="2"/>
  <c r="BD102" i="2"/>
  <c r="BD106" i="2" s="1"/>
  <c r="BC102" i="2"/>
  <c r="BC106" i="2" s="1"/>
  <c r="BB102" i="2"/>
  <c r="BB106" i="2" s="1"/>
  <c r="BU98" i="2"/>
  <c r="BT98" i="2"/>
  <c r="BS98" i="2"/>
  <c r="BR98" i="2"/>
  <c r="BQ98" i="2"/>
  <c r="BP98" i="2"/>
  <c r="BO98" i="2"/>
  <c r="BO99" i="2" s="1"/>
  <c r="BN98" i="2"/>
  <c r="BN99" i="2" s="1"/>
  <c r="BM98" i="2"/>
  <c r="BM99" i="2" s="1"/>
  <c r="BL98" i="2"/>
  <c r="BL99" i="2" s="1"/>
  <c r="BK98" i="2"/>
  <c r="BK99" i="2" s="1"/>
  <c r="BJ98" i="2"/>
  <c r="BJ99" i="2" s="1"/>
  <c r="BI98" i="2"/>
  <c r="BI99" i="2" s="1"/>
  <c r="BG97" i="2"/>
  <c r="BD97" i="2"/>
  <c r="BC97" i="2"/>
  <c r="BB97" i="2"/>
  <c r="BH92" i="2"/>
  <c r="BG92" i="2"/>
  <c r="BF92" i="2"/>
  <c r="BE92" i="2"/>
  <c r="BD92" i="2"/>
  <c r="BC92" i="2"/>
  <c r="BH87" i="2"/>
  <c r="BD87" i="2"/>
  <c r="BH85" i="2"/>
  <c r="BG85" i="2"/>
  <c r="BG83" i="2" s="1"/>
  <c r="BF85" i="2"/>
  <c r="BE85" i="2"/>
  <c r="BD85" i="2"/>
  <c r="BC85" i="2"/>
  <c r="BB85" i="2" s="1"/>
  <c r="BB83" i="2" s="1"/>
  <c r="BB84" i="2" s="1"/>
  <c r="BH83" i="2"/>
  <c r="BH84" i="2" s="1"/>
  <c r="BF83" i="2"/>
  <c r="BF87" i="2" s="1"/>
  <c r="BE83" i="2"/>
  <c r="BE84" i="2" s="1"/>
  <c r="BD83" i="2"/>
  <c r="BD84" i="2" s="1"/>
  <c r="BI82" i="2"/>
  <c r="BI92" i="2" s="1"/>
  <c r="BB82" i="2"/>
  <c r="BB394" i="2" s="1"/>
  <c r="J85" i="2"/>
  <c r="J83" i="2" s="1"/>
  <c r="K82" i="2"/>
  <c r="J82" i="2"/>
  <c r="BH79" i="2"/>
  <c r="BG79" i="2"/>
  <c r="BE79" i="2"/>
  <c r="BD79" i="2"/>
  <c r="BC79" i="2"/>
  <c r="BB79" i="2"/>
  <c r="K79" i="2"/>
  <c r="BI76" i="2"/>
  <c r="BI77" i="2" s="1"/>
  <c r="BH76" i="2"/>
  <c r="BG76" i="2"/>
  <c r="BG77" i="2" s="1"/>
  <c r="BF76" i="2"/>
  <c r="BE76" i="2"/>
  <c r="BF77" i="2" s="1"/>
  <c r="BD76" i="2"/>
  <c r="BC76" i="2"/>
  <c r="BD77" i="2" s="1"/>
  <c r="BB76" i="2"/>
  <c r="K76" i="2"/>
  <c r="K372" i="2" s="1"/>
  <c r="J76" i="2"/>
  <c r="J372" i="2" s="1"/>
  <c r="BI74" i="2"/>
  <c r="BH74" i="2"/>
  <c r="BG74" i="2"/>
  <c r="BF74" i="2"/>
  <c r="BE74" i="2"/>
  <c r="BD74" i="2"/>
  <c r="BC74" i="2"/>
  <c r="BB74" i="2"/>
  <c r="BI72" i="2"/>
  <c r="BH72" i="2"/>
  <c r="BG72" i="2"/>
  <c r="BF72" i="2"/>
  <c r="BE72" i="2"/>
  <c r="BD72" i="2"/>
  <c r="BC72" i="2"/>
  <c r="BB72" i="2"/>
  <c r="K72" i="2"/>
  <c r="J72" i="2"/>
  <c r="BO71" i="2"/>
  <c r="BO148" i="2" s="1"/>
  <c r="BJ69" i="2"/>
  <c r="BJ72" i="2" s="1"/>
  <c r="BI66" i="2"/>
  <c r="BH66" i="2"/>
  <c r="BI67" i="2" s="1"/>
  <c r="BG66" i="2"/>
  <c r="BF66" i="2"/>
  <c r="BG67" i="2" s="1"/>
  <c r="BE66" i="2"/>
  <c r="BD66" i="2"/>
  <c r="BD67" i="2" s="1"/>
  <c r="BC66" i="2"/>
  <c r="BB66" i="2"/>
  <c r="BC67" i="2" s="1"/>
  <c r="BG61" i="2"/>
  <c r="BB61" i="2"/>
  <c r="BB60" i="2"/>
  <c r="BB56" i="2"/>
  <c r="BB51" i="2"/>
  <c r="BB50" i="2"/>
  <c r="BB48" i="2"/>
  <c r="BJ60" i="2"/>
  <c r="BK60" i="2" s="1"/>
  <c r="BI60" i="2"/>
  <c r="BH60" i="2"/>
  <c r="BG60" i="2"/>
  <c r="BF60" i="2"/>
  <c r="BE60" i="2"/>
  <c r="BD60" i="2"/>
  <c r="BC60" i="2"/>
  <c r="BD54" i="2"/>
  <c r="BN53" i="2"/>
  <c r="BO53" i="2" s="1"/>
  <c r="BI51" i="2"/>
  <c r="BH51" i="2"/>
  <c r="BG51" i="2"/>
  <c r="BF51" i="2"/>
  <c r="BE51" i="2"/>
  <c r="BD51" i="2"/>
  <c r="BC51" i="2"/>
  <c r="BI50" i="2"/>
  <c r="BH50" i="2"/>
  <c r="BG50" i="2"/>
  <c r="BF50" i="2"/>
  <c r="BE50" i="2"/>
  <c r="BD50" i="2"/>
  <c r="BC50" i="2"/>
  <c r="BG49" i="2"/>
  <c r="BC49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J60" i="2"/>
  <c r="K54" i="2"/>
  <c r="K51" i="2"/>
  <c r="J51" i="2"/>
  <c r="K50" i="2"/>
  <c r="J50" i="2"/>
  <c r="J49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H45" i="2"/>
  <c r="BG45" i="2"/>
  <c r="BF45" i="2"/>
  <c r="BE45" i="2"/>
  <c r="BD45" i="2"/>
  <c r="BC45" i="2"/>
  <c r="BB45" i="2"/>
  <c r="BI40" i="2"/>
  <c r="BH40" i="2"/>
  <c r="BG40" i="2"/>
  <c r="BF40" i="2"/>
  <c r="BE40" i="2"/>
  <c r="K40" i="2"/>
  <c r="J40" i="2"/>
  <c r="BI31" i="2"/>
  <c r="BH31" i="2"/>
  <c r="BG31" i="2"/>
  <c r="K31" i="2"/>
  <c r="J31" i="2"/>
  <c r="BF30" i="2"/>
  <c r="BJ28" i="2"/>
  <c r="BJ158" i="2" s="1"/>
  <c r="BU26" i="2"/>
  <c r="BT26" i="2"/>
  <c r="BS26" i="2"/>
  <c r="BS382" i="2" s="1"/>
  <c r="BR26" i="2"/>
  <c r="BQ26" i="2"/>
  <c r="BP26" i="2"/>
  <c r="BO26" i="2"/>
  <c r="BO382" i="2" s="1"/>
  <c r="BN26" i="2"/>
  <c r="BM26" i="2"/>
  <c r="BL26" i="2"/>
  <c r="BK26" i="2"/>
  <c r="BK382" i="2" s="1"/>
  <c r="BJ26" i="2"/>
  <c r="BI26" i="2"/>
  <c r="BH26" i="2"/>
  <c r="BG26" i="2"/>
  <c r="BG382" i="2" s="1"/>
  <c r="BG390" i="2" s="1"/>
  <c r="BF26" i="2"/>
  <c r="BE26" i="2"/>
  <c r="BO24" i="2"/>
  <c r="BK24" i="2"/>
  <c r="BI24" i="2"/>
  <c r="BH24" i="2"/>
  <c r="BG24" i="2"/>
  <c r="BF24" i="2"/>
  <c r="BD24" i="2"/>
  <c r="BC24" i="2"/>
  <c r="BB24" i="2"/>
  <c r="BG23" i="2"/>
  <c r="BG57" i="2" s="1"/>
  <c r="BF23" i="2"/>
  <c r="BF54" i="2" s="1"/>
  <c r="BD23" i="2"/>
  <c r="BD57" i="2" s="1"/>
  <c r="BC23" i="2"/>
  <c r="BC57" i="2" s="1"/>
  <c r="BB23" i="2"/>
  <c r="BB54" i="2" s="1"/>
  <c r="BG22" i="2"/>
  <c r="BG25" i="2" s="1"/>
  <c r="BC22" i="2"/>
  <c r="BC56" i="2" s="1"/>
  <c r="BB22" i="2"/>
  <c r="BB53" i="2" s="1"/>
  <c r="K26" i="2"/>
  <c r="J26" i="2"/>
  <c r="K23" i="2"/>
  <c r="K22" i="2"/>
  <c r="BG19" i="2"/>
  <c r="BC19" i="2"/>
  <c r="BC381" i="2" s="1"/>
  <c r="BB19" i="2"/>
  <c r="BB381" i="2" s="1"/>
  <c r="BB388" i="2" s="1"/>
  <c r="BB389" i="2" s="1"/>
  <c r="J19" i="2"/>
  <c r="BE18" i="2"/>
  <c r="BE137" i="2" s="1"/>
  <c r="BE142" i="2" s="1"/>
  <c r="BE17" i="2"/>
  <c r="BE23" i="2" s="1"/>
  <c r="BE16" i="2"/>
  <c r="BE22" i="2" s="1"/>
  <c r="J18" i="2"/>
  <c r="J17" i="2"/>
  <c r="J23" i="2" s="1"/>
  <c r="J16" i="2"/>
  <c r="J22" i="2" s="1"/>
  <c r="BO18" i="2"/>
  <c r="BO115" i="2" s="1"/>
  <c r="BO117" i="2" s="1"/>
  <c r="BN18" i="2"/>
  <c r="BN24" i="2" s="1"/>
  <c r="BM18" i="2"/>
  <c r="BL18" i="2"/>
  <c r="BL137" i="2" s="1"/>
  <c r="BL142" i="2" s="1"/>
  <c r="BK18" i="2"/>
  <c r="BK115" i="2" s="1"/>
  <c r="BK117" i="2" s="1"/>
  <c r="BJ18" i="2"/>
  <c r="BJ24" i="2" s="1"/>
  <c r="BI17" i="2"/>
  <c r="BI23" i="2" s="1"/>
  <c r="BH17" i="2"/>
  <c r="BH23" i="2" s="1"/>
  <c r="BI16" i="2"/>
  <c r="BI22" i="2" s="1"/>
  <c r="BH16" i="2"/>
  <c r="BH22" i="2" s="1"/>
  <c r="BG16" i="2"/>
  <c r="BF16" i="2"/>
  <c r="BF22" i="2" s="1"/>
  <c r="BD16" i="2"/>
  <c r="BD22" i="2" s="1"/>
  <c r="BC16" i="2"/>
  <c r="K16" i="2"/>
  <c r="K19" i="2" s="1"/>
  <c r="BI13" i="2"/>
  <c r="BH13" i="2"/>
  <c r="BG13" i="2"/>
  <c r="BF13" i="2"/>
  <c r="BF49" i="2" s="1"/>
  <c r="BE13" i="2"/>
  <c r="BD13" i="2"/>
  <c r="BD49" i="2" s="1"/>
  <c r="BC13" i="2"/>
  <c r="BC127" i="2" s="1"/>
  <c r="BB13" i="2"/>
  <c r="BB49" i="2" s="1"/>
  <c r="K13" i="2"/>
  <c r="J13" i="2"/>
  <c r="BK12" i="2"/>
  <c r="BL12" i="2" s="1"/>
  <c r="BJ12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M6" i="2"/>
  <c r="I6" i="2"/>
  <c r="E6" i="2"/>
  <c r="Y5" i="2"/>
  <c r="AC5" i="2" s="1"/>
  <c r="AG5" i="2" s="1"/>
  <c r="AK5" i="2" s="1"/>
  <c r="AO5" i="2" s="1"/>
  <c r="AS5" i="2" s="1"/>
  <c r="AW5" i="2" s="1"/>
  <c r="BA5" i="2" s="1"/>
  <c r="BE5" i="2" s="1"/>
  <c r="BI5" i="2" s="1"/>
  <c r="BM5" i="2" s="1"/>
  <c r="BQ5" i="2" s="1"/>
  <c r="BU5" i="2" s="1"/>
  <c r="X5" i="2"/>
  <c r="AB5" i="2" s="1"/>
  <c r="AF5" i="2" s="1"/>
  <c r="AJ5" i="2" s="1"/>
  <c r="AN5" i="2" s="1"/>
  <c r="AR5" i="2" s="1"/>
  <c r="AV5" i="2" s="1"/>
  <c r="AZ5" i="2" s="1"/>
  <c r="BD5" i="2" s="1"/>
  <c r="BH5" i="2" s="1"/>
  <c r="BL5" i="2" s="1"/>
  <c r="BP5" i="2" s="1"/>
  <c r="BT5" i="2" s="1"/>
  <c r="W5" i="2"/>
  <c r="V5" i="2"/>
  <c r="S4" i="2"/>
  <c r="T4" i="2" s="1"/>
  <c r="O5" i="2"/>
  <c r="O4" i="2"/>
  <c r="N4" i="2"/>
  <c r="M4" i="2"/>
  <c r="L4" i="2"/>
  <c r="L6" i="2" s="1"/>
  <c r="K4" i="2"/>
  <c r="J4" i="2"/>
  <c r="I4" i="2"/>
  <c r="H4" i="2"/>
  <c r="H6" i="2" s="1"/>
  <c r="G4" i="2"/>
  <c r="G6" i="2" s="1"/>
  <c r="F4" i="2"/>
  <c r="F6" i="2" s="1"/>
  <c r="E4" i="2"/>
  <c r="D4" i="2"/>
  <c r="D6" i="2" s="1"/>
  <c r="C4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I2" i="2"/>
  <c r="H2" i="2"/>
  <c r="G2" i="2"/>
  <c r="I1" i="2"/>
  <c r="H1" i="2"/>
  <c r="G1" i="2"/>
  <c r="F1" i="2"/>
  <c r="E1" i="2"/>
  <c r="D1" i="2"/>
  <c r="C1" i="2"/>
  <c r="BH93" i="2" l="1"/>
  <c r="BH88" i="2"/>
  <c r="BH56" i="2"/>
  <c r="BH78" i="2"/>
  <c r="BH53" i="2"/>
  <c r="BH25" i="2"/>
  <c r="K78" i="2"/>
  <c r="K373" i="2" s="1"/>
  <c r="BL60" i="2"/>
  <c r="M167" i="2"/>
  <c r="BI57" i="2"/>
  <c r="BI54" i="2"/>
  <c r="J54" i="2"/>
  <c r="J57" i="2"/>
  <c r="BP53" i="2"/>
  <c r="J87" i="2"/>
  <c r="J84" i="2"/>
  <c r="U4" i="2"/>
  <c r="T6" i="2"/>
  <c r="BD93" i="2"/>
  <c r="BD88" i="2"/>
  <c r="BD56" i="2"/>
  <c r="BD78" i="2"/>
  <c r="BD53" i="2"/>
  <c r="BD25" i="2"/>
  <c r="BI78" i="2"/>
  <c r="BI53" i="2"/>
  <c r="BI25" i="2"/>
  <c r="BI93" i="2"/>
  <c r="BI88" i="2"/>
  <c r="BI56" i="2"/>
  <c r="BE88" i="2"/>
  <c r="BE53" i="2"/>
  <c r="BE93" i="2"/>
  <c r="BE56" i="2"/>
  <c r="K57" i="2"/>
  <c r="BM12" i="2"/>
  <c r="BL23" i="2"/>
  <c r="BF93" i="2"/>
  <c r="BF88" i="2"/>
  <c r="BF56" i="2"/>
  <c r="BF78" i="2"/>
  <c r="BF53" i="2"/>
  <c r="BF25" i="2"/>
  <c r="BH54" i="2"/>
  <c r="BH57" i="2"/>
  <c r="J93" i="2"/>
  <c r="J88" i="2"/>
  <c r="J56" i="2"/>
  <c r="J53" i="2"/>
  <c r="BE57" i="2"/>
  <c r="BE54" i="2"/>
  <c r="BG55" i="2"/>
  <c r="BG52" i="2"/>
  <c r="BG27" i="2"/>
  <c r="BG87" i="2"/>
  <c r="BG84" i="2"/>
  <c r="S6" i="2"/>
  <c r="K152" i="2"/>
  <c r="BH237" i="2"/>
  <c r="BH152" i="2"/>
  <c r="BH127" i="2"/>
  <c r="BC388" i="2"/>
  <c r="BC389" i="2" s="1"/>
  <c r="BC397" i="2"/>
  <c r="L31" i="2"/>
  <c r="BJ250" i="2"/>
  <c r="BJ192" i="2"/>
  <c r="O40" i="2"/>
  <c r="BE67" i="2"/>
  <c r="M71" i="2"/>
  <c r="BH77" i="2"/>
  <c r="O140" i="2"/>
  <c r="F400" i="2"/>
  <c r="F152" i="2"/>
  <c r="G151" i="2"/>
  <c r="F151" i="2"/>
  <c r="P5" i="2"/>
  <c r="F375" i="2"/>
  <c r="J355" i="2"/>
  <c r="J367" i="2" s="1"/>
  <c r="I352" i="2"/>
  <c r="J344" i="2"/>
  <c r="K332" i="2"/>
  <c r="E331" i="2"/>
  <c r="I329" i="2"/>
  <c r="C328" i="2"/>
  <c r="D352" i="2"/>
  <c r="E344" i="2"/>
  <c r="F332" i="2"/>
  <c r="J330" i="2"/>
  <c r="D329" i="2"/>
  <c r="G352" i="2"/>
  <c r="H344" i="2"/>
  <c r="I332" i="2"/>
  <c r="I330" i="2"/>
  <c r="C329" i="2"/>
  <c r="C336" i="2" s="1"/>
  <c r="C337" i="2" s="1"/>
  <c r="H332" i="2"/>
  <c r="K354" i="2"/>
  <c r="K366" i="2" s="1"/>
  <c r="D332" i="2"/>
  <c r="K352" i="2"/>
  <c r="D330" i="2"/>
  <c r="L332" i="2"/>
  <c r="L262" i="2"/>
  <c r="K176" i="2"/>
  <c r="L175" i="2"/>
  <c r="L167" i="2"/>
  <c r="J329" i="2"/>
  <c r="N179" i="2"/>
  <c r="M175" i="2"/>
  <c r="M180" i="2"/>
  <c r="L176" i="2"/>
  <c r="M165" i="2"/>
  <c r="L170" i="2"/>
  <c r="L251" i="2" s="1"/>
  <c r="L158" i="2"/>
  <c r="L250" i="2" s="1"/>
  <c r="D147" i="2"/>
  <c r="D148" i="2" s="1"/>
  <c r="L137" i="2"/>
  <c r="L132" i="2"/>
  <c r="M129" i="2"/>
  <c r="K116" i="2"/>
  <c r="K121" i="2" s="1"/>
  <c r="K126" i="2" s="1"/>
  <c r="L105" i="2"/>
  <c r="M102" i="2"/>
  <c r="K177" i="2"/>
  <c r="K147" i="2"/>
  <c r="K148" i="2" s="1"/>
  <c r="I146" i="2"/>
  <c r="M139" i="2"/>
  <c r="L133" i="2"/>
  <c r="M130" i="2"/>
  <c r="N116" i="2"/>
  <c r="K105" i="2"/>
  <c r="L102" i="2"/>
  <c r="N170" i="2"/>
  <c r="N251" i="2" s="1"/>
  <c r="K146" i="2"/>
  <c r="L142" i="2"/>
  <c r="M137" i="2"/>
  <c r="M132" i="2"/>
  <c r="J129" i="2"/>
  <c r="L116" i="2"/>
  <c r="M110" i="2"/>
  <c r="L104" i="2"/>
  <c r="Z5" i="2"/>
  <c r="AD5" i="2" s="1"/>
  <c r="AH5" i="2" s="1"/>
  <c r="AL5" i="2" s="1"/>
  <c r="AP5" i="2" s="1"/>
  <c r="AT5" i="2" s="1"/>
  <c r="AX5" i="2" s="1"/>
  <c r="BB5" i="2" s="1"/>
  <c r="BF5" i="2" s="1"/>
  <c r="BJ5" i="2" s="1"/>
  <c r="BN5" i="2" s="1"/>
  <c r="BR5" i="2" s="1"/>
  <c r="J152" i="2"/>
  <c r="BG245" i="2"/>
  <c r="BG237" i="2"/>
  <c r="BF19" i="2"/>
  <c r="J97" i="2"/>
  <c r="L22" i="2"/>
  <c r="BJ23" i="2"/>
  <c r="BB25" i="2"/>
  <c r="BE382" i="2"/>
  <c r="BE390" i="2" s="1"/>
  <c r="BE97" i="2"/>
  <c r="BI382" i="2"/>
  <c r="BI390" i="2" s="1"/>
  <c r="BI97" i="2"/>
  <c r="BI100" i="2" s="1"/>
  <c r="BM382" i="2"/>
  <c r="BM97" i="2"/>
  <c r="BM100" i="2" s="1"/>
  <c r="BQ382" i="2"/>
  <c r="BQ97" i="2"/>
  <c r="BU382" i="2"/>
  <c r="BU97" i="2"/>
  <c r="M39" i="2"/>
  <c r="BC54" i="2"/>
  <c r="BG54" i="2"/>
  <c r="BF57" i="2"/>
  <c r="BH67" i="2"/>
  <c r="L71" i="2"/>
  <c r="BP71" i="2"/>
  <c r="BJ76" i="2"/>
  <c r="BC77" i="2"/>
  <c r="BB78" i="2"/>
  <c r="J92" i="2"/>
  <c r="BC83" i="2"/>
  <c r="BS97" i="2"/>
  <c r="N105" i="2"/>
  <c r="BE105" i="2"/>
  <c r="M111" i="2"/>
  <c r="BL115" i="2"/>
  <c r="BL117" i="2" s="1"/>
  <c r="BG127" i="2"/>
  <c r="K129" i="2"/>
  <c r="BK137" i="2"/>
  <c r="BK142" i="2" s="1"/>
  <c r="L180" i="2"/>
  <c r="M16" i="2"/>
  <c r="BG381" i="2"/>
  <c r="BG388" i="2" s="1"/>
  <c r="BG389" i="2" s="1"/>
  <c r="BG246" i="2"/>
  <c r="BG241" i="2"/>
  <c r="BG239" i="2"/>
  <c r="K93" i="2"/>
  <c r="BG93" i="2"/>
  <c r="BG88" i="2"/>
  <c r="BK23" i="2"/>
  <c r="BC25" i="2"/>
  <c r="BJ382" i="2"/>
  <c r="BJ97" i="2"/>
  <c r="BJ100" i="2" s="1"/>
  <c r="N100" i="2" s="1"/>
  <c r="BR382" i="2"/>
  <c r="BR97" i="2"/>
  <c r="J39" i="2"/>
  <c r="J70" i="2"/>
  <c r="BC78" i="2"/>
  <c r="J400" i="2"/>
  <c r="J402" i="2" s="1"/>
  <c r="K151" i="2"/>
  <c r="J151" i="2"/>
  <c r="J6" i="2"/>
  <c r="N6" i="2"/>
  <c r="BE247" i="2"/>
  <c r="BE245" i="2"/>
  <c r="BE282" i="2"/>
  <c r="BE237" i="2"/>
  <c r="BE152" i="2"/>
  <c r="BE127" i="2"/>
  <c r="BI282" i="2"/>
  <c r="BI245" i="2"/>
  <c r="BI237" i="2"/>
  <c r="BI152" i="2"/>
  <c r="BI127" i="2"/>
  <c r="L18" i="2"/>
  <c r="BM137" i="2"/>
  <c r="BM142" i="2" s="1"/>
  <c r="BM115" i="2"/>
  <c r="BM117" i="2" s="1"/>
  <c r="BD19" i="2"/>
  <c r="BH19" i="2"/>
  <c r="N26" i="2"/>
  <c r="N382" i="2" s="1"/>
  <c r="BL24" i="2"/>
  <c r="J38" i="2"/>
  <c r="L40" i="2"/>
  <c r="K49" i="2"/>
  <c r="K53" i="2"/>
  <c r="BH49" i="2"/>
  <c r="BG56" i="2"/>
  <c r="BB57" i="2"/>
  <c r="BF67" i="2"/>
  <c r="N71" i="2"/>
  <c r="BK69" i="2"/>
  <c r="O73" i="2"/>
  <c r="K77" i="2"/>
  <c r="BE77" i="2"/>
  <c r="K85" i="2"/>
  <c r="K83" i="2" s="1"/>
  <c r="K88" i="2" s="1"/>
  <c r="BK97" i="2"/>
  <c r="BK100" i="2" s="1"/>
  <c r="BP99" i="2"/>
  <c r="BF120" i="2"/>
  <c r="BF125" i="2" s="1"/>
  <c r="BF79" i="2" s="1"/>
  <c r="BF117" i="2"/>
  <c r="BF122" i="2" s="1"/>
  <c r="BF127" i="2" s="1"/>
  <c r="L117" i="2"/>
  <c r="M138" i="2"/>
  <c r="F147" i="2"/>
  <c r="F148" i="2" s="1"/>
  <c r="BC152" i="2"/>
  <c r="BD258" i="2"/>
  <c r="BD252" i="2"/>
  <c r="BD257" i="2"/>
  <c r="BH258" i="2"/>
  <c r="BH252" i="2"/>
  <c r="BH257" i="2"/>
  <c r="AA5" i="2"/>
  <c r="AE5" i="2" s="1"/>
  <c r="AI5" i="2" s="1"/>
  <c r="AM5" i="2" s="1"/>
  <c r="AQ5" i="2" s="1"/>
  <c r="AU5" i="2" s="1"/>
  <c r="AY5" i="2" s="1"/>
  <c r="BC5" i="2" s="1"/>
  <c r="BG5" i="2" s="1"/>
  <c r="BK5" i="2" s="1"/>
  <c r="BO5" i="2" s="1"/>
  <c r="BS5" i="2" s="1"/>
  <c r="N12" i="2"/>
  <c r="BD237" i="2"/>
  <c r="BD247" i="2"/>
  <c r="BD245" i="2"/>
  <c r="BD282" i="2"/>
  <c r="BD152" i="2"/>
  <c r="BD127" i="2"/>
  <c r="L17" i="2"/>
  <c r="K24" i="2"/>
  <c r="L23" i="2"/>
  <c r="M26" i="2"/>
  <c r="M382" i="2" s="1"/>
  <c r="M30" i="2"/>
  <c r="BC93" i="2"/>
  <c r="BC88" i="2"/>
  <c r="BF382" i="2"/>
  <c r="BF390" i="2" s="1"/>
  <c r="BF97" i="2"/>
  <c r="BN382" i="2"/>
  <c r="BN97" i="2"/>
  <c r="BN100" i="2" s="1"/>
  <c r="L37" i="2"/>
  <c r="N39" i="2"/>
  <c r="BC53" i="2"/>
  <c r="BG53" i="2"/>
  <c r="N73" i="2"/>
  <c r="BG78" i="2"/>
  <c r="K92" i="2"/>
  <c r="N400" i="2"/>
  <c r="N402" i="2" s="1"/>
  <c r="O151" i="2"/>
  <c r="N151" i="2"/>
  <c r="F153" i="2"/>
  <c r="O180" i="2"/>
  <c r="O172" i="2"/>
  <c r="O161" i="2"/>
  <c r="O179" i="2"/>
  <c r="O178" i="2"/>
  <c r="O177" i="2"/>
  <c r="O173" i="2"/>
  <c r="O138" i="2"/>
  <c r="O131" i="2"/>
  <c r="O116" i="2"/>
  <c r="O104" i="2"/>
  <c r="O147" i="2"/>
  <c r="O141" i="2"/>
  <c r="O132" i="2"/>
  <c r="O105" i="2"/>
  <c r="O174" i="2"/>
  <c r="O160" i="2"/>
  <c r="O146" i="2"/>
  <c r="O139" i="2"/>
  <c r="O130" i="2"/>
  <c r="O103" i="2"/>
  <c r="O98" i="2"/>
  <c r="K6" i="2"/>
  <c r="O6" i="2"/>
  <c r="M11" i="2"/>
  <c r="L12" i="2"/>
  <c r="BB152" i="2"/>
  <c r="BB127" i="2"/>
  <c r="BF237" i="2"/>
  <c r="BF245" i="2"/>
  <c r="BF247" i="2"/>
  <c r="BF152" i="2"/>
  <c r="M18" i="2"/>
  <c r="BJ115" i="2"/>
  <c r="BJ117" i="2" s="1"/>
  <c r="BJ137" i="2"/>
  <c r="BJ142" i="2" s="1"/>
  <c r="BN115" i="2"/>
  <c r="BN117" i="2" s="1"/>
  <c r="BN137" i="2"/>
  <c r="BN142" i="2" s="1"/>
  <c r="BE19" i="2"/>
  <c r="BI19" i="2"/>
  <c r="K25" i="2"/>
  <c r="M24" i="2"/>
  <c r="O26" i="2"/>
  <c r="O382" i="2" s="1"/>
  <c r="M28" i="2"/>
  <c r="N31" i="2"/>
  <c r="L33" i="2"/>
  <c r="BE24" i="2"/>
  <c r="BE78" i="2" s="1"/>
  <c r="BM24" i="2"/>
  <c r="BH382" i="2"/>
  <c r="BH390" i="2" s="1"/>
  <c r="BH97" i="2"/>
  <c r="BL382" i="2"/>
  <c r="BL97" i="2"/>
  <c r="BL100" i="2" s="1"/>
  <c r="BP382" i="2"/>
  <c r="BP97" i="2"/>
  <c r="BP100" i="2" s="1"/>
  <c r="BT382" i="2"/>
  <c r="BT97" i="2"/>
  <c r="K36" i="2"/>
  <c r="O36" i="2"/>
  <c r="N37" i="2"/>
  <c r="K38" i="2"/>
  <c r="O38" i="2"/>
  <c r="L39" i="2"/>
  <c r="M40" i="2"/>
  <c r="M46" i="2"/>
  <c r="K56" i="2"/>
  <c r="BE49" i="2"/>
  <c r="BI49" i="2"/>
  <c r="L66" i="2"/>
  <c r="M69" i="2"/>
  <c r="L70" i="2"/>
  <c r="L73" i="2"/>
  <c r="L74" i="2" s="1"/>
  <c r="M82" i="2"/>
  <c r="K97" i="2"/>
  <c r="BO97" i="2"/>
  <c r="BO100" i="2" s="1"/>
  <c r="J105" i="2"/>
  <c r="BJ254" i="2"/>
  <c r="BJ231" i="2" s="1"/>
  <c r="BG105" i="2"/>
  <c r="BH103" i="2"/>
  <c r="BI103" i="2" s="1"/>
  <c r="M116" i="2"/>
  <c r="M120" i="2"/>
  <c r="K133" i="2"/>
  <c r="L139" i="2"/>
  <c r="M142" i="2"/>
  <c r="H146" i="2"/>
  <c r="J147" i="2"/>
  <c r="J148" i="2" s="1"/>
  <c r="R400" i="2"/>
  <c r="R401" i="2" s="1"/>
  <c r="R153" i="2"/>
  <c r="R152" i="2"/>
  <c r="V400" i="2"/>
  <c r="V153" i="2"/>
  <c r="V152" i="2"/>
  <c r="V151" i="2"/>
  <c r="Z400" i="2"/>
  <c r="Z153" i="2"/>
  <c r="Z152" i="2"/>
  <c r="Z151" i="2"/>
  <c r="AD400" i="2"/>
  <c r="AD153" i="2"/>
  <c r="AD152" i="2"/>
  <c r="AD151" i="2"/>
  <c r="AH400" i="2"/>
  <c r="AH153" i="2"/>
  <c r="AH152" i="2"/>
  <c r="AH151" i="2"/>
  <c r="AL400" i="2"/>
  <c r="AL153" i="2"/>
  <c r="AL152" i="2"/>
  <c r="AL151" i="2"/>
  <c r="AP400" i="2"/>
  <c r="AP153" i="2"/>
  <c r="AP152" i="2"/>
  <c r="AP151" i="2"/>
  <c r="AT400" i="2"/>
  <c r="AT153" i="2"/>
  <c r="AT152" i="2"/>
  <c r="AT151" i="2"/>
  <c r="AX400" i="2"/>
  <c r="AX153" i="2"/>
  <c r="AX152" i="2"/>
  <c r="AX151" i="2"/>
  <c r="BB400" i="2"/>
  <c r="BB402" i="2" s="1"/>
  <c r="BB151" i="2"/>
  <c r="BF400" i="2"/>
  <c r="BF151" i="2"/>
  <c r="BJ400" i="2"/>
  <c r="BJ151" i="2"/>
  <c r="BN400" i="2"/>
  <c r="BN151" i="2"/>
  <c r="BR400" i="2"/>
  <c r="BR151" i="2"/>
  <c r="S151" i="2"/>
  <c r="AI151" i="2"/>
  <c r="AY151" i="2"/>
  <c r="BO151" i="2"/>
  <c r="BG152" i="2"/>
  <c r="M159" i="2"/>
  <c r="BF181" i="2"/>
  <c r="BF182" i="2" s="1"/>
  <c r="BJ82" i="2"/>
  <c r="BF84" i="2"/>
  <c r="BO102" i="2"/>
  <c r="E401" i="2"/>
  <c r="E402" i="2"/>
  <c r="I401" i="2"/>
  <c r="I402" i="2"/>
  <c r="M402" i="2"/>
  <c r="D151" i="2"/>
  <c r="H151" i="2"/>
  <c r="L151" i="2"/>
  <c r="P151" i="2"/>
  <c r="U402" i="2"/>
  <c r="U401" i="2"/>
  <c r="Y402" i="2"/>
  <c r="Y401" i="2"/>
  <c r="AC402" i="2"/>
  <c r="AC401" i="2"/>
  <c r="AG401" i="2"/>
  <c r="AG402" i="2"/>
  <c r="AK402" i="2"/>
  <c r="AK401" i="2"/>
  <c r="AO401" i="2"/>
  <c r="AO402" i="2"/>
  <c r="AS402" i="2"/>
  <c r="AS401" i="2"/>
  <c r="AW401" i="2"/>
  <c r="AW402" i="2"/>
  <c r="BA402" i="2"/>
  <c r="BA401" i="2"/>
  <c r="C152" i="2"/>
  <c r="G152" i="2"/>
  <c r="E153" i="2"/>
  <c r="I153" i="2"/>
  <c r="BG252" i="2"/>
  <c r="BI169" i="2"/>
  <c r="BC171" i="2"/>
  <c r="BC181" i="2" s="1"/>
  <c r="BD169" i="2"/>
  <c r="BG209" i="2"/>
  <c r="V215" i="2"/>
  <c r="AD215" i="2"/>
  <c r="AL215" i="2"/>
  <c r="AT215" i="2"/>
  <c r="BE87" i="2"/>
  <c r="BH98" i="2"/>
  <c r="G402" i="2"/>
  <c r="G401" i="2"/>
  <c r="K402" i="2"/>
  <c r="O402" i="2"/>
  <c r="S402" i="2"/>
  <c r="S401" i="2"/>
  <c r="W402" i="2"/>
  <c r="W401" i="2"/>
  <c r="AA402" i="2"/>
  <c r="AA401" i="2"/>
  <c r="AE402" i="2"/>
  <c r="AE401" i="2"/>
  <c r="AI402" i="2"/>
  <c r="AI401" i="2"/>
  <c r="AM402" i="2"/>
  <c r="AM401" i="2"/>
  <c r="AQ402" i="2"/>
  <c r="AQ401" i="2"/>
  <c r="AU402" i="2"/>
  <c r="AU401" i="2"/>
  <c r="AY402" i="2"/>
  <c r="AY401" i="2"/>
  <c r="T151" i="2"/>
  <c r="X151" i="2"/>
  <c r="AB151" i="2"/>
  <c r="AF151" i="2"/>
  <c r="AJ151" i="2"/>
  <c r="AN151" i="2"/>
  <c r="AR151" i="2"/>
  <c r="AV151" i="2"/>
  <c r="AZ151" i="2"/>
  <c r="BD151" i="2"/>
  <c r="BH151" i="2"/>
  <c r="BL151" i="2"/>
  <c r="BP151" i="2"/>
  <c r="BT151" i="2"/>
  <c r="E152" i="2"/>
  <c r="I152" i="2"/>
  <c r="C153" i="2"/>
  <c r="G153" i="2"/>
  <c r="T152" i="2"/>
  <c r="X152" i="2"/>
  <c r="AB152" i="2"/>
  <c r="AF152" i="2"/>
  <c r="AJ152" i="2"/>
  <c r="AN152" i="2"/>
  <c r="AR152" i="2"/>
  <c r="AV152" i="2"/>
  <c r="AZ152" i="2"/>
  <c r="T153" i="2"/>
  <c r="X153" i="2"/>
  <c r="AB153" i="2"/>
  <c r="AF153" i="2"/>
  <c r="AJ153" i="2"/>
  <c r="AN153" i="2"/>
  <c r="AR153" i="2"/>
  <c r="AV153" i="2"/>
  <c r="AZ153" i="2"/>
  <c r="BG181" i="2"/>
  <c r="BG182" i="2" s="1"/>
  <c r="BE315" i="2"/>
  <c r="BE277" i="2"/>
  <c r="BE218" i="2"/>
  <c r="BE205" i="2"/>
  <c r="BE219" i="2"/>
  <c r="BI277" i="2"/>
  <c r="BI219" i="2"/>
  <c r="BI218" i="2"/>
  <c r="BI205" i="2"/>
  <c r="BI209" i="2" s="1"/>
  <c r="BI276" i="2"/>
  <c r="BI288" i="2" s="1"/>
  <c r="BI290" i="2" s="1"/>
  <c r="BI247" i="2"/>
  <c r="BJ204" i="2"/>
  <c r="BI235" i="2"/>
  <c r="BG223" i="2"/>
  <c r="BI394" i="2"/>
  <c r="BI272" i="2"/>
  <c r="BI85" i="2"/>
  <c r="BI83" i="2" s="1"/>
  <c r="D402" i="2"/>
  <c r="D401" i="2"/>
  <c r="H402" i="2"/>
  <c r="H401" i="2"/>
  <c r="T402" i="2"/>
  <c r="T401" i="2"/>
  <c r="X402" i="2"/>
  <c r="X401" i="2"/>
  <c r="AB401" i="2"/>
  <c r="AB402" i="2"/>
  <c r="AF402" i="2"/>
  <c r="AF401" i="2"/>
  <c r="AJ402" i="2"/>
  <c r="AJ401" i="2"/>
  <c r="AN402" i="2"/>
  <c r="AN401" i="2"/>
  <c r="AR401" i="2"/>
  <c r="AR402" i="2"/>
  <c r="AV402" i="2"/>
  <c r="AV401" i="2"/>
  <c r="AZ401" i="2"/>
  <c r="AZ402" i="2"/>
  <c r="U151" i="2"/>
  <c r="Y151" i="2"/>
  <c r="AC151" i="2"/>
  <c r="AG151" i="2"/>
  <c r="AK151" i="2"/>
  <c r="AO151" i="2"/>
  <c r="AS151" i="2"/>
  <c r="AW151" i="2"/>
  <c r="BA151" i="2"/>
  <c r="BE151" i="2"/>
  <c r="BI151" i="2"/>
  <c r="BM151" i="2"/>
  <c r="BQ151" i="2"/>
  <c r="BU151" i="2"/>
  <c r="D153" i="2"/>
  <c r="H153" i="2"/>
  <c r="U153" i="2"/>
  <c r="Y153" i="2"/>
  <c r="BF254" i="2"/>
  <c r="BF231" i="2" s="1"/>
  <c r="BF252" i="2"/>
  <c r="BF257" i="2"/>
  <c r="BF258" i="2"/>
  <c r="BG236" i="2"/>
  <c r="BG234" i="2"/>
  <c r="BG198" i="2"/>
  <c r="BI256" i="2"/>
  <c r="BJ191" i="2"/>
  <c r="BM208" i="2"/>
  <c r="BN208" i="2" s="1"/>
  <c r="BO208" i="2" s="1"/>
  <c r="BP208" i="2" s="1"/>
  <c r="BQ208" i="2" s="1"/>
  <c r="BR208" i="2" s="1"/>
  <c r="BS208" i="2" s="1"/>
  <c r="BT208" i="2" s="1"/>
  <c r="BU208" i="2" s="1"/>
  <c r="BL168" i="2"/>
  <c r="BA262" i="2"/>
  <c r="BB264" i="2"/>
  <c r="BE258" i="2"/>
  <c r="BE252" i="2"/>
  <c r="BE257" i="2"/>
  <c r="BK210" i="2"/>
  <c r="BD315" i="2"/>
  <c r="BD219" i="2"/>
  <c r="BD277" i="2"/>
  <c r="BD218" i="2"/>
  <c r="BD205" i="2"/>
  <c r="BD209" i="2" s="1"/>
  <c r="BH219" i="2"/>
  <c r="BH277" i="2"/>
  <c r="BH218" i="2"/>
  <c r="BH205" i="2"/>
  <c r="BH209" i="2" s="1"/>
  <c r="BH247" i="2"/>
  <c r="AW209" i="2"/>
  <c r="BC270" i="2"/>
  <c r="BC269" i="2"/>
  <c r="BG292" i="2"/>
  <c r="BG273" i="2"/>
  <c r="BG270" i="2"/>
  <c r="BG218" i="2"/>
  <c r="BG221" i="2" s="1"/>
  <c r="BC214" i="2"/>
  <c r="BC215" i="2" s="1"/>
  <c r="BE254" i="2"/>
  <c r="BE231" i="2" s="1"/>
  <c r="BD236" i="2"/>
  <c r="BD234" i="2"/>
  <c r="BD198" i="2"/>
  <c r="BH236" i="2"/>
  <c r="BH234" i="2"/>
  <c r="BH198" i="2"/>
  <c r="BF256" i="2"/>
  <c r="U214" i="2"/>
  <c r="U215" i="2" s="1"/>
  <c r="Y214" i="2"/>
  <c r="Y215" i="2" s="1"/>
  <c r="AC214" i="2"/>
  <c r="AC215" i="2" s="1"/>
  <c r="AG214" i="2"/>
  <c r="AG215" i="2" s="1"/>
  <c r="AK214" i="2"/>
  <c r="AK215" i="2" s="1"/>
  <c r="AO214" i="2"/>
  <c r="AO215" i="2" s="1"/>
  <c r="AS214" i="2"/>
  <c r="AS215" i="2" s="1"/>
  <c r="AW214" i="2"/>
  <c r="AW215" i="2" s="1"/>
  <c r="BG214" i="2"/>
  <c r="BM189" i="2"/>
  <c r="BN197" i="2"/>
  <c r="BM168" i="2"/>
  <c r="BB270" i="2"/>
  <c r="BB269" i="2"/>
  <c r="BF270" i="2"/>
  <c r="BF269" i="2"/>
  <c r="BF292" i="2"/>
  <c r="BF273" i="2"/>
  <c r="BB214" i="2"/>
  <c r="BB215" i="2" s="1"/>
  <c r="BF218" i="2"/>
  <c r="BE253" i="2"/>
  <c r="BF220" i="2"/>
  <c r="BF221" i="2"/>
  <c r="BG253" i="2"/>
  <c r="BG254" i="2"/>
  <c r="BG231" i="2" s="1"/>
  <c r="BE236" i="2"/>
  <c r="BI236" i="2"/>
  <c r="BG256" i="2"/>
  <c r="BF315" i="2"/>
  <c r="BF277" i="2"/>
  <c r="AW218" i="2"/>
  <c r="BD292" i="2"/>
  <c r="BD294" i="2" s="1"/>
  <c r="BD310" i="2" s="1"/>
  <c r="BD273" i="2"/>
  <c r="BD270" i="2"/>
  <c r="BD269" i="2"/>
  <c r="BH292" i="2"/>
  <c r="BH273" i="2"/>
  <c r="BH270" i="2"/>
  <c r="BH269" i="2"/>
  <c r="BD214" i="2"/>
  <c r="BD215" i="2" s="1"/>
  <c r="BH214" i="2"/>
  <c r="BH215" i="2" s="1"/>
  <c r="AW219" i="2"/>
  <c r="BA221" i="2"/>
  <c r="BM322" i="2"/>
  <c r="BN300" i="2"/>
  <c r="BG257" i="2"/>
  <c r="BG258" i="2"/>
  <c r="BI258" i="2"/>
  <c r="BI252" i="2"/>
  <c r="BI257" i="2"/>
  <c r="BH170" i="2"/>
  <c r="BH276" i="2"/>
  <c r="BH288" i="2" s="1"/>
  <c r="BH290" i="2" s="1"/>
  <c r="BH294" i="2" s="1"/>
  <c r="BH310" i="2" s="1"/>
  <c r="BH324" i="2" s="1"/>
  <c r="BH325" i="2" s="1"/>
  <c r="BH235" i="2"/>
  <c r="BH245" i="2"/>
  <c r="BF236" i="2"/>
  <c r="BF234" i="2"/>
  <c r="BD256" i="2"/>
  <c r="BH256" i="2"/>
  <c r="BF276" i="2"/>
  <c r="BF288" i="2" s="1"/>
  <c r="BF290" i="2" s="1"/>
  <c r="BG276" i="2"/>
  <c r="BG288" i="2" s="1"/>
  <c r="BG290" i="2" s="1"/>
  <c r="BG294" i="2" s="1"/>
  <c r="BG247" i="2"/>
  <c r="BG235" i="2"/>
  <c r="BA269" i="2"/>
  <c r="BA270" i="2"/>
  <c r="BE292" i="2"/>
  <c r="BE269" i="2"/>
  <c r="BE273" i="2"/>
  <c r="BE270" i="2"/>
  <c r="BI292" i="2"/>
  <c r="BI269" i="2"/>
  <c r="BI273" i="2"/>
  <c r="BI270" i="2"/>
  <c r="BA214" i="2"/>
  <c r="BA215" i="2" s="1"/>
  <c r="BE214" i="2"/>
  <c r="BE215" i="2" s="1"/>
  <c r="BI214" i="2"/>
  <c r="BI215" i="2" s="1"/>
  <c r="BA223" i="2"/>
  <c r="BI234" i="2"/>
  <c r="BM263" i="2"/>
  <c r="BM261" i="2"/>
  <c r="BL261" i="2"/>
  <c r="BD253" i="2"/>
  <c r="BF253" i="2"/>
  <c r="BC264" i="2"/>
  <c r="BA370" i="2"/>
  <c r="AZ366" i="2"/>
  <c r="AZ370" i="2" s="1"/>
  <c r="BD254" i="2"/>
  <c r="BD231" i="2" s="1"/>
  <c r="BK261" i="2"/>
  <c r="BL320" i="2"/>
  <c r="BL301" i="2"/>
  <c r="BF293" i="2"/>
  <c r="BJ293" i="2"/>
  <c r="BH305" i="2"/>
  <c r="BH308" i="2" s="1"/>
  <c r="BI303" i="2"/>
  <c r="BD308" i="2"/>
  <c r="BD264" i="2"/>
  <c r="BF319" i="2"/>
  <c r="BE301" i="2"/>
  <c r="BE293" i="2" s="1"/>
  <c r="BE294" i="2" s="1"/>
  <c r="BE310" i="2" s="1"/>
  <c r="BM320" i="2"/>
  <c r="BM301" i="2"/>
  <c r="BN298" i="2"/>
  <c r="BM321" i="2"/>
  <c r="BM323" i="2" s="1"/>
  <c r="BN299" i="2"/>
  <c r="C331" i="2"/>
  <c r="U339" i="2"/>
  <c r="BK301" i="2"/>
  <c r="BK323" i="2"/>
  <c r="C343" i="2"/>
  <c r="AJ369" i="2"/>
  <c r="AJ361" i="2"/>
  <c r="AR369" i="2"/>
  <c r="AR361" i="2"/>
  <c r="AZ369" i="2"/>
  <c r="AZ361" i="2"/>
  <c r="C345" i="2"/>
  <c r="C350" i="2" s="1"/>
  <c r="BB390" i="2"/>
  <c r="AZ367" i="2"/>
  <c r="AZ364" i="2"/>
  <c r="AZ363" i="2"/>
  <c r="AZ362" i="2"/>
  <c r="BA355" i="2"/>
  <c r="BA361" i="2" s="1"/>
  <c r="AN369" i="2"/>
  <c r="AH369" i="2"/>
  <c r="AL369" i="2"/>
  <c r="AP369" i="2"/>
  <c r="BB401" i="2"/>
  <c r="BB397" i="2"/>
  <c r="BB383" i="2"/>
  <c r="BB391" i="2" s="1"/>
  <c r="BB396" i="2"/>
  <c r="BF387" i="2"/>
  <c r="BF396" i="2"/>
  <c r="BL323" i="2"/>
  <c r="AG369" i="2"/>
  <c r="AK369" i="2"/>
  <c r="AS369" i="2"/>
  <c r="BA369" i="2"/>
  <c r="AM361" i="2"/>
  <c r="AQ361" i="2"/>
  <c r="AY361" i="2"/>
  <c r="AY362" i="2"/>
  <c r="AY363" i="2"/>
  <c r="AY364" i="2"/>
  <c r="W377" i="2"/>
  <c r="V377" i="2"/>
  <c r="AA377" i="2"/>
  <c r="Z377" i="2"/>
  <c r="AE377" i="2"/>
  <c r="AD377" i="2"/>
  <c r="AI377" i="2"/>
  <c r="AH377" i="2"/>
  <c r="AM377" i="2"/>
  <c r="AL377" i="2"/>
  <c r="AQ377" i="2"/>
  <c r="AP377" i="2"/>
  <c r="AU377" i="2"/>
  <c r="AT377" i="2"/>
  <c r="AY377" i="2"/>
  <c r="AX377" i="2"/>
  <c r="R376" i="2"/>
  <c r="AH376" i="2"/>
  <c r="AX376" i="2"/>
  <c r="BC387" i="2"/>
  <c r="BB336" i="2"/>
  <c r="BB337" i="2" s="1"/>
  <c r="AV362" i="2"/>
  <c r="AV363" i="2"/>
  <c r="AV364" i="2"/>
  <c r="BJ323" i="2"/>
  <c r="BH315" i="2" s="1"/>
  <c r="BH316" i="2" s="1"/>
  <c r="AE369" i="2"/>
  <c r="AI369" i="2"/>
  <c r="AU369" i="2"/>
  <c r="BA360" i="2"/>
  <c r="AK361" i="2"/>
  <c r="AO361" i="2"/>
  <c r="AS361" i="2"/>
  <c r="AW361" i="2"/>
  <c r="AW362" i="2"/>
  <c r="AW363" i="2"/>
  <c r="AW364" i="2"/>
  <c r="BI396" i="2"/>
  <c r="BC383" i="2"/>
  <c r="BC391" i="2" s="1"/>
  <c r="BC396" i="2"/>
  <c r="BG396" i="2"/>
  <c r="T376" i="2"/>
  <c r="X376" i="2"/>
  <c r="AB376" i="2"/>
  <c r="AF376" i="2"/>
  <c r="AJ376" i="2"/>
  <c r="AN376" i="2"/>
  <c r="AR376" i="2"/>
  <c r="AV376" i="2"/>
  <c r="AZ376" i="2"/>
  <c r="BG387" i="2"/>
  <c r="BD396" i="2"/>
  <c r="BH396" i="2"/>
  <c r="BD387" i="2"/>
  <c r="BH387" i="2"/>
  <c r="BF324" i="2" l="1"/>
  <c r="BE311" i="2"/>
  <c r="BE312" i="2" s="1"/>
  <c r="BI305" i="2"/>
  <c r="BI308" i="2" s="1"/>
  <c r="BJ303" i="2"/>
  <c r="BE381" i="2"/>
  <c r="BE246" i="2"/>
  <c r="BE239" i="2"/>
  <c r="BE241" i="2"/>
  <c r="L57" i="2"/>
  <c r="L54" i="2"/>
  <c r="N407" i="2"/>
  <c r="BH381" i="2"/>
  <c r="BH241" i="2"/>
  <c r="BH239" i="2"/>
  <c r="BH246" i="2"/>
  <c r="BF246" i="2"/>
  <c r="BF241" i="2"/>
  <c r="BF239" i="2"/>
  <c r="BF381" i="2"/>
  <c r="I338" i="2"/>
  <c r="K364" i="2"/>
  <c r="P179" i="2"/>
  <c r="P174" i="2"/>
  <c r="P173" i="2"/>
  <c r="P172" i="2"/>
  <c r="P180" i="2"/>
  <c r="P161" i="2"/>
  <c r="P177" i="2"/>
  <c r="P147" i="2"/>
  <c r="P141" i="2"/>
  <c r="P132" i="2"/>
  <c r="P105" i="2"/>
  <c r="P140" i="2"/>
  <c r="P136" i="2"/>
  <c r="P133" i="2"/>
  <c r="P129" i="2"/>
  <c r="P97" i="2"/>
  <c r="P178" i="2"/>
  <c r="P138" i="2"/>
  <c r="P131" i="2"/>
  <c r="P116" i="2"/>
  <c r="P104" i="2"/>
  <c r="P130" i="2"/>
  <c r="P73" i="2"/>
  <c r="P70" i="2"/>
  <c r="P39" i="2"/>
  <c r="P160" i="2"/>
  <c r="P103" i="2"/>
  <c r="P31" i="2"/>
  <c r="P98" i="2"/>
  <c r="P46" i="2"/>
  <c r="P40" i="2"/>
  <c r="P24" i="2"/>
  <c r="P4" i="2"/>
  <c r="P146" i="2"/>
  <c r="P37" i="2"/>
  <c r="P139" i="2"/>
  <c r="P38" i="2"/>
  <c r="P36" i="2"/>
  <c r="P26" i="2"/>
  <c r="P382" i="2" s="1"/>
  <c r="U6" i="2"/>
  <c r="V4" i="2"/>
  <c r="BQ53" i="2"/>
  <c r="BG397" i="2"/>
  <c r="C348" i="2"/>
  <c r="BN321" i="2"/>
  <c r="BO299" i="2"/>
  <c r="BD311" i="2"/>
  <c r="BD312" i="2" s="1"/>
  <c r="BN322" i="2"/>
  <c r="BO300" i="2"/>
  <c r="BF222" i="2"/>
  <c r="BF223" i="2"/>
  <c r="BN189" i="2"/>
  <c r="AZ262" i="2"/>
  <c r="BA264" i="2"/>
  <c r="BI84" i="2"/>
  <c r="BI87" i="2"/>
  <c r="BG222" i="2"/>
  <c r="BK204" i="2"/>
  <c r="BJ167" i="2"/>
  <c r="BE209" i="2"/>
  <c r="BE234" i="2"/>
  <c r="M394" i="2"/>
  <c r="M419" i="2" s="1"/>
  <c r="M85" i="2"/>
  <c r="M83" i="2" s="1"/>
  <c r="BI381" i="2"/>
  <c r="BI246" i="2"/>
  <c r="BJ246" i="2" s="1"/>
  <c r="BI241" i="2"/>
  <c r="BI239" i="2"/>
  <c r="M407" i="2"/>
  <c r="N141" i="2"/>
  <c r="L130" i="2"/>
  <c r="K102" i="2"/>
  <c r="BL69" i="2"/>
  <c r="BK72" i="2"/>
  <c r="L46" i="2"/>
  <c r="N38" i="2"/>
  <c r="J36" i="2"/>
  <c r="L28" i="2"/>
  <c r="O129" i="2"/>
  <c r="K46" i="2"/>
  <c r="BK57" i="2"/>
  <c r="BK17" i="2"/>
  <c r="BK111" i="2" s="1"/>
  <c r="BK121" i="2" s="1"/>
  <c r="BK126" i="2" s="1"/>
  <c r="J381" i="2"/>
  <c r="L146" i="2"/>
  <c r="M131" i="2"/>
  <c r="BP148" i="2"/>
  <c r="BQ71" i="2"/>
  <c r="BP18" i="2"/>
  <c r="N40" i="2"/>
  <c r="L36" i="2"/>
  <c r="BJ17" i="2"/>
  <c r="BJ57" i="2"/>
  <c r="L30" i="2"/>
  <c r="J24" i="2"/>
  <c r="L16" i="2"/>
  <c r="L19" i="2" s="1"/>
  <c r="BG282" i="2"/>
  <c r="M12" i="2"/>
  <c r="K103" i="2"/>
  <c r="N106" i="2"/>
  <c r="L115" i="2"/>
  <c r="L131" i="2"/>
  <c r="N136" i="2"/>
  <c r="M141" i="2"/>
  <c r="G146" i="2"/>
  <c r="M147" i="2"/>
  <c r="L166" i="2"/>
  <c r="N99" i="2"/>
  <c r="N104" i="2"/>
  <c r="N115" i="2"/>
  <c r="L129" i="2"/>
  <c r="K132" i="2"/>
  <c r="N138" i="2"/>
  <c r="E146" i="2"/>
  <c r="G147" i="2"/>
  <c r="G148" i="2" s="1"/>
  <c r="M160" i="2"/>
  <c r="N172" i="2"/>
  <c r="K104" i="2"/>
  <c r="L112" i="2"/>
  <c r="L122" i="2" s="1"/>
  <c r="M122" i="2"/>
  <c r="K131" i="2"/>
  <c r="M136" i="2"/>
  <c r="L141" i="2"/>
  <c r="N146" i="2"/>
  <c r="L168" i="2"/>
  <c r="N174" i="2"/>
  <c r="M164" i="2"/>
  <c r="N168" i="2"/>
  <c r="M179" i="2"/>
  <c r="L174" i="2"/>
  <c r="N178" i="2"/>
  <c r="M166" i="2"/>
  <c r="M174" i="2"/>
  <c r="L179" i="2"/>
  <c r="K261" i="2"/>
  <c r="H328" i="2"/>
  <c r="F345" i="2"/>
  <c r="H330" i="2"/>
  <c r="F352" i="2"/>
  <c r="F357" i="2" s="1"/>
  <c r="L330" i="2"/>
  <c r="I328" i="2"/>
  <c r="I336" i="2" s="1"/>
  <c r="I337" i="2" s="1"/>
  <c r="E330" i="2"/>
  <c r="E332" i="2"/>
  <c r="E340" i="2" s="1"/>
  <c r="D344" i="2"/>
  <c r="C352" i="2"/>
  <c r="J328" i="2"/>
  <c r="F330" i="2"/>
  <c r="F338" i="2" s="1"/>
  <c r="L331" i="2"/>
  <c r="J343" i="2"/>
  <c r="H345" i="2"/>
  <c r="H350" i="2" s="1"/>
  <c r="C375" i="2"/>
  <c r="C376" i="2" s="1"/>
  <c r="E329" i="2"/>
  <c r="K330" i="2"/>
  <c r="G332" i="2"/>
  <c r="F344" i="2"/>
  <c r="F349" i="2" s="1"/>
  <c r="E352" i="2"/>
  <c r="E357" i="2" s="1"/>
  <c r="F355" i="2"/>
  <c r="F367" i="2" s="1"/>
  <c r="F366" i="2" s="1"/>
  <c r="I375" i="2"/>
  <c r="K375" i="2"/>
  <c r="F402" i="2"/>
  <c r="F401" i="2"/>
  <c r="K106" i="2"/>
  <c r="J73" i="2"/>
  <c r="J74" i="2" s="1"/>
  <c r="O46" i="2"/>
  <c r="BF55" i="2"/>
  <c r="BF52" i="2"/>
  <c r="BF27" i="2"/>
  <c r="BE25" i="2"/>
  <c r="BM60" i="2"/>
  <c r="BL210" i="2"/>
  <c r="BJ394" i="2"/>
  <c r="BJ85" i="2"/>
  <c r="BJ83" i="2" s="1"/>
  <c r="BJ84" i="2" s="1"/>
  <c r="BK82" i="2"/>
  <c r="BJ66" i="2"/>
  <c r="BJ67" i="2" s="1"/>
  <c r="BJ50" i="2" s="1"/>
  <c r="BJ11" i="2" s="1"/>
  <c r="BK76" i="2"/>
  <c r="L25" i="2"/>
  <c r="L254" i="2"/>
  <c r="L231" i="2" s="1"/>
  <c r="L45" i="2"/>
  <c r="H349" i="2"/>
  <c r="J338" i="2"/>
  <c r="D357" i="2"/>
  <c r="M148" i="2"/>
  <c r="M72" i="2"/>
  <c r="BG383" i="2"/>
  <c r="BG391" i="2" s="1"/>
  <c r="BK293" i="2"/>
  <c r="C339" i="2"/>
  <c r="BN320" i="2"/>
  <c r="BO298" i="2"/>
  <c r="BN301" i="2"/>
  <c r="BH311" i="2"/>
  <c r="BH312" i="2" s="1"/>
  <c r="BF323" i="2"/>
  <c r="BF325" i="2" s="1"/>
  <c r="BF294" i="2"/>
  <c r="BH251" i="2"/>
  <c r="BI170" i="2"/>
  <c r="BH106" i="2"/>
  <c r="BH105" i="2" s="1"/>
  <c r="BN168" i="2"/>
  <c r="BO197" i="2"/>
  <c r="BI294" i="2"/>
  <c r="BI310" i="2" s="1"/>
  <c r="BD171" i="2"/>
  <c r="BD181" i="2" s="1"/>
  <c r="BE169" i="2"/>
  <c r="BD161" i="2"/>
  <c r="BH171" i="2"/>
  <c r="BH181" i="2" s="1"/>
  <c r="BH182" i="2" s="1"/>
  <c r="L51" i="2"/>
  <c r="O427" i="2"/>
  <c r="L82" i="2"/>
  <c r="K73" i="2"/>
  <c r="K74" i="2" s="1"/>
  <c r="O70" i="2"/>
  <c r="K66" i="2"/>
  <c r="O39" i="2"/>
  <c r="M37" i="2"/>
  <c r="M31" i="2"/>
  <c r="L24" i="2"/>
  <c r="L78" i="2" s="1"/>
  <c r="L373" i="2" s="1"/>
  <c r="BD381" i="2"/>
  <c r="BD241" i="2"/>
  <c r="BD239" i="2"/>
  <c r="BD246" i="2"/>
  <c r="M17" i="2"/>
  <c r="M19" i="2" s="1"/>
  <c r="L11" i="2"/>
  <c r="M115" i="2"/>
  <c r="N70" i="2"/>
  <c r="M36" i="2"/>
  <c r="L160" i="2"/>
  <c r="O136" i="2"/>
  <c r="L103" i="2"/>
  <c r="O97" i="2"/>
  <c r="J394" i="2"/>
  <c r="J419" i="2" s="1"/>
  <c r="M70" i="2"/>
  <c r="M66" i="2"/>
  <c r="M67" i="2" s="1"/>
  <c r="N46" i="2"/>
  <c r="L38" i="2"/>
  <c r="M33" i="2"/>
  <c r="L26" i="2"/>
  <c r="L382" i="2" s="1"/>
  <c r="N18" i="2"/>
  <c r="J102" i="2"/>
  <c r="L111" i="2"/>
  <c r="L121" i="2" s="1"/>
  <c r="L126" i="2" s="1"/>
  <c r="K117" i="2"/>
  <c r="K122" i="2" s="1"/>
  <c r="K127" i="2" s="1"/>
  <c r="N129" i="2"/>
  <c r="J133" i="2"/>
  <c r="L138" i="2"/>
  <c r="E147" i="2"/>
  <c r="E148" i="2" s="1"/>
  <c r="M158" i="2"/>
  <c r="M250" i="2" s="1"/>
  <c r="L97" i="2"/>
  <c r="M103" i="2"/>
  <c r="L106" i="2"/>
  <c r="M117" i="2"/>
  <c r="J131" i="2"/>
  <c r="L140" i="2"/>
  <c r="M146" i="2"/>
  <c r="L164" i="2"/>
  <c r="M97" i="2"/>
  <c r="J103" i="2"/>
  <c r="J117" i="2"/>
  <c r="J122" i="2" s="1"/>
  <c r="J127" i="2" s="1"/>
  <c r="J130" i="2"/>
  <c r="M133" i="2"/>
  <c r="N139" i="2"/>
  <c r="F146" i="2"/>
  <c r="H147" i="2"/>
  <c r="H148" i="2" s="1"/>
  <c r="N160" i="2"/>
  <c r="M172" i="2"/>
  <c r="N176" i="2"/>
  <c r="L177" i="2"/>
  <c r="K178" i="2"/>
  <c r="K427" i="2" s="1"/>
  <c r="L172" i="2"/>
  <c r="M176" i="2"/>
  <c r="N180" i="2"/>
  <c r="L163" i="2"/>
  <c r="M170" i="2"/>
  <c r="M251" i="2" s="1"/>
  <c r="N177" i="2"/>
  <c r="N427" i="2" s="1"/>
  <c r="N261" i="2"/>
  <c r="F331" i="2"/>
  <c r="D343" i="2"/>
  <c r="D348" i="2" s="1"/>
  <c r="D328" i="2"/>
  <c r="J331" i="2"/>
  <c r="J339" i="2" s="1"/>
  <c r="G355" i="2"/>
  <c r="G367" i="2" s="1"/>
  <c r="G366" i="2" s="1"/>
  <c r="C344" i="2"/>
  <c r="C349" i="2" s="1"/>
  <c r="K355" i="2"/>
  <c r="G344" i="2"/>
  <c r="G329" i="2"/>
  <c r="G331" i="2"/>
  <c r="G339" i="2" s="1"/>
  <c r="E343" i="2"/>
  <c r="G345" i="2"/>
  <c r="H355" i="2"/>
  <c r="H367" i="2" s="1"/>
  <c r="H366" i="2" s="1"/>
  <c r="H329" i="2"/>
  <c r="H336" i="2" s="1"/>
  <c r="H337" i="2" s="1"/>
  <c r="D331" i="2"/>
  <c r="D339" i="2" s="1"/>
  <c r="J332" i="2"/>
  <c r="I344" i="2"/>
  <c r="I349" i="2" s="1"/>
  <c r="H352" i="2"/>
  <c r="H357" i="2" s="1"/>
  <c r="G328" i="2"/>
  <c r="C330" i="2"/>
  <c r="C338" i="2" s="1"/>
  <c r="I331" i="2"/>
  <c r="I339" i="2" s="1"/>
  <c r="G343" i="2"/>
  <c r="E345" i="2"/>
  <c r="J352" i="2"/>
  <c r="J357" i="2" s="1"/>
  <c r="D375" i="2"/>
  <c r="J375" i="2"/>
  <c r="J377" i="2" s="1"/>
  <c r="J132" i="2"/>
  <c r="M38" i="2"/>
  <c r="BH282" i="2"/>
  <c r="BL57" i="2"/>
  <c r="BL17" i="2"/>
  <c r="BL111" i="2" s="1"/>
  <c r="BL121" i="2" s="1"/>
  <c r="BL126" i="2" s="1"/>
  <c r="BD52" i="2"/>
  <c r="BD27" i="2"/>
  <c r="BD55" i="2"/>
  <c r="BH52" i="2"/>
  <c r="BH27" i="2"/>
  <c r="BH55" i="2"/>
  <c r="BA367" i="2"/>
  <c r="BA364" i="2"/>
  <c r="BA363" i="2"/>
  <c r="BA362" i="2"/>
  <c r="BI221" i="2"/>
  <c r="BI220" i="2"/>
  <c r="BJ30" i="2"/>
  <c r="L67" i="2"/>
  <c r="K87" i="2"/>
  <c r="K84" i="2"/>
  <c r="K357" i="2"/>
  <c r="H340" i="2"/>
  <c r="H364" i="2"/>
  <c r="I340" i="2"/>
  <c r="D336" i="2"/>
  <c r="D337" i="2" s="1"/>
  <c r="F364" i="2"/>
  <c r="C353" i="2"/>
  <c r="J349" i="2"/>
  <c r="BI315" i="2"/>
  <c r="BG315" i="2"/>
  <c r="BG316" i="2" s="1"/>
  <c r="BM293" i="2"/>
  <c r="BL293" i="2"/>
  <c r="BN263" i="2"/>
  <c r="BN261" i="2"/>
  <c r="BM176" i="2"/>
  <c r="AW220" i="2"/>
  <c r="AW221" i="2"/>
  <c r="BG215" i="2"/>
  <c r="BH221" i="2"/>
  <c r="BH220" i="2"/>
  <c r="BH61" i="2"/>
  <c r="BI61" i="2"/>
  <c r="BD221" i="2"/>
  <c r="BD220" i="2"/>
  <c r="BD61" i="2"/>
  <c r="BE61" i="2"/>
  <c r="BJ256" i="2"/>
  <c r="BJ193" i="2"/>
  <c r="BK191" i="2"/>
  <c r="BE221" i="2"/>
  <c r="BE220" i="2"/>
  <c r="BF61" i="2"/>
  <c r="BH99" i="2"/>
  <c r="BG98" i="2"/>
  <c r="BO106" i="2"/>
  <c r="BO170" i="2" s="1"/>
  <c r="BP102" i="2"/>
  <c r="AX401" i="2"/>
  <c r="AX402" i="2"/>
  <c r="AT401" i="2"/>
  <c r="AT402" i="2"/>
  <c r="AP402" i="2"/>
  <c r="AP401" i="2"/>
  <c r="AL401" i="2"/>
  <c r="AL402" i="2"/>
  <c r="AH402" i="2"/>
  <c r="AH401" i="2"/>
  <c r="AD402" i="2"/>
  <c r="AD401" i="2"/>
  <c r="Z402" i="2"/>
  <c r="Z401" i="2"/>
  <c r="V401" i="2"/>
  <c r="V402" i="2"/>
  <c r="BH100" i="2"/>
  <c r="O407" i="2"/>
  <c r="K52" i="2"/>
  <c r="K27" i="2"/>
  <c r="BF282" i="2"/>
  <c r="M380" i="2"/>
  <c r="M92" i="2"/>
  <c r="M125" i="2"/>
  <c r="M79" i="2" s="1"/>
  <c r="M50" i="2"/>
  <c r="M13" i="2"/>
  <c r="M76" i="2"/>
  <c r="N74" i="2"/>
  <c r="N51" i="2"/>
  <c r="D146" i="2"/>
  <c r="N132" i="2"/>
  <c r="M104" i="2"/>
  <c r="K70" i="2"/>
  <c r="L69" i="2"/>
  <c r="L72" i="2" s="1"/>
  <c r="K39" i="2"/>
  <c r="N36" i="2"/>
  <c r="M23" i="2"/>
  <c r="N137" i="2"/>
  <c r="J66" i="2"/>
  <c r="J67" i="2" s="1"/>
  <c r="BC55" i="2"/>
  <c r="BC52" i="2"/>
  <c r="BC27" i="2"/>
  <c r="N147" i="2"/>
  <c r="N148" i="2" s="1"/>
  <c r="O133" i="2"/>
  <c r="BC87" i="2"/>
  <c r="BC84" i="2"/>
  <c r="M73" i="2"/>
  <c r="M74" i="2" s="1"/>
  <c r="J46" i="2"/>
  <c r="O37" i="2"/>
  <c r="BB52" i="2"/>
  <c r="BB27" i="2"/>
  <c r="BB55" i="2"/>
  <c r="O31" i="2"/>
  <c r="N24" i="2"/>
  <c r="J382" i="2"/>
  <c r="N97" i="2"/>
  <c r="N102" i="2"/>
  <c r="J106" i="2"/>
  <c r="M112" i="2"/>
  <c r="M121" i="2"/>
  <c r="K130" i="2"/>
  <c r="N133" i="2"/>
  <c r="N140" i="2"/>
  <c r="C146" i="2"/>
  <c r="I147" i="2"/>
  <c r="I148" i="2" s="1"/>
  <c r="L159" i="2"/>
  <c r="J104" i="2"/>
  <c r="N131" i="2"/>
  <c r="L136" i="2"/>
  <c r="N142" i="2"/>
  <c r="C147" i="2"/>
  <c r="C148" i="2" s="1"/>
  <c r="M168" i="2"/>
  <c r="N98" i="2"/>
  <c r="N103" i="2"/>
  <c r="L110" i="2"/>
  <c r="L120" i="2" s="1"/>
  <c r="N117" i="2"/>
  <c r="N130" i="2"/>
  <c r="M140" i="2"/>
  <c r="J146" i="2"/>
  <c r="L147" i="2"/>
  <c r="L148" i="2" s="1"/>
  <c r="L165" i="2"/>
  <c r="M173" i="2"/>
  <c r="M163" i="2"/>
  <c r="L178" i="2"/>
  <c r="N161" i="2"/>
  <c r="L173" i="2"/>
  <c r="M177" i="2"/>
  <c r="J261" i="2"/>
  <c r="N173" i="2"/>
  <c r="M178" i="2"/>
  <c r="H375" i="2"/>
  <c r="L261" i="2"/>
  <c r="L264" i="2" s="1"/>
  <c r="M261" i="2"/>
  <c r="K344" i="2"/>
  <c r="H343" i="2"/>
  <c r="L328" i="2"/>
  <c r="J345" i="2"/>
  <c r="J350" i="2" s="1"/>
  <c r="F329" i="2"/>
  <c r="F336" i="2" s="1"/>
  <c r="F337" i="2" s="1"/>
  <c r="E328" i="2"/>
  <c r="K329" i="2"/>
  <c r="K331" i="2"/>
  <c r="I343" i="2"/>
  <c r="K345" i="2"/>
  <c r="F328" i="2"/>
  <c r="L329" i="2"/>
  <c r="H331" i="2"/>
  <c r="H339" i="2" s="1"/>
  <c r="F343" i="2"/>
  <c r="D345" i="2"/>
  <c r="D350" i="2" s="1"/>
  <c r="I355" i="2"/>
  <c r="I367" i="2" s="1"/>
  <c r="I366" i="2" s="1"/>
  <c r="K328" i="2"/>
  <c r="K340" i="2" s="1"/>
  <c r="G330" i="2"/>
  <c r="G338" i="2" s="1"/>
  <c r="C332" i="2"/>
  <c r="C340" i="2" s="1"/>
  <c r="K343" i="2"/>
  <c r="I345" i="2"/>
  <c r="I350" i="2" s="1"/>
  <c r="J354" i="2"/>
  <c r="J366" i="2" s="1"/>
  <c r="E375" i="2"/>
  <c r="E377" i="2" s="1"/>
  <c r="G375" i="2"/>
  <c r="G377" i="2" s="1"/>
  <c r="BJ257" i="2"/>
  <c r="M22" i="2"/>
  <c r="BG384" i="2"/>
  <c r="BG229" i="2"/>
  <c r="BG228" i="2"/>
  <c r="BG94" i="2"/>
  <c r="BG89" i="2"/>
  <c r="BG29" i="2"/>
  <c r="BG80" i="2"/>
  <c r="BG58" i="2"/>
  <c r="BM23" i="2"/>
  <c r="BN12" i="2"/>
  <c r="BI55" i="2"/>
  <c r="BI52" i="2"/>
  <c r="BI27" i="2"/>
  <c r="M381" i="2" l="1"/>
  <c r="M84" i="2"/>
  <c r="M87" i="2"/>
  <c r="K349" i="2"/>
  <c r="BH223" i="2"/>
  <c r="BH222" i="2"/>
  <c r="BD388" i="2"/>
  <c r="BD389" i="2" s="1"/>
  <c r="BD383" i="2"/>
  <c r="BD391" i="2" s="1"/>
  <c r="BD397" i="2"/>
  <c r="BL72" i="2"/>
  <c r="BM69" i="2"/>
  <c r="BK303" i="2"/>
  <c r="BJ305" i="2"/>
  <c r="BI384" i="2"/>
  <c r="BI229" i="2"/>
  <c r="BI228" i="2"/>
  <c r="BI94" i="2"/>
  <c r="BI89" i="2"/>
  <c r="BI80" i="2"/>
  <c r="BI58" i="2"/>
  <c r="BI29" i="2"/>
  <c r="BM57" i="2"/>
  <c r="BM17" i="2"/>
  <c r="BM111" i="2" s="1"/>
  <c r="BM121" i="2" s="1"/>
  <c r="BM126" i="2" s="1"/>
  <c r="N23" i="2"/>
  <c r="BG278" i="2"/>
  <c r="BG279" i="2" s="1"/>
  <c r="BG230" i="2"/>
  <c r="BG95" i="2"/>
  <c r="BG59" i="2"/>
  <c r="BG90" i="2"/>
  <c r="BG153" i="2"/>
  <c r="BG32" i="2"/>
  <c r="F348" i="2"/>
  <c r="F369" i="2"/>
  <c r="F361" i="2"/>
  <c r="K350" i="2"/>
  <c r="E376" i="2"/>
  <c r="E353" i="2"/>
  <c r="E358" i="2" s="1"/>
  <c r="E335" i="2"/>
  <c r="H348" i="2"/>
  <c r="H369" i="2"/>
  <c r="H361" i="2"/>
  <c r="H377" i="2"/>
  <c r="BB384" i="2"/>
  <c r="BB58" i="2"/>
  <c r="BB29" i="2"/>
  <c r="BB80" i="2"/>
  <c r="M405" i="2"/>
  <c r="M401" i="2"/>
  <c r="M396" i="2"/>
  <c r="M397" i="2"/>
  <c r="M383" i="2"/>
  <c r="BL191" i="2"/>
  <c r="BO263" i="2"/>
  <c r="BO261" i="2" s="1"/>
  <c r="BN176" i="2"/>
  <c r="BI223" i="2"/>
  <c r="BI226" i="2"/>
  <c r="BI222" i="2"/>
  <c r="BI225" i="2"/>
  <c r="BH384" i="2"/>
  <c r="BH228" i="2"/>
  <c r="BH229" i="2"/>
  <c r="BH94" i="2"/>
  <c r="BH89" i="2"/>
  <c r="BH58" i="2"/>
  <c r="BH80" i="2"/>
  <c r="BH29" i="2"/>
  <c r="E350" i="2"/>
  <c r="G376" i="2"/>
  <c r="G370" i="2"/>
  <c r="G362" i="2"/>
  <c r="G363" i="2"/>
  <c r="G353" i="2"/>
  <c r="G358" i="2" s="1"/>
  <c r="G335" i="2"/>
  <c r="E348" i="2"/>
  <c r="K367" i="2"/>
  <c r="K394" i="2"/>
  <c r="D376" i="2"/>
  <c r="D353" i="2"/>
  <c r="D358" i="2" s="1"/>
  <c r="D335" i="2"/>
  <c r="BN293" i="2"/>
  <c r="BL76" i="2"/>
  <c r="BK66" i="2"/>
  <c r="BK67" i="2" s="1"/>
  <c r="BK50" i="2" s="1"/>
  <c r="BK11" i="2" s="1"/>
  <c r="BE55" i="2"/>
  <c r="BE52" i="2"/>
  <c r="BE27" i="2"/>
  <c r="BH225" i="2" s="1"/>
  <c r="E336" i="2"/>
  <c r="E337" i="2" s="1"/>
  <c r="D349" i="2"/>
  <c r="H376" i="2"/>
  <c r="H363" i="2"/>
  <c r="H370" i="2"/>
  <c r="H353" i="2"/>
  <c r="H335" i="2"/>
  <c r="H362" i="2"/>
  <c r="L381" i="2"/>
  <c r="BR71" i="2"/>
  <c r="BQ18" i="2"/>
  <c r="BQ148" i="2"/>
  <c r="BQ99" i="2"/>
  <c r="O71" i="2"/>
  <c r="BK246" i="2"/>
  <c r="AZ264" i="2"/>
  <c r="AY262" i="2"/>
  <c r="BP300" i="2"/>
  <c r="BO322" i="2"/>
  <c r="BR53" i="2"/>
  <c r="G357" i="2"/>
  <c r="BE388" i="2"/>
  <c r="BE389" i="2" s="1"/>
  <c r="BE397" i="2"/>
  <c r="BE383" i="2"/>
  <c r="BE391" i="2" s="1"/>
  <c r="K181" i="2"/>
  <c r="M93" i="2"/>
  <c r="M88" i="2"/>
  <c r="M78" i="2"/>
  <c r="M373" i="2" s="1"/>
  <c r="M56" i="2"/>
  <c r="M53" i="2"/>
  <c r="M25" i="2"/>
  <c r="I369" i="2"/>
  <c r="I361" i="2"/>
  <c r="I348" i="2"/>
  <c r="BJ272" i="2"/>
  <c r="BJ258" i="2"/>
  <c r="BK28" i="2"/>
  <c r="AW222" i="2"/>
  <c r="AW223" i="2"/>
  <c r="BD384" i="2"/>
  <c r="BD228" i="2"/>
  <c r="BD229" i="2"/>
  <c r="BD94" i="2"/>
  <c r="BD89" i="2"/>
  <c r="BD80" i="2"/>
  <c r="BD58" i="2"/>
  <c r="BD29" i="2"/>
  <c r="BG225" i="2"/>
  <c r="G348" i="2"/>
  <c r="G369" i="2"/>
  <c r="G361" i="2"/>
  <c r="M254" i="2"/>
  <c r="M231" i="2" s="1"/>
  <c r="M253" i="2"/>
  <c r="BI324" i="2"/>
  <c r="BI325" i="2" s="1"/>
  <c r="BI316" i="2"/>
  <c r="BJ380" i="2"/>
  <c r="BJ92" i="2"/>
  <c r="BJ87" i="2"/>
  <c r="BJ13" i="2"/>
  <c r="BJ22" i="2"/>
  <c r="BP137" i="2"/>
  <c r="BP24" i="2"/>
  <c r="BP115" i="2"/>
  <c r="K369" i="2"/>
  <c r="K348" i="2"/>
  <c r="K361" i="2"/>
  <c r="K339" i="2"/>
  <c r="M54" i="2"/>
  <c r="M57" i="2"/>
  <c r="M372" i="2"/>
  <c r="BO251" i="2"/>
  <c r="BE225" i="2"/>
  <c r="BE223" i="2"/>
  <c r="BE222" i="2"/>
  <c r="I364" i="2"/>
  <c r="D377" i="2"/>
  <c r="G336" i="2"/>
  <c r="G337" i="2" s="1"/>
  <c r="F339" i="2"/>
  <c r="M106" i="2"/>
  <c r="L380" i="2"/>
  <c r="L92" i="2"/>
  <c r="L76" i="2"/>
  <c r="L50" i="2"/>
  <c r="L13" i="2"/>
  <c r="L125" i="2"/>
  <c r="L79" i="2" s="1"/>
  <c r="K67" i="2"/>
  <c r="BO168" i="2"/>
  <c r="BP197" i="2"/>
  <c r="BI251" i="2"/>
  <c r="BI106" i="2"/>
  <c r="BI105" i="2" s="1"/>
  <c r="M105" i="2" s="1"/>
  <c r="BN323" i="2"/>
  <c r="E339" i="2"/>
  <c r="D340" i="2"/>
  <c r="L56" i="2"/>
  <c r="L53" i="2"/>
  <c r="BK394" i="2"/>
  <c r="BL82" i="2"/>
  <c r="BK85" i="2"/>
  <c r="BK83" i="2" s="1"/>
  <c r="BK84" i="2" s="1"/>
  <c r="BI171" i="2"/>
  <c r="BI181" i="2" s="1"/>
  <c r="BI182" i="2" s="1"/>
  <c r="BN60" i="2"/>
  <c r="I377" i="2"/>
  <c r="G364" i="2"/>
  <c r="G340" i="2"/>
  <c r="J376" i="2"/>
  <c r="J380" i="2"/>
  <c r="J388" i="2" s="1"/>
  <c r="J389" i="2" s="1"/>
  <c r="J335" i="2"/>
  <c r="J370" i="2"/>
  <c r="J362" i="2"/>
  <c r="J353" i="2"/>
  <c r="J358" i="2" s="1"/>
  <c r="J363" i="2"/>
  <c r="J360" i="2"/>
  <c r="E338" i="2"/>
  <c r="H338" i="2"/>
  <c r="M126" i="2"/>
  <c r="M51" i="2"/>
  <c r="M390" i="2"/>
  <c r="BK167" i="2"/>
  <c r="BL204" i="2"/>
  <c r="BO189" i="2"/>
  <c r="W4" i="2"/>
  <c r="V6" i="2"/>
  <c r="P427" i="2"/>
  <c r="D338" i="2"/>
  <c r="BI311" i="2"/>
  <c r="BI312" i="2" s="1"/>
  <c r="BG398" i="2"/>
  <c r="BG392" i="2"/>
  <c r="K376" i="2"/>
  <c r="K380" i="2"/>
  <c r="K370" i="2"/>
  <c r="K362" i="2"/>
  <c r="K353" i="2"/>
  <c r="K363" i="2"/>
  <c r="K360" i="2"/>
  <c r="K335" i="2"/>
  <c r="M427" i="2"/>
  <c r="BQ102" i="2"/>
  <c r="BP106" i="2"/>
  <c r="O102" i="2"/>
  <c r="BD225" i="2"/>
  <c r="BD223" i="2"/>
  <c r="BD222" i="2"/>
  <c r="L394" i="2"/>
  <c r="L419" i="2" s="1"/>
  <c r="L85" i="2"/>
  <c r="L83" i="2" s="1"/>
  <c r="L87" i="2" s="1"/>
  <c r="BO320" i="2"/>
  <c r="BO301" i="2"/>
  <c r="BP298" i="2"/>
  <c r="L27" i="2"/>
  <c r="L52" i="2"/>
  <c r="BF384" i="2"/>
  <c r="BF229" i="2"/>
  <c r="BF228" i="2"/>
  <c r="BF58" i="2"/>
  <c r="BF94" i="2"/>
  <c r="BF29" i="2"/>
  <c r="BF89" i="2"/>
  <c r="BF80" i="2"/>
  <c r="K377" i="2"/>
  <c r="J78" i="2"/>
  <c r="J373" i="2" s="1"/>
  <c r="J25" i="2"/>
  <c r="BJ111" i="2"/>
  <c r="N17" i="2"/>
  <c r="BF225" i="2"/>
  <c r="BF388" i="2"/>
  <c r="BF389" i="2" s="1"/>
  <c r="BF383" i="2"/>
  <c r="BF391" i="2" s="1"/>
  <c r="BF397" i="2"/>
  <c r="BH388" i="2"/>
  <c r="BH389" i="2" s="1"/>
  <c r="BH383" i="2"/>
  <c r="BH391" i="2" s="1"/>
  <c r="BH397" i="2"/>
  <c r="BO12" i="2"/>
  <c r="BN23" i="2"/>
  <c r="F376" i="2"/>
  <c r="F353" i="2"/>
  <c r="F335" i="2"/>
  <c r="F362" i="2"/>
  <c r="F363" i="2"/>
  <c r="F370" i="2"/>
  <c r="K336" i="2"/>
  <c r="K337" i="2" s="1"/>
  <c r="K381" i="2"/>
  <c r="K388" i="2" s="1"/>
  <c r="K389" i="2" s="1"/>
  <c r="BC384" i="2"/>
  <c r="BC94" i="2"/>
  <c r="BC89" i="2"/>
  <c r="BC58" i="2"/>
  <c r="BC29" i="2"/>
  <c r="BC80" i="2"/>
  <c r="M152" i="2"/>
  <c r="M127" i="2"/>
  <c r="K384" i="2"/>
  <c r="K229" i="2"/>
  <c r="K228" i="2"/>
  <c r="K94" i="2"/>
  <c r="K89" i="2"/>
  <c r="K80" i="2"/>
  <c r="K29" i="2"/>
  <c r="K58" i="2"/>
  <c r="BF98" i="2"/>
  <c r="BG99" i="2"/>
  <c r="BG100" i="2" s="1"/>
  <c r="F377" i="2"/>
  <c r="F340" i="2"/>
  <c r="J364" i="2"/>
  <c r="J340" i="2"/>
  <c r="G350" i="2"/>
  <c r="G349" i="2"/>
  <c r="L427" i="2"/>
  <c r="M252" i="2"/>
  <c r="L407" i="2"/>
  <c r="L415" i="2" s="1"/>
  <c r="L390" i="2"/>
  <c r="BE171" i="2"/>
  <c r="BE181" i="2" s="1"/>
  <c r="BE182" i="2" s="1"/>
  <c r="BH253" i="2"/>
  <c r="BH254" i="2"/>
  <c r="BH231" i="2" s="1"/>
  <c r="L93" i="2"/>
  <c r="BM210" i="2"/>
  <c r="K338" i="2"/>
  <c r="K382" i="2"/>
  <c r="K390" i="2" s="1"/>
  <c r="J369" i="2"/>
  <c r="J348" i="2"/>
  <c r="J361" i="2"/>
  <c r="I370" i="2"/>
  <c r="I376" i="2"/>
  <c r="I363" i="2"/>
  <c r="I353" i="2"/>
  <c r="I358" i="2" s="1"/>
  <c r="I335" i="2"/>
  <c r="I362" i="2"/>
  <c r="F350" i="2"/>
  <c r="M415" i="2"/>
  <c r="BI388" i="2"/>
  <c r="BI389" i="2" s="1"/>
  <c r="BI397" i="2"/>
  <c r="BI383" i="2"/>
  <c r="BI391" i="2" s="1"/>
  <c r="BP299" i="2"/>
  <c r="BO321" i="2"/>
  <c r="P407" i="2"/>
  <c r="P6" i="2"/>
  <c r="I357" i="2"/>
  <c r="E349" i="2"/>
  <c r="J336" i="2"/>
  <c r="J337" i="2" s="1"/>
  <c r="BK380" i="2" l="1"/>
  <c r="BK92" i="2"/>
  <c r="BK87" i="2"/>
  <c r="BK13" i="2"/>
  <c r="BK22" i="2"/>
  <c r="K398" i="2"/>
  <c r="K392" i="2"/>
  <c r="BO293" i="2"/>
  <c r="BJ245" i="2"/>
  <c r="BJ152" i="2"/>
  <c r="BJ49" i="2"/>
  <c r="BJ253" i="2"/>
  <c r="BJ247" i="2"/>
  <c r="BJ252" i="2"/>
  <c r="BD398" i="2"/>
  <c r="BD392" i="2"/>
  <c r="L388" i="2"/>
  <c r="L389" i="2" s="1"/>
  <c r="L406" i="2"/>
  <c r="L413" i="2" s="1"/>
  <c r="L414" i="2" s="1"/>
  <c r="M408" i="2"/>
  <c r="M416" i="2" s="1"/>
  <c r="M391" i="2"/>
  <c r="BC153" i="2"/>
  <c r="BC59" i="2"/>
  <c r="BC95" i="2"/>
  <c r="BC90" i="2"/>
  <c r="BC32" i="2"/>
  <c r="BC398" i="2"/>
  <c r="BC392" i="2"/>
  <c r="BF398" i="2"/>
  <c r="BF392" i="2"/>
  <c r="BP320" i="2"/>
  <c r="BP301" i="2"/>
  <c r="BQ298" i="2"/>
  <c r="K358" i="2"/>
  <c r="BJ315" i="2"/>
  <c r="BJ203" i="2" s="1"/>
  <c r="BQ197" i="2"/>
  <c r="BP168" i="2"/>
  <c r="BK158" i="2"/>
  <c r="O99" i="2"/>
  <c r="BQ100" i="2"/>
  <c r="O100" i="2" s="1"/>
  <c r="BR148" i="2"/>
  <c r="BS71" i="2"/>
  <c r="BR18" i="2"/>
  <c r="BR99" i="2"/>
  <c r="H358" i="2"/>
  <c r="BB153" i="2"/>
  <c r="BB32" i="2"/>
  <c r="BB59" i="2"/>
  <c r="BG34" i="2"/>
  <c r="BG62" i="2"/>
  <c r="BM72" i="2"/>
  <c r="BN69" i="2"/>
  <c r="N69" i="2"/>
  <c r="N72" i="2" s="1"/>
  <c r="BE98" i="2"/>
  <c r="BF99" i="2"/>
  <c r="M98" i="2"/>
  <c r="L127" i="2"/>
  <c r="L152" i="2"/>
  <c r="L49" i="2"/>
  <c r="L253" i="2"/>
  <c r="L252" i="2"/>
  <c r="BL246" i="2"/>
  <c r="K423" i="2"/>
  <c r="K421" i="2"/>
  <c r="K419" i="2"/>
  <c r="K422" i="2"/>
  <c r="BP263" i="2"/>
  <c r="BP261" i="2" s="1"/>
  <c r="BO176" i="2"/>
  <c r="BP321" i="2"/>
  <c r="BQ299" i="2"/>
  <c r="M49" i="2"/>
  <c r="BN17" i="2"/>
  <c r="BN57" i="2"/>
  <c r="J55" i="2"/>
  <c r="J52" i="2"/>
  <c r="J27" i="2"/>
  <c r="K55" i="2"/>
  <c r="L384" i="2"/>
  <c r="L228" i="2"/>
  <c r="L229" i="2"/>
  <c r="L94" i="2"/>
  <c r="L89" i="2"/>
  <c r="L80" i="2"/>
  <c r="L29" i="2"/>
  <c r="L58" i="2"/>
  <c r="BO323" i="2"/>
  <c r="BK315" i="2" s="1"/>
  <c r="BK203" i="2" s="1"/>
  <c r="BD226" i="2"/>
  <c r="BP170" i="2"/>
  <c r="X4" i="2"/>
  <c r="W6" i="2"/>
  <c r="BM204" i="2"/>
  <c r="BL167" i="2"/>
  <c r="BL394" i="2"/>
  <c r="BM82" i="2"/>
  <c r="BL85" i="2"/>
  <c r="BL83" i="2" s="1"/>
  <c r="BL84" i="2" s="1"/>
  <c r="L405" i="2"/>
  <c r="L401" i="2"/>
  <c r="L396" i="2"/>
  <c r="L387" i="2"/>
  <c r="L397" i="2"/>
  <c r="L383" i="2"/>
  <c r="BD278" i="2"/>
  <c r="BD279" i="2" s="1"/>
  <c r="BD230" i="2"/>
  <c r="BD153" i="2"/>
  <c r="BD95" i="2"/>
  <c r="BD90" i="2"/>
  <c r="BD59" i="2"/>
  <c r="BD32" i="2"/>
  <c r="BS53" i="2"/>
  <c r="AY264" i="2"/>
  <c r="AX262" i="2"/>
  <c r="BQ137" i="2"/>
  <c r="BQ142" i="2" s="1"/>
  <c r="BQ115" i="2"/>
  <c r="BQ117" i="2" s="1"/>
  <c r="BQ24" i="2"/>
  <c r="O24" i="2" s="1"/>
  <c r="O18" i="2"/>
  <c r="BE384" i="2"/>
  <c r="BE229" i="2"/>
  <c r="BE228" i="2"/>
  <c r="BE94" i="2"/>
  <c r="BE89" i="2"/>
  <c r="BE80" i="2"/>
  <c r="BE58" i="2"/>
  <c r="BE29" i="2"/>
  <c r="BM76" i="2"/>
  <c r="BL66" i="2"/>
  <c r="BL67" i="2" s="1"/>
  <c r="BL50" i="2" s="1"/>
  <c r="BL11" i="2" s="1"/>
  <c r="BH398" i="2"/>
  <c r="BH392" i="2"/>
  <c r="M421" i="2"/>
  <c r="M412" i="2"/>
  <c r="BB398" i="2"/>
  <c r="BB392" i="2"/>
  <c r="BG283" i="2"/>
  <c r="BG280" i="2"/>
  <c r="BI278" i="2"/>
  <c r="BI279" i="2" s="1"/>
  <c r="BI230" i="2"/>
  <c r="BI153" i="2"/>
  <c r="BI95" i="2"/>
  <c r="BI90" i="2"/>
  <c r="BI59" i="2"/>
  <c r="BI32" i="2"/>
  <c r="BN210" i="2"/>
  <c r="BJ121" i="2"/>
  <c r="N111" i="2"/>
  <c r="J401" i="2"/>
  <c r="J396" i="2"/>
  <c r="J397" i="2"/>
  <c r="J383" i="2"/>
  <c r="J391" i="2" s="1"/>
  <c r="BP142" i="2"/>
  <c r="O142" i="2" s="1"/>
  <c r="O137" i="2"/>
  <c r="BJ387" i="2"/>
  <c r="BJ396" i="2"/>
  <c r="BJ390" i="2"/>
  <c r="BP322" i="2"/>
  <c r="BQ300" i="2"/>
  <c r="BI398" i="2"/>
  <c r="BI392" i="2"/>
  <c r="K278" i="2"/>
  <c r="K279" i="2" s="1"/>
  <c r="K230" i="2"/>
  <c r="K153" i="2"/>
  <c r="K95" i="2"/>
  <c r="K90" i="2"/>
  <c r="K32" i="2"/>
  <c r="K59" i="2"/>
  <c r="F358" i="2"/>
  <c r="BO23" i="2"/>
  <c r="BP12" i="2"/>
  <c r="BF278" i="2"/>
  <c r="BF279" i="2" s="1"/>
  <c r="BF230" i="2"/>
  <c r="BF153" i="2"/>
  <c r="BF95" i="2"/>
  <c r="BF90" i="2"/>
  <c r="BF32" i="2"/>
  <c r="BF59" i="2"/>
  <c r="L55" i="2"/>
  <c r="L84" i="2"/>
  <c r="L88" i="2"/>
  <c r="BR102" i="2"/>
  <c r="BQ106" i="2"/>
  <c r="BQ170" i="2" s="1"/>
  <c r="BQ251" i="2" s="1"/>
  <c r="K417" i="2"/>
  <c r="K415" i="2"/>
  <c r="K397" i="2"/>
  <c r="K383" i="2"/>
  <c r="K391" i="2" s="1"/>
  <c r="K413" i="2"/>
  <c r="K414" i="2" s="1"/>
  <c r="K401" i="2"/>
  <c r="K387" i="2"/>
  <c r="K396" i="2"/>
  <c r="K416" i="2"/>
  <c r="BP189" i="2"/>
  <c r="BO60" i="2"/>
  <c r="BI254" i="2"/>
  <c r="BI231" i="2" s="1"/>
  <c r="BI253" i="2"/>
  <c r="L372" i="2"/>
  <c r="L77" i="2"/>
  <c r="M77" i="2"/>
  <c r="BP117" i="2"/>
  <c r="O117" i="2" s="1"/>
  <c r="O115" i="2"/>
  <c r="BJ93" i="2"/>
  <c r="BJ88" i="2"/>
  <c r="BJ16" i="2"/>
  <c r="BJ56" i="2"/>
  <c r="BJ25" i="2"/>
  <c r="BJ78" i="2"/>
  <c r="M55" i="2"/>
  <c r="M27" i="2"/>
  <c r="M52" i="2"/>
  <c r="O148" i="2"/>
  <c r="O74" i="2"/>
  <c r="BH278" i="2"/>
  <c r="BH279" i="2" s="1"/>
  <c r="BH230" i="2"/>
  <c r="BH153" i="2"/>
  <c r="BH95" i="2"/>
  <c r="BH90" i="2"/>
  <c r="BH32" i="2"/>
  <c r="BH59" i="2"/>
  <c r="BM191" i="2"/>
  <c r="M387" i="2"/>
  <c r="J390" i="2"/>
  <c r="N54" i="2"/>
  <c r="N57" i="2"/>
  <c r="BK305" i="2"/>
  <c r="BL303" i="2"/>
  <c r="M406" i="2"/>
  <c r="M413" i="2" s="1"/>
  <c r="M414" i="2" s="1"/>
  <c r="M388" i="2"/>
  <c r="M389" i="2" s="1"/>
  <c r="BL380" i="2" l="1"/>
  <c r="BL13" i="2"/>
  <c r="BL92" i="2"/>
  <c r="BL22" i="2"/>
  <c r="BL87" i="2"/>
  <c r="L422" i="2"/>
  <c r="L421" i="2"/>
  <c r="L412" i="2"/>
  <c r="BN72" i="2"/>
  <c r="BO69" i="2"/>
  <c r="BK49" i="2"/>
  <c r="BK152" i="2"/>
  <c r="BK253" i="2"/>
  <c r="BK245" i="2"/>
  <c r="BK247" i="2"/>
  <c r="BH283" i="2"/>
  <c r="BH280" i="2"/>
  <c r="BJ110" i="2"/>
  <c r="BJ19" i="2"/>
  <c r="BF283" i="2"/>
  <c r="BF280" i="2"/>
  <c r="BI283" i="2"/>
  <c r="BI280" i="2"/>
  <c r="BE278" i="2"/>
  <c r="BE279" i="2" s="1"/>
  <c r="BE230" i="2"/>
  <c r="BE153" i="2"/>
  <c r="BE95" i="2"/>
  <c r="BE90" i="2"/>
  <c r="BE59" i="2"/>
  <c r="BE32" i="2"/>
  <c r="BH226" i="2"/>
  <c r="BE226" i="2"/>
  <c r="AX264" i="2"/>
  <c r="AW262" i="2"/>
  <c r="K262" i="2"/>
  <c r="BG226" i="2"/>
  <c r="L408" i="2"/>
  <c r="L416" i="2" s="1"/>
  <c r="L391" i="2"/>
  <c r="L230" i="2"/>
  <c r="L278" i="2"/>
  <c r="L279" i="2" s="1"/>
  <c r="L153" i="2"/>
  <c r="L95" i="2"/>
  <c r="L90" i="2"/>
  <c r="L32" i="2"/>
  <c r="L59" i="2"/>
  <c r="J384" i="2"/>
  <c r="J228" i="2"/>
  <c r="J229" i="2"/>
  <c r="J94" i="2"/>
  <c r="J89" i="2"/>
  <c r="J80" i="2"/>
  <c r="J29" i="2"/>
  <c r="J58" i="2"/>
  <c r="BG284" i="2"/>
  <c r="BG63" i="2"/>
  <c r="BG43" i="2"/>
  <c r="BG1" i="2" s="1"/>
  <c r="BG41" i="2"/>
  <c r="BK250" i="2"/>
  <c r="BK192" i="2"/>
  <c r="BF226" i="2"/>
  <c r="BK93" i="2"/>
  <c r="BK88" i="2"/>
  <c r="BK56" i="2"/>
  <c r="BK25" i="2"/>
  <c r="BK16" i="2"/>
  <c r="BK78" i="2"/>
  <c r="BQ189" i="2"/>
  <c r="BD62" i="2"/>
  <c r="BD34" i="2"/>
  <c r="BQ320" i="2"/>
  <c r="BQ301" i="2"/>
  <c r="BR298" i="2"/>
  <c r="M384" i="2"/>
  <c r="M229" i="2"/>
  <c r="M228" i="2"/>
  <c r="M89" i="2"/>
  <c r="M58" i="2"/>
  <c r="M94" i="2"/>
  <c r="M80" i="2"/>
  <c r="M29" i="2"/>
  <c r="BJ52" i="2"/>
  <c r="BJ27" i="2"/>
  <c r="BJ55" i="2"/>
  <c r="BR106" i="2"/>
  <c r="BS102" i="2"/>
  <c r="BO57" i="2"/>
  <c r="BO17" i="2"/>
  <c r="BO111" i="2" s="1"/>
  <c r="BO121" i="2" s="1"/>
  <c r="BO126" i="2" s="1"/>
  <c r="K62" i="2"/>
  <c r="K34" i="2"/>
  <c r="BQ322" i="2"/>
  <c r="BR300" i="2"/>
  <c r="BJ126" i="2"/>
  <c r="N121" i="2"/>
  <c r="N126" i="2" s="1"/>
  <c r="BI34" i="2"/>
  <c r="BI62" i="2"/>
  <c r="BN204" i="2"/>
  <c r="BM167" i="2"/>
  <c r="O106" i="2"/>
  <c r="L409" i="2"/>
  <c r="L398" i="2"/>
  <c r="L392" i="2"/>
  <c r="M99" i="2"/>
  <c r="BF100" i="2"/>
  <c r="M100" i="2" s="1"/>
  <c r="BB34" i="2"/>
  <c r="BB62" i="2"/>
  <c r="BR100" i="2"/>
  <c r="BP293" i="2"/>
  <c r="BK387" i="2"/>
  <c r="BK396" i="2"/>
  <c r="BK390" i="2"/>
  <c r="BQ12" i="2"/>
  <c r="BP23" i="2"/>
  <c r="Y4" i="2"/>
  <c r="X6" i="2"/>
  <c r="BN111" i="2"/>
  <c r="BM246" i="2"/>
  <c r="BS148" i="2"/>
  <c r="BT71" i="2"/>
  <c r="BS18" i="2"/>
  <c r="BS99" i="2"/>
  <c r="BS100" i="2" s="1"/>
  <c r="BC34" i="2"/>
  <c r="BC62" i="2"/>
  <c r="BL305" i="2"/>
  <c r="BM303" i="2"/>
  <c r="BN191" i="2"/>
  <c r="BH62" i="2"/>
  <c r="BH34" i="2"/>
  <c r="BP60" i="2"/>
  <c r="BF34" i="2"/>
  <c r="BF62" i="2"/>
  <c r="K280" i="2"/>
  <c r="BO210" i="2"/>
  <c r="M422" i="2"/>
  <c r="BM66" i="2"/>
  <c r="BN76" i="2"/>
  <c r="BE392" i="2"/>
  <c r="BE398" i="2"/>
  <c r="BT53" i="2"/>
  <c r="BD283" i="2"/>
  <c r="BD280" i="2"/>
  <c r="BM394" i="2"/>
  <c r="BM85" i="2"/>
  <c r="BM83" i="2" s="1"/>
  <c r="BM84" i="2" s="1"/>
  <c r="BN82" i="2"/>
  <c r="N82" i="2"/>
  <c r="BP251" i="2"/>
  <c r="O170" i="2"/>
  <c r="O251" i="2" s="1"/>
  <c r="BQ321" i="2"/>
  <c r="BR299" i="2"/>
  <c r="BQ263" i="2"/>
  <c r="BQ261" i="2"/>
  <c r="BP176" i="2"/>
  <c r="BE99" i="2"/>
  <c r="BE100" i="2" s="1"/>
  <c r="BD98" i="2"/>
  <c r="BR115" i="2"/>
  <c r="BR137" i="2"/>
  <c r="BR197" i="2"/>
  <c r="BQ168" i="2"/>
  <c r="BP323" i="2"/>
  <c r="BU53" i="2" l="1"/>
  <c r="BQ323" i="2"/>
  <c r="BD284" i="2"/>
  <c r="BD63" i="2"/>
  <c r="BD43" i="2"/>
  <c r="BD1" i="2" s="1"/>
  <c r="BD41" i="2"/>
  <c r="J230" i="2"/>
  <c r="J59" i="2"/>
  <c r="J153" i="2"/>
  <c r="J95" i="2"/>
  <c r="J32" i="2"/>
  <c r="J90" i="2"/>
  <c r="L34" i="2"/>
  <c r="L62" i="2"/>
  <c r="BJ120" i="2"/>
  <c r="BR321" i="2"/>
  <c r="BS299" i="2"/>
  <c r="BN66" i="2"/>
  <c r="BO76" i="2"/>
  <c r="BP210" i="2"/>
  <c r="BF284" i="2"/>
  <c r="BF43" i="2"/>
  <c r="BF1" i="2" s="1"/>
  <c r="BF41" i="2"/>
  <c r="BF63" i="2"/>
  <c r="BM305" i="2"/>
  <c r="BN303" i="2"/>
  <c r="BN121" i="2"/>
  <c r="BP17" i="2"/>
  <c r="BP57" i="2"/>
  <c r="BL315" i="2"/>
  <c r="BL203" i="2" s="1"/>
  <c r="BB43" i="2"/>
  <c r="BB1" i="2" s="1"/>
  <c r="BB41" i="2"/>
  <c r="BB63" i="2"/>
  <c r="BI284" i="2"/>
  <c r="BI41" i="2"/>
  <c r="BI63" i="2"/>
  <c r="BQ293" i="2"/>
  <c r="BR189" i="2"/>
  <c r="BK55" i="2"/>
  <c r="BK52" i="2"/>
  <c r="BK27" i="2"/>
  <c r="BG267" i="2"/>
  <c r="BG285" i="2"/>
  <c r="BG266" i="2"/>
  <c r="BG157" i="2"/>
  <c r="BG161" i="2" s="1"/>
  <c r="BG135" i="2"/>
  <c r="BG143" i="2" s="1"/>
  <c r="BG44" i="2"/>
  <c r="AW264" i="2"/>
  <c r="AV262" i="2"/>
  <c r="BE62" i="2"/>
  <c r="BE34" i="2"/>
  <c r="BJ381" i="2"/>
  <c r="BJ112" i="2"/>
  <c r="BJ202" i="2"/>
  <c r="BJ166" i="2" s="1"/>
  <c r="BR142" i="2"/>
  <c r="BM67" i="2"/>
  <c r="BM50" i="2" s="1"/>
  <c r="BM11" i="2" s="1"/>
  <c r="N66" i="2"/>
  <c r="N67" i="2" s="1"/>
  <c r="BT148" i="2"/>
  <c r="BT18" i="2"/>
  <c r="BU71" i="2"/>
  <c r="BT99" i="2"/>
  <c r="BT100" i="2" s="1"/>
  <c r="P71" i="2"/>
  <c r="BO204" i="2"/>
  <c r="BN167" i="2"/>
  <c r="BR117" i="2"/>
  <c r="N394" i="2"/>
  <c r="N419" i="2" s="1"/>
  <c r="N85" i="2"/>
  <c r="N83" i="2" s="1"/>
  <c r="N84" i="2" s="1"/>
  <c r="BQ60" i="2"/>
  <c r="BO191" i="2"/>
  <c r="BN246" i="2"/>
  <c r="Y6" i="2"/>
  <c r="Z4" i="2"/>
  <c r="BS106" i="2"/>
  <c r="BS170" i="2" s="1"/>
  <c r="BS251" i="2" s="1"/>
  <c r="BT102" i="2"/>
  <c r="M409" i="2"/>
  <c r="M392" i="2"/>
  <c r="M398" i="2"/>
  <c r="BK257" i="2"/>
  <c r="BK193" i="2"/>
  <c r="BE283" i="2"/>
  <c r="BE280" i="2"/>
  <c r="BP69" i="2"/>
  <c r="BO72" i="2"/>
  <c r="BL387" i="2"/>
  <c r="BL396" i="2"/>
  <c r="BL390" i="2"/>
  <c r="BQ23" i="2"/>
  <c r="BR12" i="2"/>
  <c r="L417" i="2"/>
  <c r="L423" i="2"/>
  <c r="K63" i="2"/>
  <c r="K41" i="2"/>
  <c r="BJ384" i="2"/>
  <c r="BJ229" i="2"/>
  <c r="BJ228" i="2"/>
  <c r="BJ94" i="2"/>
  <c r="BJ58" i="2"/>
  <c r="BJ80" i="2"/>
  <c r="BJ89" i="2"/>
  <c r="BJ29" i="2"/>
  <c r="L280" i="2"/>
  <c r="BL93" i="2"/>
  <c r="BL88" i="2"/>
  <c r="BL56" i="2"/>
  <c r="BL25" i="2"/>
  <c r="BL16" i="2"/>
  <c r="BL78" i="2"/>
  <c r="BR168" i="2"/>
  <c r="BS197" i="2"/>
  <c r="BD99" i="2"/>
  <c r="BD100" i="2" s="1"/>
  <c r="BC98" i="2"/>
  <c r="BR263" i="2"/>
  <c r="BR261" i="2" s="1"/>
  <c r="BQ176" i="2"/>
  <c r="BN394" i="2"/>
  <c r="BN85" i="2"/>
  <c r="BN83" i="2" s="1"/>
  <c r="BN84" i="2" s="1"/>
  <c r="BO82" i="2"/>
  <c r="BH284" i="2"/>
  <c r="BH63" i="2"/>
  <c r="BH41" i="2"/>
  <c r="BH43" i="2"/>
  <c r="BH1" i="2" s="1"/>
  <c r="BC63" i="2"/>
  <c r="BC43" i="2"/>
  <c r="BC1" i="2" s="1"/>
  <c r="BC41" i="2"/>
  <c r="BS115" i="2"/>
  <c r="BS117" i="2" s="1"/>
  <c r="BS137" i="2"/>
  <c r="BS142" i="2" s="1"/>
  <c r="O12" i="2"/>
  <c r="BR322" i="2"/>
  <c r="BS300" i="2"/>
  <c r="BR170" i="2"/>
  <c r="M278" i="2"/>
  <c r="M279" i="2" s="1"/>
  <c r="M230" i="2"/>
  <c r="M153" i="2"/>
  <c r="M95" i="2"/>
  <c r="M90" i="2"/>
  <c r="M32" i="2"/>
  <c r="M59" i="2"/>
  <c r="BS298" i="2"/>
  <c r="BR301" i="2"/>
  <c r="BK110" i="2"/>
  <c r="BK120" i="2" s="1"/>
  <c r="BK125" i="2" s="1"/>
  <c r="BK79" i="2" s="1"/>
  <c r="BK19" i="2"/>
  <c r="BK252" i="2"/>
  <c r="BK254" i="2"/>
  <c r="BK231" i="2" s="1"/>
  <c r="BK256" i="2"/>
  <c r="J398" i="2"/>
  <c r="J392" i="2"/>
  <c r="K264" i="2"/>
  <c r="K45" i="2"/>
  <c r="K43" i="2" s="1"/>
  <c r="K1" i="2" s="1"/>
  <c r="BL152" i="2"/>
  <c r="BL49" i="2"/>
  <c r="BL245" i="2"/>
  <c r="BL253" i="2"/>
  <c r="BL247" i="2"/>
  <c r="M34" i="2" l="1"/>
  <c r="M62" i="2"/>
  <c r="BS322" i="2"/>
  <c r="BT300" i="2"/>
  <c r="O51" i="2"/>
  <c r="BT197" i="2"/>
  <c r="BS168" i="2"/>
  <c r="BJ230" i="2"/>
  <c r="BJ278" i="2"/>
  <c r="BJ279" i="2" s="1"/>
  <c r="BJ153" i="2"/>
  <c r="BJ95" i="2"/>
  <c r="BJ90" i="2"/>
  <c r="BJ32" i="2"/>
  <c r="BJ59" i="2"/>
  <c r="K266" i="2"/>
  <c r="K267" i="2"/>
  <c r="K157" i="2"/>
  <c r="K161" i="2" s="1"/>
  <c r="K135" i="2"/>
  <c r="K143" i="2" s="1"/>
  <c r="K44" i="2"/>
  <c r="BQ69" i="2"/>
  <c r="BP72" i="2"/>
  <c r="O69" i="2"/>
  <c r="O72" i="2" s="1"/>
  <c r="BU102" i="2"/>
  <c r="BU106" i="2" s="1"/>
  <c r="BU170" i="2" s="1"/>
  <c r="BU251" i="2" s="1"/>
  <c r="BT106" i="2"/>
  <c r="P102" i="2"/>
  <c r="BM380" i="2"/>
  <c r="BM92" i="2"/>
  <c r="BM87" i="2"/>
  <c r="BM22" i="2"/>
  <c r="BM13" i="2"/>
  <c r="N11" i="2"/>
  <c r="BJ122" i="2"/>
  <c r="BE284" i="2"/>
  <c r="BE43" i="2"/>
  <c r="BE1" i="2" s="1"/>
  <c r="BE41" i="2"/>
  <c r="BE63" i="2"/>
  <c r="BK384" i="2"/>
  <c r="BK94" i="2"/>
  <c r="BK89" i="2"/>
  <c r="BK80" i="2"/>
  <c r="BK29" i="2"/>
  <c r="BK58" i="2"/>
  <c r="BS189" i="2"/>
  <c r="BO303" i="2"/>
  <c r="BN305" i="2"/>
  <c r="BP76" i="2"/>
  <c r="BO66" i="2"/>
  <c r="BO67" i="2" s="1"/>
  <c r="BO50" i="2" s="1"/>
  <c r="L41" i="2"/>
  <c r="L63" i="2"/>
  <c r="L43" i="2"/>
  <c r="L1" i="2" s="1"/>
  <c r="BM315" i="2"/>
  <c r="BM203" i="2" s="1"/>
  <c r="BK381" i="2"/>
  <c r="BK112" i="2"/>
  <c r="BK122" i="2" s="1"/>
  <c r="BK127" i="2" s="1"/>
  <c r="BK202" i="2"/>
  <c r="BK166" i="2" s="1"/>
  <c r="BR293" i="2"/>
  <c r="M280" i="2"/>
  <c r="BS263" i="2"/>
  <c r="BR176" i="2"/>
  <c r="BL110" i="2"/>
  <c r="BL120" i="2" s="1"/>
  <c r="BL125" i="2" s="1"/>
  <c r="BL79" i="2" s="1"/>
  <c r="BL19" i="2"/>
  <c r="BK272" i="2"/>
  <c r="BK258" i="2"/>
  <c r="BL28" i="2"/>
  <c r="BP204" i="2"/>
  <c r="BO167" i="2"/>
  <c r="BU148" i="2"/>
  <c r="BU18" i="2"/>
  <c r="BU99" i="2"/>
  <c r="BB267" i="2"/>
  <c r="BB266" i="2"/>
  <c r="BB135" i="2"/>
  <c r="BB44" i="2"/>
  <c r="BP111" i="2"/>
  <c r="BN67" i="2"/>
  <c r="BN50" i="2" s="1"/>
  <c r="BN11" i="2" s="1"/>
  <c r="BS301" i="2"/>
  <c r="BT298" i="2"/>
  <c r="BC266" i="2"/>
  <c r="BC267" i="2"/>
  <c r="BC135" i="2"/>
  <c r="BC143" i="2" s="1"/>
  <c r="BC44" i="2"/>
  <c r="BH285" i="2"/>
  <c r="BH266" i="2"/>
  <c r="BH157" i="2"/>
  <c r="BH161" i="2" s="1"/>
  <c r="BH267" i="2"/>
  <c r="BH135" i="2"/>
  <c r="BH143" i="2" s="1"/>
  <c r="BH44" i="2"/>
  <c r="BO394" i="2"/>
  <c r="BP82" i="2"/>
  <c r="BO85" i="2"/>
  <c r="BO83" i="2" s="1"/>
  <c r="BO84" i="2" s="1"/>
  <c r="BB98" i="2"/>
  <c r="BC99" i="2"/>
  <c r="BC100" i="2" s="1"/>
  <c r="BL52" i="2"/>
  <c r="BL27" i="2"/>
  <c r="BL55" i="2"/>
  <c r="BS12" i="2"/>
  <c r="BR23" i="2"/>
  <c r="BO246" i="2"/>
  <c r="BR60" i="2"/>
  <c r="BT137" i="2"/>
  <c r="BT142" i="2" s="1"/>
  <c r="BT115" i="2"/>
  <c r="BT117" i="2" s="1"/>
  <c r="AV264" i="2"/>
  <c r="AU262" i="2"/>
  <c r="BT299" i="2"/>
  <c r="BS321" i="2"/>
  <c r="BJ125" i="2"/>
  <c r="BJ79" i="2" s="1"/>
  <c r="J34" i="2"/>
  <c r="J62" i="2"/>
  <c r="BR251" i="2"/>
  <c r="BJ398" i="2"/>
  <c r="BJ392" i="2"/>
  <c r="BQ57" i="2"/>
  <c r="BQ17" i="2"/>
  <c r="BQ111" i="2" s="1"/>
  <c r="BQ121" i="2" s="1"/>
  <c r="BQ126" i="2" s="1"/>
  <c r="O23" i="2"/>
  <c r="M417" i="2"/>
  <c r="M423" i="2"/>
  <c r="Z6" i="2"/>
  <c r="AA4" i="2"/>
  <c r="BP191" i="2"/>
  <c r="P148" i="2"/>
  <c r="P74" i="2"/>
  <c r="BJ388" i="2"/>
  <c r="BJ389" i="2" s="1"/>
  <c r="BJ383" i="2"/>
  <c r="BJ391" i="2" s="1"/>
  <c r="BJ397" i="2"/>
  <c r="BI285" i="2"/>
  <c r="BI266" i="2"/>
  <c r="BI267" i="2"/>
  <c r="BI264" i="2"/>
  <c r="BI262" i="2" s="1"/>
  <c r="BI157" i="2"/>
  <c r="BI161" i="2" s="1"/>
  <c r="BI135" i="2"/>
  <c r="BI143" i="2" s="1"/>
  <c r="BN126" i="2"/>
  <c r="BF267" i="2"/>
  <c r="BF266" i="2"/>
  <c r="BF285" i="2"/>
  <c r="BF157" i="2"/>
  <c r="BF135" i="2"/>
  <c r="BF44" i="2"/>
  <c r="BQ210" i="2"/>
  <c r="BR323" i="2"/>
  <c r="BD285" i="2"/>
  <c r="BD266" i="2"/>
  <c r="BD267" i="2"/>
  <c r="BD135" i="2"/>
  <c r="BD143" i="2" s="1"/>
  <c r="BD44" i="2"/>
  <c r="P18" i="2"/>
  <c r="BN380" i="2" l="1"/>
  <c r="BN92" i="2"/>
  <c r="BN87" i="2"/>
  <c r="BN13" i="2"/>
  <c r="BO11" i="2"/>
  <c r="BN22" i="2"/>
  <c r="BF143" i="2"/>
  <c r="M143" i="2" s="1"/>
  <c r="M135" i="2"/>
  <c r="J63" i="2"/>
  <c r="J41" i="2"/>
  <c r="BT321" i="2"/>
  <c r="BU299" i="2"/>
  <c r="BU321" i="2" s="1"/>
  <c r="BS293" i="2"/>
  <c r="BP121" i="2"/>
  <c r="O111" i="2"/>
  <c r="BK388" i="2"/>
  <c r="BK389" i="2" s="1"/>
  <c r="BK397" i="2"/>
  <c r="BK383" i="2"/>
  <c r="BK391" i="2" s="1"/>
  <c r="BQ76" i="2"/>
  <c r="BP66" i="2"/>
  <c r="BM152" i="2"/>
  <c r="BM49" i="2"/>
  <c r="BM253" i="2"/>
  <c r="BM245" i="2"/>
  <c r="BM247" i="2"/>
  <c r="M63" i="2"/>
  <c r="M41" i="2"/>
  <c r="BR210" i="2"/>
  <c r="BF161" i="2"/>
  <c r="M161" i="2" s="1"/>
  <c r="M157" i="2"/>
  <c r="M169" i="2" s="1"/>
  <c r="M171" i="2" s="1"/>
  <c r="M181" i="2" s="1"/>
  <c r="BS60" i="2"/>
  <c r="BB99" i="2"/>
  <c r="L98" i="2"/>
  <c r="K98" i="2" s="1"/>
  <c r="BQ204" i="2"/>
  <c r="BP167" i="2"/>
  <c r="L266" i="2"/>
  <c r="L267" i="2"/>
  <c r="L44" i="2"/>
  <c r="BK278" i="2"/>
  <c r="BK279" i="2" s="1"/>
  <c r="BK59" i="2"/>
  <c r="BK153" i="2"/>
  <c r="BK90" i="2"/>
  <c r="BK95" i="2"/>
  <c r="BE285" i="2"/>
  <c r="BE266" i="2"/>
  <c r="BE267" i="2"/>
  <c r="BE135" i="2"/>
  <c r="BE143" i="2" s="1"/>
  <c r="BE157" i="2"/>
  <c r="BE44" i="2"/>
  <c r="BJ127" i="2"/>
  <c r="BM93" i="2"/>
  <c r="BM78" i="2"/>
  <c r="BM16" i="2"/>
  <c r="BM88" i="2"/>
  <c r="BM56" i="2"/>
  <c r="BM25" i="2"/>
  <c r="N22" i="2"/>
  <c r="BM396" i="2"/>
  <c r="BM387" i="2"/>
  <c r="BM390" i="2"/>
  <c r="BT322" i="2"/>
  <c r="BU300" i="2"/>
  <c r="BU322" i="2" s="1"/>
  <c r="BI45" i="2"/>
  <c r="M262" i="2"/>
  <c r="BN315" i="2"/>
  <c r="BN203" i="2" s="1"/>
  <c r="AU264" i="2"/>
  <c r="AT262" i="2"/>
  <c r="BR17" i="2"/>
  <c r="BR57" i="2"/>
  <c r="BL384" i="2"/>
  <c r="BL94" i="2"/>
  <c r="BL89" i="2"/>
  <c r="BL29" i="2"/>
  <c r="BL80" i="2"/>
  <c r="BL58" i="2"/>
  <c r="BB143" i="2"/>
  <c r="L143" i="2" s="1"/>
  <c r="L135" i="2"/>
  <c r="BU100" i="2"/>
  <c r="P100" i="2" s="1"/>
  <c r="P99" i="2"/>
  <c r="BL158" i="2"/>
  <c r="BL381" i="2"/>
  <c r="BL112" i="2"/>
  <c r="BL122" i="2" s="1"/>
  <c r="BL127" i="2" s="1"/>
  <c r="BL202" i="2"/>
  <c r="BL166" i="2" s="1"/>
  <c r="BT263" i="2"/>
  <c r="BT261" i="2" s="1"/>
  <c r="BS176" i="2"/>
  <c r="BO305" i="2"/>
  <c r="BP303" i="2"/>
  <c r="BT189" i="2"/>
  <c r="N380" i="2"/>
  <c r="N92" i="2"/>
  <c r="N87" i="2"/>
  <c r="N76" i="2"/>
  <c r="N50" i="2"/>
  <c r="N13" i="2"/>
  <c r="BU197" i="2"/>
  <c r="BU168" i="2" s="1"/>
  <c r="O168" i="2" s="1"/>
  <c r="BT168" i="2"/>
  <c r="P168" i="2" s="1"/>
  <c r="BQ191" i="2"/>
  <c r="AA6" i="2"/>
  <c r="AB4" i="2"/>
  <c r="O57" i="2"/>
  <c r="O54" i="2"/>
  <c r="BS323" i="2"/>
  <c r="BO315" i="2" s="1"/>
  <c r="BO203" i="2" s="1"/>
  <c r="P115" i="2"/>
  <c r="BP246" i="2"/>
  <c r="BT12" i="2"/>
  <c r="BS23" i="2"/>
  <c r="BP394" i="2"/>
  <c r="BQ82" i="2"/>
  <c r="BP85" i="2"/>
  <c r="BP83" i="2" s="1"/>
  <c r="BP84" i="2" s="1"/>
  <c r="O82" i="2"/>
  <c r="BT301" i="2"/>
  <c r="BU298" i="2"/>
  <c r="BU301" i="2" s="1"/>
  <c r="O17" i="2"/>
  <c r="BU137" i="2"/>
  <c r="BU142" i="2" s="1"/>
  <c r="P142" i="2" s="1"/>
  <c r="BU115" i="2"/>
  <c r="BU117" i="2" s="1"/>
  <c r="P117" i="2" s="1"/>
  <c r="BS261" i="2"/>
  <c r="BK398" i="2"/>
  <c r="BK392" i="2"/>
  <c r="BT170" i="2"/>
  <c r="P106" i="2"/>
  <c r="BR69" i="2"/>
  <c r="BQ72" i="2"/>
  <c r="BJ33" i="2"/>
  <c r="BJ34" i="2"/>
  <c r="BJ280" i="2"/>
  <c r="BT293" i="2" l="1"/>
  <c r="BL398" i="2"/>
  <c r="BL392" i="2"/>
  <c r="BI43" i="2"/>
  <c r="BI1" i="2" s="1"/>
  <c r="BI44" i="2"/>
  <c r="BS69" i="2"/>
  <c r="BR72" i="2"/>
  <c r="O394" i="2"/>
  <c r="O419" i="2" s="1"/>
  <c r="O85" i="2"/>
  <c r="O83" i="2" s="1"/>
  <c r="O84" i="2" s="1"/>
  <c r="BS57" i="2"/>
  <c r="BS17" i="2"/>
  <c r="BS111" i="2" s="1"/>
  <c r="BS121" i="2" s="1"/>
  <c r="BS126" i="2" s="1"/>
  <c r="BR191" i="2"/>
  <c r="N372" i="2"/>
  <c r="N77" i="2"/>
  <c r="N405" i="2"/>
  <c r="N396" i="2"/>
  <c r="N387" i="2"/>
  <c r="N401" i="2"/>
  <c r="N390" i="2"/>
  <c r="N415" i="2"/>
  <c r="BP305" i="2"/>
  <c r="BQ303" i="2"/>
  <c r="BM55" i="2"/>
  <c r="BM52" i="2"/>
  <c r="BM27" i="2"/>
  <c r="BK280" i="2"/>
  <c r="P137" i="2"/>
  <c r="BT60" i="2"/>
  <c r="M267" i="2"/>
  <c r="M266" i="2"/>
  <c r="BR76" i="2"/>
  <c r="BQ66" i="2"/>
  <c r="BQ67" i="2" s="1"/>
  <c r="BQ50" i="2" s="1"/>
  <c r="BN152" i="2"/>
  <c r="BN49" i="2"/>
  <c r="BN253" i="2"/>
  <c r="BN245" i="2"/>
  <c r="BN247" i="2"/>
  <c r="BN387" i="2"/>
  <c r="BN396" i="2"/>
  <c r="BN390" i="2"/>
  <c r="BU263" i="2"/>
  <c r="BU176" i="2" s="1"/>
  <c r="O176" i="2" s="1"/>
  <c r="BT176" i="2"/>
  <c r="N93" i="2"/>
  <c r="N88" i="2"/>
  <c r="N78" i="2"/>
  <c r="N373" i="2" s="1"/>
  <c r="N56" i="2"/>
  <c r="N25" i="2"/>
  <c r="N53" i="2"/>
  <c r="BM110" i="2"/>
  <c r="BM19" i="2"/>
  <c r="N16" i="2"/>
  <c r="N19" i="2" s="1"/>
  <c r="BO380" i="2"/>
  <c r="BO92" i="2"/>
  <c r="BO87" i="2"/>
  <c r="BO13" i="2"/>
  <c r="BO22" i="2"/>
  <c r="BJ41" i="2"/>
  <c r="BJ63" i="2"/>
  <c r="BU12" i="2"/>
  <c r="BT23" i="2"/>
  <c r="P12" i="2"/>
  <c r="AC4" i="2"/>
  <c r="AB6" i="2"/>
  <c r="BL388" i="2"/>
  <c r="BL389" i="2" s="1"/>
  <c r="BL383" i="2"/>
  <c r="BL391" i="2" s="1"/>
  <c r="BL397" i="2"/>
  <c r="L157" i="2"/>
  <c r="L169" i="2" s="1"/>
  <c r="L171" i="2" s="1"/>
  <c r="L181" i="2" s="1"/>
  <c r="BE161" i="2"/>
  <c r="L161" i="2" s="1"/>
  <c r="BP126" i="2"/>
  <c r="O121" i="2"/>
  <c r="O126" i="2" s="1"/>
  <c r="BU323" i="2"/>
  <c r="BQ246" i="2"/>
  <c r="BL250" i="2"/>
  <c r="BL192" i="2"/>
  <c r="AS262" i="2"/>
  <c r="AT264" i="2"/>
  <c r="J262" i="2"/>
  <c r="BB100" i="2"/>
  <c r="L100" i="2" s="1"/>
  <c r="L99" i="2"/>
  <c r="BP67" i="2"/>
  <c r="BP50" i="2" s="1"/>
  <c r="BP11" i="2" s="1"/>
  <c r="O66" i="2"/>
  <c r="O67" i="2" s="1"/>
  <c r="J267" i="2"/>
  <c r="J266" i="2"/>
  <c r="J135" i="2"/>
  <c r="J143" i="2" s="1"/>
  <c r="J157" i="2"/>
  <c r="J161" i="2" s="1"/>
  <c r="BJ207" i="2"/>
  <c r="BT251" i="2"/>
  <c r="P170" i="2"/>
  <c r="P251" i="2" s="1"/>
  <c r="BU293" i="2"/>
  <c r="BQ394" i="2"/>
  <c r="BQ85" i="2"/>
  <c r="BQ83" i="2" s="1"/>
  <c r="BQ84" i="2" s="1"/>
  <c r="BR82" i="2"/>
  <c r="N152" i="2"/>
  <c r="N49" i="2"/>
  <c r="N253" i="2"/>
  <c r="BU189" i="2"/>
  <c r="BL278" i="2"/>
  <c r="BL279" i="2" s="1"/>
  <c r="BL153" i="2"/>
  <c r="BL95" i="2"/>
  <c r="BL90" i="2"/>
  <c r="BL59" i="2"/>
  <c r="BR111" i="2"/>
  <c r="M264" i="2"/>
  <c r="M45" i="2"/>
  <c r="M43" i="2" s="1"/>
  <c r="M1" i="2" s="1"/>
  <c r="BR204" i="2"/>
  <c r="BQ167" i="2"/>
  <c r="K99" i="2"/>
  <c r="K100" i="2" s="1"/>
  <c r="J98" i="2"/>
  <c r="J99" i="2" s="1"/>
  <c r="J100" i="2" s="1"/>
  <c r="BS210" i="2"/>
  <c r="BT323" i="2"/>
  <c r="BQ315" i="2" s="1"/>
  <c r="BQ203" i="2" s="1"/>
  <c r="BN93" i="2"/>
  <c r="BN88" i="2"/>
  <c r="BN16" i="2"/>
  <c r="BN25" i="2"/>
  <c r="BN56" i="2"/>
  <c r="BN78" i="2"/>
  <c r="BP380" i="2" l="1"/>
  <c r="BP92" i="2"/>
  <c r="BQ11" i="2"/>
  <c r="BP87" i="2"/>
  <c r="BP13" i="2"/>
  <c r="BP22" i="2"/>
  <c r="O11" i="2"/>
  <c r="BN55" i="2"/>
  <c r="BN52" i="2"/>
  <c r="BN27" i="2"/>
  <c r="BS204" i="2"/>
  <c r="BR167" i="2"/>
  <c r="BL280" i="2"/>
  <c r="BR394" i="2"/>
  <c r="BR85" i="2"/>
  <c r="BR83" i="2" s="1"/>
  <c r="BR84" i="2" s="1"/>
  <c r="BS82" i="2"/>
  <c r="BJ159" i="2"/>
  <c r="AS264" i="2"/>
  <c r="AR262" i="2"/>
  <c r="AC6" i="2"/>
  <c r="AD4" i="2"/>
  <c r="BO387" i="2"/>
  <c r="BO396" i="2"/>
  <c r="BO390" i="2"/>
  <c r="M44" i="2"/>
  <c r="BN110" i="2"/>
  <c r="BN19" i="2"/>
  <c r="BR121" i="2"/>
  <c r="BL257" i="2"/>
  <c r="BL193" i="2"/>
  <c r="BR246" i="2"/>
  <c r="P51" i="2"/>
  <c r="N381" i="2"/>
  <c r="N55" i="2"/>
  <c r="N27" i="2"/>
  <c r="N52" i="2"/>
  <c r="BU60" i="2"/>
  <c r="BM384" i="2"/>
  <c r="BM94" i="2"/>
  <c r="BM89" i="2"/>
  <c r="BM80" i="2"/>
  <c r="BM58" i="2"/>
  <c r="BQ305" i="2"/>
  <c r="BR303" i="2"/>
  <c r="P176" i="2"/>
  <c r="J264" i="2"/>
  <c r="J45" i="2"/>
  <c r="BP315" i="2"/>
  <c r="BP203" i="2" s="1"/>
  <c r="BT17" i="2"/>
  <c r="BT57" i="2"/>
  <c r="BO93" i="2"/>
  <c r="BO88" i="2"/>
  <c r="BO56" i="2"/>
  <c r="BO25" i="2"/>
  <c r="BO16" i="2"/>
  <c r="BO78" i="2"/>
  <c r="BM381" i="2"/>
  <c r="BM112" i="2"/>
  <c r="BM122" i="2" s="1"/>
  <c r="BM202" i="2"/>
  <c r="BM166" i="2" s="1"/>
  <c r="N412" i="2"/>
  <c r="N421" i="2"/>
  <c r="BS191" i="2"/>
  <c r="BT69" i="2"/>
  <c r="BS72" i="2"/>
  <c r="BT210" i="2"/>
  <c r="BL252" i="2"/>
  <c r="BL254" i="2"/>
  <c r="BL231" i="2" s="1"/>
  <c r="BL256" i="2"/>
  <c r="BU23" i="2"/>
  <c r="BJ267" i="2"/>
  <c r="BJ266" i="2"/>
  <c r="BJ264" i="2"/>
  <c r="BJ262" i="2" s="1"/>
  <c r="BJ211" i="2"/>
  <c r="BJ157" i="2"/>
  <c r="BJ135" i="2"/>
  <c r="BO152" i="2"/>
  <c r="BO49" i="2"/>
  <c r="BO245" i="2"/>
  <c r="BO253" i="2"/>
  <c r="BO247" i="2"/>
  <c r="BM120" i="2"/>
  <c r="N110" i="2"/>
  <c r="BU261" i="2"/>
  <c r="BS76" i="2"/>
  <c r="BR66" i="2"/>
  <c r="BT76" i="2" l="1"/>
  <c r="BS66" i="2"/>
  <c r="BS67" i="2" s="1"/>
  <c r="BS50" i="2" s="1"/>
  <c r="BJ45" i="2"/>
  <c r="BU57" i="2"/>
  <c r="BU17" i="2"/>
  <c r="BU111" i="2" s="1"/>
  <c r="BU121" i="2" s="1"/>
  <c r="BU126" i="2" s="1"/>
  <c r="BU69" i="2"/>
  <c r="BU72" i="2" s="1"/>
  <c r="BT72" i="2"/>
  <c r="P69" i="2"/>
  <c r="P72" i="2" s="1"/>
  <c r="BM388" i="2"/>
  <c r="BM389" i="2" s="1"/>
  <c r="BM397" i="2"/>
  <c r="BM383" i="2"/>
  <c r="BM391" i="2" s="1"/>
  <c r="BT111" i="2"/>
  <c r="P17" i="2"/>
  <c r="BL272" i="2"/>
  <c r="BL258" i="2"/>
  <c r="BM28" i="2"/>
  <c r="AE4" i="2"/>
  <c r="AD6" i="2"/>
  <c r="BN384" i="2"/>
  <c r="BN58" i="2"/>
  <c r="BN89" i="2"/>
  <c r="BN94" i="2"/>
  <c r="BN80" i="2"/>
  <c r="BP93" i="2"/>
  <c r="BP88" i="2"/>
  <c r="BP56" i="2"/>
  <c r="BP25" i="2"/>
  <c r="BP78" i="2"/>
  <c r="BP16" i="2"/>
  <c r="O261" i="2"/>
  <c r="P261" i="2"/>
  <c r="BJ143" i="2"/>
  <c r="BU210" i="2"/>
  <c r="BM127" i="2"/>
  <c r="N122" i="2"/>
  <c r="N127" i="2" s="1"/>
  <c r="BT204" i="2"/>
  <c r="BS167" i="2"/>
  <c r="BP152" i="2"/>
  <c r="BP49" i="2"/>
  <c r="BP245" i="2"/>
  <c r="BP253" i="2"/>
  <c r="BP247" i="2"/>
  <c r="BT191" i="2"/>
  <c r="BO110" i="2"/>
  <c r="BO120" i="2" s="1"/>
  <c r="BO125" i="2" s="1"/>
  <c r="BO79" i="2" s="1"/>
  <c r="BO19" i="2"/>
  <c r="BS303" i="2"/>
  <c r="BR305" i="2"/>
  <c r="BR126" i="2"/>
  <c r="BN381" i="2"/>
  <c r="BN112" i="2"/>
  <c r="BN202" i="2"/>
  <c r="BN166" i="2" s="1"/>
  <c r="AR264" i="2"/>
  <c r="AQ262" i="2"/>
  <c r="BP387" i="2"/>
  <c r="BP396" i="2"/>
  <c r="BP390" i="2"/>
  <c r="BR67" i="2"/>
  <c r="BR50" i="2" s="1"/>
  <c r="BR11" i="2" s="1"/>
  <c r="N120" i="2"/>
  <c r="N125" i="2" s="1"/>
  <c r="N79" i="2" s="1"/>
  <c r="BM125" i="2"/>
  <c r="BM79" i="2" s="1"/>
  <c r="BJ213" i="2"/>
  <c r="BO55" i="2"/>
  <c r="BO52" i="2"/>
  <c r="BO27" i="2"/>
  <c r="J43" i="2"/>
  <c r="J1" i="2" s="1"/>
  <c r="J44" i="2"/>
  <c r="BM392" i="2"/>
  <c r="BM398" i="2"/>
  <c r="N384" i="2"/>
  <c r="N94" i="2"/>
  <c r="N89" i="2"/>
  <c r="N58" i="2"/>
  <c r="N80" i="2"/>
  <c r="N406" i="2"/>
  <c r="N388" i="2"/>
  <c r="N389" i="2" s="1"/>
  <c r="N397" i="2"/>
  <c r="N383" i="2"/>
  <c r="BS246" i="2"/>
  <c r="BN120" i="2"/>
  <c r="BS394" i="2"/>
  <c r="BT82" i="2"/>
  <c r="BS85" i="2"/>
  <c r="BS83" i="2" s="1"/>
  <c r="BS84" i="2" s="1"/>
  <c r="O380" i="2"/>
  <c r="O92" i="2"/>
  <c r="O13" i="2"/>
  <c r="O87" i="2"/>
  <c r="O76" i="2"/>
  <c r="O50" i="2"/>
  <c r="BQ380" i="2"/>
  <c r="BQ92" i="2"/>
  <c r="BQ87" i="2"/>
  <c r="BQ13" i="2"/>
  <c r="BQ22" i="2"/>
  <c r="O22" i="2" s="1"/>
  <c r="P23" i="2"/>
  <c r="O93" i="2" l="1"/>
  <c r="O88" i="2"/>
  <c r="O56" i="2"/>
  <c r="O53" i="2"/>
  <c r="O25" i="2"/>
  <c r="O78" i="2"/>
  <c r="O373" i="2" s="1"/>
  <c r="BR380" i="2"/>
  <c r="BR92" i="2"/>
  <c r="BR87" i="2"/>
  <c r="BR13" i="2"/>
  <c r="BS11" i="2"/>
  <c r="BR22" i="2"/>
  <c r="BQ396" i="2"/>
  <c r="BQ387" i="2"/>
  <c r="BQ390" i="2"/>
  <c r="BN125" i="2"/>
  <c r="BN79" i="2" s="1"/>
  <c r="BP52" i="2"/>
  <c r="BP27" i="2"/>
  <c r="BP55" i="2"/>
  <c r="O405" i="2"/>
  <c r="O401" i="2"/>
  <c r="O387" i="2"/>
  <c r="O396" i="2"/>
  <c r="O390" i="2"/>
  <c r="O415" i="2"/>
  <c r="N408" i="2"/>
  <c r="N416" i="2" s="1"/>
  <c r="N391" i="2"/>
  <c r="BJ273" i="2"/>
  <c r="BJ270" i="2"/>
  <c r="BJ269" i="2"/>
  <c r="BJ292" i="2"/>
  <c r="BJ284" i="2"/>
  <c r="BJ285" i="2"/>
  <c r="BO381" i="2"/>
  <c r="BO112" i="2"/>
  <c r="BO122" i="2" s="1"/>
  <c r="BO127" i="2" s="1"/>
  <c r="BO202" i="2"/>
  <c r="BO166" i="2" s="1"/>
  <c r="BU204" i="2"/>
  <c r="BT167" i="2"/>
  <c r="BN398" i="2"/>
  <c r="BN392" i="2"/>
  <c r="BQ152" i="2"/>
  <c r="BQ49" i="2"/>
  <c r="BQ253" i="2"/>
  <c r="BQ245" i="2"/>
  <c r="BQ247" i="2"/>
  <c r="BS305" i="2"/>
  <c r="BT303" i="2"/>
  <c r="BT121" i="2"/>
  <c r="P111" i="2"/>
  <c r="P57" i="2"/>
  <c r="P54" i="2"/>
  <c r="BT394" i="2"/>
  <c r="BU82" i="2"/>
  <c r="BT85" i="2"/>
  <c r="BT83" i="2" s="1"/>
  <c r="BT84" i="2" s="1"/>
  <c r="BN122" i="2"/>
  <c r="AF4" i="2"/>
  <c r="AE6" i="2"/>
  <c r="O152" i="2"/>
  <c r="O49" i="2"/>
  <c r="O253" i="2"/>
  <c r="BO384" i="2"/>
  <c r="BO94" i="2"/>
  <c r="BO89" i="2"/>
  <c r="BO80" i="2"/>
  <c r="BO58" i="2"/>
  <c r="BN388" i="2"/>
  <c r="BN389" i="2" s="1"/>
  <c r="BN397" i="2"/>
  <c r="BN383" i="2"/>
  <c r="BN391" i="2" s="1"/>
  <c r="BU76" i="2"/>
  <c r="BU66" i="2" s="1"/>
  <c r="BU67" i="2" s="1"/>
  <c r="BU50" i="2" s="1"/>
  <c r="BT66" i="2"/>
  <c r="BQ78" i="2"/>
  <c r="BQ88" i="2"/>
  <c r="BQ16" i="2"/>
  <c r="BQ93" i="2"/>
  <c r="BQ56" i="2"/>
  <c r="BQ25" i="2"/>
  <c r="O372" i="2"/>
  <c r="O77" i="2"/>
  <c r="BT246" i="2"/>
  <c r="N413" i="2"/>
  <c r="N414" i="2" s="1"/>
  <c r="N422" i="2"/>
  <c r="N409" i="2"/>
  <c r="N398" i="2"/>
  <c r="N392" i="2"/>
  <c r="AQ264" i="2"/>
  <c r="AP262" i="2"/>
  <c r="BU191" i="2"/>
  <c r="BP110" i="2"/>
  <c r="BP120" i="2" s="1"/>
  <c r="BP125" i="2" s="1"/>
  <c r="BP79" i="2" s="1"/>
  <c r="BP19" i="2"/>
  <c r="BM158" i="2"/>
  <c r="N28" i="2"/>
  <c r="BM29" i="2"/>
  <c r="BJ43" i="2"/>
  <c r="BJ1" i="2" s="1"/>
  <c r="BJ44" i="2"/>
  <c r="P82" i="2"/>
  <c r="BQ110" i="2" l="1"/>
  <c r="BQ120" i="2" s="1"/>
  <c r="BQ125" i="2" s="1"/>
  <c r="BQ79" i="2" s="1"/>
  <c r="BQ19" i="2"/>
  <c r="BT126" i="2"/>
  <c r="P121" i="2"/>
  <c r="P126" i="2" s="1"/>
  <c r="BM250" i="2"/>
  <c r="N158" i="2"/>
  <c r="N250" i="2" s="1"/>
  <c r="BM192" i="2"/>
  <c r="BT67" i="2"/>
  <c r="BT50" i="2" s="1"/>
  <c r="P66" i="2"/>
  <c r="P67" i="2" s="1"/>
  <c r="BO392" i="2"/>
  <c r="BO398" i="2"/>
  <c r="AG4" i="2"/>
  <c r="AF6" i="2"/>
  <c r="BU394" i="2"/>
  <c r="BU85" i="2"/>
  <c r="BU83" i="2" s="1"/>
  <c r="BU84" i="2" s="1"/>
  <c r="BP384" i="2"/>
  <c r="BP94" i="2"/>
  <c r="BP89" i="2"/>
  <c r="BP58" i="2"/>
  <c r="BP80" i="2"/>
  <c r="BS380" i="2"/>
  <c r="BS92" i="2"/>
  <c r="BS87" i="2"/>
  <c r="BT11" i="2"/>
  <c r="BS13" i="2"/>
  <c r="BS22" i="2"/>
  <c r="BR152" i="2"/>
  <c r="BR49" i="2"/>
  <c r="BR245" i="2"/>
  <c r="BR253" i="2"/>
  <c r="BR247" i="2"/>
  <c r="BR387" i="2"/>
  <c r="BR396" i="2"/>
  <c r="BR390" i="2"/>
  <c r="BM278" i="2"/>
  <c r="BM279" i="2" s="1"/>
  <c r="BM153" i="2"/>
  <c r="BM95" i="2"/>
  <c r="BM90" i="2"/>
  <c r="BM59" i="2"/>
  <c r="BQ55" i="2"/>
  <c r="BQ52" i="2"/>
  <c r="BQ27" i="2"/>
  <c r="BN127" i="2"/>
  <c r="BT305" i="2"/>
  <c r="BU303" i="2"/>
  <c r="BU305" i="2" s="1"/>
  <c r="O421" i="2"/>
  <c r="O412" i="2"/>
  <c r="BR93" i="2"/>
  <c r="BR88" i="2"/>
  <c r="BR16" i="2"/>
  <c r="BR56" i="2"/>
  <c r="BR78" i="2"/>
  <c r="BR25" i="2"/>
  <c r="BP381" i="2"/>
  <c r="BP112" i="2"/>
  <c r="BP202" i="2"/>
  <c r="BP166" i="2" s="1"/>
  <c r="BU167" i="2"/>
  <c r="P394" i="2"/>
  <c r="P419" i="2" s="1"/>
  <c r="P85" i="2"/>
  <c r="P83" i="2" s="1"/>
  <c r="P84" i="2" s="1"/>
  <c r="N29" i="2"/>
  <c r="AO262" i="2"/>
  <c r="AP264" i="2"/>
  <c r="N423" i="2"/>
  <c r="N417" i="2"/>
  <c r="BU246" i="2"/>
  <c r="BO388" i="2"/>
  <c r="BO389" i="2" s="1"/>
  <c r="BO383" i="2"/>
  <c r="BO391" i="2" s="1"/>
  <c r="BO397" i="2"/>
  <c r="O52" i="2"/>
  <c r="O55" i="2"/>
  <c r="O27" i="2"/>
  <c r="AN262" i="2" l="1"/>
  <c r="AO264" i="2"/>
  <c r="BP122" i="2"/>
  <c r="BR110" i="2"/>
  <c r="BR19" i="2"/>
  <c r="BM280" i="2"/>
  <c r="BS387" i="2"/>
  <c r="BS396" i="2"/>
  <c r="BS390" i="2"/>
  <c r="O384" i="2"/>
  <c r="O94" i="2"/>
  <c r="O89" i="2"/>
  <c r="O80" i="2"/>
  <c r="O58" i="2"/>
  <c r="BP388" i="2"/>
  <c r="BP389" i="2" s="1"/>
  <c r="BP383" i="2"/>
  <c r="BP391" i="2" s="1"/>
  <c r="BP397" i="2"/>
  <c r="BQ384" i="2"/>
  <c r="BQ94" i="2"/>
  <c r="BQ89" i="2"/>
  <c r="BQ80" i="2"/>
  <c r="BQ58" i="2"/>
  <c r="BS152" i="2"/>
  <c r="BS49" i="2"/>
  <c r="BS253" i="2"/>
  <c r="BS245" i="2"/>
  <c r="BS247" i="2"/>
  <c r="N252" i="2"/>
  <c r="N254" i="2"/>
  <c r="N231" i="2" s="1"/>
  <c r="BQ381" i="2"/>
  <c r="BQ112" i="2"/>
  <c r="BQ122" i="2" s="1"/>
  <c r="BQ127" i="2" s="1"/>
  <c r="BQ202" i="2"/>
  <c r="BQ166" i="2" s="1"/>
  <c r="BM252" i="2"/>
  <c r="BM254" i="2"/>
  <c r="BM231" i="2" s="1"/>
  <c r="BM256" i="2"/>
  <c r="N278" i="2"/>
  <c r="N279" i="2" s="1"/>
  <c r="N153" i="2"/>
  <c r="N95" i="2"/>
  <c r="N59" i="2"/>
  <c r="N90" i="2"/>
  <c r="N167" i="2"/>
  <c r="O167" i="2"/>
  <c r="BR27" i="2"/>
  <c r="BR55" i="2"/>
  <c r="BR52" i="2"/>
  <c r="P167" i="2"/>
  <c r="AG6" i="2"/>
  <c r="AH4" i="2"/>
  <c r="BT380" i="2"/>
  <c r="BU11" i="2"/>
  <c r="BT87" i="2"/>
  <c r="BT92" i="2"/>
  <c r="BT13" i="2"/>
  <c r="BT22" i="2"/>
  <c r="P11" i="2"/>
  <c r="BP398" i="2"/>
  <c r="BP392" i="2"/>
  <c r="O120" i="2"/>
  <c r="O125" i="2" s="1"/>
  <c r="O79" i="2" s="1"/>
  <c r="O110" i="2"/>
  <c r="BS93" i="2"/>
  <c r="BS88" i="2"/>
  <c r="BS56" i="2"/>
  <c r="BS25" i="2"/>
  <c r="BS16" i="2"/>
  <c r="BS78" i="2"/>
  <c r="BM257" i="2"/>
  <c r="BM193" i="2"/>
  <c r="BM258" i="2" l="1"/>
  <c r="BM272" i="2"/>
  <c r="BN28" i="2"/>
  <c r="BS110" i="2"/>
  <c r="BS120" i="2" s="1"/>
  <c r="BS125" i="2" s="1"/>
  <c r="BS79" i="2" s="1"/>
  <c r="BS19" i="2"/>
  <c r="BT396" i="2"/>
  <c r="BT387" i="2"/>
  <c r="BT390" i="2"/>
  <c r="N280" i="2"/>
  <c r="BT152" i="2"/>
  <c r="BT49" i="2"/>
  <c r="BT245" i="2"/>
  <c r="BT253" i="2"/>
  <c r="BT247" i="2"/>
  <c r="BR384" i="2"/>
  <c r="BR89" i="2"/>
  <c r="BR58" i="2"/>
  <c r="BR94" i="2"/>
  <c r="BR80" i="2"/>
  <c r="O409" i="2"/>
  <c r="O398" i="2"/>
  <c r="O392" i="2"/>
  <c r="BP127" i="2"/>
  <c r="O122" i="2"/>
  <c r="O127" i="2" s="1"/>
  <c r="BR381" i="2"/>
  <c r="BR112" i="2"/>
  <c r="BR202" i="2"/>
  <c r="BR166" i="2" s="1"/>
  <c r="BS55" i="2"/>
  <c r="BS52" i="2"/>
  <c r="BS27" i="2"/>
  <c r="P380" i="2"/>
  <c r="P92" i="2"/>
  <c r="P87" i="2"/>
  <c r="P50" i="2"/>
  <c r="P13" i="2"/>
  <c r="P76" i="2"/>
  <c r="BR120" i="2"/>
  <c r="AN264" i="2"/>
  <c r="AM262" i="2"/>
  <c r="BQ388" i="2"/>
  <c r="BQ389" i="2" s="1"/>
  <c r="BQ383" i="2"/>
  <c r="BQ391" i="2" s="1"/>
  <c r="BQ397" i="2"/>
  <c r="BT93" i="2"/>
  <c r="BT88" i="2"/>
  <c r="BT56" i="2"/>
  <c r="BT25" i="2"/>
  <c r="BT16" i="2"/>
  <c r="BT78" i="2"/>
  <c r="P22" i="2"/>
  <c r="BU380" i="2"/>
  <c r="BU92" i="2"/>
  <c r="BU87" i="2"/>
  <c r="BU13" i="2"/>
  <c r="BU22" i="2"/>
  <c r="AI4" i="2"/>
  <c r="AH6" i="2"/>
  <c r="BQ392" i="2"/>
  <c r="BQ398" i="2"/>
  <c r="O112" i="2"/>
  <c r="P53" i="2" l="1"/>
  <c r="P25" i="2"/>
  <c r="P88" i="2"/>
  <c r="P93" i="2"/>
  <c r="P56" i="2"/>
  <c r="P78" i="2"/>
  <c r="P373" i="2" s="1"/>
  <c r="P49" i="2"/>
  <c r="P152" i="2"/>
  <c r="P253" i="2"/>
  <c r="P405" i="2"/>
  <c r="P396" i="2"/>
  <c r="P387" i="2"/>
  <c r="P401" i="2"/>
  <c r="P390" i="2"/>
  <c r="P415" i="2"/>
  <c r="BR388" i="2"/>
  <c r="BR389" i="2" s="1"/>
  <c r="BR397" i="2"/>
  <c r="BR383" i="2"/>
  <c r="BR391" i="2" s="1"/>
  <c r="BN158" i="2"/>
  <c r="BN29" i="2"/>
  <c r="AJ4" i="2"/>
  <c r="AI6" i="2"/>
  <c r="BR125" i="2"/>
  <c r="BR79" i="2" s="1"/>
  <c r="BS384" i="2"/>
  <c r="BS94" i="2"/>
  <c r="BS89" i="2"/>
  <c r="BS80" i="2"/>
  <c r="BS58" i="2"/>
  <c r="BR122" i="2"/>
  <c r="BU88" i="2"/>
  <c r="BU78" i="2"/>
  <c r="BU16" i="2"/>
  <c r="BU93" i="2"/>
  <c r="BU56" i="2"/>
  <c r="BU25" i="2"/>
  <c r="BT110" i="2"/>
  <c r="BT19" i="2"/>
  <c r="AM264" i="2"/>
  <c r="AL262" i="2"/>
  <c r="P372" i="2"/>
  <c r="P77" i="2"/>
  <c r="O423" i="2"/>
  <c r="O417" i="2"/>
  <c r="BR398" i="2"/>
  <c r="BR392" i="2"/>
  <c r="BS381" i="2"/>
  <c r="BS112" i="2"/>
  <c r="BS122" i="2" s="1"/>
  <c r="BS127" i="2" s="1"/>
  <c r="BS202" i="2"/>
  <c r="BS166" i="2" s="1"/>
  <c r="BU152" i="2"/>
  <c r="BU49" i="2"/>
  <c r="BU253" i="2"/>
  <c r="BU245" i="2"/>
  <c r="BU247" i="2"/>
  <c r="BU396" i="2"/>
  <c r="BU387" i="2"/>
  <c r="BU390" i="2"/>
  <c r="BT52" i="2"/>
  <c r="BT27" i="2"/>
  <c r="BT55" i="2"/>
  <c r="AK262" i="2" l="1"/>
  <c r="AL264" i="2"/>
  <c r="BU55" i="2"/>
  <c r="BU52" i="2"/>
  <c r="BU27" i="2"/>
  <c r="BR127" i="2"/>
  <c r="BS398" i="2"/>
  <c r="BS392" i="2"/>
  <c r="AK4" i="2"/>
  <c r="AJ6" i="2"/>
  <c r="BS388" i="2"/>
  <c r="BS389" i="2" s="1"/>
  <c r="BS383" i="2"/>
  <c r="BS391" i="2" s="1"/>
  <c r="BS397" i="2"/>
  <c r="BN278" i="2"/>
  <c r="BN279" i="2" s="1"/>
  <c r="BN153" i="2"/>
  <c r="BN95" i="2"/>
  <c r="BN90" i="2"/>
  <c r="BN59" i="2"/>
  <c r="BT384" i="2"/>
  <c r="BT94" i="2"/>
  <c r="BT89" i="2"/>
  <c r="BT80" i="2"/>
  <c r="BT58" i="2"/>
  <c r="BT381" i="2"/>
  <c r="BT112" i="2"/>
  <c r="BT122" i="2" s="1"/>
  <c r="BT127" i="2" s="1"/>
  <c r="BT202" i="2"/>
  <c r="BT166" i="2" s="1"/>
  <c r="P27" i="2"/>
  <c r="P52" i="2"/>
  <c r="P55" i="2"/>
  <c r="BT120" i="2"/>
  <c r="P110" i="2"/>
  <c r="BU110" i="2"/>
  <c r="BU120" i="2" s="1"/>
  <c r="BU125" i="2" s="1"/>
  <c r="BU79" i="2" s="1"/>
  <c r="BU19" i="2"/>
  <c r="O16" i="2"/>
  <c r="O19" i="2" s="1"/>
  <c r="P16" i="2"/>
  <c r="P19" i="2" s="1"/>
  <c r="BN250" i="2"/>
  <c r="BN192" i="2"/>
  <c r="P421" i="2"/>
  <c r="P412" i="2"/>
  <c r="O381" i="2" l="1"/>
  <c r="BT125" i="2"/>
  <c r="BT79" i="2" s="1"/>
  <c r="P120" i="2"/>
  <c r="P125" i="2" s="1"/>
  <c r="P79" i="2" s="1"/>
  <c r="BT388" i="2"/>
  <c r="BT389" i="2" s="1"/>
  <c r="BT383" i="2"/>
  <c r="BT391" i="2" s="1"/>
  <c r="BT397" i="2"/>
  <c r="BT398" i="2"/>
  <c r="BT392" i="2"/>
  <c r="AK6" i="2"/>
  <c r="AL4" i="2"/>
  <c r="BN257" i="2"/>
  <c r="BN193" i="2"/>
  <c r="BN252" i="2"/>
  <c r="BN254" i="2"/>
  <c r="BN231" i="2" s="1"/>
  <c r="BN256" i="2"/>
  <c r="BU381" i="2"/>
  <c r="BU112" i="2"/>
  <c r="BU202" i="2"/>
  <c r="BU166" i="2" s="1"/>
  <c r="BU384" i="2"/>
  <c r="BU94" i="2"/>
  <c r="BU89" i="2"/>
  <c r="BU80" i="2"/>
  <c r="BU58" i="2"/>
  <c r="AJ262" i="2"/>
  <c r="AK264" i="2"/>
  <c r="P381" i="2"/>
  <c r="P384" i="2"/>
  <c r="P94" i="2"/>
  <c r="P89" i="2"/>
  <c r="P80" i="2"/>
  <c r="P58" i="2"/>
  <c r="BN280" i="2"/>
  <c r="N166" i="2" l="1"/>
  <c r="O166" i="2"/>
  <c r="P166" i="2"/>
  <c r="BN272" i="2"/>
  <c r="BN258" i="2"/>
  <c r="BO28" i="2"/>
  <c r="AJ264" i="2"/>
  <c r="AI262" i="2"/>
  <c r="BU392" i="2"/>
  <c r="BU398" i="2"/>
  <c r="AL6" i="2"/>
  <c r="AM4" i="2"/>
  <c r="P406" i="2"/>
  <c r="P388" i="2"/>
  <c r="P389" i="2" s="1"/>
  <c r="P383" i="2"/>
  <c r="P397" i="2"/>
  <c r="BU122" i="2"/>
  <c r="N112" i="2"/>
  <c r="P112" i="2"/>
  <c r="BU388" i="2"/>
  <c r="BU389" i="2" s="1"/>
  <c r="BU397" i="2"/>
  <c r="BU383" i="2"/>
  <c r="BU391" i="2" s="1"/>
  <c r="P409" i="2"/>
  <c r="P398" i="2"/>
  <c r="P392" i="2"/>
  <c r="O406" i="2"/>
  <c r="O388" i="2"/>
  <c r="O389" i="2" s="1"/>
  <c r="O383" i="2"/>
  <c r="O397" i="2"/>
  <c r="P408" i="2" l="1"/>
  <c r="P416" i="2" s="1"/>
  <c r="P391" i="2"/>
  <c r="O413" i="2"/>
  <c r="O414" i="2" s="1"/>
  <c r="O422" i="2"/>
  <c r="BO158" i="2"/>
  <c r="BO29" i="2"/>
  <c r="BU127" i="2"/>
  <c r="P122" i="2"/>
  <c r="P127" i="2" s="1"/>
  <c r="P413" i="2"/>
  <c r="P414" i="2" s="1"/>
  <c r="P422" i="2"/>
  <c r="P417" i="2"/>
  <c r="P423" i="2"/>
  <c r="O408" i="2"/>
  <c r="O416" i="2" s="1"/>
  <c r="O391" i="2"/>
  <c r="AM6" i="2"/>
  <c r="AN4" i="2"/>
  <c r="AH262" i="2"/>
  <c r="AI264" i="2"/>
  <c r="AH264" i="2" l="1"/>
  <c r="AG262" i="2"/>
  <c r="BO278" i="2"/>
  <c r="BO279" i="2" s="1"/>
  <c r="BO90" i="2"/>
  <c r="BO59" i="2"/>
  <c r="BO153" i="2"/>
  <c r="BO95" i="2"/>
  <c r="AO4" i="2"/>
  <c r="AN6" i="2"/>
  <c r="BO250" i="2"/>
  <c r="BO192" i="2"/>
  <c r="BO280" i="2" l="1"/>
  <c r="BO252" i="2"/>
  <c r="BO254" i="2"/>
  <c r="BO231" i="2" s="1"/>
  <c r="BO256" i="2"/>
  <c r="BO257" i="2"/>
  <c r="BO193" i="2"/>
  <c r="AO6" i="2"/>
  <c r="AP4" i="2"/>
  <c r="AG264" i="2"/>
  <c r="AF262" i="2"/>
  <c r="BO272" i="2" l="1"/>
  <c r="BO258" i="2"/>
  <c r="BP28" i="2"/>
  <c r="AF264" i="2"/>
  <c r="AE262" i="2"/>
  <c r="AQ4" i="2"/>
  <c r="AP6" i="2"/>
  <c r="AR4" i="2" l="1"/>
  <c r="AQ6" i="2"/>
  <c r="BP158" i="2"/>
  <c r="BP29" i="2"/>
  <c r="AE264" i="2"/>
  <c r="AD262" i="2"/>
  <c r="BP278" i="2" l="1"/>
  <c r="BP279" i="2" s="1"/>
  <c r="BP153" i="2"/>
  <c r="BP95" i="2"/>
  <c r="BP90" i="2"/>
  <c r="BP59" i="2"/>
  <c r="AC262" i="2"/>
  <c r="AD264" i="2"/>
  <c r="BP250" i="2"/>
  <c r="BP192" i="2"/>
  <c r="AS4" i="2"/>
  <c r="AR6" i="2"/>
  <c r="BP257" i="2" l="1"/>
  <c r="BP193" i="2"/>
  <c r="AC264" i="2"/>
  <c r="AB262" i="2"/>
  <c r="BP252" i="2"/>
  <c r="BP254" i="2"/>
  <c r="BP231" i="2" s="1"/>
  <c r="BP256" i="2"/>
  <c r="AS6" i="2"/>
  <c r="AT4" i="2"/>
  <c r="BP280" i="2"/>
  <c r="BP272" i="2" l="1"/>
  <c r="BP258" i="2"/>
  <c r="BQ28" i="2"/>
  <c r="AU4" i="2"/>
  <c r="AT6" i="2"/>
  <c r="AB264" i="2"/>
  <c r="AA262" i="2"/>
  <c r="AA264" i="2" l="1"/>
  <c r="Z262" i="2"/>
  <c r="BQ158" i="2"/>
  <c r="BQ29" i="2"/>
  <c r="AV4" i="2"/>
  <c r="AU6" i="2"/>
  <c r="Y262" i="2" l="1"/>
  <c r="Z264" i="2"/>
  <c r="BQ278" i="2"/>
  <c r="BQ279" i="2" s="1"/>
  <c r="BQ153" i="2"/>
  <c r="BQ95" i="2"/>
  <c r="BQ90" i="2"/>
  <c r="BQ59" i="2"/>
  <c r="BQ250" i="2"/>
  <c r="O158" i="2"/>
  <c r="O250" i="2" s="1"/>
  <c r="BQ192" i="2"/>
  <c r="AW4" i="2"/>
  <c r="AV6" i="2"/>
  <c r="BQ257" i="2" l="1"/>
  <c r="BQ193" i="2"/>
  <c r="O252" i="2"/>
  <c r="O254" i="2"/>
  <c r="O231" i="2" s="1"/>
  <c r="BQ280" i="2"/>
  <c r="BQ252" i="2"/>
  <c r="BQ254" i="2"/>
  <c r="BQ231" i="2" s="1"/>
  <c r="BQ256" i="2"/>
  <c r="AW6" i="2"/>
  <c r="AX4" i="2"/>
  <c r="X262" i="2"/>
  <c r="Y264" i="2"/>
  <c r="AX6" i="2" l="1"/>
  <c r="AY4" i="2"/>
  <c r="BQ272" i="2"/>
  <c r="BQ258" i="2"/>
  <c r="BR28" i="2"/>
  <c r="X264" i="2"/>
  <c r="W262" i="2"/>
  <c r="W264" i="2" l="1"/>
  <c r="V262" i="2"/>
  <c r="AY6" i="2"/>
  <c r="AZ4" i="2"/>
  <c r="BR158" i="2"/>
  <c r="BR29" i="2"/>
  <c r="U262" i="2" l="1"/>
  <c r="V264" i="2"/>
  <c r="BA4" i="2"/>
  <c r="AZ6" i="2"/>
  <c r="BR278" i="2"/>
  <c r="BR279" i="2" s="1"/>
  <c r="BR153" i="2"/>
  <c r="BR95" i="2"/>
  <c r="BR90" i="2"/>
  <c r="BR59" i="2"/>
  <c r="BR250" i="2"/>
  <c r="BR192" i="2"/>
  <c r="BA6" i="2" l="1"/>
  <c r="BB4" i="2"/>
  <c r="BR252" i="2"/>
  <c r="BR254" i="2"/>
  <c r="BR231" i="2" s="1"/>
  <c r="BR256" i="2"/>
  <c r="BR257" i="2"/>
  <c r="BR193" i="2"/>
  <c r="BR280" i="2"/>
  <c r="T262" i="2"/>
  <c r="U264" i="2"/>
  <c r="T264" i="2" l="1"/>
  <c r="S262" i="2"/>
  <c r="BC4" i="2"/>
  <c r="BB6" i="2"/>
  <c r="BR272" i="2"/>
  <c r="BR258" i="2"/>
  <c r="BS28" i="2"/>
  <c r="BD4" i="2" l="1"/>
  <c r="BC6" i="2"/>
  <c r="S264" i="2"/>
  <c r="R262" i="2"/>
  <c r="R264" i="2" s="1"/>
  <c r="BS158" i="2"/>
  <c r="BS29" i="2"/>
  <c r="BS278" i="2" l="1"/>
  <c r="BS279" i="2" s="1"/>
  <c r="BS153" i="2"/>
  <c r="BS59" i="2"/>
  <c r="BS95" i="2"/>
  <c r="BS90" i="2"/>
  <c r="BS250" i="2"/>
  <c r="BS192" i="2"/>
  <c r="BE4" i="2"/>
  <c r="BD6" i="2"/>
  <c r="BD238" i="2" l="1"/>
  <c r="BD242" i="2"/>
  <c r="BD240" i="2"/>
  <c r="BS252" i="2"/>
  <c r="BS254" i="2"/>
  <c r="BS231" i="2" s="1"/>
  <c r="BS256" i="2"/>
  <c r="BE6" i="2"/>
  <c r="BF4" i="2"/>
  <c r="BS257" i="2"/>
  <c r="BS193" i="2"/>
  <c r="BS280" i="2"/>
  <c r="BF6" i="2" l="1"/>
  <c r="BG4" i="2"/>
  <c r="BS258" i="2"/>
  <c r="BS272" i="2"/>
  <c r="BT28" i="2"/>
  <c r="BE238" i="2"/>
  <c r="BE243" i="2" s="1"/>
  <c r="BE242" i="2"/>
  <c r="BE240" i="2"/>
  <c r="BD243" i="2"/>
  <c r="BH4" i="2" l="1"/>
  <c r="BG6" i="2"/>
  <c r="BT158" i="2"/>
  <c r="BT29" i="2"/>
  <c r="BF238" i="2"/>
  <c r="BF242" i="2"/>
  <c r="BF240" i="2"/>
  <c r="BT278" i="2" l="1"/>
  <c r="BT279" i="2" s="1"/>
  <c r="BT153" i="2"/>
  <c r="BT95" i="2"/>
  <c r="BT90" i="2"/>
  <c r="BT59" i="2"/>
  <c r="BT250" i="2"/>
  <c r="BT192" i="2"/>
  <c r="BF243" i="2"/>
  <c r="BG238" i="2"/>
  <c r="BG242" i="2"/>
  <c r="BG240" i="2"/>
  <c r="BI4" i="2"/>
  <c r="BH6" i="2"/>
  <c r="BG243" i="2" l="1"/>
  <c r="BT252" i="2"/>
  <c r="BT254" i="2"/>
  <c r="BT231" i="2" s="1"/>
  <c r="BT256" i="2"/>
  <c r="BI6" i="2"/>
  <c r="BJ4" i="2"/>
  <c r="BT280" i="2"/>
  <c r="BH238" i="2"/>
  <c r="BH242" i="2"/>
  <c r="BH240" i="2"/>
  <c r="BT257" i="2"/>
  <c r="BT193" i="2"/>
  <c r="BK4" i="2" l="1"/>
  <c r="BJ6" i="2"/>
  <c r="BT258" i="2"/>
  <c r="BT272" i="2"/>
  <c r="BU28" i="2"/>
  <c r="BH243" i="2"/>
  <c r="BI238" i="2"/>
  <c r="BI242" i="2"/>
  <c r="BJ242" i="2" s="1"/>
  <c r="BI240" i="2"/>
  <c r="BJ240" i="2" s="1"/>
  <c r="BJ238" i="2" l="1"/>
  <c r="BI243" i="2"/>
  <c r="BK240" i="2"/>
  <c r="BJ188" i="2"/>
  <c r="BU158" i="2"/>
  <c r="BU29" i="2"/>
  <c r="O28" i="2"/>
  <c r="P28" i="2"/>
  <c r="BJ201" i="2"/>
  <c r="BK242" i="2"/>
  <c r="BK6" i="2"/>
  <c r="BL4" i="2"/>
  <c r="O29" i="2" l="1"/>
  <c r="BL240" i="2"/>
  <c r="BK188" i="2"/>
  <c r="BM4" i="2"/>
  <c r="BL6" i="2"/>
  <c r="BJ164" i="2"/>
  <c r="BJ239" i="2"/>
  <c r="BL242" i="2"/>
  <c r="BK201" i="2"/>
  <c r="BU278" i="2"/>
  <c r="BU279" i="2" s="1"/>
  <c r="BU153" i="2"/>
  <c r="BU95" i="2"/>
  <c r="BU90" i="2"/>
  <c r="BU59" i="2"/>
  <c r="P29" i="2"/>
  <c r="BJ205" i="2"/>
  <c r="BJ165" i="2"/>
  <c r="BJ241" i="2"/>
  <c r="BK241" i="2"/>
  <c r="BU250" i="2"/>
  <c r="P158" i="2"/>
  <c r="P250" i="2" s="1"/>
  <c r="BU192" i="2"/>
  <c r="BJ243" i="2"/>
  <c r="BJ187" i="2"/>
  <c r="BK238" i="2"/>
  <c r="BU280" i="2" l="1"/>
  <c r="BU257" i="2"/>
  <c r="BU193" i="2"/>
  <c r="BK165" i="2"/>
  <c r="BK205" i="2"/>
  <c r="BL241" i="2"/>
  <c r="BM240" i="2"/>
  <c r="BL188" i="2"/>
  <c r="P278" i="2"/>
  <c r="P279" i="2" s="1"/>
  <c r="P153" i="2"/>
  <c r="P95" i="2"/>
  <c r="P90" i="2"/>
  <c r="P59" i="2"/>
  <c r="BK164" i="2"/>
  <c r="BL239" i="2"/>
  <c r="BK243" i="2"/>
  <c r="BL238" i="2"/>
  <c r="BK187" i="2"/>
  <c r="BM242" i="2"/>
  <c r="BL201" i="2"/>
  <c r="O278" i="2"/>
  <c r="O279" i="2" s="1"/>
  <c r="O153" i="2"/>
  <c r="O95" i="2"/>
  <c r="O90" i="2"/>
  <c r="O59" i="2"/>
  <c r="P252" i="2"/>
  <c r="P254" i="2"/>
  <c r="P231" i="2" s="1"/>
  <c r="BJ307" i="2"/>
  <c r="BJ308" i="2" s="1"/>
  <c r="BJ235" i="2"/>
  <c r="BJ276" i="2"/>
  <c r="BJ163" i="2"/>
  <c r="BJ237" i="2"/>
  <c r="BK237" i="2"/>
  <c r="BU252" i="2"/>
  <c r="BU254" i="2"/>
  <c r="BU231" i="2" s="1"/>
  <c r="BU256" i="2"/>
  <c r="BK239" i="2"/>
  <c r="BM6" i="2"/>
  <c r="BN4" i="2"/>
  <c r="BO4" i="2" l="1"/>
  <c r="BN6" i="2"/>
  <c r="BU258" i="2"/>
  <c r="BU272" i="2"/>
  <c r="BJ169" i="2"/>
  <c r="BJ171" i="2" s="1"/>
  <c r="BJ288" i="2"/>
  <c r="BJ290" i="2" s="1"/>
  <c r="BJ294" i="2" s="1"/>
  <c r="BJ310" i="2" s="1"/>
  <c r="BJ282" i="2"/>
  <c r="BJ283" i="2"/>
  <c r="O280" i="2"/>
  <c r="BK307" i="2"/>
  <c r="BK308" i="2" s="1"/>
  <c r="BK235" i="2"/>
  <c r="BK163" i="2"/>
  <c r="BL164" i="2"/>
  <c r="BM239" i="2"/>
  <c r="BJ311" i="2"/>
  <c r="BN242" i="2"/>
  <c r="BM201" i="2"/>
  <c r="P280" i="2"/>
  <c r="BL205" i="2"/>
  <c r="BL165" i="2"/>
  <c r="BL243" i="2"/>
  <c r="BM238" i="2"/>
  <c r="BL187" i="2"/>
  <c r="BN240" i="2"/>
  <c r="BM188" i="2"/>
  <c r="BL235" i="2" l="1"/>
  <c r="BL307" i="2"/>
  <c r="BL308" i="2" s="1"/>
  <c r="BL163" i="2"/>
  <c r="BM205" i="2"/>
  <c r="BM165" i="2"/>
  <c r="BJ324" i="2"/>
  <c r="BJ325" i="2" s="1"/>
  <c r="BJ316" i="2"/>
  <c r="BJ206" i="2" s="1"/>
  <c r="N165" i="2"/>
  <c r="BN238" i="2"/>
  <c r="BM243" i="2"/>
  <c r="BM187" i="2"/>
  <c r="BO242" i="2"/>
  <c r="BN201" i="2"/>
  <c r="BM164" i="2"/>
  <c r="BN239" i="2"/>
  <c r="BL237" i="2"/>
  <c r="BN188" i="2"/>
  <c r="BO240" i="2"/>
  <c r="BM241" i="2"/>
  <c r="BP4" i="2"/>
  <c r="BO6" i="2"/>
  <c r="BN243" i="2" l="1"/>
  <c r="BO238" i="2"/>
  <c r="BN187" i="2"/>
  <c r="BN237" i="2" s="1"/>
  <c r="BQ4" i="2"/>
  <c r="BP6" i="2"/>
  <c r="BN205" i="2"/>
  <c r="BN165" i="2"/>
  <c r="BM307" i="2"/>
  <c r="BM308" i="2" s="1"/>
  <c r="BM163" i="2"/>
  <c r="BM235" i="2"/>
  <c r="BN241" i="2"/>
  <c r="N163" i="2"/>
  <c r="BJ219" i="2"/>
  <c r="BJ218" i="2"/>
  <c r="BJ214" i="2"/>
  <c r="BJ209" i="2"/>
  <c r="BP242" i="2"/>
  <c r="BO201" i="2"/>
  <c r="BP240" i="2"/>
  <c r="BO188" i="2"/>
  <c r="BN164" i="2"/>
  <c r="BO239" i="2"/>
  <c r="BM237" i="2"/>
  <c r="BQ240" i="2" l="1"/>
  <c r="BP188" i="2"/>
  <c r="BO165" i="2"/>
  <c r="BO205" i="2"/>
  <c r="BP241" i="2"/>
  <c r="BO243" i="2"/>
  <c r="BP238" i="2"/>
  <c r="BO187" i="2"/>
  <c r="BN307" i="2"/>
  <c r="BN308" i="2" s="1"/>
  <c r="BN235" i="2"/>
  <c r="BN163" i="2"/>
  <c r="BO164" i="2"/>
  <c r="BQ242" i="2"/>
  <c r="BP201" i="2"/>
  <c r="BJ221" i="2"/>
  <c r="BJ175" i="2"/>
  <c r="BK30" i="2"/>
  <c r="BO241" i="2"/>
  <c r="BQ6" i="2"/>
  <c r="BR4" i="2"/>
  <c r="BO307" i="2" l="1"/>
  <c r="BO308" i="2" s="1"/>
  <c r="BO235" i="2"/>
  <c r="BO163" i="2"/>
  <c r="BP164" i="2"/>
  <c r="BP239" i="2"/>
  <c r="BK228" i="2"/>
  <c r="BK229" i="2"/>
  <c r="BK32" i="2"/>
  <c r="BK230" i="2"/>
  <c r="BP205" i="2"/>
  <c r="BP165" i="2"/>
  <c r="BO237" i="2"/>
  <c r="BP243" i="2"/>
  <c r="BQ238" i="2"/>
  <c r="BP187" i="2"/>
  <c r="BR240" i="2"/>
  <c r="BQ188" i="2"/>
  <c r="BR6" i="2"/>
  <c r="BS4" i="2"/>
  <c r="BJ181" i="2"/>
  <c r="BJ186" i="2" s="1"/>
  <c r="BR242" i="2"/>
  <c r="BQ201" i="2"/>
  <c r="BS242" i="2" l="1"/>
  <c r="BR201" i="2"/>
  <c r="BP235" i="2"/>
  <c r="BP307" i="2"/>
  <c r="BP308" i="2" s="1"/>
  <c r="BP163" i="2"/>
  <c r="BQ237" i="2"/>
  <c r="BS240" i="2"/>
  <c r="BR188" i="2"/>
  <c r="BQ205" i="2"/>
  <c r="BQ165" i="2"/>
  <c r="BR241" i="2"/>
  <c r="BT4" i="2"/>
  <c r="BS6" i="2"/>
  <c r="BP237" i="2"/>
  <c r="BJ277" i="2"/>
  <c r="BJ190" i="2"/>
  <c r="BJ182" i="2"/>
  <c r="BJ2" i="2"/>
  <c r="BJ312" i="2"/>
  <c r="BJ220" i="2"/>
  <c r="BQ164" i="2"/>
  <c r="BR239" i="2"/>
  <c r="BR238" i="2"/>
  <c r="BQ187" i="2"/>
  <c r="BQ243" i="2"/>
  <c r="BQ241" i="2"/>
  <c r="BK34" i="2"/>
  <c r="BK33" i="2"/>
  <c r="BQ239" i="2"/>
  <c r="BK207" i="2" l="1"/>
  <c r="BQ307" i="2"/>
  <c r="BQ308" i="2" s="1"/>
  <c r="BQ163" i="2"/>
  <c r="BQ235" i="2"/>
  <c r="BJ226" i="2"/>
  <c r="BJ222" i="2"/>
  <c r="BJ225" i="2"/>
  <c r="BJ223" i="2"/>
  <c r="BT240" i="2"/>
  <c r="BS188" i="2"/>
  <c r="BK63" i="2"/>
  <c r="BK41" i="2"/>
  <c r="BR243" i="2"/>
  <c r="BR187" i="2"/>
  <c r="BS238" i="2"/>
  <c r="BJ236" i="2"/>
  <c r="BJ234" i="2"/>
  <c r="BJ198" i="2"/>
  <c r="BJ215" i="2" s="1"/>
  <c r="O163" i="2"/>
  <c r="BR205" i="2"/>
  <c r="BR165" i="2"/>
  <c r="BU4" i="2"/>
  <c r="BT6" i="2"/>
  <c r="BR164" i="2"/>
  <c r="BS239" i="2"/>
  <c r="BT242" i="2"/>
  <c r="BS201" i="2"/>
  <c r="BS241" i="2" s="1"/>
  <c r="BU6" i="2" l="1"/>
  <c r="M313" i="2"/>
  <c r="M201" i="2"/>
  <c r="M292" i="2"/>
  <c r="K194" i="2"/>
  <c r="K293" i="2"/>
  <c r="N194" i="2"/>
  <c r="O297" i="2"/>
  <c r="M192" i="2"/>
  <c r="M257" i="2" s="1"/>
  <c r="M300" i="2"/>
  <c r="L208" i="2"/>
  <c r="K288" i="2"/>
  <c r="K207" i="2"/>
  <c r="M197" i="2"/>
  <c r="J202" i="2"/>
  <c r="J246" i="2" s="1"/>
  <c r="L204" i="2"/>
  <c r="L247" i="2" s="1"/>
  <c r="N297" i="2"/>
  <c r="J204" i="2"/>
  <c r="J247" i="2" s="1"/>
  <c r="J196" i="2"/>
  <c r="L304" i="2"/>
  <c r="N210" i="2"/>
  <c r="J201" i="2"/>
  <c r="L195" i="2"/>
  <c r="O299" i="2"/>
  <c r="L189" i="2"/>
  <c r="L245" i="2" s="1"/>
  <c r="N298" i="2"/>
  <c r="M202" i="2"/>
  <c r="M246" i="2" s="1"/>
  <c r="M187" i="2"/>
  <c r="N192" i="2"/>
  <c r="N257" i="2" s="1"/>
  <c r="O301" i="2"/>
  <c r="L298" i="2"/>
  <c r="L320" i="2" s="1"/>
  <c r="O188" i="2"/>
  <c r="L315" i="2"/>
  <c r="O189" i="2"/>
  <c r="O245" i="2" s="1"/>
  <c r="K202" i="2"/>
  <c r="K246" i="2" s="1"/>
  <c r="N188" i="2"/>
  <c r="K292" i="2"/>
  <c r="N195" i="2"/>
  <c r="N197" i="2"/>
  <c r="J211" i="2"/>
  <c r="O315" i="2"/>
  <c r="M316" i="2"/>
  <c r="L299" i="2"/>
  <c r="L321" i="2" s="1"/>
  <c r="M305" i="2"/>
  <c r="O202" i="2"/>
  <c r="O246" i="2" s="1"/>
  <c r="N293" i="2"/>
  <c r="O194" i="2"/>
  <c r="M301" i="2"/>
  <c r="K187" i="2"/>
  <c r="L186" i="2"/>
  <c r="L202" i="2"/>
  <c r="L246" i="2" s="1"/>
  <c r="K263" i="2"/>
  <c r="M211" i="2"/>
  <c r="N201" i="2"/>
  <c r="N315" i="2"/>
  <c r="J207" i="2"/>
  <c r="J206" i="2"/>
  <c r="O263" i="2"/>
  <c r="L263" i="2"/>
  <c r="L293" i="2"/>
  <c r="O210" i="2"/>
  <c r="M208" i="2"/>
  <c r="L288" i="2"/>
  <c r="K195" i="2"/>
  <c r="M203" i="2"/>
  <c r="L305" i="2"/>
  <c r="K197" i="2"/>
  <c r="L192" i="2"/>
  <c r="L257" i="2" s="1"/>
  <c r="K201" i="2"/>
  <c r="N289" i="2"/>
  <c r="K203" i="2"/>
  <c r="N191" i="2"/>
  <c r="N256" i="2" s="1"/>
  <c r="L210" i="2"/>
  <c r="L191" i="2"/>
  <c r="L256" i="2" s="1"/>
  <c r="L312" i="2"/>
  <c r="J187" i="2"/>
  <c r="L313" i="2"/>
  <c r="N204" i="2"/>
  <c r="N247" i="2" s="1"/>
  <c r="O208" i="2"/>
  <c r="J195" i="2"/>
  <c r="N305" i="2"/>
  <c r="M294" i="2"/>
  <c r="O203" i="2"/>
  <c r="M196" i="2"/>
  <c r="N300" i="2"/>
  <c r="N322" i="2" s="1"/>
  <c r="M293" i="2"/>
  <c r="J194" i="2"/>
  <c r="O300" i="2"/>
  <c r="O322" i="2" s="1"/>
  <c r="O187" i="2"/>
  <c r="L206" i="2"/>
  <c r="L297" i="2"/>
  <c r="L319" i="2" s="1"/>
  <c r="L325" i="2" s="1"/>
  <c r="J263" i="2"/>
  <c r="M210" i="2"/>
  <c r="O304" i="2"/>
  <c r="P299" i="2"/>
  <c r="P321" i="2" s="1"/>
  <c r="L300" i="2"/>
  <c r="L322" i="2" s="1"/>
  <c r="L290" i="2"/>
  <c r="M290" i="2"/>
  <c r="K192" i="2"/>
  <c r="N196" i="2"/>
  <c r="K188" i="2"/>
  <c r="M310" i="2"/>
  <c r="M299" i="2"/>
  <c r="M321" i="2" s="1"/>
  <c r="O193" i="2"/>
  <c r="K189" i="2"/>
  <c r="K245" i="2" s="1"/>
  <c r="N193" i="2"/>
  <c r="L196" i="2"/>
  <c r="M207" i="2"/>
  <c r="N301" i="2"/>
  <c r="N323" i="2" s="1"/>
  <c r="M191" i="2"/>
  <c r="M256" i="2" s="1"/>
  <c r="M263" i="2"/>
  <c r="M311" i="2"/>
  <c r="N263" i="2"/>
  <c r="K294" i="2"/>
  <c r="K196" i="2"/>
  <c r="K208" i="2"/>
  <c r="L211" i="2"/>
  <c r="L203" i="2"/>
  <c r="O305" i="2"/>
  <c r="O192" i="2"/>
  <c r="O257" i="2" s="1"/>
  <c r="O289" i="2"/>
  <c r="L316" i="2"/>
  <c r="N212" i="2"/>
  <c r="O201" i="2"/>
  <c r="M297" i="2"/>
  <c r="M319" i="2" s="1"/>
  <c r="N208" i="2"/>
  <c r="J188" i="2"/>
  <c r="L197" i="2"/>
  <c r="K211" i="2"/>
  <c r="O293" i="2"/>
  <c r="K290" i="2"/>
  <c r="L289" i="2"/>
  <c r="M194" i="2"/>
  <c r="M186" i="2"/>
  <c r="N303" i="2"/>
  <c r="L310" i="2"/>
  <c r="L324" i="2" s="1"/>
  <c r="N203" i="2"/>
  <c r="N189" i="2"/>
  <c r="N245" i="2" s="1"/>
  <c r="N187" i="2"/>
  <c r="M212" i="2"/>
  <c r="K210" i="2"/>
  <c r="O191" i="2"/>
  <c r="O256" i="2" s="1"/>
  <c r="O303" i="2"/>
  <c r="O204" i="2"/>
  <c r="O247" i="2" s="1"/>
  <c r="M315" i="2"/>
  <c r="O196" i="2"/>
  <c r="O195" i="2"/>
  <c r="K289" i="2"/>
  <c r="J191" i="2"/>
  <c r="L188" i="2"/>
  <c r="L301" i="2"/>
  <c r="L323" i="2" s="1"/>
  <c r="L187" i="2"/>
  <c r="O298" i="2"/>
  <c r="O320" i="2" s="1"/>
  <c r="J208" i="2"/>
  <c r="M303" i="2"/>
  <c r="M288" i="2"/>
  <c r="M304" i="2"/>
  <c r="M193" i="2"/>
  <c r="K186" i="2"/>
  <c r="L207" i="2"/>
  <c r="M188" i="2"/>
  <c r="K204" i="2"/>
  <c r="K247" i="2" s="1"/>
  <c r="O212" i="2"/>
  <c r="J197" i="2"/>
  <c r="M204" i="2"/>
  <c r="M247" i="2" s="1"/>
  <c r="L194" i="2"/>
  <c r="O313" i="2"/>
  <c r="P304" i="2"/>
  <c r="K191" i="2"/>
  <c r="L212" i="2"/>
  <c r="N202" i="2"/>
  <c r="N246" i="2" s="1"/>
  <c r="P297" i="2"/>
  <c r="P319" i="2" s="1"/>
  <c r="J189" i="2"/>
  <c r="J245" i="2" s="1"/>
  <c r="L193" i="2"/>
  <c r="P202" i="2"/>
  <c r="P246" i="2" s="1"/>
  <c r="L311" i="2"/>
  <c r="M189" i="2"/>
  <c r="M245" i="2" s="1"/>
  <c r="J193" i="2"/>
  <c r="L294" i="2"/>
  <c r="P298" i="2"/>
  <c r="P320" i="2" s="1"/>
  <c r="L201" i="2"/>
  <c r="N299" i="2"/>
  <c r="N321" i="2" s="1"/>
  <c r="K206" i="2"/>
  <c r="L292" i="2"/>
  <c r="J212" i="2"/>
  <c r="J203" i="2"/>
  <c r="O197" i="2"/>
  <c r="M195" i="2"/>
  <c r="P204" i="2"/>
  <c r="P247" i="2" s="1"/>
  <c r="M289" i="2"/>
  <c r="L303" i="2"/>
  <c r="M312" i="2"/>
  <c r="P194" i="2"/>
  <c r="J210" i="2"/>
  <c r="K193" i="2"/>
  <c r="K212" i="2"/>
  <c r="J186" i="2"/>
  <c r="N313" i="2"/>
  <c r="J192" i="2"/>
  <c r="N304" i="2"/>
  <c r="M206" i="2"/>
  <c r="M298" i="2"/>
  <c r="M320" i="2" s="1"/>
  <c r="P293" i="2"/>
  <c r="P212" i="2"/>
  <c r="P196" i="2"/>
  <c r="P303" i="2"/>
  <c r="P195" i="2"/>
  <c r="P210" i="2"/>
  <c r="P313" i="2"/>
  <c r="P263" i="2"/>
  <c r="P315" i="2"/>
  <c r="P300" i="2"/>
  <c r="P301" i="2"/>
  <c r="P323" i="2" s="1"/>
  <c r="P289" i="2"/>
  <c r="P189" i="2"/>
  <c r="P245" i="2" s="1"/>
  <c r="P193" i="2"/>
  <c r="P192" i="2"/>
  <c r="P257" i="2" s="1"/>
  <c r="P208" i="2"/>
  <c r="P203" i="2"/>
  <c r="P191" i="2"/>
  <c r="P256" i="2" s="1"/>
  <c r="P305" i="2"/>
  <c r="P197" i="2"/>
  <c r="BR235" i="2"/>
  <c r="BR163" i="2"/>
  <c r="BR237" i="2"/>
  <c r="BS165" i="2"/>
  <c r="BS205" i="2"/>
  <c r="BK159" i="2"/>
  <c r="BK276" i="2"/>
  <c r="BU242" i="2"/>
  <c r="BU201" i="2" s="1"/>
  <c r="BT201" i="2"/>
  <c r="BT241" i="2" s="1"/>
  <c r="BK266" i="2"/>
  <c r="BK267" i="2"/>
  <c r="BK264" i="2"/>
  <c r="BK262" i="2" s="1"/>
  <c r="BK157" i="2"/>
  <c r="BK135" i="2"/>
  <c r="BK211" i="2"/>
  <c r="BS164" i="2"/>
  <c r="BT239" i="2"/>
  <c r="BS243" i="2"/>
  <c r="BT238" i="2"/>
  <c r="BS187" i="2"/>
  <c r="BU240" i="2"/>
  <c r="BU188" i="2" s="1"/>
  <c r="BU164" i="2" s="1"/>
  <c r="BT188" i="2"/>
  <c r="BS235" i="2" l="1"/>
  <c r="BS163" i="2"/>
  <c r="BK169" i="2"/>
  <c r="BK171" i="2" s="1"/>
  <c r="L258" i="2"/>
  <c r="L272" i="2"/>
  <c r="M60" i="2"/>
  <c r="N164" i="2"/>
  <c r="O164" i="2"/>
  <c r="BK143" i="2"/>
  <c r="BU205" i="2"/>
  <c r="BU165" i="2"/>
  <c r="O165" i="2" s="1"/>
  <c r="P188" i="2"/>
  <c r="P240" i="2" s="1"/>
  <c r="J213" i="2"/>
  <c r="L242" i="2"/>
  <c r="L205" i="2"/>
  <c r="L209" i="2" s="1"/>
  <c r="M241" i="2"/>
  <c r="K60" i="2"/>
  <c r="K277" i="2"/>
  <c r="K182" i="2"/>
  <c r="K190" i="2"/>
  <c r="K2" i="2"/>
  <c r="K213" i="2"/>
  <c r="M277" i="2"/>
  <c r="M190" i="2"/>
  <c r="M182" i="2"/>
  <c r="M2" i="2"/>
  <c r="L219" i="2"/>
  <c r="N258" i="2"/>
  <c r="N272" i="2"/>
  <c r="O60" i="2"/>
  <c r="M324" i="2"/>
  <c r="O235" i="2"/>
  <c r="O238" i="2"/>
  <c r="K218" i="2"/>
  <c r="K219" i="2"/>
  <c r="M323" i="2"/>
  <c r="N320" i="2"/>
  <c r="J242" i="2"/>
  <c r="J205" i="2"/>
  <c r="J209" i="2" s="1"/>
  <c r="J241" i="2"/>
  <c r="K241" i="2"/>
  <c r="M322" i="2"/>
  <c r="M325" i="2" s="1"/>
  <c r="M240" i="2"/>
  <c r="N239" i="2"/>
  <c r="L240" i="2"/>
  <c r="M239" i="2"/>
  <c r="O240" i="2"/>
  <c r="M276" i="2"/>
  <c r="M235" i="2"/>
  <c r="M238" i="2"/>
  <c r="N237" i="2"/>
  <c r="M242" i="2"/>
  <c r="M205" i="2"/>
  <c r="M209" i="2" s="1"/>
  <c r="N241" i="2"/>
  <c r="BT243" i="2"/>
  <c r="BU238" i="2"/>
  <c r="BT187" i="2"/>
  <c r="BK213" i="2"/>
  <c r="BK45" i="2"/>
  <c r="BK288" i="2"/>
  <c r="BK290" i="2" s="1"/>
  <c r="BK282" i="2"/>
  <c r="BK283" i="2"/>
  <c r="P272" i="2"/>
  <c r="P258" i="2"/>
  <c r="P201" i="2"/>
  <c r="J219" i="2"/>
  <c r="J218" i="2"/>
  <c r="O242" i="2"/>
  <c r="O205" i="2"/>
  <c r="O272" i="2"/>
  <c r="O258" i="2"/>
  <c r="P60" i="2"/>
  <c r="K240" i="2"/>
  <c r="L239" i="2"/>
  <c r="J238" i="2"/>
  <c r="J235" i="2"/>
  <c r="K237" i="2"/>
  <c r="J237" i="2"/>
  <c r="L213" i="2"/>
  <c r="L218" i="2" s="1"/>
  <c r="K205" i="2"/>
  <c r="K209" i="2" s="1"/>
  <c r="K242" i="2"/>
  <c r="L241" i="2"/>
  <c r="M219" i="2"/>
  <c r="N242" i="2"/>
  <c r="N205" i="2"/>
  <c r="O241" i="2"/>
  <c r="L277" i="2"/>
  <c r="L190" i="2"/>
  <c r="L182" i="2"/>
  <c r="L2" i="2"/>
  <c r="O321" i="2"/>
  <c r="O319" i="2"/>
  <c r="J190" i="2"/>
  <c r="J198" i="2" s="1"/>
  <c r="J2" i="2"/>
  <c r="M272" i="2"/>
  <c r="M258" i="2"/>
  <c r="M198" i="2"/>
  <c r="N60" i="2"/>
  <c r="N240" i="2"/>
  <c r="O239" i="2"/>
  <c r="N319" i="2"/>
  <c r="BT164" i="2"/>
  <c r="P164" i="2" s="1"/>
  <c r="BU239" i="2"/>
  <c r="BT205" i="2"/>
  <c r="BT165" i="2"/>
  <c r="P165" i="2" s="1"/>
  <c r="BU241" i="2"/>
  <c r="BS237" i="2"/>
  <c r="P322" i="2"/>
  <c r="K272" i="2"/>
  <c r="K198" i="2"/>
  <c r="L60" i="2"/>
  <c r="L276" i="2"/>
  <c r="L238" i="2"/>
  <c r="L243" i="2" s="1"/>
  <c r="L235" i="2"/>
  <c r="M237" i="2"/>
  <c r="N238" i="2"/>
  <c r="N243" i="2" s="1"/>
  <c r="N235" i="2"/>
  <c r="O237" i="2"/>
  <c r="J240" i="2"/>
  <c r="K239" i="2"/>
  <c r="J239" i="2"/>
  <c r="M213" i="2"/>
  <c r="K235" i="2"/>
  <c r="K276" i="2"/>
  <c r="K238" i="2"/>
  <c r="K243" i="2" s="1"/>
  <c r="L237" i="2"/>
  <c r="O323" i="2"/>
  <c r="M220" i="2" l="1"/>
  <c r="BU243" i="2"/>
  <c r="BU187" i="2"/>
  <c r="K273" i="2"/>
  <c r="K269" i="2"/>
  <c r="K270" i="2"/>
  <c r="K214" i="2"/>
  <c r="K215" i="2" s="1"/>
  <c r="L284" i="2"/>
  <c r="L285" i="2"/>
  <c r="L236" i="2"/>
  <c r="L234" i="2"/>
  <c r="P242" i="2"/>
  <c r="P205" i="2"/>
  <c r="BT235" i="2"/>
  <c r="BT163" i="2"/>
  <c r="BU237" i="2"/>
  <c r="M243" i="2"/>
  <c r="K220" i="2"/>
  <c r="K221" i="2"/>
  <c r="L61" i="2"/>
  <c r="J214" i="2"/>
  <c r="J215" i="2" s="1"/>
  <c r="K284" i="2"/>
  <c r="K285" i="2"/>
  <c r="BT237" i="2"/>
  <c r="BK43" i="2"/>
  <c r="BK1" i="2" s="1"/>
  <c r="BK44" i="2"/>
  <c r="M270" i="2"/>
  <c r="M273" i="2"/>
  <c r="M269" i="2"/>
  <c r="M214" i="2"/>
  <c r="M215" i="2" s="1"/>
  <c r="M218" i="2"/>
  <c r="M221" i="2" s="1"/>
  <c r="L269" i="2"/>
  <c r="L270" i="2"/>
  <c r="L214" i="2"/>
  <c r="L215" i="2" s="1"/>
  <c r="L273" i="2"/>
  <c r="M284" i="2"/>
  <c r="M285" i="2"/>
  <c r="J243" i="2"/>
  <c r="BK270" i="2"/>
  <c r="BK269" i="2"/>
  <c r="BK292" i="2"/>
  <c r="BK294" i="2" s="1"/>
  <c r="BK310" i="2" s="1"/>
  <c r="BK273" i="2"/>
  <c r="BK284" i="2"/>
  <c r="BK285" i="2"/>
  <c r="M282" i="2"/>
  <c r="L198" i="2"/>
  <c r="L282" i="2"/>
  <c r="M283" i="2"/>
  <c r="K282" i="2"/>
  <c r="K283" i="2"/>
  <c r="L283" i="2"/>
  <c r="J234" i="2"/>
  <c r="J236" i="2"/>
  <c r="P241" i="2"/>
  <c r="J220" i="2"/>
  <c r="J221" i="2"/>
  <c r="K61" i="2"/>
  <c r="J61" i="2"/>
  <c r="P239" i="2"/>
  <c r="O243" i="2"/>
  <c r="L221" i="2"/>
  <c r="L220" i="2"/>
  <c r="M61" i="2"/>
  <c r="M236" i="2"/>
  <c r="M234" i="2"/>
  <c r="K234" i="2"/>
  <c r="K236" i="2"/>
  <c r="BK324" i="2" l="1"/>
  <c r="BK325" i="2" s="1"/>
  <c r="BK316" i="2"/>
  <c r="BK206" i="2" s="1"/>
  <c r="BK311" i="2"/>
  <c r="L225" i="2"/>
  <c r="L222" i="2"/>
  <c r="L223" i="2"/>
  <c r="L226" i="2"/>
  <c r="J225" i="2"/>
  <c r="J226" i="2"/>
  <c r="J223" i="2"/>
  <c r="J222" i="2"/>
  <c r="BU163" i="2"/>
  <c r="P163" i="2" s="1"/>
  <c r="BU235" i="2"/>
  <c r="P187" i="2"/>
  <c r="M226" i="2"/>
  <c r="M222" i="2"/>
  <c r="M223" i="2"/>
  <c r="M225" i="2"/>
  <c r="K226" i="2"/>
  <c r="K222" i="2"/>
  <c r="K225" i="2"/>
  <c r="K223" i="2"/>
  <c r="P238" i="2" l="1"/>
  <c r="P243" i="2" s="1"/>
  <c r="P235" i="2"/>
  <c r="P237" i="2"/>
  <c r="BK219" i="2"/>
  <c r="BK218" i="2"/>
  <c r="BK209" i="2"/>
  <c r="BK214" i="2"/>
  <c r="BK221" i="2" l="1"/>
  <c r="BK175" i="2"/>
  <c r="BL30" i="2"/>
  <c r="BK181" i="2" l="1"/>
  <c r="BK186" i="2" s="1"/>
  <c r="BL228" i="2"/>
  <c r="BL229" i="2"/>
  <c r="BL230" i="2"/>
  <c r="BL32" i="2"/>
  <c r="BL33" i="2" l="1"/>
  <c r="BL34" i="2"/>
  <c r="BK277" i="2"/>
  <c r="BK182" i="2"/>
  <c r="BK190" i="2"/>
  <c r="BK2" i="2"/>
  <c r="BK312" i="2"/>
  <c r="BK220" i="2"/>
  <c r="BL63" i="2" l="1"/>
  <c r="BL41" i="2"/>
  <c r="BK226" i="2"/>
  <c r="BK222" i="2"/>
  <c r="BK225" i="2"/>
  <c r="BK223" i="2"/>
  <c r="BK234" i="2"/>
  <c r="BK236" i="2"/>
  <c r="BK198" i="2"/>
  <c r="BK215" i="2" s="1"/>
  <c r="BL207" i="2"/>
  <c r="BL264" i="2" l="1"/>
  <c r="BL262" i="2" s="1"/>
  <c r="BL267" i="2"/>
  <c r="BL266" i="2"/>
  <c r="BL135" i="2"/>
  <c r="BL157" i="2"/>
  <c r="BL211" i="2"/>
  <c r="BL159" i="2"/>
  <c r="BL276" i="2"/>
  <c r="BL213" i="2" l="1"/>
  <c r="BL288" i="2"/>
  <c r="BL290" i="2" s="1"/>
  <c r="BL282" i="2"/>
  <c r="BL283" i="2"/>
  <c r="BL169" i="2"/>
  <c r="BL171" i="2" s="1"/>
  <c r="BL45" i="2"/>
  <c r="BL143" i="2"/>
  <c r="BL292" i="2" l="1"/>
  <c r="BL294" i="2" s="1"/>
  <c r="BL310" i="2" s="1"/>
  <c r="BL273" i="2"/>
  <c r="BL270" i="2"/>
  <c r="BL269" i="2"/>
  <c r="BL284" i="2"/>
  <c r="BL285" i="2"/>
  <c r="BL43" i="2"/>
  <c r="BL1" i="2" s="1"/>
  <c r="BL44" i="2"/>
  <c r="BL324" i="2" l="1"/>
  <c r="BL325" i="2" s="1"/>
  <c r="BL316" i="2"/>
  <c r="BL206" i="2" s="1"/>
  <c r="BL311" i="2"/>
  <c r="BL219" i="2" l="1"/>
  <c r="BL218" i="2"/>
  <c r="BL209" i="2"/>
  <c r="BL214" i="2"/>
  <c r="BL221" i="2" l="1"/>
  <c r="BL175" i="2"/>
  <c r="BM30" i="2"/>
  <c r="BL181" i="2" l="1"/>
  <c r="BL186" i="2" s="1"/>
  <c r="BM229" i="2"/>
  <c r="BM228" i="2"/>
  <c r="BM230" i="2"/>
  <c r="BM32" i="2"/>
  <c r="N30" i="2"/>
  <c r="N228" i="2" l="1"/>
  <c r="N229" i="2"/>
  <c r="N32" i="2"/>
  <c r="N230" i="2"/>
  <c r="BM33" i="2"/>
  <c r="BM207" i="2" s="1"/>
  <c r="BM34" i="2"/>
  <c r="BL277" i="2"/>
  <c r="BL182" i="2"/>
  <c r="BL2" i="2"/>
  <c r="BL190" i="2"/>
  <c r="BL312" i="2"/>
  <c r="BL220" i="2"/>
  <c r="BL236" i="2" l="1"/>
  <c r="BL234" i="2"/>
  <c r="BL198" i="2"/>
  <c r="BL215" i="2" s="1"/>
  <c r="BL225" i="2"/>
  <c r="BL223" i="2"/>
  <c r="BL226" i="2"/>
  <c r="BL222" i="2"/>
  <c r="BN207" i="2"/>
  <c r="BM159" i="2"/>
  <c r="BM276" i="2"/>
  <c r="N207" i="2"/>
  <c r="N276" i="2" s="1"/>
  <c r="BM41" i="2"/>
  <c r="BM63" i="2"/>
  <c r="N282" i="2" l="1"/>
  <c r="N283" i="2"/>
  <c r="BM288" i="2"/>
  <c r="BM282" i="2"/>
  <c r="BM283" i="2"/>
  <c r="BM264" i="2"/>
  <c r="BM262" i="2" s="1"/>
  <c r="BM266" i="2"/>
  <c r="BM267" i="2"/>
  <c r="BM157" i="2"/>
  <c r="BM135" i="2"/>
  <c r="BM143" i="2" s="1"/>
  <c r="BM211" i="2"/>
  <c r="BO207" i="2"/>
  <c r="BN159" i="2"/>
  <c r="BN276" i="2"/>
  <c r="BP207" i="2" l="1"/>
  <c r="BO159" i="2"/>
  <c r="BO276" i="2"/>
  <c r="BO283" i="2" s="1"/>
  <c r="BM169" i="2"/>
  <c r="BM171" i="2" s="1"/>
  <c r="N157" i="2"/>
  <c r="BM290" i="2"/>
  <c r="N288" i="2"/>
  <c r="BM213" i="2"/>
  <c r="N211" i="2"/>
  <c r="N213" i="2" s="1"/>
  <c r="BN288" i="2"/>
  <c r="BN290" i="2" s="1"/>
  <c r="BN282" i="2"/>
  <c r="BN283" i="2"/>
  <c r="BM45" i="2"/>
  <c r="N262" i="2"/>
  <c r="N264" i="2" l="1"/>
  <c r="N45" i="2"/>
  <c r="BM292" i="2"/>
  <c r="N292" i="2" s="1"/>
  <c r="BM269" i="2"/>
  <c r="BM273" i="2"/>
  <c r="BM270" i="2"/>
  <c r="BM284" i="2"/>
  <c r="BM285" i="2"/>
  <c r="BM43" i="2"/>
  <c r="BM1" i="2" s="1"/>
  <c r="BM44" i="2"/>
  <c r="BO288" i="2"/>
  <c r="BO290" i="2" s="1"/>
  <c r="BO282" i="2"/>
  <c r="BP283" i="2"/>
  <c r="N273" i="2"/>
  <c r="N270" i="2"/>
  <c r="N269" i="2"/>
  <c r="N290" i="2"/>
  <c r="BP159" i="2"/>
  <c r="BQ207" i="2"/>
  <c r="BP276" i="2"/>
  <c r="BP288" i="2" l="1"/>
  <c r="BP290" i="2" s="1"/>
  <c r="BP282" i="2"/>
  <c r="BR207" i="2"/>
  <c r="BQ159" i="2"/>
  <c r="BQ276" i="2"/>
  <c r="O207" i="2"/>
  <c r="O276" i="2" s="1"/>
  <c r="BM294" i="2"/>
  <c r="BQ288" i="2" l="1"/>
  <c r="BQ282" i="2"/>
  <c r="BR283" i="2"/>
  <c r="BQ283" i="2"/>
  <c r="BM310" i="2"/>
  <c r="N294" i="2"/>
  <c r="BR159" i="2"/>
  <c r="BS207" i="2"/>
  <c r="BR276" i="2"/>
  <c r="O282" i="2"/>
  <c r="O283" i="2"/>
  <c r="BT207" i="2" l="1"/>
  <c r="BS159" i="2"/>
  <c r="BS276" i="2"/>
  <c r="BR288" i="2"/>
  <c r="BR290" i="2" s="1"/>
  <c r="BR282" i="2"/>
  <c r="BM324" i="2"/>
  <c r="BM325" i="2" s="1"/>
  <c r="BM316" i="2"/>
  <c r="BM311" i="2"/>
  <c r="N310" i="2"/>
  <c r="N324" i="2" s="1"/>
  <c r="N325" i="2" s="1"/>
  <c r="BQ290" i="2"/>
  <c r="O288" i="2"/>
  <c r="BM206" i="2" l="1"/>
  <c r="N316" i="2"/>
  <c r="O290" i="2"/>
  <c r="BS288" i="2"/>
  <c r="BS290" i="2" s="1"/>
  <c r="BS282" i="2"/>
  <c r="BS283" i="2"/>
  <c r="N311" i="2"/>
  <c r="BT159" i="2"/>
  <c r="BU207" i="2"/>
  <c r="BT276" i="2"/>
  <c r="BT283" i="2" s="1"/>
  <c r="P159" i="2" l="1"/>
  <c r="BT288" i="2"/>
  <c r="BT290" i="2" s="1"/>
  <c r="BT282" i="2"/>
  <c r="BU159" i="2"/>
  <c r="P207" i="2"/>
  <c r="P276" i="2" s="1"/>
  <c r="BU276" i="2"/>
  <c r="BU283" i="2" s="1"/>
  <c r="BM219" i="2"/>
  <c r="BM218" i="2"/>
  <c r="BM209" i="2"/>
  <c r="N206" i="2"/>
  <c r="BM214" i="2"/>
  <c r="BM221" i="2" l="1"/>
  <c r="BM175" i="2"/>
  <c r="BN30" i="2"/>
  <c r="N159" i="2"/>
  <c r="N169" i="2" s="1"/>
  <c r="N171" i="2" s="1"/>
  <c r="O159" i="2"/>
  <c r="N219" i="2"/>
  <c r="N218" i="2"/>
  <c r="N209" i="2"/>
  <c r="N214" i="2"/>
  <c r="P282" i="2"/>
  <c r="P283" i="2"/>
  <c r="BU288" i="2"/>
  <c r="BU282" i="2"/>
  <c r="N221" i="2" l="1"/>
  <c r="N61" i="2"/>
  <c r="N175" i="2"/>
  <c r="N181" i="2" s="1"/>
  <c r="BM181" i="2"/>
  <c r="BM186" i="2" s="1"/>
  <c r="BU290" i="2"/>
  <c r="P288" i="2"/>
  <c r="BN229" i="2"/>
  <c r="BN228" i="2"/>
  <c r="BN230" i="2"/>
  <c r="BN32" i="2"/>
  <c r="P290" i="2" l="1"/>
  <c r="BN33" i="2"/>
  <c r="BN34" i="2"/>
  <c r="BM277" i="2"/>
  <c r="BM190" i="2"/>
  <c r="BM182" i="2"/>
  <c r="BM2" i="2"/>
  <c r="N186" i="2"/>
  <c r="BM312" i="2"/>
  <c r="N312" i="2" s="1"/>
  <c r="BM220" i="2"/>
  <c r="BM225" i="2" l="1"/>
  <c r="BM223" i="2"/>
  <c r="BM222" i="2"/>
  <c r="BM226" i="2"/>
  <c r="BN41" i="2"/>
  <c r="BN63" i="2"/>
  <c r="N277" i="2"/>
  <c r="N190" i="2"/>
  <c r="N2" i="2"/>
  <c r="N220" i="2"/>
  <c r="BM236" i="2"/>
  <c r="BM234" i="2"/>
  <c r="BM198" i="2"/>
  <c r="BM215" i="2" s="1"/>
  <c r="N225" i="2" l="1"/>
  <c r="N223" i="2"/>
  <c r="N226" i="2"/>
  <c r="N222" i="2"/>
  <c r="N234" i="2"/>
  <c r="N236" i="2"/>
  <c r="N198" i="2"/>
  <c r="N215" i="2" s="1"/>
  <c r="BN267" i="2"/>
  <c r="BN266" i="2"/>
  <c r="BN264" i="2"/>
  <c r="BN262" i="2" s="1"/>
  <c r="BN157" i="2"/>
  <c r="BN135" i="2"/>
  <c r="BN211" i="2"/>
  <c r="BN213" i="2" l="1"/>
  <c r="BN169" i="2"/>
  <c r="BN171" i="2" s="1"/>
  <c r="BN45" i="2"/>
  <c r="BN143" i="2"/>
  <c r="BN292" i="2" l="1"/>
  <c r="BN294" i="2" s="1"/>
  <c r="BN310" i="2" s="1"/>
  <c r="BN273" i="2"/>
  <c r="BN270" i="2"/>
  <c r="BN269" i="2"/>
  <c r="BN284" i="2"/>
  <c r="BN285" i="2"/>
  <c r="BN43" i="2"/>
  <c r="BN1" i="2" s="1"/>
  <c r="BN44" i="2"/>
  <c r="BN324" i="2" l="1"/>
  <c r="BN325" i="2" s="1"/>
  <c r="BN316" i="2"/>
  <c r="BN206" i="2" s="1"/>
  <c r="BN311" i="2"/>
  <c r="BN219" i="2" l="1"/>
  <c r="BN218" i="2"/>
  <c r="BN209" i="2"/>
  <c r="BN214" i="2"/>
  <c r="BN221" i="2" l="1"/>
  <c r="BN175" i="2"/>
  <c r="BO30" i="2"/>
  <c r="BN181" i="2" l="1"/>
  <c r="BN186" i="2" s="1"/>
  <c r="BO229" i="2"/>
  <c r="BO228" i="2"/>
  <c r="BO32" i="2"/>
  <c r="BO230" i="2"/>
  <c r="BN277" i="2" l="1"/>
  <c r="BN190" i="2"/>
  <c r="BN182" i="2"/>
  <c r="BN2" i="2"/>
  <c r="BN312" i="2"/>
  <c r="BN220" i="2"/>
  <c r="BO33" i="2"/>
  <c r="BO34" i="2" s="1"/>
  <c r="BO63" i="2" l="1"/>
  <c r="BO41" i="2"/>
  <c r="BN226" i="2"/>
  <c r="BN222" i="2"/>
  <c r="BN225" i="2"/>
  <c r="BN223" i="2"/>
  <c r="BN236" i="2"/>
  <c r="BN234" i="2"/>
  <c r="BN198" i="2"/>
  <c r="BN215" i="2" s="1"/>
  <c r="BO266" i="2" l="1"/>
  <c r="BO267" i="2"/>
  <c r="BO264" i="2"/>
  <c r="BO262" i="2" s="1"/>
  <c r="BO157" i="2"/>
  <c r="BO135" i="2"/>
  <c r="BO211" i="2"/>
  <c r="BO213" i="2" l="1"/>
  <c r="BO45" i="2"/>
  <c r="BO143" i="2"/>
  <c r="BO169" i="2"/>
  <c r="BO171" i="2" s="1"/>
  <c r="BO43" i="2" l="1"/>
  <c r="BO1" i="2" s="1"/>
  <c r="BO44" i="2"/>
  <c r="BO292" i="2"/>
  <c r="BO294" i="2" s="1"/>
  <c r="BO310" i="2" s="1"/>
  <c r="BO273" i="2"/>
  <c r="BO270" i="2"/>
  <c r="BO269" i="2"/>
  <c r="BO284" i="2"/>
  <c r="BO285" i="2"/>
  <c r="BO324" i="2" l="1"/>
  <c r="BO325" i="2" s="1"/>
  <c r="BO316" i="2"/>
  <c r="BO206" i="2" s="1"/>
  <c r="BO311" i="2"/>
  <c r="BO218" i="2" l="1"/>
  <c r="BO219" i="2"/>
  <c r="BO209" i="2"/>
  <c r="BO214" i="2"/>
  <c r="BO221" i="2" l="1"/>
  <c r="BO175" i="2"/>
  <c r="BP30" i="2"/>
  <c r="BP229" i="2" l="1"/>
  <c r="BP228" i="2"/>
  <c r="BP230" i="2"/>
  <c r="BP32" i="2"/>
  <c r="BO181" i="2"/>
  <c r="BO186" i="2" s="1"/>
  <c r="BP33" i="2" l="1"/>
  <c r="BP34" i="2" s="1"/>
  <c r="BO277" i="2"/>
  <c r="BO182" i="2"/>
  <c r="BO190" i="2"/>
  <c r="BO2" i="2"/>
  <c r="BO312" i="2"/>
  <c r="BO220" i="2"/>
  <c r="BP63" i="2" l="1"/>
  <c r="BP41" i="2"/>
  <c r="BO223" i="2"/>
  <c r="BO226" i="2"/>
  <c r="BO222" i="2"/>
  <c r="BO225" i="2"/>
  <c r="BO236" i="2"/>
  <c r="BO234" i="2"/>
  <c r="BO198" i="2"/>
  <c r="BO215" i="2" s="1"/>
  <c r="BP264" i="2" l="1"/>
  <c r="BP262" i="2" s="1"/>
  <c r="BP266" i="2"/>
  <c r="BP267" i="2"/>
  <c r="BP157" i="2"/>
  <c r="BP135" i="2"/>
  <c r="BP211" i="2"/>
  <c r="BP213" i="2" l="1"/>
  <c r="BP143" i="2"/>
  <c r="BP45" i="2"/>
  <c r="BP169" i="2"/>
  <c r="BP171" i="2" s="1"/>
  <c r="BP292" i="2" l="1"/>
  <c r="BP294" i="2" s="1"/>
  <c r="BP310" i="2" s="1"/>
  <c r="BP273" i="2"/>
  <c r="BP270" i="2"/>
  <c r="BP269" i="2"/>
  <c r="BP284" i="2"/>
  <c r="BP285" i="2"/>
  <c r="BP43" i="2"/>
  <c r="BP1" i="2" s="1"/>
  <c r="BP44" i="2"/>
  <c r="BP324" i="2" l="1"/>
  <c r="BP325" i="2" s="1"/>
  <c r="BP316" i="2"/>
  <c r="BP206" i="2" s="1"/>
  <c r="BP311" i="2"/>
  <c r="BP219" i="2" l="1"/>
  <c r="BP218" i="2"/>
  <c r="BP209" i="2"/>
  <c r="BP214" i="2"/>
  <c r="BP221" i="2" l="1"/>
  <c r="BP175" i="2"/>
  <c r="BQ30" i="2"/>
  <c r="BQ229" i="2" l="1"/>
  <c r="BQ228" i="2"/>
  <c r="BQ32" i="2"/>
  <c r="BQ230" i="2"/>
  <c r="O30" i="2"/>
  <c r="BP181" i="2"/>
  <c r="BP186" i="2" s="1"/>
  <c r="BP277" i="2" l="1"/>
  <c r="BP182" i="2"/>
  <c r="BP190" i="2"/>
  <c r="BP2" i="2"/>
  <c r="BP312" i="2"/>
  <c r="BP220" i="2"/>
  <c r="BQ33" i="2"/>
  <c r="BQ34" i="2" s="1"/>
  <c r="O229" i="2"/>
  <c r="O228" i="2"/>
  <c r="O32" i="2"/>
  <c r="O230" i="2"/>
  <c r="BQ41" i="2" l="1"/>
  <c r="BQ63" i="2"/>
  <c r="BP236" i="2"/>
  <c r="BP234" i="2"/>
  <c r="BP198" i="2"/>
  <c r="BP215" i="2" s="1"/>
  <c r="BP225" i="2"/>
  <c r="BP223" i="2"/>
  <c r="BP226" i="2"/>
  <c r="BP222" i="2"/>
  <c r="BQ267" i="2" l="1"/>
  <c r="BQ264" i="2"/>
  <c r="BQ262" i="2" s="1"/>
  <c r="BQ266" i="2"/>
  <c r="BQ135" i="2"/>
  <c r="BQ157" i="2"/>
  <c r="BQ169" i="2" s="1"/>
  <c r="BQ171" i="2" s="1"/>
  <c r="BQ211" i="2"/>
  <c r="BQ45" i="2" l="1"/>
  <c r="O262" i="2"/>
  <c r="BQ213" i="2"/>
  <c r="O211" i="2"/>
  <c r="O213" i="2" s="1"/>
  <c r="BQ143" i="2"/>
  <c r="O135" i="2"/>
  <c r="BQ292" i="2" l="1"/>
  <c r="BQ269" i="2"/>
  <c r="BQ270" i="2"/>
  <c r="BQ273" i="2"/>
  <c r="BQ284" i="2"/>
  <c r="BQ285" i="2"/>
  <c r="O264" i="2"/>
  <c r="O45" i="2"/>
  <c r="O273" i="2"/>
  <c r="O269" i="2"/>
  <c r="O270" i="2"/>
  <c r="BQ43" i="2"/>
  <c r="BQ1" i="2" s="1"/>
  <c r="BQ44" i="2"/>
  <c r="O292" i="2" l="1"/>
  <c r="BQ294" i="2"/>
  <c r="BQ310" i="2" l="1"/>
  <c r="O294" i="2"/>
  <c r="BQ324" i="2" l="1"/>
  <c r="BQ325" i="2" s="1"/>
  <c r="BQ316" i="2"/>
  <c r="O310" i="2"/>
  <c r="O324" i="2" s="1"/>
  <c r="O325" i="2" s="1"/>
  <c r="BQ311" i="2"/>
  <c r="O311" i="2" l="1"/>
  <c r="BQ206" i="2"/>
  <c r="O316" i="2"/>
  <c r="BQ219" i="2" l="1"/>
  <c r="BQ218" i="2"/>
  <c r="BQ209" i="2"/>
  <c r="O206" i="2"/>
  <c r="BQ214" i="2"/>
  <c r="O219" i="2" l="1"/>
  <c r="O218" i="2"/>
  <c r="O209" i="2"/>
  <c r="O214" i="2"/>
  <c r="BQ175" i="2"/>
  <c r="BQ221" i="2"/>
  <c r="BR30" i="2"/>
  <c r="O175" i="2" l="1"/>
  <c r="BQ181" i="2"/>
  <c r="BQ186" i="2" s="1"/>
  <c r="BR229" i="2"/>
  <c r="BR228" i="2"/>
  <c r="BR230" i="2"/>
  <c r="BR32" i="2"/>
  <c r="O221" i="2"/>
  <c r="O61" i="2"/>
  <c r="BQ277" i="2" l="1"/>
  <c r="BQ190" i="2"/>
  <c r="BQ182" i="2"/>
  <c r="BQ2" i="2"/>
  <c r="O186" i="2"/>
  <c r="BQ312" i="2"/>
  <c r="O312" i="2" s="1"/>
  <c r="BQ220" i="2"/>
  <c r="BR33" i="2"/>
  <c r="BR34" i="2" s="1"/>
  <c r="BR41" i="2" l="1"/>
  <c r="BR63" i="2"/>
  <c r="BQ236" i="2"/>
  <c r="BQ234" i="2"/>
  <c r="BQ198" i="2"/>
  <c r="BQ215" i="2" s="1"/>
  <c r="BQ223" i="2"/>
  <c r="BQ226" i="2"/>
  <c r="BQ222" i="2"/>
  <c r="BQ225" i="2"/>
  <c r="O277" i="2"/>
  <c r="O190" i="2"/>
  <c r="O2" i="2"/>
  <c r="O220" i="2"/>
  <c r="O226" i="2" l="1"/>
  <c r="O225" i="2"/>
  <c r="O222" i="2"/>
  <c r="O223" i="2"/>
  <c r="BR267" i="2"/>
  <c r="BR266" i="2"/>
  <c r="BR264" i="2"/>
  <c r="BR262" i="2" s="1"/>
  <c r="BR157" i="2"/>
  <c r="BR135" i="2"/>
  <c r="BR211" i="2"/>
  <c r="O234" i="2"/>
  <c r="O236" i="2"/>
  <c r="O198" i="2"/>
  <c r="O215" i="2" s="1"/>
  <c r="BR213" i="2" l="1"/>
  <c r="BR143" i="2"/>
  <c r="BR45" i="2"/>
  <c r="BR169" i="2"/>
  <c r="BR171" i="2" s="1"/>
  <c r="BR273" i="2" l="1"/>
  <c r="BR270" i="2"/>
  <c r="BR292" i="2"/>
  <c r="BR294" i="2" s="1"/>
  <c r="BR269" i="2"/>
  <c r="BR284" i="2"/>
  <c r="BR285" i="2"/>
  <c r="BR43" i="2"/>
  <c r="BR1" i="2" s="1"/>
  <c r="BR44" i="2"/>
  <c r="BR310" i="2" l="1"/>
  <c r="BR311" i="2"/>
  <c r="BR324" i="2" l="1"/>
  <c r="BR325" i="2" s="1"/>
  <c r="BR316" i="2"/>
  <c r="BR206" i="2" s="1"/>
  <c r="BR218" i="2" l="1"/>
  <c r="BR219" i="2"/>
  <c r="BR209" i="2"/>
  <c r="BR214" i="2"/>
  <c r="BR221" i="2" l="1"/>
  <c r="BR175" i="2"/>
  <c r="BS30" i="2"/>
  <c r="BR181" i="2" l="1"/>
  <c r="BR186" i="2" s="1"/>
  <c r="BS228" i="2"/>
  <c r="BS229" i="2"/>
  <c r="BS230" i="2"/>
  <c r="BS32" i="2"/>
  <c r="BS33" i="2" l="1"/>
  <c r="BR277" i="2"/>
  <c r="BR190" i="2"/>
  <c r="BR182" i="2"/>
  <c r="BR2" i="2"/>
  <c r="BR312" i="2"/>
  <c r="BR220" i="2"/>
  <c r="BR236" i="2" l="1"/>
  <c r="BR234" i="2"/>
  <c r="BR198" i="2"/>
  <c r="BR215" i="2" s="1"/>
  <c r="BR226" i="2"/>
  <c r="BR222" i="2"/>
  <c r="BR225" i="2"/>
  <c r="BR223" i="2"/>
  <c r="BS34" i="2"/>
  <c r="BS63" i="2" l="1"/>
  <c r="BS41" i="2"/>
  <c r="BS266" i="2" l="1"/>
  <c r="BS267" i="2"/>
  <c r="BS264" i="2"/>
  <c r="BS262" i="2" s="1"/>
  <c r="BS157" i="2"/>
  <c r="BS135" i="2"/>
  <c r="BS211" i="2"/>
  <c r="BS45" i="2" l="1"/>
  <c r="BS213" i="2"/>
  <c r="BS143" i="2"/>
  <c r="BS169" i="2"/>
  <c r="BS171" i="2" s="1"/>
  <c r="BS273" i="2" l="1"/>
  <c r="BS292" i="2"/>
  <c r="BS294" i="2" s="1"/>
  <c r="BS270" i="2"/>
  <c r="BS269" i="2"/>
  <c r="BS284" i="2"/>
  <c r="BS285" i="2"/>
  <c r="BS43" i="2"/>
  <c r="BS1" i="2" s="1"/>
  <c r="BS44" i="2"/>
  <c r="BS310" i="2" l="1"/>
  <c r="BS311" i="2"/>
  <c r="BS324" i="2" l="1"/>
  <c r="BS325" i="2" s="1"/>
  <c r="BS316" i="2"/>
  <c r="BS206" i="2" s="1"/>
  <c r="BS219" i="2" l="1"/>
  <c r="BS218" i="2"/>
  <c r="BS209" i="2"/>
  <c r="BS214" i="2"/>
  <c r="BS221" i="2" l="1"/>
  <c r="BS175" i="2"/>
  <c r="BT30" i="2"/>
  <c r="BS181" i="2" l="1"/>
  <c r="BS186" i="2" s="1"/>
  <c r="BT229" i="2"/>
  <c r="BT228" i="2"/>
  <c r="BT230" i="2"/>
  <c r="BT32" i="2"/>
  <c r="BT33" i="2" l="1"/>
  <c r="BT34" i="2" s="1"/>
  <c r="BS277" i="2"/>
  <c r="BS182" i="2"/>
  <c r="BS190" i="2"/>
  <c r="BS2" i="2"/>
  <c r="BS312" i="2"/>
  <c r="BS220" i="2"/>
  <c r="BT63" i="2" l="1"/>
  <c r="BT41" i="2"/>
  <c r="BS226" i="2"/>
  <c r="BS222" i="2"/>
  <c r="BS225" i="2"/>
  <c r="BS223" i="2"/>
  <c r="BS234" i="2"/>
  <c r="BS236" i="2"/>
  <c r="BS198" i="2"/>
  <c r="BS215" i="2" s="1"/>
  <c r="BT264" i="2" l="1"/>
  <c r="BT262" i="2" s="1"/>
  <c r="BT266" i="2"/>
  <c r="BT267" i="2"/>
  <c r="BT135" i="2"/>
  <c r="BT157" i="2"/>
  <c r="BT211" i="2"/>
  <c r="BT169" i="2" l="1"/>
  <c r="BT171" i="2" s="1"/>
  <c r="BT213" i="2"/>
  <c r="BT45" i="2"/>
  <c r="BT143" i="2"/>
  <c r="BT292" i="2" l="1"/>
  <c r="BT294" i="2" s="1"/>
  <c r="BT273" i="2"/>
  <c r="BT270" i="2"/>
  <c r="BT269" i="2"/>
  <c r="BT284" i="2"/>
  <c r="BT285" i="2"/>
  <c r="BT43" i="2"/>
  <c r="BT1" i="2" s="1"/>
  <c r="BT44" i="2"/>
  <c r="BT310" i="2" l="1"/>
  <c r="BT311" i="2"/>
  <c r="BT324" i="2" l="1"/>
  <c r="BT325" i="2" s="1"/>
  <c r="BT316" i="2"/>
  <c r="BT206" i="2" s="1"/>
  <c r="BT219" i="2" l="1"/>
  <c r="BT218" i="2"/>
  <c r="BT209" i="2"/>
  <c r="BT214" i="2"/>
  <c r="BT221" i="2" l="1"/>
  <c r="BT175" i="2"/>
  <c r="BU30" i="2"/>
  <c r="BU229" i="2" l="1"/>
  <c r="BU228" i="2"/>
  <c r="BU230" i="2"/>
  <c r="BU32" i="2"/>
  <c r="P30" i="2"/>
  <c r="BT181" i="2"/>
  <c r="BT186" i="2" s="1"/>
  <c r="BU33" i="2" l="1"/>
  <c r="BU34" i="2" s="1"/>
  <c r="BT182" i="2"/>
  <c r="BT277" i="2"/>
  <c r="BT190" i="2"/>
  <c r="BT2" i="2"/>
  <c r="BT312" i="2"/>
  <c r="BT220" i="2"/>
  <c r="P228" i="2"/>
  <c r="P229" i="2"/>
  <c r="P32" i="2"/>
  <c r="P230" i="2"/>
  <c r="BU41" i="2" l="1"/>
  <c r="BU63" i="2"/>
  <c r="BT225" i="2"/>
  <c r="BT223" i="2"/>
  <c r="BT226" i="2"/>
  <c r="BT222" i="2"/>
  <c r="BT236" i="2"/>
  <c r="BT234" i="2"/>
  <c r="BT198" i="2"/>
  <c r="BT215" i="2" s="1"/>
  <c r="N33" i="2"/>
  <c r="O33" i="2"/>
  <c r="P33" i="2"/>
  <c r="P62" i="2" s="1"/>
  <c r="P34" i="2" l="1"/>
  <c r="BU266" i="2"/>
  <c r="BU267" i="2"/>
  <c r="BU264" i="2"/>
  <c r="BU262" i="2" s="1"/>
  <c r="BU157" i="2"/>
  <c r="BU135" i="2"/>
  <c r="BU211" i="2"/>
  <c r="O62" i="2"/>
  <c r="O34" i="2"/>
  <c r="N62" i="2"/>
  <c r="N34" i="2"/>
  <c r="BU169" i="2" l="1"/>
  <c r="BU171" i="2" s="1"/>
  <c r="O157" i="2"/>
  <c r="O169" i="2" s="1"/>
  <c r="O171" i="2" s="1"/>
  <c r="P157" i="2"/>
  <c r="P169" i="2" s="1"/>
  <c r="P171" i="2" s="1"/>
  <c r="O284" i="2"/>
  <c r="O63" i="2"/>
  <c r="O43" i="2"/>
  <c r="O1" i="2" s="1"/>
  <c r="O41" i="2"/>
  <c r="BU143" i="2"/>
  <c r="N135" i="2"/>
  <c r="P135" i="2"/>
  <c r="N284" i="2"/>
  <c r="N63" i="2"/>
  <c r="N43" i="2"/>
  <c r="N41" i="2"/>
  <c r="BU213" i="2"/>
  <c r="P211" i="2"/>
  <c r="P213" i="2" s="1"/>
  <c r="BU45" i="2"/>
  <c r="P262" i="2"/>
  <c r="P63" i="2"/>
  <c r="P41" i="2"/>
  <c r="P273" i="2" l="1"/>
  <c r="P270" i="2"/>
  <c r="P269" i="2"/>
  <c r="N143" i="2"/>
  <c r="O143" i="2"/>
  <c r="P143" i="2"/>
  <c r="P284" i="2"/>
  <c r="BU292" i="2"/>
  <c r="BU269" i="2"/>
  <c r="BU273" i="2"/>
  <c r="BU270" i="2"/>
  <c r="BU284" i="2"/>
  <c r="BU285" i="2"/>
  <c r="O285" i="2"/>
  <c r="O267" i="2"/>
  <c r="O266" i="2"/>
  <c r="O44" i="2"/>
  <c r="P264" i="2"/>
  <c r="P45" i="2"/>
  <c r="P43" i="2" s="1"/>
  <c r="P1" i="2" s="1"/>
  <c r="N285" i="2"/>
  <c r="N267" i="2"/>
  <c r="N266" i="2"/>
  <c r="N44" i="2"/>
  <c r="O181" i="2"/>
  <c r="P285" i="2"/>
  <c r="P266" i="2"/>
  <c r="P267" i="2"/>
  <c r="P44" i="2"/>
  <c r="BU43" i="2"/>
  <c r="BU1" i="2" s="1"/>
  <c r="BU44" i="2"/>
  <c r="N1" i="2"/>
  <c r="P292" i="2" l="1"/>
  <c r="BU294" i="2"/>
  <c r="BU310" i="2" l="1"/>
  <c r="BU311" i="2"/>
  <c r="P294" i="2"/>
  <c r="P311" i="2" l="1"/>
  <c r="BU324" i="2"/>
  <c r="BU325" i="2" s="1"/>
  <c r="BU316" i="2"/>
  <c r="P310" i="2"/>
  <c r="P324" i="2" s="1"/>
  <c r="P325" i="2" s="1"/>
  <c r="BU206" i="2" l="1"/>
  <c r="P316" i="2"/>
  <c r="BU219" i="2" l="1"/>
  <c r="BU218" i="2"/>
  <c r="P206" i="2"/>
  <c r="BU209" i="2"/>
  <c r="BU214" i="2"/>
  <c r="P218" i="2" l="1"/>
  <c r="P219" i="2"/>
  <c r="P209" i="2"/>
  <c r="P214" i="2"/>
  <c r="BU221" i="2"/>
  <c r="BU175" i="2"/>
  <c r="P175" i="2" l="1"/>
  <c r="P181" i="2" s="1"/>
  <c r="BU181" i="2"/>
  <c r="BU186" i="2" s="1"/>
  <c r="P221" i="2"/>
  <c r="P61" i="2"/>
  <c r="BU277" i="2" l="1"/>
  <c r="BU190" i="2"/>
  <c r="BU182" i="2"/>
  <c r="BU2" i="2"/>
  <c r="P186" i="2"/>
  <c r="BU312" i="2"/>
  <c r="P312" i="2" s="1"/>
  <c r="BU220" i="2"/>
  <c r="BU225" i="2" l="1"/>
  <c r="BU223" i="2"/>
  <c r="BU222" i="2"/>
  <c r="BU226" i="2"/>
  <c r="BU236" i="2"/>
  <c r="BU234" i="2"/>
  <c r="BU198" i="2"/>
  <c r="BU215" i="2" s="1"/>
  <c r="P277" i="2"/>
  <c r="P190" i="2"/>
  <c r="P2" i="2"/>
  <c r="P220" i="2"/>
  <c r="P225" i="2" l="1"/>
  <c r="P226" i="2"/>
  <c r="P222" i="2"/>
  <c r="P223" i="2"/>
  <c r="P236" i="2"/>
  <c r="P234" i="2"/>
  <c r="P198" i="2"/>
  <c r="P215" i="2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BF12" authorId="0">
      <text>
        <r>
          <rPr>
            <sz val="9"/>
            <color indexed="81"/>
            <rFont val="Tahoma"/>
            <family val="2"/>
          </rPr>
          <t>idled in Dec. 2016</t>
        </r>
      </text>
    </comment>
    <comment ref="BM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revenue run-rate of $70-90mm by Y/E</t>
        </r>
      </text>
    </comment>
    <comment ref="BE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startup costs and acquisition integration costs</t>
        </r>
      </text>
    </comment>
    <comment ref="BF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startup costs and acquisition integration costs</t>
        </r>
      </text>
    </comment>
    <comment ref="BH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acq. costs</t>
        </r>
      </text>
    </comment>
    <comment ref="BE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startup costs and acquisition integration costs</t>
        </r>
      </text>
    </comment>
    <comment ref="BF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startup costs and acquisition integration costs</t>
        </r>
      </text>
    </comment>
    <comment ref="BH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acq. costs</t>
        </r>
      </text>
    </comment>
    <comment ref="BF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$1.8mm/fleet</t>
        </r>
      </text>
    </comment>
    <comment ref="BH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 net activation (other inorganic)</t>
        </r>
      </text>
    </comment>
    <comment ref="BE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acq. integration costs</t>
        </r>
      </text>
    </comment>
    <comment ref="BF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one-time IPO bonus paid, acquisition, and reorganization costs</t>
        </r>
      </text>
    </comment>
    <comment ref="BG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net acquisition benefit of $1.194mm, $0.108 other IPO costs, also excludes $4.970 litigation reserve</t>
        </r>
      </text>
    </comment>
    <comment ref="BH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~$6.9mm in acquisition, $0.98mm IPO costs, legal reserve true-up, other IPO true-up</t>
        </r>
      </text>
    </comment>
    <comment ref="BI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offering-related expenses and litigation contingency accruals</t>
        </r>
      </text>
    </comment>
    <comment ref="BB31" authorId="0">
      <text>
        <r>
          <rPr>
            <sz val="9"/>
            <color indexed="81"/>
            <rFont val="Tahoma"/>
            <family val="2"/>
          </rPr>
          <t>assume "other" adjustment items here</t>
        </r>
      </text>
    </comment>
    <comment ref="BC31" authorId="0">
      <text>
        <r>
          <rPr>
            <sz val="9"/>
            <color indexed="81"/>
            <rFont val="Tahoma"/>
            <family val="2"/>
          </rPr>
          <t>assume "other" adjustment items here</t>
        </r>
      </text>
    </comment>
    <comment ref="BD31" authorId="0">
      <text>
        <r>
          <rPr>
            <sz val="9"/>
            <color indexed="81"/>
            <rFont val="Tahoma"/>
            <family val="2"/>
          </rPr>
          <t>assume "other" adjustment items here</t>
        </r>
      </text>
    </comment>
    <comment ref="BG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settlement with TCW</t>
        </r>
      </text>
    </comment>
    <comment ref="BH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a CVR/TCW related true-up</t>
        </r>
      </text>
    </comment>
    <comment ref="BI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 on sale of CT assets</t>
        </r>
      </text>
    </comment>
    <comment ref="J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change in value of fin. instruments &amp; other, acquisition costs</t>
        </r>
      </text>
    </comment>
    <comment ref="K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change in value of fin. instruments &amp; other</t>
        </r>
      </text>
    </comment>
    <comment ref="BB40" authorId="0">
      <text>
        <r>
          <rPr>
            <sz val="9"/>
            <color indexed="81"/>
            <rFont val="Tahoma"/>
            <family val="2"/>
          </rPr>
          <t>acquisition, integration and other costs</t>
        </r>
      </text>
    </comment>
    <comment ref="BC40" authorId="0">
      <text>
        <r>
          <rPr>
            <sz val="9"/>
            <color indexed="81"/>
            <rFont val="Tahoma"/>
            <family val="2"/>
          </rPr>
          <t>acquisition, integration and other costs</t>
        </r>
      </text>
    </comment>
    <comment ref="BD40" authorId="0">
      <text>
        <r>
          <rPr>
            <sz val="9"/>
            <color indexed="81"/>
            <rFont val="Tahoma"/>
            <family val="2"/>
          </rPr>
          <t>acquisition, integration and other costs</t>
        </r>
      </text>
    </comment>
    <comment ref="BE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hedging and forex</t>
        </r>
      </text>
    </comment>
    <comment ref="BF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hedging and forex, deal-related bonuses, debt retirement costs, one-time refinancing-related interest expense </t>
        </r>
      </text>
    </comment>
    <comment ref="BG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indemnification settlement with TCW, other acquisition/integration costs</t>
        </r>
      </text>
    </comment>
    <comment ref="BI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 on 2016 TCW insurance and CVR change, offering-related expenses</t>
        </r>
      </text>
    </comment>
    <comment ref="BH6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hardcoded higher - assets acquired at beginning of quarter</t>
        </r>
      </text>
    </comment>
    <comment ref="BH6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hardcoded higher - debt assumed at beginning of quarter</t>
        </r>
      </text>
    </comment>
    <comment ref="BH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 payment in '17</t>
        </r>
      </text>
    </comment>
    <comment ref="BI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 payment in '17</t>
        </r>
      </text>
    </comment>
    <comment ref="BH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 Q2 at 19, 1 organic + 5 from RockPile</t>
        </r>
      </text>
    </comment>
    <comment ref="BI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exiting 3Q with 25 deployed, expect full deployment by year-end</t>
        </r>
      </text>
    </comment>
    <comment ref="BL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 at end of 2Q, 1 at end of 3Q</t>
        </r>
      </text>
    </comment>
    <comment ref="BM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3rd enters end of 4Q</t>
        </r>
      </text>
    </comment>
    <comment ref="BJ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goal seek to get to $500mm rev. guidance</t>
        </r>
      </text>
    </comment>
    <comment ref="BH8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+Rockpile</t>
        </r>
      </text>
    </comment>
    <comment ref="BI8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30kHP already ordered</t>
        </r>
      </text>
    </comment>
    <comment ref="BB102" authorId="0">
      <text>
        <r>
          <rPr>
            <sz val="9"/>
            <color indexed="81"/>
            <rFont val="Tahoma"/>
            <family val="2"/>
          </rPr>
          <t>$2.5mm per active fleet, $25k per active wireline truck -- assume 1:1 proportion</t>
        </r>
      </text>
    </comment>
    <comment ref="BJ1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$115mm / 3 new fleets</t>
        </r>
      </text>
    </comment>
    <comment ref="BI10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new fleet $26.5mm less 9mm deposit already paid and reimbursed by FRAC, also 20% prepayment on the new fleets</t>
        </r>
      </text>
    </comment>
    <comment ref="BK10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the prepayment</t>
        </r>
      </text>
    </comment>
    <comment ref="BE1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acquisition, integration and fleet commissioning</t>
        </r>
      </text>
    </comment>
    <comment ref="BF1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startup &amp; deal-related costs</t>
        </r>
      </text>
    </comment>
    <comment ref="BG1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start-up costs</t>
        </r>
      </text>
    </comment>
    <comment ref="BE1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acquisition, integration and fleet commissioning</t>
        </r>
      </text>
    </comment>
    <comment ref="BF11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acq. &amp; integration costs</t>
        </r>
      </text>
    </comment>
    <comment ref="BF1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deal-related costs, acquisition &amp; integration costs</t>
        </r>
      </text>
    </comment>
    <comment ref="BG1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negative acq. &amp; integration cost effect, IPO costs, and litigation reserve</t>
        </r>
      </text>
    </comment>
    <comment ref="BS1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3 year-vesting of IPO stock options</t>
        </r>
      </text>
    </comment>
    <comment ref="J1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tax expense recorded in G&amp;A</t>
        </r>
      </text>
    </comment>
    <comment ref="K1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tax expense recorded in G&amp;A</t>
        </r>
      </text>
    </comment>
    <comment ref="BE14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BF16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primarily loss on debt extinguishment</t>
        </r>
      </text>
    </comment>
    <comment ref="BH17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$9mm capex reimbursement </t>
        </r>
      </text>
    </comment>
    <comment ref="BF17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prepayment penalty, financing costs</t>
        </r>
      </text>
    </comment>
    <comment ref="BA191" authorId="0">
      <text>
        <r>
          <rPr>
            <sz val="9"/>
            <color indexed="81"/>
            <rFont val="Tahoma"/>
            <family val="2"/>
          </rPr>
          <t>$4.7mm assets not placed into service</t>
        </r>
      </text>
    </comment>
    <comment ref="BD191" authorId="0">
      <text>
        <r>
          <rPr>
            <sz val="9"/>
            <color indexed="81"/>
            <rFont val="Tahoma"/>
            <family val="2"/>
          </rPr>
          <t>includes $14.7mm of assets not placed into service</t>
        </r>
      </text>
    </comment>
    <comment ref="BE191" authorId="0">
      <text>
        <r>
          <rPr>
            <sz val="9"/>
            <color indexed="81"/>
            <rFont val="Tahoma"/>
            <family val="2"/>
          </rPr>
          <t>includes construction in progress</t>
        </r>
      </text>
    </comment>
    <comment ref="BJ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targeting ~$15mm in cash taxes</t>
        </r>
      </text>
    </comment>
    <comment ref="BE297" authorId="0">
      <text>
        <r>
          <rPr>
            <sz val="9"/>
            <color indexed="81"/>
            <rFont val="Tahoma"/>
            <family val="2"/>
          </rPr>
          <t xml:space="preserve">$5mm annual mandatory amortization
</t>
        </r>
      </text>
    </comment>
    <comment ref="BF297" authorId="0">
      <text>
        <r>
          <rPr>
            <sz val="9"/>
            <color indexed="81"/>
            <rFont val="Tahoma"/>
            <family val="2"/>
          </rPr>
          <t xml:space="preserve">$5mm annual mandatory amortization
</t>
        </r>
      </text>
    </comment>
    <comment ref="BP297" authorId="0">
      <text>
        <r>
          <rPr>
            <sz val="9"/>
            <color indexed="81"/>
            <rFont val="Tahoma"/>
            <family val="2"/>
          </rPr>
          <t>Aug. 8th, 2019</t>
        </r>
      </text>
    </comment>
    <comment ref="BF2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old term loan fully paid down with IPO proceeds, adding another $150mm facility</t>
        </r>
      </text>
    </comment>
    <comment ref="BF299" authorId="0">
      <text>
        <r>
          <rPr>
            <sz val="9"/>
            <color indexed="81"/>
            <rFont val="Tahoma"/>
            <family val="2"/>
          </rPr>
          <t>$2.6mm annual amort.</t>
        </r>
      </text>
    </comment>
    <comment ref="BE300" authorId="0">
      <text>
        <r>
          <rPr>
            <sz val="9"/>
            <color indexed="81"/>
            <rFont val="Tahoma"/>
            <family val="2"/>
          </rPr>
          <t>OID</t>
        </r>
      </text>
    </comment>
    <comment ref="BF300" authorId="0">
      <text>
        <r>
          <rPr>
            <sz val="9"/>
            <color indexed="81"/>
            <rFont val="Tahoma"/>
            <family val="2"/>
          </rPr>
          <t>OID</t>
        </r>
      </text>
    </comment>
    <comment ref="B3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fixed charge coverage of 1:1 if not working</t>
        </r>
      </text>
    </comment>
    <comment ref="B331" authorId="0">
      <text>
        <r>
          <rPr>
            <sz val="9"/>
            <color indexed="81"/>
            <rFont val="Tahoma"/>
            <family val="2"/>
          </rPr>
          <t>as defined by TCW - more comparable to EBITDA</t>
        </r>
      </text>
    </comment>
    <comment ref="B332" authorId="0">
      <text>
        <r>
          <rPr>
            <sz val="9"/>
            <color indexed="81"/>
            <rFont val="Tahoma"/>
            <family val="2"/>
          </rPr>
          <t>as defined by TCW - more comparable to EBITDA</t>
        </r>
      </text>
    </comment>
    <comment ref="AR3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IR deck</t>
        </r>
      </text>
    </comment>
    <comment ref="AV3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Nov. IR deck</t>
        </r>
      </text>
    </comment>
    <comment ref="AW3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Dec. IR dec</t>
        </r>
      </text>
    </comment>
    <comment ref="AY354" authorId="0">
      <text>
        <r>
          <rPr>
            <sz val="9"/>
            <color indexed="81"/>
            <rFont val="Tahoma"/>
            <family val="2"/>
          </rPr>
          <t xml:space="preserve">8 fleets active vs. 16 at end of 2014; investor presentation lists 330 active hp
</t>
        </r>
      </text>
    </comment>
    <comment ref="AZ354" authorId="0">
      <text>
        <r>
          <rPr>
            <sz val="9"/>
            <color indexed="81"/>
            <rFont val="Tahoma"/>
            <family val="2"/>
          </rPr>
          <t>now 6 fleets active, assume 40kHp removed</t>
        </r>
      </text>
    </comment>
    <comment ref="AX355" authorId="0">
      <text>
        <r>
          <rPr>
            <sz val="9"/>
            <color indexed="81"/>
            <rFont val="Tahoma"/>
            <family val="2"/>
          </rPr>
          <t>investor deck - may have impaired some hp as part of base shutdown</t>
        </r>
      </text>
    </comment>
    <comment ref="AV358" authorId="0">
      <text>
        <r>
          <rPr>
            <sz val="9"/>
            <color indexed="81"/>
            <rFont val="Tahoma"/>
            <family val="2"/>
          </rPr>
          <t>price book increase</t>
        </r>
      </text>
    </comment>
    <comment ref="B36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MS estimate</t>
        </r>
      </text>
    </comment>
    <comment ref="AZ36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mid-quarter shutdowns</t>
        </r>
      </text>
    </comment>
    <comment ref="B37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Based on sum of TCW and FRAC reported #s, does not exclude non-acquired businesses</t>
        </r>
      </text>
    </comment>
    <comment ref="B40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Keane-reported adjustments to TCW historical results</t>
        </r>
      </text>
    </comment>
  </commentList>
</comments>
</file>

<file path=xl/sharedStrings.xml><?xml version="1.0" encoding="utf-8"?>
<sst xmlns="http://schemas.openxmlformats.org/spreadsheetml/2006/main" count="881" uniqueCount="728">
  <si>
    <t>x</t>
  </si>
  <si>
    <t>Statutory Tax Rate</t>
  </si>
  <si>
    <t>Net Issuance and repurchase</t>
  </si>
  <si>
    <t>Unrecorded Goodwill</t>
  </si>
  <si>
    <t>MW Tags</t>
  </si>
  <si>
    <t>Seq. Change in Rig Count</t>
  </si>
  <si>
    <t>Revenue/Rig ($000s)</t>
  </si>
  <si>
    <t>US Land Rig Count</t>
  </si>
  <si>
    <t>EBITDA/Available HHP</t>
  </si>
  <si>
    <t>Gross Margin/Available HHP</t>
  </si>
  <si>
    <t>Revenue/Available HHP</t>
  </si>
  <si>
    <t>Frac-Only Revenue/HHP</t>
  </si>
  <si>
    <t>Revenue/Deployed HHP</t>
  </si>
  <si>
    <t xml:space="preserve">NA </t>
  </si>
  <si>
    <t>Seq. Change in Revenue/Job</t>
  </si>
  <si>
    <t>Seq. Change in Job Count</t>
  </si>
  <si>
    <t>HHP Available</t>
  </si>
  <si>
    <t>HHP Deployed</t>
  </si>
  <si>
    <t>Revenue/Job</t>
  </si>
  <si>
    <t>Job Count</t>
  </si>
  <si>
    <t>ND</t>
  </si>
  <si>
    <t>Coiled Tubing</t>
  </si>
  <si>
    <t>Cementing</t>
  </si>
  <si>
    <t>Fracturing</t>
  </si>
  <si>
    <t>Sales % Mix</t>
  </si>
  <si>
    <t>Sales Mix</t>
  </si>
  <si>
    <t>Adj. Operating % Margin</t>
  </si>
  <si>
    <t>Operating % Margin</t>
  </si>
  <si>
    <t>G&amp;A % of Sales</t>
  </si>
  <si>
    <t>Gross Margin %</t>
  </si>
  <si>
    <t>Opex % of Sales</t>
  </si>
  <si>
    <t>Revenue % Growth</t>
  </si>
  <si>
    <t>Key Metrics</t>
  </si>
  <si>
    <t>Adj. Operating Income</t>
  </si>
  <si>
    <t>Operating Income</t>
  </si>
  <si>
    <t>SG&amp;A</t>
  </si>
  <si>
    <t>Operating Expenses</t>
  </si>
  <si>
    <t>Total Revenues</t>
  </si>
  <si>
    <t>Memo: TCW Historical Results</t>
  </si>
  <si>
    <t>Total</t>
  </si>
  <si>
    <t>Revolver</t>
  </si>
  <si>
    <t>Total Debt, Ex Revolver</t>
  </si>
  <si>
    <t>Other</t>
  </si>
  <si>
    <t>Capital Leases</t>
  </si>
  <si>
    <t>Senior Secured Notes</t>
  </si>
  <si>
    <t>Net Drawn (Repaid)</t>
  </si>
  <si>
    <t>LT Debt</t>
  </si>
  <si>
    <t>ST Debt</t>
  </si>
  <si>
    <t>Total Liquidity</t>
  </si>
  <si>
    <t>Amount Drawn</t>
  </si>
  <si>
    <t>Cash Capacity</t>
  </si>
  <si>
    <t>(Letters of Credit)</t>
  </si>
  <si>
    <t>Revolver Capacity</t>
  </si>
  <si>
    <t>Debt Detail</t>
  </si>
  <si>
    <t>Revolver Req'd</t>
  </si>
  <si>
    <t>Notes &amp; Other</t>
  </si>
  <si>
    <t>Shareholders' Equity</t>
  </si>
  <si>
    <t>Funding Req'd</t>
  </si>
  <si>
    <t>Operating Cash</t>
  </si>
  <si>
    <t>Net Operating Assets Req'd</t>
  </si>
  <si>
    <t>ROE (GAAP)</t>
  </si>
  <si>
    <t>ROE (Operating)</t>
  </si>
  <si>
    <t>RNOA (ROIC)</t>
  </si>
  <si>
    <t>Op. Asset Turnover</t>
  </si>
  <si>
    <t>NOPAT % Margin</t>
  </si>
  <si>
    <t>NOPAT</t>
  </si>
  <si>
    <t>EBIT</t>
  </si>
  <si>
    <t>Invested Capital</t>
  </si>
  <si>
    <t>Net Operating Assets</t>
  </si>
  <si>
    <t>Tangible Book Value/Share</t>
  </si>
  <si>
    <t>Book Value/Share</t>
  </si>
  <si>
    <t>Basic EPS (Ex-Extraordinary)</t>
  </si>
  <si>
    <t>Basic EPS (Incl. Extraordinary)</t>
  </si>
  <si>
    <t>Dilution Ratio</t>
  </si>
  <si>
    <t>Common Shares at Period End</t>
  </si>
  <si>
    <t>Diluted Shares Outstanding</t>
  </si>
  <si>
    <t>Basic Shares Outstanding</t>
  </si>
  <si>
    <t>Shares Outstanding &amp; Book Value/Sh.</t>
  </si>
  <si>
    <t>Remaining Useful Life (Years)</t>
  </si>
  <si>
    <t>Average Asset Age (Years)</t>
  </si>
  <si>
    <t>Avg. Asset Life (Years)</t>
  </si>
  <si>
    <t>Capex / Depreciation</t>
  </si>
  <si>
    <t>Capex / Revenues</t>
  </si>
  <si>
    <t>Depreciation / Revenues</t>
  </si>
  <si>
    <t>Capital Expenditures</t>
  </si>
  <si>
    <t>Depreciation</t>
  </si>
  <si>
    <t>Other Current Liabilities (% of Ann. Revenue)</t>
  </si>
  <si>
    <t>Accrued Expenses (% of Ann. COGS)</t>
  </si>
  <si>
    <t>Other Current Assets (% of Ann. Revenue)</t>
  </si>
  <si>
    <t>Cash Conversion Cycle (Days)</t>
  </si>
  <si>
    <t>Payables Days</t>
  </si>
  <si>
    <t>Payables Turnover (x)</t>
  </si>
  <si>
    <t>Days Inventory</t>
  </si>
  <si>
    <t>Inventory Turnover (x)</t>
  </si>
  <si>
    <t>Receivables Days</t>
  </si>
  <si>
    <t>Receivables Turnover (x)</t>
  </si>
  <si>
    <t>Current Ratio</t>
  </si>
  <si>
    <t>Operating Working Capital ($mm)</t>
  </si>
  <si>
    <t>Total Working Capital ($mm)</t>
  </si>
  <si>
    <t>Capex/D&amp;A</t>
  </si>
  <si>
    <t>EBIT/Int. Expense</t>
  </si>
  <si>
    <t>(EBITDA-Capex)/Int. Expense</t>
  </si>
  <si>
    <t>EBITDA/Int. Expense</t>
  </si>
  <si>
    <t>Net Debt/LTM EBIT</t>
  </si>
  <si>
    <t>Net Debt/LTM EBITDA</t>
  </si>
  <si>
    <t>Net Debt/Equity</t>
  </si>
  <si>
    <t>Net Debt/Net Capital</t>
  </si>
  <si>
    <t>Total Debt/Capital</t>
  </si>
  <si>
    <t>Net Debt</t>
  </si>
  <si>
    <t>Total Debt</t>
  </si>
  <si>
    <t>Total Capital</t>
  </si>
  <si>
    <t>Leverage &amp; Credit Metrics:</t>
  </si>
  <si>
    <t>Supporting Schedules</t>
  </si>
  <si>
    <t>Total Liabilities &amp; Equity</t>
  </si>
  <si>
    <t>AOCI</t>
  </si>
  <si>
    <t>Retained Earnings</t>
  </si>
  <si>
    <t>Contributed Capital</t>
  </si>
  <si>
    <t>Total Liabilities</t>
  </si>
  <si>
    <t>Other Non-Current Liabilities</t>
  </si>
  <si>
    <t>Deferred Taxes</t>
  </si>
  <si>
    <t>LT Debt &amp; Capital Leases</t>
  </si>
  <si>
    <t>Total Current Liabilities</t>
  </si>
  <si>
    <t>Other Current Liabilities</t>
  </si>
  <si>
    <t>Accrued Expenses</t>
  </si>
  <si>
    <t>Accounts Payable</t>
  </si>
  <si>
    <t>Liabilities &amp; Equity:</t>
  </si>
  <si>
    <t>Total Assets</t>
  </si>
  <si>
    <t>Other Non-Current Assets</t>
  </si>
  <si>
    <t>Intangibles</t>
  </si>
  <si>
    <t>Goodwill</t>
  </si>
  <si>
    <t>Net PP&amp;E</t>
  </si>
  <si>
    <t>Accumulated Depreciation</t>
  </si>
  <si>
    <t>Gross PP&amp;E</t>
  </si>
  <si>
    <t>Total Current Assets</t>
  </si>
  <si>
    <t>Inventory</t>
  </si>
  <si>
    <t>Accounts Receivable</t>
  </si>
  <si>
    <t>Cash &amp; Equivalents</t>
  </si>
  <si>
    <t>Assets:</t>
  </si>
  <si>
    <t>($ in Millions)</t>
  </si>
  <si>
    <t>Balance Sheet</t>
  </si>
  <si>
    <t>Total Change in Cash</t>
  </si>
  <si>
    <t>Other Financing Cash Flows</t>
  </si>
  <si>
    <t>Purchase of Treasury Shares</t>
  </si>
  <si>
    <t>Equity Issues / Options Activity</t>
  </si>
  <si>
    <t>Dividends</t>
  </si>
  <si>
    <t>Issuance / (Paydown) of Debt</t>
  </si>
  <si>
    <t>Other Investing Cash Flows</t>
  </si>
  <si>
    <t>Asset Disposals</t>
  </si>
  <si>
    <t>Acquisitions &amp; Investments</t>
  </si>
  <si>
    <t>Free Cash Flow (FCF)</t>
  </si>
  <si>
    <t>Cash Flow from Operations</t>
  </si>
  <si>
    <t>Non-Current Assets/Liabilities</t>
  </si>
  <si>
    <t>Other Current Assets/Liabilities</t>
  </si>
  <si>
    <t>Changes in Operating Assets/Liabilities</t>
  </si>
  <si>
    <t>Stock-Based Compensation</t>
  </si>
  <si>
    <t>D&amp;A</t>
  </si>
  <si>
    <t>Net Income (GAAP)</t>
  </si>
  <si>
    <t>Cash Flow Statement</t>
  </si>
  <si>
    <t>EBIT/Rig ($000s)</t>
  </si>
  <si>
    <t>Change in US Rig Count</t>
  </si>
  <si>
    <t>United States Land Rig Count</t>
  </si>
  <si>
    <t>Keane Market Share</t>
  </si>
  <si>
    <t>Market Demand (Fleets)</t>
  </si>
  <si>
    <t>Market Demand (HP)</t>
  </si>
  <si>
    <t>Macro Data</t>
  </si>
  <si>
    <t>Adjusted EBITDA</t>
  </si>
  <si>
    <t>Total Adjustments</t>
  </si>
  <si>
    <t>Changes in Value of Financial Instruments</t>
  </si>
  <si>
    <t>Share-Based Compensation</t>
  </si>
  <si>
    <t>Loss on Impairment of Assets</t>
  </si>
  <si>
    <t>Fleet Commissioning Costs</t>
  </si>
  <si>
    <t>Acquisition, Integration, Expansion &amp; Divestiture</t>
  </si>
  <si>
    <t>Reported EBITDA</t>
  </si>
  <si>
    <t>Adjusted G&amp;A</t>
  </si>
  <si>
    <t>Adjustments</t>
  </si>
  <si>
    <t>Reported G&amp;A</t>
  </si>
  <si>
    <t>Total Cost of Sales</t>
  </si>
  <si>
    <t>Other Services</t>
  </si>
  <si>
    <t>Completion Services</t>
  </si>
  <si>
    <t>Adjusted Cost of Sales:</t>
  </si>
  <si>
    <t>Adjustments:</t>
  </si>
  <si>
    <t>Reported Cost of Sales:</t>
  </si>
  <si>
    <t>Total Capex</t>
  </si>
  <si>
    <t>Other Capex</t>
  </si>
  <si>
    <t>Growth Capex / Newbuild Fleet</t>
  </si>
  <si>
    <t>Maintenance Capex / Active Fleet</t>
  </si>
  <si>
    <t>Implied Corporate &amp; Other Overhead</t>
  </si>
  <si>
    <t>Incremental G&amp;A/Fleet</t>
  </si>
  <si>
    <t>G&amp;A</t>
  </si>
  <si>
    <t>Total Horsepower (000s)</t>
  </si>
  <si>
    <t>Gross Profit per Active Fleet (Annualized)</t>
  </si>
  <si>
    <t>Revenue per Active Fleet (Annualized)</t>
  </si>
  <si>
    <t>Active Wireline Trucks</t>
  </si>
  <si>
    <t>% Bundled with Wireline</t>
  </si>
  <si>
    <t>% Utilization</t>
  </si>
  <si>
    <t>Deployed Frac Fleets</t>
  </si>
  <si>
    <t>Newbuild Fleets</t>
  </si>
  <si>
    <t>Total Frac Fleets</t>
  </si>
  <si>
    <t>Operating Data, CapEx &amp; G&amp;A Build</t>
  </si>
  <si>
    <t>Net Margin</t>
  </si>
  <si>
    <t>Effective Tax Rate</t>
  </si>
  <si>
    <t>Average Cost of Debt (Ann.)</t>
  </si>
  <si>
    <t>EBIT Margin</t>
  </si>
  <si>
    <t>EBITDA % Margin</t>
  </si>
  <si>
    <t>Other Services Incr. Gross % Margin</t>
  </si>
  <si>
    <t>Incremental Gross Margins</t>
  </si>
  <si>
    <t>Other Services Gross % Margin</t>
  </si>
  <si>
    <t>Completion Services Gross % Margin</t>
  </si>
  <si>
    <t>Total Gross % Margin</t>
  </si>
  <si>
    <t>Group Revenue Growth (Sequential)</t>
  </si>
  <si>
    <t xml:space="preserve">  </t>
  </si>
  <si>
    <t>Drivers</t>
  </si>
  <si>
    <t>Dividends per Share</t>
  </si>
  <si>
    <t>GAAP EPS</t>
  </si>
  <si>
    <t>Operating EPS</t>
  </si>
  <si>
    <t>Discontinued Operations</t>
  </si>
  <si>
    <t>Restructuring Charges</t>
  </si>
  <si>
    <t>Impairments and Asset Write-Downs</t>
  </si>
  <si>
    <t>Gain (Loss) on Sale</t>
  </si>
  <si>
    <t>Net Income (Operating)</t>
  </si>
  <si>
    <t>Taxes</t>
  </si>
  <si>
    <t>EBT</t>
  </si>
  <si>
    <t>Other Income</t>
  </si>
  <si>
    <t>Net Interest (Expense)</t>
  </si>
  <si>
    <t>Total EBIT</t>
  </si>
  <si>
    <t>(D&amp;A)</t>
  </si>
  <si>
    <t>EBITDA</t>
  </si>
  <si>
    <t>(SG&amp;A)</t>
  </si>
  <si>
    <t>Total Gross Profit</t>
  </si>
  <si>
    <t>Gross Profit</t>
  </si>
  <si>
    <t>Cost of Sales</t>
  </si>
  <si>
    <t>Revenue Breakdown:</t>
  </si>
  <si>
    <t>Income Statement</t>
  </si>
  <si>
    <t>4Q20E</t>
  </si>
  <si>
    <t>3Q20E</t>
  </si>
  <si>
    <t>2Q20E</t>
  </si>
  <si>
    <t>1Q20E</t>
  </si>
  <si>
    <t>4Q19E</t>
  </si>
  <si>
    <t>3Q19E</t>
  </si>
  <si>
    <t>2Q19E</t>
  </si>
  <si>
    <t>1Q19E</t>
  </si>
  <si>
    <t>4Q18E</t>
  </si>
  <si>
    <t>3Q18E</t>
  </si>
  <si>
    <t>2Q18E</t>
  </si>
  <si>
    <t>1Q18E</t>
  </si>
  <si>
    <t>3Q16</t>
  </si>
  <si>
    <t>2Q16</t>
  </si>
  <si>
    <t>1Q16</t>
  </si>
  <si>
    <t>4Q15</t>
  </si>
  <si>
    <t>3Q15</t>
  </si>
  <si>
    <t>2Q15</t>
  </si>
  <si>
    <t>1Q15</t>
  </si>
  <si>
    <t>4Q14</t>
  </si>
  <si>
    <t>3Q14</t>
  </si>
  <si>
    <t>2Q14</t>
  </si>
  <si>
    <t>1Q14</t>
  </si>
  <si>
    <t>4Q13</t>
  </si>
  <si>
    <t>3Q13</t>
  </si>
  <si>
    <t>2Q13</t>
  </si>
  <si>
    <t>1Q13</t>
  </si>
  <si>
    <t>4Q12</t>
  </si>
  <si>
    <t>3Q12</t>
  </si>
  <si>
    <t>2Q12</t>
  </si>
  <si>
    <t>1Q12</t>
  </si>
  <si>
    <t>4Q11</t>
  </si>
  <si>
    <t>3Q11</t>
  </si>
  <si>
    <t>2Q11</t>
  </si>
  <si>
    <t>1Q11</t>
  </si>
  <si>
    <t>4Q10</t>
  </si>
  <si>
    <t>3Q10</t>
  </si>
  <si>
    <t>2Q10</t>
  </si>
  <si>
    <t>1Q10</t>
  </si>
  <si>
    <t>4Q09</t>
  </si>
  <si>
    <t>3Q09</t>
  </si>
  <si>
    <t>2Q09</t>
  </si>
  <si>
    <t>1Q09</t>
  </si>
  <si>
    <t>4Q08</t>
  </si>
  <si>
    <t>3Q08</t>
  </si>
  <si>
    <t>2Q08</t>
  </si>
  <si>
    <t>1Q08</t>
  </si>
  <si>
    <t>4Q07</t>
  </si>
  <si>
    <t>3Q07</t>
  </si>
  <si>
    <t>2Q07</t>
  </si>
  <si>
    <t>1Q07</t>
  </si>
  <si>
    <t>2020E</t>
  </si>
  <si>
    <t>2019E</t>
  </si>
  <si>
    <t>2018E</t>
  </si>
  <si>
    <t>Days in Period</t>
  </si>
  <si>
    <t>Year</t>
  </si>
  <si>
    <t>Period End</t>
  </si>
  <si>
    <t>Keane Group Inc. (FRAC) Earnings Model</t>
  </si>
  <si>
    <t>Morgan Stanley</t>
  </si>
  <si>
    <t>Adj. EBITDA</t>
  </si>
  <si>
    <t>Avg. Diluted Share Count</t>
  </si>
  <si>
    <t>Funding</t>
  </si>
  <si>
    <t>Reconciliation to GAAP Net Income:</t>
  </si>
  <si>
    <t>Senior Secured Notes due 2019</t>
  </si>
  <si>
    <t>Memo: Pro Forma Historical Results</t>
  </si>
  <si>
    <t>Adj. EBITDA % Margin</t>
  </si>
  <si>
    <t>Available HHP (000s)</t>
  </si>
  <si>
    <t>Foreign Exchange Adjustments</t>
  </si>
  <si>
    <t>Fleets Active</t>
  </si>
  <si>
    <t>Total Fleets</t>
  </si>
  <si>
    <t>Revenue/Fleet (Annualized)</t>
  </si>
  <si>
    <t>GP/Fleet (Annualized)</t>
  </si>
  <si>
    <t>Keane Revenue/Fleet (Annualized)</t>
  </si>
  <si>
    <t>Keane GP/Fleet (Annualized)</t>
  </si>
  <si>
    <t>USD</t>
  </si>
  <si>
    <t>FRAC.N</t>
  </si>
  <si>
    <t>Keane Group Inc</t>
  </si>
  <si>
    <t>Currency</t>
  </si>
  <si>
    <t>Current Stock Price</t>
  </si>
  <si>
    <t>Count</t>
  </si>
  <si>
    <t>FRAC.N,mscalc:sedolCodeCalc</t>
  </si>
  <si>
    <t>FRAC.N,mscalc:targetPrice,,,,USD</t>
  </si>
  <si>
    <t>FRAC.N,mscalc:closePriceCurrencyCalc</t>
  </si>
  <si>
    <t>$F$2</t>
  </si>
  <si>
    <t>% of Total</t>
  </si>
  <si>
    <t>Seq. Growth (%)</t>
  </si>
  <si>
    <t>Term Loan</t>
  </si>
  <si>
    <t>Reactivation Capex / Fleet</t>
  </si>
  <si>
    <t>Reported Pro Forma Metrics</t>
  </si>
  <si>
    <t>HP/Fleet (000s)</t>
  </si>
  <si>
    <t>Memo: Adjustments</t>
  </si>
  <si>
    <t>Est. Borrowing Base</t>
  </si>
  <si>
    <t>Max Availability</t>
  </si>
  <si>
    <t>Revolver Availability</t>
  </si>
  <si>
    <t>Q Index</t>
  </si>
  <si>
    <t>Minimum Liquidity</t>
  </si>
  <si>
    <t>4Q16</t>
  </si>
  <si>
    <t>Adjusted Gross Margin:</t>
  </si>
  <si>
    <t>Adj. Gross Profit per Active Fleet (Ann.)</t>
  </si>
  <si>
    <t>Term Loan (now due 2022)</t>
  </si>
  <si>
    <t>D&amp;A % of Beg. Net PP&amp;E (Ann.)</t>
  </si>
  <si>
    <t>BDGV4C7</t>
  </si>
  <si>
    <t>Startup Costs</t>
  </si>
  <si>
    <t>1Q17</t>
  </si>
  <si>
    <t>Seq. Growth</t>
  </si>
  <si>
    <t>Completion Services Revenues</t>
  </si>
  <si>
    <t>Active HP</t>
  </si>
  <si>
    <t>Ann. Revenue/Active HP ($000s)</t>
  </si>
  <si>
    <t>Ann. Gross Profit/Active HP ($000s)</t>
  </si>
  <si>
    <t>Ann. EBITDA/Active HP ($000s)</t>
  </si>
  <si>
    <t>Ann. EBIT/Active HP ($000s)</t>
  </si>
  <si>
    <t>Ann. Revenue/HP ($000s)</t>
  </si>
  <si>
    <t>Ann. Gross Profit/HP ($000s)</t>
  </si>
  <si>
    <t>Ann. EBITDA/HP ($000s)</t>
  </si>
  <si>
    <t>Ann. EBIT/HP ($000s)</t>
  </si>
  <si>
    <t>Prepaid Expenses &amp; Other</t>
  </si>
  <si>
    <t>Current Maturities of Debt &amp; Leases</t>
  </si>
  <si>
    <t>Compl. Services Incr. Gross % Margin</t>
  </si>
  <si>
    <t>HP Utilization</t>
  </si>
  <si>
    <t>EBITDA per Active Fleet (Ann.)</t>
  </si>
  <si>
    <t>2Q17</t>
  </si>
  <si>
    <t>PP&amp;E / HP ($)</t>
  </si>
  <si>
    <t>Book Value / HP ($)</t>
  </si>
  <si>
    <t>3Q17</t>
  </si>
  <si>
    <t>24</t>
  </si>
  <si>
    <t>Stock-Based Comp.</t>
  </si>
  <si>
    <t>Cash G&amp;A</t>
  </si>
  <si>
    <t>Assumed Fleet-Related G&amp;A</t>
  </si>
  <si>
    <t>Working Capital Management</t>
  </si>
  <si>
    <t>Depreciation &amp; Capex</t>
  </si>
  <si>
    <t>Return Metrics</t>
  </si>
  <si>
    <t>4Q17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</si>
  <si>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</si>
  <si>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</si>
  <si>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</si>
  <si>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</si>
  <si>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</si>
  <si>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</si>
  <si>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</si>
  <si>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</si>
  <si>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</si>
  <si>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</si>
  <si>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</si>
  <si>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FRAC.N</t>
  </si>
  <si>
    <t>Stock Rating: Overweight</t>
  </si>
  <si>
    <t>Industry: Oil Services, Drilling &amp; Equipment</t>
  </si>
  <si>
    <t>Industry View: In-Line</t>
  </si>
  <si>
    <t>Price as of 11 Apr 2018: 16.17</t>
  </si>
  <si>
    <t>Target Price: 23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</si>
  <si>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</si>
  <si>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</si>
  <si>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</si>
  <si>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</si>
  <si>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</si>
  <si>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</si>
  <si>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</si>
  <si>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</si>
  <si>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</si>
  <si>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</si>
  <si>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</si>
  <si>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</si>
  <si>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</si>
  <si>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</si>
  <si>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</si>
  <si>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</si>
  <si>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</si>
  <si>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</si>
  <si>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</si>
  <si>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</si>
  <si>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</si>
  <si>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</si>
  <si>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</si>
  <si>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</si>
  <si>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</si>
  <si>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</si>
  <si>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</si>
  <si>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</si>
  <si>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</si>
  <si>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</si>
  <si>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</si>
  <si>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</si>
  <si>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</si>
  <si>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</si>
  <si>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</si>
  <si>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</si>
  <si>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</si>
  <si>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</si>
  <si>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</si>
  <si>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</si>
  <si>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</si>
  <si>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</si>
  <si>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</si>
  <si>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</si>
  <si>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</si>
  <si>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</si>
  <si>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</si>
  <si>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</si>
  <si>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</si>
  <si>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</si>
  <si>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</si>
  <si>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</si>
  <si>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</si>
  <si>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</si>
  <si>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</si>
  <si>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</si>
  <si>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</si>
  <si>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</si>
  <si>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</si>
  <si>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</si>
  <si>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</si>
  <si>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</si>
  <si>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</si>
  <si>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</si>
  <si>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</si>
  <si>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</si>
  <si>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</si>
  <si>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</si>
  <si>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</si>
  <si>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</si>
  <si>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</si>
  <si>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</si>
  <si>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</si>
  <si>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</si>
  <si>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</si>
  <si>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</si>
  <si>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</si>
  <si>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</si>
  <si>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</si>
  <si>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</si>
  <si>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</si>
  <si>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</si>
  <si>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</si>
  <si>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</si>
  <si>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</si>
  <si>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</si>
  <si>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</si>
  <si>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</si>
  <si>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</si>
  <si>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</si>
  <si>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</si>
  <si>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</si>
  <si>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</si>
  <si>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</si>
  <si>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</si>
  <si>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</si>
  <si>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</si>
  <si>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</si>
  <si>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</si>
  <si>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</si>
  <si>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</si>
  <si>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</si>
  <si>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</si>
  <si>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</si>
  <si>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</si>
  <si>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</si>
  <si>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</si>
  <si>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</si>
  <si>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</si>
  <si>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</si>
  <si>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</si>
  <si>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</si>
  <si>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</si>
  <si>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</si>
  <si>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</si>
  <si>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</si>
  <si>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</si>
  <si>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</si>
  <si>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</si>
  <si>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</si>
  <si>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</si>
  <si>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</si>
  <si>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</si>
  <si>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</si>
  <si>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</si>
  <si>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</si>
  <si>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</si>
  <si>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</si>
  <si>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</si>
  <si>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</si>
  <si>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</si>
  <si>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</si>
  <si>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</si>
  <si>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</si>
  <si>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</si>
  <si>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</si>
  <si>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</si>
  <si>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</si>
  <si>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</si>
  <si>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</si>
  <si>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</si>
  <si>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</si>
  <si>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</si>
  <si>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</si>
  <si>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</si>
  <si>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</si>
  <si>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</si>
  <si>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</si>
  <si>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</si>
  <si>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</si>
  <si>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</si>
  <si>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</si>
  <si>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</si>
  <si>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</si>
  <si>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</si>
  <si>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</si>
  <si>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</si>
  <si>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</si>
  <si>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</si>
  <si>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</si>
  <si>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</si>
  <si>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</si>
  <si>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</si>
  <si>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</si>
  <si>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</si>
  <si>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</si>
  <si>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</si>
  <si>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</si>
  <si>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</si>
  <si>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</si>
  <si>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</si>
  <si>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</si>
  <si>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</si>
  <si>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</si>
  <si>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</si>
  <si>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</si>
  <si>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</si>
  <si>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</si>
  <si>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</si>
  <si>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</si>
  <si>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</si>
  <si>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</si>
  <si>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</si>
  <si>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</si>
  <si>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</si>
  <si>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</si>
  <si>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</si>
  <si>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</si>
  <si>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</si>
  <si>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</si>
  <si>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</si>
  <si>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</si>
  <si>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</si>
  <si>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</si>
  <si>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</si>
  <si>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</si>
  <si>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</si>
  <si>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</si>
  <si>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</si>
  <si>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</si>
  <si>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</si>
  <si>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</si>
  <si>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</si>
  <si>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</si>
  <si>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</si>
  <si>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</si>
  <si>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</si>
  <si>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</si>
  <si>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</si>
  <si>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</si>
  <si>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</si>
  <si>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</si>
  <si>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</si>
  <si>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</si>
  <si>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</si>
  <si>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</si>
  <si>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</si>
  <si>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</si>
  <si>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</si>
  <si>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</si>
  <si>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</si>
  <si>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</si>
  <si>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</si>
  <si>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</si>
  <si>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</si>
  <si>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</si>
  <si>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</si>
  <si>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</si>
  <si>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</si>
  <si>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</si>
  <si>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</si>
  <si>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</si>
  <si>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</si>
  <si>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</si>
  <si>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</si>
  <si>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</si>
  <si>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</si>
  <si>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</si>
  <si>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</si>
  <si>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</si>
  <si>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</si>
  <si>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</si>
  <si>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</si>
  <si>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</si>
  <si>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</si>
  <si>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Keane Group Inc.</t>
  </si>
  <si>
    <t>In the next 3 months, Morgan Stanley expects to receive or intends to seek compensation for investment</t>
  </si>
  <si>
    <t>banking services from Keane Group Inc.</t>
  </si>
  <si>
    <t>Within the last 12 months, Morgan Stanley has received compensation for investment banking services from</t>
  </si>
  <si>
    <t>Keane Group Inc.</t>
  </si>
  <si>
    <t>Within the last 12 months, Morgan Stanley managed or co-managed a public offering (or 144A offering) of</t>
  </si>
  <si>
    <t>securities of Keane Group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</si>
  <si>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</si>
  <si>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</si>
  <si>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</si>
  <si>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</si>
  <si>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</si>
  <si>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</si>
  <si>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</si>
  <si>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</si>
  <si>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</si>
  <si>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</si>
  <si>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</si>
  <si>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</si>
  <si>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</si>
  <si>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</si>
  <si>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</si>
  <si>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</si>
  <si>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</si>
  <si>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</si>
  <si>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</si>
  <si>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</si>
  <si>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</si>
  <si>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</si>
  <si>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</si>
  <si>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</si>
  <si>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</si>
  <si>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</si>
  <si>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</si>
  <si>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</si>
  <si>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</si>
  <si>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</si>
  <si>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</si>
  <si>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</si>
  <si>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</si>
  <si>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</si>
  <si>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</si>
  <si>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</si>
  <si>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</si>
  <si>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</si>
  <si>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</si>
  <si>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</si>
  <si>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</si>
  <si>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</si>
  <si>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</si>
  <si>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</si>
  <si>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</si>
  <si>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</si>
  <si>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</si>
  <si>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</si>
  <si>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</si>
  <si>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</si>
  <si>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</si>
  <si>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</si>
  <si>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</si>
  <si>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</si>
  <si>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</si>
  <si>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</si>
  <si>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</si>
  <si>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</si>
  <si>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</si>
  <si>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</si>
  <si>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</si>
  <si>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</si>
  <si>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</si>
  <si>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</si>
  <si>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</si>
  <si>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</si>
  <si>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</si>
  <si>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</si>
  <si>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</si>
  <si>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</si>
  <si>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</si>
  <si>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</si>
  <si>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</si>
  <si>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</si>
  <si>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</si>
  <si>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</si>
  <si>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</si>
  <si>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</si>
  <si>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ozierale</t>
  </si>
  <si>
    <t>48669A108</t>
  </si>
  <si>
    <t>L:\ENERGY\Lynagh\Models\FRAC.xlsm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</si>
  <si>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</si>
  <si>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</si>
  <si>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</si>
  <si>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</si>
  <si>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</si>
  <si>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</si>
  <si>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09:47]</t>
  </si>
  <si>
    <t>[PSYM FRAC.N(S&amp;P) (None)]</t>
  </si>
  <si>
    <t>[COU 1]</t>
  </si>
  <si>
    <t>[ANA ]</t>
  </si>
  <si>
    <t>[HL FRAC.N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</si>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</sst>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##"/>
    <numFmt numFmtId="165" formatCode="#,##0%_);\ \(#,##0%\);\ &quot;- &quot;"/>
    <numFmt numFmtId="166" formatCode="_(* #,##0_);_(* \(#,##0\);_(* &quot;-&quot;??_);_(@_)"/>
    <numFmt numFmtId="167" formatCode="#,##0.0%_);\ \(#,##0.0%\);\ &quot;- &quot;"/>
    <numFmt numFmtId="168" formatCode="#,##0.0_);\(#,##0.0\);\–_)"/>
    <numFmt numFmtId="169" formatCode="#,##0_);\ \(#,##0\);\ &quot;- &quot;"/>
    <numFmt numFmtId="170" formatCode="#,##0.0_);\ \(#,##0.0\);\ &quot;- &quot;"/>
    <numFmt numFmtId="171" formatCode="#,##0.0_);\(#,##0.0\);&quot;-&quot;_);@_)"/>
    <numFmt numFmtId="172" formatCode="#,##0_);\(#,##0\);\–_)"/>
    <numFmt numFmtId="173" formatCode="0%_);\(0%\);&quot;–&quot;_)"/>
    <numFmt numFmtId="174" formatCode="0.0%_);\(0.0%\);&quot;–&quot;_)"/>
    <numFmt numFmtId="175" formatCode="_(* #,##0.0_);_(* \(#,##0.0\);_(* &quot;-&quot;??_);_(@_)"/>
    <numFmt numFmtId="176" formatCode="#,##0.0_);\(#,##0.0\)"/>
    <numFmt numFmtId="177" formatCode="#,##0.00_);\ \(#,##0.00\);\ &quot;- &quot;"/>
    <numFmt numFmtId="178" formatCode="#,##0.0\x_);\ \(#,##0.0\x\);\ &quot;- &quot;"/>
    <numFmt numFmtId="179" formatCode="0.0%"/>
    <numFmt numFmtId="180" formatCode="0.0\x_);\(0.0\x\);&quot;–&quot;_)"/>
    <numFmt numFmtId="181" formatCode="####_)"/>
    <numFmt numFmtId="182" formatCode="#,##0.000_);\ \(#,##0.000\);\ &quot;- &quot;"/>
    <numFmt numFmtId="183" formatCode="#,##0.0"/>
    <numFmt numFmtId="184" formatCode="#,##0.0000_);\(#,##0.0000\);\–_)"/>
    <numFmt numFmtId="185" formatCode="[$-409]mmm\-yy;@"/>
    <numFmt numFmtId="186" formatCode="#,##0.0_);\(#,##0.0\);&quot;-&quot;"/>
    <numFmt numFmtId="187" formatCode="0.0%_);\(0.0%\);&quot;-&quot;"/>
    <numFmt numFmtId="188" formatCode="_ * #,##0_ ;_ * \-#,##0_ ;_ * &quot;-&quot;_ ;_ @_ "/>
    <numFmt numFmtId="197" formatCode="#,##0.00_);\(#,##0.00\);&quot;-&quot;_);@_)"/>
    <numFmt numFmtId="200" formatCode="#,##0.00%_);\ \(#,##0.00%\);\ &quot;- &quot;"/>
    <numFmt numFmtId="210" formatCode="mm/dd/yy\ hh:mm"/>
  </numFmts>
  <fonts count="45"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53"/>
      <name val="Arial"/>
      <family val="2"/>
    </font>
    <font>
      <b/>
      <sz val="8"/>
      <color indexed="53"/>
      <name val="Arial"/>
      <family val="2"/>
    </font>
    <font>
      <sz val="8"/>
      <color indexed="24"/>
      <name val="Arial"/>
      <family val="2"/>
    </font>
    <font>
      <sz val="8"/>
      <color rgb="FF137CB1"/>
      <name val="Arial"/>
      <family val="2"/>
    </font>
    <font>
      <sz val="8"/>
      <color indexed="19"/>
      <name val="Arial"/>
      <family val="2"/>
    </font>
    <font>
      <b/>
      <sz val="8"/>
      <name val="Arial"/>
      <family val="2"/>
    </font>
    <font>
      <sz val="8"/>
      <color rgb="FF008000"/>
      <name val="Arial"/>
      <family val="2"/>
    </font>
    <font>
      <sz val="8"/>
      <color indexed="8"/>
      <name val="Arial"/>
      <family val="2"/>
    </font>
    <font>
      <sz val="8"/>
      <color rgb="FF000000"/>
      <name val="Arial"/>
      <family val="2"/>
    </font>
    <font>
      <i/>
      <sz val="8"/>
      <color rgb="FFFF0000"/>
      <name val="Arial"/>
      <family val="2"/>
    </font>
    <font>
      <i/>
      <sz val="8"/>
      <color theme="0"/>
      <name val="Arial"/>
      <family val="2"/>
    </font>
    <font>
      <sz val="8"/>
      <color indexed="55"/>
      <name val="Arial"/>
      <family val="2"/>
    </font>
    <font>
      <i/>
      <sz val="8"/>
      <name val="Arial"/>
      <family val="2"/>
    </font>
    <font>
      <u/>
      <sz val="8"/>
      <name val="Arial"/>
      <family val="2"/>
    </font>
    <font>
      <b/>
      <i/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19"/>
      <name val="Arial"/>
      <family val="2"/>
    </font>
    <font>
      <sz val="5"/>
      <name val="Arial"/>
      <family val="2"/>
    </font>
    <font>
      <b/>
      <sz val="8"/>
      <color indexed="10"/>
      <name val="Arial"/>
      <family val="2"/>
    </font>
    <font>
      <b/>
      <sz val="12"/>
      <color indexed="8"/>
      <name val="News Gothic MT"/>
      <family val="2"/>
    </font>
    <font>
      <sz val="5"/>
      <color indexed="8"/>
      <name val="Arial"/>
      <family val="2"/>
    </font>
    <font>
      <sz val="9"/>
      <color indexed="81"/>
      <name val="Tahoma"/>
      <family val="2"/>
    </font>
    <font>
      <b/>
      <sz val="10"/>
      <name val="Beatles"/>
      <charset val="16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b/>
      <sz val="9"/>
      <color indexed="81"/>
      <name val="Tahoma"/>
      <family val="2"/>
    </font>
    <font>
      <b/>
      <sz val="8"/>
      <color rgb="FF137CB1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4">
    <xf numFmtId="0" fontId="0" fillId="0" borderId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" fillId="0" borderId="0"/>
    <xf numFmtId="0" fontId="3" fillId="0" borderId="0"/>
    <xf numFmtId="0" fontId="29" fillId="0" borderId="0"/>
    <xf numFmtId="0" fontId="29" fillId="0" borderId="0"/>
    <xf numFmtId="0" fontId="30" fillId="0" borderId="0"/>
    <xf numFmtId="43" fontId="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1" fillId="0" borderId="0"/>
    <xf numFmtId="0" fontId="3" fillId="0" borderId="0"/>
    <xf numFmtId="186" fontId="4" fillId="0" borderId="0"/>
    <xf numFmtId="0" fontId="33" fillId="0" borderId="0">
      <alignment vertical="center"/>
    </xf>
    <xf numFmtId="187" fontId="3" fillId="0" borderId="0" applyFont="0" applyFill="0" applyBorder="0" applyAlignment="0" applyProtection="0"/>
    <xf numFmtId="0" fontId="34" fillId="0" borderId="0"/>
    <xf numFmtId="0" fontId="34" fillId="0" borderId="6">
      <alignment horizontal="centerContinuous"/>
    </xf>
    <xf numFmtId="0" fontId="35" fillId="0" borderId="6"/>
    <xf numFmtId="186" fontId="11" fillId="0" borderId="1"/>
    <xf numFmtId="188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9" fillId="0" borderId="0"/>
    <xf numFmtId="0" fontId="3" fillId="7" borderId="0" applyNumberFormat="0" applyFont="0" applyBorder="0" applyAlignment="0" applyProtection="0"/>
    <xf numFmtId="44" fontId="39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0" borderId="0"/>
  </cellStyleXfs>
  <cellXfs count="275">
    <xf numFmtId="0" fontId="0" fillId="0" borderId="0" xfId="0"/>
    <xf numFmtId="0" fontId="4" fillId="0" borderId="0" xfId="1" applyFont="1"/>
    <xf numFmtId="0" fontId="4" fillId="2" borderId="0" xfId="2" applyFont="1" applyFill="1"/>
    <xf numFmtId="0" fontId="4" fillId="0" borderId="0" xfId="2" applyFont="1" applyFill="1"/>
    <xf numFmtId="0" fontId="7" fillId="0" borderId="0" xfId="2" applyFont="1" applyFill="1" applyBorder="1" applyAlignment="1">
      <alignment horizontal="right"/>
    </xf>
    <xf numFmtId="164" fontId="7" fillId="0" borderId="0" xfId="2" applyNumberFormat="1" applyFont="1" applyFill="1" applyBorder="1" applyAlignment="1">
      <alignment horizontal="right"/>
    </xf>
    <xf numFmtId="165" fontId="9" fillId="0" borderId="0" xfId="2" applyNumberFormat="1" applyFont="1" applyFill="1"/>
    <xf numFmtId="165" fontId="4" fillId="0" borderId="0" xfId="2" applyNumberFormat="1" applyFont="1" applyFill="1"/>
    <xf numFmtId="0" fontId="4" fillId="0" borderId="0" xfId="2" applyFont="1" applyFill="1" applyAlignment="1">
      <alignment horizontal="left"/>
    </xf>
    <xf numFmtId="166" fontId="4" fillId="0" borderId="0" xfId="3" applyNumberFormat="1" applyFont="1" applyFill="1"/>
    <xf numFmtId="166" fontId="4" fillId="3" borderId="0" xfId="3" applyNumberFormat="1" applyFont="1" applyFill="1"/>
    <xf numFmtId="43" fontId="4" fillId="0" borderId="0" xfId="3" applyFont="1" applyFill="1"/>
    <xf numFmtId="167" fontId="10" fillId="0" borderId="0" xfId="2" applyNumberFormat="1" applyFont="1" applyFill="1"/>
    <xf numFmtId="167" fontId="4" fillId="0" borderId="0" xfId="2" applyNumberFormat="1" applyFont="1" applyFill="1"/>
    <xf numFmtId="0" fontId="11" fillId="0" borderId="0" xfId="2" applyFont="1" applyFill="1"/>
    <xf numFmtId="167" fontId="4" fillId="0" borderId="0" xfId="1" applyNumberFormat="1" applyFont="1"/>
    <xf numFmtId="168" fontId="4" fillId="0" borderId="0" xfId="2" applyNumberFormat="1" applyFont="1" applyFill="1"/>
    <xf numFmtId="169" fontId="4" fillId="0" borderId="0" xfId="1" applyNumberFormat="1" applyFont="1" applyAlignment="1">
      <alignment horizontal="left" indent="1"/>
    </xf>
    <xf numFmtId="0" fontId="4" fillId="3" borderId="0" xfId="2" applyFont="1" applyFill="1"/>
    <xf numFmtId="170" fontId="4" fillId="3" borderId="0" xfId="2" applyNumberFormat="1" applyFont="1" applyFill="1"/>
    <xf numFmtId="171" fontId="4" fillId="0" borderId="0" xfId="1" applyNumberFormat="1" applyFont="1" applyFill="1"/>
    <xf numFmtId="169" fontId="12" fillId="0" borderId="0" xfId="1" applyNumberFormat="1" applyFont="1"/>
    <xf numFmtId="172" fontId="4" fillId="0" borderId="0" xfId="2" applyNumberFormat="1" applyFont="1" applyFill="1"/>
    <xf numFmtId="167" fontId="4" fillId="0" borderId="0" xfId="1" applyNumberFormat="1" applyFont="1" applyFill="1"/>
    <xf numFmtId="169" fontId="4" fillId="0" borderId="0" xfId="1" applyNumberFormat="1" applyFont="1" applyFill="1" applyAlignment="1">
      <alignment horizontal="left" indent="1"/>
    </xf>
    <xf numFmtId="167" fontId="4" fillId="3" borderId="0" xfId="1" applyNumberFormat="1" applyFont="1" applyFill="1"/>
    <xf numFmtId="170" fontId="4" fillId="0" borderId="0" xfId="1" applyNumberFormat="1" applyFont="1" applyFill="1"/>
    <xf numFmtId="170" fontId="4" fillId="3" borderId="0" xfId="1" applyNumberFormat="1" applyFont="1" applyFill="1"/>
    <xf numFmtId="170" fontId="4" fillId="0" borderId="0" xfId="1" applyNumberFormat="1" applyFont="1" applyAlignment="1">
      <alignment horizontal="left" indent="1"/>
    </xf>
    <xf numFmtId="170" fontId="4" fillId="0" borderId="0" xfId="1" applyNumberFormat="1" applyFont="1"/>
    <xf numFmtId="170" fontId="12" fillId="0" borderId="0" xfId="1" applyNumberFormat="1" applyFont="1"/>
    <xf numFmtId="170" fontId="13" fillId="0" borderId="0" xfId="1" applyNumberFormat="1" applyFont="1" applyFill="1"/>
    <xf numFmtId="170" fontId="13" fillId="3" borderId="0" xfId="1" applyNumberFormat="1" applyFont="1" applyFill="1"/>
    <xf numFmtId="167" fontId="4" fillId="0" borderId="0" xfId="1" applyNumberFormat="1" applyFont="1" applyAlignment="1">
      <alignment horizontal="right"/>
    </xf>
    <xf numFmtId="170" fontId="8" fillId="0" borderId="0" xfId="1" applyNumberFormat="1" applyFont="1" applyFill="1"/>
    <xf numFmtId="170" fontId="9" fillId="3" borderId="0" xfId="1" applyNumberFormat="1" applyFont="1" applyFill="1"/>
    <xf numFmtId="170" fontId="9" fillId="0" borderId="0" xfId="1" applyNumberFormat="1" applyFont="1" applyFill="1"/>
    <xf numFmtId="168" fontId="4" fillId="3" borderId="0" xfId="2" applyNumberFormat="1" applyFont="1" applyFill="1"/>
    <xf numFmtId="169" fontId="4" fillId="3" borderId="0" xfId="1" applyNumberFormat="1" applyFont="1" applyFill="1"/>
    <xf numFmtId="169" fontId="8" fillId="0" borderId="0" xfId="1" applyNumberFormat="1" applyFont="1"/>
    <xf numFmtId="170" fontId="4" fillId="0" borderId="0" xfId="2" applyNumberFormat="1" applyFont="1" applyFill="1"/>
    <xf numFmtId="173" fontId="9" fillId="0" borderId="0" xfId="1" applyNumberFormat="1" applyFont="1" applyFill="1" applyAlignment="1">
      <alignment horizontal="right"/>
    </xf>
    <xf numFmtId="173" fontId="4" fillId="0" borderId="0" xfId="1" applyNumberFormat="1" applyFont="1" applyFill="1"/>
    <xf numFmtId="173" fontId="4" fillId="0" borderId="0" xfId="1" applyNumberFormat="1" applyFont="1" applyAlignment="1">
      <alignment horizontal="left" indent="1"/>
    </xf>
    <xf numFmtId="169" fontId="4" fillId="0" borderId="0" xfId="1" applyNumberFormat="1" applyFont="1" applyAlignment="1"/>
    <xf numFmtId="171" fontId="12" fillId="0" borderId="0" xfId="1" applyNumberFormat="1" applyFont="1" applyFill="1"/>
    <xf numFmtId="173" fontId="4" fillId="0" borderId="0" xfId="1" applyNumberFormat="1" applyFont="1"/>
    <xf numFmtId="174" fontId="4" fillId="0" borderId="0" xfId="2" applyNumberFormat="1" applyFont="1" applyFill="1"/>
    <xf numFmtId="169" fontId="4" fillId="0" borderId="0" xfId="1" applyNumberFormat="1" applyFont="1"/>
    <xf numFmtId="169" fontId="11" fillId="0" borderId="0" xfId="1" applyNumberFormat="1" applyFont="1" applyFill="1"/>
    <xf numFmtId="171" fontId="9" fillId="0" borderId="0" xfId="1" applyNumberFormat="1" applyFont="1" applyFill="1"/>
    <xf numFmtId="10" fontId="4" fillId="0" borderId="0" xfId="4" applyNumberFormat="1" applyFont="1" applyFill="1"/>
    <xf numFmtId="0" fontId="11" fillId="0" borderId="0" xfId="2" applyFont="1" applyFill="1" applyAlignment="1">
      <alignment horizontal="left"/>
    </xf>
    <xf numFmtId="175" fontId="4" fillId="0" borderId="0" xfId="3" applyNumberFormat="1" applyFont="1" applyFill="1"/>
    <xf numFmtId="0" fontId="11" fillId="0" borderId="0" xfId="2" applyNumberFormat="1" applyFont="1" applyFill="1" applyBorder="1" applyAlignment="1">
      <alignment horizontal="left" vertical="center"/>
    </xf>
    <xf numFmtId="176" fontId="4" fillId="0" borderId="0" xfId="2" applyNumberFormat="1" applyFont="1" applyFill="1"/>
    <xf numFmtId="0" fontId="4" fillId="0" borderId="0" xfId="2" applyNumberFormat="1" applyFont="1" applyFill="1" applyBorder="1" applyAlignment="1">
      <alignment horizontal="left" vertical="center"/>
    </xf>
    <xf numFmtId="176" fontId="4" fillId="3" borderId="0" xfId="2" applyNumberFormat="1" applyFont="1" applyFill="1"/>
    <xf numFmtId="0" fontId="4" fillId="0" borderId="0" xfId="2" applyNumberFormat="1" applyFont="1" applyFill="1" applyBorder="1" applyAlignment="1">
      <alignment horizontal="left" vertical="center" indent="1"/>
    </xf>
    <xf numFmtId="170" fontId="9" fillId="0" borderId="0" xfId="2" applyNumberFormat="1" applyFont="1" applyFill="1"/>
    <xf numFmtId="170" fontId="9" fillId="3" borderId="0" xfId="2" applyNumberFormat="1" applyFont="1" applyFill="1"/>
    <xf numFmtId="171" fontId="4" fillId="0" borderId="0" xfId="2" applyNumberFormat="1" applyFont="1" applyFill="1"/>
    <xf numFmtId="173" fontId="4" fillId="0" borderId="0" xfId="3" applyNumberFormat="1" applyFont="1" applyFill="1"/>
    <xf numFmtId="177" fontId="4" fillId="0" borderId="0" xfId="2" applyNumberFormat="1" applyFont="1" applyFill="1"/>
    <xf numFmtId="174" fontId="14" fillId="0" borderId="0" xfId="3" applyNumberFormat="1" applyFont="1" applyFill="1"/>
    <xf numFmtId="168" fontId="9" fillId="0" borderId="0" xfId="2" applyNumberFormat="1" applyFont="1" applyFill="1"/>
    <xf numFmtId="49" fontId="4" fillId="0" borderId="0" xfId="2" applyNumberFormat="1" applyFont="1" applyFill="1" applyBorder="1"/>
    <xf numFmtId="174" fontId="4" fillId="0" borderId="0" xfId="4" applyNumberFormat="1" applyFont="1" applyFill="1"/>
    <xf numFmtId="49" fontId="4" fillId="0" borderId="0" xfId="3" applyNumberFormat="1" applyFont="1" applyFill="1" applyBorder="1"/>
    <xf numFmtId="175" fontId="4" fillId="0" borderId="0" xfId="4" applyNumberFormat="1" applyFont="1" applyFill="1"/>
    <xf numFmtId="49" fontId="11" fillId="0" borderId="0" xfId="2" applyNumberFormat="1" applyFont="1" applyFill="1" applyBorder="1"/>
    <xf numFmtId="167" fontId="5" fillId="0" borderId="0" xfId="2" applyNumberFormat="1" applyFont="1" applyFill="1"/>
    <xf numFmtId="3" fontId="4" fillId="0" borderId="0" xfId="2" applyNumberFormat="1" applyFont="1" applyFill="1"/>
    <xf numFmtId="178" fontId="4" fillId="0" borderId="0" xfId="2" applyNumberFormat="1" applyFont="1" applyFill="1"/>
    <xf numFmtId="9" fontId="4" fillId="0" borderId="0" xfId="4" applyNumberFormat="1" applyFont="1" applyFill="1"/>
    <xf numFmtId="9" fontId="4" fillId="0" borderId="0" xfId="4" applyNumberFormat="1" applyFont="1" applyFill="1" applyAlignment="1">
      <alignment horizontal="right"/>
    </xf>
    <xf numFmtId="178" fontId="4" fillId="0" borderId="0" xfId="2" applyNumberFormat="1" applyFont="1" applyFill="1" applyAlignment="1">
      <alignment horizontal="right"/>
    </xf>
    <xf numFmtId="179" fontId="4" fillId="0" borderId="0" xfId="4" applyNumberFormat="1" applyFont="1" applyFill="1"/>
    <xf numFmtId="180" fontId="4" fillId="0" borderId="0" xfId="4" applyNumberFormat="1" applyFont="1" applyFill="1"/>
    <xf numFmtId="181" fontId="11" fillId="0" borderId="3" xfId="2" applyNumberFormat="1" applyFont="1" applyFill="1" applyBorder="1" applyAlignment="1">
      <alignment horizontal="right"/>
    </xf>
    <xf numFmtId="0" fontId="11" fillId="0" borderId="3" xfId="2" applyFont="1" applyFill="1" applyBorder="1" applyAlignment="1">
      <alignment horizontal="left"/>
    </xf>
    <xf numFmtId="171" fontId="15" fillId="0" borderId="0" xfId="2" applyNumberFormat="1" applyFont="1" applyFill="1"/>
    <xf numFmtId="171" fontId="15" fillId="4" borderId="0" xfId="2" applyNumberFormat="1" applyFont="1" applyFill="1"/>
    <xf numFmtId="0" fontId="2" fillId="0" borderId="0" xfId="2" applyFont="1" applyFill="1"/>
    <xf numFmtId="170" fontId="11" fillId="0" borderId="1" xfId="2" applyNumberFormat="1" applyFont="1" applyFill="1" applyBorder="1"/>
    <xf numFmtId="170" fontId="11" fillId="3" borderId="1" xfId="2" applyNumberFormat="1" applyFont="1" applyFill="1" applyBorder="1"/>
    <xf numFmtId="0" fontId="11" fillId="0" borderId="0" xfId="2" applyFont="1" applyFill="1" applyAlignment="1"/>
    <xf numFmtId="169" fontId="4" fillId="0" borderId="0" xfId="2" applyNumberFormat="1" applyFont="1" applyFill="1"/>
    <xf numFmtId="170" fontId="4" fillId="0" borderId="1" xfId="2" applyNumberFormat="1" applyFont="1" applyFill="1" applyBorder="1"/>
    <xf numFmtId="170" fontId="4" fillId="3" borderId="1" xfId="2" applyNumberFormat="1" applyFont="1" applyFill="1" applyBorder="1"/>
    <xf numFmtId="0" fontId="4" fillId="0" borderId="0" xfId="2" applyFont="1" applyFill="1" applyAlignment="1"/>
    <xf numFmtId="170" fontId="8" fillId="3" borderId="0" xfId="2" applyNumberFormat="1" applyFont="1" applyFill="1"/>
    <xf numFmtId="0" fontId="4" fillId="0" borderId="0" xfId="2" applyFont="1" applyFill="1" applyAlignment="1">
      <alignment horizontal="left" indent="1"/>
    </xf>
    <xf numFmtId="169" fontId="4" fillId="0" borderId="0" xfId="2" applyNumberFormat="1" applyFont="1" applyFill="1" applyAlignment="1">
      <alignment horizontal="left" indent="1"/>
    </xf>
    <xf numFmtId="169" fontId="11" fillId="0" borderId="0" xfId="2" applyNumberFormat="1" applyFont="1" applyFill="1" applyAlignment="1"/>
    <xf numFmtId="170" fontId="11" fillId="0" borderId="0" xfId="2" applyNumberFormat="1" applyFont="1" applyFill="1"/>
    <xf numFmtId="170" fontId="14" fillId="3" borderId="0" xfId="2" applyNumberFormat="1" applyFont="1" applyFill="1"/>
    <xf numFmtId="182" fontId="4" fillId="3" borderId="0" xfId="2" applyNumberFormat="1" applyFont="1" applyFill="1"/>
    <xf numFmtId="171" fontId="4" fillId="3" borderId="0" xfId="2" applyNumberFormat="1" applyFont="1" applyFill="1"/>
    <xf numFmtId="169" fontId="4" fillId="0" borderId="0" xfId="2" applyNumberFormat="1" applyFont="1" applyFill="1" applyAlignment="1"/>
    <xf numFmtId="170" fontId="12" fillId="3" borderId="3" xfId="2" applyNumberFormat="1" applyFont="1" applyFill="1" applyBorder="1"/>
    <xf numFmtId="170" fontId="12" fillId="3" borderId="0" xfId="2" applyNumberFormat="1" applyFont="1" applyFill="1"/>
    <xf numFmtId="0" fontId="12" fillId="3" borderId="0" xfId="2" applyFont="1" applyFill="1" applyAlignment="1">
      <alignment horizontal="left" indent="2"/>
    </xf>
    <xf numFmtId="169" fontId="12" fillId="3" borderId="0" xfId="2" applyNumberFormat="1" applyFont="1" applyFill="1" applyAlignment="1">
      <alignment horizontal="left" indent="2"/>
    </xf>
    <xf numFmtId="181" fontId="11" fillId="0" borderId="0" xfId="2" applyNumberFormat="1" applyFont="1" applyFill="1" applyBorder="1" applyAlignment="1">
      <alignment horizontal="right"/>
    </xf>
    <xf numFmtId="171" fontId="11" fillId="0" borderId="0" xfId="2" applyNumberFormat="1" applyFont="1" applyFill="1" applyBorder="1" applyAlignment="1">
      <alignment horizontal="right"/>
    </xf>
    <xf numFmtId="0" fontId="11" fillId="0" borderId="0" xfId="2" applyFont="1" applyFill="1" applyBorder="1" applyAlignment="1"/>
    <xf numFmtId="0" fontId="4" fillId="0" borderId="3" xfId="2" applyFont="1" applyFill="1" applyBorder="1" applyAlignment="1">
      <alignment horizontal="left"/>
    </xf>
    <xf numFmtId="171" fontId="16" fillId="5" borderId="0" xfId="2" applyNumberFormat="1" applyFont="1" applyFill="1" applyAlignment="1">
      <alignment horizontal="right"/>
    </xf>
    <xf numFmtId="171" fontId="17" fillId="0" borderId="0" xfId="2" applyNumberFormat="1" applyFont="1" applyFill="1"/>
    <xf numFmtId="183" fontId="16" fillId="5" borderId="0" xfId="2" applyNumberFormat="1" applyFont="1" applyFill="1" applyAlignment="1">
      <alignment horizontal="right"/>
    </xf>
    <xf numFmtId="0" fontId="18" fillId="0" borderId="0" xfId="2" applyFont="1" applyAlignment="1">
      <alignment horizontal="left"/>
    </xf>
    <xf numFmtId="170" fontId="5" fillId="0" borderId="0" xfId="2" applyNumberFormat="1" applyFont="1" applyFill="1"/>
    <xf numFmtId="0" fontId="19" fillId="0" borderId="0" xfId="2" applyFont="1" applyFill="1" applyAlignment="1">
      <alignment horizontal="left"/>
    </xf>
    <xf numFmtId="169" fontId="11" fillId="0" borderId="0" xfId="2" applyNumberFormat="1" applyFont="1" applyFill="1"/>
    <xf numFmtId="169" fontId="12" fillId="0" borderId="0" xfId="2" applyNumberFormat="1" applyFont="1" applyFill="1"/>
    <xf numFmtId="0" fontId="12" fillId="0" borderId="0" xfId="2" applyFont="1" applyFill="1"/>
    <xf numFmtId="169" fontId="11" fillId="0" borderId="0" xfId="2" applyNumberFormat="1" applyFont="1" applyFill="1" applyAlignment="1">
      <alignment horizontal="left" indent="1"/>
    </xf>
    <xf numFmtId="0" fontId="6" fillId="0" borderId="0" xfId="2" applyFont="1" applyFill="1"/>
    <xf numFmtId="174" fontId="4" fillId="0" borderId="0" xfId="2" applyNumberFormat="1" applyFont="1" applyFill="1" applyAlignment="1">
      <alignment horizontal="right"/>
    </xf>
    <xf numFmtId="172" fontId="12" fillId="0" borderId="0" xfId="2" applyNumberFormat="1" applyFont="1" applyFill="1"/>
    <xf numFmtId="168" fontId="4" fillId="0" borderId="0" xfId="2" applyNumberFormat="1" applyFont="1" applyFill="1" applyAlignment="1">
      <alignment horizontal="right"/>
    </xf>
    <xf numFmtId="168" fontId="12" fillId="0" borderId="0" xfId="2" applyNumberFormat="1" applyFont="1" applyFill="1"/>
    <xf numFmtId="184" fontId="4" fillId="0" borderId="0" xfId="2" applyNumberFormat="1" applyFont="1" applyFill="1"/>
    <xf numFmtId="168" fontId="4" fillId="0" borderId="0" xfId="2" applyNumberFormat="1" applyFont="1" applyFill="1" applyAlignment="1"/>
    <xf numFmtId="168" fontId="11" fillId="0" borderId="0" xfId="2" applyNumberFormat="1" applyFont="1" applyFill="1"/>
    <xf numFmtId="168" fontId="11" fillId="0" borderId="0" xfId="2" applyNumberFormat="1" applyFont="1" applyFill="1" applyAlignment="1"/>
    <xf numFmtId="168" fontId="4" fillId="3" borderId="0" xfId="2" applyNumberFormat="1" applyFont="1" applyFill="1" applyAlignment="1"/>
    <xf numFmtId="168" fontId="9" fillId="3" borderId="0" xfId="2" applyNumberFormat="1" applyFont="1" applyFill="1" applyAlignment="1"/>
    <xf numFmtId="168" fontId="9" fillId="0" borderId="0" xfId="2" applyNumberFormat="1" applyFont="1" applyFill="1" applyAlignment="1"/>
    <xf numFmtId="0" fontId="4" fillId="0" borderId="0" xfId="2" applyFont="1" applyFill="1" applyAlignment="1">
      <alignment horizontal="left" indent="2"/>
    </xf>
    <xf numFmtId="168" fontId="9" fillId="0" borderId="0" xfId="2" applyNumberFormat="1" applyFont="1" applyFill="1" applyAlignment="1">
      <alignment horizontal="left" indent="1"/>
    </xf>
    <xf numFmtId="172" fontId="9" fillId="0" borderId="0" xfId="2" applyNumberFormat="1" applyFont="1" applyFill="1"/>
    <xf numFmtId="174" fontId="9" fillId="0" borderId="0" xfId="2" applyNumberFormat="1" applyFont="1" applyFill="1"/>
    <xf numFmtId="168" fontId="9" fillId="6" borderId="0" xfId="2" applyNumberFormat="1" applyFont="1" applyFill="1"/>
    <xf numFmtId="167" fontId="4" fillId="0" borderId="0" xfId="2" applyNumberFormat="1" applyFont="1" applyFill="1" applyAlignment="1">
      <alignment horizontal="right"/>
    </xf>
    <xf numFmtId="167" fontId="9" fillId="0" borderId="0" xfId="2" applyNumberFormat="1" applyFont="1" applyFill="1" applyAlignment="1">
      <alignment horizontal="right"/>
    </xf>
    <xf numFmtId="167" fontId="11" fillId="0" borderId="0" xfId="2" applyNumberFormat="1" applyFont="1" applyFill="1" applyAlignment="1">
      <alignment horizontal="right"/>
    </xf>
    <xf numFmtId="167" fontId="11" fillId="0" borderId="0" xfId="2" applyNumberFormat="1" applyFont="1" applyFill="1" applyBorder="1" applyAlignment="1">
      <alignment horizontal="right"/>
    </xf>
    <xf numFmtId="0" fontId="11" fillId="0" borderId="0" xfId="2" applyFont="1" applyFill="1" applyBorder="1"/>
    <xf numFmtId="169" fontId="11" fillId="0" borderId="0" xfId="2" applyNumberFormat="1" applyFont="1" applyFill="1" applyBorder="1"/>
    <xf numFmtId="174" fontId="4" fillId="0" borderId="0" xfId="2" applyNumberFormat="1" applyFont="1" applyFill="1" applyBorder="1" applyAlignment="1">
      <alignment horizontal="right"/>
    </xf>
    <xf numFmtId="170" fontId="4" fillId="0" borderId="0" xfId="2" applyNumberFormat="1" applyFont="1" applyFill="1" applyBorder="1"/>
    <xf numFmtId="174" fontId="11" fillId="0" borderId="0" xfId="2" applyNumberFormat="1" applyFont="1" applyFill="1" applyBorder="1" applyAlignment="1">
      <alignment horizontal="right"/>
    </xf>
    <xf numFmtId="174" fontId="5" fillId="6" borderId="0" xfId="2" applyNumberFormat="1" applyFont="1" applyFill="1"/>
    <xf numFmtId="164" fontId="11" fillId="0" borderId="3" xfId="2" applyNumberFormat="1" applyFont="1" applyFill="1" applyBorder="1" applyAlignment="1">
      <alignment horizontal="right"/>
    </xf>
    <xf numFmtId="169" fontId="11" fillId="0" borderId="3" xfId="2" applyNumberFormat="1" applyFont="1" applyFill="1" applyBorder="1"/>
    <xf numFmtId="177" fontId="4" fillId="0" borderId="0" xfId="2" applyNumberFormat="1" applyFont="1" applyFill="1" applyBorder="1" applyAlignment="1"/>
    <xf numFmtId="179" fontId="4" fillId="0" borderId="0" xfId="2" applyNumberFormat="1" applyFont="1" applyFill="1"/>
    <xf numFmtId="177" fontId="8" fillId="0" borderId="0" xfId="2" applyNumberFormat="1" applyFont="1" applyFill="1"/>
    <xf numFmtId="177" fontId="11" fillId="0" borderId="0" xfId="2" applyNumberFormat="1" applyFont="1" applyFill="1"/>
    <xf numFmtId="170" fontId="9" fillId="0" borderId="0" xfId="2" applyNumberFormat="1" applyFont="1" applyFill="1" applyBorder="1"/>
    <xf numFmtId="170" fontId="11" fillId="0" borderId="0" xfId="2" applyNumberFormat="1" applyFont="1" applyFill="1" applyBorder="1"/>
    <xf numFmtId="169" fontId="11" fillId="0" borderId="0" xfId="2" applyNumberFormat="1" applyFont="1" applyFill="1" applyAlignment="1">
      <alignment horizontal="left"/>
    </xf>
    <xf numFmtId="182" fontId="11" fillId="0" borderId="0" xfId="2" applyNumberFormat="1" applyFont="1" applyFill="1" applyBorder="1"/>
    <xf numFmtId="37" fontId="20" fillId="0" borderId="0" xfId="3" applyNumberFormat="1" applyFont="1" applyFill="1" applyBorder="1" applyAlignment="1">
      <alignment horizontal="left"/>
    </xf>
    <xf numFmtId="2" fontId="4" fillId="0" borderId="0" xfId="2" applyNumberFormat="1" applyFont="1" applyFill="1"/>
    <xf numFmtId="9" fontId="4" fillId="0" borderId="0" xfId="2" applyNumberFormat="1" applyFont="1" applyFill="1"/>
    <xf numFmtId="0" fontId="21" fillId="0" borderId="3" xfId="2" applyFont="1" applyBorder="1" applyAlignment="1">
      <alignment horizontal="right"/>
    </xf>
    <xf numFmtId="0" fontId="22" fillId="0" borderId="0" xfId="2" applyFont="1"/>
    <xf numFmtId="164" fontId="21" fillId="0" borderId="3" xfId="2" applyNumberFormat="1" applyFont="1" applyBorder="1" applyAlignment="1">
      <alignment horizontal="right"/>
    </xf>
    <xf numFmtId="164" fontId="7" fillId="0" borderId="0" xfId="2" applyNumberFormat="1" applyFont="1" applyBorder="1" applyAlignment="1">
      <alignment horizontal="right"/>
    </xf>
    <xf numFmtId="0" fontId="4" fillId="0" borderId="0" xfId="2" applyFont="1"/>
    <xf numFmtId="0" fontId="3" fillId="0" borderId="0" xfId="1"/>
    <xf numFmtId="0" fontId="3" fillId="2" borderId="0" xfId="1" applyFill="1"/>
    <xf numFmtId="164" fontId="4" fillId="2" borderId="0" xfId="2" applyNumberFormat="1" applyFont="1" applyFill="1" applyBorder="1" applyAlignment="1">
      <alignment horizontal="right"/>
    </xf>
    <xf numFmtId="164" fontId="9" fillId="2" borderId="0" xfId="2" applyNumberFormat="1" applyFont="1" applyFill="1" applyBorder="1" applyAlignment="1">
      <alignment horizontal="right"/>
    </xf>
    <xf numFmtId="49" fontId="4" fillId="2" borderId="0" xfId="2" applyNumberFormat="1" applyFont="1" applyFill="1" applyBorder="1" applyAlignment="1">
      <alignment vertical="center"/>
    </xf>
    <xf numFmtId="0" fontId="23" fillId="2" borderId="0" xfId="2" applyFont="1" applyFill="1"/>
    <xf numFmtId="0" fontId="4" fillId="2" borderId="0" xfId="2" applyFont="1" applyFill="1" applyBorder="1" applyAlignment="1">
      <alignment horizontal="right"/>
    </xf>
    <xf numFmtId="185" fontId="4" fillId="2" borderId="0" xfId="2" applyNumberFormat="1" applyFont="1" applyFill="1" applyBorder="1" applyAlignment="1">
      <alignment horizontal="right"/>
    </xf>
    <xf numFmtId="14" fontId="3" fillId="2" borderId="0" xfId="1" applyNumberFormat="1" applyFill="1"/>
    <xf numFmtId="2" fontId="4" fillId="0" borderId="0" xfId="2" applyNumberFormat="1" applyFont="1"/>
    <xf numFmtId="0" fontId="24" fillId="0" borderId="0" xfId="2" applyNumberFormat="1" applyFont="1" applyFill="1" applyBorder="1" applyAlignment="1">
      <alignment vertical="center"/>
    </xf>
    <xf numFmtId="0" fontId="23" fillId="0" borderId="0" xfId="2" applyFont="1"/>
    <xf numFmtId="171" fontId="2" fillId="0" borderId="0" xfId="1" applyNumberFormat="1" applyFont="1"/>
    <xf numFmtId="49" fontId="11" fillId="0" borderId="0" xfId="2" applyNumberFormat="1" applyFont="1" applyFill="1" applyBorder="1" applyAlignment="1">
      <alignment vertical="center"/>
    </xf>
    <xf numFmtId="177" fontId="11" fillId="0" borderId="0" xfId="2" applyNumberFormat="1" applyFont="1"/>
    <xf numFmtId="49" fontId="25" fillId="0" borderId="0" xfId="2" applyNumberFormat="1" applyFont="1" applyFill="1" applyBorder="1"/>
    <xf numFmtId="0" fontId="26" fillId="0" borderId="0" xfId="2" applyFont="1"/>
    <xf numFmtId="0" fontId="23" fillId="0" borderId="0" xfId="2" applyFont="1" applyFill="1"/>
    <xf numFmtId="169" fontId="23" fillId="0" borderId="0" xfId="2" applyNumberFormat="1" applyFont="1" applyFill="1"/>
    <xf numFmtId="169" fontId="23" fillId="0" borderId="0" xfId="2" applyNumberFormat="1" applyFont="1" applyFill="1" applyBorder="1"/>
    <xf numFmtId="0" fontId="23" fillId="0" borderId="0" xfId="2" applyFont="1" applyFill="1" applyAlignment="1">
      <alignment horizontal="left" indent="1"/>
    </xf>
    <xf numFmtId="0" fontId="23" fillId="0" borderId="0" xfId="1" applyFont="1" applyFill="1"/>
    <xf numFmtId="169" fontId="18" fillId="0" borderId="0" xfId="2" applyNumberFormat="1" applyFont="1" applyFill="1" applyAlignment="1">
      <alignment horizontal="left" indent="1"/>
    </xf>
    <xf numFmtId="169" fontId="4" fillId="0" borderId="0" xfId="2" applyNumberFormat="1" applyFont="1" applyFill="1" applyAlignment="1">
      <alignment horizontal="left" indent="2"/>
    </xf>
    <xf numFmtId="4" fontId="4" fillId="0" borderId="0" xfId="2" applyNumberFormat="1" applyFont="1" applyFill="1"/>
    <xf numFmtId="171" fontId="4" fillId="0" borderId="0" xfId="2" applyNumberFormat="1" applyFont="1" applyFill="1" applyBorder="1" applyAlignment="1"/>
    <xf numFmtId="170" fontId="12" fillId="0" borderId="0" xfId="2" applyNumberFormat="1" applyFont="1" applyFill="1"/>
    <xf numFmtId="170" fontId="11" fillId="3" borderId="0" xfId="2" applyNumberFormat="1" applyFont="1" applyFill="1" applyBorder="1"/>
    <xf numFmtId="169" fontId="11" fillId="3" borderId="0" xfId="2" applyNumberFormat="1" applyFont="1" applyFill="1" applyBorder="1"/>
    <xf numFmtId="177" fontId="11" fillId="3" borderId="0" xfId="2" applyNumberFormat="1" applyFont="1" applyFill="1"/>
    <xf numFmtId="177" fontId="4" fillId="3" borderId="0" xfId="2" applyNumberFormat="1" applyFont="1" applyFill="1"/>
    <xf numFmtId="167" fontId="11" fillId="3" borderId="0" xfId="2" applyNumberFormat="1" applyFont="1" applyFill="1"/>
    <xf numFmtId="167" fontId="11" fillId="3" borderId="0" xfId="2" applyNumberFormat="1" applyFont="1" applyFill="1" applyAlignment="1">
      <alignment horizontal="right"/>
    </xf>
    <xf numFmtId="167" fontId="4" fillId="3" borderId="0" xfId="2" applyNumberFormat="1" applyFont="1" applyFill="1"/>
    <xf numFmtId="167" fontId="4" fillId="3" borderId="0" xfId="2" applyNumberFormat="1" applyFont="1" applyFill="1" applyAlignment="1">
      <alignment horizontal="right"/>
    </xf>
    <xf numFmtId="167" fontId="11" fillId="3" borderId="0" xfId="2" applyNumberFormat="1" applyFont="1" applyFill="1" applyBorder="1" applyAlignment="1">
      <alignment horizontal="right"/>
    </xf>
    <xf numFmtId="174" fontId="4" fillId="3" borderId="0" xfId="2" applyNumberFormat="1" applyFont="1" applyFill="1" applyBorder="1" applyAlignment="1">
      <alignment horizontal="right"/>
    </xf>
    <xf numFmtId="174" fontId="11" fillId="3" borderId="0" xfId="2" applyNumberFormat="1" applyFont="1" applyFill="1" applyBorder="1" applyAlignment="1">
      <alignment horizontal="right"/>
    </xf>
    <xf numFmtId="174" fontId="4" fillId="3" borderId="0" xfId="2" applyNumberFormat="1" applyFont="1" applyFill="1" applyAlignment="1">
      <alignment horizontal="right"/>
    </xf>
    <xf numFmtId="168" fontId="4" fillId="3" borderId="0" xfId="2" applyNumberFormat="1" applyFont="1" applyFill="1" applyAlignment="1">
      <alignment horizontal="right"/>
    </xf>
    <xf numFmtId="179" fontId="4" fillId="3" borderId="0" xfId="4" applyNumberFormat="1" applyFont="1" applyFill="1"/>
    <xf numFmtId="174" fontId="4" fillId="3" borderId="0" xfId="4" applyNumberFormat="1" applyFont="1" applyFill="1"/>
    <xf numFmtId="180" fontId="4" fillId="3" borderId="0" xfId="4" applyNumberFormat="1" applyFont="1" applyFill="1"/>
    <xf numFmtId="178" fontId="4" fillId="3" borderId="0" xfId="2" applyNumberFormat="1" applyFont="1" applyFill="1" applyAlignment="1">
      <alignment horizontal="right"/>
    </xf>
    <xf numFmtId="9" fontId="4" fillId="3" borderId="0" xfId="4" applyNumberFormat="1" applyFont="1" applyFill="1" applyAlignment="1">
      <alignment horizontal="right"/>
    </xf>
    <xf numFmtId="178" fontId="4" fillId="3" borderId="0" xfId="2" applyNumberFormat="1" applyFont="1" applyFill="1"/>
    <xf numFmtId="3" fontId="4" fillId="3" borderId="0" xfId="2" applyNumberFormat="1" applyFont="1" applyFill="1"/>
    <xf numFmtId="49" fontId="4" fillId="0" borderId="0" xfId="3" applyNumberFormat="1" applyFont="1" applyFill="1" applyAlignment="1">
      <alignment horizontal="left"/>
    </xf>
    <xf numFmtId="171" fontId="9" fillId="3" borderId="0" xfId="1" applyNumberFormat="1" applyFont="1" applyFill="1"/>
    <xf numFmtId="171" fontId="4" fillId="3" borderId="0" xfId="1" applyNumberFormat="1" applyFont="1" applyFill="1"/>
    <xf numFmtId="173" fontId="4" fillId="3" borderId="0" xfId="1" applyNumberFormat="1" applyFont="1" applyFill="1"/>
    <xf numFmtId="0" fontId="0" fillId="0" borderId="0" xfId="0" applyFill="1"/>
    <xf numFmtId="14" fontId="4" fillId="0" borderId="0" xfId="2" applyNumberFormat="1" applyFont="1" applyFill="1"/>
    <xf numFmtId="170" fontId="38" fillId="0" borderId="1" xfId="2" applyNumberFormat="1" applyFont="1" applyFill="1" applyBorder="1"/>
    <xf numFmtId="170" fontId="4" fillId="4" borderId="0" xfId="1" applyNumberFormat="1" applyFont="1" applyFill="1"/>
    <xf numFmtId="174" fontId="4" fillId="0" borderId="0" xfId="1" applyNumberFormat="1" applyFont="1" applyFill="1"/>
    <xf numFmtId="172" fontId="4" fillId="0" borderId="0" xfId="2" applyNumberFormat="1" applyFont="1" applyFill="1" applyAlignment="1">
      <alignment horizontal="right"/>
    </xf>
    <xf numFmtId="49" fontId="0" fillId="0" borderId="0" xfId="0" applyNumberFormat="1"/>
    <xf numFmtId="0" fontId="0" fillId="2" borderId="0" xfId="0" applyFill="1"/>
    <xf numFmtId="197" fontId="15" fillId="0" borderId="0" xfId="2" applyNumberFormat="1" applyFont="1" applyFill="1"/>
    <xf numFmtId="169" fontId="19" fillId="0" borderId="0" xfId="1" applyNumberFormat="1" applyFont="1" applyAlignment="1"/>
    <xf numFmtId="176" fontId="9" fillId="0" borderId="0" xfId="2" applyNumberFormat="1" applyFont="1" applyFill="1"/>
    <xf numFmtId="200" fontId="9" fillId="0" borderId="0" xfId="2" applyNumberFormat="1" applyFont="1" applyFill="1" applyAlignment="1">
      <alignment horizontal="right"/>
    </xf>
    <xf numFmtId="171" fontId="16" fillId="0" borderId="0" xfId="2" applyNumberFormat="1" applyFont="1" applyFill="1" applyAlignment="1">
      <alignment horizontal="right"/>
    </xf>
    <xf numFmtId="168" fontId="4" fillId="0" borderId="7" xfId="2" applyNumberFormat="1" applyFont="1" applyFill="1" applyBorder="1"/>
    <xf numFmtId="168" fontId="9" fillId="3" borderId="0" xfId="2" applyNumberFormat="1" applyFont="1" applyFill="1"/>
    <xf numFmtId="174" fontId="11" fillId="0" borderId="0" xfId="2" applyNumberFormat="1" applyFont="1" applyFill="1"/>
    <xf numFmtId="174" fontId="9" fillId="6" borderId="0" xfId="2" applyNumberFormat="1" applyFont="1" applyFill="1" applyAlignment="1">
      <alignment horizontal="right"/>
    </xf>
    <xf numFmtId="174" fontId="9" fillId="0" borderId="0" xfId="3" applyNumberFormat="1" applyFont="1" applyFill="1"/>
    <xf numFmtId="168" fontId="9" fillId="0" borderId="4" xfId="2" applyNumberFormat="1" applyFont="1" applyFill="1" applyBorder="1"/>
    <xf numFmtId="168" fontId="9" fillId="0" borderId="5" xfId="2" applyNumberFormat="1" applyFont="1" applyFill="1" applyBorder="1"/>
    <xf numFmtId="168" fontId="9" fillId="0" borderId="8" xfId="2" applyNumberFormat="1" applyFont="1" applyFill="1" applyBorder="1"/>
    <xf numFmtId="170" fontId="9" fillId="0" borderId="2" xfId="2" applyNumberFormat="1" applyFont="1" applyFill="1" applyBorder="1"/>
    <xf numFmtId="197" fontId="15" fillId="4" borderId="0" xfId="2" applyNumberFormat="1" applyFont="1" applyFill="1"/>
    <xf numFmtId="168" fontId="4" fillId="0" borderId="0" xfId="2" applyNumberFormat="1" applyFont="1" applyFill="1" applyBorder="1"/>
    <xf numFmtId="0" fontId="3" fillId="0" borderId="0" xfId="15"/>
    <xf numFmtId="0" fontId="21" fillId="0" borderId="3" xfId="2" applyFont="1" applyFill="1" applyBorder="1" applyAlignment="1">
      <alignment horizontal="right"/>
    </xf>
    <xf numFmtId="3" fontId="9" fillId="0" borderId="0" xfId="2" applyNumberFormat="1" applyFont="1" applyFill="1"/>
    <xf numFmtId="168" fontId="9" fillId="0" borderId="2" xfId="2" applyNumberFormat="1" applyFont="1" applyFill="1" applyBorder="1" applyAlignment="1"/>
    <xf numFmtId="172" fontId="9" fillId="0" borderId="9" xfId="2" applyNumberFormat="1" applyFont="1" applyFill="1" applyBorder="1"/>
    <xf numFmtId="174" fontId="4" fillId="0" borderId="0" xfId="2" applyNumberFormat="1" applyFont="1" applyFill="1" applyBorder="1" applyAlignment="1"/>
    <xf numFmtId="165" fontId="8" fillId="0" borderId="0" xfId="2" applyNumberFormat="1" applyFont="1" applyFill="1"/>
    <xf numFmtId="172" fontId="9" fillId="0" borderId="10" xfId="2" applyNumberFormat="1" applyFont="1" applyFill="1" applyBorder="1"/>
    <xf numFmtId="168" fontId="4" fillId="8" borderId="0" xfId="2" applyNumberFormat="1" applyFont="1" applyFill="1"/>
    <xf numFmtId="174" fontId="9" fillId="8" borderId="0" xfId="3" applyNumberFormat="1" applyFont="1" applyFill="1"/>
    <xf numFmtId="168" fontId="9" fillId="0" borderId="0" xfId="2" applyNumberFormat="1" applyFont="1" applyFill="1" applyBorder="1"/>
    <xf numFmtId="0" fontId="3" fillId="9" borderId="0" xfId="33" applyFont="1" applyFill="1" applyAlignment="1">
      <alignment vertical="top"/>
    </xf>
    <xf numFmtId="0" fontId="3" fillId="9" borderId="0" xfId="15" applyFill="1" applyAlignment="1">
      <alignment vertical="top"/>
    </xf>
    <xf numFmtId="0" fontId="3" fillId="9" borderId="0" xfId="15" applyFill="1"/>
    <xf numFmtId="0" fontId="41" fillId="9" borderId="0" xfId="33" applyFont="1" applyFill="1" applyAlignment="1">
      <alignment horizontal="left" vertical="top"/>
    </xf>
    <xf numFmtId="0" fontId="3" fillId="9" borderId="0" xfId="15" applyFont="1" applyFill="1" applyAlignment="1">
      <alignment vertical="top"/>
    </xf>
    <xf numFmtId="0" fontId="42" fillId="9" borderId="0" xfId="33" applyFont="1" applyFill="1" applyAlignment="1">
      <alignment vertical="top"/>
    </xf>
    <xf numFmtId="0" fontId="0" fillId="9" borderId="0" xfId="0" applyFill="1" applyAlignment="1">
      <alignment vertical="top"/>
    </xf>
    <xf numFmtId="0" fontId="43" fillId="9" borderId="0" xfId="0" applyFont="1" applyFill="1" applyAlignment="1">
      <alignment vertical="top"/>
    </xf>
    <xf numFmtId="0" fontId="44" fillId="9" borderId="0" xfId="0" applyFont="1" applyFill="1" applyAlignment="1">
      <alignment vertical="top"/>
    </xf>
    <xf numFmtId="0" fontId="44" fillId="9" borderId="0" xfId="0" applyFont="1" applyFill="1" applyAlignment="1">
      <alignment vertical="top"/>
    </xf>
    <xf numFmtId="0" fontId="43" fillId="9" borderId="0" xfId="0" applyFont="1" applyFill="1" applyAlignment="1">
      <alignment vertical="top"/>
    </xf>
    <xf numFmtId="0" fontId="0" fillId="9" borderId="0" xfId="0" applyFill="1" applyAlignment="1">
      <alignment vertical="top"/>
    </xf>
    <xf numFmtId="0" fontId="0" fillId="9" borderId="15" xfId="0" applyFill="1" applyBorder="1" applyAlignment="1">
      <alignment vertical="top"/>
    </xf>
    <xf numFmtId="0" fontId="43" fillId="9" borderId="11" xfId="0" applyFont="1" applyFill="1" applyBorder="1" applyAlignment="1">
      <alignment vertical="top"/>
    </xf>
    <xf numFmtId="0" fontId="43" fillId="9" borderId="12" xfId="0" applyFont="1" applyFill="1" applyBorder="1" applyAlignment="1">
      <alignment vertical="top"/>
    </xf>
    <xf numFmtId="0" fontId="43" fillId="9" borderId="13" xfId="0" applyFont="1" applyFill="1" applyBorder="1" applyAlignment="1">
      <alignment vertical="top"/>
    </xf>
    <xf numFmtId="0" fontId="43" fillId="9" borderId="14" xfId="0" applyFont="1" applyFill="1" applyBorder="1" applyAlignment="1">
      <alignment vertical="top"/>
    </xf>
    <xf numFmtId="9" fontId="43" fillId="9" borderId="11" xfId="0" applyNumberFormat="1" applyFont="1" applyFill="1" applyBorder="1" applyAlignment="1">
      <alignment vertical="top"/>
    </xf>
    <xf numFmtId="3" fontId="43" fillId="9" borderId="11" xfId="0" applyNumberFormat="1" applyFont="1" applyFill="1" applyBorder="1" applyAlignment="1">
      <alignment vertical="top"/>
    </xf>
    <xf numFmtId="0" fontId="0" fillId="9" borderId="16" xfId="0" applyFill="1" applyBorder="1" applyAlignment="1">
      <alignment vertical="top"/>
    </xf>
    <xf numFmtId="2" fontId="3" fillId="0" borderId="0" xfId="15" applyNumberFormat="1" applyAlignment="1">
      <alignment horizontal="left"/>
    </xf>
    <xf numFmtId="0" fontId="3" fillId="0" borderId="0" xfId="15" applyNumberFormat="1" applyAlignment="1">
      <alignment horizontal="left"/>
    </xf>
    <xf numFmtId="1" fontId="3" fillId="0" borderId="0" xfId="15" applyNumberFormat="1" applyAlignment="1">
      <alignment horizontal="left"/>
    </xf>
    <xf numFmtId="0" fontId="3" fillId="0" borderId="0" xfId="15" applyFont="1"/>
    <xf numFmtId="210" fontId="3" fillId="0" borderId="0" xfId="15" applyNumberFormat="1" applyAlignment="1">
      <alignment horizontal="left"/>
    </xf>
    <xf numFmtId="49" fontId="3" fillId="0" borderId="0" xfId="15" applyNumberFormat="1"/>
  </cellXfs>
  <cellStyles count="34">
    <cellStyle name="          _x000d__x000a_network.drv=netware." xfId="5"/>
    <cellStyle name=" 1" xfId="6"/>
    <cellStyle name="_x000a_386grabber=M" xfId="2"/>
    <cellStyle name="_SUMMARY " xfId="7"/>
    <cellStyle name="0_Capex &amp; Depreciation " xfId="8"/>
    <cellStyle name="0_Valuing BP " xfId="9"/>
    <cellStyle name="c_HardInc " xfId="10"/>
    <cellStyle name="Comma 2" xfId="3"/>
    <cellStyle name="Comma 2 2" xfId="11"/>
    <cellStyle name="Comma 2 3" xfId="12"/>
    <cellStyle name="Comma 4" xfId="13"/>
    <cellStyle name="Comma 8" xfId="14"/>
    <cellStyle name="Currency 2" xfId="30"/>
    <cellStyle name="Currency 3" xfId="31"/>
    <cellStyle name="Normal" xfId="0" builtinId="0"/>
    <cellStyle name="Normal 2" xfId="1"/>
    <cellStyle name="Normal 2 2" xfId="15"/>
    <cellStyle name="Normal 3" xfId="28"/>
    <cellStyle name="Normal 3 2" xfId="16"/>
    <cellStyle name="Normal 4" xfId="17"/>
    <cellStyle name="Normal 5" xfId="18"/>
    <cellStyle name="Normal 6" xfId="19"/>
    <cellStyle name="Normal_DisclaimerSheet Samples" xfId="33"/>
    <cellStyle name="p " xfId="20"/>
    <cellStyle name="Percent 2" xfId="4"/>
    <cellStyle name="Percent 3" xfId="32"/>
    <cellStyle name="Percent 4" xfId="21"/>
    <cellStyle name="RRSInstruction" xfId="29"/>
    <cellStyle name="s_HardInc " xfId="22"/>
    <cellStyle name="s_Valuation " xfId="23"/>
    <cellStyle name="ssp " xfId="24"/>
    <cellStyle name="Subtotal" xfId="25"/>
    <cellStyle name="콤마 [0]_#3이설 견적_준공내역총괄표 " xfId="26"/>
    <cellStyle name="콤마_#3이설 견적_준공내역총괄표 " xfId="27"/>
  </cellStyles>
  <dxfs count="4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EACC80"/>
      <color rgb="FF137CB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calcChain.xml" Type="http://schemas.openxmlformats.org/officeDocument/2006/relationships/calcChain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externalLinks/externalLink1.xml" Type="http://schemas.openxmlformats.org/officeDocument/2006/relationships/externalLink"/>
<Relationship Id="rId7" Target="theme/theme1.xml" Type="http://schemas.openxmlformats.org/officeDocument/2006/relationships/theme"/>
<Relationship Id="rId8" Target="styles.xml" Type="http://schemas.openxmlformats.org/officeDocument/2006/relationships/styles"/>
<Relationship Id="rId9" Target="sharedStrings.xml" Type="http://schemas.openxmlformats.org/officeDocument/2006/relationships/sharedStrings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9</xdr:col>
      <xdr:colOff>114300</xdr:colOff>
      <xdr:row>194</xdr:row>
      <xdr:rowOff>104775</xdr:rowOff>
    </xdr:to>
    <xdr:pic>
      <xdr:nvPicPr>
        <xdr:cNvPr id="40961" name="Picture 1" descr="C:\Users\ozierale.MSAD\AppData\Local\Temp\MercuryPriceRatingHistoryChart\FRAC.N_2018_04_11_00_10_3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414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ENERGY/SLORER/Lynagh/Services/FRAC/Bull%20-%20Bear/BULL_FRAC_MW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Valuation_NEW"/>
      <sheetName val="Fleet"/>
      <sheetName val="Feedback Template"/>
      <sheetName val="Guidance vs. MS"/>
      <sheetName val="Benchmark Stats"/>
      <sheetName val="vs. Cons."/>
      <sheetName val="EV-HP"/>
      <sheetName val="Q's"/>
      <sheetName val="BBB &amp; Val"/>
      <sheetName val="mwareDates"/>
    </sheetNames>
    <sheetDataSet>
      <sheetData sheetId="0">
        <row r="66">
          <cell r="L66">
            <v>10.241666666666667</v>
          </cell>
          <cell r="M66">
            <v>18.5</v>
          </cell>
          <cell r="N66">
            <v>25.25</v>
          </cell>
        </row>
        <row r="71">
          <cell r="L71">
            <v>40.167532456305942</v>
          </cell>
          <cell r="M71">
            <v>52.737567567567567</v>
          </cell>
          <cell r="N71">
            <v>75.15290352475246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5"/>
  <sheetViews>
    <sheetView showGridLines="0" tabSelected="1" workbookViewId="0">
      <selection activeCell="Z1" sqref="Z1"/>
    </sheetView>
  </sheetViews>
  <sheetFormatPr defaultRowHeight="12.75"/>
  <cols>
    <col min="1" max="1" width="25.83203125" style="251" customWidth="1"/>
    <col min="2" max="5" width="9.33203125" style="251"/>
    <col min="6" max="6" width="18.83203125" style="251" customWidth="1"/>
    <col min="7" max="256" width="9.33203125" style="251"/>
    <col min="257" max="257" width="117.5" style="251" customWidth="1"/>
    <col min="258" max="512" width="9.33203125" style="251"/>
    <col min="513" max="513" width="117.5" style="251" customWidth="1"/>
    <col min="514" max="768" width="9.33203125" style="251"/>
    <col min="769" max="769" width="117.5" style="251" customWidth="1"/>
    <col min="770" max="1024" width="9.33203125" style="251"/>
    <col min="1025" max="1025" width="117.5" style="251" customWidth="1"/>
    <col min="1026" max="1280" width="9.33203125" style="251"/>
    <col min="1281" max="1281" width="117.5" style="251" customWidth="1"/>
    <col min="1282" max="1536" width="9.33203125" style="251"/>
    <col min="1537" max="1537" width="117.5" style="251" customWidth="1"/>
    <col min="1538" max="1792" width="9.33203125" style="251"/>
    <col min="1793" max="1793" width="117.5" style="251" customWidth="1"/>
    <col min="1794" max="2048" width="9.33203125" style="251"/>
    <col min="2049" max="2049" width="117.5" style="251" customWidth="1"/>
    <col min="2050" max="2304" width="9.33203125" style="251"/>
    <col min="2305" max="2305" width="117.5" style="251" customWidth="1"/>
    <col min="2306" max="2560" width="9.33203125" style="251"/>
    <col min="2561" max="2561" width="117.5" style="251" customWidth="1"/>
    <col min="2562" max="2816" width="9.33203125" style="251"/>
    <col min="2817" max="2817" width="117.5" style="251" customWidth="1"/>
    <col min="2818" max="3072" width="9.33203125" style="251"/>
    <col min="3073" max="3073" width="117.5" style="251" customWidth="1"/>
    <col min="3074" max="3328" width="9.33203125" style="251"/>
    <col min="3329" max="3329" width="117.5" style="251" customWidth="1"/>
    <col min="3330" max="3584" width="9.33203125" style="251"/>
    <col min="3585" max="3585" width="117.5" style="251" customWidth="1"/>
    <col min="3586" max="3840" width="9.33203125" style="251"/>
    <col min="3841" max="3841" width="117.5" style="251" customWidth="1"/>
    <col min="3842" max="4096" width="9.33203125" style="251"/>
    <col min="4097" max="4097" width="117.5" style="251" customWidth="1"/>
    <col min="4098" max="4352" width="9.33203125" style="251"/>
    <col min="4353" max="4353" width="117.5" style="251" customWidth="1"/>
    <col min="4354" max="4608" width="9.33203125" style="251"/>
    <col min="4609" max="4609" width="117.5" style="251" customWidth="1"/>
    <col min="4610" max="4864" width="9.33203125" style="251"/>
    <col min="4865" max="4865" width="117.5" style="251" customWidth="1"/>
    <col min="4866" max="5120" width="9.33203125" style="251"/>
    <col min="5121" max="5121" width="117.5" style="251" customWidth="1"/>
    <col min="5122" max="5376" width="9.33203125" style="251"/>
    <col min="5377" max="5377" width="117.5" style="251" customWidth="1"/>
    <col min="5378" max="5632" width="9.33203125" style="251"/>
    <col min="5633" max="5633" width="117.5" style="251" customWidth="1"/>
    <col min="5634" max="5888" width="9.33203125" style="251"/>
    <col min="5889" max="5889" width="117.5" style="251" customWidth="1"/>
    <col min="5890" max="6144" width="9.33203125" style="251"/>
    <col min="6145" max="6145" width="117.5" style="251" customWidth="1"/>
    <col min="6146" max="6400" width="9.33203125" style="251"/>
    <col min="6401" max="6401" width="117.5" style="251" customWidth="1"/>
    <col min="6402" max="6656" width="9.33203125" style="251"/>
    <col min="6657" max="6657" width="117.5" style="251" customWidth="1"/>
    <col min="6658" max="6912" width="9.33203125" style="251"/>
    <col min="6913" max="6913" width="117.5" style="251" customWidth="1"/>
    <col min="6914" max="7168" width="9.33203125" style="251"/>
    <col min="7169" max="7169" width="117.5" style="251" customWidth="1"/>
    <col min="7170" max="7424" width="9.33203125" style="251"/>
    <col min="7425" max="7425" width="117.5" style="251" customWidth="1"/>
    <col min="7426" max="7680" width="9.33203125" style="251"/>
    <col min="7681" max="7681" width="117.5" style="251" customWidth="1"/>
    <col min="7682" max="7936" width="9.33203125" style="251"/>
    <col min="7937" max="7937" width="117.5" style="251" customWidth="1"/>
    <col min="7938" max="8192" width="9.33203125" style="251"/>
    <col min="8193" max="8193" width="117.5" style="251" customWidth="1"/>
    <col min="8194" max="8448" width="9.33203125" style="251"/>
    <col min="8449" max="8449" width="117.5" style="251" customWidth="1"/>
    <col min="8450" max="8704" width="9.33203125" style="251"/>
    <col min="8705" max="8705" width="117.5" style="251" customWidth="1"/>
    <col min="8706" max="8960" width="9.33203125" style="251"/>
    <col min="8961" max="8961" width="117.5" style="251" customWidth="1"/>
    <col min="8962" max="9216" width="9.33203125" style="251"/>
    <col min="9217" max="9217" width="117.5" style="251" customWidth="1"/>
    <col min="9218" max="9472" width="9.33203125" style="251"/>
    <col min="9473" max="9473" width="117.5" style="251" customWidth="1"/>
    <col min="9474" max="9728" width="9.33203125" style="251"/>
    <col min="9729" max="9729" width="117.5" style="251" customWidth="1"/>
    <col min="9730" max="9984" width="9.33203125" style="251"/>
    <col min="9985" max="9985" width="117.5" style="251" customWidth="1"/>
    <col min="9986" max="10240" width="9.33203125" style="251"/>
    <col min="10241" max="10241" width="117.5" style="251" customWidth="1"/>
    <col min="10242" max="10496" width="9.33203125" style="251"/>
    <col min="10497" max="10497" width="117.5" style="251" customWidth="1"/>
    <col min="10498" max="10752" width="9.33203125" style="251"/>
    <col min="10753" max="10753" width="117.5" style="251" customWidth="1"/>
    <col min="10754" max="11008" width="9.33203125" style="251"/>
    <col min="11009" max="11009" width="117.5" style="251" customWidth="1"/>
    <col min="11010" max="11264" width="9.33203125" style="251"/>
    <col min="11265" max="11265" width="117.5" style="251" customWidth="1"/>
    <col min="11266" max="11520" width="9.33203125" style="251"/>
    <col min="11521" max="11521" width="117.5" style="251" customWidth="1"/>
    <col min="11522" max="11776" width="9.33203125" style="251"/>
    <col min="11777" max="11777" width="117.5" style="251" customWidth="1"/>
    <col min="11778" max="12032" width="9.33203125" style="251"/>
    <col min="12033" max="12033" width="117.5" style="251" customWidth="1"/>
    <col min="12034" max="12288" width="9.33203125" style="251"/>
    <col min="12289" max="12289" width="117.5" style="251" customWidth="1"/>
    <col min="12290" max="12544" width="9.33203125" style="251"/>
    <col min="12545" max="12545" width="117.5" style="251" customWidth="1"/>
    <col min="12546" max="12800" width="9.33203125" style="251"/>
    <col min="12801" max="12801" width="117.5" style="251" customWidth="1"/>
    <col min="12802" max="13056" width="9.33203125" style="251"/>
    <col min="13057" max="13057" width="117.5" style="251" customWidth="1"/>
    <col min="13058" max="13312" width="9.33203125" style="251"/>
    <col min="13313" max="13313" width="117.5" style="251" customWidth="1"/>
    <col min="13314" max="13568" width="9.33203125" style="251"/>
    <col min="13569" max="13569" width="117.5" style="251" customWidth="1"/>
    <col min="13570" max="13824" width="9.33203125" style="251"/>
    <col min="13825" max="13825" width="117.5" style="251" customWidth="1"/>
    <col min="13826" max="14080" width="9.33203125" style="251"/>
    <col min="14081" max="14081" width="117.5" style="251" customWidth="1"/>
    <col min="14082" max="14336" width="9.33203125" style="251"/>
    <col min="14337" max="14337" width="117.5" style="251" customWidth="1"/>
    <col min="14338" max="14592" width="9.33203125" style="251"/>
    <col min="14593" max="14593" width="117.5" style="251" customWidth="1"/>
    <col min="14594" max="14848" width="9.33203125" style="251"/>
    <col min="14849" max="14849" width="117.5" style="251" customWidth="1"/>
    <col min="14850" max="15104" width="9.33203125" style="251"/>
    <col min="15105" max="15105" width="117.5" style="251" customWidth="1"/>
    <col min="15106" max="15360" width="9.33203125" style="251"/>
    <col min="15361" max="15361" width="117.5" style="251" customWidth="1"/>
    <col min="15362" max="15616" width="9.33203125" style="251"/>
    <col min="15617" max="15617" width="117.5" style="251" customWidth="1"/>
    <col min="15618" max="15872" width="9.33203125" style="251"/>
    <col min="15873" max="15873" width="117.5" style="251" customWidth="1"/>
    <col min="15874" max="16128" width="9.33203125" style="251"/>
    <col min="16129" max="16129" width="117.5" style="251" customWidth="1"/>
    <col min="16130" max="16384" width="9.33203125" style="251"/>
  </cols>
  <sheetData>
    <row r="1" spans="1:8" ht="30" customHeight="1">
      <c r="A1" s="249"/>
      <c r="B1" s="250"/>
      <c r="C1" s="250"/>
      <c r="D1" s="250"/>
      <c r="E1" s="250"/>
      <c r="F1" s="250"/>
      <c r="G1" s="250"/>
      <c r="H1" s="250"/>
    </row>
    <row r="2" spans="1:8" ht="14.25">
      <c r="A2" s="252" t="s">
        <v>370</v>
      </c>
      <c r="B2" s="250"/>
      <c r="C2" s="250"/>
      <c r="D2" s="250"/>
      <c r="E2" s="250"/>
      <c r="F2" s="250"/>
      <c r="G2" s="250"/>
      <c r="H2" s="250"/>
    </row>
    <row r="3" spans="1:8" ht="14.25">
      <c r="A3" s="252" t="s">
        <v>371</v>
      </c>
      <c r="B3" s="250"/>
      <c r="C3" s="250"/>
      <c r="D3" s="250"/>
      <c r="E3" s="250"/>
      <c r="F3" s="250"/>
      <c r="G3" s="250"/>
      <c r="H3" s="250"/>
    </row>
    <row r="4" spans="1:8" ht="14.25">
      <c r="A4" s="252" t="s">
        <v>372</v>
      </c>
      <c r="B4" s="250"/>
      <c r="C4" s="250"/>
      <c r="D4" s="250"/>
      <c r="E4" s="250"/>
      <c r="F4" s="250"/>
      <c r="G4" s="250"/>
      <c r="H4" s="250"/>
    </row>
    <row r="5" spans="1:8" ht="14.25">
      <c r="A5" s="252" t="s">
        <v>373</v>
      </c>
      <c r="B5" s="250"/>
      <c r="C5" s="250"/>
      <c r="D5" s="250"/>
      <c r="E5" s="250"/>
      <c r="F5" s="250"/>
      <c r="G5" s="250"/>
      <c r="H5" s="250"/>
    </row>
    <row r="6" spans="1:8" ht="14.25">
      <c r="A6" s="252"/>
      <c r="B6" s="250"/>
      <c r="C6" s="250"/>
      <c r="D6" s="250"/>
      <c r="E6" s="250"/>
      <c r="F6" s="250"/>
      <c r="G6" s="250"/>
      <c r="H6" s="250"/>
    </row>
    <row r="7" spans="1:8">
      <c r="A7" s="249" t="s">
        <v>374</v>
      </c>
      <c r="B7" s="250"/>
      <c r="C7" s="250"/>
      <c r="D7" s="250"/>
      <c r="E7" s="250"/>
      <c r="F7" s="250"/>
      <c r="G7" s="250"/>
      <c r="H7" s="250"/>
    </row>
    <row r="8" spans="1:8">
      <c r="A8" s="249" t="s">
        <v>375</v>
      </c>
      <c r="B8" s="250"/>
      <c r="C8" s="250"/>
      <c r="D8" s="250"/>
      <c r="E8" s="250"/>
      <c r="F8" s="250"/>
      <c r="G8" s="250"/>
      <c r="H8" s="250"/>
    </row>
    <row r="9" spans="1:8">
      <c r="A9" s="249"/>
      <c r="B9" s="250"/>
      <c r="C9" s="250"/>
      <c r="D9" s="250"/>
      <c r="E9" s="250"/>
      <c r="F9" s="250"/>
      <c r="G9" s="250"/>
      <c r="H9" s="250"/>
    </row>
    <row r="10" spans="1:8">
      <c r="A10" s="253" t="s">
        <v>376</v>
      </c>
      <c r="B10" s="250"/>
      <c r="C10" s="250"/>
      <c r="D10" s="250"/>
      <c r="E10" s="250"/>
      <c r="F10" s="250"/>
      <c r="G10" s="250"/>
      <c r="H10" s="250"/>
    </row>
    <row r="11" spans="1:8">
      <c r="A11" s="253" t="s">
        <v>377</v>
      </c>
      <c r="B11" s="250"/>
      <c r="C11" s="250"/>
      <c r="D11" s="250"/>
      <c r="E11" s="250"/>
      <c r="F11" s="250"/>
      <c r="G11" s="250"/>
      <c r="H11" s="250"/>
    </row>
    <row r="12" spans="1:8">
      <c r="A12" s="253" t="s">
        <v>378</v>
      </c>
      <c r="B12" s="250"/>
      <c r="C12" s="250"/>
      <c r="D12" s="250"/>
      <c r="E12" s="250"/>
      <c r="F12" s="250"/>
      <c r="G12" s="250"/>
      <c r="H12" s="250"/>
    </row>
    <row r="13" spans="1:8">
      <c r="A13" s="253" t="s">
        <v>379</v>
      </c>
      <c r="B13" s="250"/>
      <c r="C13" s="250"/>
      <c r="D13" s="250"/>
      <c r="E13" s="250"/>
      <c r="F13" s="250"/>
      <c r="G13" s="250"/>
      <c r="H13" s="250"/>
    </row>
    <row r="14" spans="1:8">
      <c r="A14" s="253" t="s">
        <v>380</v>
      </c>
      <c r="B14" s="250"/>
      <c r="C14" s="250"/>
      <c r="D14" s="250"/>
      <c r="E14" s="250"/>
      <c r="F14" s="250"/>
      <c r="G14" s="250"/>
      <c r="H14" s="250"/>
    </row>
    <row r="15" spans="1:8">
      <c r="A15" s="253" t="s">
        <v>381</v>
      </c>
      <c r="B15" s="250"/>
      <c r="C15" s="250"/>
      <c r="D15" s="250"/>
      <c r="E15" s="250"/>
      <c r="F15" s="250"/>
      <c r="G15" s="250"/>
      <c r="H15" s="250"/>
    </row>
    <row r="16" spans="1:8">
      <c r="A16" s="253"/>
      <c r="B16" s="250"/>
      <c r="C16" s="250"/>
      <c r="D16" s="250"/>
      <c r="E16" s="250"/>
      <c r="F16" s="250"/>
      <c r="G16" s="250"/>
      <c r="H16" s="250"/>
    </row>
    <row r="17" spans="1:8">
      <c r="A17" s="253" t="s">
        <v>367</v>
      </c>
      <c r="B17" s="250"/>
      <c r="C17" s="250"/>
      <c r="D17" s="250"/>
      <c r="E17" s="250"/>
      <c r="F17" s="250"/>
      <c r="G17" s="250"/>
      <c r="H17" s="250"/>
    </row>
    <row r="18" spans="1:8">
      <c r="A18" s="253"/>
      <c r="B18" s="250"/>
      <c r="C18" s="250"/>
      <c r="D18" s="250"/>
      <c r="E18" s="250"/>
      <c r="F18" s="250"/>
      <c r="G18" s="250"/>
      <c r="H18" s="250"/>
    </row>
    <row r="19" spans="1:8">
      <c r="A19" s="253" t="s">
        <v>368</v>
      </c>
      <c r="B19" s="250"/>
      <c r="C19" s="250"/>
      <c r="D19" s="250"/>
      <c r="E19" s="250"/>
      <c r="F19" s="250"/>
      <c r="G19" s="250"/>
      <c r="H19" s="250"/>
    </row>
    <row r="20" spans="1:8">
      <c r="A20" s="249"/>
      <c r="B20" s="250"/>
      <c r="C20" s="250"/>
      <c r="D20" s="250"/>
      <c r="E20" s="250"/>
      <c r="F20" s="250"/>
      <c r="G20" s="250"/>
      <c r="H20" s="250"/>
    </row>
    <row r="21" spans="1:8">
      <c r="A21" s="254" t="s">
        <v>369</v>
      </c>
      <c r="B21" s="250"/>
      <c r="C21" s="250"/>
      <c r="D21" s="250"/>
      <c r="E21" s="250"/>
      <c r="F21" s="250"/>
      <c r="G21" s="250"/>
      <c r="H21" s="250"/>
    </row>
    <row r="22" spans="1:8">
      <c r="A22" s="255"/>
      <c r="B22" s="255"/>
      <c r="C22" s="255"/>
      <c r="D22" s="255"/>
      <c r="E22" s="255"/>
      <c r="F22" s="255"/>
      <c r="G22" s="255"/>
      <c r="H22" s="255"/>
    </row>
    <row r="23" spans="1:8">
      <c r="A23" s="256" t="s">
        <v>655</v>
      </c>
      <c r="B23" s="255"/>
      <c r="C23" s="255"/>
      <c r="D23" s="255"/>
      <c r="E23" s="255"/>
      <c r="F23" s="255"/>
      <c r="G23" s="255"/>
      <c r="H23" s="255"/>
    </row>
    <row r="24" spans="1:8">
      <c r="A24" s="256" t="s">
        <v>656</v>
      </c>
      <c r="B24" s="255"/>
      <c r="C24" s="255"/>
      <c r="D24" s="255"/>
      <c r="E24" s="255"/>
      <c r="F24" s="255"/>
      <c r="G24" s="255"/>
      <c r="H24" s="255"/>
    </row>
    <row r="25" spans="1:8">
      <c r="A25" s="256" t="s">
        <v>657</v>
      </c>
      <c r="B25" s="255"/>
      <c r="C25" s="255"/>
      <c r="D25" s="255"/>
      <c r="E25" s="255"/>
      <c r="F25" s="255"/>
      <c r="G25" s="255"/>
      <c r="H25" s="255"/>
    </row>
    <row r="26" spans="1:8">
      <c r="A26" s="256" t="s">
        <v>658</v>
      </c>
      <c r="B26" s="255"/>
      <c r="C26" s="255"/>
      <c r="D26" s="255"/>
      <c r="E26" s="255"/>
      <c r="F26" s="255"/>
      <c r="G26" s="255"/>
      <c r="H26" s="255"/>
    </row>
    <row r="27" spans="1:8">
      <c r="A27" s="255"/>
      <c r="B27" s="255"/>
      <c r="C27" s="255"/>
      <c r="D27" s="255"/>
      <c r="E27" s="255"/>
      <c r="F27" s="255"/>
      <c r="G27" s="255"/>
      <c r="H27" s="255"/>
    </row>
    <row r="28" spans="1:8">
      <c r="A28" s="255"/>
      <c r="B28" s="255"/>
      <c r="C28" s="255"/>
      <c r="D28" s="255"/>
      <c r="E28" s="255"/>
      <c r="F28" s="255"/>
      <c r="G28" s="255"/>
      <c r="H28" s="255"/>
    </row>
    <row r="29" spans="1:8">
      <c r="A29" s="256" t="s">
        <v>650</v>
      </c>
      <c r="B29" s="255"/>
      <c r="C29" s="255"/>
      <c r="D29" s="255"/>
      <c r="E29" s="255"/>
      <c r="F29" s="255"/>
      <c r="G29" s="255"/>
      <c r="H29" s="255"/>
    </row>
    <row r="30" spans="1:8">
      <c r="A30" s="256" t="s">
        <v>651</v>
      </c>
      <c r="B30" s="255"/>
      <c r="C30" s="255"/>
      <c r="D30" s="255"/>
      <c r="E30" s="255"/>
      <c r="F30" s="255"/>
      <c r="G30" s="255"/>
      <c r="H30" s="255"/>
    </row>
    <row r="31" spans="1:8">
      <c r="A31" s="256" t="s">
        <v>652</v>
      </c>
      <c r="B31" s="255"/>
      <c r="C31" s="255"/>
      <c r="D31" s="255"/>
      <c r="E31" s="255"/>
      <c r="F31" s="255"/>
      <c r="G31" s="255"/>
      <c r="H31" s="255"/>
    </row>
    <row r="32" spans="1:8">
      <c r="A32" s="256" t="s">
        <v>653</v>
      </c>
      <c r="B32" s="255"/>
      <c r="C32" s="255"/>
      <c r="D32" s="255"/>
      <c r="E32" s="255"/>
      <c r="F32" s="255"/>
      <c r="G32" s="255"/>
      <c r="H32" s="255"/>
    </row>
    <row r="33" spans="1:8">
      <c r="A33" s="256" t="s">
        <v>654</v>
      </c>
      <c r="B33" s="255"/>
      <c r="C33" s="255"/>
      <c r="D33" s="255"/>
      <c r="E33" s="255"/>
      <c r="F33" s="255"/>
      <c r="G33" s="255"/>
      <c r="H33" s="255"/>
    </row>
    <row r="34" spans="1:8">
      <c r="A34" s="255"/>
      <c r="B34" s="255"/>
      <c r="C34" s="255"/>
      <c r="D34" s="255"/>
      <c r="E34" s="255"/>
      <c r="F34" s="255"/>
      <c r="G34" s="255"/>
      <c r="H34" s="255"/>
    </row>
    <row r="35" spans="1:8">
      <c r="A35" s="256" t="s">
        <v>646</v>
      </c>
      <c r="B35" s="255"/>
      <c r="C35" s="255"/>
      <c r="D35" s="255"/>
      <c r="E35" s="255"/>
      <c r="F35" s="255"/>
      <c r="G35" s="255"/>
      <c r="H35" s="255"/>
    </row>
    <row r="36" spans="1:8">
      <c r="A36" s="256" t="s">
        <v>647</v>
      </c>
      <c r="B36" s="255"/>
      <c r="C36" s="255"/>
      <c r="D36" s="255"/>
      <c r="E36" s="255"/>
      <c r="F36" s="255"/>
      <c r="G36" s="255"/>
      <c r="H36" s="255"/>
    </row>
    <row r="37" spans="1:8">
      <c r="A37" s="256" t="s">
        <v>648</v>
      </c>
      <c r="B37" s="255"/>
      <c r="C37" s="255"/>
      <c r="D37" s="255"/>
      <c r="E37" s="255"/>
      <c r="F37" s="255"/>
      <c r="G37" s="255"/>
      <c r="H37" s="255"/>
    </row>
    <row r="38" spans="1:8">
      <c r="A38" s="256" t="s">
        <v>649</v>
      </c>
      <c r="B38" s="255"/>
      <c r="C38" s="255"/>
      <c r="D38" s="255"/>
      <c r="E38" s="255"/>
      <c r="F38" s="255"/>
      <c r="G38" s="255"/>
      <c r="H38" s="255"/>
    </row>
    <row r="39" spans="1:8">
      <c r="A39" s="255"/>
      <c r="B39" s="255"/>
      <c r="C39" s="255"/>
      <c r="D39" s="255"/>
      <c r="E39" s="255"/>
      <c r="F39" s="255"/>
      <c r="G39" s="255"/>
      <c r="H39" s="255"/>
    </row>
    <row r="40" spans="1:8">
      <c r="A40" s="256" t="s">
        <v>640</v>
      </c>
      <c r="B40" s="255"/>
      <c r="C40" s="255"/>
      <c r="D40" s="255"/>
      <c r="E40" s="255"/>
      <c r="F40" s="255"/>
      <c r="G40" s="255"/>
      <c r="H40" s="255"/>
    </row>
    <row r="41" spans="1:8">
      <c r="A41" s="256" t="s">
        <v>641</v>
      </c>
      <c r="B41" s="255"/>
      <c r="C41" s="255"/>
      <c r="D41" s="255"/>
      <c r="E41" s="255"/>
      <c r="F41" s="255"/>
      <c r="G41" s="255"/>
      <c r="H41" s="255"/>
    </row>
    <row r="42" spans="1:8">
      <c r="A42" s="256" t="s">
        <v>642</v>
      </c>
      <c r="B42" s="255"/>
      <c r="C42" s="255"/>
      <c r="D42" s="255"/>
      <c r="E42" s="255"/>
      <c r="F42" s="255"/>
      <c r="G42" s="255"/>
      <c r="H42" s="255"/>
    </row>
    <row r="43" spans="1:8">
      <c r="A43" s="256" t="s">
        <v>643</v>
      </c>
      <c r="B43" s="255"/>
      <c r="C43" s="255"/>
      <c r="D43" s="255"/>
      <c r="E43" s="255"/>
      <c r="F43" s="255"/>
      <c r="G43" s="255"/>
      <c r="H43" s="255"/>
    </row>
    <row r="44" spans="1:8">
      <c r="A44" s="256" t="s">
        <v>644</v>
      </c>
      <c r="B44" s="255"/>
      <c r="C44" s="255"/>
      <c r="D44" s="255"/>
      <c r="E44" s="255"/>
      <c r="F44" s="255"/>
      <c r="G44" s="255"/>
      <c r="H44" s="255"/>
    </row>
    <row r="45" spans="1:8">
      <c r="A45" s="256" t="s">
        <v>645</v>
      </c>
      <c r="B45" s="255"/>
      <c r="C45" s="255"/>
      <c r="D45" s="255"/>
      <c r="E45" s="255"/>
      <c r="F45" s="255"/>
      <c r="G45" s="255"/>
      <c r="H45" s="255"/>
    </row>
    <row r="46" spans="1:8">
      <c r="A46" s="255"/>
      <c r="B46" s="255"/>
      <c r="C46" s="255"/>
      <c r="D46" s="255"/>
      <c r="E46" s="255"/>
      <c r="F46" s="255"/>
      <c r="G46" s="255"/>
      <c r="H46" s="255"/>
    </row>
    <row r="47" spans="1:8" ht="15.75">
      <c r="A47" s="257" t="s">
        <v>382</v>
      </c>
      <c r="B47" s="255"/>
      <c r="C47" s="255"/>
      <c r="D47" s="255"/>
      <c r="E47" s="255"/>
      <c r="F47" s="255"/>
      <c r="G47" s="255"/>
      <c r="H47" s="255"/>
    </row>
    <row r="48" spans="1:8">
      <c r="A48" s="255"/>
      <c r="B48" s="255"/>
      <c r="C48" s="255"/>
      <c r="D48" s="255"/>
      <c r="E48" s="255"/>
      <c r="F48" s="255"/>
      <c r="G48" s="255"/>
      <c r="H48" s="255"/>
    </row>
    <row r="49" spans="1:8">
      <c r="A49" s="256" t="s">
        <v>636</v>
      </c>
      <c r="B49" s="255"/>
      <c r="C49" s="255"/>
      <c r="D49" s="255"/>
      <c r="E49" s="255"/>
      <c r="F49" s="255"/>
      <c r="G49" s="255"/>
      <c r="H49" s="255"/>
    </row>
    <row r="50" spans="1:8">
      <c r="A50" s="256" t="s">
        <v>637</v>
      </c>
      <c r="B50" s="255"/>
      <c r="C50" s="255"/>
      <c r="D50" s="255"/>
      <c r="E50" s="255"/>
      <c r="F50" s="255"/>
      <c r="G50" s="255"/>
      <c r="H50" s="255"/>
    </row>
    <row r="51" spans="1:8">
      <c r="A51" s="256" t="s">
        <v>638</v>
      </c>
      <c r="B51" s="255"/>
      <c r="C51" s="255"/>
      <c r="D51" s="255"/>
      <c r="E51" s="255"/>
      <c r="F51" s="255"/>
      <c r="G51" s="255"/>
      <c r="H51" s="255"/>
    </row>
    <row r="52" spans="1:8">
      <c r="A52" s="256" t="s">
        <v>639</v>
      </c>
      <c r="B52" s="255"/>
      <c r="C52" s="255"/>
      <c r="D52" s="255"/>
      <c r="E52" s="255"/>
      <c r="F52" s="255"/>
      <c r="G52" s="255"/>
      <c r="H52" s="255"/>
    </row>
    <row r="53" spans="1:8">
      <c r="A53" s="255"/>
      <c r="B53" s="255"/>
      <c r="C53" s="255"/>
      <c r="D53" s="255"/>
      <c r="E53" s="255"/>
      <c r="F53" s="255"/>
      <c r="G53" s="255"/>
      <c r="H53" s="255"/>
    </row>
    <row r="54" spans="1:8">
      <c r="A54" s="256" t="s">
        <v>383</v>
      </c>
      <c r="B54" s="255"/>
      <c r="C54" s="255"/>
      <c r="D54" s="255"/>
      <c r="E54" s="255"/>
      <c r="F54" s="255"/>
      <c r="G54" s="255"/>
      <c r="H54" s="255"/>
    </row>
    <row r="55" spans="1:8">
      <c r="A55" s="255"/>
      <c r="B55" s="255"/>
      <c r="C55" s="255"/>
      <c r="D55" s="255"/>
      <c r="E55" s="255"/>
      <c r="F55" s="255"/>
      <c r="G55" s="255"/>
      <c r="H55" s="255"/>
    </row>
    <row r="56" spans="1:8" ht="15.75">
      <c r="A56" s="257" t="s">
        <v>384</v>
      </c>
      <c r="B56" s="255"/>
      <c r="C56" s="255"/>
      <c r="D56" s="255"/>
      <c r="E56" s="255"/>
      <c r="F56" s="255"/>
      <c r="G56" s="255"/>
      <c r="H56" s="255"/>
    </row>
    <row r="57" spans="1:8">
      <c r="A57" s="255"/>
      <c r="B57" s="255"/>
      <c r="C57" s="255"/>
      <c r="D57" s="255"/>
      <c r="E57" s="255"/>
      <c r="F57" s="255"/>
      <c r="G57" s="255"/>
      <c r="H57" s="255"/>
    </row>
    <row r="58" spans="1:8">
      <c r="A58" s="256" t="s">
        <v>634</v>
      </c>
      <c r="B58" s="255"/>
      <c r="C58" s="255"/>
      <c r="D58" s="255"/>
      <c r="E58" s="255"/>
      <c r="F58" s="255"/>
      <c r="G58" s="255"/>
      <c r="H58" s="255"/>
    </row>
    <row r="59" spans="1:8">
      <c r="A59" s="256" t="s">
        <v>635</v>
      </c>
      <c r="B59" s="255"/>
      <c r="C59" s="255"/>
      <c r="D59" s="255"/>
      <c r="E59" s="255"/>
      <c r="F59" s="255"/>
      <c r="G59" s="255"/>
      <c r="H59" s="255"/>
    </row>
    <row r="60" spans="1:8">
      <c r="A60" s="255"/>
      <c r="B60" s="255"/>
      <c r="C60" s="255"/>
      <c r="D60" s="255"/>
      <c r="E60" s="255"/>
      <c r="F60" s="255"/>
      <c r="G60" s="255"/>
      <c r="H60" s="255"/>
    </row>
    <row r="61" spans="1:8" ht="15.75">
      <c r="A61" s="257" t="s">
        <v>385</v>
      </c>
      <c r="B61" s="255"/>
      <c r="C61" s="255"/>
      <c r="D61" s="255"/>
      <c r="E61" s="255"/>
      <c r="F61" s="255"/>
      <c r="G61" s="255"/>
      <c r="H61" s="255"/>
    </row>
    <row r="62" spans="1:8">
      <c r="A62" s="255"/>
      <c r="B62" s="255"/>
      <c r="C62" s="255"/>
      <c r="D62" s="255"/>
      <c r="E62" s="255"/>
      <c r="F62" s="255"/>
      <c r="G62" s="255"/>
      <c r="H62" s="255"/>
    </row>
    <row r="63" spans="1:8">
      <c r="A63" s="256" t="s">
        <v>632</v>
      </c>
      <c r="B63" s="255"/>
      <c r="C63" s="255"/>
      <c r="D63" s="255"/>
      <c r="E63" s="255"/>
      <c r="F63" s="255"/>
      <c r="G63" s="255"/>
      <c r="H63" s="255"/>
    </row>
    <row r="64" spans="1:8">
      <c r="A64" s="256" t="s">
        <v>633</v>
      </c>
      <c r="B64" s="255"/>
      <c r="C64" s="255"/>
      <c r="D64" s="255"/>
      <c r="E64" s="255"/>
      <c r="F64" s="255"/>
      <c r="G64" s="255"/>
      <c r="H64" s="255"/>
    </row>
    <row r="65" spans="1:8">
      <c r="A65" s="255"/>
      <c r="B65" s="255"/>
      <c r="C65" s="255"/>
      <c r="D65" s="255"/>
      <c r="E65" s="255"/>
      <c r="F65" s="255"/>
      <c r="G65" s="255"/>
      <c r="H65" s="255"/>
    </row>
    <row r="66" spans="1:8">
      <c r="A66" s="256" t="s">
        <v>630</v>
      </c>
      <c r="B66" s="255"/>
      <c r="C66" s="255"/>
      <c r="D66" s="255"/>
      <c r="E66" s="255"/>
      <c r="F66" s="255"/>
      <c r="G66" s="255"/>
      <c r="H66" s="255"/>
    </row>
    <row r="67" spans="1:8">
      <c r="A67" s="256" t="s">
        <v>631</v>
      </c>
      <c r="B67" s="255"/>
      <c r="C67" s="255"/>
      <c r="D67" s="255"/>
      <c r="E67" s="255"/>
      <c r="F67" s="255"/>
      <c r="G67" s="255"/>
      <c r="H67" s="255"/>
    </row>
    <row r="68" spans="1:8">
      <c r="A68" s="255"/>
      <c r="B68" s="255"/>
      <c r="C68" s="255"/>
      <c r="D68" s="255"/>
      <c r="E68" s="255"/>
      <c r="F68" s="255"/>
      <c r="G68" s="255"/>
      <c r="H68" s="255"/>
    </row>
    <row r="69" spans="1:8">
      <c r="A69" s="256" t="s">
        <v>628</v>
      </c>
      <c r="B69" s="255"/>
      <c r="C69" s="255"/>
      <c r="D69" s="255"/>
      <c r="E69" s="255"/>
      <c r="F69" s="255"/>
      <c r="G69" s="255"/>
      <c r="H69" s="255"/>
    </row>
    <row r="70" spans="1:8">
      <c r="A70" s="256" t="s">
        <v>629</v>
      </c>
      <c r="B70" s="255"/>
      <c r="C70" s="255"/>
      <c r="D70" s="255"/>
      <c r="E70" s="255"/>
      <c r="F70" s="255"/>
      <c r="G70" s="255"/>
      <c r="H70" s="255"/>
    </row>
    <row r="71" spans="1:8">
      <c r="A71" s="255"/>
      <c r="B71" s="255"/>
      <c r="C71" s="255"/>
      <c r="D71" s="255"/>
      <c r="E71" s="255"/>
      <c r="F71" s="255"/>
      <c r="G71" s="255"/>
      <c r="H71" s="255"/>
    </row>
    <row r="72" spans="1:8">
      <c r="A72" s="256" t="s">
        <v>626</v>
      </c>
      <c r="B72" s="255"/>
      <c r="C72" s="255"/>
      <c r="D72" s="255"/>
      <c r="E72" s="255"/>
      <c r="F72" s="255"/>
      <c r="G72" s="255"/>
      <c r="H72" s="255"/>
    </row>
    <row r="73" spans="1:8">
      <c r="A73" s="256" t="s">
        <v>627</v>
      </c>
      <c r="B73" s="255"/>
      <c r="C73" s="255"/>
      <c r="D73" s="255"/>
      <c r="E73" s="255"/>
      <c r="F73" s="255"/>
      <c r="G73" s="255"/>
      <c r="H73" s="255"/>
    </row>
    <row r="74" spans="1:8">
      <c r="A74" s="255"/>
      <c r="B74" s="255"/>
      <c r="C74" s="255"/>
      <c r="D74" s="255"/>
      <c r="E74" s="255"/>
      <c r="F74" s="255"/>
      <c r="G74" s="255"/>
      <c r="H74" s="255"/>
    </row>
    <row r="75" spans="1:8">
      <c r="A75" s="256" t="s">
        <v>621</v>
      </c>
      <c r="B75" s="255"/>
      <c r="C75" s="255"/>
      <c r="D75" s="255"/>
      <c r="E75" s="255"/>
      <c r="F75" s="255"/>
      <c r="G75" s="255"/>
      <c r="H75" s="255"/>
    </row>
    <row r="76" spans="1:8">
      <c r="A76" s="256" t="s">
        <v>622</v>
      </c>
      <c r="B76" s="255"/>
      <c r="C76" s="255"/>
      <c r="D76" s="255"/>
      <c r="E76" s="255"/>
      <c r="F76" s="255"/>
      <c r="G76" s="255"/>
      <c r="H76" s="255"/>
    </row>
    <row r="77" spans="1:8">
      <c r="A77" s="256" t="s">
        <v>623</v>
      </c>
      <c r="B77" s="255"/>
      <c r="C77" s="255"/>
      <c r="D77" s="255"/>
      <c r="E77" s="255"/>
      <c r="F77" s="255"/>
      <c r="G77" s="255"/>
      <c r="H77" s="255"/>
    </row>
    <row r="78" spans="1:8">
      <c r="A78" s="256" t="s">
        <v>624</v>
      </c>
      <c r="B78" s="255"/>
      <c r="C78" s="255"/>
      <c r="D78" s="255"/>
      <c r="E78" s="255"/>
      <c r="F78" s="255"/>
      <c r="G78" s="255"/>
      <c r="H78" s="255"/>
    </row>
    <row r="79" spans="1:8">
      <c r="A79" s="256" t="s">
        <v>625</v>
      </c>
      <c r="B79" s="255"/>
      <c r="C79" s="255"/>
      <c r="D79" s="255"/>
      <c r="E79" s="255"/>
      <c r="F79" s="255"/>
      <c r="G79" s="255"/>
      <c r="H79" s="255"/>
    </row>
    <row r="80" spans="1:8">
      <c r="A80" s="256" t="s">
        <v>510</v>
      </c>
      <c r="B80" s="255"/>
      <c r="C80" s="255"/>
      <c r="D80" s="255"/>
      <c r="E80" s="255"/>
      <c r="F80" s="255"/>
      <c r="G80" s="255"/>
      <c r="H80" s="255"/>
    </row>
    <row r="81" spans="1:8">
      <c r="A81" s="255"/>
      <c r="B81" s="255"/>
      <c r="C81" s="255"/>
      <c r="D81" s="255"/>
      <c r="E81" s="255"/>
      <c r="F81" s="255"/>
      <c r="G81" s="255"/>
      <c r="H81" s="255"/>
    </row>
    <row r="82" spans="1:8">
      <c r="A82" s="256" t="s">
        <v>614</v>
      </c>
      <c r="B82" s="255"/>
      <c r="C82" s="255"/>
      <c r="D82" s="255"/>
      <c r="E82" s="255"/>
      <c r="F82" s="255"/>
      <c r="G82" s="255"/>
      <c r="H82" s="255"/>
    </row>
    <row r="83" spans="1:8">
      <c r="A83" s="256" t="s">
        <v>615</v>
      </c>
      <c r="B83" s="255"/>
      <c r="C83" s="255"/>
      <c r="D83" s="255"/>
      <c r="E83" s="255"/>
      <c r="F83" s="255"/>
      <c r="G83" s="255"/>
      <c r="H83" s="255"/>
    </row>
    <row r="84" spans="1:8">
      <c r="A84" s="256" t="s">
        <v>616</v>
      </c>
      <c r="B84" s="255"/>
      <c r="C84" s="255"/>
      <c r="D84" s="255"/>
      <c r="E84" s="255"/>
      <c r="F84" s="255"/>
      <c r="G84" s="255"/>
      <c r="H84" s="255"/>
    </row>
    <row r="85" spans="1:8">
      <c r="A85" s="256" t="s">
        <v>617</v>
      </c>
      <c r="B85" s="255"/>
      <c r="C85" s="255"/>
      <c r="D85" s="255"/>
      <c r="E85" s="255"/>
      <c r="F85" s="255"/>
      <c r="G85" s="255"/>
      <c r="H85" s="255"/>
    </row>
    <row r="86" spans="1:8">
      <c r="A86" s="256" t="s">
        <v>618</v>
      </c>
      <c r="B86" s="255"/>
      <c r="C86" s="255"/>
      <c r="D86" s="255"/>
      <c r="E86" s="255"/>
      <c r="F86" s="255"/>
      <c r="G86" s="255"/>
      <c r="H86" s="255"/>
    </row>
    <row r="87" spans="1:8">
      <c r="A87" s="256" t="s">
        <v>619</v>
      </c>
      <c r="B87" s="255"/>
      <c r="C87" s="255"/>
      <c r="D87" s="255"/>
      <c r="E87" s="255"/>
      <c r="F87" s="255"/>
      <c r="G87" s="255"/>
      <c r="H87" s="255"/>
    </row>
    <row r="88" spans="1:8">
      <c r="A88" s="256" t="s">
        <v>620</v>
      </c>
      <c r="B88" s="255"/>
      <c r="C88" s="255"/>
      <c r="D88" s="255"/>
      <c r="E88" s="255"/>
      <c r="F88" s="255"/>
      <c r="G88" s="255"/>
      <c r="H88" s="255"/>
    </row>
    <row r="89" spans="1:8">
      <c r="A89" s="255"/>
      <c r="B89" s="255"/>
      <c r="C89" s="255"/>
      <c r="D89" s="255"/>
      <c r="E89" s="255"/>
      <c r="F89" s="255"/>
      <c r="G89" s="255"/>
      <c r="H89" s="255"/>
    </row>
    <row r="90" spans="1:8">
      <c r="A90" s="256" t="s">
        <v>612</v>
      </c>
      <c r="B90" s="255"/>
      <c r="C90" s="255"/>
      <c r="D90" s="255"/>
      <c r="E90" s="255"/>
      <c r="F90" s="255"/>
      <c r="G90" s="255"/>
      <c r="H90" s="255"/>
    </row>
    <row r="91" spans="1:8">
      <c r="A91" s="256" t="s">
        <v>613</v>
      </c>
      <c r="B91" s="255"/>
      <c r="C91" s="255"/>
      <c r="D91" s="255"/>
      <c r="E91" s="255"/>
      <c r="F91" s="255"/>
      <c r="G91" s="255"/>
      <c r="H91" s="255"/>
    </row>
    <row r="92" spans="1:8">
      <c r="A92" s="255"/>
      <c r="B92" s="255"/>
      <c r="C92" s="255"/>
      <c r="D92" s="255"/>
      <c r="E92" s="255"/>
      <c r="F92" s="255"/>
      <c r="G92" s="255"/>
      <c r="H92" s="255"/>
    </row>
    <row r="93" spans="1:8" ht="15.75">
      <c r="A93" s="257" t="s">
        <v>386</v>
      </c>
      <c r="B93" s="255"/>
      <c r="C93" s="255"/>
      <c r="D93" s="255"/>
      <c r="E93" s="255"/>
      <c r="F93" s="255"/>
      <c r="G93" s="255"/>
      <c r="H93" s="255"/>
    </row>
    <row r="94" spans="1:8">
      <c r="A94" s="255"/>
      <c r="B94" s="255"/>
      <c r="C94" s="255"/>
      <c r="D94" s="255"/>
      <c r="E94" s="255"/>
      <c r="F94" s="255"/>
      <c r="G94" s="255"/>
      <c r="H94" s="255"/>
    </row>
    <row r="95" spans="1:8">
      <c r="A95" s="256" t="s">
        <v>603</v>
      </c>
      <c r="B95" s="255"/>
      <c r="C95" s="255"/>
      <c r="D95" s="255"/>
      <c r="E95" s="255"/>
      <c r="F95" s="255"/>
      <c r="G95" s="255"/>
      <c r="H95" s="255"/>
    </row>
    <row r="96" spans="1:8">
      <c r="A96" s="256" t="s">
        <v>604</v>
      </c>
      <c r="B96" s="255"/>
      <c r="C96" s="255"/>
      <c r="D96" s="255"/>
      <c r="E96" s="255"/>
      <c r="F96" s="255"/>
      <c r="G96" s="255"/>
      <c r="H96" s="255"/>
    </row>
    <row r="97" spans="1:8">
      <c r="A97" s="256" t="s">
        <v>605</v>
      </c>
      <c r="B97" s="255"/>
      <c r="C97" s="255"/>
      <c r="D97" s="255"/>
      <c r="E97" s="255"/>
      <c r="F97" s="255"/>
      <c r="G97" s="255"/>
      <c r="H97" s="255"/>
    </row>
    <row r="98" spans="1:8">
      <c r="A98" s="256" t="s">
        <v>606</v>
      </c>
      <c r="B98" s="255"/>
      <c r="C98" s="255"/>
      <c r="D98" s="255"/>
      <c r="E98" s="255"/>
      <c r="F98" s="255"/>
      <c r="G98" s="255"/>
      <c r="H98" s="255"/>
    </row>
    <row r="99" spans="1:8">
      <c r="A99" s="256" t="s">
        <v>607</v>
      </c>
      <c r="B99" s="255"/>
      <c r="C99" s="255"/>
      <c r="D99" s="255"/>
      <c r="E99" s="255"/>
      <c r="F99" s="255"/>
      <c r="G99" s="255"/>
      <c r="H99" s="255"/>
    </row>
    <row r="100" spans="1:8">
      <c r="A100" s="256" t="s">
        <v>608</v>
      </c>
      <c r="B100" s="255"/>
      <c r="C100" s="255"/>
      <c r="D100" s="255"/>
      <c r="E100" s="255"/>
      <c r="F100" s="255"/>
      <c r="G100" s="255"/>
      <c r="H100" s="255"/>
    </row>
    <row r="101" spans="1:8">
      <c r="A101" s="256" t="s">
        <v>609</v>
      </c>
      <c r="B101" s="255"/>
      <c r="C101" s="255"/>
      <c r="D101" s="255"/>
      <c r="E101" s="255"/>
      <c r="F101" s="255"/>
      <c r="G101" s="255"/>
      <c r="H101" s="255"/>
    </row>
    <row r="102" spans="1:8">
      <c r="A102" s="256" t="s">
        <v>610</v>
      </c>
      <c r="B102" s="255"/>
      <c r="C102" s="255"/>
      <c r="D102" s="255"/>
      <c r="E102" s="255"/>
      <c r="F102" s="255"/>
      <c r="G102" s="255"/>
      <c r="H102" s="255"/>
    </row>
    <row r="103" spans="1:8">
      <c r="A103" s="256" t="s">
        <v>611</v>
      </c>
      <c r="B103" s="255"/>
      <c r="C103" s="255"/>
      <c r="D103" s="255"/>
      <c r="E103" s="255"/>
      <c r="F103" s="255"/>
      <c r="G103" s="255"/>
      <c r="H103" s="255"/>
    </row>
    <row r="104" spans="1:8">
      <c r="A104" s="255"/>
      <c r="B104" s="255"/>
      <c r="C104" s="255"/>
      <c r="D104" s="255"/>
      <c r="E104" s="255"/>
      <c r="F104" s="255"/>
      <c r="G104" s="255"/>
      <c r="H104" s="255"/>
    </row>
    <row r="105" spans="1:8" ht="15.75">
      <c r="A105" s="258" t="s">
        <v>387</v>
      </c>
      <c r="B105" s="258"/>
      <c r="C105" s="258"/>
      <c r="D105" s="258"/>
      <c r="E105" s="258"/>
      <c r="F105" s="258"/>
      <c r="G105" s="258"/>
      <c r="H105" s="258"/>
    </row>
    <row r="106" spans="1:8">
      <c r="A106" s="259" t="s">
        <v>388</v>
      </c>
      <c r="B106" s="259"/>
      <c r="C106" s="259"/>
      <c r="D106" s="259"/>
      <c r="E106" s="259"/>
      <c r="F106" s="259"/>
      <c r="G106" s="259"/>
      <c r="H106" s="259"/>
    </row>
    <row r="107" spans="1:8">
      <c r="A107" s="260"/>
      <c r="B107" s="260"/>
      <c r="C107" s="260"/>
      <c r="D107" s="260"/>
      <c r="E107" s="260"/>
      <c r="F107" s="260"/>
      <c r="G107" s="260"/>
      <c r="H107" s="260"/>
    </row>
    <row r="108" spans="1:8">
      <c r="A108" s="259" t="s">
        <v>601</v>
      </c>
      <c r="B108" s="259"/>
      <c r="C108" s="259"/>
      <c r="D108" s="259"/>
      <c r="E108" s="259"/>
      <c r="F108" s="259"/>
      <c r="G108" s="259"/>
      <c r="H108" s="259"/>
    </row>
    <row r="109" spans="1:8">
      <c r="A109" s="256" t="s">
        <v>602</v>
      </c>
      <c r="B109" s="256"/>
      <c r="C109" s="256"/>
      <c r="D109" s="256"/>
      <c r="E109" s="256"/>
      <c r="F109" s="256"/>
      <c r="G109" s="256"/>
      <c r="H109" s="256"/>
    </row>
    <row r="110" spans="1:8">
      <c r="A110" s="260"/>
      <c r="B110" s="260"/>
      <c r="C110" s="260"/>
      <c r="D110" s="260"/>
      <c r="E110" s="260"/>
      <c r="F110" s="260"/>
      <c r="G110" s="260"/>
      <c r="H110" s="260"/>
    </row>
    <row r="111" spans="1:8">
      <c r="A111" s="259" t="s">
        <v>594</v>
      </c>
      <c r="B111" s="259"/>
      <c r="C111" s="259"/>
      <c r="D111" s="259"/>
      <c r="E111" s="259"/>
      <c r="F111" s="259"/>
      <c r="G111" s="259"/>
      <c r="H111" s="259"/>
    </row>
    <row r="112" spans="1:8">
      <c r="A112" s="256" t="s">
        <v>595</v>
      </c>
      <c r="B112" s="256"/>
      <c r="C112" s="256"/>
      <c r="D112" s="256"/>
      <c r="E112" s="256"/>
      <c r="F112" s="256"/>
      <c r="G112" s="256"/>
      <c r="H112" s="256"/>
    </row>
    <row r="113" spans="1:8">
      <c r="A113" s="256" t="s">
        <v>596</v>
      </c>
      <c r="B113" s="256"/>
      <c r="C113" s="256"/>
      <c r="D113" s="256"/>
      <c r="E113" s="256"/>
      <c r="F113" s="256"/>
      <c r="G113" s="256"/>
      <c r="H113" s="256"/>
    </row>
    <row r="114" spans="1:8">
      <c r="A114" s="256" t="s">
        <v>597</v>
      </c>
      <c r="B114" s="256"/>
      <c r="C114" s="256"/>
      <c r="D114" s="256"/>
      <c r="E114" s="256"/>
      <c r="F114" s="256"/>
      <c r="G114" s="256"/>
      <c r="H114" s="256"/>
    </row>
    <row r="115" spans="1:8">
      <c r="A115" s="256" t="s">
        <v>598</v>
      </c>
      <c r="B115" s="256"/>
      <c r="C115" s="256"/>
      <c r="D115" s="256"/>
      <c r="E115" s="256"/>
      <c r="F115" s="256"/>
      <c r="G115" s="256"/>
      <c r="H115" s="256"/>
    </row>
    <row r="116" spans="1:8">
      <c r="A116" s="256" t="s">
        <v>599</v>
      </c>
      <c r="B116" s="256"/>
      <c r="C116" s="256"/>
      <c r="D116" s="256"/>
      <c r="E116" s="256"/>
      <c r="F116" s="256"/>
      <c r="G116" s="256"/>
      <c r="H116" s="256"/>
    </row>
    <row r="117" spans="1:8">
      <c r="A117" s="256" t="s">
        <v>600</v>
      </c>
      <c r="B117" s="256"/>
      <c r="C117" s="256"/>
      <c r="D117" s="256"/>
      <c r="E117" s="256"/>
      <c r="F117" s="256"/>
      <c r="G117" s="256"/>
      <c r="H117" s="256"/>
    </row>
    <row r="118" spans="1:8">
      <c r="A118" s="261"/>
      <c r="B118" s="261"/>
      <c r="C118" s="261"/>
      <c r="D118" s="261"/>
      <c r="E118" s="261"/>
      <c r="F118" s="261"/>
      <c r="G118" s="261"/>
      <c r="H118" s="261"/>
    </row>
    <row r="119" spans="1:8">
      <c r="A119" s="262"/>
      <c r="B119" s="263" t="s">
        <v>389</v>
      </c>
      <c r="C119" s="264"/>
      <c r="D119" s="263" t="s">
        <v>390</v>
      </c>
      <c r="E119" s="265"/>
      <c r="F119" s="264"/>
      <c r="G119" s="263" t="s">
        <v>391</v>
      </c>
      <c r="H119" s="264"/>
    </row>
    <row r="120" spans="1:8">
      <c r="A120" s="262" t="s">
        <v>392</v>
      </c>
      <c r="B120" s="262" t="s">
        <v>312</v>
      </c>
      <c r="C120" s="262" t="s">
        <v>317</v>
      </c>
      <c r="D120" s="262" t="s">
        <v>312</v>
      </c>
      <c r="E120" s="262" t="s">
        <v>393</v>
      </c>
      <c r="F120" s="262" t="s">
        <v>394</v>
      </c>
      <c r="G120" s="262" t="s">
        <v>312</v>
      </c>
      <c r="H120" s="262" t="s">
        <v>395</v>
      </c>
    </row>
    <row r="121" spans="1:8">
      <c r="A121" s="262" t="s">
        <v>396</v>
      </c>
      <c r="B121" s="262">
        <v>1189</v>
      </c>
      <c r="C121" s="266">
        <v>0.38</v>
      </c>
      <c r="D121" s="262">
        <v>315</v>
      </c>
      <c r="E121" s="266">
        <v>0.41</v>
      </c>
      <c r="F121" s="266">
        <v>0.26</v>
      </c>
      <c r="G121" s="262">
        <v>555</v>
      </c>
      <c r="H121" s="266">
        <v>0.39</v>
      </c>
    </row>
    <row r="122" spans="1:8">
      <c r="A122" s="262" t="s">
        <v>397</v>
      </c>
      <c r="B122" s="262">
        <v>1355</v>
      </c>
      <c r="C122" s="266">
        <v>0.43</v>
      </c>
      <c r="D122" s="262">
        <v>364</v>
      </c>
      <c r="E122" s="266">
        <v>0.47</v>
      </c>
      <c r="F122" s="266">
        <v>0.27</v>
      </c>
      <c r="G122" s="262">
        <v>644</v>
      </c>
      <c r="H122" s="266">
        <v>0.45</v>
      </c>
    </row>
    <row r="123" spans="1:8">
      <c r="A123" s="262" t="s">
        <v>398</v>
      </c>
      <c r="B123" s="262">
        <v>53</v>
      </c>
      <c r="C123" s="266">
        <v>0.02</v>
      </c>
      <c r="D123" s="262">
        <v>4</v>
      </c>
      <c r="E123" s="266">
        <v>0.01</v>
      </c>
      <c r="F123" s="266">
        <v>0.08</v>
      </c>
      <c r="G123" s="262">
        <v>7</v>
      </c>
      <c r="H123" s="266">
        <v>0</v>
      </c>
    </row>
    <row r="124" spans="1:8">
      <c r="A124" s="262" t="s">
        <v>399</v>
      </c>
      <c r="B124" s="262">
        <v>545</v>
      </c>
      <c r="C124" s="266">
        <v>0.17</v>
      </c>
      <c r="D124" s="262">
        <v>84</v>
      </c>
      <c r="E124" s="266">
        <v>0.11</v>
      </c>
      <c r="F124" s="266">
        <v>0.15</v>
      </c>
      <c r="G124" s="262">
        <v>214</v>
      </c>
      <c r="H124" s="266">
        <v>0.15</v>
      </c>
    </row>
    <row r="125" spans="1:8">
      <c r="A125" s="262" t="s">
        <v>39</v>
      </c>
      <c r="B125" s="267">
        <v>3142</v>
      </c>
      <c r="C125" s="262"/>
      <c r="D125" s="262">
        <v>767</v>
      </c>
      <c r="E125" s="262"/>
      <c r="F125" s="262"/>
      <c r="G125" s="262">
        <v>1420</v>
      </c>
      <c r="H125" s="262"/>
    </row>
    <row r="126" spans="1:8">
      <c r="A126" s="268"/>
      <c r="B126" s="268"/>
      <c r="C126" s="268"/>
      <c r="D126" s="268"/>
      <c r="E126" s="268"/>
      <c r="F126" s="268"/>
      <c r="G126" s="268"/>
      <c r="H126" s="268"/>
    </row>
    <row r="127" spans="1:8">
      <c r="A127" s="259" t="s">
        <v>590</v>
      </c>
      <c r="B127" s="259"/>
      <c r="C127" s="259"/>
      <c r="D127" s="259"/>
      <c r="E127" s="259"/>
      <c r="F127" s="259"/>
      <c r="G127" s="259"/>
      <c r="H127" s="259"/>
    </row>
    <row r="128" spans="1:8">
      <c r="A128" s="256" t="s">
        <v>591</v>
      </c>
      <c r="B128" s="256"/>
      <c r="C128" s="256"/>
      <c r="D128" s="256"/>
      <c r="E128" s="256"/>
      <c r="F128" s="256"/>
      <c r="G128" s="256"/>
      <c r="H128" s="256"/>
    </row>
    <row r="129" spans="1:8">
      <c r="A129" s="256" t="s">
        <v>592</v>
      </c>
      <c r="B129" s="256"/>
      <c r="C129" s="256"/>
      <c r="D129" s="256"/>
      <c r="E129" s="256"/>
      <c r="F129" s="256"/>
      <c r="G129" s="256"/>
      <c r="H129" s="256"/>
    </row>
    <row r="130" spans="1:8">
      <c r="A130" s="256" t="s">
        <v>593</v>
      </c>
      <c r="B130" s="256"/>
      <c r="C130" s="256"/>
      <c r="D130" s="256"/>
      <c r="E130" s="256"/>
      <c r="F130" s="256"/>
      <c r="G130" s="256"/>
      <c r="H130" s="256"/>
    </row>
    <row r="131" spans="1:8">
      <c r="A131" s="255"/>
      <c r="B131" s="255"/>
      <c r="C131" s="255"/>
      <c r="D131" s="255"/>
      <c r="E131" s="255"/>
      <c r="F131" s="255"/>
      <c r="G131" s="255"/>
      <c r="H131" s="255"/>
    </row>
    <row r="132" spans="1:8" ht="15.75">
      <c r="A132" s="257" t="s">
        <v>400</v>
      </c>
      <c r="B132" s="255"/>
      <c r="C132" s="255"/>
      <c r="D132" s="255"/>
      <c r="E132" s="255"/>
      <c r="F132" s="255"/>
      <c r="G132" s="255"/>
      <c r="H132" s="255"/>
    </row>
    <row r="133" spans="1:8">
      <c r="A133" s="255"/>
      <c r="B133" s="255"/>
      <c r="C133" s="255"/>
      <c r="D133" s="255"/>
      <c r="E133" s="255"/>
      <c r="F133" s="255"/>
      <c r="G133" s="255"/>
      <c r="H133" s="255"/>
    </row>
    <row r="134" spans="1:8">
      <c r="A134" s="256" t="s">
        <v>588</v>
      </c>
      <c r="B134" s="255"/>
      <c r="C134" s="255"/>
      <c r="D134" s="255"/>
      <c r="E134" s="255"/>
      <c r="F134" s="255"/>
      <c r="G134" s="255"/>
      <c r="H134" s="255"/>
    </row>
    <row r="135" spans="1:8">
      <c r="A135" s="256" t="s">
        <v>589</v>
      </c>
      <c r="B135" s="255"/>
      <c r="C135" s="255"/>
      <c r="D135" s="255"/>
      <c r="E135" s="255"/>
      <c r="F135" s="255"/>
      <c r="G135" s="255"/>
      <c r="H135" s="255"/>
    </row>
    <row r="136" spans="1:8">
      <c r="A136" s="255"/>
      <c r="B136" s="255"/>
      <c r="C136" s="255"/>
      <c r="D136" s="255"/>
      <c r="E136" s="255"/>
      <c r="F136" s="255"/>
      <c r="G136" s="255"/>
      <c r="H136" s="255"/>
    </row>
    <row r="137" spans="1:8">
      <c r="A137" s="256" t="s">
        <v>585</v>
      </c>
      <c r="B137" s="255"/>
      <c r="C137" s="255"/>
      <c r="D137" s="255"/>
      <c r="E137" s="255"/>
      <c r="F137" s="255"/>
      <c r="G137" s="255"/>
      <c r="H137" s="255"/>
    </row>
    <row r="138" spans="1:8">
      <c r="A138" s="256" t="s">
        <v>586</v>
      </c>
      <c r="B138" s="255"/>
      <c r="C138" s="255"/>
      <c r="D138" s="255"/>
      <c r="E138" s="255"/>
      <c r="F138" s="255"/>
      <c r="G138" s="255"/>
      <c r="H138" s="255"/>
    </row>
    <row r="139" spans="1:8">
      <c r="A139" s="256" t="s">
        <v>587</v>
      </c>
      <c r="B139" s="255"/>
      <c r="C139" s="255"/>
      <c r="D139" s="255"/>
      <c r="E139" s="255"/>
      <c r="F139" s="255"/>
      <c r="G139" s="255"/>
      <c r="H139" s="255"/>
    </row>
    <row r="140" spans="1:8">
      <c r="A140" s="255"/>
      <c r="B140" s="255"/>
      <c r="C140" s="255"/>
      <c r="D140" s="255"/>
      <c r="E140" s="255"/>
      <c r="F140" s="255"/>
      <c r="G140" s="255"/>
      <c r="H140" s="255"/>
    </row>
    <row r="141" spans="1:8">
      <c r="A141" s="256" t="s">
        <v>582</v>
      </c>
      <c r="B141" s="255"/>
      <c r="C141" s="255"/>
      <c r="D141" s="255"/>
      <c r="E141" s="255"/>
      <c r="F141" s="255"/>
      <c r="G141" s="255"/>
      <c r="H141" s="255"/>
    </row>
    <row r="142" spans="1:8">
      <c r="A142" s="256" t="s">
        <v>583</v>
      </c>
      <c r="B142" s="255"/>
      <c r="C142" s="255"/>
      <c r="D142" s="255"/>
      <c r="E142" s="255"/>
      <c r="F142" s="255"/>
      <c r="G142" s="255"/>
      <c r="H142" s="255"/>
    </row>
    <row r="143" spans="1:8">
      <c r="A143" s="256" t="s">
        <v>584</v>
      </c>
      <c r="B143" s="255"/>
      <c r="C143" s="255"/>
      <c r="D143" s="255"/>
      <c r="E143" s="255"/>
      <c r="F143" s="255"/>
      <c r="G143" s="255"/>
      <c r="H143" s="255"/>
    </row>
    <row r="144" spans="1:8">
      <c r="A144" s="255"/>
      <c r="B144" s="255"/>
      <c r="C144" s="255"/>
      <c r="D144" s="255"/>
      <c r="E144" s="255"/>
      <c r="F144" s="255"/>
      <c r="G144" s="255"/>
      <c r="H144" s="255"/>
    </row>
    <row r="145" spans="1:8">
      <c r="A145" s="256" t="s">
        <v>579</v>
      </c>
      <c r="B145" s="255"/>
      <c r="C145" s="255"/>
      <c r="D145" s="255"/>
      <c r="E145" s="255"/>
      <c r="F145" s="255"/>
      <c r="G145" s="255"/>
      <c r="H145" s="255"/>
    </row>
    <row r="146" spans="1:8">
      <c r="A146" s="256" t="s">
        <v>580</v>
      </c>
      <c r="B146" s="255"/>
      <c r="C146" s="255"/>
      <c r="D146" s="255"/>
      <c r="E146" s="255"/>
      <c r="F146" s="255"/>
      <c r="G146" s="255"/>
      <c r="H146" s="255"/>
    </row>
    <row r="147" spans="1:8">
      <c r="A147" s="256" t="s">
        <v>581</v>
      </c>
      <c r="B147" s="255"/>
      <c r="C147" s="255"/>
      <c r="D147" s="255"/>
      <c r="E147" s="255"/>
      <c r="F147" s="255"/>
      <c r="G147" s="255"/>
      <c r="H147" s="255"/>
    </row>
    <row r="148" spans="1:8">
      <c r="A148" s="255"/>
      <c r="B148" s="255"/>
      <c r="C148" s="255"/>
      <c r="D148" s="255"/>
      <c r="E148" s="255"/>
      <c r="F148" s="255"/>
      <c r="G148" s="255"/>
      <c r="H148" s="255"/>
    </row>
    <row r="149" spans="1:8">
      <c r="A149" s="256" t="s">
        <v>577</v>
      </c>
      <c r="B149" s="255"/>
      <c r="C149" s="255"/>
      <c r="D149" s="255"/>
      <c r="E149" s="255"/>
      <c r="F149" s="255"/>
      <c r="G149" s="255"/>
      <c r="H149" s="255"/>
    </row>
    <row r="150" spans="1:8">
      <c r="A150" s="256" t="s">
        <v>578</v>
      </c>
      <c r="B150" s="255"/>
      <c r="C150" s="255"/>
      <c r="D150" s="255"/>
      <c r="E150" s="255"/>
      <c r="F150" s="255"/>
      <c r="G150" s="255"/>
      <c r="H150" s="255"/>
    </row>
    <row r="151" spans="1:8">
      <c r="A151" s="255"/>
      <c r="B151" s="255"/>
      <c r="C151" s="255"/>
      <c r="D151" s="255"/>
      <c r="E151" s="255"/>
      <c r="F151" s="255"/>
      <c r="G151" s="255"/>
      <c r="H151" s="255"/>
    </row>
    <row r="152" spans="1:8" ht="15.75">
      <c r="A152" s="257" t="s">
        <v>401</v>
      </c>
      <c r="B152" s="255"/>
      <c r="C152" s="255"/>
      <c r="D152" s="255"/>
      <c r="E152" s="255"/>
      <c r="F152" s="255"/>
      <c r="G152" s="255"/>
      <c r="H152" s="255"/>
    </row>
    <row r="153" spans="1:8">
      <c r="A153" s="255"/>
      <c r="B153" s="255"/>
      <c r="C153" s="255"/>
      <c r="D153" s="255"/>
      <c r="E153" s="255"/>
      <c r="F153" s="255"/>
      <c r="G153" s="255"/>
      <c r="H153" s="255"/>
    </row>
    <row r="154" spans="1:8">
      <c r="A154" s="256" t="s">
        <v>575</v>
      </c>
      <c r="B154" s="255"/>
      <c r="C154" s="255"/>
      <c r="D154" s="255"/>
      <c r="E154" s="255"/>
      <c r="F154" s="255"/>
      <c r="G154" s="255"/>
      <c r="H154" s="255"/>
    </row>
    <row r="155" spans="1:8">
      <c r="A155" s="256" t="s">
        <v>576</v>
      </c>
      <c r="B155" s="255"/>
      <c r="C155" s="255"/>
      <c r="D155" s="255"/>
      <c r="E155" s="255"/>
      <c r="F155" s="255"/>
      <c r="G155" s="255"/>
      <c r="H155" s="255"/>
    </row>
    <row r="156" spans="1:8">
      <c r="A156" s="255"/>
      <c r="B156" s="255"/>
      <c r="C156" s="255"/>
      <c r="D156" s="255"/>
      <c r="E156" s="255"/>
      <c r="F156" s="255"/>
      <c r="G156" s="255"/>
      <c r="H156" s="255"/>
    </row>
    <row r="157" spans="1:8">
      <c r="A157" s="256" t="s">
        <v>573</v>
      </c>
      <c r="B157" s="255"/>
      <c r="C157" s="255"/>
      <c r="D157" s="255"/>
      <c r="E157" s="255"/>
      <c r="F157" s="255"/>
      <c r="G157" s="255"/>
      <c r="H157" s="255"/>
    </row>
    <row r="158" spans="1:8">
      <c r="A158" s="256" t="s">
        <v>574</v>
      </c>
      <c r="B158" s="255"/>
      <c r="C158" s="255"/>
      <c r="D158" s="255"/>
      <c r="E158" s="255"/>
      <c r="F158" s="255"/>
      <c r="G158" s="255"/>
      <c r="H158" s="255"/>
    </row>
    <row r="159" spans="1:8">
      <c r="A159" s="255"/>
      <c r="B159" s="255"/>
      <c r="C159" s="255"/>
      <c r="D159" s="255"/>
      <c r="E159" s="255"/>
      <c r="F159" s="255"/>
      <c r="G159" s="255"/>
      <c r="H159" s="255"/>
    </row>
    <row r="160" spans="1:8">
      <c r="A160" s="256" t="s">
        <v>571</v>
      </c>
      <c r="B160" s="255"/>
      <c r="C160" s="255"/>
      <c r="D160" s="255"/>
      <c r="E160" s="255"/>
      <c r="F160" s="255"/>
      <c r="G160" s="255"/>
      <c r="H160" s="255"/>
    </row>
    <row r="161" spans="1:8">
      <c r="A161" s="256" t="s">
        <v>572</v>
      </c>
      <c r="B161" s="255"/>
      <c r="C161" s="255"/>
      <c r="D161" s="255"/>
      <c r="E161" s="255"/>
      <c r="F161" s="255"/>
      <c r="G161" s="255"/>
      <c r="H161" s="255"/>
    </row>
    <row r="162" spans="1:8">
      <c r="A162" s="255"/>
      <c r="B162" s="255"/>
      <c r="C162" s="255"/>
      <c r="D162" s="255"/>
      <c r="E162" s="255"/>
      <c r="F162" s="255"/>
      <c r="G162" s="255"/>
      <c r="H162" s="255"/>
    </row>
    <row r="163" spans="1:8">
      <c r="A163" s="256" t="s">
        <v>568</v>
      </c>
      <c r="B163" s="255"/>
      <c r="C163" s="255"/>
      <c r="D163" s="255"/>
      <c r="E163" s="255"/>
      <c r="F163" s="255"/>
      <c r="G163" s="255"/>
      <c r="H163" s="255"/>
    </row>
    <row r="164" spans="1:8">
      <c r="A164" s="256" t="s">
        <v>569</v>
      </c>
      <c r="B164" s="255"/>
      <c r="C164" s="255"/>
      <c r="D164" s="255"/>
      <c r="E164" s="255"/>
      <c r="F164" s="255"/>
      <c r="G164" s="255"/>
      <c r="H164" s="255"/>
    </row>
    <row r="165" spans="1:8">
      <c r="A165" s="256" t="s">
        <v>570</v>
      </c>
      <c r="B165" s="255"/>
      <c r="C165" s="255"/>
      <c r="D165" s="255"/>
      <c r="E165" s="255"/>
      <c r="F165" s="255"/>
      <c r="G165" s="255"/>
      <c r="H165" s="255"/>
    </row>
    <row r="166" spans="1:8">
      <c r="A166" s="255"/>
      <c r="B166" s="255"/>
      <c r="C166" s="255"/>
      <c r="D166" s="255"/>
      <c r="E166" s="255"/>
      <c r="F166" s="255"/>
      <c r="G166" s="255"/>
      <c r="H166" s="255"/>
    </row>
    <row r="167" spans="1:8">
      <c r="A167" s="255"/>
      <c r="B167" s="255"/>
      <c r="C167" s="255"/>
      <c r="D167" s="255"/>
      <c r="E167" s="255"/>
      <c r="F167" s="255"/>
      <c r="G167" s="255"/>
      <c r="H167" s="255"/>
    </row>
    <row r="168" spans="1:8">
      <c r="A168" s="256" t="s">
        <v>402</v>
      </c>
      <c r="B168" s="255"/>
      <c r="C168" s="255"/>
      <c r="D168" s="255"/>
      <c r="E168" s="255"/>
      <c r="F168" s="255"/>
      <c r="G168" s="255"/>
      <c r="H168" s="255"/>
    </row>
    <row r="169" spans="1:8">
      <c r="A169" s="255"/>
      <c r="B169" s="255"/>
      <c r="C169" s="255"/>
      <c r="D169" s="255"/>
      <c r="E169" s="255"/>
      <c r="F169" s="255"/>
      <c r="G169" s="255"/>
      <c r="H169" s="255"/>
    </row>
    <row r="170" spans="1:8" ht="15.75">
      <c r="A170" s="257" t="s">
        <v>403</v>
      </c>
      <c r="B170" s="255"/>
      <c r="C170" s="255"/>
      <c r="D170" s="255"/>
      <c r="E170" s="255"/>
      <c r="F170" s="255"/>
      <c r="G170" s="255"/>
      <c r="H170" s="255"/>
    </row>
    <row r="171" spans="1:8">
      <c r="A171" s="255"/>
      <c r="B171" s="255"/>
      <c r="C171" s="255"/>
      <c r="D171" s="255"/>
      <c r="E171" s="255"/>
      <c r="F171" s="255"/>
      <c r="G171" s="255"/>
      <c r="H171" s="255"/>
    </row>
    <row r="172" spans="1:8">
      <c r="A172" s="255"/>
      <c r="B172" s="255"/>
      <c r="C172" s="255"/>
      <c r="D172" s="255"/>
      <c r="E172" s="255"/>
      <c r="F172" s="255"/>
      <c r="G172" s="255"/>
      <c r="H172" s="255"/>
    </row>
    <row r="173" spans="1:8">
      <c r="A173" s="255"/>
      <c r="B173" s="255"/>
      <c r="C173" s="255"/>
      <c r="D173" s="255"/>
      <c r="E173" s="255"/>
      <c r="F173" s="255"/>
      <c r="G173" s="255"/>
      <c r="H173" s="255"/>
    </row>
    <row r="174" spans="1:8">
      <c r="A174" s="255"/>
      <c r="B174" s="255"/>
      <c r="C174" s="255"/>
      <c r="D174" s="255"/>
      <c r="E174" s="255"/>
      <c r="F174" s="255"/>
      <c r="G174" s="255"/>
      <c r="H174" s="255"/>
    </row>
    <row r="175" spans="1:8">
      <c r="A175" s="255"/>
      <c r="B175" s="255"/>
      <c r="C175" s="255"/>
      <c r="D175" s="255"/>
      <c r="E175" s="255"/>
      <c r="F175" s="255"/>
      <c r="G175" s="255"/>
      <c r="H175" s="255"/>
    </row>
    <row r="176" spans="1:8">
      <c r="A176" s="255"/>
      <c r="B176" s="255"/>
      <c r="C176" s="255"/>
      <c r="D176" s="255"/>
      <c r="E176" s="255"/>
      <c r="F176" s="255"/>
      <c r="G176" s="255"/>
      <c r="H176" s="255"/>
    </row>
    <row r="177" spans="1:8">
      <c r="A177" s="255"/>
      <c r="B177" s="255"/>
      <c r="C177" s="255"/>
      <c r="D177" s="255"/>
      <c r="E177" s="255"/>
      <c r="F177" s="255"/>
      <c r="G177" s="255"/>
      <c r="H177" s="255"/>
    </row>
    <row r="178" spans="1:8">
      <c r="A178" s="255"/>
      <c r="B178" s="255"/>
      <c r="C178" s="255"/>
      <c r="D178" s="255"/>
      <c r="E178" s="255"/>
      <c r="F178" s="255"/>
      <c r="G178" s="255"/>
      <c r="H178" s="255"/>
    </row>
    <row r="179" spans="1:8">
      <c r="A179" s="255"/>
      <c r="B179" s="255"/>
      <c r="C179" s="255"/>
      <c r="D179" s="255"/>
      <c r="E179" s="255"/>
      <c r="F179" s="255"/>
      <c r="G179" s="255"/>
      <c r="H179" s="255"/>
    </row>
    <row r="180" spans="1:8">
      <c r="A180" s="255"/>
      <c r="B180" s="255"/>
      <c r="C180" s="255"/>
      <c r="D180" s="255"/>
      <c r="E180" s="255"/>
      <c r="F180" s="255"/>
      <c r="G180" s="255"/>
      <c r="H180" s="255"/>
    </row>
    <row r="181" spans="1:8">
      <c r="A181" s="255"/>
      <c r="B181" s="255"/>
      <c r="C181" s="255"/>
      <c r="D181" s="255"/>
      <c r="E181" s="255"/>
      <c r="F181" s="255"/>
      <c r="G181" s="255"/>
      <c r="H181" s="255"/>
    </row>
    <row r="182" spans="1:8">
      <c r="A182" s="255"/>
      <c r="B182" s="255"/>
      <c r="C182" s="255"/>
      <c r="D182" s="255"/>
      <c r="E182" s="255"/>
      <c r="F182" s="255"/>
      <c r="G182" s="255"/>
      <c r="H182" s="255"/>
    </row>
    <row r="183" spans="1:8">
      <c r="A183" s="255"/>
      <c r="B183" s="255"/>
      <c r="C183" s="255"/>
      <c r="D183" s="255"/>
      <c r="E183" s="255"/>
      <c r="F183" s="255"/>
      <c r="G183" s="255"/>
      <c r="H183" s="255"/>
    </row>
    <row r="184" spans="1:8">
      <c r="A184" s="255"/>
      <c r="B184" s="255"/>
      <c r="C184" s="255"/>
      <c r="D184" s="255"/>
      <c r="E184" s="255"/>
      <c r="F184" s="255"/>
      <c r="G184" s="255"/>
      <c r="H184" s="255"/>
    </row>
    <row r="185" spans="1:8">
      <c r="A185" s="255"/>
      <c r="B185" s="255"/>
      <c r="C185" s="255"/>
      <c r="D185" s="255"/>
      <c r="E185" s="255"/>
      <c r="F185" s="255"/>
      <c r="G185" s="255"/>
      <c r="H185" s="255"/>
    </row>
    <row r="186" spans="1:8">
      <c r="A186" s="255"/>
      <c r="B186" s="255"/>
      <c r="C186" s="255"/>
      <c r="D186" s="255"/>
      <c r="E186" s="255"/>
      <c r="F186" s="255"/>
      <c r="G186" s="255"/>
      <c r="H186" s="255"/>
    </row>
    <row r="187" spans="1:8">
      <c r="A187" s="255"/>
      <c r="B187" s="255"/>
      <c r="C187" s="255"/>
      <c r="D187" s="255"/>
      <c r="E187" s="255"/>
      <c r="F187" s="255"/>
      <c r="G187" s="255"/>
      <c r="H187" s="255"/>
    </row>
    <row r="188" spans="1:8">
      <c r="A188" s="255"/>
      <c r="B188" s="255"/>
      <c r="C188" s="255"/>
      <c r="D188" s="255"/>
      <c r="E188" s="255"/>
      <c r="F188" s="255"/>
      <c r="G188" s="255"/>
      <c r="H188" s="255"/>
    </row>
    <row r="189" spans="1:8">
      <c r="A189" s="255"/>
      <c r="B189" s="255"/>
      <c r="C189" s="255"/>
      <c r="D189" s="255"/>
      <c r="E189" s="255"/>
      <c r="F189" s="255"/>
      <c r="G189" s="255"/>
      <c r="H189" s="255"/>
    </row>
    <row r="190" spans="1:8">
      <c r="A190" s="255"/>
      <c r="B190" s="255"/>
      <c r="C190" s="255"/>
      <c r="D190" s="255"/>
      <c r="E190" s="255"/>
      <c r="F190" s="255"/>
      <c r="G190" s="255"/>
      <c r="H190" s="255"/>
    </row>
    <row r="191" spans="1:8">
      <c r="A191" s="255"/>
      <c r="B191" s="255"/>
      <c r="C191" s="255"/>
      <c r="D191" s="255"/>
      <c r="E191" s="255"/>
      <c r="F191" s="255"/>
      <c r="G191" s="255"/>
      <c r="H191" s="255"/>
    </row>
    <row r="192" spans="1:8">
      <c r="A192" s="255"/>
      <c r="B192" s="255"/>
      <c r="C192" s="255"/>
      <c r="D192" s="255"/>
      <c r="E192" s="255"/>
      <c r="F192" s="255"/>
      <c r="G192" s="255"/>
      <c r="H192" s="255"/>
    </row>
    <row r="193" spans="1:8">
      <c r="A193" s="255"/>
      <c r="B193" s="255"/>
      <c r="C193" s="255"/>
      <c r="D193" s="255"/>
      <c r="E193" s="255"/>
      <c r="F193" s="255"/>
      <c r="G193" s="255"/>
      <c r="H193" s="255"/>
    </row>
    <row r="194" spans="1:8">
      <c r="A194" s="255"/>
      <c r="B194" s="255"/>
      <c r="C194" s="255"/>
      <c r="D194" s="255"/>
      <c r="E194" s="255"/>
      <c r="F194" s="255"/>
      <c r="G194" s="255"/>
      <c r="H194" s="255"/>
    </row>
    <row r="195" spans="1:8">
      <c r="A195" s="255"/>
      <c r="B195" s="255"/>
      <c r="C195" s="255"/>
      <c r="D195" s="255"/>
      <c r="E195" s="255"/>
      <c r="F195" s="255"/>
      <c r="G195" s="255"/>
      <c r="H195" s="255"/>
    </row>
    <row r="196" spans="1:8">
      <c r="A196" s="255"/>
      <c r="B196" s="255"/>
      <c r="C196" s="255"/>
      <c r="D196" s="255"/>
      <c r="E196" s="255"/>
      <c r="F196" s="255"/>
      <c r="G196" s="255"/>
      <c r="H196" s="255"/>
    </row>
    <row r="197" spans="1:8" ht="15.75">
      <c r="A197" s="257" t="s">
        <v>404</v>
      </c>
      <c r="B197" s="255"/>
      <c r="C197" s="255"/>
      <c r="D197" s="255"/>
      <c r="E197" s="255"/>
      <c r="F197" s="255"/>
      <c r="G197" s="255"/>
      <c r="H197" s="255"/>
    </row>
    <row r="198" spans="1:8">
      <c r="A198" s="255"/>
      <c r="B198" s="255"/>
      <c r="C198" s="255"/>
      <c r="D198" s="255"/>
      <c r="E198" s="255"/>
      <c r="F198" s="255"/>
      <c r="G198" s="255"/>
      <c r="H198" s="255"/>
    </row>
    <row r="199" spans="1:8">
      <c r="A199" s="256" t="s">
        <v>563</v>
      </c>
      <c r="B199" s="255"/>
      <c r="C199" s="255"/>
      <c r="D199" s="255"/>
      <c r="E199" s="255"/>
      <c r="F199" s="255"/>
      <c r="G199" s="255"/>
      <c r="H199" s="255"/>
    </row>
    <row r="200" spans="1:8">
      <c r="A200" s="256" t="s">
        <v>564</v>
      </c>
      <c r="B200" s="255"/>
      <c r="C200" s="255"/>
      <c r="D200" s="255"/>
      <c r="E200" s="255"/>
      <c r="F200" s="255"/>
      <c r="G200" s="255"/>
      <c r="H200" s="255"/>
    </row>
    <row r="201" spans="1:8">
      <c r="A201" s="256" t="s">
        <v>565</v>
      </c>
      <c r="B201" s="255"/>
      <c r="C201" s="255"/>
      <c r="D201" s="255"/>
      <c r="E201" s="255"/>
      <c r="F201" s="255"/>
      <c r="G201" s="255"/>
      <c r="H201" s="255"/>
    </row>
    <row r="202" spans="1:8">
      <c r="A202" s="256" t="s">
        <v>566</v>
      </c>
      <c r="B202" s="255"/>
      <c r="C202" s="255"/>
      <c r="D202" s="255"/>
      <c r="E202" s="255"/>
      <c r="F202" s="255"/>
      <c r="G202" s="255"/>
      <c r="H202" s="255"/>
    </row>
    <row r="203" spans="1:8">
      <c r="A203" s="256" t="s">
        <v>567</v>
      </c>
      <c r="B203" s="255"/>
      <c r="C203" s="255"/>
      <c r="D203" s="255"/>
      <c r="E203" s="255"/>
      <c r="F203" s="255"/>
      <c r="G203" s="255"/>
      <c r="H203" s="255"/>
    </row>
    <row r="204" spans="1:8">
      <c r="A204" s="255"/>
      <c r="B204" s="255"/>
      <c r="C204" s="255"/>
      <c r="D204" s="255"/>
      <c r="E204" s="255"/>
      <c r="F204" s="255"/>
      <c r="G204" s="255"/>
      <c r="H204" s="255"/>
    </row>
    <row r="205" spans="1:8">
      <c r="A205" s="256" t="s">
        <v>560</v>
      </c>
      <c r="B205" s="255"/>
      <c r="C205" s="255"/>
      <c r="D205" s="255"/>
      <c r="E205" s="255"/>
      <c r="F205" s="255"/>
      <c r="G205" s="255"/>
      <c r="H205" s="255"/>
    </row>
    <row r="206" spans="1:8">
      <c r="A206" s="256" t="s">
        <v>561</v>
      </c>
      <c r="B206" s="255"/>
      <c r="C206" s="255"/>
      <c r="D206" s="255"/>
      <c r="E206" s="255"/>
      <c r="F206" s="255"/>
      <c r="G206" s="255"/>
      <c r="H206" s="255"/>
    </row>
    <row r="207" spans="1:8">
      <c r="A207" s="256" t="s">
        <v>562</v>
      </c>
      <c r="B207" s="255"/>
      <c r="C207" s="255"/>
      <c r="D207" s="255"/>
      <c r="E207" s="255"/>
      <c r="F207" s="255"/>
      <c r="G207" s="255"/>
      <c r="H207" s="255"/>
    </row>
    <row r="208" spans="1:8" ht="15.75">
      <c r="A208" s="257" t="s">
        <v>405</v>
      </c>
      <c r="B208" s="255"/>
      <c r="C208" s="255"/>
      <c r="D208" s="255"/>
      <c r="E208" s="255"/>
      <c r="F208" s="255"/>
      <c r="G208" s="255"/>
      <c r="H208" s="255"/>
    </row>
    <row r="209" spans="1:8">
      <c r="A209" s="255"/>
      <c r="B209" s="255"/>
      <c r="C209" s="255"/>
      <c r="D209" s="255"/>
      <c r="E209" s="255"/>
      <c r="F209" s="255"/>
      <c r="G209" s="255"/>
      <c r="H209" s="255"/>
    </row>
    <row r="210" spans="1:8">
      <c r="A210" s="256" t="s">
        <v>553</v>
      </c>
      <c r="B210" s="255"/>
      <c r="C210" s="255"/>
      <c r="D210" s="255"/>
      <c r="E210" s="255"/>
      <c r="F210" s="255"/>
      <c r="G210" s="255"/>
      <c r="H210" s="255"/>
    </row>
    <row r="211" spans="1:8">
      <c r="A211" s="256" t="s">
        <v>554</v>
      </c>
      <c r="B211" s="255"/>
      <c r="C211" s="255"/>
      <c r="D211" s="255"/>
      <c r="E211" s="255"/>
      <c r="F211" s="255"/>
      <c r="G211" s="255"/>
      <c r="H211" s="255"/>
    </row>
    <row r="212" spans="1:8">
      <c r="A212" s="256" t="s">
        <v>555</v>
      </c>
      <c r="B212" s="255"/>
      <c r="C212" s="255"/>
      <c r="D212" s="255"/>
      <c r="E212" s="255"/>
      <c r="F212" s="255"/>
      <c r="G212" s="255"/>
      <c r="H212" s="255"/>
    </row>
    <row r="213" spans="1:8">
      <c r="A213" s="256" t="s">
        <v>556</v>
      </c>
      <c r="B213" s="255"/>
      <c r="C213" s="255"/>
      <c r="D213" s="255"/>
      <c r="E213" s="255"/>
      <c r="F213" s="255"/>
      <c r="G213" s="255"/>
      <c r="H213" s="255"/>
    </row>
    <row r="214" spans="1:8">
      <c r="A214" s="256" t="s">
        <v>557</v>
      </c>
      <c r="B214" s="255"/>
      <c r="C214" s="255"/>
      <c r="D214" s="255"/>
      <c r="E214" s="255"/>
      <c r="F214" s="255"/>
      <c r="G214" s="255"/>
      <c r="H214" s="255"/>
    </row>
    <row r="215" spans="1:8">
      <c r="A215" s="256" t="s">
        <v>558</v>
      </c>
      <c r="B215" s="255"/>
      <c r="C215" s="255"/>
      <c r="D215" s="255"/>
      <c r="E215" s="255"/>
      <c r="F215" s="255"/>
      <c r="G215" s="255"/>
      <c r="H215" s="255"/>
    </row>
    <row r="216" spans="1:8">
      <c r="A216" s="256" t="s">
        <v>559</v>
      </c>
      <c r="B216" s="255"/>
      <c r="C216" s="255"/>
      <c r="D216" s="255"/>
      <c r="E216" s="255"/>
      <c r="F216" s="255"/>
      <c r="G216" s="255"/>
      <c r="H216" s="255"/>
    </row>
    <row r="217" spans="1:8">
      <c r="A217" s="255"/>
      <c r="B217" s="255"/>
      <c r="C217" s="255"/>
      <c r="D217" s="255"/>
      <c r="E217" s="255"/>
      <c r="F217" s="255"/>
      <c r="G217" s="255"/>
      <c r="H217" s="255"/>
    </row>
    <row r="218" spans="1:8">
      <c r="A218" s="256" t="s">
        <v>550</v>
      </c>
      <c r="B218" s="255"/>
      <c r="C218" s="255"/>
      <c r="D218" s="255"/>
      <c r="E218" s="255"/>
      <c r="F218" s="255"/>
      <c r="G218" s="255"/>
      <c r="H218" s="255"/>
    </row>
    <row r="219" spans="1:8">
      <c r="A219" s="256" t="s">
        <v>551</v>
      </c>
      <c r="B219" s="255"/>
      <c r="C219" s="255"/>
      <c r="D219" s="255"/>
      <c r="E219" s="255"/>
      <c r="F219" s="255"/>
      <c r="G219" s="255"/>
      <c r="H219" s="255"/>
    </row>
    <row r="220" spans="1:8">
      <c r="A220" s="256" t="s">
        <v>552</v>
      </c>
      <c r="B220" s="255"/>
      <c r="C220" s="255"/>
      <c r="D220" s="255"/>
      <c r="E220" s="255"/>
      <c r="F220" s="255"/>
      <c r="G220" s="255"/>
      <c r="H220" s="255"/>
    </row>
    <row r="221" spans="1:8">
      <c r="A221" s="255"/>
      <c r="B221" s="255"/>
      <c r="C221" s="255"/>
      <c r="D221" s="255"/>
      <c r="E221" s="255"/>
      <c r="F221" s="255"/>
      <c r="G221" s="255"/>
      <c r="H221" s="255"/>
    </row>
    <row r="222" spans="1:8">
      <c r="A222" s="256" t="s">
        <v>545</v>
      </c>
      <c r="B222" s="255"/>
      <c r="C222" s="255"/>
      <c r="D222" s="255"/>
      <c r="E222" s="255"/>
      <c r="F222" s="255"/>
      <c r="G222" s="255"/>
      <c r="H222" s="255"/>
    </row>
    <row r="223" spans="1:8">
      <c r="A223" s="256" t="s">
        <v>546</v>
      </c>
      <c r="B223" s="255"/>
      <c r="C223" s="255"/>
      <c r="D223" s="255"/>
      <c r="E223" s="255"/>
      <c r="F223" s="255"/>
      <c r="G223" s="255"/>
      <c r="H223" s="255"/>
    </row>
    <row r="224" spans="1:8">
      <c r="A224" s="256" t="s">
        <v>547</v>
      </c>
      <c r="B224" s="255"/>
      <c r="C224" s="255"/>
      <c r="D224" s="255"/>
      <c r="E224" s="255"/>
      <c r="F224" s="255"/>
      <c r="G224" s="255"/>
      <c r="H224" s="255"/>
    </row>
    <row r="225" spans="1:8">
      <c r="A225" s="256" t="s">
        <v>548</v>
      </c>
      <c r="B225" s="255"/>
      <c r="C225" s="255"/>
      <c r="D225" s="255"/>
      <c r="E225" s="255"/>
      <c r="F225" s="255"/>
      <c r="G225" s="255"/>
      <c r="H225" s="255"/>
    </row>
    <row r="226" spans="1:8">
      <c r="A226" s="256" t="s">
        <v>549</v>
      </c>
      <c r="B226" s="255"/>
      <c r="C226" s="255"/>
      <c r="D226" s="255"/>
      <c r="E226" s="255"/>
      <c r="F226" s="255"/>
      <c r="G226" s="255"/>
      <c r="H226" s="255"/>
    </row>
    <row r="227" spans="1:8">
      <c r="A227" s="255"/>
      <c r="B227" s="255"/>
      <c r="C227" s="255"/>
      <c r="D227" s="255"/>
      <c r="E227" s="255"/>
      <c r="F227" s="255"/>
      <c r="G227" s="255"/>
      <c r="H227" s="255"/>
    </row>
    <row r="228" spans="1:8">
      <c r="A228" s="256" t="s">
        <v>539</v>
      </c>
      <c r="B228" s="255"/>
      <c r="C228" s="255"/>
      <c r="D228" s="255"/>
      <c r="E228" s="255"/>
      <c r="F228" s="255"/>
      <c r="G228" s="255"/>
      <c r="H228" s="255"/>
    </row>
    <row r="229" spans="1:8">
      <c r="A229" s="256" t="s">
        <v>540</v>
      </c>
      <c r="B229" s="255"/>
      <c r="C229" s="255"/>
      <c r="D229" s="255"/>
      <c r="E229" s="255"/>
      <c r="F229" s="255"/>
      <c r="G229" s="255"/>
      <c r="H229" s="255"/>
    </row>
    <row r="230" spans="1:8">
      <c r="A230" s="256" t="s">
        <v>541</v>
      </c>
      <c r="B230" s="255"/>
      <c r="C230" s="255"/>
      <c r="D230" s="255"/>
      <c r="E230" s="255"/>
      <c r="F230" s="255"/>
      <c r="G230" s="255"/>
      <c r="H230" s="255"/>
    </row>
    <row r="231" spans="1:8">
      <c r="A231" s="256" t="s">
        <v>542</v>
      </c>
      <c r="B231" s="255"/>
      <c r="C231" s="255"/>
      <c r="D231" s="255"/>
      <c r="E231" s="255"/>
      <c r="F231" s="255"/>
      <c r="G231" s="255"/>
      <c r="H231" s="255"/>
    </row>
    <row r="232" spans="1:8">
      <c r="A232" s="256" t="s">
        <v>543</v>
      </c>
      <c r="B232" s="255"/>
      <c r="C232" s="255"/>
      <c r="D232" s="255"/>
      <c r="E232" s="255"/>
      <c r="F232" s="255"/>
      <c r="G232" s="255"/>
      <c r="H232" s="255"/>
    </row>
    <row r="233" spans="1:8">
      <c r="A233" s="256" t="s">
        <v>544</v>
      </c>
      <c r="B233" s="255"/>
      <c r="C233" s="255"/>
      <c r="D233" s="255"/>
      <c r="E233" s="255"/>
      <c r="F233" s="255"/>
      <c r="G233" s="255"/>
      <c r="H233" s="255"/>
    </row>
    <row r="234" spans="1:8">
      <c r="A234" s="255"/>
      <c r="B234" s="255"/>
      <c r="C234" s="255"/>
      <c r="D234" s="255"/>
      <c r="E234" s="255"/>
      <c r="F234" s="255"/>
      <c r="G234" s="255"/>
      <c r="H234" s="255"/>
    </row>
    <row r="235" spans="1:8">
      <c r="A235" s="256" t="s">
        <v>529</v>
      </c>
      <c r="B235" s="255"/>
      <c r="C235" s="255"/>
      <c r="D235" s="255"/>
      <c r="E235" s="255"/>
      <c r="F235" s="255"/>
      <c r="G235" s="255"/>
      <c r="H235" s="255"/>
    </row>
    <row r="236" spans="1:8">
      <c r="A236" s="256" t="s">
        <v>530</v>
      </c>
      <c r="B236" s="255"/>
      <c r="C236" s="255"/>
      <c r="D236" s="255"/>
      <c r="E236" s="255"/>
      <c r="F236" s="255"/>
      <c r="G236" s="255"/>
      <c r="H236" s="255"/>
    </row>
    <row r="237" spans="1:8">
      <c r="A237" s="256" t="s">
        <v>531</v>
      </c>
      <c r="B237" s="255"/>
      <c r="C237" s="255"/>
      <c r="D237" s="255"/>
      <c r="E237" s="255"/>
      <c r="F237" s="255"/>
      <c r="G237" s="255"/>
      <c r="H237" s="255"/>
    </row>
    <row r="238" spans="1:8">
      <c r="A238" s="256" t="s">
        <v>532</v>
      </c>
      <c r="B238" s="255"/>
      <c r="C238" s="255"/>
      <c r="D238" s="255"/>
      <c r="E238" s="255"/>
      <c r="F238" s="255"/>
      <c r="G238" s="255"/>
      <c r="H238" s="255"/>
    </row>
    <row r="239" spans="1:8">
      <c r="A239" s="256" t="s">
        <v>533</v>
      </c>
      <c r="B239" s="255"/>
      <c r="C239" s="255"/>
      <c r="D239" s="255"/>
      <c r="E239" s="255"/>
      <c r="F239" s="255"/>
      <c r="G239" s="255"/>
      <c r="H239" s="255"/>
    </row>
    <row r="240" spans="1:8">
      <c r="A240" s="256" t="s">
        <v>534</v>
      </c>
      <c r="B240" s="255"/>
      <c r="C240" s="255"/>
      <c r="D240" s="255"/>
      <c r="E240" s="255"/>
      <c r="F240" s="255"/>
      <c r="G240" s="255"/>
      <c r="H240" s="255"/>
    </row>
    <row r="241" spans="1:8">
      <c r="A241" s="256" t="s">
        <v>535</v>
      </c>
      <c r="B241" s="255"/>
      <c r="C241" s="255"/>
      <c r="D241" s="255"/>
      <c r="E241" s="255"/>
      <c r="F241" s="255"/>
      <c r="G241" s="255"/>
      <c r="H241" s="255"/>
    </row>
    <row r="242" spans="1:8">
      <c r="A242" s="256" t="s">
        <v>536</v>
      </c>
      <c r="B242" s="255"/>
      <c r="C242" s="255"/>
      <c r="D242" s="255"/>
      <c r="E242" s="255"/>
      <c r="F242" s="255"/>
      <c r="G242" s="255"/>
      <c r="H242" s="255"/>
    </row>
    <row r="243" spans="1:8">
      <c r="A243" s="256" t="s">
        <v>537</v>
      </c>
      <c r="B243" s="255"/>
      <c r="C243" s="255"/>
      <c r="D243" s="255"/>
      <c r="E243" s="255"/>
      <c r="F243" s="255"/>
      <c r="G243" s="255"/>
      <c r="H243" s="255"/>
    </row>
    <row r="244" spans="1:8">
      <c r="A244" s="256" t="s">
        <v>538</v>
      </c>
      <c r="B244" s="255"/>
      <c r="C244" s="255"/>
      <c r="D244" s="255"/>
      <c r="E244" s="255"/>
      <c r="F244" s="255"/>
      <c r="G244" s="255"/>
      <c r="H244" s="255"/>
    </row>
    <row r="245" spans="1:8">
      <c r="A245" s="255"/>
      <c r="B245" s="255"/>
      <c r="C245" s="255"/>
      <c r="D245" s="255"/>
      <c r="E245" s="255"/>
      <c r="F245" s="255"/>
      <c r="G245" s="255"/>
      <c r="H245" s="255"/>
    </row>
    <row r="246" spans="1:8">
      <c r="A246" s="256" t="s">
        <v>527</v>
      </c>
      <c r="B246" s="255"/>
      <c r="C246" s="255"/>
      <c r="D246" s="255"/>
      <c r="E246" s="255"/>
      <c r="F246" s="255"/>
      <c r="G246" s="255"/>
      <c r="H246" s="255"/>
    </row>
    <row r="247" spans="1:8">
      <c r="A247" s="256" t="s">
        <v>528</v>
      </c>
      <c r="B247" s="255"/>
      <c r="C247" s="255"/>
      <c r="D247" s="255"/>
      <c r="E247" s="255"/>
      <c r="F247" s="255"/>
      <c r="G247" s="255"/>
      <c r="H247" s="255"/>
    </row>
    <row r="248" spans="1:8">
      <c r="A248" s="255"/>
      <c r="B248" s="255"/>
      <c r="C248" s="255"/>
      <c r="D248" s="255"/>
      <c r="E248" s="255"/>
      <c r="F248" s="255"/>
      <c r="G248" s="255"/>
      <c r="H248" s="255"/>
    </row>
    <row r="249" spans="1:8">
      <c r="A249" s="256" t="s">
        <v>511</v>
      </c>
      <c r="B249" s="255"/>
      <c r="C249" s="255"/>
      <c r="D249" s="255"/>
      <c r="E249" s="255"/>
      <c r="F249" s="255"/>
      <c r="G249" s="255"/>
      <c r="H249" s="255"/>
    </row>
    <row r="250" spans="1:8">
      <c r="A250" s="256" t="s">
        <v>512</v>
      </c>
      <c r="B250" s="255"/>
      <c r="C250" s="255"/>
      <c r="D250" s="255"/>
      <c r="E250" s="255"/>
      <c r="F250" s="255"/>
      <c r="G250" s="255"/>
      <c r="H250" s="255"/>
    </row>
    <row r="251" spans="1:8">
      <c r="A251" s="256" t="s">
        <v>513</v>
      </c>
      <c r="B251" s="255"/>
      <c r="C251" s="255"/>
      <c r="D251" s="255"/>
      <c r="E251" s="255"/>
      <c r="F251" s="255"/>
      <c r="G251" s="255"/>
      <c r="H251" s="255"/>
    </row>
    <row r="252" spans="1:8">
      <c r="A252" s="256" t="s">
        <v>514</v>
      </c>
      <c r="B252" s="255"/>
      <c r="C252" s="255"/>
      <c r="D252" s="255"/>
      <c r="E252" s="255"/>
      <c r="F252" s="255"/>
      <c r="G252" s="255"/>
      <c r="H252" s="255"/>
    </row>
    <row r="253" spans="1:8">
      <c r="A253" s="256" t="s">
        <v>515</v>
      </c>
      <c r="B253" s="255"/>
      <c r="C253" s="255"/>
      <c r="D253" s="255"/>
      <c r="E253" s="255"/>
      <c r="F253" s="255"/>
      <c r="G253" s="255"/>
      <c r="H253" s="255"/>
    </row>
    <row r="254" spans="1:8">
      <c r="A254" s="256" t="s">
        <v>516</v>
      </c>
      <c r="B254" s="255"/>
      <c r="C254" s="255"/>
      <c r="D254" s="255"/>
      <c r="E254" s="255"/>
      <c r="F254" s="255"/>
      <c r="G254" s="255"/>
      <c r="H254" s="255"/>
    </row>
    <row r="255" spans="1:8">
      <c r="A255" s="256" t="s">
        <v>517</v>
      </c>
      <c r="B255" s="255"/>
      <c r="C255" s="255"/>
      <c r="D255" s="255"/>
      <c r="E255" s="255"/>
      <c r="F255" s="255"/>
      <c r="G255" s="255"/>
      <c r="H255" s="255"/>
    </row>
    <row r="256" spans="1:8">
      <c r="A256" s="256" t="s">
        <v>518</v>
      </c>
      <c r="B256" s="255"/>
      <c r="C256" s="255"/>
      <c r="D256" s="255"/>
      <c r="E256" s="255"/>
      <c r="F256" s="255"/>
      <c r="G256" s="255"/>
      <c r="H256" s="255"/>
    </row>
    <row r="257" spans="1:8">
      <c r="A257" s="256" t="s">
        <v>519</v>
      </c>
      <c r="B257" s="255"/>
      <c r="C257" s="255"/>
      <c r="D257" s="255"/>
      <c r="E257" s="255"/>
      <c r="F257" s="255"/>
      <c r="G257" s="255"/>
      <c r="H257" s="255"/>
    </row>
    <row r="258" spans="1:8">
      <c r="A258" s="256" t="s">
        <v>520</v>
      </c>
      <c r="B258" s="255"/>
      <c r="C258" s="255"/>
      <c r="D258" s="255"/>
      <c r="E258" s="255"/>
      <c r="F258" s="255"/>
      <c r="G258" s="255"/>
      <c r="H258" s="255"/>
    </row>
    <row r="259" spans="1:8">
      <c r="A259" s="256" t="s">
        <v>521</v>
      </c>
      <c r="B259" s="255"/>
      <c r="C259" s="255"/>
      <c r="D259" s="255"/>
      <c r="E259" s="255"/>
      <c r="F259" s="255"/>
      <c r="G259" s="255"/>
      <c r="H259" s="255"/>
    </row>
    <row r="260" spans="1:8">
      <c r="A260" s="256" t="s">
        <v>522</v>
      </c>
      <c r="B260" s="255"/>
      <c r="C260" s="255"/>
      <c r="D260" s="255"/>
      <c r="E260" s="255"/>
      <c r="F260" s="255"/>
      <c r="G260" s="255"/>
      <c r="H260" s="255"/>
    </row>
    <row r="261" spans="1:8">
      <c r="A261" s="256" t="s">
        <v>523</v>
      </c>
      <c r="B261" s="255"/>
      <c r="C261" s="255"/>
      <c r="D261" s="255"/>
      <c r="E261" s="255"/>
      <c r="F261" s="255"/>
      <c r="G261" s="255"/>
      <c r="H261" s="255"/>
    </row>
    <row r="262" spans="1:8">
      <c r="A262" s="256" t="s">
        <v>524</v>
      </c>
      <c r="B262" s="255"/>
      <c r="C262" s="255"/>
      <c r="D262" s="255"/>
      <c r="E262" s="255"/>
      <c r="F262" s="255"/>
      <c r="G262" s="255"/>
      <c r="H262" s="255"/>
    </row>
    <row r="263" spans="1:8">
      <c r="A263" s="256" t="s">
        <v>525</v>
      </c>
      <c r="B263" s="255"/>
      <c r="C263" s="255"/>
      <c r="D263" s="255"/>
      <c r="E263" s="255"/>
      <c r="F263" s="255"/>
      <c r="G263" s="255"/>
      <c r="H263" s="255"/>
    </row>
    <row r="264" spans="1:8">
      <c r="A264" s="256" t="s">
        <v>526</v>
      </c>
      <c r="B264" s="255"/>
      <c r="C264" s="255"/>
      <c r="D264" s="255"/>
      <c r="E264" s="255"/>
      <c r="F264" s="255"/>
      <c r="G264" s="255"/>
      <c r="H264" s="255"/>
    </row>
    <row r="265" spans="1:8">
      <c r="A265" s="255"/>
      <c r="B265" s="255"/>
      <c r="C265" s="255"/>
      <c r="D265" s="255"/>
      <c r="E265" s="255"/>
      <c r="F265" s="255"/>
      <c r="G265" s="255"/>
      <c r="H265" s="255"/>
    </row>
    <row r="266" spans="1:8">
      <c r="A266" s="256" t="s">
        <v>504</v>
      </c>
      <c r="B266" s="255"/>
      <c r="C266" s="255"/>
      <c r="D266" s="255"/>
      <c r="E266" s="255"/>
      <c r="F266" s="255"/>
      <c r="G266" s="255"/>
      <c r="H266" s="255"/>
    </row>
    <row r="267" spans="1:8">
      <c r="A267" s="256" t="s">
        <v>505</v>
      </c>
      <c r="B267" s="255"/>
      <c r="C267" s="255"/>
      <c r="D267" s="255"/>
      <c r="E267" s="255"/>
      <c r="F267" s="255"/>
      <c r="G267" s="255"/>
      <c r="H267" s="255"/>
    </row>
    <row r="268" spans="1:8">
      <c r="A268" s="256" t="s">
        <v>506</v>
      </c>
      <c r="B268" s="255"/>
      <c r="C268" s="255"/>
      <c r="D268" s="255"/>
      <c r="E268" s="255"/>
      <c r="F268" s="255"/>
      <c r="G268" s="255"/>
      <c r="H268" s="255"/>
    </row>
    <row r="269" spans="1:8">
      <c r="A269" s="256" t="s">
        <v>507</v>
      </c>
      <c r="B269" s="255"/>
      <c r="C269" s="255"/>
      <c r="D269" s="255"/>
      <c r="E269" s="255"/>
      <c r="F269" s="255"/>
      <c r="G269" s="255"/>
      <c r="H269" s="255"/>
    </row>
    <row r="270" spans="1:8">
      <c r="A270" s="256" t="s">
        <v>508</v>
      </c>
      <c r="B270" s="255"/>
      <c r="C270" s="255"/>
      <c r="D270" s="255"/>
      <c r="E270" s="255"/>
      <c r="F270" s="255"/>
      <c r="G270" s="255"/>
      <c r="H270" s="255"/>
    </row>
    <row r="271" spans="1:8">
      <c r="A271" s="256" t="s">
        <v>509</v>
      </c>
      <c r="B271" s="255"/>
      <c r="C271" s="255"/>
      <c r="D271" s="255"/>
      <c r="E271" s="255"/>
      <c r="F271" s="255"/>
      <c r="G271" s="255"/>
      <c r="H271" s="255"/>
    </row>
    <row r="272" spans="1:8">
      <c r="A272" s="256" t="s">
        <v>510</v>
      </c>
      <c r="B272" s="255"/>
      <c r="C272" s="255"/>
      <c r="D272" s="255"/>
      <c r="E272" s="255"/>
      <c r="F272" s="255"/>
      <c r="G272" s="255"/>
      <c r="H272" s="255"/>
    </row>
    <row r="273" spans="1:8">
      <c r="A273" s="255"/>
      <c r="B273" s="255"/>
      <c r="C273" s="255"/>
      <c r="D273" s="255"/>
      <c r="E273" s="255"/>
      <c r="F273" s="255"/>
      <c r="G273" s="255"/>
      <c r="H273" s="255"/>
    </row>
    <row r="274" spans="1:8">
      <c r="A274" s="256" t="s">
        <v>495</v>
      </c>
      <c r="B274" s="255"/>
      <c r="C274" s="255"/>
      <c r="D274" s="255"/>
      <c r="E274" s="255"/>
      <c r="F274" s="255"/>
      <c r="G274" s="255"/>
      <c r="H274" s="255"/>
    </row>
    <row r="275" spans="1:8">
      <c r="A275" s="256" t="s">
        <v>496</v>
      </c>
      <c r="B275" s="255"/>
      <c r="C275" s="255"/>
      <c r="D275" s="255"/>
      <c r="E275" s="255"/>
      <c r="F275" s="255"/>
      <c r="G275" s="255"/>
      <c r="H275" s="255"/>
    </row>
    <row r="276" spans="1:8">
      <c r="A276" s="256" t="s">
        <v>497</v>
      </c>
      <c r="B276" s="255"/>
      <c r="C276" s="255"/>
      <c r="D276" s="255"/>
      <c r="E276" s="255"/>
      <c r="F276" s="255"/>
      <c r="G276" s="255"/>
      <c r="H276" s="255"/>
    </row>
    <row r="277" spans="1:8">
      <c r="A277" s="256" t="s">
        <v>498</v>
      </c>
      <c r="B277" s="255"/>
      <c r="C277" s="255"/>
      <c r="D277" s="255"/>
      <c r="E277" s="255"/>
      <c r="F277" s="255"/>
      <c r="G277" s="255"/>
      <c r="H277" s="255"/>
    </row>
    <row r="278" spans="1:8">
      <c r="A278" s="256" t="s">
        <v>499</v>
      </c>
      <c r="B278" s="255"/>
      <c r="C278" s="255"/>
      <c r="D278" s="255"/>
      <c r="E278" s="255"/>
      <c r="F278" s="255"/>
      <c r="G278" s="255"/>
      <c r="H278" s="255"/>
    </row>
    <row r="279" spans="1:8">
      <c r="A279" s="256" t="s">
        <v>500</v>
      </c>
      <c r="B279" s="255"/>
      <c r="C279" s="255"/>
      <c r="D279" s="255"/>
      <c r="E279" s="255"/>
      <c r="F279" s="255"/>
      <c r="G279" s="255"/>
      <c r="H279" s="255"/>
    </row>
    <row r="280" spans="1:8">
      <c r="A280" s="256" t="s">
        <v>501</v>
      </c>
      <c r="B280" s="255"/>
      <c r="C280" s="255"/>
      <c r="D280" s="255"/>
      <c r="E280" s="255"/>
      <c r="F280" s="255"/>
      <c r="G280" s="255"/>
      <c r="H280" s="255"/>
    </row>
    <row r="281" spans="1:8">
      <c r="A281" s="256" t="s">
        <v>502</v>
      </c>
      <c r="B281" s="255"/>
      <c r="C281" s="255"/>
      <c r="D281" s="255"/>
      <c r="E281" s="255"/>
      <c r="F281" s="255"/>
      <c r="G281" s="255"/>
      <c r="H281" s="255"/>
    </row>
    <row r="282" spans="1:8">
      <c r="A282" s="256" t="s">
        <v>503</v>
      </c>
      <c r="B282" s="255"/>
      <c r="C282" s="255"/>
      <c r="D282" s="255"/>
      <c r="E282" s="255"/>
      <c r="F282" s="255"/>
      <c r="G282" s="255"/>
      <c r="H282" s="255"/>
    </row>
    <row r="283" spans="1:8">
      <c r="A283" s="255"/>
      <c r="B283" s="255"/>
      <c r="C283" s="255"/>
      <c r="D283" s="255"/>
      <c r="E283" s="255"/>
      <c r="F283" s="255"/>
      <c r="G283" s="255"/>
      <c r="H283" s="255"/>
    </row>
    <row r="284" spans="1:8">
      <c r="A284" s="256" t="s">
        <v>488</v>
      </c>
      <c r="B284" s="255"/>
      <c r="C284" s="255"/>
      <c r="D284" s="255"/>
      <c r="E284" s="255"/>
      <c r="F284" s="255"/>
      <c r="G284" s="255"/>
      <c r="H284" s="255"/>
    </row>
    <row r="285" spans="1:8">
      <c r="A285" s="256" t="s">
        <v>489</v>
      </c>
      <c r="B285" s="255"/>
      <c r="C285" s="255"/>
      <c r="D285" s="255"/>
      <c r="E285" s="255"/>
      <c r="F285" s="255"/>
      <c r="G285" s="255"/>
      <c r="H285" s="255"/>
    </row>
    <row r="286" spans="1:8">
      <c r="A286" s="256" t="s">
        <v>490</v>
      </c>
      <c r="B286" s="255"/>
      <c r="C286" s="255"/>
      <c r="D286" s="255"/>
      <c r="E286" s="255"/>
      <c r="F286" s="255"/>
      <c r="G286" s="255"/>
      <c r="H286" s="255"/>
    </row>
    <row r="287" spans="1:8">
      <c r="A287" s="256" t="s">
        <v>491</v>
      </c>
      <c r="B287" s="255"/>
      <c r="C287" s="255"/>
      <c r="D287" s="255"/>
      <c r="E287" s="255"/>
      <c r="F287" s="255"/>
      <c r="G287" s="255"/>
      <c r="H287" s="255"/>
    </row>
    <row r="288" spans="1:8">
      <c r="A288" s="256" t="s">
        <v>492</v>
      </c>
      <c r="B288" s="255"/>
      <c r="C288" s="255"/>
      <c r="D288" s="255"/>
      <c r="E288" s="255"/>
      <c r="F288" s="255"/>
      <c r="G288" s="255"/>
      <c r="H288" s="255"/>
    </row>
    <row r="289" spans="1:8">
      <c r="A289" s="256" t="s">
        <v>493</v>
      </c>
      <c r="B289" s="255"/>
      <c r="C289" s="255"/>
      <c r="D289" s="255"/>
      <c r="E289" s="255"/>
      <c r="F289" s="255"/>
      <c r="G289" s="255"/>
      <c r="H289" s="255"/>
    </row>
    <row r="290" spans="1:8">
      <c r="A290" s="256" t="s">
        <v>494</v>
      </c>
      <c r="B290" s="255"/>
      <c r="C290" s="255"/>
      <c r="D290" s="255"/>
      <c r="E290" s="255"/>
      <c r="F290" s="255"/>
      <c r="G290" s="255"/>
      <c r="H290" s="255"/>
    </row>
    <row r="291" spans="1:8">
      <c r="A291" s="255"/>
      <c r="B291" s="255"/>
      <c r="C291" s="255"/>
      <c r="D291" s="255"/>
      <c r="E291" s="255"/>
      <c r="F291" s="255"/>
      <c r="G291" s="255"/>
      <c r="H291" s="255"/>
    </row>
    <row r="292" spans="1:8">
      <c r="A292" s="256" t="s">
        <v>485</v>
      </c>
      <c r="B292" s="255"/>
      <c r="C292" s="255"/>
      <c r="D292" s="255"/>
      <c r="E292" s="255"/>
      <c r="F292" s="255"/>
      <c r="G292" s="255"/>
      <c r="H292" s="255"/>
    </row>
    <row r="293" spans="1:8">
      <c r="A293" s="256" t="s">
        <v>486</v>
      </c>
      <c r="B293" s="255"/>
      <c r="C293" s="255"/>
      <c r="D293" s="255"/>
      <c r="E293" s="255"/>
      <c r="F293" s="255"/>
      <c r="G293" s="255"/>
      <c r="H293" s="255"/>
    </row>
    <row r="294" spans="1:8">
      <c r="A294" s="256" t="s">
        <v>487</v>
      </c>
      <c r="B294" s="255"/>
      <c r="C294" s="255"/>
      <c r="D294" s="255"/>
      <c r="E294" s="255"/>
      <c r="F294" s="255"/>
      <c r="G294" s="255"/>
      <c r="H294" s="255"/>
    </row>
    <row r="295" spans="1:8">
      <c r="A295" s="255"/>
      <c r="B295" s="255"/>
      <c r="C295" s="255"/>
      <c r="D295" s="255"/>
      <c r="E295" s="255"/>
      <c r="F295" s="255"/>
      <c r="G295" s="255"/>
      <c r="H295" s="255"/>
    </row>
    <row r="296" spans="1:8">
      <c r="A296" s="256" t="s">
        <v>483</v>
      </c>
      <c r="B296" s="255"/>
      <c r="C296" s="255"/>
      <c r="D296" s="255"/>
      <c r="E296" s="255"/>
      <c r="F296" s="255"/>
      <c r="G296" s="255"/>
      <c r="H296" s="255"/>
    </row>
    <row r="297" spans="1:8">
      <c r="A297" s="256" t="s">
        <v>484</v>
      </c>
      <c r="B297" s="255"/>
      <c r="C297" s="255"/>
      <c r="D297" s="255"/>
      <c r="E297" s="255"/>
      <c r="F297" s="255"/>
      <c r="G297" s="255"/>
      <c r="H297" s="255"/>
    </row>
    <row r="298" spans="1:8">
      <c r="A298" s="255"/>
      <c r="B298" s="255"/>
      <c r="C298" s="255"/>
      <c r="D298" s="255"/>
      <c r="E298" s="255"/>
      <c r="F298" s="255"/>
      <c r="G298" s="255"/>
      <c r="H298" s="255"/>
    </row>
    <row r="299" spans="1:8">
      <c r="A299" s="256" t="s">
        <v>470</v>
      </c>
      <c r="B299" s="255"/>
      <c r="C299" s="255"/>
      <c r="D299" s="255"/>
      <c r="E299" s="255"/>
      <c r="F299" s="255"/>
      <c r="G299" s="255"/>
      <c r="H299" s="255"/>
    </row>
    <row r="300" spans="1:8">
      <c r="A300" s="256" t="s">
        <v>471</v>
      </c>
      <c r="B300" s="255"/>
      <c r="C300" s="255"/>
      <c r="D300" s="255"/>
      <c r="E300" s="255"/>
      <c r="F300" s="255"/>
      <c r="G300" s="255"/>
      <c r="H300" s="255"/>
    </row>
    <row r="301" spans="1:8">
      <c r="A301" s="256" t="s">
        <v>472</v>
      </c>
      <c r="B301" s="255"/>
      <c r="C301" s="255"/>
      <c r="D301" s="255"/>
      <c r="E301" s="255"/>
      <c r="F301" s="255"/>
      <c r="G301" s="255"/>
      <c r="H301" s="255"/>
    </row>
    <row r="302" spans="1:8">
      <c r="A302" s="256" t="s">
        <v>473</v>
      </c>
      <c r="B302" s="255"/>
      <c r="C302" s="255"/>
      <c r="D302" s="255"/>
      <c r="E302" s="255"/>
      <c r="F302" s="255"/>
      <c r="G302" s="255"/>
      <c r="H302" s="255"/>
    </row>
    <row r="303" spans="1:8">
      <c r="A303" s="256" t="s">
        <v>474</v>
      </c>
      <c r="B303" s="255"/>
      <c r="C303" s="255"/>
      <c r="D303" s="255"/>
      <c r="E303" s="255"/>
      <c r="F303" s="255"/>
      <c r="G303" s="255"/>
      <c r="H303" s="255"/>
    </row>
    <row r="304" spans="1:8">
      <c r="A304" s="256" t="s">
        <v>475</v>
      </c>
      <c r="B304" s="255"/>
      <c r="C304" s="255"/>
      <c r="D304" s="255"/>
      <c r="E304" s="255"/>
      <c r="F304" s="255"/>
      <c r="G304" s="255"/>
      <c r="H304" s="255"/>
    </row>
    <row r="305" spans="1:8">
      <c r="A305" s="256" t="s">
        <v>476</v>
      </c>
      <c r="B305" s="255"/>
      <c r="C305" s="255"/>
      <c r="D305" s="255"/>
      <c r="E305" s="255"/>
      <c r="F305" s="255"/>
      <c r="G305" s="255"/>
      <c r="H305" s="255"/>
    </row>
    <row r="306" spans="1:8">
      <c r="A306" s="256" t="s">
        <v>477</v>
      </c>
      <c r="B306" s="255"/>
      <c r="C306" s="255"/>
      <c r="D306" s="255"/>
      <c r="E306" s="255"/>
      <c r="F306" s="255"/>
      <c r="G306" s="255"/>
      <c r="H306" s="255"/>
    </row>
    <row r="307" spans="1:8">
      <c r="A307" s="256" t="s">
        <v>478</v>
      </c>
      <c r="B307" s="255"/>
      <c r="C307" s="255"/>
      <c r="D307" s="255"/>
      <c r="E307" s="255"/>
      <c r="F307" s="255"/>
      <c r="G307" s="255"/>
      <c r="H307" s="255"/>
    </row>
    <row r="308" spans="1:8">
      <c r="A308" s="256" t="s">
        <v>479</v>
      </c>
      <c r="B308" s="255"/>
      <c r="C308" s="255"/>
      <c r="D308" s="255"/>
      <c r="E308" s="255"/>
      <c r="F308" s="255"/>
      <c r="G308" s="255"/>
      <c r="H308" s="255"/>
    </row>
    <row r="309" spans="1:8">
      <c r="A309" s="256" t="s">
        <v>480</v>
      </c>
      <c r="B309" s="255"/>
      <c r="C309" s="255"/>
      <c r="D309" s="255"/>
      <c r="E309" s="255"/>
      <c r="F309" s="255"/>
      <c r="G309" s="255"/>
      <c r="H309" s="255"/>
    </row>
    <row r="310" spans="1:8">
      <c r="A310" s="256" t="s">
        <v>481</v>
      </c>
      <c r="B310" s="255"/>
      <c r="C310" s="255"/>
      <c r="D310" s="255"/>
      <c r="E310" s="255"/>
      <c r="F310" s="255"/>
      <c r="G310" s="255"/>
      <c r="H310" s="255"/>
    </row>
    <row r="311" spans="1:8">
      <c r="A311" s="256" t="s">
        <v>482</v>
      </c>
      <c r="B311" s="255"/>
      <c r="C311" s="255"/>
      <c r="D311" s="255"/>
      <c r="E311" s="255"/>
      <c r="F311" s="255"/>
      <c r="G311" s="255"/>
      <c r="H311" s="255"/>
    </row>
    <row r="312" spans="1:8">
      <c r="A312" s="255"/>
      <c r="B312" s="255"/>
      <c r="C312" s="255"/>
      <c r="D312" s="255"/>
      <c r="E312" s="255"/>
      <c r="F312" s="255"/>
      <c r="G312" s="255"/>
      <c r="H312" s="255"/>
    </row>
    <row r="313" spans="1:8">
      <c r="A313" s="256" t="s">
        <v>462</v>
      </c>
      <c r="B313" s="255"/>
      <c r="C313" s="255"/>
      <c r="D313" s="255"/>
      <c r="E313" s="255"/>
      <c r="F313" s="255"/>
      <c r="G313" s="255"/>
      <c r="H313" s="255"/>
    </row>
    <row r="314" spans="1:8">
      <c r="A314" s="256" t="s">
        <v>463</v>
      </c>
      <c r="B314" s="255"/>
      <c r="C314" s="255"/>
      <c r="D314" s="255"/>
      <c r="E314" s="255"/>
      <c r="F314" s="255"/>
      <c r="G314" s="255"/>
      <c r="H314" s="255"/>
    </row>
    <row r="315" spans="1:8">
      <c r="A315" s="256" t="s">
        <v>464</v>
      </c>
      <c r="B315" s="255"/>
      <c r="C315" s="255"/>
      <c r="D315" s="255"/>
      <c r="E315" s="255"/>
      <c r="F315" s="255"/>
      <c r="G315" s="255"/>
      <c r="H315" s="255"/>
    </row>
    <row r="316" spans="1:8">
      <c r="A316" s="256" t="s">
        <v>465</v>
      </c>
      <c r="B316" s="255"/>
      <c r="C316" s="255"/>
      <c r="D316" s="255"/>
      <c r="E316" s="255"/>
      <c r="F316" s="255"/>
      <c r="G316" s="255"/>
      <c r="H316" s="255"/>
    </row>
    <row r="317" spans="1:8">
      <c r="A317" s="256" t="s">
        <v>466</v>
      </c>
      <c r="B317" s="255"/>
      <c r="C317" s="255"/>
      <c r="D317" s="255"/>
      <c r="E317" s="255"/>
      <c r="F317" s="255"/>
      <c r="G317" s="255"/>
      <c r="H317" s="255"/>
    </row>
    <row r="318" spans="1:8">
      <c r="A318" s="256" t="s">
        <v>467</v>
      </c>
      <c r="B318" s="255"/>
      <c r="C318" s="255"/>
      <c r="D318" s="255"/>
      <c r="E318" s="255"/>
      <c r="F318" s="255"/>
      <c r="G318" s="255"/>
      <c r="H318" s="255"/>
    </row>
    <row r="319" spans="1:8">
      <c r="A319" s="256" t="s">
        <v>468</v>
      </c>
      <c r="B319" s="255"/>
      <c r="C319" s="255"/>
      <c r="D319" s="255"/>
      <c r="E319" s="255"/>
      <c r="F319" s="255"/>
      <c r="G319" s="255"/>
      <c r="H319" s="255"/>
    </row>
    <row r="320" spans="1:8">
      <c r="A320" s="256" t="s">
        <v>469</v>
      </c>
      <c r="B320" s="255"/>
      <c r="C320" s="255"/>
      <c r="D320" s="255"/>
      <c r="E320" s="255"/>
      <c r="F320" s="255"/>
      <c r="G320" s="255"/>
      <c r="H320" s="255"/>
    </row>
    <row r="321" spans="1:8">
      <c r="A321" s="255"/>
      <c r="B321" s="255"/>
      <c r="C321" s="255"/>
      <c r="D321" s="255"/>
      <c r="E321" s="255"/>
      <c r="F321" s="255"/>
      <c r="G321" s="255"/>
      <c r="H321" s="255"/>
    </row>
    <row r="322" spans="1:8">
      <c r="A322" s="256" t="s">
        <v>427</v>
      </c>
      <c r="B322" s="255"/>
      <c r="C322" s="255"/>
      <c r="D322" s="255"/>
      <c r="E322" s="255"/>
      <c r="F322" s="255"/>
      <c r="G322" s="255"/>
      <c r="H322" s="255"/>
    </row>
    <row r="323" spans="1:8">
      <c r="A323" s="256" t="s">
        <v>428</v>
      </c>
      <c r="B323" s="255"/>
      <c r="C323" s="255"/>
      <c r="D323" s="255"/>
      <c r="E323" s="255"/>
      <c r="F323" s="255"/>
      <c r="G323" s="255"/>
      <c r="H323" s="255"/>
    </row>
    <row r="324" spans="1:8">
      <c r="A324" s="256" t="s">
        <v>429</v>
      </c>
      <c r="B324" s="255"/>
      <c r="C324" s="255"/>
      <c r="D324" s="255"/>
      <c r="E324" s="255"/>
      <c r="F324" s="255"/>
      <c r="G324" s="255"/>
      <c r="H324" s="255"/>
    </row>
    <row r="325" spans="1:8">
      <c r="A325" s="256" t="s">
        <v>430</v>
      </c>
      <c r="B325" s="255"/>
      <c r="C325" s="255"/>
      <c r="D325" s="255"/>
      <c r="E325" s="255"/>
      <c r="F325" s="255"/>
      <c r="G325" s="255"/>
      <c r="H325" s="255"/>
    </row>
    <row r="326" spans="1:8">
      <c r="A326" s="256" t="s">
        <v>431</v>
      </c>
      <c r="B326" s="255"/>
      <c r="C326" s="255"/>
      <c r="D326" s="255"/>
      <c r="E326" s="255"/>
      <c r="F326" s="255"/>
      <c r="G326" s="255"/>
      <c r="H326" s="255"/>
    </row>
    <row r="327" spans="1:8">
      <c r="A327" s="256" t="s">
        <v>432</v>
      </c>
      <c r="B327" s="255"/>
      <c r="C327" s="255"/>
      <c r="D327" s="255"/>
      <c r="E327" s="255"/>
      <c r="F327" s="255"/>
      <c r="G327" s="255"/>
      <c r="H327" s="255"/>
    </row>
    <row r="328" spans="1:8">
      <c r="A328" s="256" t="s">
        <v>433</v>
      </c>
      <c r="B328" s="255"/>
      <c r="C328" s="255"/>
      <c r="D328" s="255"/>
      <c r="E328" s="255"/>
      <c r="F328" s="255"/>
      <c r="G328" s="255"/>
      <c r="H328" s="255"/>
    </row>
    <row r="329" spans="1:8">
      <c r="A329" s="256" t="s">
        <v>434</v>
      </c>
      <c r="B329" s="255"/>
      <c r="C329" s="255"/>
      <c r="D329" s="255"/>
      <c r="E329" s="255"/>
      <c r="F329" s="255"/>
      <c r="G329" s="255"/>
      <c r="H329" s="255"/>
    </row>
    <row r="330" spans="1:8">
      <c r="A330" s="256" t="s">
        <v>435</v>
      </c>
      <c r="B330" s="255"/>
      <c r="C330" s="255"/>
      <c r="D330" s="255"/>
      <c r="E330" s="255"/>
      <c r="F330" s="255"/>
      <c r="G330" s="255"/>
      <c r="H330" s="255"/>
    </row>
    <row r="331" spans="1:8">
      <c r="A331" s="256" t="s">
        <v>436</v>
      </c>
      <c r="B331" s="255"/>
      <c r="C331" s="255"/>
      <c r="D331" s="255"/>
      <c r="E331" s="255"/>
      <c r="F331" s="255"/>
      <c r="G331" s="255"/>
      <c r="H331" s="255"/>
    </row>
    <row r="332" spans="1:8">
      <c r="A332" s="256" t="s">
        <v>437</v>
      </c>
      <c r="B332" s="255"/>
      <c r="C332" s="255"/>
      <c r="D332" s="255"/>
      <c r="E332" s="255"/>
      <c r="F332" s="255"/>
      <c r="G332" s="255"/>
      <c r="H332" s="255"/>
    </row>
    <row r="333" spans="1:8">
      <c r="A333" s="256" t="s">
        <v>438</v>
      </c>
      <c r="B333" s="255"/>
      <c r="C333" s="255"/>
      <c r="D333" s="255"/>
      <c r="E333" s="255"/>
      <c r="F333" s="255"/>
      <c r="G333" s="255"/>
      <c r="H333" s="255"/>
    </row>
    <row r="334" spans="1:8">
      <c r="A334" s="256" t="s">
        <v>439</v>
      </c>
      <c r="B334" s="255"/>
      <c r="C334" s="255"/>
      <c r="D334" s="255"/>
      <c r="E334" s="255"/>
      <c r="F334" s="255"/>
      <c r="G334" s="255"/>
      <c r="H334" s="255"/>
    </row>
    <row r="335" spans="1:8">
      <c r="A335" s="256" t="s">
        <v>440</v>
      </c>
      <c r="B335" s="255"/>
      <c r="C335" s="255"/>
      <c r="D335" s="255"/>
      <c r="E335" s="255"/>
      <c r="F335" s="255"/>
      <c r="G335" s="255"/>
      <c r="H335" s="255"/>
    </row>
    <row r="336" spans="1:8">
      <c r="A336" s="256" t="s">
        <v>441</v>
      </c>
      <c r="B336" s="255"/>
      <c r="C336" s="255"/>
      <c r="D336" s="255"/>
      <c r="E336" s="255"/>
      <c r="F336" s="255"/>
      <c r="G336" s="255"/>
      <c r="H336" s="255"/>
    </row>
    <row r="337" spans="1:8">
      <c r="A337" s="256" t="s">
        <v>442</v>
      </c>
      <c r="B337" s="255"/>
      <c r="C337" s="255"/>
      <c r="D337" s="255"/>
      <c r="E337" s="255"/>
      <c r="F337" s="255"/>
      <c r="G337" s="255"/>
      <c r="H337" s="255"/>
    </row>
    <row r="338" spans="1:8">
      <c r="A338" s="256" t="s">
        <v>443</v>
      </c>
      <c r="B338" s="255"/>
      <c r="C338" s="255"/>
      <c r="D338" s="255"/>
      <c r="E338" s="255"/>
      <c r="F338" s="255"/>
      <c r="G338" s="255"/>
      <c r="H338" s="255"/>
    </row>
    <row r="339" spans="1:8">
      <c r="A339" s="256" t="s">
        <v>444</v>
      </c>
      <c r="B339" s="255"/>
      <c r="C339" s="255"/>
      <c r="D339" s="255"/>
      <c r="E339" s="255"/>
      <c r="F339" s="255"/>
      <c r="G339" s="255"/>
      <c r="H339" s="255"/>
    </row>
    <row r="340" spans="1:8">
      <c r="A340" s="256" t="s">
        <v>445</v>
      </c>
      <c r="B340" s="255"/>
      <c r="C340" s="255"/>
      <c r="D340" s="255"/>
      <c r="E340" s="255"/>
      <c r="F340" s="255"/>
      <c r="G340" s="255"/>
      <c r="H340" s="255"/>
    </row>
    <row r="341" spans="1:8">
      <c r="A341" s="256" t="s">
        <v>446</v>
      </c>
      <c r="B341" s="255"/>
      <c r="C341" s="255"/>
      <c r="D341" s="255"/>
      <c r="E341" s="255"/>
      <c r="F341" s="255"/>
      <c r="G341" s="255"/>
      <c r="H341" s="255"/>
    </row>
    <row r="342" spans="1:8">
      <c r="A342" s="256" t="s">
        <v>447</v>
      </c>
      <c r="B342" s="255"/>
      <c r="C342" s="255"/>
      <c r="D342" s="255"/>
      <c r="E342" s="255"/>
      <c r="F342" s="255"/>
      <c r="G342" s="255"/>
      <c r="H342" s="255"/>
    </row>
    <row r="343" spans="1:8">
      <c r="A343" s="256" t="s">
        <v>448</v>
      </c>
      <c r="B343" s="255"/>
      <c r="C343" s="255"/>
      <c r="D343" s="255"/>
      <c r="E343" s="255"/>
      <c r="F343" s="255"/>
      <c r="G343" s="255"/>
      <c r="H343" s="255"/>
    </row>
    <row r="344" spans="1:8">
      <c r="A344" s="256" t="s">
        <v>449</v>
      </c>
      <c r="B344" s="255"/>
      <c r="C344" s="255"/>
      <c r="D344" s="255"/>
      <c r="E344" s="255"/>
      <c r="F344" s="255"/>
      <c r="G344" s="255"/>
      <c r="H344" s="255"/>
    </row>
    <row r="345" spans="1:8">
      <c r="A345" s="256" t="s">
        <v>450</v>
      </c>
      <c r="B345" s="255"/>
      <c r="C345" s="255"/>
      <c r="D345" s="255"/>
      <c r="E345" s="255"/>
      <c r="F345" s="255"/>
      <c r="G345" s="255"/>
      <c r="H345" s="255"/>
    </row>
    <row r="346" spans="1:8">
      <c r="A346" s="256" t="s">
        <v>451</v>
      </c>
      <c r="B346" s="255"/>
      <c r="C346" s="255"/>
      <c r="D346" s="255"/>
      <c r="E346" s="255"/>
      <c r="F346" s="255"/>
      <c r="G346" s="255"/>
      <c r="H346" s="255"/>
    </row>
    <row r="347" spans="1:8">
      <c r="A347" s="256" t="s">
        <v>452</v>
      </c>
      <c r="B347" s="255"/>
      <c r="C347" s="255"/>
      <c r="D347" s="255"/>
      <c r="E347" s="255"/>
      <c r="F347" s="255"/>
      <c r="G347" s="255"/>
      <c r="H347" s="255"/>
    </row>
    <row r="348" spans="1:8">
      <c r="A348" s="256" t="s">
        <v>453</v>
      </c>
      <c r="B348" s="255"/>
      <c r="C348" s="255"/>
      <c r="D348" s="255"/>
      <c r="E348" s="255"/>
      <c r="F348" s="255"/>
      <c r="G348" s="255"/>
      <c r="H348" s="255"/>
    </row>
    <row r="349" spans="1:8">
      <c r="A349" s="256" t="s">
        <v>454</v>
      </c>
      <c r="B349" s="255"/>
      <c r="C349" s="255"/>
      <c r="D349" s="255"/>
      <c r="E349" s="255"/>
      <c r="F349" s="255"/>
      <c r="G349" s="255"/>
      <c r="H349" s="255"/>
    </row>
    <row r="350" spans="1:8">
      <c r="A350" s="256" t="s">
        <v>455</v>
      </c>
      <c r="B350" s="255"/>
      <c r="C350" s="255"/>
      <c r="D350" s="255"/>
      <c r="E350" s="255"/>
      <c r="F350" s="255"/>
      <c r="G350" s="255"/>
      <c r="H350" s="255"/>
    </row>
    <row r="351" spans="1:8">
      <c r="A351" s="256" t="s">
        <v>456</v>
      </c>
      <c r="B351" s="255"/>
      <c r="C351" s="255"/>
      <c r="D351" s="255"/>
      <c r="E351" s="255"/>
      <c r="F351" s="255"/>
      <c r="G351" s="255"/>
      <c r="H351" s="255"/>
    </row>
    <row r="352" spans="1:8">
      <c r="A352" s="256" t="s">
        <v>457</v>
      </c>
      <c r="B352" s="255"/>
      <c r="C352" s="255"/>
      <c r="D352" s="255"/>
      <c r="E352" s="255"/>
      <c r="F352" s="255"/>
      <c r="G352" s="255"/>
      <c r="H352" s="255"/>
    </row>
    <row r="353" spans="1:8">
      <c r="A353" s="256" t="s">
        <v>458</v>
      </c>
      <c r="B353" s="255"/>
      <c r="C353" s="255"/>
      <c r="D353" s="255"/>
      <c r="E353" s="255"/>
      <c r="F353" s="255"/>
      <c r="G353" s="255"/>
      <c r="H353" s="255"/>
    </row>
    <row r="354" spans="1:8">
      <c r="A354" s="256" t="s">
        <v>459</v>
      </c>
      <c r="B354" s="255"/>
      <c r="C354" s="255"/>
      <c r="D354" s="255"/>
      <c r="E354" s="255"/>
      <c r="F354" s="255"/>
      <c r="G354" s="255"/>
      <c r="H354" s="255"/>
    </row>
    <row r="355" spans="1:8">
      <c r="A355" s="256" t="s">
        <v>460</v>
      </c>
      <c r="B355" s="255"/>
      <c r="C355" s="255"/>
      <c r="D355" s="255"/>
      <c r="E355" s="255"/>
      <c r="F355" s="255"/>
      <c r="G355" s="255"/>
      <c r="H355" s="255"/>
    </row>
    <row r="356" spans="1:8">
      <c r="A356" s="256" t="s">
        <v>461</v>
      </c>
      <c r="B356" s="255"/>
      <c r="C356" s="255"/>
      <c r="D356" s="255"/>
      <c r="E356" s="255"/>
      <c r="F356" s="255"/>
      <c r="G356" s="255"/>
      <c r="H356" s="255"/>
    </row>
    <row r="357" spans="1:8">
      <c r="A357" s="255"/>
      <c r="B357" s="255"/>
      <c r="C357" s="255"/>
      <c r="D357" s="255"/>
      <c r="E357" s="255"/>
      <c r="F357" s="255"/>
      <c r="G357" s="255"/>
      <c r="H357" s="255"/>
    </row>
    <row r="358" spans="1:8">
      <c r="A358" s="256" t="s">
        <v>419</v>
      </c>
      <c r="B358" s="255"/>
      <c r="C358" s="255"/>
      <c r="D358" s="255"/>
      <c r="E358" s="255"/>
      <c r="F358" s="255"/>
      <c r="G358" s="255"/>
      <c r="H358" s="255"/>
    </row>
    <row r="359" spans="1:8">
      <c r="A359" s="256" t="s">
        <v>423</v>
      </c>
      <c r="B359" s="255"/>
      <c r="C359" s="255"/>
      <c r="D359" s="255"/>
      <c r="E359" s="255"/>
      <c r="F359" s="255"/>
      <c r="G359" s="255"/>
      <c r="H359" s="255"/>
    </row>
    <row r="360" spans="1:8">
      <c r="A360" s="256" t="s">
        <v>424</v>
      </c>
      <c r="B360" s="255"/>
      <c r="C360" s="255"/>
      <c r="D360" s="255"/>
      <c r="E360" s="255"/>
      <c r="F360" s="255"/>
      <c r="G360" s="255"/>
      <c r="H360" s="255"/>
    </row>
    <row r="361" spans="1:8">
      <c r="A361" s="256" t="s">
        <v>425</v>
      </c>
      <c r="B361" s="255"/>
      <c r="C361" s="255"/>
      <c r="D361" s="255"/>
      <c r="E361" s="255"/>
      <c r="F361" s="255"/>
      <c r="G361" s="255"/>
      <c r="H361" s="255"/>
    </row>
    <row r="362" spans="1:8">
      <c r="A362" s="256" t="s">
        <v>426</v>
      </c>
      <c r="B362" s="255"/>
      <c r="C362" s="255"/>
      <c r="D362" s="255"/>
      <c r="E362" s="255"/>
      <c r="F362" s="255"/>
      <c r="G362" s="255"/>
      <c r="H362" s="255"/>
    </row>
    <row r="363" spans="1:8">
      <c r="A363" s="255"/>
      <c r="B363" s="255"/>
      <c r="C363" s="255"/>
      <c r="D363" s="255"/>
      <c r="E363" s="255"/>
      <c r="F363" s="255"/>
      <c r="G363" s="255"/>
      <c r="H363" s="255"/>
    </row>
    <row r="364" spans="1:8">
      <c r="A364" s="256" t="s">
        <v>419</v>
      </c>
      <c r="B364" s="255"/>
      <c r="C364" s="255"/>
      <c r="D364" s="255"/>
      <c r="E364" s="255"/>
      <c r="F364" s="255"/>
      <c r="G364" s="255"/>
      <c r="H364" s="255"/>
    </row>
    <row r="365" spans="1:8">
      <c r="A365" s="256" t="s">
        <v>420</v>
      </c>
      <c r="B365" s="255"/>
      <c r="C365" s="255"/>
      <c r="D365" s="255"/>
      <c r="E365" s="255"/>
      <c r="F365" s="255"/>
      <c r="G365" s="255"/>
      <c r="H365" s="255"/>
    </row>
    <row r="366" spans="1:8">
      <c r="A366" s="256" t="s">
        <v>421</v>
      </c>
      <c r="B366" s="255"/>
      <c r="C366" s="255"/>
      <c r="D366" s="255"/>
      <c r="E366" s="255"/>
      <c r="F366" s="255"/>
      <c r="G366" s="255"/>
      <c r="H366" s="255"/>
    </row>
    <row r="367" spans="1:8">
      <c r="A367" s="256" t="s">
        <v>422</v>
      </c>
      <c r="B367" s="255"/>
      <c r="C367" s="255"/>
      <c r="D367" s="255"/>
      <c r="E367" s="255"/>
      <c r="F367" s="255"/>
      <c r="G367" s="255"/>
      <c r="H367" s="255"/>
    </row>
    <row r="368" spans="1:8">
      <c r="A368" s="255"/>
      <c r="B368" s="255"/>
      <c r="C368" s="255"/>
      <c r="D368" s="255"/>
      <c r="E368" s="255"/>
      <c r="F368" s="255"/>
      <c r="G368" s="255"/>
      <c r="H368" s="255"/>
    </row>
    <row r="369" spans="1:8">
      <c r="A369" s="256" t="s">
        <v>413</v>
      </c>
      <c r="B369" s="255"/>
      <c r="C369" s="255"/>
      <c r="D369" s="255"/>
      <c r="E369" s="255"/>
      <c r="F369" s="255"/>
      <c r="G369" s="255"/>
      <c r="H369" s="255"/>
    </row>
    <row r="370" spans="1:8">
      <c r="A370" s="256" t="s">
        <v>414</v>
      </c>
      <c r="B370" s="255"/>
      <c r="C370" s="255"/>
      <c r="D370" s="255"/>
      <c r="E370" s="255"/>
      <c r="F370" s="255"/>
      <c r="G370" s="255"/>
      <c r="H370" s="255"/>
    </row>
    <row r="371" spans="1:8">
      <c r="A371" s="256" t="s">
        <v>415</v>
      </c>
      <c r="B371" s="255"/>
      <c r="C371" s="255"/>
      <c r="D371" s="255"/>
      <c r="E371" s="255"/>
      <c r="F371" s="255"/>
      <c r="G371" s="255"/>
      <c r="H371" s="255"/>
    </row>
    <row r="372" spans="1:8">
      <c r="A372" s="256" t="s">
        <v>416</v>
      </c>
      <c r="B372" s="255"/>
      <c r="C372" s="255"/>
      <c r="D372" s="255"/>
      <c r="E372" s="255"/>
      <c r="F372" s="255"/>
      <c r="G372" s="255"/>
      <c r="H372" s="255"/>
    </row>
    <row r="373" spans="1:8">
      <c r="A373" s="256" t="s">
        <v>417</v>
      </c>
      <c r="B373" s="255"/>
      <c r="C373" s="255"/>
      <c r="D373" s="255"/>
      <c r="E373" s="255"/>
      <c r="F373" s="255"/>
      <c r="G373" s="255"/>
      <c r="H373" s="255"/>
    </row>
    <row r="374" spans="1:8">
      <c r="A374" s="256" t="s">
        <v>418</v>
      </c>
      <c r="B374" s="255"/>
      <c r="C374" s="255"/>
      <c r="D374" s="255"/>
      <c r="E374" s="255"/>
      <c r="F374" s="255"/>
      <c r="G374" s="255"/>
      <c r="H374" s="255"/>
    </row>
    <row r="375" spans="1:8">
      <c r="A375" s="255"/>
      <c r="B375" s="255"/>
      <c r="C375" s="255"/>
      <c r="D375" s="255"/>
      <c r="E375" s="255"/>
      <c r="F375" s="255"/>
      <c r="G375" s="255"/>
      <c r="H375" s="255"/>
    </row>
    <row r="376" spans="1:8">
      <c r="A376" s="256" t="s">
        <v>408</v>
      </c>
      <c r="B376" s="255"/>
      <c r="C376" s="255"/>
      <c r="D376" s="255"/>
      <c r="E376" s="255"/>
      <c r="F376" s="255"/>
      <c r="G376" s="255"/>
      <c r="H376" s="255"/>
    </row>
    <row r="377" spans="1:8">
      <c r="A377" s="256" t="s">
        <v>409</v>
      </c>
      <c r="B377" s="255"/>
      <c r="C377" s="255"/>
      <c r="D377" s="255"/>
      <c r="E377" s="255"/>
      <c r="F377" s="255"/>
      <c r="G377" s="255"/>
      <c r="H377" s="255"/>
    </row>
    <row r="378" spans="1:8">
      <c r="A378" s="256" t="s">
        <v>410</v>
      </c>
      <c r="B378" s="255"/>
      <c r="C378" s="255"/>
      <c r="D378" s="255"/>
      <c r="E378" s="255"/>
      <c r="F378" s="255"/>
      <c r="G378" s="255"/>
      <c r="H378" s="255"/>
    </row>
    <row r="379" spans="1:8">
      <c r="A379" s="256" t="s">
        <v>411</v>
      </c>
      <c r="B379" s="255"/>
      <c r="C379" s="255"/>
      <c r="D379" s="255"/>
      <c r="E379" s="255"/>
      <c r="F379" s="255"/>
      <c r="G379" s="255"/>
      <c r="H379" s="255"/>
    </row>
    <row r="380" spans="1:8">
      <c r="A380" s="256" t="s">
        <v>412</v>
      </c>
      <c r="B380" s="255"/>
      <c r="C380" s="255"/>
      <c r="D380" s="255"/>
      <c r="E380" s="255"/>
      <c r="F380" s="255"/>
      <c r="G380" s="255"/>
      <c r="H380" s="255"/>
    </row>
    <row r="381" spans="1:8">
      <c r="A381" s="255"/>
      <c r="B381" s="255"/>
      <c r="C381" s="255"/>
      <c r="D381" s="255"/>
      <c r="E381" s="255"/>
      <c r="F381" s="255"/>
      <c r="G381" s="255"/>
      <c r="H381" s="255"/>
    </row>
    <row r="382" spans="1:8">
      <c r="A382" s="256" t="s">
        <v>406</v>
      </c>
      <c r="B382" s="255"/>
      <c r="C382" s="255"/>
      <c r="D382" s="255"/>
      <c r="E382" s="255"/>
      <c r="F382" s="255"/>
      <c r="G382" s="255"/>
      <c r="H382" s="255"/>
    </row>
    <row r="383" spans="1:8">
      <c r="A383" s="256" t="s">
        <v>407</v>
      </c>
      <c r="B383" s="255"/>
      <c r="C383" s="255"/>
      <c r="D383" s="255"/>
      <c r="E383" s="255"/>
      <c r="F383" s="255"/>
      <c r="G383" s="255"/>
      <c r="H383" s="255"/>
    </row>
    <row r="385" spans="1:1">
      <c r="A385" s="251" t="s">
        <v>659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CN429"/>
  <sheetViews>
    <sheetView showGridLines="0" zoomScale="115" zoomScaleNormal="115" zoomScaleSheetLayoutView="115" workbookViewId="0">
      <pane xSplit="2" ySplit="7" topLeftCell="J8" activePane="bottomRight" state="frozen"/>
      <selection activeCell="E55" sqref="E55"/>
      <selection pane="topRight" activeCell="E55" sqref="E55"/>
      <selection pane="bottomLeft" activeCell="E55" sqref="E55"/>
      <selection pane="bottomRight" activeCell="J8" sqref="J8"/>
    </sheetView>
  </sheetViews>
  <sheetFormatPr defaultColWidth="10.1640625" defaultRowHeight="11.25" outlineLevelRow="2" outlineLevelCol="1"/>
  <cols>
    <col min="1" max="1" width="2" customWidth="1"/>
    <col min="2" max="2" width="33.83203125" customWidth="1"/>
    <col min="3" max="4" width="10.1640625" hidden="1" customWidth="1" outlineLevel="1"/>
    <col min="5" max="5" width="9" hidden="1" customWidth="1" outlineLevel="1" collapsed="1"/>
    <col min="6" max="9" width="9" hidden="1" customWidth="1" outlineLevel="1"/>
    <col min="10" max="10" width="9.5" customWidth="1" collapsed="1"/>
    <col min="11" max="16" width="9" customWidth="1"/>
    <col min="17" max="17" width="8.6640625" customWidth="1"/>
    <col min="18" max="37" width="9" hidden="1" customWidth="1" outlineLevel="1"/>
    <col min="38" max="38" width="9" hidden="1" customWidth="1" outlineLevel="1" collapsed="1"/>
    <col min="39" max="41" width="9" hidden="1" customWidth="1" outlineLevel="1"/>
    <col min="42" max="42" width="9" hidden="1" customWidth="1" outlineLevel="1" collapsed="1"/>
    <col min="43" max="45" width="9" hidden="1" customWidth="1" outlineLevel="1"/>
    <col min="46" max="46" width="9" hidden="1" customWidth="1" outlineLevel="1" collapsed="1"/>
    <col min="47" max="52" width="9" hidden="1" customWidth="1" outlineLevel="1"/>
    <col min="53" max="54" width="9" hidden="1" customWidth="1" outlineLevel="1" collapsed="1"/>
    <col min="55" max="57" width="9" hidden="1" customWidth="1" outlineLevel="1"/>
    <col min="58" max="58" width="9" customWidth="1" collapsed="1"/>
    <col min="59" max="73" width="9" customWidth="1"/>
    <col min="74" max="75" width="10.1640625" customWidth="1"/>
    <col min="76" max="76" width="7.33203125" hidden="1" customWidth="1" outlineLevel="1"/>
    <col min="77" max="77" width="30.83203125" hidden="1" customWidth="1" outlineLevel="1"/>
    <col min="78" max="82" width="10.1640625" hidden="1" customWidth="1" outlineLevel="1"/>
    <col min="83" max="83" width="10.1640625" customWidth="1" collapsed="1"/>
    <col min="84" max="257" width="10.1640625" customWidth="1"/>
  </cols>
  <sheetData>
    <row r="1" spans="1:92" ht="15.75">
      <c r="A1" s="179"/>
      <c r="B1" s="178" t="s">
        <v>291</v>
      </c>
      <c r="C1" s="177">
        <f t="shared" ref="C1:P1" si="0">C43</f>
        <v>0</v>
      </c>
      <c r="D1" s="177">
        <f t="shared" si="0"/>
        <v>0</v>
      </c>
      <c r="E1" s="177">
        <f t="shared" si="0"/>
        <v>0</v>
      </c>
      <c r="F1" s="177">
        <f t="shared" si="0"/>
        <v>0</v>
      </c>
      <c r="G1" s="177">
        <f t="shared" si="0"/>
        <v>0</v>
      </c>
      <c r="H1" s="177">
        <f t="shared" si="0"/>
        <v>0</v>
      </c>
      <c r="I1" s="177">
        <f t="shared" si="0"/>
        <v>0</v>
      </c>
      <c r="J1" s="177">
        <f t="shared" si="0"/>
        <v>-0.1896124331724825</v>
      </c>
      <c r="K1" s="177">
        <f t="shared" si="0"/>
        <v>-0.50389781344779716</v>
      </c>
      <c r="L1" s="177">
        <f t="shared" si="0"/>
        <v>-1.4257235383807001</v>
      </c>
      <c r="M1" s="177">
        <f t="shared" si="0"/>
        <v>-2.8089983331694092E-3</v>
      </c>
      <c r="N1" s="177">
        <f t="shared" si="0"/>
        <v>1.1883449312917915</v>
      </c>
      <c r="O1" s="177">
        <f t="shared" si="0"/>
        <v>1.9484235611402425</v>
      </c>
      <c r="P1" s="177">
        <f t="shared" si="0"/>
        <v>2.3325720025190724</v>
      </c>
      <c r="Q1" s="163"/>
      <c r="R1" s="177">
        <f t="shared" ref="R1:AW1" si="1">R43</f>
        <v>0</v>
      </c>
      <c r="S1" s="177">
        <f t="shared" si="1"/>
        <v>0</v>
      </c>
      <c r="T1" s="177">
        <f t="shared" si="1"/>
        <v>0</v>
      </c>
      <c r="U1" s="177">
        <f t="shared" si="1"/>
        <v>0</v>
      </c>
      <c r="V1" s="177">
        <f t="shared" si="1"/>
        <v>0</v>
      </c>
      <c r="W1" s="177">
        <f t="shared" si="1"/>
        <v>0</v>
      </c>
      <c r="X1" s="177">
        <f t="shared" si="1"/>
        <v>0</v>
      </c>
      <c r="Y1" s="177">
        <f t="shared" si="1"/>
        <v>0</v>
      </c>
      <c r="Z1" s="177">
        <f t="shared" si="1"/>
        <v>0</v>
      </c>
      <c r="AA1" s="177">
        <f t="shared" si="1"/>
        <v>0</v>
      </c>
      <c r="AB1" s="177">
        <f t="shared" si="1"/>
        <v>0</v>
      </c>
      <c r="AC1" s="177">
        <f t="shared" si="1"/>
        <v>0</v>
      </c>
      <c r="AD1" s="177">
        <f t="shared" si="1"/>
        <v>0</v>
      </c>
      <c r="AE1" s="177">
        <f t="shared" si="1"/>
        <v>0</v>
      </c>
      <c r="AF1" s="177">
        <f t="shared" si="1"/>
        <v>0</v>
      </c>
      <c r="AG1" s="177">
        <f t="shared" si="1"/>
        <v>0</v>
      </c>
      <c r="AH1" s="177">
        <f t="shared" si="1"/>
        <v>0</v>
      </c>
      <c r="AI1" s="177">
        <f t="shared" si="1"/>
        <v>0</v>
      </c>
      <c r="AJ1" s="177">
        <f t="shared" si="1"/>
        <v>0</v>
      </c>
      <c r="AK1" s="177">
        <f t="shared" si="1"/>
        <v>0</v>
      </c>
      <c r="AL1" s="177">
        <f t="shared" si="1"/>
        <v>0</v>
      </c>
      <c r="AM1" s="177">
        <f t="shared" si="1"/>
        <v>0</v>
      </c>
      <c r="AN1" s="177">
        <f t="shared" si="1"/>
        <v>0</v>
      </c>
      <c r="AO1" s="177">
        <f t="shared" si="1"/>
        <v>0</v>
      </c>
      <c r="AP1" s="177">
        <f t="shared" si="1"/>
        <v>0</v>
      </c>
      <c r="AQ1" s="177">
        <f t="shared" si="1"/>
        <v>0</v>
      </c>
      <c r="AR1" s="177">
        <f t="shared" si="1"/>
        <v>0</v>
      </c>
      <c r="AS1" s="177">
        <f t="shared" si="1"/>
        <v>0</v>
      </c>
      <c r="AT1" s="177">
        <f t="shared" si="1"/>
        <v>0</v>
      </c>
      <c r="AU1" s="177">
        <f t="shared" si="1"/>
        <v>0</v>
      </c>
      <c r="AV1" s="177">
        <f t="shared" si="1"/>
        <v>0</v>
      </c>
      <c r="AW1" s="177">
        <f t="shared" si="1"/>
        <v>0</v>
      </c>
      <c r="AX1" s="177">
        <f t="shared" ref="AX1:BU1" si="2">AX43</f>
        <v>0</v>
      </c>
      <c r="AY1" s="177">
        <f t="shared" si="2"/>
        <v>0</v>
      </c>
      <c r="AZ1" s="177">
        <f t="shared" si="2"/>
        <v>0</v>
      </c>
      <c r="BA1" s="177">
        <f t="shared" si="2"/>
        <v>0</v>
      </c>
      <c r="BB1" s="177">
        <f t="shared" si="2"/>
        <v>-0.21605946413068514</v>
      </c>
      <c r="BC1" s="177">
        <f t="shared" si="2"/>
        <v>-0.3320086506351585</v>
      </c>
      <c r="BD1" s="177">
        <f t="shared" si="2"/>
        <v>-0.51077939825883367</v>
      </c>
      <c r="BE1" s="177">
        <f t="shared" si="2"/>
        <v>-0.36687602535602298</v>
      </c>
      <c r="BF1" s="177">
        <f t="shared" si="2"/>
        <v>-0.3336083795249144</v>
      </c>
      <c r="BG1" s="177">
        <f t="shared" si="2"/>
        <v>-0.10591867045906807</v>
      </c>
      <c r="BH1" s="177">
        <f t="shared" si="2"/>
        <v>0.11784707619345884</v>
      </c>
      <c r="BI1" s="177">
        <f t="shared" si="2"/>
        <v>0.28330154931342028</v>
      </c>
      <c r="BJ1" s="177">
        <f t="shared" si="2"/>
        <v>0.14917826269616477</v>
      </c>
      <c r="BK1" s="177">
        <f t="shared" si="2"/>
        <v>0.29982729759705035</v>
      </c>
      <c r="BL1" s="177">
        <f t="shared" si="2"/>
        <v>0.33925636923428115</v>
      </c>
      <c r="BM1" s="177">
        <f t="shared" si="2"/>
        <v>0.4000830017642949</v>
      </c>
      <c r="BN1" s="177">
        <f t="shared" si="2"/>
        <v>0.45291765315548482</v>
      </c>
      <c r="BO1" s="177">
        <f t="shared" si="2"/>
        <v>0.48163755010408099</v>
      </c>
      <c r="BP1" s="177">
        <f t="shared" si="2"/>
        <v>0.49853489106350884</v>
      </c>
      <c r="BQ1" s="177">
        <f t="shared" si="2"/>
        <v>0.5153334668171673</v>
      </c>
      <c r="BR1" s="177">
        <f t="shared" si="2"/>
        <v>0.54198515560125171</v>
      </c>
      <c r="BS1" s="177">
        <f t="shared" si="2"/>
        <v>0.57853364543672159</v>
      </c>
      <c r="BT1" s="177">
        <f t="shared" si="2"/>
        <v>0.59781959310151778</v>
      </c>
      <c r="BU1" s="177">
        <f t="shared" si="2"/>
        <v>0.61423360837958141</v>
      </c>
      <c r="BX1" s="221"/>
    </row>
    <row r="2" spans="1:92">
      <c r="A2" s="174"/>
      <c r="B2" s="176" t="s">
        <v>290</v>
      </c>
      <c r="C2" s="172"/>
      <c r="D2" s="172"/>
      <c r="E2" s="172"/>
      <c r="F2" s="172"/>
      <c r="G2" s="175">
        <f t="shared" ref="G2:P2" si="3">MIN(G186,0)</f>
        <v>0</v>
      </c>
      <c r="H2" s="175">
        <f t="shared" si="3"/>
        <v>0</v>
      </c>
      <c r="I2" s="175">
        <f t="shared" si="3"/>
        <v>0</v>
      </c>
      <c r="J2" s="175">
        <f t="shared" si="3"/>
        <v>0</v>
      </c>
      <c r="K2" s="175">
        <f t="shared" si="3"/>
        <v>0</v>
      </c>
      <c r="L2" s="175">
        <f t="shared" si="3"/>
        <v>0</v>
      </c>
      <c r="M2" s="175">
        <f t="shared" si="3"/>
        <v>0</v>
      </c>
      <c r="N2" s="175">
        <f t="shared" si="3"/>
        <v>0</v>
      </c>
      <c r="O2" s="175">
        <f t="shared" si="3"/>
        <v>0</v>
      </c>
      <c r="P2" s="175">
        <f t="shared" si="3"/>
        <v>0</v>
      </c>
      <c r="Q2" s="175"/>
      <c r="R2" s="175">
        <f t="shared" ref="R2:AW2" si="4">MIN(R186,0)</f>
        <v>0</v>
      </c>
      <c r="S2" s="175">
        <f t="shared" si="4"/>
        <v>0</v>
      </c>
      <c r="T2" s="175">
        <f t="shared" si="4"/>
        <v>0</v>
      </c>
      <c r="U2" s="175">
        <f t="shared" si="4"/>
        <v>0</v>
      </c>
      <c r="V2" s="175">
        <f t="shared" si="4"/>
        <v>0</v>
      </c>
      <c r="W2" s="175">
        <f t="shared" si="4"/>
        <v>0</v>
      </c>
      <c r="X2" s="175">
        <f t="shared" si="4"/>
        <v>0</v>
      </c>
      <c r="Y2" s="175">
        <f t="shared" si="4"/>
        <v>0</v>
      </c>
      <c r="Z2" s="175">
        <f t="shared" si="4"/>
        <v>0</v>
      </c>
      <c r="AA2" s="175">
        <f t="shared" si="4"/>
        <v>0</v>
      </c>
      <c r="AB2" s="175">
        <f t="shared" si="4"/>
        <v>0</v>
      </c>
      <c r="AC2" s="175">
        <f t="shared" si="4"/>
        <v>0</v>
      </c>
      <c r="AD2" s="175">
        <f t="shared" si="4"/>
        <v>0</v>
      </c>
      <c r="AE2" s="175">
        <f t="shared" si="4"/>
        <v>0</v>
      </c>
      <c r="AF2" s="175">
        <f t="shared" si="4"/>
        <v>0</v>
      </c>
      <c r="AG2" s="175">
        <f t="shared" si="4"/>
        <v>0</v>
      </c>
      <c r="AH2" s="175">
        <f t="shared" si="4"/>
        <v>0</v>
      </c>
      <c r="AI2" s="175">
        <f t="shared" si="4"/>
        <v>0</v>
      </c>
      <c r="AJ2" s="175">
        <f t="shared" si="4"/>
        <v>0</v>
      </c>
      <c r="AK2" s="175">
        <f t="shared" si="4"/>
        <v>0</v>
      </c>
      <c r="AL2" s="175">
        <f t="shared" si="4"/>
        <v>0</v>
      </c>
      <c r="AM2" s="175">
        <f t="shared" si="4"/>
        <v>0</v>
      </c>
      <c r="AN2" s="175">
        <f t="shared" si="4"/>
        <v>0</v>
      </c>
      <c r="AO2" s="175">
        <f t="shared" si="4"/>
        <v>0</v>
      </c>
      <c r="AP2" s="175">
        <f t="shared" si="4"/>
        <v>0</v>
      </c>
      <c r="AQ2" s="175">
        <f t="shared" si="4"/>
        <v>0</v>
      </c>
      <c r="AR2" s="175">
        <f t="shared" si="4"/>
        <v>0</v>
      </c>
      <c r="AS2" s="175">
        <f t="shared" si="4"/>
        <v>0</v>
      </c>
      <c r="AT2" s="175">
        <f t="shared" si="4"/>
        <v>0</v>
      </c>
      <c r="AU2" s="175">
        <f t="shared" si="4"/>
        <v>0</v>
      </c>
      <c r="AV2" s="175">
        <f t="shared" si="4"/>
        <v>0</v>
      </c>
      <c r="AW2" s="175">
        <f t="shared" si="4"/>
        <v>0</v>
      </c>
      <c r="AX2" s="175">
        <f t="shared" ref="AX2:BU2" si="5">MIN(AX186,0)</f>
        <v>0</v>
      </c>
      <c r="AY2" s="175">
        <f t="shared" si="5"/>
        <v>0</v>
      </c>
      <c r="AZ2" s="175">
        <f t="shared" si="5"/>
        <v>0</v>
      </c>
      <c r="BA2" s="175">
        <f t="shared" si="5"/>
        <v>0</v>
      </c>
      <c r="BB2" s="175">
        <f t="shared" si="5"/>
        <v>0</v>
      </c>
      <c r="BC2" s="175">
        <f t="shared" si="5"/>
        <v>0</v>
      </c>
      <c r="BD2" s="175">
        <f t="shared" si="5"/>
        <v>0</v>
      </c>
      <c r="BE2" s="175">
        <f t="shared" si="5"/>
        <v>0</v>
      </c>
      <c r="BF2" s="175">
        <f t="shared" si="5"/>
        <v>0</v>
      </c>
      <c r="BG2" s="175">
        <f t="shared" si="5"/>
        <v>0</v>
      </c>
      <c r="BH2" s="175">
        <f t="shared" si="5"/>
        <v>0</v>
      </c>
      <c r="BI2" s="175">
        <f t="shared" si="5"/>
        <v>0</v>
      </c>
      <c r="BJ2" s="175">
        <f t="shared" si="5"/>
        <v>0</v>
      </c>
      <c r="BK2" s="175">
        <f t="shared" si="5"/>
        <v>0</v>
      </c>
      <c r="BL2" s="175">
        <f t="shared" si="5"/>
        <v>0</v>
      </c>
      <c r="BM2" s="175">
        <f t="shared" si="5"/>
        <v>0</v>
      </c>
      <c r="BN2" s="175">
        <f t="shared" si="5"/>
        <v>0</v>
      </c>
      <c r="BO2" s="175">
        <f t="shared" si="5"/>
        <v>0</v>
      </c>
      <c r="BP2" s="175">
        <f t="shared" si="5"/>
        <v>0</v>
      </c>
      <c r="BQ2" s="175">
        <f t="shared" si="5"/>
        <v>0</v>
      </c>
      <c r="BR2" s="175">
        <f t="shared" si="5"/>
        <v>0</v>
      </c>
      <c r="BS2" s="175">
        <f t="shared" si="5"/>
        <v>0</v>
      </c>
      <c r="BT2" s="175">
        <f t="shared" si="5"/>
        <v>0</v>
      </c>
      <c r="BU2" s="175">
        <f t="shared" si="5"/>
        <v>0</v>
      </c>
      <c r="BX2" s="221"/>
    </row>
    <row r="3" spans="1:92" ht="12.75">
      <c r="A3" s="174"/>
      <c r="B3" s="173"/>
      <c r="C3" s="172"/>
      <c r="D3" s="172"/>
      <c r="E3" s="172"/>
      <c r="F3" s="172"/>
      <c r="G3" s="172"/>
      <c r="H3" s="150"/>
      <c r="I3" s="150"/>
      <c r="J3" s="150"/>
      <c r="K3" s="150"/>
      <c r="L3" s="150"/>
      <c r="M3" s="150"/>
      <c r="N3" s="229"/>
      <c r="O3" s="150"/>
      <c r="P3" s="150"/>
      <c r="Q3" s="163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62"/>
      <c r="AN3" s="162"/>
      <c r="AO3" s="162"/>
      <c r="AP3" s="162"/>
      <c r="AQ3" s="162"/>
      <c r="AR3" s="162"/>
      <c r="AS3" s="162"/>
      <c r="AT3" s="162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63"/>
      <c r="BK3" s="163"/>
      <c r="BL3" s="163"/>
      <c r="BM3" s="163"/>
      <c r="BN3" s="163"/>
      <c r="BO3" s="163"/>
      <c r="BP3" s="163"/>
      <c r="BQ3" s="163"/>
      <c r="BR3" s="163"/>
      <c r="BS3" s="163"/>
      <c r="BT3" s="163"/>
      <c r="BU3" s="163"/>
      <c r="BX3" s="221"/>
    </row>
    <row r="4" spans="1:92" ht="12.75" hidden="1">
      <c r="A4" s="168"/>
      <c r="B4" s="167" t="s">
        <v>289</v>
      </c>
      <c r="C4" s="170">
        <f t="shared" ref="C4:P4" si="6">DATE(C5,12,31)</f>
        <v>39447</v>
      </c>
      <c r="D4" s="170">
        <f t="shared" si="6"/>
        <v>39813</v>
      </c>
      <c r="E4" s="170">
        <f t="shared" si="6"/>
        <v>40178</v>
      </c>
      <c r="F4" s="170">
        <f t="shared" si="6"/>
        <v>40543</v>
      </c>
      <c r="G4" s="170">
        <f t="shared" si="6"/>
        <v>40908</v>
      </c>
      <c r="H4" s="170">
        <f t="shared" si="6"/>
        <v>41274</v>
      </c>
      <c r="I4" s="170">
        <f t="shared" si="6"/>
        <v>41639</v>
      </c>
      <c r="J4" s="170">
        <f t="shared" si="6"/>
        <v>42004</v>
      </c>
      <c r="K4" s="170">
        <f t="shared" si="6"/>
        <v>42369</v>
      </c>
      <c r="L4" s="170">
        <f t="shared" si="6"/>
        <v>42735</v>
      </c>
      <c r="M4" s="170">
        <f t="shared" si="6"/>
        <v>43100</v>
      </c>
      <c r="N4" s="170">
        <f t="shared" si="6"/>
        <v>43465</v>
      </c>
      <c r="O4" s="170">
        <f t="shared" si="6"/>
        <v>43830</v>
      </c>
      <c r="P4" s="170">
        <f t="shared" si="6"/>
        <v>44196</v>
      </c>
      <c r="Q4" s="171"/>
      <c r="R4" s="170">
        <v>39172</v>
      </c>
      <c r="S4" s="170">
        <f t="shared" ref="S4:AX4" si="7">EOMONTH(R4,3)</f>
        <v>39263</v>
      </c>
      <c r="T4" s="170">
        <f t="shared" si="7"/>
        <v>39355</v>
      </c>
      <c r="U4" s="170">
        <f t="shared" si="7"/>
        <v>39447</v>
      </c>
      <c r="V4" s="170">
        <f t="shared" si="7"/>
        <v>39538</v>
      </c>
      <c r="W4" s="170">
        <f t="shared" si="7"/>
        <v>39629</v>
      </c>
      <c r="X4" s="170">
        <f t="shared" si="7"/>
        <v>39721</v>
      </c>
      <c r="Y4" s="170">
        <f t="shared" si="7"/>
        <v>39813</v>
      </c>
      <c r="Z4" s="170">
        <f t="shared" si="7"/>
        <v>39903</v>
      </c>
      <c r="AA4" s="170">
        <f t="shared" si="7"/>
        <v>39994</v>
      </c>
      <c r="AB4" s="170">
        <f t="shared" si="7"/>
        <v>40086</v>
      </c>
      <c r="AC4" s="170">
        <f t="shared" si="7"/>
        <v>40178</v>
      </c>
      <c r="AD4" s="170">
        <f t="shared" si="7"/>
        <v>40268</v>
      </c>
      <c r="AE4" s="170">
        <f t="shared" si="7"/>
        <v>40359</v>
      </c>
      <c r="AF4" s="170">
        <f t="shared" si="7"/>
        <v>40451</v>
      </c>
      <c r="AG4" s="170">
        <f t="shared" si="7"/>
        <v>40543</v>
      </c>
      <c r="AH4" s="170">
        <f t="shared" si="7"/>
        <v>40633</v>
      </c>
      <c r="AI4" s="170">
        <f t="shared" si="7"/>
        <v>40724</v>
      </c>
      <c r="AJ4" s="170">
        <f t="shared" si="7"/>
        <v>40816</v>
      </c>
      <c r="AK4" s="170">
        <f t="shared" si="7"/>
        <v>40908</v>
      </c>
      <c r="AL4" s="170">
        <f t="shared" si="7"/>
        <v>40999</v>
      </c>
      <c r="AM4" s="170">
        <f t="shared" si="7"/>
        <v>41090</v>
      </c>
      <c r="AN4" s="170">
        <f t="shared" si="7"/>
        <v>41182</v>
      </c>
      <c r="AO4" s="170">
        <f t="shared" si="7"/>
        <v>41274</v>
      </c>
      <c r="AP4" s="170">
        <f t="shared" si="7"/>
        <v>41364</v>
      </c>
      <c r="AQ4" s="170">
        <f t="shared" si="7"/>
        <v>41455</v>
      </c>
      <c r="AR4" s="170">
        <f t="shared" si="7"/>
        <v>41547</v>
      </c>
      <c r="AS4" s="170">
        <f t="shared" si="7"/>
        <v>41639</v>
      </c>
      <c r="AT4" s="170">
        <f t="shared" si="7"/>
        <v>41729</v>
      </c>
      <c r="AU4" s="170">
        <f t="shared" si="7"/>
        <v>41820</v>
      </c>
      <c r="AV4" s="170">
        <f t="shared" si="7"/>
        <v>41912</v>
      </c>
      <c r="AW4" s="170">
        <f t="shared" si="7"/>
        <v>42004</v>
      </c>
      <c r="AX4" s="170">
        <f t="shared" si="7"/>
        <v>42094</v>
      </c>
      <c r="AY4" s="170">
        <f t="shared" ref="AY4:BU4" si="8">EOMONTH(AX4,3)</f>
        <v>42185</v>
      </c>
      <c r="AZ4" s="170">
        <f t="shared" si="8"/>
        <v>42277</v>
      </c>
      <c r="BA4" s="170">
        <f t="shared" si="8"/>
        <v>42369</v>
      </c>
      <c r="BB4" s="170">
        <f t="shared" si="8"/>
        <v>42460</v>
      </c>
      <c r="BC4" s="170">
        <f t="shared" si="8"/>
        <v>42551</v>
      </c>
      <c r="BD4" s="170">
        <f t="shared" si="8"/>
        <v>42643</v>
      </c>
      <c r="BE4" s="170">
        <f t="shared" si="8"/>
        <v>42735</v>
      </c>
      <c r="BF4" s="170">
        <f t="shared" si="8"/>
        <v>42825</v>
      </c>
      <c r="BG4" s="170">
        <f t="shared" si="8"/>
        <v>42916</v>
      </c>
      <c r="BH4" s="170">
        <f t="shared" si="8"/>
        <v>43008</v>
      </c>
      <c r="BI4" s="170">
        <f t="shared" si="8"/>
        <v>43100</v>
      </c>
      <c r="BJ4" s="170">
        <f t="shared" si="8"/>
        <v>43190</v>
      </c>
      <c r="BK4" s="170">
        <f t="shared" si="8"/>
        <v>43281</v>
      </c>
      <c r="BL4" s="170">
        <f t="shared" si="8"/>
        <v>43373</v>
      </c>
      <c r="BM4" s="170">
        <f t="shared" si="8"/>
        <v>43465</v>
      </c>
      <c r="BN4" s="170">
        <f t="shared" si="8"/>
        <v>43555</v>
      </c>
      <c r="BO4" s="170">
        <f t="shared" si="8"/>
        <v>43646</v>
      </c>
      <c r="BP4" s="170">
        <f t="shared" si="8"/>
        <v>43738</v>
      </c>
      <c r="BQ4" s="170">
        <f t="shared" si="8"/>
        <v>43830</v>
      </c>
      <c r="BR4" s="170">
        <f t="shared" si="8"/>
        <v>43921</v>
      </c>
      <c r="BS4" s="170">
        <f t="shared" si="8"/>
        <v>44012</v>
      </c>
      <c r="BT4" s="170">
        <f t="shared" si="8"/>
        <v>44104</v>
      </c>
      <c r="BU4" s="170">
        <f t="shared" si="8"/>
        <v>44196</v>
      </c>
      <c r="BX4" s="221"/>
    </row>
    <row r="5" spans="1:92" ht="12.75" hidden="1">
      <c r="A5" s="168"/>
      <c r="B5" s="167" t="s">
        <v>288</v>
      </c>
      <c r="C5" s="165">
        <v>2007</v>
      </c>
      <c r="D5" s="165">
        <v>2008</v>
      </c>
      <c r="E5" s="165">
        <v>2009</v>
      </c>
      <c r="F5" s="169">
        <v>2010</v>
      </c>
      <c r="G5" s="169">
        <v>2011</v>
      </c>
      <c r="H5" s="169">
        <v>2012</v>
      </c>
      <c r="I5" s="169">
        <v>2013</v>
      </c>
      <c r="J5" s="169">
        <v>2014</v>
      </c>
      <c r="K5" s="169">
        <v>2015</v>
      </c>
      <c r="L5" s="169">
        <v>2016</v>
      </c>
      <c r="M5" s="169">
        <v>2017</v>
      </c>
      <c r="N5" s="169">
        <v>2018</v>
      </c>
      <c r="O5" s="169">
        <f>+N5+1</f>
        <v>2019</v>
      </c>
      <c r="P5" s="169">
        <f>+O5+1</f>
        <v>2020</v>
      </c>
      <c r="Q5" s="164"/>
      <c r="R5" s="2">
        <v>2007</v>
      </c>
      <c r="S5" s="2">
        <v>2007</v>
      </c>
      <c r="T5" s="2">
        <v>2007</v>
      </c>
      <c r="U5" s="2">
        <v>2007</v>
      </c>
      <c r="V5" s="2">
        <f t="shared" ref="V5:BA5" si="9">R5+1</f>
        <v>2008</v>
      </c>
      <c r="W5" s="2">
        <f t="shared" si="9"/>
        <v>2008</v>
      </c>
      <c r="X5" s="2">
        <f t="shared" si="9"/>
        <v>2008</v>
      </c>
      <c r="Y5" s="2">
        <f t="shared" si="9"/>
        <v>2008</v>
      </c>
      <c r="Z5" s="2">
        <f t="shared" si="9"/>
        <v>2009</v>
      </c>
      <c r="AA5" s="2">
        <f t="shared" si="9"/>
        <v>2009</v>
      </c>
      <c r="AB5" s="2">
        <f t="shared" si="9"/>
        <v>2009</v>
      </c>
      <c r="AC5" s="2">
        <f t="shared" si="9"/>
        <v>2009</v>
      </c>
      <c r="AD5" s="2">
        <f t="shared" si="9"/>
        <v>2010</v>
      </c>
      <c r="AE5" s="2">
        <f t="shared" si="9"/>
        <v>2010</v>
      </c>
      <c r="AF5" s="2">
        <f t="shared" si="9"/>
        <v>2010</v>
      </c>
      <c r="AG5" s="2">
        <f t="shared" si="9"/>
        <v>2010</v>
      </c>
      <c r="AH5" s="2">
        <f t="shared" si="9"/>
        <v>2011</v>
      </c>
      <c r="AI5" s="2">
        <f t="shared" si="9"/>
        <v>2011</v>
      </c>
      <c r="AJ5" s="2">
        <f t="shared" si="9"/>
        <v>2011</v>
      </c>
      <c r="AK5" s="2">
        <f t="shared" si="9"/>
        <v>2011</v>
      </c>
      <c r="AL5" s="2">
        <f t="shared" si="9"/>
        <v>2012</v>
      </c>
      <c r="AM5" s="2">
        <f t="shared" si="9"/>
        <v>2012</v>
      </c>
      <c r="AN5" s="2">
        <f t="shared" si="9"/>
        <v>2012</v>
      </c>
      <c r="AO5" s="2">
        <f t="shared" si="9"/>
        <v>2012</v>
      </c>
      <c r="AP5" s="2">
        <f t="shared" si="9"/>
        <v>2013</v>
      </c>
      <c r="AQ5" s="2">
        <f t="shared" si="9"/>
        <v>2013</v>
      </c>
      <c r="AR5" s="2">
        <f t="shared" si="9"/>
        <v>2013</v>
      </c>
      <c r="AS5" s="2">
        <f t="shared" si="9"/>
        <v>2013</v>
      </c>
      <c r="AT5" s="2">
        <f t="shared" si="9"/>
        <v>2014</v>
      </c>
      <c r="AU5" s="2">
        <f t="shared" si="9"/>
        <v>2014</v>
      </c>
      <c r="AV5" s="2">
        <f t="shared" si="9"/>
        <v>2014</v>
      </c>
      <c r="AW5" s="2">
        <f t="shared" si="9"/>
        <v>2014</v>
      </c>
      <c r="AX5" s="2">
        <f t="shared" si="9"/>
        <v>2015</v>
      </c>
      <c r="AY5" s="2">
        <f t="shared" si="9"/>
        <v>2015</v>
      </c>
      <c r="AZ5" s="2">
        <f t="shared" si="9"/>
        <v>2015</v>
      </c>
      <c r="BA5" s="2">
        <f t="shared" si="9"/>
        <v>2015</v>
      </c>
      <c r="BB5" s="2">
        <f t="shared" ref="BB5:BU5" si="10">AX5+1</f>
        <v>2016</v>
      </c>
      <c r="BC5" s="2">
        <f t="shared" si="10"/>
        <v>2016</v>
      </c>
      <c r="BD5" s="2">
        <f t="shared" si="10"/>
        <v>2016</v>
      </c>
      <c r="BE5" s="2">
        <f t="shared" si="10"/>
        <v>2016</v>
      </c>
      <c r="BF5" s="2">
        <f t="shared" si="10"/>
        <v>2017</v>
      </c>
      <c r="BG5" s="2">
        <f t="shared" si="10"/>
        <v>2017</v>
      </c>
      <c r="BH5" s="2">
        <f t="shared" si="10"/>
        <v>2017</v>
      </c>
      <c r="BI5" s="2">
        <f t="shared" si="10"/>
        <v>2017</v>
      </c>
      <c r="BJ5" s="2">
        <f t="shared" si="10"/>
        <v>2018</v>
      </c>
      <c r="BK5" s="2">
        <f t="shared" si="10"/>
        <v>2018</v>
      </c>
      <c r="BL5" s="2">
        <f t="shared" si="10"/>
        <v>2018</v>
      </c>
      <c r="BM5" s="2">
        <f t="shared" si="10"/>
        <v>2018</v>
      </c>
      <c r="BN5" s="2">
        <f t="shared" si="10"/>
        <v>2019</v>
      </c>
      <c r="BO5" s="2">
        <f t="shared" si="10"/>
        <v>2019</v>
      </c>
      <c r="BP5" s="2">
        <f t="shared" si="10"/>
        <v>2019</v>
      </c>
      <c r="BQ5" s="2">
        <f t="shared" si="10"/>
        <v>2019</v>
      </c>
      <c r="BR5" s="2">
        <f t="shared" si="10"/>
        <v>2020</v>
      </c>
      <c r="BS5" s="2">
        <f t="shared" si="10"/>
        <v>2020</v>
      </c>
      <c r="BT5" s="2">
        <f t="shared" si="10"/>
        <v>2020</v>
      </c>
      <c r="BU5" s="2">
        <f t="shared" si="10"/>
        <v>2020</v>
      </c>
      <c r="BX5" s="221"/>
    </row>
    <row r="6" spans="1:92" ht="12.75" hidden="1">
      <c r="A6" s="168"/>
      <c r="B6" s="167" t="s">
        <v>287</v>
      </c>
      <c r="C6" s="166">
        <v>365</v>
      </c>
      <c r="D6" s="165">
        <f t="shared" ref="D6:P6" si="11">D4-C4</f>
        <v>366</v>
      </c>
      <c r="E6" s="165">
        <f t="shared" si="11"/>
        <v>365</v>
      </c>
      <c r="F6" s="165">
        <f t="shared" si="11"/>
        <v>365</v>
      </c>
      <c r="G6" s="165">
        <f t="shared" si="11"/>
        <v>365</v>
      </c>
      <c r="H6" s="165">
        <f t="shared" si="11"/>
        <v>366</v>
      </c>
      <c r="I6" s="165">
        <f t="shared" si="11"/>
        <v>365</v>
      </c>
      <c r="J6" s="165">
        <f t="shared" si="11"/>
        <v>365</v>
      </c>
      <c r="K6" s="165">
        <f t="shared" si="11"/>
        <v>365</v>
      </c>
      <c r="L6" s="165">
        <f t="shared" si="11"/>
        <v>366</v>
      </c>
      <c r="M6" s="165">
        <f t="shared" si="11"/>
        <v>365</v>
      </c>
      <c r="N6" s="165">
        <f t="shared" si="11"/>
        <v>365</v>
      </c>
      <c r="O6" s="165">
        <f t="shared" si="11"/>
        <v>365</v>
      </c>
      <c r="P6" s="165">
        <f t="shared" si="11"/>
        <v>366</v>
      </c>
      <c r="Q6" s="164"/>
      <c r="R6" s="165">
        <v>90</v>
      </c>
      <c r="S6" s="165">
        <f t="shared" ref="S6:AX6" si="12">S4-R4</f>
        <v>91</v>
      </c>
      <c r="T6" s="165">
        <f t="shared" si="12"/>
        <v>92</v>
      </c>
      <c r="U6" s="165">
        <f t="shared" si="12"/>
        <v>92</v>
      </c>
      <c r="V6" s="165">
        <f t="shared" si="12"/>
        <v>91</v>
      </c>
      <c r="W6" s="165">
        <f t="shared" si="12"/>
        <v>91</v>
      </c>
      <c r="X6" s="165">
        <f t="shared" si="12"/>
        <v>92</v>
      </c>
      <c r="Y6" s="165">
        <f t="shared" si="12"/>
        <v>92</v>
      </c>
      <c r="Z6" s="165">
        <f t="shared" si="12"/>
        <v>90</v>
      </c>
      <c r="AA6" s="165">
        <f t="shared" si="12"/>
        <v>91</v>
      </c>
      <c r="AB6" s="165">
        <f t="shared" si="12"/>
        <v>92</v>
      </c>
      <c r="AC6" s="165">
        <f t="shared" si="12"/>
        <v>92</v>
      </c>
      <c r="AD6" s="165">
        <f t="shared" si="12"/>
        <v>90</v>
      </c>
      <c r="AE6" s="165">
        <f t="shared" si="12"/>
        <v>91</v>
      </c>
      <c r="AF6" s="165">
        <f t="shared" si="12"/>
        <v>92</v>
      </c>
      <c r="AG6" s="165">
        <f t="shared" si="12"/>
        <v>92</v>
      </c>
      <c r="AH6" s="165">
        <f t="shared" si="12"/>
        <v>90</v>
      </c>
      <c r="AI6" s="165">
        <f t="shared" si="12"/>
        <v>91</v>
      </c>
      <c r="AJ6" s="165">
        <f t="shared" si="12"/>
        <v>92</v>
      </c>
      <c r="AK6" s="165">
        <f t="shared" si="12"/>
        <v>92</v>
      </c>
      <c r="AL6" s="165">
        <f t="shared" si="12"/>
        <v>91</v>
      </c>
      <c r="AM6" s="165">
        <f t="shared" si="12"/>
        <v>91</v>
      </c>
      <c r="AN6" s="165">
        <f t="shared" si="12"/>
        <v>92</v>
      </c>
      <c r="AO6" s="165">
        <f t="shared" si="12"/>
        <v>92</v>
      </c>
      <c r="AP6" s="165">
        <f t="shared" si="12"/>
        <v>90</v>
      </c>
      <c r="AQ6" s="165">
        <f t="shared" si="12"/>
        <v>91</v>
      </c>
      <c r="AR6" s="165">
        <f t="shared" si="12"/>
        <v>92</v>
      </c>
      <c r="AS6" s="165">
        <f t="shared" si="12"/>
        <v>92</v>
      </c>
      <c r="AT6" s="165">
        <f t="shared" si="12"/>
        <v>90</v>
      </c>
      <c r="AU6" s="165">
        <f t="shared" si="12"/>
        <v>91</v>
      </c>
      <c r="AV6" s="165">
        <f t="shared" si="12"/>
        <v>92</v>
      </c>
      <c r="AW6" s="165">
        <f t="shared" si="12"/>
        <v>92</v>
      </c>
      <c r="AX6" s="165">
        <f t="shared" si="12"/>
        <v>90</v>
      </c>
      <c r="AY6" s="165">
        <f t="shared" ref="AY6:BU6" si="13">AY4-AX4</f>
        <v>91</v>
      </c>
      <c r="AZ6" s="165">
        <f t="shared" si="13"/>
        <v>92</v>
      </c>
      <c r="BA6" s="165">
        <f t="shared" si="13"/>
        <v>92</v>
      </c>
      <c r="BB6" s="165">
        <f t="shared" si="13"/>
        <v>91</v>
      </c>
      <c r="BC6" s="165">
        <f t="shared" si="13"/>
        <v>91</v>
      </c>
      <c r="BD6" s="165">
        <f t="shared" si="13"/>
        <v>92</v>
      </c>
      <c r="BE6" s="165">
        <f t="shared" si="13"/>
        <v>92</v>
      </c>
      <c r="BF6" s="165">
        <f t="shared" si="13"/>
        <v>90</v>
      </c>
      <c r="BG6" s="165">
        <f t="shared" si="13"/>
        <v>91</v>
      </c>
      <c r="BH6" s="165">
        <f t="shared" si="13"/>
        <v>92</v>
      </c>
      <c r="BI6" s="165">
        <f t="shared" si="13"/>
        <v>92</v>
      </c>
      <c r="BJ6" s="165">
        <f t="shared" si="13"/>
        <v>90</v>
      </c>
      <c r="BK6" s="165">
        <f t="shared" si="13"/>
        <v>91</v>
      </c>
      <c r="BL6" s="165">
        <f t="shared" si="13"/>
        <v>92</v>
      </c>
      <c r="BM6" s="165">
        <f t="shared" si="13"/>
        <v>92</v>
      </c>
      <c r="BN6" s="165">
        <f t="shared" si="13"/>
        <v>90</v>
      </c>
      <c r="BO6" s="165">
        <f t="shared" si="13"/>
        <v>91</v>
      </c>
      <c r="BP6" s="165">
        <f t="shared" si="13"/>
        <v>92</v>
      </c>
      <c r="BQ6" s="165">
        <f t="shared" si="13"/>
        <v>92</v>
      </c>
      <c r="BR6" s="165">
        <f t="shared" si="13"/>
        <v>91</v>
      </c>
      <c r="BS6" s="165">
        <f t="shared" si="13"/>
        <v>91</v>
      </c>
      <c r="BT6" s="165">
        <f t="shared" si="13"/>
        <v>92</v>
      </c>
      <c r="BU6" s="165">
        <f t="shared" si="13"/>
        <v>92</v>
      </c>
      <c r="BX6" s="221"/>
    </row>
    <row r="7" spans="1:92" ht="12.75" customHeight="1">
      <c r="A7" s="174"/>
      <c r="B7" s="161"/>
      <c r="C7" s="160">
        <v>2007</v>
      </c>
      <c r="D7" s="160">
        <v>2008</v>
      </c>
      <c r="E7" s="160">
        <v>2009</v>
      </c>
      <c r="F7" s="158">
        <v>2010</v>
      </c>
      <c r="G7" s="158">
        <v>2011</v>
      </c>
      <c r="H7" s="158">
        <v>2012</v>
      </c>
      <c r="I7" s="158">
        <v>2013</v>
      </c>
      <c r="J7" s="158">
        <v>2014</v>
      </c>
      <c r="K7" s="158">
        <v>2015</v>
      </c>
      <c r="L7" s="158">
        <v>2016</v>
      </c>
      <c r="M7" s="158">
        <v>2017</v>
      </c>
      <c r="N7" s="158" t="s">
        <v>286</v>
      </c>
      <c r="O7" s="158" t="s">
        <v>285</v>
      </c>
      <c r="P7" s="158" t="s">
        <v>284</v>
      </c>
      <c r="Q7" s="159"/>
      <c r="R7" s="158" t="s">
        <v>283</v>
      </c>
      <c r="S7" s="158" t="s">
        <v>282</v>
      </c>
      <c r="T7" s="158" t="s">
        <v>281</v>
      </c>
      <c r="U7" s="158" t="s">
        <v>280</v>
      </c>
      <c r="V7" s="158" t="s">
        <v>279</v>
      </c>
      <c r="W7" s="158" t="s">
        <v>278</v>
      </c>
      <c r="X7" s="158" t="s">
        <v>277</v>
      </c>
      <c r="Y7" s="158" t="s">
        <v>276</v>
      </c>
      <c r="Z7" s="158" t="s">
        <v>275</v>
      </c>
      <c r="AA7" s="158" t="s">
        <v>274</v>
      </c>
      <c r="AB7" s="158" t="s">
        <v>273</v>
      </c>
      <c r="AC7" s="158" t="s">
        <v>272</v>
      </c>
      <c r="AD7" s="158" t="s">
        <v>271</v>
      </c>
      <c r="AE7" s="158" t="s">
        <v>270</v>
      </c>
      <c r="AF7" s="158" t="s">
        <v>269</v>
      </c>
      <c r="AG7" s="158" t="s">
        <v>268</v>
      </c>
      <c r="AH7" s="158" t="s">
        <v>267</v>
      </c>
      <c r="AI7" s="158" t="s">
        <v>266</v>
      </c>
      <c r="AJ7" s="158" t="s">
        <v>265</v>
      </c>
      <c r="AK7" s="158" t="s">
        <v>264</v>
      </c>
      <c r="AL7" s="158" t="s">
        <v>263</v>
      </c>
      <c r="AM7" s="158" t="s">
        <v>262</v>
      </c>
      <c r="AN7" s="158" t="s">
        <v>261</v>
      </c>
      <c r="AO7" s="158" t="s">
        <v>260</v>
      </c>
      <c r="AP7" s="158" t="s">
        <v>259</v>
      </c>
      <c r="AQ7" s="158" t="s">
        <v>258</v>
      </c>
      <c r="AR7" s="158" t="s">
        <v>257</v>
      </c>
      <c r="AS7" s="158" t="s">
        <v>256</v>
      </c>
      <c r="AT7" s="158" t="s">
        <v>255</v>
      </c>
      <c r="AU7" s="158" t="s">
        <v>254</v>
      </c>
      <c r="AV7" s="158" t="s">
        <v>253</v>
      </c>
      <c r="AW7" s="158" t="s">
        <v>252</v>
      </c>
      <c r="AX7" s="158" t="s">
        <v>251</v>
      </c>
      <c r="AY7" s="158" t="s">
        <v>250</v>
      </c>
      <c r="AZ7" s="158" t="s">
        <v>249</v>
      </c>
      <c r="BA7" s="158" t="s">
        <v>248</v>
      </c>
      <c r="BB7" s="158" t="s">
        <v>247</v>
      </c>
      <c r="BC7" s="158" t="s">
        <v>246</v>
      </c>
      <c r="BD7" s="158" t="s">
        <v>245</v>
      </c>
      <c r="BE7" s="158" t="s">
        <v>329</v>
      </c>
      <c r="BF7" s="158" t="s">
        <v>336</v>
      </c>
      <c r="BG7" s="158" t="s">
        <v>353</v>
      </c>
      <c r="BH7" s="239" t="s">
        <v>356</v>
      </c>
      <c r="BI7" s="158" t="s">
        <v>364</v>
      </c>
      <c r="BJ7" s="158" t="s">
        <v>244</v>
      </c>
      <c r="BK7" s="158" t="s">
        <v>243</v>
      </c>
      <c r="BL7" s="158" t="s">
        <v>242</v>
      </c>
      <c r="BM7" s="158" t="s">
        <v>241</v>
      </c>
      <c r="BN7" s="158" t="s">
        <v>240</v>
      </c>
      <c r="BO7" s="158" t="s">
        <v>239</v>
      </c>
      <c r="BP7" s="158" t="s">
        <v>238</v>
      </c>
      <c r="BQ7" s="158" t="s">
        <v>237</v>
      </c>
      <c r="BR7" s="158" t="s">
        <v>236</v>
      </c>
      <c r="BS7" s="158" t="s">
        <v>235</v>
      </c>
      <c r="BT7" s="158" t="s">
        <v>234</v>
      </c>
      <c r="BU7" s="158" t="s">
        <v>233</v>
      </c>
      <c r="BX7" s="221" t="s">
        <v>327</v>
      </c>
    </row>
    <row r="8" spans="1:92">
      <c r="A8" s="180" t="s">
        <v>0</v>
      </c>
      <c r="B8" s="14" t="s">
        <v>232</v>
      </c>
      <c r="C8" s="3"/>
      <c r="D8" s="3"/>
      <c r="E8" s="3"/>
      <c r="F8" s="3"/>
      <c r="G8" s="3"/>
      <c r="H8" s="3"/>
      <c r="I8" s="150"/>
      <c r="J8" s="150"/>
      <c r="K8" s="150"/>
      <c r="L8" s="150"/>
      <c r="M8" s="150"/>
      <c r="N8" s="150"/>
      <c r="O8" s="150"/>
      <c r="P8" s="150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X8" s="221"/>
      <c r="CN8" s="214"/>
    </row>
    <row r="9" spans="1:92" outlineLevel="1">
      <c r="A9" s="181"/>
      <c r="B9" s="107" t="s">
        <v>138</v>
      </c>
      <c r="C9" s="145">
        <f t="shared" ref="C9:P9" si="14">C$7</f>
        <v>2007</v>
      </c>
      <c r="D9" s="145">
        <f t="shared" si="14"/>
        <v>2008</v>
      </c>
      <c r="E9" s="145">
        <f t="shared" si="14"/>
        <v>2009</v>
      </c>
      <c r="F9" s="145">
        <f t="shared" si="14"/>
        <v>2010</v>
      </c>
      <c r="G9" s="145">
        <f t="shared" si="14"/>
        <v>2011</v>
      </c>
      <c r="H9" s="145">
        <f t="shared" si="14"/>
        <v>2012</v>
      </c>
      <c r="I9" s="145">
        <f t="shared" si="14"/>
        <v>2013</v>
      </c>
      <c r="J9" s="145">
        <f t="shared" si="14"/>
        <v>2014</v>
      </c>
      <c r="K9" s="145">
        <f t="shared" si="14"/>
        <v>2015</v>
      </c>
      <c r="L9" s="145">
        <f t="shared" si="14"/>
        <v>2016</v>
      </c>
      <c r="M9" s="145">
        <f t="shared" si="14"/>
        <v>2017</v>
      </c>
      <c r="N9" s="145" t="str">
        <f t="shared" si="14"/>
        <v>2018E</v>
      </c>
      <c r="O9" s="145" t="str">
        <f t="shared" si="14"/>
        <v>2019E</v>
      </c>
      <c r="P9" s="145" t="str">
        <f t="shared" si="14"/>
        <v>2020E</v>
      </c>
      <c r="Q9" s="3"/>
      <c r="R9" s="145" t="str">
        <f t="shared" ref="R9:AW9" si="15">R$7</f>
        <v>1Q07</v>
      </c>
      <c r="S9" s="145" t="str">
        <f t="shared" si="15"/>
        <v>2Q07</v>
      </c>
      <c r="T9" s="145" t="str">
        <f t="shared" si="15"/>
        <v>3Q07</v>
      </c>
      <c r="U9" s="145" t="str">
        <f t="shared" si="15"/>
        <v>4Q07</v>
      </c>
      <c r="V9" s="145" t="str">
        <f t="shared" si="15"/>
        <v>1Q08</v>
      </c>
      <c r="W9" s="145" t="str">
        <f t="shared" si="15"/>
        <v>2Q08</v>
      </c>
      <c r="X9" s="145" t="str">
        <f t="shared" si="15"/>
        <v>3Q08</v>
      </c>
      <c r="Y9" s="145" t="str">
        <f t="shared" si="15"/>
        <v>4Q08</v>
      </c>
      <c r="Z9" s="145" t="str">
        <f t="shared" si="15"/>
        <v>1Q09</v>
      </c>
      <c r="AA9" s="145" t="str">
        <f t="shared" si="15"/>
        <v>2Q09</v>
      </c>
      <c r="AB9" s="145" t="str">
        <f t="shared" si="15"/>
        <v>3Q09</v>
      </c>
      <c r="AC9" s="145" t="str">
        <f t="shared" si="15"/>
        <v>4Q09</v>
      </c>
      <c r="AD9" s="145" t="str">
        <f t="shared" si="15"/>
        <v>1Q10</v>
      </c>
      <c r="AE9" s="145" t="str">
        <f t="shared" si="15"/>
        <v>2Q10</v>
      </c>
      <c r="AF9" s="145" t="str">
        <f t="shared" si="15"/>
        <v>3Q10</v>
      </c>
      <c r="AG9" s="145" t="str">
        <f t="shared" si="15"/>
        <v>4Q10</v>
      </c>
      <c r="AH9" s="145" t="str">
        <f t="shared" si="15"/>
        <v>1Q11</v>
      </c>
      <c r="AI9" s="145" t="str">
        <f t="shared" si="15"/>
        <v>2Q11</v>
      </c>
      <c r="AJ9" s="145" t="str">
        <f t="shared" si="15"/>
        <v>3Q11</v>
      </c>
      <c r="AK9" s="145" t="str">
        <f t="shared" si="15"/>
        <v>4Q11</v>
      </c>
      <c r="AL9" s="145" t="str">
        <f t="shared" si="15"/>
        <v>1Q12</v>
      </c>
      <c r="AM9" s="145" t="str">
        <f t="shared" si="15"/>
        <v>2Q12</v>
      </c>
      <c r="AN9" s="145" t="str">
        <f t="shared" si="15"/>
        <v>3Q12</v>
      </c>
      <c r="AO9" s="145" t="str">
        <f t="shared" si="15"/>
        <v>4Q12</v>
      </c>
      <c r="AP9" s="145" t="str">
        <f t="shared" si="15"/>
        <v>1Q13</v>
      </c>
      <c r="AQ9" s="145" t="str">
        <f t="shared" si="15"/>
        <v>2Q13</v>
      </c>
      <c r="AR9" s="145" t="str">
        <f t="shared" si="15"/>
        <v>3Q13</v>
      </c>
      <c r="AS9" s="145" t="str">
        <f t="shared" si="15"/>
        <v>4Q13</v>
      </c>
      <c r="AT9" s="145" t="str">
        <f t="shared" si="15"/>
        <v>1Q14</v>
      </c>
      <c r="AU9" s="145" t="str">
        <f t="shared" si="15"/>
        <v>2Q14</v>
      </c>
      <c r="AV9" s="145" t="str">
        <f t="shared" si="15"/>
        <v>3Q14</v>
      </c>
      <c r="AW9" s="145" t="str">
        <f t="shared" si="15"/>
        <v>4Q14</v>
      </c>
      <c r="AX9" s="145" t="str">
        <f t="shared" ref="AX9:BU9" si="16">AX$7</f>
        <v>1Q15</v>
      </c>
      <c r="AY9" s="145" t="str">
        <f t="shared" si="16"/>
        <v>2Q15</v>
      </c>
      <c r="AZ9" s="145" t="str">
        <f t="shared" si="16"/>
        <v>3Q15</v>
      </c>
      <c r="BA9" s="145" t="str">
        <f t="shared" si="16"/>
        <v>4Q15</v>
      </c>
      <c r="BB9" s="145" t="str">
        <f t="shared" si="16"/>
        <v>1Q16</v>
      </c>
      <c r="BC9" s="145" t="str">
        <f t="shared" si="16"/>
        <v>2Q16</v>
      </c>
      <c r="BD9" s="145" t="str">
        <f t="shared" si="16"/>
        <v>3Q16</v>
      </c>
      <c r="BE9" s="145" t="str">
        <f t="shared" si="16"/>
        <v>4Q16</v>
      </c>
      <c r="BF9" s="145" t="str">
        <f t="shared" si="16"/>
        <v>1Q17</v>
      </c>
      <c r="BG9" s="145" t="str">
        <f t="shared" si="16"/>
        <v>2Q17</v>
      </c>
      <c r="BH9" s="145" t="str">
        <f t="shared" si="16"/>
        <v>3Q17</v>
      </c>
      <c r="BI9" s="145" t="str">
        <f t="shared" si="16"/>
        <v>4Q17</v>
      </c>
      <c r="BJ9" s="145" t="str">
        <f t="shared" si="16"/>
        <v>1Q18E</v>
      </c>
      <c r="BK9" s="145" t="str">
        <f t="shared" si="16"/>
        <v>2Q18E</v>
      </c>
      <c r="BL9" s="145" t="str">
        <f t="shared" si="16"/>
        <v>3Q18E</v>
      </c>
      <c r="BM9" s="145" t="str">
        <f t="shared" si="16"/>
        <v>4Q18E</v>
      </c>
      <c r="BN9" s="145" t="str">
        <f t="shared" si="16"/>
        <v>1Q19E</v>
      </c>
      <c r="BO9" s="145" t="str">
        <f t="shared" si="16"/>
        <v>2Q19E</v>
      </c>
      <c r="BP9" s="145" t="str">
        <f t="shared" si="16"/>
        <v>3Q19E</v>
      </c>
      <c r="BQ9" s="145" t="str">
        <f t="shared" si="16"/>
        <v>4Q19E</v>
      </c>
      <c r="BR9" s="145" t="str">
        <f t="shared" si="16"/>
        <v>1Q20E</v>
      </c>
      <c r="BS9" s="145" t="str">
        <f t="shared" si="16"/>
        <v>2Q20E</v>
      </c>
      <c r="BT9" s="145" t="str">
        <f t="shared" si="16"/>
        <v>3Q20E</v>
      </c>
      <c r="BU9" s="145" t="str">
        <f t="shared" si="16"/>
        <v>4Q20E</v>
      </c>
      <c r="BX9" s="221">
        <v>1</v>
      </c>
    </row>
    <row r="10" spans="1:92" outlineLevel="1">
      <c r="A10" s="181"/>
      <c r="B10" s="155" t="s">
        <v>231</v>
      </c>
      <c r="C10" s="87"/>
      <c r="D10" s="87"/>
      <c r="E10" s="87"/>
      <c r="F10" s="87"/>
      <c r="G10" s="157"/>
      <c r="H10" s="157"/>
      <c r="I10" s="157"/>
      <c r="J10" s="157"/>
      <c r="K10" s="157"/>
      <c r="L10" s="157"/>
      <c r="M10" s="157"/>
      <c r="N10" s="187"/>
      <c r="O10" s="157"/>
      <c r="P10" s="157"/>
      <c r="Q10" s="3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87"/>
      <c r="AV10" s="87"/>
      <c r="AW10" s="87"/>
      <c r="AX10" s="87"/>
      <c r="AY10" s="87"/>
      <c r="AZ10" s="87"/>
      <c r="BA10" s="87"/>
      <c r="BB10" s="87"/>
      <c r="BC10" s="87"/>
      <c r="BD10" s="87"/>
      <c r="BE10" s="87"/>
      <c r="BF10" s="87"/>
      <c r="BG10" s="87"/>
      <c r="BH10" s="87"/>
      <c r="BI10" s="87"/>
      <c r="BJ10" s="1"/>
      <c r="BK10" s="1"/>
      <c r="BL10" s="3"/>
      <c r="BM10" s="3"/>
      <c r="BN10" s="3"/>
      <c r="BO10" s="3"/>
      <c r="BP10" s="3"/>
      <c r="BQ10" s="3"/>
      <c r="BR10" s="3"/>
      <c r="BS10" s="3"/>
      <c r="BT10" s="3"/>
      <c r="BU10" s="3"/>
      <c r="BX10" s="221">
        <f>+BX9+1</f>
        <v>2</v>
      </c>
    </row>
    <row r="11" spans="1:92" outlineLevel="1">
      <c r="A11" s="181"/>
      <c r="B11" s="93" t="s">
        <v>178</v>
      </c>
      <c r="C11" s="19"/>
      <c r="D11" s="19"/>
      <c r="E11" s="19"/>
      <c r="F11" s="19"/>
      <c r="G11" s="19"/>
      <c r="H11" s="19"/>
      <c r="I11" s="19"/>
      <c r="J11" s="40">
        <v>383.17252383000005</v>
      </c>
      <c r="K11" s="40">
        <v>363.00762630000003</v>
      </c>
      <c r="L11" s="40">
        <f t="shared" ref="L11:P12" si="17">SUMIF($R$5:$BV$5,L$5,$R11:$BV11)</f>
        <v>410.85547824000002</v>
      </c>
      <c r="M11" s="40">
        <f t="shared" si="17"/>
        <v>1527.287</v>
      </c>
      <c r="N11" s="40">
        <f t="shared" si="17"/>
        <v>2208.6841784423077</v>
      </c>
      <c r="O11" s="40">
        <f t="shared" si="17"/>
        <v>2471.5386741692309</v>
      </c>
      <c r="P11" s="40">
        <f t="shared" si="17"/>
        <v>2471.5386741692309</v>
      </c>
      <c r="Q11" s="47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59">
        <v>58.872999999999998</v>
      </c>
      <c r="BC11" s="59">
        <v>88.315478240000004</v>
      </c>
      <c r="BD11" s="59">
        <v>115.69400000000002</v>
      </c>
      <c r="BE11" s="59">
        <v>147.97300000000001</v>
      </c>
      <c r="BF11" s="59">
        <v>240.15299999999999</v>
      </c>
      <c r="BG11" s="59">
        <v>323.13600000000002</v>
      </c>
      <c r="BH11" s="59">
        <v>468.47899999999998</v>
      </c>
      <c r="BI11" s="59">
        <v>495.51900000000001</v>
      </c>
      <c r="BJ11" s="40">
        <f t="shared" ref="BJ11:BU11" si="18">BI11*(1+BJ50)</f>
        <v>493.73045000000002</v>
      </c>
      <c r="BK11" s="40">
        <f t="shared" si="18"/>
        <v>543.10349500000007</v>
      </c>
      <c r="BL11" s="40">
        <f t="shared" si="18"/>
        <v>575.27193278076925</v>
      </c>
      <c r="BM11" s="40">
        <f t="shared" si="18"/>
        <v>596.57830066153849</v>
      </c>
      <c r="BN11" s="40">
        <f t="shared" si="18"/>
        <v>617.88466854230774</v>
      </c>
      <c r="BO11" s="40">
        <f t="shared" si="18"/>
        <v>617.88466854230774</v>
      </c>
      <c r="BP11" s="40">
        <f t="shared" si="18"/>
        <v>617.88466854230774</v>
      </c>
      <c r="BQ11" s="40">
        <f t="shared" si="18"/>
        <v>617.88466854230774</v>
      </c>
      <c r="BR11" s="40">
        <f t="shared" si="18"/>
        <v>617.88466854230774</v>
      </c>
      <c r="BS11" s="40">
        <f t="shared" si="18"/>
        <v>617.88466854230774</v>
      </c>
      <c r="BT11" s="40">
        <f t="shared" si="18"/>
        <v>617.88466854230774</v>
      </c>
      <c r="BU11" s="40">
        <f t="shared" si="18"/>
        <v>617.88466854230774</v>
      </c>
      <c r="BX11" s="221">
        <f t="shared" ref="BX11:BX74" si="19">+BX10+1</f>
        <v>3</v>
      </c>
    </row>
    <row r="12" spans="1:92" outlineLevel="1">
      <c r="A12" s="181"/>
      <c r="B12" s="93" t="s">
        <v>177</v>
      </c>
      <c r="C12" s="19"/>
      <c r="D12" s="19"/>
      <c r="E12" s="19"/>
      <c r="F12" s="19"/>
      <c r="G12" s="19"/>
      <c r="H12" s="19"/>
      <c r="I12" s="19"/>
      <c r="J12" s="40">
        <v>12.66147617</v>
      </c>
      <c r="K12" s="40">
        <v>3.1489999100000001</v>
      </c>
      <c r="L12" s="40">
        <f t="shared" si="17"/>
        <v>9.7155073200000004</v>
      </c>
      <c r="M12" s="40">
        <f t="shared" si="17"/>
        <v>14.794</v>
      </c>
      <c r="N12" s="40">
        <f t="shared" si="17"/>
        <v>41.37903</v>
      </c>
      <c r="O12" s="40">
        <f t="shared" si="17"/>
        <v>86.945035943390636</v>
      </c>
      <c r="P12" s="40">
        <f t="shared" si="17"/>
        <v>93.407729227312515</v>
      </c>
      <c r="Q12" s="40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59">
        <v>2.3230630000000003</v>
      </c>
      <c r="BC12" s="59">
        <v>3.2738934099999999</v>
      </c>
      <c r="BD12" s="59">
        <v>1.0585509100000001</v>
      </c>
      <c r="BE12" s="59">
        <v>3.06</v>
      </c>
      <c r="BF12" s="59">
        <v>0</v>
      </c>
      <c r="BG12" s="59">
        <v>0</v>
      </c>
      <c r="BH12" s="59">
        <v>8.8230000000000004</v>
      </c>
      <c r="BI12" s="59">
        <v>5.9710000000000001</v>
      </c>
      <c r="BJ12" s="40">
        <f t="shared" ref="BJ12:BU12" si="20">BI12*(1+BJ51)</f>
        <v>6.5681000000000003</v>
      </c>
      <c r="BK12" s="40">
        <f t="shared" si="20"/>
        <v>8.2101249999999997</v>
      </c>
      <c r="BL12" s="40">
        <f t="shared" si="20"/>
        <v>11.083668750000001</v>
      </c>
      <c r="BM12" s="40">
        <f t="shared" si="20"/>
        <v>15.51713625</v>
      </c>
      <c r="BN12" s="40">
        <f t="shared" si="20"/>
        <v>20.172277125000001</v>
      </c>
      <c r="BO12" s="40">
        <f t="shared" si="20"/>
        <v>21.180890981250002</v>
      </c>
      <c r="BP12" s="40">
        <f t="shared" si="20"/>
        <v>22.239935530312504</v>
      </c>
      <c r="BQ12" s="40">
        <f t="shared" si="20"/>
        <v>23.351932306828129</v>
      </c>
      <c r="BR12" s="40">
        <f t="shared" si="20"/>
        <v>23.351932306828129</v>
      </c>
      <c r="BS12" s="40">
        <f t="shared" si="20"/>
        <v>23.351932306828129</v>
      </c>
      <c r="BT12" s="40">
        <f t="shared" si="20"/>
        <v>23.351932306828129</v>
      </c>
      <c r="BU12" s="40">
        <f t="shared" si="20"/>
        <v>23.351932306828129</v>
      </c>
      <c r="BX12" s="221">
        <f t="shared" si="19"/>
        <v>4</v>
      </c>
    </row>
    <row r="13" spans="1:92" outlineLevel="1">
      <c r="A13" s="181"/>
      <c r="B13" s="153" t="s">
        <v>37</v>
      </c>
      <c r="C13" s="85"/>
      <c r="D13" s="85"/>
      <c r="E13" s="85"/>
      <c r="F13" s="85"/>
      <c r="G13" s="85"/>
      <c r="H13" s="85"/>
      <c r="I13" s="85"/>
      <c r="J13" s="84">
        <f t="shared" ref="J13:O13" si="21">SUM(J11:J12)</f>
        <v>395.83400000000006</v>
      </c>
      <c r="K13" s="84">
        <f t="shared" si="21"/>
        <v>366.15662621000001</v>
      </c>
      <c r="L13" s="84">
        <f t="shared" si="21"/>
        <v>420.57098556000005</v>
      </c>
      <c r="M13" s="84">
        <f t="shared" si="21"/>
        <v>1542.0810000000001</v>
      </c>
      <c r="N13" s="84">
        <f t="shared" si="21"/>
        <v>2250.0632084423078</v>
      </c>
      <c r="O13" s="84">
        <f t="shared" si="21"/>
        <v>2558.4837101126218</v>
      </c>
      <c r="P13" s="84">
        <f t="shared" ref="P13" si="22">SUM(P11:P12)</f>
        <v>2564.9464033965432</v>
      </c>
      <c r="Q13" s="40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4">
        <f t="shared" ref="BB13:BU13" si="23">SUM(BB11:BB12)</f>
        <v>61.196062999999995</v>
      </c>
      <c r="BC13" s="84">
        <f t="shared" si="23"/>
        <v>91.589371650000004</v>
      </c>
      <c r="BD13" s="84">
        <f t="shared" si="23"/>
        <v>116.75255091000001</v>
      </c>
      <c r="BE13" s="84">
        <f t="shared" si="23"/>
        <v>151.03300000000002</v>
      </c>
      <c r="BF13" s="84">
        <f t="shared" si="23"/>
        <v>240.15299999999999</v>
      </c>
      <c r="BG13" s="84">
        <f t="shared" si="23"/>
        <v>323.13600000000002</v>
      </c>
      <c r="BH13" s="84">
        <f t="shared" si="23"/>
        <v>477.30199999999996</v>
      </c>
      <c r="BI13" s="84">
        <f t="shared" si="23"/>
        <v>501.49</v>
      </c>
      <c r="BJ13" s="84">
        <f t="shared" si="23"/>
        <v>500.29855000000003</v>
      </c>
      <c r="BK13" s="84">
        <f t="shared" si="23"/>
        <v>551.31362000000001</v>
      </c>
      <c r="BL13" s="84">
        <f t="shared" si="23"/>
        <v>586.35560153076926</v>
      </c>
      <c r="BM13" s="84">
        <f t="shared" si="23"/>
        <v>612.09543691153851</v>
      </c>
      <c r="BN13" s="84">
        <f t="shared" si="23"/>
        <v>638.05694566730779</v>
      </c>
      <c r="BO13" s="84">
        <f t="shared" si="23"/>
        <v>639.06555952355779</v>
      </c>
      <c r="BP13" s="84">
        <f t="shared" si="23"/>
        <v>640.12460407262029</v>
      </c>
      <c r="BQ13" s="84">
        <f t="shared" si="23"/>
        <v>641.23660084913581</v>
      </c>
      <c r="BR13" s="84">
        <f t="shared" si="23"/>
        <v>641.23660084913581</v>
      </c>
      <c r="BS13" s="84">
        <f t="shared" si="23"/>
        <v>641.23660084913581</v>
      </c>
      <c r="BT13" s="84">
        <f t="shared" si="23"/>
        <v>641.23660084913581</v>
      </c>
      <c r="BU13" s="84">
        <f t="shared" si="23"/>
        <v>641.23660084913581</v>
      </c>
      <c r="BX13" s="221">
        <f t="shared" si="19"/>
        <v>5</v>
      </c>
    </row>
    <row r="14" spans="1:92" ht="5.0999999999999996" hidden="1" customHeight="1" outlineLevel="2">
      <c r="A14" s="181"/>
      <c r="B14" s="153"/>
      <c r="C14" s="190"/>
      <c r="D14" s="190"/>
      <c r="E14" s="190"/>
      <c r="F14" s="190"/>
      <c r="G14" s="190"/>
      <c r="H14" s="190"/>
      <c r="I14" s="190"/>
      <c r="J14" s="152"/>
      <c r="K14" s="152"/>
      <c r="L14" s="152"/>
      <c r="M14" s="152"/>
      <c r="N14" s="152"/>
      <c r="O14" s="152"/>
      <c r="P14" s="152"/>
      <c r="Q14" s="40"/>
      <c r="R14" s="190"/>
      <c r="S14" s="190"/>
      <c r="T14" s="190"/>
      <c r="U14" s="190"/>
      <c r="V14" s="190"/>
      <c r="W14" s="190"/>
      <c r="X14" s="190"/>
      <c r="Y14" s="190"/>
      <c r="Z14" s="190"/>
      <c r="AA14" s="190"/>
      <c r="AB14" s="190"/>
      <c r="AC14" s="190"/>
      <c r="AD14" s="190"/>
      <c r="AE14" s="190"/>
      <c r="AF14" s="190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0"/>
      <c r="BA14" s="190"/>
      <c r="BB14" s="154"/>
      <c r="BC14" s="154"/>
      <c r="BD14" s="154"/>
      <c r="BE14" s="152"/>
      <c r="BF14" s="152"/>
      <c r="BG14" s="152"/>
      <c r="BH14" s="152"/>
      <c r="BI14" s="152"/>
      <c r="BJ14" s="152"/>
      <c r="BK14" s="152"/>
      <c r="BL14" s="152"/>
      <c r="BM14" s="152"/>
      <c r="BN14" s="152"/>
      <c r="BO14" s="152"/>
      <c r="BP14" s="152"/>
      <c r="BQ14" s="152"/>
      <c r="BR14" s="152"/>
      <c r="BS14" s="152"/>
      <c r="BT14" s="152"/>
      <c r="BU14" s="152"/>
      <c r="BX14" s="221">
        <f t="shared" si="19"/>
        <v>6</v>
      </c>
    </row>
    <row r="15" spans="1:92" hidden="1" outlineLevel="2">
      <c r="A15" s="181"/>
      <c r="B15" s="155" t="s">
        <v>230</v>
      </c>
      <c r="C15" s="190"/>
      <c r="D15" s="190"/>
      <c r="E15" s="190"/>
      <c r="F15" s="190"/>
      <c r="G15" s="190"/>
      <c r="H15" s="190"/>
      <c r="I15" s="190"/>
      <c r="J15" s="152"/>
      <c r="K15" s="152"/>
      <c r="L15" s="152"/>
      <c r="M15" s="152"/>
      <c r="N15" s="152"/>
      <c r="O15" s="152"/>
      <c r="P15" s="152"/>
      <c r="Q15" s="40"/>
      <c r="R15" s="190"/>
      <c r="S15" s="190"/>
      <c r="T15" s="190"/>
      <c r="U15" s="190"/>
      <c r="V15" s="190"/>
      <c r="W15" s="190"/>
      <c r="X15" s="190"/>
      <c r="Y15" s="190"/>
      <c r="Z15" s="190"/>
      <c r="AA15" s="190"/>
      <c r="AB15" s="190"/>
      <c r="AC15" s="190"/>
      <c r="AD15" s="190"/>
      <c r="AE15" s="190"/>
      <c r="AF15" s="190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54"/>
      <c r="BC15" s="154"/>
      <c r="BD15" s="154"/>
      <c r="BE15" s="152"/>
      <c r="BF15" s="152"/>
      <c r="BG15" s="152"/>
      <c r="BH15" s="152"/>
      <c r="BI15" s="152"/>
      <c r="BJ15" s="152"/>
      <c r="BK15" s="152"/>
      <c r="BL15" s="152"/>
      <c r="BM15" s="152"/>
      <c r="BN15" s="152"/>
      <c r="BO15" s="152"/>
      <c r="BP15" s="152"/>
      <c r="BQ15" s="152"/>
      <c r="BR15" s="152"/>
      <c r="BS15" s="152"/>
      <c r="BT15" s="152"/>
      <c r="BU15" s="152"/>
      <c r="BX15" s="221">
        <f t="shared" si="19"/>
        <v>7</v>
      </c>
    </row>
    <row r="16" spans="1:92" hidden="1" outlineLevel="2">
      <c r="A16" s="181"/>
      <c r="B16" s="93" t="s">
        <v>178</v>
      </c>
      <c r="C16" s="19"/>
      <c r="D16" s="19"/>
      <c r="E16" s="19"/>
      <c r="F16" s="19"/>
      <c r="G16" s="19"/>
      <c r="H16" s="19"/>
      <c r="I16" s="19"/>
      <c r="J16" s="40">
        <f>-314.78337833+8.427</f>
        <v>-306.35637832999998</v>
      </c>
      <c r="K16" s="40">
        <f>-305.92889002+1.352951</f>
        <v>-304.57593901999996</v>
      </c>
      <c r="L16" s="40">
        <f t="shared" ref="L16:P18" si="24">SUMIF($R$5:$BV$5,L$5,$R16:$BV16)</f>
        <v>-378.44687816499152</v>
      </c>
      <c r="M16" s="40">
        <f t="shared" si="24"/>
        <v>-1254.6750000000002</v>
      </c>
      <c r="N16" s="40">
        <f t="shared" si="24"/>
        <v>-1692.8771410595386</v>
      </c>
      <c r="O16" s="40">
        <f t="shared" si="24"/>
        <v>-1853.6540056269232</v>
      </c>
      <c r="P16" s="40">
        <f t="shared" si="24"/>
        <v>-1853.6540056269232</v>
      </c>
      <c r="Q16" s="40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59">
        <v>-54.321691218982082</v>
      </c>
      <c r="BC16" s="59">
        <f>-76.3974941307154-BC18</f>
        <v>-76.265854490715398</v>
      </c>
      <c r="BD16" s="59">
        <f>-118.167582199337-BD18</f>
        <v>-113.26133245529401</v>
      </c>
      <c r="BE16" s="59">
        <f>-139.626+4.951+0.077</f>
        <v>-134.59800000000001</v>
      </c>
      <c r="BF16" s="59">
        <f>-223.992+6.899+1.266</f>
        <v>-215.827</v>
      </c>
      <c r="BG16" s="59">
        <f>-278.384+3.055</f>
        <v>-275.32900000000001</v>
      </c>
      <c r="BH16" s="59">
        <f>-384.007-BH18+1.835</f>
        <v>-380.553</v>
      </c>
      <c r="BI16" s="59">
        <f>-382.88-0.086</f>
        <v>-382.96600000000001</v>
      </c>
      <c r="BJ16" s="40">
        <f t="shared" ref="BJ16:BU16" si="25">BJ22-BJ11</f>
        <v>-390.0470555</v>
      </c>
      <c r="BK16" s="40">
        <f t="shared" si="25"/>
        <v>-418.18969115000004</v>
      </c>
      <c r="BL16" s="40">
        <f t="shared" si="25"/>
        <v>-437.20666891338465</v>
      </c>
      <c r="BM16" s="40">
        <f t="shared" si="25"/>
        <v>-447.4337254961539</v>
      </c>
      <c r="BN16" s="40">
        <f t="shared" si="25"/>
        <v>-463.4135014067308</v>
      </c>
      <c r="BO16" s="40">
        <f t="shared" si="25"/>
        <v>-463.4135014067308</v>
      </c>
      <c r="BP16" s="40">
        <f t="shared" si="25"/>
        <v>-463.4135014067308</v>
      </c>
      <c r="BQ16" s="40">
        <f t="shared" si="25"/>
        <v>-463.4135014067308</v>
      </c>
      <c r="BR16" s="40">
        <f t="shared" si="25"/>
        <v>-463.4135014067308</v>
      </c>
      <c r="BS16" s="40">
        <f t="shared" si="25"/>
        <v>-463.4135014067308</v>
      </c>
      <c r="BT16" s="40">
        <f t="shared" si="25"/>
        <v>-463.4135014067308</v>
      </c>
      <c r="BU16" s="40">
        <f t="shared" si="25"/>
        <v>-463.4135014067308</v>
      </c>
      <c r="BX16" s="221">
        <f t="shared" si="19"/>
        <v>8</v>
      </c>
    </row>
    <row r="17" spans="1:76" hidden="1" outlineLevel="2">
      <c r="A17" s="181"/>
      <c r="B17" s="93" t="s">
        <v>177</v>
      </c>
      <c r="C17" s="19"/>
      <c r="D17" s="19"/>
      <c r="E17" s="19"/>
      <c r="F17" s="19"/>
      <c r="G17" s="19"/>
      <c r="H17" s="19"/>
      <c r="I17" s="19"/>
      <c r="J17" s="40">
        <f>-8.93462167+0.1125</f>
        <v>-8.8221216699999996</v>
      </c>
      <c r="K17" s="40">
        <v>-0.66807360999999998</v>
      </c>
      <c r="L17" s="40">
        <f t="shared" si="24"/>
        <v>-14.300580765240339</v>
      </c>
      <c r="M17" s="40">
        <f t="shared" si="24"/>
        <v>-12.404</v>
      </c>
      <c r="N17" s="40">
        <f t="shared" si="24"/>
        <v>-33.705026162500005</v>
      </c>
      <c r="O17" s="40">
        <f t="shared" si="24"/>
        <v>-65.20877695754298</v>
      </c>
      <c r="P17" s="40">
        <f t="shared" si="24"/>
        <v>-70.055796920484383</v>
      </c>
      <c r="Q17" s="40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59">
        <v>-2.6614264610179426</v>
      </c>
      <c r="BC17" s="59">
        <v>-4.9694810392846414</v>
      </c>
      <c r="BD17" s="59">
        <v>-3.4676732649377557</v>
      </c>
      <c r="BE17" s="59">
        <f>-3.352+0.009+0.141</f>
        <v>-3.202</v>
      </c>
      <c r="BF17" s="59">
        <v>4.2999999999999997E-2</v>
      </c>
      <c r="BG17" s="59">
        <v>0</v>
      </c>
      <c r="BH17" s="59">
        <f>-7.082+0.057</f>
        <v>-7.0249999999999995</v>
      </c>
      <c r="BI17" s="59">
        <f>-6.216+0.794</f>
        <v>-5.4220000000000006</v>
      </c>
      <c r="BJ17" s="40">
        <f t="shared" ref="BJ17:BU17" si="26">BJ23-BJ12</f>
        <v>-5.9112900000000002</v>
      </c>
      <c r="BK17" s="40">
        <f t="shared" si="26"/>
        <v>-6.9786062499999995</v>
      </c>
      <c r="BL17" s="40">
        <f t="shared" si="26"/>
        <v>-8.8669350000000016</v>
      </c>
      <c r="BM17" s="40">
        <f t="shared" si="26"/>
        <v>-11.9481949125</v>
      </c>
      <c r="BN17" s="40">
        <f t="shared" si="26"/>
        <v>-15.129207843750001</v>
      </c>
      <c r="BO17" s="40">
        <f t="shared" si="26"/>
        <v>-15.885668235937501</v>
      </c>
      <c r="BP17" s="40">
        <f t="shared" si="26"/>
        <v>-16.679951647734377</v>
      </c>
      <c r="BQ17" s="40">
        <f t="shared" si="26"/>
        <v>-17.513949230121096</v>
      </c>
      <c r="BR17" s="40">
        <f t="shared" si="26"/>
        <v>-17.513949230121096</v>
      </c>
      <c r="BS17" s="40">
        <f t="shared" si="26"/>
        <v>-17.513949230121096</v>
      </c>
      <c r="BT17" s="40">
        <f t="shared" si="26"/>
        <v>-17.513949230121096</v>
      </c>
      <c r="BU17" s="40">
        <f t="shared" si="26"/>
        <v>-17.513949230121096</v>
      </c>
      <c r="BX17" s="221">
        <f t="shared" si="19"/>
        <v>9</v>
      </c>
    </row>
    <row r="18" spans="1:76" hidden="1" outlineLevel="2">
      <c r="A18" s="181"/>
      <c r="B18" s="93" t="s">
        <v>335</v>
      </c>
      <c r="C18" s="19"/>
      <c r="D18" s="19"/>
      <c r="E18" s="19"/>
      <c r="F18" s="19"/>
      <c r="G18" s="19"/>
      <c r="H18" s="19"/>
      <c r="I18" s="19"/>
      <c r="J18" s="40">
        <f>-8.93462167+0.1125</f>
        <v>-8.8221216699999996</v>
      </c>
      <c r="K18" s="40">
        <v>-0.66807360999999998</v>
      </c>
      <c r="L18" s="40">
        <f t="shared" si="24"/>
        <v>-9.9978893840430008</v>
      </c>
      <c r="M18" s="40">
        <f t="shared" si="24"/>
        <v>-12.367000000000001</v>
      </c>
      <c r="N18" s="40">
        <f t="shared" si="24"/>
        <v>-3.6</v>
      </c>
      <c r="O18" s="40">
        <f t="shared" si="24"/>
        <v>-1.8</v>
      </c>
      <c r="P18" s="40">
        <f t="shared" si="24"/>
        <v>0</v>
      </c>
      <c r="Q18" s="40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59">
        <v>0</v>
      </c>
      <c r="BC18" s="59">
        <v>-0.13163964</v>
      </c>
      <c r="BD18" s="59">
        <v>-4.9062497440430004</v>
      </c>
      <c r="BE18" s="59">
        <f>-4.951-0.009</f>
        <v>-4.96</v>
      </c>
      <c r="BF18" s="59">
        <v>-6.899</v>
      </c>
      <c r="BG18" s="59">
        <v>-3.0550000000000002</v>
      </c>
      <c r="BH18" s="59">
        <v>-1.619</v>
      </c>
      <c r="BI18" s="59">
        <v>-0.79400000000000004</v>
      </c>
      <c r="BJ18" s="40">
        <f>-1.8*ROUNDDOWN(Model!BJ71-Model!BI71,0)</f>
        <v>0</v>
      </c>
      <c r="BK18" s="40">
        <f>-1.8*ROUNDDOWN(Model!BK71-Model!BJ71,0)</f>
        <v>0</v>
      </c>
      <c r="BL18" s="40">
        <f>-1.8*ROUNDDOWN(Model!BL71-Model!BK71,0)</f>
        <v>-1.8</v>
      </c>
      <c r="BM18" s="40">
        <f>-1.8*ROUNDDOWN(Model!BM71-Model!BL71,0)</f>
        <v>-1.8</v>
      </c>
      <c r="BN18" s="40">
        <f>-1.8*ROUNDDOWN(Model!BN71-Model!BM71,0)</f>
        <v>-1.8</v>
      </c>
      <c r="BO18" s="40">
        <f>-1.8*ROUNDDOWN(Model!BO71-Model!BN71,0)</f>
        <v>0</v>
      </c>
      <c r="BP18" s="40">
        <f>-1.8*ROUNDDOWN(Model!BP71-Model!BO71,0)</f>
        <v>0</v>
      </c>
      <c r="BQ18" s="40">
        <f>-1.8*ROUNDDOWN(Model!BQ71-Model!BP71,0)</f>
        <v>0</v>
      </c>
      <c r="BR18" s="40">
        <f>-1.8*ROUNDDOWN(Model!BR71-Model!BQ71,0)</f>
        <v>0</v>
      </c>
      <c r="BS18" s="40">
        <f>-1.8*ROUNDDOWN(Model!BS71-Model!BR71,0)</f>
        <v>0</v>
      </c>
      <c r="BT18" s="40">
        <f>-1.8*ROUNDDOWN(Model!BT71-Model!BS71,0)</f>
        <v>0</v>
      </c>
      <c r="BU18" s="40">
        <f>-1.8*ROUNDDOWN(Model!BU71-Model!BT71,0)</f>
        <v>0</v>
      </c>
      <c r="BX18" s="221">
        <f t="shared" si="19"/>
        <v>10</v>
      </c>
    </row>
    <row r="19" spans="1:76" hidden="1" outlineLevel="2">
      <c r="A19" s="181"/>
      <c r="B19" s="153" t="s">
        <v>176</v>
      </c>
      <c r="C19" s="85"/>
      <c r="D19" s="85"/>
      <c r="E19" s="85"/>
      <c r="F19" s="85"/>
      <c r="G19" s="85"/>
      <c r="H19" s="85"/>
      <c r="I19" s="85"/>
      <c r="J19" s="84">
        <f t="shared" ref="J19:O19" si="27">SUM(J16:J18)</f>
        <v>-324.00062166999999</v>
      </c>
      <c r="K19" s="84">
        <f t="shared" si="27"/>
        <v>-305.91208624000001</v>
      </c>
      <c r="L19" s="84">
        <f t="shared" si="27"/>
        <v>-402.74534831427485</v>
      </c>
      <c r="M19" s="84">
        <f t="shared" si="27"/>
        <v>-1279.4460000000001</v>
      </c>
      <c r="N19" s="84">
        <f t="shared" si="27"/>
        <v>-1730.1821672220385</v>
      </c>
      <c r="O19" s="84">
        <f t="shared" si="27"/>
        <v>-1920.6627825844662</v>
      </c>
      <c r="P19" s="84">
        <f t="shared" ref="P19" si="28">SUM(P16:P18)</f>
        <v>-1923.7098025474077</v>
      </c>
      <c r="Q19" s="40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4">
        <f>SUM(BB16:BB18)</f>
        <v>-56.983117680000021</v>
      </c>
      <c r="BC19" s="84">
        <f t="shared" ref="BC19:BU19" si="29">SUM(BC16:BC18)</f>
        <v>-81.366975170000046</v>
      </c>
      <c r="BD19" s="84">
        <f t="shared" si="29"/>
        <v>-121.63525546427476</v>
      </c>
      <c r="BE19" s="84">
        <f t="shared" si="29"/>
        <v>-142.76000000000002</v>
      </c>
      <c r="BF19" s="84">
        <f t="shared" si="29"/>
        <v>-222.68299999999999</v>
      </c>
      <c r="BG19" s="84">
        <f t="shared" si="29"/>
        <v>-278.38400000000001</v>
      </c>
      <c r="BH19" s="84">
        <f t="shared" si="29"/>
        <v>-389.197</v>
      </c>
      <c r="BI19" s="84">
        <f t="shared" si="29"/>
        <v>-389.18200000000002</v>
      </c>
      <c r="BJ19" s="84">
        <f t="shared" si="29"/>
        <v>-395.95834550000001</v>
      </c>
      <c r="BK19" s="84">
        <f t="shared" si="29"/>
        <v>-425.16829740000003</v>
      </c>
      <c r="BL19" s="84">
        <f t="shared" si="29"/>
        <v>-447.87360391338467</v>
      </c>
      <c r="BM19" s="84">
        <f t="shared" si="29"/>
        <v>-461.18192040865392</v>
      </c>
      <c r="BN19" s="84">
        <f t="shared" si="29"/>
        <v>-480.34270925048082</v>
      </c>
      <c r="BO19" s="84">
        <f t="shared" si="29"/>
        <v>-479.29916964266829</v>
      </c>
      <c r="BP19" s="84">
        <f t="shared" si="29"/>
        <v>-480.09345305446516</v>
      </c>
      <c r="BQ19" s="84">
        <f t="shared" si="29"/>
        <v>-480.92745063685192</v>
      </c>
      <c r="BR19" s="84">
        <f t="shared" si="29"/>
        <v>-480.92745063685192</v>
      </c>
      <c r="BS19" s="84">
        <f t="shared" si="29"/>
        <v>-480.92745063685192</v>
      </c>
      <c r="BT19" s="84">
        <f t="shared" si="29"/>
        <v>-480.92745063685192</v>
      </c>
      <c r="BU19" s="84">
        <f t="shared" si="29"/>
        <v>-480.92745063685192</v>
      </c>
      <c r="BX19" s="221">
        <f t="shared" si="19"/>
        <v>11</v>
      </c>
    </row>
    <row r="20" spans="1:76" ht="5.0999999999999996" customHeight="1" outlineLevel="1" collapsed="1">
      <c r="A20" s="181"/>
      <c r="B20" s="153"/>
      <c r="C20" s="190"/>
      <c r="D20" s="190"/>
      <c r="E20" s="190"/>
      <c r="F20" s="190"/>
      <c r="G20" s="190"/>
      <c r="H20" s="190"/>
      <c r="I20" s="190"/>
      <c r="J20" s="152"/>
      <c r="K20" s="152"/>
      <c r="L20" s="152"/>
      <c r="M20" s="152"/>
      <c r="N20" s="152"/>
      <c r="O20" s="152"/>
      <c r="P20" s="152"/>
      <c r="Q20" s="40"/>
      <c r="R20" s="190"/>
      <c r="S20" s="190"/>
      <c r="T20" s="190"/>
      <c r="U20" s="190"/>
      <c r="V20" s="190"/>
      <c r="W20" s="190"/>
      <c r="X20" s="190"/>
      <c r="Y20" s="190"/>
      <c r="Z20" s="190"/>
      <c r="AA20" s="190"/>
      <c r="AB20" s="190"/>
      <c r="AC20" s="190"/>
      <c r="AD20" s="190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52"/>
      <c r="BC20" s="152"/>
      <c r="BD20" s="152"/>
      <c r="BE20" s="154"/>
      <c r="BF20" s="154"/>
      <c r="BG20" s="152"/>
      <c r="BH20" s="152"/>
      <c r="BI20" s="152"/>
      <c r="BJ20" s="152"/>
      <c r="BK20" s="152"/>
      <c r="BL20" s="152"/>
      <c r="BM20" s="152"/>
      <c r="BN20" s="152"/>
      <c r="BO20" s="152"/>
      <c r="BP20" s="152"/>
      <c r="BQ20" s="152"/>
      <c r="BR20" s="152"/>
      <c r="BS20" s="152"/>
      <c r="BT20" s="152"/>
      <c r="BU20" s="152"/>
      <c r="BX20" s="221">
        <f t="shared" si="19"/>
        <v>12</v>
      </c>
    </row>
    <row r="21" spans="1:76" outlineLevel="1">
      <c r="A21" s="181"/>
      <c r="B21" s="155" t="s">
        <v>229</v>
      </c>
      <c r="C21" s="190"/>
      <c r="D21" s="190"/>
      <c r="E21" s="190"/>
      <c r="F21" s="190"/>
      <c r="G21" s="190"/>
      <c r="H21" s="190"/>
      <c r="I21" s="190"/>
      <c r="J21" s="152"/>
      <c r="K21" s="152"/>
      <c r="L21" s="152"/>
      <c r="M21" s="152"/>
      <c r="N21" s="152"/>
      <c r="O21" s="152"/>
      <c r="P21" s="152"/>
      <c r="Q21" s="40"/>
      <c r="R21" s="190"/>
      <c r="S21" s="190"/>
      <c r="T21" s="190"/>
      <c r="U21" s="190"/>
      <c r="V21" s="190"/>
      <c r="W21" s="190"/>
      <c r="X21" s="190"/>
      <c r="Y21" s="190"/>
      <c r="Z21" s="190"/>
      <c r="AA21" s="190"/>
      <c r="AB21" s="190"/>
      <c r="AC21" s="190"/>
      <c r="AD21" s="190"/>
      <c r="AE21" s="190"/>
      <c r="AF21" s="190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52"/>
      <c r="BC21" s="152"/>
      <c r="BD21" s="152"/>
      <c r="BE21" s="154"/>
      <c r="BF21" s="154"/>
      <c r="BG21" s="152"/>
      <c r="BH21" s="152"/>
      <c r="BI21" s="152"/>
      <c r="BJ21" s="152"/>
      <c r="BK21" s="152"/>
      <c r="BL21" s="152"/>
      <c r="BM21" s="152"/>
      <c r="BN21" s="152"/>
      <c r="BO21" s="152"/>
      <c r="BP21" s="152"/>
      <c r="BQ21" s="152"/>
      <c r="BR21" s="152"/>
      <c r="BS21" s="152"/>
      <c r="BT21" s="152"/>
      <c r="BU21" s="152"/>
      <c r="BX21" s="221">
        <f t="shared" si="19"/>
        <v>13</v>
      </c>
    </row>
    <row r="22" spans="1:76" outlineLevel="1">
      <c r="A22" s="181"/>
      <c r="B22" s="93" t="s">
        <v>178</v>
      </c>
      <c r="C22" s="19"/>
      <c r="D22" s="19"/>
      <c r="E22" s="19"/>
      <c r="F22" s="19"/>
      <c r="G22" s="19"/>
      <c r="H22" s="19"/>
      <c r="I22" s="19"/>
      <c r="J22" s="40">
        <f>J11+J16</f>
        <v>76.816145500000061</v>
      </c>
      <c r="K22" s="40">
        <f>K11+K16</f>
        <v>58.431687280000062</v>
      </c>
      <c r="L22" s="40">
        <f t="shared" ref="J22:P24" si="30">SUMIF($R$5:$BV$5,L$5,$R22:$BV22)</f>
        <v>32.408600075008529</v>
      </c>
      <c r="M22" s="40">
        <f t="shared" si="30"/>
        <v>272.61199999999997</v>
      </c>
      <c r="N22" s="40">
        <f t="shared" si="30"/>
        <v>515.80703738276929</v>
      </c>
      <c r="O22" s="40">
        <f t="shared" si="30"/>
        <v>617.88466854230774</v>
      </c>
      <c r="P22" s="40">
        <f t="shared" si="30"/>
        <v>617.88466854230774</v>
      </c>
      <c r="Q22" s="40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40">
        <f t="shared" ref="BB22:BE23" si="31">BB11+BB16</f>
        <v>4.5513087810179158</v>
      </c>
      <c r="BC22" s="40">
        <f t="shared" si="31"/>
        <v>12.049623749284606</v>
      </c>
      <c r="BD22" s="40">
        <f t="shared" si="31"/>
        <v>2.4326675447060069</v>
      </c>
      <c r="BE22" s="40">
        <f t="shared" si="31"/>
        <v>13.375</v>
      </c>
      <c r="BF22" s="40">
        <f>BF11+BF16</f>
        <v>24.325999999999993</v>
      </c>
      <c r="BG22" s="40">
        <f t="shared" ref="BG22:BG23" si="32">BG11+BG16</f>
        <v>47.807000000000016</v>
      </c>
      <c r="BH22" s="40">
        <f t="shared" ref="BH22" si="33">BH11+BH16</f>
        <v>87.925999999999988</v>
      </c>
      <c r="BI22" s="40">
        <f t="shared" ref="BI22" si="34">BI11+BI16</f>
        <v>112.553</v>
      </c>
      <c r="BJ22" s="40">
        <f t="shared" ref="BJ22:BU22" si="35">BJ53*BJ11</f>
        <v>103.68339450000001</v>
      </c>
      <c r="BK22" s="40">
        <f t="shared" si="35"/>
        <v>124.91380385000002</v>
      </c>
      <c r="BL22" s="40">
        <f t="shared" si="35"/>
        <v>138.0652638673846</v>
      </c>
      <c r="BM22" s="40">
        <f t="shared" si="35"/>
        <v>149.14457516538462</v>
      </c>
      <c r="BN22" s="40">
        <f t="shared" si="35"/>
        <v>154.47116713557693</v>
      </c>
      <c r="BO22" s="40">
        <f t="shared" si="35"/>
        <v>154.47116713557693</v>
      </c>
      <c r="BP22" s="40">
        <f t="shared" si="35"/>
        <v>154.47116713557693</v>
      </c>
      <c r="BQ22" s="40">
        <f t="shared" si="35"/>
        <v>154.47116713557693</v>
      </c>
      <c r="BR22" s="40">
        <f t="shared" si="35"/>
        <v>154.47116713557693</v>
      </c>
      <c r="BS22" s="40">
        <f t="shared" si="35"/>
        <v>154.47116713557693</v>
      </c>
      <c r="BT22" s="40">
        <f t="shared" si="35"/>
        <v>154.47116713557693</v>
      </c>
      <c r="BU22" s="40">
        <f t="shared" si="35"/>
        <v>154.47116713557693</v>
      </c>
      <c r="BX22" s="221">
        <f t="shared" si="19"/>
        <v>14</v>
      </c>
    </row>
    <row r="23" spans="1:76" outlineLevel="1">
      <c r="A23" s="181"/>
      <c r="B23" s="93" t="s">
        <v>177</v>
      </c>
      <c r="C23" s="19"/>
      <c r="D23" s="19"/>
      <c r="E23" s="19"/>
      <c r="F23" s="19"/>
      <c r="G23" s="19"/>
      <c r="H23" s="19"/>
      <c r="I23" s="19"/>
      <c r="J23" s="40">
        <f>J12+J17</f>
        <v>3.8393545000000007</v>
      </c>
      <c r="K23" s="40">
        <f>K12+K17</f>
        <v>2.4809263000000001</v>
      </c>
      <c r="L23" s="40">
        <f t="shared" si="30"/>
        <v>-4.5850734452403383</v>
      </c>
      <c r="M23" s="40">
        <f t="shared" si="30"/>
        <v>2.3900000000000006</v>
      </c>
      <c r="N23" s="40">
        <f t="shared" si="30"/>
        <v>7.6740038375000008</v>
      </c>
      <c r="O23" s="40">
        <f t="shared" si="30"/>
        <v>21.736258985847659</v>
      </c>
      <c r="P23" s="40">
        <f t="shared" si="30"/>
        <v>23.351932306828129</v>
      </c>
      <c r="Q23" s="40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40">
        <f t="shared" si="31"/>
        <v>-0.33836346101794224</v>
      </c>
      <c r="BC23" s="40">
        <f t="shared" si="31"/>
        <v>-1.6955876292846415</v>
      </c>
      <c r="BD23" s="40">
        <f t="shared" si="31"/>
        <v>-2.4091223549377556</v>
      </c>
      <c r="BE23" s="40">
        <f t="shared" si="31"/>
        <v>-0.1419999999999999</v>
      </c>
      <c r="BF23" s="40">
        <f>BF12+BF17</f>
        <v>4.2999999999999997E-2</v>
      </c>
      <c r="BG23" s="40">
        <f t="shared" si="32"/>
        <v>0</v>
      </c>
      <c r="BH23" s="40">
        <f t="shared" ref="BH23" si="36">BH12+BH17</f>
        <v>1.7980000000000009</v>
      </c>
      <c r="BI23" s="40">
        <f t="shared" ref="BI23" si="37">BI12+BI17</f>
        <v>0.54899999999999949</v>
      </c>
      <c r="BJ23" s="40">
        <f t="shared" ref="BJ23:BU23" si="38">BJ54*BJ12</f>
        <v>0.65681000000000012</v>
      </c>
      <c r="BK23" s="40">
        <f t="shared" si="38"/>
        <v>1.23151875</v>
      </c>
      <c r="BL23" s="40">
        <f t="shared" si="38"/>
        <v>2.2167337500000004</v>
      </c>
      <c r="BM23" s="40">
        <f t="shared" si="38"/>
        <v>3.5689413375000001</v>
      </c>
      <c r="BN23" s="40">
        <f t="shared" si="38"/>
        <v>5.0430692812500002</v>
      </c>
      <c r="BO23" s="40">
        <f t="shared" si="38"/>
        <v>5.2952227453125005</v>
      </c>
      <c r="BP23" s="40">
        <f t="shared" si="38"/>
        <v>5.559983882578126</v>
      </c>
      <c r="BQ23" s="40">
        <f t="shared" si="38"/>
        <v>5.8379830767070322</v>
      </c>
      <c r="BR23" s="40">
        <f t="shared" si="38"/>
        <v>5.8379830767070322</v>
      </c>
      <c r="BS23" s="40">
        <f t="shared" si="38"/>
        <v>5.8379830767070322</v>
      </c>
      <c r="BT23" s="40">
        <f t="shared" si="38"/>
        <v>5.8379830767070322</v>
      </c>
      <c r="BU23" s="40">
        <f t="shared" si="38"/>
        <v>5.8379830767070322</v>
      </c>
      <c r="BX23" s="221">
        <f t="shared" si="19"/>
        <v>15</v>
      </c>
    </row>
    <row r="24" spans="1:76" outlineLevel="1">
      <c r="A24" s="181"/>
      <c r="B24" s="93" t="s">
        <v>335</v>
      </c>
      <c r="C24" s="19"/>
      <c r="D24" s="19"/>
      <c r="E24" s="19"/>
      <c r="F24" s="19"/>
      <c r="G24" s="19"/>
      <c r="H24" s="19"/>
      <c r="I24" s="19"/>
      <c r="J24" s="40">
        <f t="shared" si="30"/>
        <v>0</v>
      </c>
      <c r="K24" s="40">
        <f t="shared" si="30"/>
        <v>0</v>
      </c>
      <c r="L24" s="40">
        <f t="shared" si="30"/>
        <v>-9.9978893840430008</v>
      </c>
      <c r="M24" s="40">
        <f t="shared" si="30"/>
        <v>-12.367000000000001</v>
      </c>
      <c r="N24" s="40">
        <f t="shared" si="30"/>
        <v>-3.6</v>
      </c>
      <c r="O24" s="40">
        <f t="shared" si="30"/>
        <v>-1.8</v>
      </c>
      <c r="P24" s="40">
        <f t="shared" si="30"/>
        <v>0</v>
      </c>
      <c r="Q24" s="40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40">
        <f>BB18</f>
        <v>0</v>
      </c>
      <c r="BC24" s="40">
        <f t="shared" ref="BC24:BQ24" si="39">BC18</f>
        <v>-0.13163964</v>
      </c>
      <c r="BD24" s="40">
        <f t="shared" si="39"/>
        <v>-4.9062497440430004</v>
      </c>
      <c r="BE24" s="40">
        <f>BE18</f>
        <v>-4.96</v>
      </c>
      <c r="BF24" s="40">
        <f>BF18</f>
        <v>-6.899</v>
      </c>
      <c r="BG24" s="40">
        <f t="shared" ref="BG24" si="40">BG18</f>
        <v>-3.0550000000000002</v>
      </c>
      <c r="BH24" s="40">
        <f t="shared" ref="BH24" si="41">BH18</f>
        <v>-1.619</v>
      </c>
      <c r="BI24" s="40">
        <f t="shared" ref="BI24" si="42">BI18</f>
        <v>-0.79400000000000004</v>
      </c>
      <c r="BJ24" s="40">
        <f t="shared" si="39"/>
        <v>0</v>
      </c>
      <c r="BK24" s="40">
        <f t="shared" si="39"/>
        <v>0</v>
      </c>
      <c r="BL24" s="40">
        <f t="shared" si="39"/>
        <v>-1.8</v>
      </c>
      <c r="BM24" s="40">
        <f t="shared" si="39"/>
        <v>-1.8</v>
      </c>
      <c r="BN24" s="40">
        <f t="shared" si="39"/>
        <v>-1.8</v>
      </c>
      <c r="BO24" s="40">
        <f t="shared" si="39"/>
        <v>0</v>
      </c>
      <c r="BP24" s="40">
        <f t="shared" si="39"/>
        <v>0</v>
      </c>
      <c r="BQ24" s="40">
        <f t="shared" si="39"/>
        <v>0</v>
      </c>
      <c r="BR24" s="40"/>
      <c r="BS24" s="40"/>
      <c r="BT24" s="40"/>
      <c r="BU24" s="40"/>
      <c r="BX24" s="221">
        <f t="shared" si="19"/>
        <v>16</v>
      </c>
    </row>
    <row r="25" spans="1:76" outlineLevel="1">
      <c r="A25" s="181"/>
      <c r="B25" s="153" t="s">
        <v>228</v>
      </c>
      <c r="C25" s="85"/>
      <c r="D25" s="85"/>
      <c r="E25" s="85"/>
      <c r="F25" s="85"/>
      <c r="G25" s="85"/>
      <c r="H25" s="85"/>
      <c r="I25" s="85"/>
      <c r="J25" s="84">
        <f t="shared" ref="J25:O25" si="43">SUM(J22:J24)</f>
        <v>80.65550000000006</v>
      </c>
      <c r="K25" s="84">
        <f t="shared" si="43"/>
        <v>60.912613580000063</v>
      </c>
      <c r="L25" s="84">
        <f t="shared" si="43"/>
        <v>17.82563724572519</v>
      </c>
      <c r="M25" s="84">
        <f t="shared" si="43"/>
        <v>262.63499999999993</v>
      </c>
      <c r="N25" s="84">
        <f t="shared" si="43"/>
        <v>519.88104122026925</v>
      </c>
      <c r="O25" s="84">
        <f t="shared" si="43"/>
        <v>637.82092752815549</v>
      </c>
      <c r="P25" s="84">
        <f t="shared" ref="P25" si="44">SUM(P22:P24)</f>
        <v>641.23660084913581</v>
      </c>
      <c r="Q25" s="40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4">
        <f>SUM(BB22:BB24)</f>
        <v>4.2129453199999736</v>
      </c>
      <c r="BC25" s="84">
        <f t="shared" ref="BC25:BU25" si="45">SUM(BC22:BC24)</f>
        <v>10.222396479999965</v>
      </c>
      <c r="BD25" s="84">
        <f t="shared" si="45"/>
        <v>-4.8827045542747491</v>
      </c>
      <c r="BE25" s="84">
        <f t="shared" si="45"/>
        <v>8.2729999999999997</v>
      </c>
      <c r="BF25" s="84">
        <f>SUM(BF22:BF24)</f>
        <v>17.469999999999992</v>
      </c>
      <c r="BG25" s="84">
        <f t="shared" ref="BG25:BH25" si="46">SUM(BG22:BG24)</f>
        <v>44.752000000000017</v>
      </c>
      <c r="BH25" s="84">
        <f t="shared" si="46"/>
        <v>88.10499999999999</v>
      </c>
      <c r="BI25" s="84">
        <f t="shared" ref="BI25" si="47">SUM(BI22:BI24)</f>
        <v>112.30800000000001</v>
      </c>
      <c r="BJ25" s="84">
        <f t="shared" si="45"/>
        <v>104.3402045</v>
      </c>
      <c r="BK25" s="84">
        <f t="shared" si="45"/>
        <v>126.14532260000003</v>
      </c>
      <c r="BL25" s="84">
        <f t="shared" si="45"/>
        <v>138.48199761738459</v>
      </c>
      <c r="BM25" s="84">
        <f t="shared" si="45"/>
        <v>150.91351650288462</v>
      </c>
      <c r="BN25" s="84">
        <f t="shared" si="45"/>
        <v>157.71423641682694</v>
      </c>
      <c r="BO25" s="84">
        <f t="shared" si="45"/>
        <v>159.76638988088945</v>
      </c>
      <c r="BP25" s="84">
        <f t="shared" si="45"/>
        <v>160.03115101815507</v>
      </c>
      <c r="BQ25" s="84">
        <f t="shared" si="45"/>
        <v>160.30915021228395</v>
      </c>
      <c r="BR25" s="84">
        <f t="shared" si="45"/>
        <v>160.30915021228395</v>
      </c>
      <c r="BS25" s="84">
        <f t="shared" si="45"/>
        <v>160.30915021228395</v>
      </c>
      <c r="BT25" s="84">
        <f t="shared" si="45"/>
        <v>160.30915021228395</v>
      </c>
      <c r="BU25" s="84">
        <f t="shared" si="45"/>
        <v>160.30915021228395</v>
      </c>
      <c r="BX25" s="221">
        <f t="shared" si="19"/>
        <v>17</v>
      </c>
    </row>
    <row r="26" spans="1:76" outlineLevel="1">
      <c r="A26" s="181"/>
      <c r="B26" s="93" t="s">
        <v>227</v>
      </c>
      <c r="C26" s="19"/>
      <c r="D26" s="19"/>
      <c r="E26" s="19"/>
      <c r="F26" s="19"/>
      <c r="G26" s="19"/>
      <c r="H26" s="19"/>
      <c r="I26" s="19"/>
      <c r="J26" s="40">
        <f>-25.458711558397+3.45514746</f>
        <v>-22.003564098397</v>
      </c>
      <c r="K26" s="40">
        <f>-25.8106003841968+3.812562</f>
        <v>-21.9980383841968</v>
      </c>
      <c r="L26" s="40">
        <f>SUMIF($R$5:$BV$5,L$5,$R26:$BV26)</f>
        <v>-26.705720128274102</v>
      </c>
      <c r="M26" s="40">
        <f>SUMIF($R$5:$BV$5,M$5,$R26:$BV26)</f>
        <v>-73.775000000000006</v>
      </c>
      <c r="N26" s="40">
        <f>SUMIF($R$5:$BV$5,N$5,$R26:$BV26)</f>
        <v>-84</v>
      </c>
      <c r="O26" s="40">
        <f>SUMIF($R$5:$BV$5,O$5,$R26:$BV26)</f>
        <v>-88</v>
      </c>
      <c r="P26" s="40">
        <f>SUMIF($R$5:$BV$5,P$5,$R26:$BV26)</f>
        <v>-82</v>
      </c>
      <c r="Q26" s="40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59">
        <v>-4.5121204601230183</v>
      </c>
      <c r="BC26" s="59">
        <v>-7.6253364622685353</v>
      </c>
      <c r="BD26" s="59">
        <v>-7.0462632058825498</v>
      </c>
      <c r="BE26" s="59">
        <f>-7.858+0.336</f>
        <v>-7.5219999999999994</v>
      </c>
      <c r="BF26" s="59">
        <f>-17.552+0.571+3.626+0.783</f>
        <v>-12.571999999999999</v>
      </c>
      <c r="BG26" s="59">
        <f>-22.332-1.194+0.109+4.97</f>
        <v>-18.446999999999999</v>
      </c>
      <c r="BH26" s="59">
        <f>-28.592+6.906+0.098+0.615+0.2</f>
        <v>-20.773000000000003</v>
      </c>
      <c r="BI26" s="59">
        <f>-24.611+1.184+1.444</f>
        <v>-21.983000000000001</v>
      </c>
      <c r="BJ26" s="40">
        <f t="shared" ref="BJ26:BU26" si="48">BJ131</f>
        <v>-21</v>
      </c>
      <c r="BK26" s="40">
        <f t="shared" si="48"/>
        <v>-21</v>
      </c>
      <c r="BL26" s="40">
        <f t="shared" si="48"/>
        <v>-21</v>
      </c>
      <c r="BM26" s="40">
        <f t="shared" si="48"/>
        <v>-21</v>
      </c>
      <c r="BN26" s="40">
        <f t="shared" si="48"/>
        <v>-22</v>
      </c>
      <c r="BO26" s="40">
        <f t="shared" si="48"/>
        <v>-22</v>
      </c>
      <c r="BP26" s="40">
        <f t="shared" si="48"/>
        <v>-22</v>
      </c>
      <c r="BQ26" s="40">
        <f t="shared" si="48"/>
        <v>-22</v>
      </c>
      <c r="BR26" s="40">
        <f t="shared" si="48"/>
        <v>-22</v>
      </c>
      <c r="BS26" s="40">
        <f t="shared" si="48"/>
        <v>-20</v>
      </c>
      <c r="BT26" s="40">
        <f t="shared" si="48"/>
        <v>-20</v>
      </c>
      <c r="BU26" s="40">
        <f t="shared" si="48"/>
        <v>-20</v>
      </c>
      <c r="BX26" s="221">
        <f t="shared" si="19"/>
        <v>18</v>
      </c>
    </row>
    <row r="27" spans="1:76" outlineLevel="1">
      <c r="A27" s="181"/>
      <c r="B27" s="153" t="s">
        <v>226</v>
      </c>
      <c r="C27" s="85"/>
      <c r="D27" s="85"/>
      <c r="E27" s="85"/>
      <c r="F27" s="85"/>
      <c r="G27" s="85"/>
      <c r="H27" s="85"/>
      <c r="I27" s="85"/>
      <c r="J27" s="84">
        <f t="shared" ref="J27:O27" si="49">J25+J26</f>
        <v>58.651935901603061</v>
      </c>
      <c r="K27" s="84">
        <f t="shared" si="49"/>
        <v>38.914575195803266</v>
      </c>
      <c r="L27" s="84">
        <f t="shared" si="49"/>
        <v>-8.880082882548912</v>
      </c>
      <c r="M27" s="84">
        <f t="shared" si="49"/>
        <v>188.85999999999993</v>
      </c>
      <c r="N27" s="84">
        <f t="shared" si="49"/>
        <v>435.88104122026925</v>
      </c>
      <c r="O27" s="84">
        <f t="shared" si="49"/>
        <v>549.82092752815549</v>
      </c>
      <c r="P27" s="84">
        <f t="shared" ref="P27" si="50">P25+P26</f>
        <v>559.23660084913581</v>
      </c>
      <c r="Q27" s="40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4">
        <f t="shared" ref="BB27:BU27" si="51">BB25+BB26</f>
        <v>-0.29917514012304469</v>
      </c>
      <c r="BC27" s="84">
        <f t="shared" si="51"/>
        <v>2.5970600177314296</v>
      </c>
      <c r="BD27" s="84">
        <f t="shared" si="51"/>
        <v>-11.928967760157299</v>
      </c>
      <c r="BE27" s="84">
        <f t="shared" si="51"/>
        <v>0.75100000000000033</v>
      </c>
      <c r="BF27" s="84">
        <f t="shared" si="51"/>
        <v>4.8979999999999926</v>
      </c>
      <c r="BG27" s="84">
        <f t="shared" si="51"/>
        <v>26.305000000000017</v>
      </c>
      <c r="BH27" s="84">
        <f t="shared" si="51"/>
        <v>67.331999999999994</v>
      </c>
      <c r="BI27" s="84">
        <f t="shared" si="51"/>
        <v>90.325000000000003</v>
      </c>
      <c r="BJ27" s="84">
        <f t="shared" si="51"/>
        <v>83.340204499999999</v>
      </c>
      <c r="BK27" s="84">
        <f t="shared" si="51"/>
        <v>105.14532260000003</v>
      </c>
      <c r="BL27" s="84">
        <f t="shared" si="51"/>
        <v>117.48199761738459</v>
      </c>
      <c r="BM27" s="84">
        <f t="shared" si="51"/>
        <v>129.91351650288462</v>
      </c>
      <c r="BN27" s="84">
        <f t="shared" si="51"/>
        <v>135.71423641682694</v>
      </c>
      <c r="BO27" s="84">
        <f t="shared" si="51"/>
        <v>137.76638988088945</v>
      </c>
      <c r="BP27" s="84">
        <f t="shared" si="51"/>
        <v>138.03115101815507</v>
      </c>
      <c r="BQ27" s="84">
        <f t="shared" si="51"/>
        <v>138.30915021228395</v>
      </c>
      <c r="BR27" s="84">
        <f t="shared" si="51"/>
        <v>138.30915021228395</v>
      </c>
      <c r="BS27" s="84">
        <f t="shared" si="51"/>
        <v>140.30915021228395</v>
      </c>
      <c r="BT27" s="84">
        <f t="shared" si="51"/>
        <v>140.30915021228395</v>
      </c>
      <c r="BU27" s="84">
        <f t="shared" si="51"/>
        <v>140.30915021228395</v>
      </c>
      <c r="BX27" s="221">
        <f t="shared" si="19"/>
        <v>19</v>
      </c>
    </row>
    <row r="28" spans="1:76" outlineLevel="1">
      <c r="A28" s="181"/>
      <c r="B28" s="93" t="s">
        <v>225</v>
      </c>
      <c r="C28" s="19"/>
      <c r="D28" s="19"/>
      <c r="E28" s="19"/>
      <c r="F28" s="19"/>
      <c r="G28" s="19"/>
      <c r="H28" s="19"/>
      <c r="I28" s="19"/>
      <c r="J28" s="40">
        <v>-68.253961750000002</v>
      </c>
      <c r="K28" s="40">
        <v>-69.547353979999997</v>
      </c>
      <c r="L28" s="40">
        <f>SUMIF($R$5:$BV$5,L$5,$R28:$BV28)</f>
        <v>-100.97880977666217</v>
      </c>
      <c r="M28" s="40">
        <f>SUMIF($R$5:$BV$5,M$5,$R28:$BV28)</f>
        <v>-159.28</v>
      </c>
      <c r="N28" s="40">
        <f>SUMIF($R$5:$BV$5,N$5,$R28:$BV28)</f>
        <v>-234.45514737879648</v>
      </c>
      <c r="O28" s="40">
        <f>SUMIF($R$5:$BV$5,O$5,$R28:$BV28)</f>
        <v>-239.46057776250959</v>
      </c>
      <c r="P28" s="40">
        <f>SUMIF($R$5:$BV$5,P$5,$R28:$BV28)</f>
        <v>-194.10955432762438</v>
      </c>
      <c r="Q28" s="40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59">
        <v>-13.967981682727272</v>
      </c>
      <c r="BC28" s="59">
        <v>-27.723066669197607</v>
      </c>
      <c r="BD28" s="59">
        <v>-30.255761424737301</v>
      </c>
      <c r="BE28" s="59">
        <v>-29.032</v>
      </c>
      <c r="BF28" s="59">
        <v>-30.373000000000001</v>
      </c>
      <c r="BG28" s="59">
        <v>-32.738999999999997</v>
      </c>
      <c r="BH28" s="59">
        <v>-46.204000000000001</v>
      </c>
      <c r="BI28" s="59">
        <v>-49.963999999999999</v>
      </c>
      <c r="BJ28" s="40">
        <f t="shared" ref="BJ28:BU28" si="52">-BJ60/4*BI193</f>
        <v>-54.240916609547853</v>
      </c>
      <c r="BK28" s="40">
        <f t="shared" si="52"/>
        <v>-54.37560083696976</v>
      </c>
      <c r="BL28" s="40">
        <f t="shared" si="52"/>
        <v>-61.067520071899864</v>
      </c>
      <c r="BM28" s="40">
        <f t="shared" si="52"/>
        <v>-64.771109860379013</v>
      </c>
      <c r="BN28" s="40">
        <f t="shared" si="52"/>
        <v>-62.99546477851775</v>
      </c>
      <c r="BO28" s="40">
        <f t="shared" si="52"/>
        <v>-60.945946823174154</v>
      </c>
      <c r="BP28" s="40">
        <f t="shared" si="52"/>
        <v>-58.812547951442426</v>
      </c>
      <c r="BQ28" s="40">
        <f t="shared" si="52"/>
        <v>-56.706618209375257</v>
      </c>
      <c r="BR28" s="40">
        <f t="shared" si="52"/>
        <v>-52.902954785073973</v>
      </c>
      <c r="BS28" s="40">
        <f t="shared" si="52"/>
        <v>-49.673261868247842</v>
      </c>
      <c r="BT28" s="40">
        <f t="shared" si="52"/>
        <v>-46.930927656878161</v>
      </c>
      <c r="BU28" s="40">
        <f t="shared" si="52"/>
        <v>-44.602410017424411</v>
      </c>
      <c r="BX28" s="221">
        <f t="shared" si="19"/>
        <v>20</v>
      </c>
    </row>
    <row r="29" spans="1:76" outlineLevel="1">
      <c r="A29" s="181"/>
      <c r="B29" s="153" t="s">
        <v>224</v>
      </c>
      <c r="C29" s="85"/>
      <c r="D29" s="85"/>
      <c r="E29" s="85"/>
      <c r="F29" s="85"/>
      <c r="G29" s="85"/>
      <c r="H29" s="85"/>
      <c r="I29" s="85"/>
      <c r="J29" s="84">
        <f t="shared" ref="J29:O29" si="53">+J27+J28</f>
        <v>-9.6020258483969414</v>
      </c>
      <c r="K29" s="84">
        <f t="shared" si="53"/>
        <v>-30.632778784196731</v>
      </c>
      <c r="L29" s="84">
        <f t="shared" si="53"/>
        <v>-109.85889265921108</v>
      </c>
      <c r="M29" s="84">
        <f t="shared" si="53"/>
        <v>29.579999999999927</v>
      </c>
      <c r="N29" s="84">
        <f t="shared" si="53"/>
        <v>201.42589384147277</v>
      </c>
      <c r="O29" s="84">
        <f t="shared" si="53"/>
        <v>310.36034976564588</v>
      </c>
      <c r="P29" s="84">
        <f t="shared" ref="P29" si="54">+P27+P28</f>
        <v>365.12704652151143</v>
      </c>
      <c r="Q29" s="40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4">
        <f t="shared" ref="BB29:BU29" si="55">+BB27+BB28</f>
        <v>-14.267156822850318</v>
      </c>
      <c r="BC29" s="84">
        <f t="shared" si="55"/>
        <v>-25.126006651466177</v>
      </c>
      <c r="BD29" s="84">
        <f t="shared" si="55"/>
        <v>-42.1847291848946</v>
      </c>
      <c r="BE29" s="84">
        <f t="shared" si="55"/>
        <v>-28.280999999999999</v>
      </c>
      <c r="BF29" s="84">
        <f t="shared" si="55"/>
        <v>-25.475000000000009</v>
      </c>
      <c r="BG29" s="84">
        <f t="shared" si="55"/>
        <v>-6.4339999999999797</v>
      </c>
      <c r="BH29" s="84">
        <f t="shared" si="55"/>
        <v>21.127999999999993</v>
      </c>
      <c r="BI29" s="84">
        <f t="shared" si="55"/>
        <v>40.361000000000004</v>
      </c>
      <c r="BJ29" s="84">
        <f t="shared" si="55"/>
        <v>29.099287890452146</v>
      </c>
      <c r="BK29" s="84">
        <f t="shared" si="55"/>
        <v>50.769721763030269</v>
      </c>
      <c r="BL29" s="84">
        <f t="shared" si="55"/>
        <v>56.414477545484729</v>
      </c>
      <c r="BM29" s="84">
        <f t="shared" si="55"/>
        <v>65.142406642505605</v>
      </c>
      <c r="BN29" s="84">
        <f t="shared" si="55"/>
        <v>72.718771638309192</v>
      </c>
      <c r="BO29" s="84">
        <f t="shared" si="55"/>
        <v>76.820443057715295</v>
      </c>
      <c r="BP29" s="84">
        <f t="shared" si="55"/>
        <v>79.218603066712646</v>
      </c>
      <c r="BQ29" s="84">
        <f t="shared" si="55"/>
        <v>81.602532002908703</v>
      </c>
      <c r="BR29" s="84">
        <f t="shared" si="55"/>
        <v>85.40619542720998</v>
      </c>
      <c r="BS29" s="84">
        <f t="shared" si="55"/>
        <v>90.635888344036118</v>
      </c>
      <c r="BT29" s="84">
        <f t="shared" si="55"/>
        <v>93.378222555405785</v>
      </c>
      <c r="BU29" s="84">
        <f t="shared" si="55"/>
        <v>95.706740194859549</v>
      </c>
      <c r="BX29" s="221">
        <f t="shared" si="19"/>
        <v>21</v>
      </c>
    </row>
    <row r="30" spans="1:76" outlineLevel="1">
      <c r="A30" s="181"/>
      <c r="B30" s="93" t="s">
        <v>223</v>
      </c>
      <c r="C30" s="19"/>
      <c r="D30" s="19"/>
      <c r="E30" s="19"/>
      <c r="F30" s="19"/>
      <c r="G30" s="19"/>
      <c r="H30" s="19"/>
      <c r="I30" s="19"/>
      <c r="J30" s="40">
        <v>-10.473001669999999</v>
      </c>
      <c r="K30" s="40">
        <v>-23.450282380000004</v>
      </c>
      <c r="L30" s="40">
        <f t="shared" ref="L30:P31" si="56">SUMIF($R$5:$BV$5,L$5,$R30:$BV30)</f>
        <v>-38.298789589999998</v>
      </c>
      <c r="M30" s="40">
        <f t="shared" si="56"/>
        <v>-27.622999999999998</v>
      </c>
      <c r="N30" s="40">
        <f t="shared" si="56"/>
        <v>-30.197341249999994</v>
      </c>
      <c r="O30" s="40">
        <f t="shared" si="56"/>
        <v>-29.612111249999991</v>
      </c>
      <c r="P30" s="40">
        <f t="shared" si="56"/>
        <v>-29.026881249999985</v>
      </c>
      <c r="Q30" s="40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59">
        <v>-8.4081720130092901</v>
      </c>
      <c r="BC30" s="59">
        <v>-10.037465946157001</v>
      </c>
      <c r="BD30" s="59">
        <v>-9.9621516308337092</v>
      </c>
      <c r="BE30" s="59">
        <v>-9.891</v>
      </c>
      <c r="BF30" s="59">
        <f>-40.361+31.6</f>
        <v>-8.7609999999999957</v>
      </c>
      <c r="BG30" s="59">
        <v>-4.3490000000000002</v>
      </c>
      <c r="BH30" s="59">
        <v>-7.1950000000000003</v>
      </c>
      <c r="BI30" s="59">
        <v>-7.3179999999999996</v>
      </c>
      <c r="BJ30" s="40">
        <f t="shared" ref="BJ30:BU30" si="57">-BJ61/4*BI219</f>
        <v>-7.604200624999998</v>
      </c>
      <c r="BK30" s="40">
        <f t="shared" si="57"/>
        <v>-7.5676237499999983</v>
      </c>
      <c r="BL30" s="40">
        <f t="shared" si="57"/>
        <v>-7.5310468749999986</v>
      </c>
      <c r="BM30" s="40">
        <f t="shared" si="57"/>
        <v>-7.4944699999999989</v>
      </c>
      <c r="BN30" s="40">
        <f t="shared" si="57"/>
        <v>-7.4578931249999982</v>
      </c>
      <c r="BO30" s="40">
        <f t="shared" si="57"/>
        <v>-7.4213162499999985</v>
      </c>
      <c r="BP30" s="40">
        <f t="shared" si="57"/>
        <v>-7.384739374999997</v>
      </c>
      <c r="BQ30" s="40">
        <f t="shared" si="57"/>
        <v>-7.3481624999999973</v>
      </c>
      <c r="BR30" s="40">
        <f t="shared" si="57"/>
        <v>-7.3115856249999975</v>
      </c>
      <c r="BS30" s="40">
        <f t="shared" si="57"/>
        <v>-7.275008749999996</v>
      </c>
      <c r="BT30" s="40">
        <f t="shared" si="57"/>
        <v>-7.2384318749999963</v>
      </c>
      <c r="BU30" s="40">
        <f t="shared" si="57"/>
        <v>-7.2018549999999957</v>
      </c>
      <c r="BX30" s="221">
        <f t="shared" si="19"/>
        <v>22</v>
      </c>
    </row>
    <row r="31" spans="1:76" outlineLevel="1">
      <c r="A31" s="181"/>
      <c r="B31" s="93" t="s">
        <v>222</v>
      </c>
      <c r="C31" s="19"/>
      <c r="D31" s="19"/>
      <c r="E31" s="19"/>
      <c r="F31" s="19"/>
      <c r="G31" s="19"/>
      <c r="H31" s="19"/>
      <c r="I31" s="19"/>
      <c r="J31" s="40">
        <f>-13.51599455+11.09812395+2.96035254</f>
        <v>0.54248193999999961</v>
      </c>
      <c r="K31" s="40">
        <f>-5.3955805475652+3.91442049+3.656195765064</f>
        <v>2.1750357074987998</v>
      </c>
      <c r="L31" s="40">
        <f t="shared" si="56"/>
        <v>1.28962339</v>
      </c>
      <c r="M31" s="40">
        <f t="shared" si="56"/>
        <v>-2.8109999999999995</v>
      </c>
      <c r="N31" s="40">
        <f t="shared" si="56"/>
        <v>0</v>
      </c>
      <c r="O31" s="40">
        <f t="shared" si="56"/>
        <v>0</v>
      </c>
      <c r="P31" s="40">
        <f t="shared" si="56"/>
        <v>0</v>
      </c>
      <c r="Q31" s="40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59">
        <v>0.41839525736534</v>
      </c>
      <c r="BC31" s="59">
        <v>0.96226546974358906</v>
      </c>
      <c r="BD31" s="59">
        <v>-0.47003733710892898</v>
      </c>
      <c r="BE31" s="59">
        <v>0.379</v>
      </c>
      <c r="BF31" s="59">
        <v>4.0000000000000001E-3</v>
      </c>
      <c r="BG31" s="59">
        <f>3.701-3.6</f>
        <v>0.10099999999999998</v>
      </c>
      <c r="BH31" s="59">
        <f>0.942-0.908</f>
        <v>3.3999999999999919E-2</v>
      </c>
      <c r="BI31" s="59">
        <f>9.316-12.266</f>
        <v>-2.9499999999999993</v>
      </c>
      <c r="BJ31" s="59">
        <v>0</v>
      </c>
      <c r="BK31" s="59">
        <v>0</v>
      </c>
      <c r="BL31" s="59">
        <v>0</v>
      </c>
      <c r="BM31" s="59">
        <v>0</v>
      </c>
      <c r="BN31" s="59">
        <v>0</v>
      </c>
      <c r="BO31" s="59">
        <v>0</v>
      </c>
      <c r="BP31" s="59">
        <v>0</v>
      </c>
      <c r="BQ31" s="59">
        <v>0</v>
      </c>
      <c r="BR31" s="59">
        <v>0</v>
      </c>
      <c r="BS31" s="59">
        <v>0</v>
      </c>
      <c r="BT31" s="59">
        <v>0</v>
      </c>
      <c r="BU31" s="59">
        <v>0</v>
      </c>
      <c r="BX31" s="221">
        <f t="shared" si="19"/>
        <v>23</v>
      </c>
    </row>
    <row r="32" spans="1:76" outlineLevel="1">
      <c r="A32" s="181"/>
      <c r="B32" s="94" t="s">
        <v>221</v>
      </c>
      <c r="C32" s="85"/>
      <c r="D32" s="85"/>
      <c r="E32" s="85"/>
      <c r="F32" s="85"/>
      <c r="G32" s="85"/>
      <c r="H32" s="85"/>
      <c r="I32" s="85"/>
      <c r="J32" s="84">
        <f t="shared" ref="J32:O32" si="58">J29+J30+J31</f>
        <v>-19.532545578396942</v>
      </c>
      <c r="K32" s="84">
        <f t="shared" si="58"/>
        <v>-51.908025456697935</v>
      </c>
      <c r="L32" s="84">
        <f t="shared" si="58"/>
        <v>-146.86805885921106</v>
      </c>
      <c r="M32" s="84">
        <f t="shared" si="58"/>
        <v>-0.85400000000006981</v>
      </c>
      <c r="N32" s="84">
        <f t="shared" si="58"/>
        <v>171.22855259147278</v>
      </c>
      <c r="O32" s="84">
        <f t="shared" si="58"/>
        <v>280.74823851564588</v>
      </c>
      <c r="P32" s="84">
        <f t="shared" ref="P32" si="59">P29+P30+P31</f>
        <v>336.10016527151146</v>
      </c>
      <c r="Q32" s="40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4">
        <f t="shared" ref="BB32:BU32" si="60">BB29+BB30+BB31</f>
        <v>-22.256933578494269</v>
      </c>
      <c r="BC32" s="84">
        <f t="shared" si="60"/>
        <v>-34.201207127879584</v>
      </c>
      <c r="BD32" s="84">
        <f t="shared" si="60"/>
        <v>-52.616918152837236</v>
      </c>
      <c r="BE32" s="84">
        <f t="shared" si="60"/>
        <v>-37.792999999999999</v>
      </c>
      <c r="BF32" s="84">
        <f t="shared" si="60"/>
        <v>-34.232000000000006</v>
      </c>
      <c r="BG32" s="84">
        <f t="shared" si="60"/>
        <v>-10.681999999999981</v>
      </c>
      <c r="BH32" s="84">
        <f t="shared" si="60"/>
        <v>13.966999999999993</v>
      </c>
      <c r="BI32" s="84">
        <f t="shared" si="60"/>
        <v>30.093000000000007</v>
      </c>
      <c r="BJ32" s="84">
        <f t="shared" si="60"/>
        <v>21.495087265452149</v>
      </c>
      <c r="BK32" s="84">
        <f t="shared" si="60"/>
        <v>43.202098013030273</v>
      </c>
      <c r="BL32" s="84">
        <f t="shared" si="60"/>
        <v>48.883430670484728</v>
      </c>
      <c r="BM32" s="84">
        <f t="shared" si="60"/>
        <v>57.647936642505606</v>
      </c>
      <c r="BN32" s="84">
        <f t="shared" si="60"/>
        <v>65.260878513309194</v>
      </c>
      <c r="BO32" s="84">
        <f t="shared" si="60"/>
        <v>69.399126807715291</v>
      </c>
      <c r="BP32" s="84">
        <f t="shared" si="60"/>
        <v>71.833863691712651</v>
      </c>
      <c r="BQ32" s="84">
        <f t="shared" si="60"/>
        <v>74.254369502908702</v>
      </c>
      <c r="BR32" s="84">
        <f t="shared" si="60"/>
        <v>78.094609802209987</v>
      </c>
      <c r="BS32" s="84">
        <f t="shared" si="60"/>
        <v>83.36087959403612</v>
      </c>
      <c r="BT32" s="84">
        <f t="shared" si="60"/>
        <v>86.139790680405781</v>
      </c>
      <c r="BU32" s="84">
        <f t="shared" si="60"/>
        <v>88.504885194859554</v>
      </c>
      <c r="BX32" s="221">
        <f t="shared" si="19"/>
        <v>24</v>
      </c>
    </row>
    <row r="33" spans="1:76" outlineLevel="1">
      <c r="A33" s="181"/>
      <c r="B33" s="93" t="s">
        <v>220</v>
      </c>
      <c r="C33" s="19"/>
      <c r="D33" s="19"/>
      <c r="E33" s="19"/>
      <c r="F33" s="19"/>
      <c r="G33" s="19"/>
      <c r="H33" s="19"/>
      <c r="I33" s="19"/>
      <c r="J33" s="40">
        <v>0</v>
      </c>
      <c r="K33" s="40">
        <v>0</v>
      </c>
      <c r="L33" s="40">
        <f>SUMIF($R$5:$BV$5,L$5,$R33:$BV33)</f>
        <v>0</v>
      </c>
      <c r="M33" s="40">
        <f>SUMIF($R$5:$BV$5,M$5,$R33:$BV33)</f>
        <v>0.55199999999999982</v>
      </c>
      <c r="N33" s="40">
        <f>SUMIF($R$5:$BV$5,N$5,$R33:$BV33)</f>
        <v>-37.670281570124004</v>
      </c>
      <c r="O33" s="40">
        <f>SUMIF($R$5:$BV$5,O$5,$R33:$BV33)</f>
        <v>-61.764612473442085</v>
      </c>
      <c r="P33" s="40">
        <f>SUMIF($R$5:$BV$5,P$5,$R33:$BV33)</f>
        <v>-73.942036359732526</v>
      </c>
      <c r="Q33" s="40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59">
        <v>0</v>
      </c>
      <c r="BC33" s="59">
        <v>0</v>
      </c>
      <c r="BD33" s="59">
        <v>0</v>
      </c>
      <c r="BE33" s="59">
        <v>0</v>
      </c>
      <c r="BF33" s="59">
        <v>-0.13400000000000001</v>
      </c>
      <c r="BG33" s="59">
        <v>-0.22900000000000001</v>
      </c>
      <c r="BH33" s="59">
        <v>-0.79700000000000004</v>
      </c>
      <c r="BI33" s="59">
        <v>1.712</v>
      </c>
      <c r="BJ33" s="40">
        <f t="shared" ref="BJ33:BU33" si="61">MIN(0,-BJ62*BJ32)</f>
        <v>-4.7289191983994732</v>
      </c>
      <c r="BK33" s="40">
        <f t="shared" si="61"/>
        <v>-9.5044615628666609</v>
      </c>
      <c r="BL33" s="40">
        <f t="shared" si="61"/>
        <v>-10.754354747506641</v>
      </c>
      <c r="BM33" s="40">
        <f t="shared" si="61"/>
        <v>-12.682546061351234</v>
      </c>
      <c r="BN33" s="40">
        <f t="shared" si="61"/>
        <v>-14.357393272928023</v>
      </c>
      <c r="BO33" s="40">
        <f t="shared" si="61"/>
        <v>-15.267807897697365</v>
      </c>
      <c r="BP33" s="40">
        <f t="shared" si="61"/>
        <v>-15.803450012176784</v>
      </c>
      <c r="BQ33" s="40">
        <f t="shared" si="61"/>
        <v>-16.335961290639915</v>
      </c>
      <c r="BR33" s="40">
        <f t="shared" si="61"/>
        <v>-17.180814156486196</v>
      </c>
      <c r="BS33" s="40">
        <f t="shared" si="61"/>
        <v>-18.339393510687948</v>
      </c>
      <c r="BT33" s="40">
        <f t="shared" si="61"/>
        <v>-18.950753949689272</v>
      </c>
      <c r="BU33" s="40">
        <f t="shared" si="61"/>
        <v>-19.471074742869103</v>
      </c>
      <c r="BX33" s="221">
        <f t="shared" si="19"/>
        <v>25</v>
      </c>
    </row>
    <row r="34" spans="1:76" outlineLevel="1">
      <c r="A34" s="181"/>
      <c r="B34" s="94" t="s">
        <v>219</v>
      </c>
      <c r="C34" s="85"/>
      <c r="D34" s="85"/>
      <c r="E34" s="85"/>
      <c r="F34" s="85"/>
      <c r="G34" s="85"/>
      <c r="H34" s="85"/>
      <c r="I34" s="85"/>
      <c r="J34" s="84">
        <f t="shared" ref="J34:O34" si="62">J32+J33</f>
        <v>-19.532545578396942</v>
      </c>
      <c r="K34" s="84">
        <f t="shared" si="62"/>
        <v>-51.908025456697935</v>
      </c>
      <c r="L34" s="84">
        <f t="shared" si="62"/>
        <v>-146.86805885921106</v>
      </c>
      <c r="M34" s="84">
        <f t="shared" si="62"/>
        <v>-0.30200000000006999</v>
      </c>
      <c r="N34" s="84">
        <f t="shared" si="62"/>
        <v>133.55827102134879</v>
      </c>
      <c r="O34" s="84">
        <f t="shared" si="62"/>
        <v>218.98362604220381</v>
      </c>
      <c r="P34" s="84">
        <f t="shared" ref="P34" si="63">P32+P33</f>
        <v>262.15812891177893</v>
      </c>
      <c r="Q34" s="9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4">
        <f t="shared" ref="BB34:BU34" si="64">BB32+BB33</f>
        <v>-22.256933578494269</v>
      </c>
      <c r="BC34" s="84">
        <f t="shared" si="64"/>
        <v>-34.201207127879584</v>
      </c>
      <c r="BD34" s="84">
        <f t="shared" si="64"/>
        <v>-52.616918152837236</v>
      </c>
      <c r="BE34" s="84">
        <f t="shared" si="64"/>
        <v>-37.792999999999999</v>
      </c>
      <c r="BF34" s="84">
        <f t="shared" si="64"/>
        <v>-34.366000000000007</v>
      </c>
      <c r="BG34" s="84">
        <f t="shared" si="64"/>
        <v>-10.91099999999998</v>
      </c>
      <c r="BH34" s="84">
        <f t="shared" si="64"/>
        <v>13.169999999999993</v>
      </c>
      <c r="BI34" s="84">
        <f t="shared" si="64"/>
        <v>31.805000000000007</v>
      </c>
      <c r="BJ34" s="84">
        <f t="shared" si="64"/>
        <v>16.766168067052675</v>
      </c>
      <c r="BK34" s="84">
        <f t="shared" si="64"/>
        <v>33.697636450163614</v>
      </c>
      <c r="BL34" s="84">
        <f t="shared" si="64"/>
        <v>38.129075922978089</v>
      </c>
      <c r="BM34" s="84">
        <f t="shared" si="64"/>
        <v>44.965390581154374</v>
      </c>
      <c r="BN34" s="84">
        <f t="shared" si="64"/>
        <v>50.903485240381173</v>
      </c>
      <c r="BO34" s="84">
        <f t="shared" si="64"/>
        <v>54.131318910017924</v>
      </c>
      <c r="BP34" s="84">
        <f t="shared" si="64"/>
        <v>56.030413679535869</v>
      </c>
      <c r="BQ34" s="84">
        <f t="shared" si="64"/>
        <v>57.918408212268787</v>
      </c>
      <c r="BR34" s="84">
        <f t="shared" si="64"/>
        <v>60.913795645723795</v>
      </c>
      <c r="BS34" s="84">
        <f t="shared" si="64"/>
        <v>65.021486083348179</v>
      </c>
      <c r="BT34" s="84">
        <f t="shared" si="64"/>
        <v>67.189036730716509</v>
      </c>
      <c r="BU34" s="84">
        <f t="shared" si="64"/>
        <v>69.033810451990448</v>
      </c>
      <c r="BX34" s="221">
        <f t="shared" si="19"/>
        <v>26</v>
      </c>
    </row>
    <row r="35" spans="1:76" hidden="1" outlineLevel="2">
      <c r="A35" s="181"/>
      <c r="B35" s="185" t="s">
        <v>295</v>
      </c>
      <c r="C35" s="190"/>
      <c r="D35" s="190"/>
      <c r="E35" s="190"/>
      <c r="F35" s="190"/>
      <c r="G35" s="190"/>
      <c r="H35" s="190"/>
      <c r="I35" s="190"/>
      <c r="J35" s="152"/>
      <c r="K35" s="152"/>
      <c r="L35" s="152"/>
      <c r="M35" s="152"/>
      <c r="N35" s="152"/>
      <c r="O35" s="152"/>
      <c r="P35" s="152"/>
      <c r="Q35" s="95"/>
      <c r="R35" s="190"/>
      <c r="S35" s="190"/>
      <c r="T35" s="190"/>
      <c r="U35" s="190"/>
      <c r="V35" s="190"/>
      <c r="W35" s="190"/>
      <c r="X35" s="190"/>
      <c r="Y35" s="190"/>
      <c r="Z35" s="190"/>
      <c r="AA35" s="190"/>
      <c r="AB35" s="190"/>
      <c r="AC35" s="190"/>
      <c r="AD35" s="190"/>
      <c r="AE35" s="190"/>
      <c r="AF35" s="190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0"/>
      <c r="BA35" s="190"/>
      <c r="BB35" s="152"/>
      <c r="BC35" s="152"/>
      <c r="BD35" s="152"/>
      <c r="BE35" s="152"/>
      <c r="BF35" s="152"/>
      <c r="BG35" s="152"/>
      <c r="BH35" s="152"/>
      <c r="BI35" s="152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X35" s="221">
        <f t="shared" si="19"/>
        <v>27</v>
      </c>
    </row>
    <row r="36" spans="1:76" hidden="1" outlineLevel="2">
      <c r="A36" s="181"/>
      <c r="B36" s="186" t="s">
        <v>218</v>
      </c>
      <c r="C36" s="19"/>
      <c r="D36" s="19"/>
      <c r="E36" s="19"/>
      <c r="F36" s="19"/>
      <c r="G36" s="19"/>
      <c r="H36" s="19"/>
      <c r="I36" s="19"/>
      <c r="J36" s="40">
        <f t="shared" ref="J36:P40" si="65">SUMIF($R$5:$BV$5,J$5,$R36:$BV36)</f>
        <v>0</v>
      </c>
      <c r="K36" s="40">
        <f t="shared" si="65"/>
        <v>0</v>
      </c>
      <c r="L36" s="40">
        <f t="shared" si="65"/>
        <v>0</v>
      </c>
      <c r="M36" s="40">
        <f t="shared" si="65"/>
        <v>2.1160000000000001</v>
      </c>
      <c r="N36" s="40">
        <f t="shared" si="65"/>
        <v>0</v>
      </c>
      <c r="O36" s="40">
        <f t="shared" si="65"/>
        <v>0</v>
      </c>
      <c r="P36" s="40">
        <f t="shared" si="65"/>
        <v>0</v>
      </c>
      <c r="Q36" s="95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51">
        <v>0</v>
      </c>
      <c r="BC36" s="151">
        <v>0</v>
      </c>
      <c r="BD36" s="151">
        <v>0</v>
      </c>
      <c r="BE36" s="151">
        <v>0</v>
      </c>
      <c r="BF36" s="151">
        <v>0</v>
      </c>
      <c r="BG36" s="151">
        <v>0</v>
      </c>
      <c r="BH36" s="151">
        <v>-0.30199999999999999</v>
      </c>
      <c r="BI36" s="151">
        <v>2.4180000000000001</v>
      </c>
      <c r="BJ36" s="151">
        <v>0</v>
      </c>
      <c r="BK36" s="151">
        <v>0</v>
      </c>
      <c r="BL36" s="151">
        <v>0</v>
      </c>
      <c r="BM36" s="151">
        <v>0</v>
      </c>
      <c r="BN36" s="151">
        <v>0</v>
      </c>
      <c r="BO36" s="151">
        <v>0</v>
      </c>
      <c r="BP36" s="151">
        <v>0</v>
      </c>
      <c r="BQ36" s="151">
        <v>0</v>
      </c>
      <c r="BR36" s="151">
        <v>0</v>
      </c>
      <c r="BS36" s="151">
        <v>0</v>
      </c>
      <c r="BT36" s="151">
        <v>0</v>
      </c>
      <c r="BU36" s="151">
        <v>0</v>
      </c>
      <c r="BX36" s="221">
        <f t="shared" si="19"/>
        <v>28</v>
      </c>
    </row>
    <row r="37" spans="1:76" hidden="1" outlineLevel="2">
      <c r="A37" s="181"/>
      <c r="B37" s="186" t="s">
        <v>217</v>
      </c>
      <c r="C37" s="19"/>
      <c r="D37" s="19"/>
      <c r="E37" s="19"/>
      <c r="F37" s="19"/>
      <c r="G37" s="19"/>
      <c r="H37" s="19"/>
      <c r="I37" s="19"/>
      <c r="J37" s="40">
        <v>-11.09812395</v>
      </c>
      <c r="K37" s="40">
        <v>-3.9144204899999999</v>
      </c>
      <c r="L37" s="40">
        <f t="shared" si="65"/>
        <v>-0.185</v>
      </c>
      <c r="M37" s="40">
        <f t="shared" si="65"/>
        <v>0</v>
      </c>
      <c r="N37" s="40">
        <f t="shared" si="65"/>
        <v>0</v>
      </c>
      <c r="O37" s="40">
        <f t="shared" si="65"/>
        <v>0</v>
      </c>
      <c r="P37" s="40">
        <f t="shared" si="65"/>
        <v>0</v>
      </c>
      <c r="Q37" s="95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51">
        <v>0</v>
      </c>
      <c r="BC37" s="151">
        <v>0</v>
      </c>
      <c r="BD37" s="151">
        <v>0</v>
      </c>
      <c r="BE37" s="151">
        <v>-0.185</v>
      </c>
      <c r="BF37" s="151">
        <v>0</v>
      </c>
      <c r="BG37" s="151">
        <v>0</v>
      </c>
      <c r="BH37" s="151">
        <v>0</v>
      </c>
      <c r="BI37" s="151">
        <v>0</v>
      </c>
      <c r="BJ37" s="151">
        <v>0</v>
      </c>
      <c r="BK37" s="151">
        <v>0</v>
      </c>
      <c r="BL37" s="151">
        <v>0</v>
      </c>
      <c r="BM37" s="151">
        <v>0</v>
      </c>
      <c r="BN37" s="151">
        <v>0</v>
      </c>
      <c r="BO37" s="151">
        <v>0</v>
      </c>
      <c r="BP37" s="151">
        <v>0</v>
      </c>
      <c r="BQ37" s="151">
        <v>0</v>
      </c>
      <c r="BR37" s="151">
        <v>0</v>
      </c>
      <c r="BS37" s="151">
        <v>0</v>
      </c>
      <c r="BT37" s="151">
        <v>0</v>
      </c>
      <c r="BU37" s="151">
        <v>0</v>
      </c>
      <c r="BX37" s="221">
        <f t="shared" si="19"/>
        <v>29</v>
      </c>
    </row>
    <row r="38" spans="1:76" hidden="1" outlineLevel="2">
      <c r="A38" s="181"/>
      <c r="B38" s="186" t="s">
        <v>216</v>
      </c>
      <c r="C38" s="19"/>
      <c r="D38" s="19"/>
      <c r="E38" s="19"/>
      <c r="F38" s="19"/>
      <c r="G38" s="19"/>
      <c r="H38" s="19"/>
      <c r="I38" s="19"/>
      <c r="J38" s="40">
        <f t="shared" si="65"/>
        <v>0</v>
      </c>
      <c r="K38" s="40">
        <f t="shared" si="65"/>
        <v>0</v>
      </c>
      <c r="L38" s="40">
        <f t="shared" si="65"/>
        <v>0</v>
      </c>
      <c r="M38" s="40">
        <f t="shared" si="65"/>
        <v>0</v>
      </c>
      <c r="N38" s="40">
        <f t="shared" si="65"/>
        <v>0</v>
      </c>
      <c r="O38" s="40">
        <f t="shared" si="65"/>
        <v>0</v>
      </c>
      <c r="P38" s="40">
        <f t="shared" si="65"/>
        <v>0</v>
      </c>
      <c r="Q38" s="95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51">
        <v>0</v>
      </c>
      <c r="BC38" s="151">
        <v>0</v>
      </c>
      <c r="BD38" s="151">
        <v>0</v>
      </c>
      <c r="BE38" s="151">
        <v>0</v>
      </c>
      <c r="BF38" s="151">
        <v>0</v>
      </c>
      <c r="BG38" s="151">
        <v>0</v>
      </c>
      <c r="BH38" s="151">
        <v>0</v>
      </c>
      <c r="BI38" s="151">
        <v>0</v>
      </c>
      <c r="BJ38" s="151">
        <v>0</v>
      </c>
      <c r="BK38" s="151">
        <v>0</v>
      </c>
      <c r="BL38" s="151">
        <v>0</v>
      </c>
      <c r="BM38" s="151">
        <v>0</v>
      </c>
      <c r="BN38" s="151">
        <v>0</v>
      </c>
      <c r="BO38" s="151">
        <v>0</v>
      </c>
      <c r="BP38" s="151">
        <v>0</v>
      </c>
      <c r="BQ38" s="151">
        <v>0</v>
      </c>
      <c r="BR38" s="151">
        <v>0</v>
      </c>
      <c r="BS38" s="151">
        <v>0</v>
      </c>
      <c r="BT38" s="151">
        <v>0</v>
      </c>
      <c r="BU38" s="151">
        <v>0</v>
      </c>
      <c r="BX38" s="221">
        <f t="shared" si="19"/>
        <v>30</v>
      </c>
    </row>
    <row r="39" spans="1:76" hidden="1" outlineLevel="2">
      <c r="A39" s="181"/>
      <c r="B39" s="186" t="s">
        <v>215</v>
      </c>
      <c r="C39" s="19"/>
      <c r="D39" s="19"/>
      <c r="E39" s="19"/>
      <c r="F39" s="19"/>
      <c r="G39" s="19"/>
      <c r="H39" s="19"/>
      <c r="I39" s="19"/>
      <c r="J39" s="40">
        <f t="shared" si="65"/>
        <v>0</v>
      </c>
      <c r="K39" s="40">
        <f t="shared" si="65"/>
        <v>0</v>
      </c>
      <c r="L39" s="40">
        <f t="shared" si="65"/>
        <v>0</v>
      </c>
      <c r="M39" s="40">
        <f t="shared" si="65"/>
        <v>0</v>
      </c>
      <c r="N39" s="40">
        <f t="shared" si="65"/>
        <v>0</v>
      </c>
      <c r="O39" s="40">
        <f t="shared" si="65"/>
        <v>0</v>
      </c>
      <c r="P39" s="40">
        <f t="shared" si="65"/>
        <v>0</v>
      </c>
      <c r="Q39" s="40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59">
        <v>0</v>
      </c>
      <c r="BC39" s="59">
        <v>0</v>
      </c>
      <c r="BD39" s="59">
        <v>0</v>
      </c>
      <c r="BE39" s="59">
        <v>0</v>
      </c>
      <c r="BF39" s="59">
        <v>0</v>
      </c>
      <c r="BG39" s="59">
        <v>0</v>
      </c>
      <c r="BH39" s="59">
        <v>0</v>
      </c>
      <c r="BI39" s="59">
        <v>0</v>
      </c>
      <c r="BJ39" s="59">
        <v>0</v>
      </c>
      <c r="BK39" s="59">
        <v>0</v>
      </c>
      <c r="BL39" s="59">
        <v>0</v>
      </c>
      <c r="BM39" s="59">
        <v>0</v>
      </c>
      <c r="BN39" s="59">
        <v>0</v>
      </c>
      <c r="BO39" s="59">
        <v>0</v>
      </c>
      <c r="BP39" s="59">
        <v>0</v>
      </c>
      <c r="BQ39" s="59">
        <v>0</v>
      </c>
      <c r="BR39" s="59">
        <v>0</v>
      </c>
      <c r="BS39" s="59">
        <v>0</v>
      </c>
      <c r="BT39" s="59">
        <v>0</v>
      </c>
      <c r="BU39" s="59">
        <v>0</v>
      </c>
      <c r="BX39" s="221">
        <f t="shared" si="19"/>
        <v>31</v>
      </c>
    </row>
    <row r="40" spans="1:76" hidden="1" outlineLevel="2">
      <c r="A40" s="181"/>
      <c r="B40" s="186" t="s">
        <v>42</v>
      </c>
      <c r="C40" s="19"/>
      <c r="D40" s="19"/>
      <c r="E40" s="19"/>
      <c r="F40" s="19"/>
      <c r="G40" s="19"/>
      <c r="H40" s="19"/>
      <c r="I40" s="19"/>
      <c r="J40" s="40">
        <f>-3.45514746-8.427-0.1125-2.96035254</f>
        <v>-14.955</v>
      </c>
      <c r="K40" s="40">
        <f>-3.812562-1.352951-3.656195765064+0.002</f>
        <v>-8.8197087650639983</v>
      </c>
      <c r="L40" s="40">
        <f t="shared" si="65"/>
        <v>-39.550861697806447</v>
      </c>
      <c r="M40" s="40">
        <f t="shared" si="65"/>
        <v>-37.055999999999997</v>
      </c>
      <c r="N40" s="40">
        <f t="shared" si="65"/>
        <v>0</v>
      </c>
      <c r="O40" s="40">
        <f t="shared" si="65"/>
        <v>0</v>
      </c>
      <c r="P40" s="40">
        <f t="shared" si="65"/>
        <v>0</v>
      </c>
      <c r="Q40" s="95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51">
        <v>-26.795595688507373</v>
      </c>
      <c r="BC40" s="151">
        <v>-11.491138693574074</v>
      </c>
      <c r="BD40" s="151">
        <v>-1.1941273157249999</v>
      </c>
      <c r="BE40" s="151">
        <f>-0.035+0.519-0.336-0.218</f>
        <v>-7.0000000000000034E-2</v>
      </c>
      <c r="BF40" s="151">
        <f>0.013+0.184-(0.571+3.626+0.783+1.266+0.043)-31.6</f>
        <v>-37.692</v>
      </c>
      <c r="BG40" s="151">
        <f>1.193-0.108-4.97+3.6</f>
        <v>-0.2849999999999997</v>
      </c>
      <c r="BH40" s="151">
        <f>-1.835-0.057-6.906+0.908-0.098-0.615-0.2</f>
        <v>-8.802999999999999</v>
      </c>
      <c r="BI40" s="151">
        <f>12.352-1.184-1.444</f>
        <v>9.7240000000000002</v>
      </c>
      <c r="BJ40" s="151">
        <v>0</v>
      </c>
      <c r="BK40" s="151">
        <v>0</v>
      </c>
      <c r="BL40" s="151">
        <v>0</v>
      </c>
      <c r="BM40" s="151">
        <v>0</v>
      </c>
      <c r="BN40" s="151">
        <v>0</v>
      </c>
      <c r="BO40" s="151">
        <v>0</v>
      </c>
      <c r="BP40" s="151">
        <v>0</v>
      </c>
      <c r="BQ40" s="151">
        <v>0</v>
      </c>
      <c r="BR40" s="151">
        <v>0</v>
      </c>
      <c r="BS40" s="151">
        <v>0</v>
      </c>
      <c r="BT40" s="151">
        <v>0</v>
      </c>
      <c r="BU40" s="151">
        <v>0</v>
      </c>
      <c r="BX40" s="221">
        <f t="shared" si="19"/>
        <v>32</v>
      </c>
    </row>
    <row r="41" spans="1:76" outlineLevel="1" collapsed="1">
      <c r="A41" s="181"/>
      <c r="B41" s="94" t="s">
        <v>156</v>
      </c>
      <c r="C41" s="85"/>
      <c r="D41" s="85"/>
      <c r="E41" s="85"/>
      <c r="F41" s="85"/>
      <c r="G41" s="85"/>
      <c r="H41" s="85"/>
      <c r="I41" s="85"/>
      <c r="J41" s="84">
        <f t="shared" ref="J41:O41" si="66">J34+SUM(J36:J40)</f>
        <v>-45.585669528396942</v>
      </c>
      <c r="K41" s="84">
        <f t="shared" si="66"/>
        <v>-64.642154711761933</v>
      </c>
      <c r="L41" s="84">
        <f t="shared" si="66"/>
        <v>-186.60392055701752</v>
      </c>
      <c r="M41" s="84">
        <f t="shared" si="66"/>
        <v>-35.242000000000068</v>
      </c>
      <c r="N41" s="84">
        <f t="shared" si="66"/>
        <v>133.55827102134879</v>
      </c>
      <c r="O41" s="84">
        <f t="shared" si="66"/>
        <v>218.98362604220381</v>
      </c>
      <c r="P41" s="84">
        <f t="shared" ref="P41" si="67">P34+SUM(P36:P40)</f>
        <v>262.15812891177893</v>
      </c>
      <c r="Q41" s="9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4">
        <f t="shared" ref="BB41:BU41" si="68">BB34+SUM(BB36:BB40)</f>
        <v>-49.052529267001646</v>
      </c>
      <c r="BC41" s="84">
        <f t="shared" si="68"/>
        <v>-45.692345821453657</v>
      </c>
      <c r="BD41" s="84">
        <f t="shared" si="68"/>
        <v>-53.811045468562234</v>
      </c>
      <c r="BE41" s="84">
        <f t="shared" si="68"/>
        <v>-38.048000000000002</v>
      </c>
      <c r="BF41" s="84">
        <f t="shared" si="68"/>
        <v>-72.058000000000007</v>
      </c>
      <c r="BG41" s="84">
        <f t="shared" si="68"/>
        <v>-11.19599999999998</v>
      </c>
      <c r="BH41" s="84">
        <f t="shared" si="68"/>
        <v>4.0649999999999942</v>
      </c>
      <c r="BI41" s="84">
        <f t="shared" si="68"/>
        <v>43.947000000000003</v>
      </c>
      <c r="BJ41" s="84">
        <f t="shared" si="68"/>
        <v>16.766168067052675</v>
      </c>
      <c r="BK41" s="84">
        <f t="shared" si="68"/>
        <v>33.697636450163614</v>
      </c>
      <c r="BL41" s="84">
        <f t="shared" si="68"/>
        <v>38.129075922978089</v>
      </c>
      <c r="BM41" s="84">
        <f t="shared" si="68"/>
        <v>44.965390581154374</v>
      </c>
      <c r="BN41" s="84">
        <f t="shared" si="68"/>
        <v>50.903485240381173</v>
      </c>
      <c r="BO41" s="84">
        <f t="shared" si="68"/>
        <v>54.131318910017924</v>
      </c>
      <c r="BP41" s="84">
        <f t="shared" si="68"/>
        <v>56.030413679535869</v>
      </c>
      <c r="BQ41" s="84">
        <f t="shared" si="68"/>
        <v>57.918408212268787</v>
      </c>
      <c r="BR41" s="84">
        <f t="shared" si="68"/>
        <v>60.913795645723795</v>
      </c>
      <c r="BS41" s="84">
        <f t="shared" si="68"/>
        <v>65.021486083348179</v>
      </c>
      <c r="BT41" s="84">
        <f t="shared" si="68"/>
        <v>67.189036730716509</v>
      </c>
      <c r="BU41" s="84">
        <f t="shared" si="68"/>
        <v>69.033810451990448</v>
      </c>
      <c r="BX41" s="221">
        <f t="shared" si="19"/>
        <v>33</v>
      </c>
    </row>
    <row r="42" spans="1:76" outlineLevel="1">
      <c r="A42" s="181"/>
      <c r="B42" s="117"/>
      <c r="C42" s="191"/>
      <c r="D42" s="191"/>
      <c r="E42" s="191"/>
      <c r="F42" s="191"/>
      <c r="G42" s="191"/>
      <c r="H42" s="191"/>
      <c r="I42" s="191"/>
      <c r="J42" s="140"/>
      <c r="K42" s="140"/>
      <c r="L42" s="140"/>
      <c r="M42" s="140"/>
      <c r="N42" s="140"/>
      <c r="O42" s="140"/>
      <c r="P42" s="140"/>
      <c r="Q42" s="14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40"/>
      <c r="BC42" s="140"/>
      <c r="BD42" s="140"/>
      <c r="BE42" s="140"/>
      <c r="BF42" s="140"/>
      <c r="BG42" s="140"/>
      <c r="BH42" s="140"/>
      <c r="BI42" s="140"/>
      <c r="BJ42" s="3"/>
      <c r="BK42" s="3"/>
      <c r="BL42" s="3"/>
      <c r="BM42" s="16"/>
      <c r="BN42" s="3"/>
      <c r="BO42" s="3"/>
      <c r="BP42" s="3"/>
      <c r="BQ42" s="3"/>
      <c r="BR42" s="3"/>
      <c r="BS42" s="3"/>
      <c r="BT42" s="3"/>
      <c r="BU42" s="3"/>
      <c r="BX42" s="221">
        <f t="shared" si="19"/>
        <v>34</v>
      </c>
    </row>
    <row r="43" spans="1:76" outlineLevel="1">
      <c r="A43" s="181"/>
      <c r="B43" s="114" t="s">
        <v>214</v>
      </c>
      <c r="C43" s="192"/>
      <c r="D43" s="192"/>
      <c r="E43" s="192"/>
      <c r="F43" s="192"/>
      <c r="G43" s="192"/>
      <c r="H43" s="192"/>
      <c r="I43" s="192"/>
      <c r="J43" s="150">
        <f t="shared" ref="J43:O43" si="69">J34/J45</f>
        <v>-0.1896124331724825</v>
      </c>
      <c r="K43" s="150">
        <f t="shared" si="69"/>
        <v>-0.50389781344779716</v>
      </c>
      <c r="L43" s="150">
        <f t="shared" si="69"/>
        <v>-1.4257235383807001</v>
      </c>
      <c r="M43" s="150">
        <f t="shared" si="69"/>
        <v>-2.8089983331694092E-3</v>
      </c>
      <c r="N43" s="150">
        <f t="shared" si="69"/>
        <v>1.1883449312917915</v>
      </c>
      <c r="O43" s="150">
        <f t="shared" si="69"/>
        <v>1.9484235611402425</v>
      </c>
      <c r="P43" s="150">
        <f t="shared" ref="P43" si="70">P34/P45</f>
        <v>2.3325720025190724</v>
      </c>
      <c r="Q43" s="150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50">
        <f t="shared" ref="BB43:BU43" si="71">BB34/BB45</f>
        <v>-0.21605946413068514</v>
      </c>
      <c r="BC43" s="150">
        <f t="shared" si="71"/>
        <v>-0.3320086506351585</v>
      </c>
      <c r="BD43" s="150">
        <f t="shared" si="71"/>
        <v>-0.51077939825883367</v>
      </c>
      <c r="BE43" s="150">
        <f t="shared" si="71"/>
        <v>-0.36687602535602298</v>
      </c>
      <c r="BF43" s="150">
        <f>BF34/BF45</f>
        <v>-0.3336083795249144</v>
      </c>
      <c r="BG43" s="150">
        <f>BG34/BG45</f>
        <v>-0.10591867045906807</v>
      </c>
      <c r="BH43" s="150">
        <f>BH34/BH45</f>
        <v>0.11784707619345884</v>
      </c>
      <c r="BI43" s="150">
        <f>BI34/BI45</f>
        <v>0.28330154931342028</v>
      </c>
      <c r="BJ43" s="150">
        <f t="shared" si="71"/>
        <v>0.14917826269616477</v>
      </c>
      <c r="BK43" s="150">
        <f t="shared" si="71"/>
        <v>0.29982729759705035</v>
      </c>
      <c r="BL43" s="150">
        <f t="shared" si="71"/>
        <v>0.33925636923428115</v>
      </c>
      <c r="BM43" s="150">
        <f t="shared" si="71"/>
        <v>0.4000830017642949</v>
      </c>
      <c r="BN43" s="150">
        <f t="shared" si="71"/>
        <v>0.45291765315548482</v>
      </c>
      <c r="BO43" s="150">
        <f t="shared" si="71"/>
        <v>0.48163755010408099</v>
      </c>
      <c r="BP43" s="150">
        <f t="shared" si="71"/>
        <v>0.49853489106350884</v>
      </c>
      <c r="BQ43" s="150">
        <f t="shared" si="71"/>
        <v>0.5153334668171673</v>
      </c>
      <c r="BR43" s="150">
        <f t="shared" si="71"/>
        <v>0.54198515560125171</v>
      </c>
      <c r="BS43" s="150">
        <f t="shared" si="71"/>
        <v>0.57853364543672159</v>
      </c>
      <c r="BT43" s="150">
        <f t="shared" si="71"/>
        <v>0.59781959310151778</v>
      </c>
      <c r="BU43" s="150">
        <f t="shared" si="71"/>
        <v>0.61423360837958141</v>
      </c>
      <c r="BX43" s="221">
        <f t="shared" si="19"/>
        <v>35</v>
      </c>
    </row>
    <row r="44" spans="1:76" outlineLevel="1">
      <c r="A44" s="181"/>
      <c r="B44" s="87" t="s">
        <v>213</v>
      </c>
      <c r="C44" s="193"/>
      <c r="D44" s="193"/>
      <c r="E44" s="193"/>
      <c r="F44" s="193"/>
      <c r="G44" s="193"/>
      <c r="H44" s="193"/>
      <c r="I44" s="193"/>
      <c r="J44" s="63">
        <f t="shared" ref="J44:O44" si="72">J41/J45</f>
        <v>-0.44252346333372428</v>
      </c>
      <c r="K44" s="63">
        <f t="shared" si="72"/>
        <v>-0.62751453420210968</v>
      </c>
      <c r="L44" s="63">
        <f t="shared" si="72"/>
        <v>-1.8114599182337909</v>
      </c>
      <c r="M44" s="63">
        <f t="shared" si="72"/>
        <v>-0.32779708363421711</v>
      </c>
      <c r="N44" s="63">
        <f t="shared" si="72"/>
        <v>1.1883449312917915</v>
      </c>
      <c r="O44" s="63">
        <f t="shared" si="72"/>
        <v>1.9484235611402425</v>
      </c>
      <c r="P44" s="63">
        <f t="shared" ref="P44" si="73">P41/P45</f>
        <v>2.3325720025190724</v>
      </c>
      <c r="Q44" s="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  <c r="AI44" s="193"/>
      <c r="AJ44" s="193"/>
      <c r="AK44" s="193"/>
      <c r="AL44" s="193"/>
      <c r="AM44" s="193"/>
      <c r="AN44" s="193"/>
      <c r="AO44" s="193"/>
      <c r="AP44" s="193"/>
      <c r="AQ44" s="193"/>
      <c r="AR44" s="193"/>
      <c r="AS44" s="193"/>
      <c r="AT44" s="193"/>
      <c r="AU44" s="193"/>
      <c r="AV44" s="193"/>
      <c r="AW44" s="193"/>
      <c r="AX44" s="193"/>
      <c r="AY44" s="193"/>
      <c r="AZ44" s="193"/>
      <c r="BA44" s="193"/>
      <c r="BB44" s="63">
        <f t="shared" ref="BB44:BU44" si="74">BB41/BB45</f>
        <v>-0.47617804808132608</v>
      </c>
      <c r="BC44" s="63">
        <f t="shared" si="74"/>
        <v>-0.44355902479739112</v>
      </c>
      <c r="BD44" s="63">
        <f t="shared" si="74"/>
        <v>-0.52237140427482198</v>
      </c>
      <c r="BE44" s="63">
        <f t="shared" si="74"/>
        <v>-0.36935144108025203</v>
      </c>
      <c r="BF44" s="63">
        <f>BF41/BF45</f>
        <v>-0.69950394610388988</v>
      </c>
      <c r="BG44" s="63">
        <f>BG41/BG45</f>
        <v>-0.10868531156261811</v>
      </c>
      <c r="BH44" s="63">
        <f>BH41/BH45</f>
        <v>3.6374211444678041E-2</v>
      </c>
      <c r="BI44" s="63">
        <f>BI41/BI45</f>
        <v>0.39145584617754692</v>
      </c>
      <c r="BJ44" s="63">
        <f t="shared" si="74"/>
        <v>0.14917826269616477</v>
      </c>
      <c r="BK44" s="63">
        <f t="shared" si="74"/>
        <v>0.29982729759705035</v>
      </c>
      <c r="BL44" s="63">
        <f t="shared" si="74"/>
        <v>0.33925636923428115</v>
      </c>
      <c r="BM44" s="63">
        <f t="shared" si="74"/>
        <v>0.4000830017642949</v>
      </c>
      <c r="BN44" s="63">
        <f t="shared" si="74"/>
        <v>0.45291765315548482</v>
      </c>
      <c r="BO44" s="63">
        <f t="shared" si="74"/>
        <v>0.48163755010408099</v>
      </c>
      <c r="BP44" s="63">
        <f t="shared" si="74"/>
        <v>0.49853489106350884</v>
      </c>
      <c r="BQ44" s="63">
        <f t="shared" si="74"/>
        <v>0.5153334668171673</v>
      </c>
      <c r="BR44" s="63">
        <f t="shared" si="74"/>
        <v>0.54198515560125171</v>
      </c>
      <c r="BS44" s="63">
        <f t="shared" si="74"/>
        <v>0.57853364543672159</v>
      </c>
      <c r="BT44" s="63">
        <f t="shared" si="74"/>
        <v>0.59781959310151778</v>
      </c>
      <c r="BU44" s="63">
        <f t="shared" si="74"/>
        <v>0.61423360837958141</v>
      </c>
      <c r="BX44" s="221">
        <f t="shared" si="19"/>
        <v>36</v>
      </c>
    </row>
    <row r="45" spans="1:76" outlineLevel="1">
      <c r="A45" s="181"/>
      <c r="B45" s="87" t="s">
        <v>293</v>
      </c>
      <c r="C45" s="98"/>
      <c r="D45" s="98"/>
      <c r="E45" s="98"/>
      <c r="F45" s="98"/>
      <c r="G45" s="98"/>
      <c r="H45" s="98"/>
      <c r="I45" s="98"/>
      <c r="J45" s="61">
        <f t="shared" ref="J45:O45" si="75">J262</f>
        <v>103.01300000000001</v>
      </c>
      <c r="K45" s="61">
        <f t="shared" si="75"/>
        <v>103.01300000000001</v>
      </c>
      <c r="L45" s="61">
        <f t="shared" si="75"/>
        <v>103.01300000000001</v>
      </c>
      <c r="M45" s="61">
        <f t="shared" si="75"/>
        <v>107.51163375</v>
      </c>
      <c r="N45" s="61">
        <f t="shared" si="75"/>
        <v>112.39015499999999</v>
      </c>
      <c r="O45" s="61">
        <f t="shared" si="75"/>
        <v>112.39015499999999</v>
      </c>
      <c r="P45" s="61">
        <f t="shared" ref="P45" si="76">P262</f>
        <v>112.39015499999999</v>
      </c>
      <c r="Q45" s="3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188">
        <f t="shared" ref="BB45:BG45" si="77">BB262</f>
        <v>103.01300000000001</v>
      </c>
      <c r="BC45" s="188">
        <f t="shared" si="77"/>
        <v>103.01300000000001</v>
      </c>
      <c r="BD45" s="188">
        <f t="shared" si="77"/>
        <v>103.01300000000001</v>
      </c>
      <c r="BE45" s="188">
        <f t="shared" si="77"/>
        <v>103.01300000000001</v>
      </c>
      <c r="BF45" s="188">
        <f t="shared" si="77"/>
        <v>103.01300000000001</v>
      </c>
      <c r="BG45" s="188">
        <f t="shared" si="77"/>
        <v>103.01300000000001</v>
      </c>
      <c r="BH45" s="188">
        <f t="shared" ref="BH45:BI45" si="78">BH262</f>
        <v>111.755</v>
      </c>
      <c r="BI45" s="188">
        <f t="shared" si="78"/>
        <v>112.26553499999999</v>
      </c>
      <c r="BJ45" s="188">
        <f t="shared" ref="BJ45:BU45" si="79">BJ262</f>
        <v>112.39015499999999</v>
      </c>
      <c r="BK45" s="188">
        <f t="shared" si="79"/>
        <v>112.39015499999999</v>
      </c>
      <c r="BL45" s="188">
        <f t="shared" si="79"/>
        <v>112.39015499999999</v>
      </c>
      <c r="BM45" s="188">
        <f t="shared" si="79"/>
        <v>112.39015499999999</v>
      </c>
      <c r="BN45" s="188">
        <f t="shared" si="79"/>
        <v>112.39015499999999</v>
      </c>
      <c r="BO45" s="188">
        <f t="shared" si="79"/>
        <v>112.39015499999999</v>
      </c>
      <c r="BP45" s="188">
        <f t="shared" si="79"/>
        <v>112.39015499999999</v>
      </c>
      <c r="BQ45" s="188">
        <f t="shared" si="79"/>
        <v>112.39015499999999</v>
      </c>
      <c r="BR45" s="188">
        <f t="shared" si="79"/>
        <v>112.39015499999999</v>
      </c>
      <c r="BS45" s="188">
        <f t="shared" si="79"/>
        <v>112.39015499999999</v>
      </c>
      <c r="BT45" s="188">
        <f t="shared" si="79"/>
        <v>112.39015499999999</v>
      </c>
      <c r="BU45" s="188">
        <f t="shared" si="79"/>
        <v>112.39015499999999</v>
      </c>
      <c r="BX45" s="221">
        <f t="shared" si="19"/>
        <v>37</v>
      </c>
    </row>
    <row r="46" spans="1:76" outlineLevel="1">
      <c r="A46" s="181"/>
      <c r="B46" s="87" t="s">
        <v>212</v>
      </c>
      <c r="C46" s="193"/>
      <c r="D46" s="193"/>
      <c r="E46" s="193"/>
      <c r="F46" s="193"/>
      <c r="G46" s="193"/>
      <c r="H46" s="193"/>
      <c r="I46" s="193"/>
      <c r="J46" s="63">
        <f t="shared" ref="J46:P46" si="80">SUMIF($R$5:$BV$5,J$5,$R46:$BV46)</f>
        <v>0</v>
      </c>
      <c r="K46" s="63">
        <f t="shared" si="80"/>
        <v>0</v>
      </c>
      <c r="L46" s="63">
        <f t="shared" si="80"/>
        <v>0</v>
      </c>
      <c r="M46" s="63">
        <f t="shared" si="80"/>
        <v>0</v>
      </c>
      <c r="N46" s="63">
        <f t="shared" si="80"/>
        <v>0</v>
      </c>
      <c r="O46" s="63">
        <f t="shared" si="80"/>
        <v>0</v>
      </c>
      <c r="P46" s="63">
        <f t="shared" si="80"/>
        <v>0</v>
      </c>
      <c r="Q46" s="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3"/>
      <c r="AT46" s="193"/>
      <c r="AU46" s="193"/>
      <c r="AV46" s="193"/>
      <c r="AW46" s="193"/>
      <c r="AX46" s="193"/>
      <c r="AY46" s="193"/>
      <c r="AZ46" s="193"/>
      <c r="BA46" s="193"/>
      <c r="BB46" s="149">
        <v>0</v>
      </c>
      <c r="BC46" s="149">
        <v>0</v>
      </c>
      <c r="BD46" s="149">
        <v>0</v>
      </c>
      <c r="BE46" s="149">
        <v>0</v>
      </c>
      <c r="BF46" s="149">
        <v>0</v>
      </c>
      <c r="BG46" s="149">
        <v>0</v>
      </c>
      <c r="BH46" s="149">
        <v>0</v>
      </c>
      <c r="BI46" s="149">
        <v>0</v>
      </c>
      <c r="BJ46" s="149">
        <v>0</v>
      </c>
      <c r="BK46" s="149">
        <v>0</v>
      </c>
      <c r="BL46" s="149">
        <v>0</v>
      </c>
      <c r="BM46" s="149">
        <v>0</v>
      </c>
      <c r="BN46" s="149">
        <v>0</v>
      </c>
      <c r="BO46" s="149">
        <v>0</v>
      </c>
      <c r="BP46" s="149">
        <v>0</v>
      </c>
      <c r="BQ46" s="149">
        <v>0</v>
      </c>
      <c r="BR46" s="149">
        <v>0</v>
      </c>
      <c r="BS46" s="149">
        <v>0</v>
      </c>
      <c r="BT46" s="149">
        <v>0</v>
      </c>
      <c r="BU46" s="149">
        <v>0</v>
      </c>
      <c r="BX46" s="221">
        <f t="shared" si="19"/>
        <v>38</v>
      </c>
    </row>
    <row r="47" spans="1:76" ht="12.75" customHeight="1" outlineLevel="1">
      <c r="A47" s="181"/>
      <c r="B47" s="87"/>
      <c r="C47" s="87"/>
      <c r="D47" s="87"/>
      <c r="E47" s="148"/>
      <c r="F47" s="87"/>
      <c r="G47" s="87"/>
      <c r="H47" s="87"/>
      <c r="I47" s="63"/>
      <c r="J47" s="47"/>
      <c r="K47" s="47"/>
      <c r="L47" s="47"/>
      <c r="M47" s="47"/>
      <c r="N47" s="47"/>
      <c r="O47" s="47"/>
      <c r="P47" s="47"/>
      <c r="Q47" s="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147"/>
      <c r="BC47" s="147"/>
      <c r="BD47" s="147"/>
      <c r="BE47" s="147"/>
      <c r="BF47" s="147"/>
      <c r="BG47" s="147"/>
      <c r="BH47" s="147"/>
      <c r="BI47" s="147"/>
      <c r="BJ47" s="147"/>
      <c r="BK47" s="243"/>
      <c r="BL47" s="3"/>
      <c r="BM47" s="3"/>
      <c r="BN47" s="3"/>
      <c r="BO47" s="3"/>
      <c r="BP47" s="3"/>
      <c r="BQ47" s="3"/>
      <c r="BR47" s="3"/>
      <c r="BS47" s="3"/>
      <c r="BT47" s="3"/>
      <c r="BU47" s="3"/>
      <c r="BX47" s="221">
        <f t="shared" si="19"/>
        <v>39</v>
      </c>
    </row>
    <row r="48" spans="1:76">
      <c r="A48" s="182" t="s">
        <v>0</v>
      </c>
      <c r="B48" s="146" t="s">
        <v>211</v>
      </c>
      <c r="C48" s="145">
        <f t="shared" ref="C48:BA48" si="81">C$7</f>
        <v>2007</v>
      </c>
      <c r="D48" s="145">
        <f t="shared" si="81"/>
        <v>2008</v>
      </c>
      <c r="E48" s="145">
        <f t="shared" si="81"/>
        <v>2009</v>
      </c>
      <c r="F48" s="145">
        <f t="shared" si="81"/>
        <v>2010</v>
      </c>
      <c r="G48" s="145">
        <f t="shared" si="81"/>
        <v>2011</v>
      </c>
      <c r="H48" s="145">
        <f t="shared" si="81"/>
        <v>2012</v>
      </c>
      <c r="I48" s="145">
        <f t="shared" si="81"/>
        <v>2013</v>
      </c>
      <c r="J48" s="145">
        <f t="shared" si="81"/>
        <v>2014</v>
      </c>
      <c r="K48" s="145">
        <f t="shared" si="81"/>
        <v>2015</v>
      </c>
      <c r="L48" s="145">
        <f t="shared" si="81"/>
        <v>2016</v>
      </c>
      <c r="M48" s="145">
        <f t="shared" si="81"/>
        <v>2017</v>
      </c>
      <c r="N48" s="145" t="str">
        <f t="shared" si="81"/>
        <v>2018E</v>
      </c>
      <c r="O48" s="145" t="str">
        <f t="shared" si="81"/>
        <v>2019E</v>
      </c>
      <c r="P48" s="145" t="str">
        <f t="shared" si="81"/>
        <v>2020E</v>
      </c>
      <c r="Q48" s="3"/>
      <c r="R48" s="145" t="str">
        <f t="shared" si="81"/>
        <v>1Q07</v>
      </c>
      <c r="S48" s="145" t="str">
        <f t="shared" si="81"/>
        <v>2Q07</v>
      </c>
      <c r="T48" s="145" t="str">
        <f t="shared" si="81"/>
        <v>3Q07</v>
      </c>
      <c r="U48" s="145" t="str">
        <f t="shared" si="81"/>
        <v>4Q07</v>
      </c>
      <c r="V48" s="145" t="str">
        <f t="shared" si="81"/>
        <v>1Q08</v>
      </c>
      <c r="W48" s="145" t="str">
        <f t="shared" si="81"/>
        <v>2Q08</v>
      </c>
      <c r="X48" s="145" t="str">
        <f t="shared" si="81"/>
        <v>3Q08</v>
      </c>
      <c r="Y48" s="145" t="str">
        <f t="shared" si="81"/>
        <v>4Q08</v>
      </c>
      <c r="Z48" s="145" t="str">
        <f t="shared" si="81"/>
        <v>1Q09</v>
      </c>
      <c r="AA48" s="145" t="str">
        <f t="shared" si="81"/>
        <v>2Q09</v>
      </c>
      <c r="AB48" s="145" t="str">
        <f t="shared" si="81"/>
        <v>3Q09</v>
      </c>
      <c r="AC48" s="145" t="str">
        <f t="shared" si="81"/>
        <v>4Q09</v>
      </c>
      <c r="AD48" s="145" t="str">
        <f t="shared" si="81"/>
        <v>1Q10</v>
      </c>
      <c r="AE48" s="145" t="str">
        <f t="shared" si="81"/>
        <v>2Q10</v>
      </c>
      <c r="AF48" s="145" t="str">
        <f t="shared" si="81"/>
        <v>3Q10</v>
      </c>
      <c r="AG48" s="145" t="str">
        <f t="shared" si="81"/>
        <v>4Q10</v>
      </c>
      <c r="AH48" s="145" t="str">
        <f t="shared" si="81"/>
        <v>1Q11</v>
      </c>
      <c r="AI48" s="145" t="str">
        <f t="shared" si="81"/>
        <v>2Q11</v>
      </c>
      <c r="AJ48" s="145" t="str">
        <f t="shared" si="81"/>
        <v>3Q11</v>
      </c>
      <c r="AK48" s="145" t="str">
        <f t="shared" si="81"/>
        <v>4Q11</v>
      </c>
      <c r="AL48" s="145" t="str">
        <f t="shared" si="81"/>
        <v>1Q12</v>
      </c>
      <c r="AM48" s="145" t="str">
        <f t="shared" si="81"/>
        <v>2Q12</v>
      </c>
      <c r="AN48" s="145" t="str">
        <f t="shared" si="81"/>
        <v>3Q12</v>
      </c>
      <c r="AO48" s="145" t="str">
        <f t="shared" si="81"/>
        <v>4Q12</v>
      </c>
      <c r="AP48" s="145" t="str">
        <f t="shared" si="81"/>
        <v>1Q13</v>
      </c>
      <c r="AQ48" s="145" t="str">
        <f t="shared" si="81"/>
        <v>2Q13</v>
      </c>
      <c r="AR48" s="145" t="str">
        <f t="shared" si="81"/>
        <v>3Q13</v>
      </c>
      <c r="AS48" s="145" t="str">
        <f t="shared" si="81"/>
        <v>4Q13</v>
      </c>
      <c r="AT48" s="145" t="str">
        <f t="shared" si="81"/>
        <v>1Q14</v>
      </c>
      <c r="AU48" s="145" t="str">
        <f t="shared" si="81"/>
        <v>2Q14</v>
      </c>
      <c r="AV48" s="145" t="str">
        <f t="shared" si="81"/>
        <v>3Q14</v>
      </c>
      <c r="AW48" s="145" t="str">
        <f t="shared" si="81"/>
        <v>4Q14</v>
      </c>
      <c r="AX48" s="145" t="str">
        <f t="shared" si="81"/>
        <v>1Q15</v>
      </c>
      <c r="AY48" s="145" t="str">
        <f t="shared" si="81"/>
        <v>2Q15</v>
      </c>
      <c r="AZ48" s="145" t="str">
        <f t="shared" si="81"/>
        <v>3Q15</v>
      </c>
      <c r="BA48" s="145" t="str">
        <f t="shared" si="81"/>
        <v>4Q15</v>
      </c>
      <c r="BB48" s="145" t="str">
        <f t="shared" ref="BB48:BU48" si="82">BB$7</f>
        <v>1Q16</v>
      </c>
      <c r="BC48" s="145" t="str">
        <f t="shared" si="82"/>
        <v>2Q16</v>
      </c>
      <c r="BD48" s="145" t="str">
        <f t="shared" si="82"/>
        <v>3Q16</v>
      </c>
      <c r="BE48" s="145" t="str">
        <f t="shared" si="82"/>
        <v>4Q16</v>
      </c>
      <c r="BF48" s="145" t="str">
        <f t="shared" si="82"/>
        <v>1Q17</v>
      </c>
      <c r="BG48" s="145" t="str">
        <f t="shared" si="82"/>
        <v>2Q17</v>
      </c>
      <c r="BH48" s="145" t="str">
        <f t="shared" si="82"/>
        <v>3Q17</v>
      </c>
      <c r="BI48" s="145" t="str">
        <f t="shared" si="82"/>
        <v>4Q17</v>
      </c>
      <c r="BJ48" s="145" t="str">
        <f t="shared" si="82"/>
        <v>1Q18E</v>
      </c>
      <c r="BK48" s="145" t="str">
        <f t="shared" si="82"/>
        <v>2Q18E</v>
      </c>
      <c r="BL48" s="145" t="str">
        <f t="shared" si="82"/>
        <v>3Q18E</v>
      </c>
      <c r="BM48" s="145" t="str">
        <f t="shared" si="82"/>
        <v>4Q18E</v>
      </c>
      <c r="BN48" s="145" t="str">
        <f t="shared" si="82"/>
        <v>1Q19E</v>
      </c>
      <c r="BO48" s="145" t="str">
        <f t="shared" si="82"/>
        <v>2Q19E</v>
      </c>
      <c r="BP48" s="145" t="str">
        <f t="shared" si="82"/>
        <v>3Q19E</v>
      </c>
      <c r="BQ48" s="145" t="str">
        <f t="shared" si="82"/>
        <v>4Q19E</v>
      </c>
      <c r="BR48" s="145" t="str">
        <f t="shared" si="82"/>
        <v>1Q20E</v>
      </c>
      <c r="BS48" s="145" t="str">
        <f t="shared" si="82"/>
        <v>2Q20E</v>
      </c>
      <c r="BT48" s="145" t="str">
        <f t="shared" si="82"/>
        <v>3Q20E</v>
      </c>
      <c r="BU48" s="145" t="str">
        <f t="shared" si="82"/>
        <v>4Q20E</v>
      </c>
      <c r="BX48" s="221">
        <f t="shared" si="19"/>
        <v>40</v>
      </c>
    </row>
    <row r="49" spans="1:76" ht="11.25" customHeight="1" outlineLevel="1">
      <c r="A49" s="181" t="s">
        <v>210</v>
      </c>
      <c r="B49" s="114" t="s">
        <v>209</v>
      </c>
      <c r="C49" s="194"/>
      <c r="D49" s="195"/>
      <c r="E49" s="195"/>
      <c r="F49" s="195"/>
      <c r="G49" s="195"/>
      <c r="H49" s="195"/>
      <c r="I49" s="195"/>
      <c r="J49" s="137" t="str">
        <f t="shared" ref="J49:P49" si="83">IFERROR(J13/I13-1,"NM")</f>
        <v>NM</v>
      </c>
      <c r="K49" s="137">
        <f t="shared" si="83"/>
        <v>-7.4974291723298281E-2</v>
      </c>
      <c r="L49" s="137">
        <f t="shared" si="83"/>
        <v>0.1486095169524313</v>
      </c>
      <c r="M49" s="137">
        <f t="shared" si="83"/>
        <v>2.6666366747736614</v>
      </c>
      <c r="N49" s="137">
        <f t="shared" si="83"/>
        <v>0.45910831431183419</v>
      </c>
      <c r="O49" s="137">
        <f t="shared" si="83"/>
        <v>0.13707192780767707</v>
      </c>
      <c r="P49" s="137">
        <f t="shared" si="83"/>
        <v>2.5259857072286174E-3</v>
      </c>
      <c r="Q49" s="3"/>
      <c r="R49" s="195"/>
      <c r="S49" s="195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BA49" s="195"/>
      <c r="BB49" s="137" t="str">
        <f t="shared" ref="BB49:BU49" si="84">IFERROR(BB13/BA13-1,"NM")</f>
        <v>NM</v>
      </c>
      <c r="BC49" s="137">
        <f t="shared" si="84"/>
        <v>0.49665464018494143</v>
      </c>
      <c r="BD49" s="137">
        <f t="shared" si="84"/>
        <v>0.27473907514245965</v>
      </c>
      <c r="BE49" s="137">
        <f t="shared" si="84"/>
        <v>0.29361627495767073</v>
      </c>
      <c r="BF49" s="137">
        <f t="shared" si="84"/>
        <v>0.59006971986254642</v>
      </c>
      <c r="BG49" s="137">
        <f t="shared" si="84"/>
        <v>0.34554221683676678</v>
      </c>
      <c r="BH49" s="137">
        <f t="shared" si="84"/>
        <v>0.47709323628441247</v>
      </c>
      <c r="BI49" s="137">
        <f t="shared" si="84"/>
        <v>5.0676510888284731E-2</v>
      </c>
      <c r="BJ49" s="137">
        <f t="shared" si="84"/>
        <v>-2.3758200562323806E-3</v>
      </c>
      <c r="BK49" s="137">
        <f t="shared" si="84"/>
        <v>0.1019692541583419</v>
      </c>
      <c r="BL49" s="137">
        <f t="shared" si="84"/>
        <v>6.3560884874872547E-2</v>
      </c>
      <c r="BM49" s="137">
        <f t="shared" si="84"/>
        <v>4.3897995198769468E-2</v>
      </c>
      <c r="BN49" s="137">
        <f t="shared" si="84"/>
        <v>4.241415176490082E-2</v>
      </c>
      <c r="BO49" s="137">
        <f t="shared" si="84"/>
        <v>1.5807583681972659E-3</v>
      </c>
      <c r="BP49" s="137">
        <f t="shared" si="84"/>
        <v>1.6571766906856578E-3</v>
      </c>
      <c r="BQ49" s="137">
        <f t="shared" si="84"/>
        <v>1.7371567495465534E-3</v>
      </c>
      <c r="BR49" s="137">
        <f t="shared" si="84"/>
        <v>0</v>
      </c>
      <c r="BS49" s="137">
        <f t="shared" si="84"/>
        <v>0</v>
      </c>
      <c r="BT49" s="137">
        <f t="shared" si="84"/>
        <v>0</v>
      </c>
      <c r="BU49" s="137">
        <f t="shared" si="84"/>
        <v>0</v>
      </c>
      <c r="BX49" s="221">
        <f t="shared" si="19"/>
        <v>41</v>
      </c>
    </row>
    <row r="50" spans="1:76" ht="11.25" customHeight="1" outlineLevel="1">
      <c r="A50" s="181"/>
      <c r="B50" s="93" t="s">
        <v>178</v>
      </c>
      <c r="C50" s="196"/>
      <c r="D50" s="197"/>
      <c r="E50" s="197"/>
      <c r="F50" s="197"/>
      <c r="G50" s="197"/>
      <c r="H50" s="197"/>
      <c r="I50" s="197"/>
      <c r="J50" s="135" t="str">
        <f t="shared" ref="J50:P50" si="85">IFERROR(J11/I11-1,"NM")</f>
        <v>NM</v>
      </c>
      <c r="K50" s="135">
        <f t="shared" si="85"/>
        <v>-5.262615734667464E-2</v>
      </c>
      <c r="L50" s="135">
        <f t="shared" si="85"/>
        <v>0.1318094950998554</v>
      </c>
      <c r="M50" s="135">
        <f t="shared" si="85"/>
        <v>2.7173339066635003</v>
      </c>
      <c r="N50" s="135">
        <f t="shared" si="85"/>
        <v>0.44614874509002411</v>
      </c>
      <c r="O50" s="135">
        <f t="shared" si="85"/>
        <v>0.11900954346143933</v>
      </c>
      <c r="P50" s="135">
        <f t="shared" si="85"/>
        <v>0</v>
      </c>
      <c r="Q50" s="13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97"/>
      <c r="AF50" s="197"/>
      <c r="AG50" s="197"/>
      <c r="AH50" s="197"/>
      <c r="AI50" s="197"/>
      <c r="AJ50" s="197"/>
      <c r="AK50" s="197"/>
      <c r="AL50" s="197"/>
      <c r="AM50" s="197"/>
      <c r="AN50" s="197"/>
      <c r="AO50" s="197"/>
      <c r="AP50" s="197"/>
      <c r="AQ50" s="197"/>
      <c r="AR50" s="197"/>
      <c r="AS50" s="197"/>
      <c r="AT50" s="197"/>
      <c r="AU50" s="197"/>
      <c r="AV50" s="197"/>
      <c r="AW50" s="197"/>
      <c r="AX50" s="197"/>
      <c r="AY50" s="197"/>
      <c r="AZ50" s="197"/>
      <c r="BA50" s="197"/>
      <c r="BB50" s="135" t="str">
        <f t="shared" ref="BB50:BI51" si="86">IFERROR(BB11/BA11-1,"NM")</f>
        <v>NM</v>
      </c>
      <c r="BC50" s="135">
        <f t="shared" si="86"/>
        <v>0.50010154468092338</v>
      </c>
      <c r="BD50" s="135">
        <f t="shared" si="86"/>
        <v>0.31000819228536636</v>
      </c>
      <c r="BE50" s="135">
        <f t="shared" si="86"/>
        <v>0.27900323266547966</v>
      </c>
      <c r="BF50" s="135">
        <f t="shared" si="86"/>
        <v>0.62295148439242265</v>
      </c>
      <c r="BG50" s="135">
        <f t="shared" si="86"/>
        <v>0.34554221683676678</v>
      </c>
      <c r="BH50" s="135">
        <f t="shared" si="86"/>
        <v>0.44978894335511965</v>
      </c>
      <c r="BI50" s="135">
        <f t="shared" si="86"/>
        <v>5.7718702439170322E-2</v>
      </c>
      <c r="BJ50" s="144">
        <f t="shared" ref="BJ50:BU50" si="87">BJ67</f>
        <v>-3.6094478718272649E-3</v>
      </c>
      <c r="BK50" s="144">
        <f t="shared" si="87"/>
        <v>0.10000000000000009</v>
      </c>
      <c r="BL50" s="144">
        <f t="shared" si="87"/>
        <v>5.9230769230769198E-2</v>
      </c>
      <c r="BM50" s="144">
        <f t="shared" si="87"/>
        <v>3.7037037037036979E-2</v>
      </c>
      <c r="BN50" s="144">
        <f t="shared" si="87"/>
        <v>3.5714285714285809E-2</v>
      </c>
      <c r="BO50" s="144">
        <f t="shared" si="87"/>
        <v>0</v>
      </c>
      <c r="BP50" s="144">
        <f t="shared" si="87"/>
        <v>0</v>
      </c>
      <c r="BQ50" s="144">
        <f t="shared" si="87"/>
        <v>0</v>
      </c>
      <c r="BR50" s="144">
        <f t="shared" si="87"/>
        <v>0</v>
      </c>
      <c r="BS50" s="144">
        <f t="shared" si="87"/>
        <v>0</v>
      </c>
      <c r="BT50" s="144">
        <f t="shared" si="87"/>
        <v>0</v>
      </c>
      <c r="BU50" s="144">
        <f t="shared" si="87"/>
        <v>0</v>
      </c>
      <c r="BX50" s="221">
        <f t="shared" si="19"/>
        <v>42</v>
      </c>
    </row>
    <row r="51" spans="1:76" ht="11.25" customHeight="1" outlineLevel="1">
      <c r="A51" s="181"/>
      <c r="B51" s="93" t="s">
        <v>177</v>
      </c>
      <c r="C51" s="196"/>
      <c r="D51" s="197"/>
      <c r="E51" s="197"/>
      <c r="F51" s="197"/>
      <c r="G51" s="197"/>
      <c r="H51" s="197"/>
      <c r="I51" s="197"/>
      <c r="J51" s="135" t="str">
        <f t="shared" ref="J51:P51" si="88">IFERROR(J12/I12-1,"NM")</f>
        <v>NM</v>
      </c>
      <c r="K51" s="135">
        <f t="shared" si="88"/>
        <v>-0.75129282970486377</v>
      </c>
      <c r="L51" s="135">
        <f t="shared" si="88"/>
        <v>2.0852675762699531</v>
      </c>
      <c r="M51" s="135">
        <f t="shared" si="88"/>
        <v>0.52272027725671055</v>
      </c>
      <c r="N51" s="135">
        <f t="shared" si="88"/>
        <v>1.7970143301338379</v>
      </c>
      <c r="O51" s="135">
        <f t="shared" si="88"/>
        <v>1.1011859375000004</v>
      </c>
      <c r="P51" s="135">
        <f t="shared" si="88"/>
        <v>7.433079087033434E-2</v>
      </c>
      <c r="Q51" s="13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  <c r="BA51" s="197"/>
      <c r="BB51" s="135" t="str">
        <f t="shared" si="86"/>
        <v>NM</v>
      </c>
      <c r="BC51" s="135">
        <f t="shared" si="86"/>
        <v>0.40930031170054337</v>
      </c>
      <c r="BD51" s="135">
        <f t="shared" si="86"/>
        <v>-0.67666909778837292</v>
      </c>
      <c r="BE51" s="135">
        <f t="shared" si="86"/>
        <v>1.8907442911744319</v>
      </c>
      <c r="BF51" s="135">
        <f t="shared" si="86"/>
        <v>-1</v>
      </c>
      <c r="BG51" s="135" t="str">
        <f t="shared" si="86"/>
        <v>NM</v>
      </c>
      <c r="BH51" s="135" t="str">
        <f t="shared" si="86"/>
        <v>NM</v>
      </c>
      <c r="BI51" s="135">
        <f t="shared" si="86"/>
        <v>-0.3232460614303525</v>
      </c>
      <c r="BJ51" s="144">
        <v>0.1</v>
      </c>
      <c r="BK51" s="144">
        <v>0.25</v>
      </c>
      <c r="BL51" s="144">
        <v>0.35</v>
      </c>
      <c r="BM51" s="144">
        <v>0.4</v>
      </c>
      <c r="BN51" s="144">
        <v>0.3</v>
      </c>
      <c r="BO51" s="144">
        <v>0.05</v>
      </c>
      <c r="BP51" s="144">
        <v>0.05</v>
      </c>
      <c r="BQ51" s="144">
        <v>0.05</v>
      </c>
      <c r="BR51" s="144">
        <v>0</v>
      </c>
      <c r="BS51" s="144">
        <v>0</v>
      </c>
      <c r="BT51" s="144">
        <v>0</v>
      </c>
      <c r="BU51" s="144">
        <v>0</v>
      </c>
      <c r="BX51" s="221">
        <f t="shared" si="19"/>
        <v>43</v>
      </c>
    </row>
    <row r="52" spans="1:76" ht="11.25" customHeight="1" outlineLevel="1">
      <c r="A52" s="182"/>
      <c r="B52" s="140" t="s">
        <v>208</v>
      </c>
      <c r="C52" s="198"/>
      <c r="D52" s="198"/>
      <c r="E52" s="198"/>
      <c r="F52" s="198"/>
      <c r="G52" s="198"/>
      <c r="H52" s="198"/>
      <c r="I52" s="198"/>
      <c r="J52" s="138">
        <f t="shared" ref="J52:O52" si="89">IFERROR(J25/J13,"NM")</f>
        <v>0.20376091998160858</v>
      </c>
      <c r="K52" s="138">
        <f t="shared" si="89"/>
        <v>0.16635671518631798</v>
      </c>
      <c r="L52" s="138">
        <f t="shared" si="89"/>
        <v>4.2384372336075296E-2</v>
      </c>
      <c r="M52" s="138">
        <f t="shared" si="89"/>
        <v>0.17031206531952597</v>
      </c>
      <c r="N52" s="138">
        <f t="shared" si="89"/>
        <v>0.23105174968847952</v>
      </c>
      <c r="O52" s="138">
        <f t="shared" si="89"/>
        <v>0.24929645829172753</v>
      </c>
      <c r="P52" s="138">
        <f t="shared" ref="P52" si="90">IFERROR(P25/P13,"NM")</f>
        <v>0.25</v>
      </c>
      <c r="Q52" s="139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  <c r="AP52" s="198"/>
      <c r="AQ52" s="198"/>
      <c r="AR52" s="198"/>
      <c r="AS52" s="198"/>
      <c r="AT52" s="198"/>
      <c r="AU52" s="198"/>
      <c r="AV52" s="198"/>
      <c r="AW52" s="198"/>
      <c r="AX52" s="198"/>
      <c r="AY52" s="198"/>
      <c r="AZ52" s="198"/>
      <c r="BA52" s="198"/>
      <c r="BB52" s="138">
        <f t="shared" ref="BB52:BU52" si="91">IFERROR(BB25/BB13,"NM")</f>
        <v>6.8843404517705237E-2</v>
      </c>
      <c r="BC52" s="138">
        <f t="shared" si="91"/>
        <v>0.11161116509308386</v>
      </c>
      <c r="BD52" s="138">
        <f t="shared" si="91"/>
        <v>-4.1820966790170055E-2</v>
      </c>
      <c r="BE52" s="138">
        <f>IFERROR(BE25/BE13,"NM")</f>
        <v>5.4776108532572344E-2</v>
      </c>
      <c r="BF52" s="138">
        <f>IFERROR(BF25/BF13,"NM")</f>
        <v>7.2745291543307777E-2</v>
      </c>
      <c r="BG52" s="138">
        <f>IFERROR(BG25/BG13,"NM")</f>
        <v>0.13849277084571207</v>
      </c>
      <c r="BH52" s="138">
        <f>IFERROR(BH25/BH13,"NM")</f>
        <v>0.18458963088359151</v>
      </c>
      <c r="BI52" s="138">
        <f>IFERROR(BI25/BI13,"NM")</f>
        <v>0.22394863307344115</v>
      </c>
      <c r="BJ52" s="138">
        <f t="shared" si="91"/>
        <v>0.20855588028388247</v>
      </c>
      <c r="BK52" s="138">
        <f t="shared" si="91"/>
        <v>0.22880864543125204</v>
      </c>
      <c r="BL52" s="138">
        <f t="shared" si="91"/>
        <v>0.23617408489977168</v>
      </c>
      <c r="BM52" s="138">
        <f t="shared" si="91"/>
        <v>0.24655226522248197</v>
      </c>
      <c r="BN52" s="138">
        <f t="shared" si="91"/>
        <v>0.24717893518404147</v>
      </c>
      <c r="BO52" s="138">
        <f t="shared" si="91"/>
        <v>0.25</v>
      </c>
      <c r="BP52" s="138">
        <f t="shared" si="91"/>
        <v>0.25</v>
      </c>
      <c r="BQ52" s="138">
        <f t="shared" si="91"/>
        <v>0.25</v>
      </c>
      <c r="BR52" s="138">
        <f t="shared" si="91"/>
        <v>0.25</v>
      </c>
      <c r="BS52" s="138">
        <f t="shared" si="91"/>
        <v>0.25</v>
      </c>
      <c r="BT52" s="138">
        <f t="shared" si="91"/>
        <v>0.25</v>
      </c>
      <c r="BU52" s="138">
        <f t="shared" si="91"/>
        <v>0.25</v>
      </c>
      <c r="BX52" s="221">
        <f t="shared" si="19"/>
        <v>44</v>
      </c>
    </row>
    <row r="53" spans="1:76" ht="11.25" customHeight="1" outlineLevel="1">
      <c r="A53" s="181"/>
      <c r="B53" s="93" t="s">
        <v>207</v>
      </c>
      <c r="C53" s="199"/>
      <c r="D53" s="199"/>
      <c r="E53" s="199"/>
      <c r="F53" s="199"/>
      <c r="G53" s="199"/>
      <c r="H53" s="199"/>
      <c r="I53" s="199"/>
      <c r="J53" s="141">
        <f t="shared" ref="J53:O53" si="92">IFERROR(J22/J11,"NM")</f>
        <v>0.20047404425605589</v>
      </c>
      <c r="K53" s="141">
        <f t="shared" si="92"/>
        <v>0.1609654537442429</v>
      </c>
      <c r="L53" s="141">
        <f t="shared" si="92"/>
        <v>7.888077874448382E-2</v>
      </c>
      <c r="M53" s="141">
        <f t="shared" si="92"/>
        <v>0.17849428430936684</v>
      </c>
      <c r="N53" s="141">
        <f t="shared" si="92"/>
        <v>0.23353589545180983</v>
      </c>
      <c r="O53" s="141">
        <f t="shared" si="92"/>
        <v>0.25</v>
      </c>
      <c r="P53" s="141">
        <f t="shared" ref="P53" si="93">IFERROR(P22/P11,"NM")</f>
        <v>0.25</v>
      </c>
      <c r="Q53" s="142"/>
      <c r="R53" s="199"/>
      <c r="S53" s="199"/>
      <c r="T53" s="199"/>
      <c r="U53" s="199"/>
      <c r="V53" s="199"/>
      <c r="W53" s="199"/>
      <c r="X53" s="199"/>
      <c r="Y53" s="199"/>
      <c r="Z53" s="199"/>
      <c r="AA53" s="199"/>
      <c r="AB53" s="199"/>
      <c r="AC53" s="199"/>
      <c r="AD53" s="199"/>
      <c r="AE53" s="199"/>
      <c r="AF53" s="199"/>
      <c r="AG53" s="199"/>
      <c r="AH53" s="199"/>
      <c r="AI53" s="199"/>
      <c r="AJ53" s="199"/>
      <c r="AK53" s="199"/>
      <c r="AL53" s="199"/>
      <c r="AM53" s="199"/>
      <c r="AN53" s="199"/>
      <c r="AO53" s="199"/>
      <c r="AP53" s="199"/>
      <c r="AQ53" s="199"/>
      <c r="AR53" s="199"/>
      <c r="AS53" s="199"/>
      <c r="AT53" s="199"/>
      <c r="AU53" s="199"/>
      <c r="AV53" s="199"/>
      <c r="AW53" s="199"/>
      <c r="AX53" s="199"/>
      <c r="AY53" s="199"/>
      <c r="AZ53" s="199"/>
      <c r="BA53" s="199"/>
      <c r="BB53" s="141">
        <f t="shared" ref="BB53:BI54" si="94">IFERROR(BB22/BB11,"NM")</f>
        <v>7.7307233893600058E-2</v>
      </c>
      <c r="BC53" s="141">
        <f t="shared" si="94"/>
        <v>0.13643841362144229</v>
      </c>
      <c r="BD53" s="141">
        <f t="shared" si="94"/>
        <v>2.1026739024547568E-2</v>
      </c>
      <c r="BE53" s="141">
        <f t="shared" si="94"/>
        <v>9.0388111344637187E-2</v>
      </c>
      <c r="BF53" s="141">
        <f t="shared" si="94"/>
        <v>0.10129375856224987</v>
      </c>
      <c r="BG53" s="141">
        <f t="shared" si="94"/>
        <v>0.14794699445434745</v>
      </c>
      <c r="BH53" s="141">
        <f t="shared" si="94"/>
        <v>0.18768397302760634</v>
      </c>
      <c r="BI53" s="141">
        <f t="shared" si="94"/>
        <v>0.22714164340822449</v>
      </c>
      <c r="BJ53" s="144">
        <v>0.21</v>
      </c>
      <c r="BK53" s="144">
        <v>0.23</v>
      </c>
      <c r="BL53" s="144">
        <v>0.24</v>
      </c>
      <c r="BM53" s="144">
        <v>0.25</v>
      </c>
      <c r="BN53" s="144">
        <f t="shared" ref="BN53:BU53" si="95">BM53</f>
        <v>0.25</v>
      </c>
      <c r="BO53" s="144">
        <f t="shared" si="95"/>
        <v>0.25</v>
      </c>
      <c r="BP53" s="144">
        <f t="shared" si="95"/>
        <v>0.25</v>
      </c>
      <c r="BQ53" s="144">
        <f t="shared" si="95"/>
        <v>0.25</v>
      </c>
      <c r="BR53" s="144">
        <f t="shared" si="95"/>
        <v>0.25</v>
      </c>
      <c r="BS53" s="144">
        <f t="shared" si="95"/>
        <v>0.25</v>
      </c>
      <c r="BT53" s="144">
        <f t="shared" si="95"/>
        <v>0.25</v>
      </c>
      <c r="BU53" s="144">
        <f t="shared" si="95"/>
        <v>0.25</v>
      </c>
      <c r="BX53" s="221">
        <f t="shared" si="19"/>
        <v>45</v>
      </c>
    </row>
    <row r="54" spans="1:76" ht="11.25" customHeight="1" outlineLevel="1">
      <c r="A54" s="181"/>
      <c r="B54" s="93" t="s">
        <v>206</v>
      </c>
      <c r="C54" s="199"/>
      <c r="D54" s="199"/>
      <c r="E54" s="199"/>
      <c r="F54" s="199"/>
      <c r="G54" s="199"/>
      <c r="H54" s="199"/>
      <c r="I54" s="199"/>
      <c r="J54" s="141">
        <f t="shared" ref="J54:O54" si="96">IFERROR(J23/J12,"NM")</f>
        <v>0.3032311910910464</v>
      </c>
      <c r="K54" s="141">
        <f t="shared" si="96"/>
        <v>0.78784578307593534</v>
      </c>
      <c r="L54" s="141">
        <f t="shared" si="96"/>
        <v>-0.47193350735289635</v>
      </c>
      <c r="M54" s="141">
        <f t="shared" si="96"/>
        <v>0.16155198053264841</v>
      </c>
      <c r="N54" s="141">
        <f t="shared" si="96"/>
        <v>0.18545634920634924</v>
      </c>
      <c r="O54" s="141">
        <f t="shared" si="96"/>
        <v>0.25</v>
      </c>
      <c r="P54" s="141">
        <f t="shared" ref="P54" si="97">IFERROR(P23/P12,"NM")</f>
        <v>0.25</v>
      </c>
      <c r="Q54" s="142"/>
      <c r="R54" s="199"/>
      <c r="S54" s="199"/>
      <c r="T54" s="199"/>
      <c r="U54" s="199"/>
      <c r="V54" s="199"/>
      <c r="W54" s="199"/>
      <c r="X54" s="199"/>
      <c r="Y54" s="199"/>
      <c r="Z54" s="199"/>
      <c r="AA54" s="199"/>
      <c r="AB54" s="199"/>
      <c r="AC54" s="199"/>
      <c r="AD54" s="199"/>
      <c r="AE54" s="199"/>
      <c r="AF54" s="199"/>
      <c r="AG54" s="199"/>
      <c r="AH54" s="199"/>
      <c r="AI54" s="199"/>
      <c r="AJ54" s="199"/>
      <c r="AK54" s="199"/>
      <c r="AL54" s="199"/>
      <c r="AM54" s="199"/>
      <c r="AN54" s="199"/>
      <c r="AO54" s="199"/>
      <c r="AP54" s="199"/>
      <c r="AQ54" s="199"/>
      <c r="AR54" s="199"/>
      <c r="AS54" s="199"/>
      <c r="AT54" s="199"/>
      <c r="AU54" s="199"/>
      <c r="AV54" s="199"/>
      <c r="AW54" s="199"/>
      <c r="AX54" s="199"/>
      <c r="AY54" s="199"/>
      <c r="AZ54" s="199"/>
      <c r="BA54" s="199"/>
      <c r="BB54" s="141">
        <f t="shared" si="94"/>
        <v>-0.14565401843081405</v>
      </c>
      <c r="BC54" s="141">
        <f t="shared" si="94"/>
        <v>-0.51791167791398607</v>
      </c>
      <c r="BD54" s="141">
        <f t="shared" si="94"/>
        <v>-2.275868200744124</v>
      </c>
      <c r="BE54" s="141">
        <f t="shared" si="94"/>
        <v>-4.6405228758169902E-2</v>
      </c>
      <c r="BF54" s="141" t="str">
        <f t="shared" si="94"/>
        <v>NM</v>
      </c>
      <c r="BG54" s="141" t="str">
        <f t="shared" si="94"/>
        <v>NM</v>
      </c>
      <c r="BH54" s="141">
        <f t="shared" si="94"/>
        <v>0.20378556046696145</v>
      </c>
      <c r="BI54" s="141">
        <f t="shared" si="94"/>
        <v>9.194439792329584E-2</v>
      </c>
      <c r="BJ54" s="144">
        <v>0.1</v>
      </c>
      <c r="BK54" s="144">
        <v>0.15</v>
      </c>
      <c r="BL54" s="144">
        <v>0.2</v>
      </c>
      <c r="BM54" s="144">
        <v>0.23</v>
      </c>
      <c r="BN54" s="144">
        <v>0.25</v>
      </c>
      <c r="BO54" s="144">
        <v>0.25</v>
      </c>
      <c r="BP54" s="144">
        <v>0.25</v>
      </c>
      <c r="BQ54" s="144">
        <v>0.25</v>
      </c>
      <c r="BR54" s="144">
        <v>0.25</v>
      </c>
      <c r="BS54" s="144">
        <v>0.25</v>
      </c>
      <c r="BT54" s="144">
        <v>0.25</v>
      </c>
      <c r="BU54" s="144">
        <v>0.25</v>
      </c>
      <c r="BX54" s="221">
        <f t="shared" si="19"/>
        <v>46</v>
      </c>
    </row>
    <row r="55" spans="1:76" ht="11.25" customHeight="1" outlineLevel="1">
      <c r="A55" s="182"/>
      <c r="B55" s="140" t="s">
        <v>205</v>
      </c>
      <c r="C55" s="198"/>
      <c r="D55" s="200"/>
      <c r="E55" s="200"/>
      <c r="F55" s="200"/>
      <c r="G55" s="200"/>
      <c r="H55" s="200"/>
      <c r="I55" s="200"/>
      <c r="J55" s="143">
        <f t="shared" ref="J55:P55" si="98">IFERROR(IF(((J25-I25)/(J13-I13))&gt;2,"NM",(J25-I25)/(J13-I13)),"NM")</f>
        <v>0.20376091998160858</v>
      </c>
      <c r="K55" s="143">
        <f t="shared" si="98"/>
        <v>0.66525045510099923</v>
      </c>
      <c r="L55" s="143">
        <f t="shared" si="98"/>
        <v>-0.79183099551230574</v>
      </c>
      <c r="M55" s="143">
        <f t="shared" si="98"/>
        <v>0.21828548974349959</v>
      </c>
      <c r="N55" s="143">
        <f t="shared" si="98"/>
        <v>0.36335099689335187</v>
      </c>
      <c r="O55" s="143">
        <f t="shared" si="98"/>
        <v>0.38239963189593029</v>
      </c>
      <c r="P55" s="143">
        <f t="shared" si="98"/>
        <v>0.52852165048249744</v>
      </c>
      <c r="Q55" s="139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  <c r="BA55" s="200"/>
      <c r="BB55" s="143">
        <f t="shared" ref="BB55:BU55" si="99">IFERROR(IF(((BB25-BA25)/(BB13-BA13))&gt;2,"NM",(BB25-BA25)/(BB13-BA13)),"NM")</f>
        <v>6.8843404517705237E-2</v>
      </c>
      <c r="BC55" s="143">
        <f t="shared" si="99"/>
        <v>0.19772283528598292</v>
      </c>
      <c r="BD55" s="143">
        <f t="shared" si="99"/>
        <v>-0.60028587318797766</v>
      </c>
      <c r="BE55" s="143">
        <f t="shared" si="99"/>
        <v>0.38376698390781633</v>
      </c>
      <c r="BF55" s="143">
        <f t="shared" si="99"/>
        <v>0.10319793536804303</v>
      </c>
      <c r="BG55" s="143">
        <f t="shared" si="99"/>
        <v>0.32876613282238548</v>
      </c>
      <c r="BH55" s="143">
        <f t="shared" si="99"/>
        <v>0.28120986469130671</v>
      </c>
      <c r="BI55" s="143">
        <f t="shared" si="99"/>
        <v>1.0006201422192811</v>
      </c>
      <c r="BJ55" s="143" t="str">
        <f t="shared" si="99"/>
        <v>NM</v>
      </c>
      <c r="BK55" s="143">
        <f t="shared" si="99"/>
        <v>0.4274250353866032</v>
      </c>
      <c r="BL55" s="143">
        <f t="shared" si="99"/>
        <v>0.35205414986455952</v>
      </c>
      <c r="BM55" s="143">
        <f t="shared" si="99"/>
        <v>0.48296808047140288</v>
      </c>
      <c r="BN55" s="143">
        <f t="shared" si="99"/>
        <v>0.26195395567798163</v>
      </c>
      <c r="BO55" s="143" t="str">
        <f t="shared" si="99"/>
        <v>NM</v>
      </c>
      <c r="BP55" s="143">
        <f t="shared" si="99"/>
        <v>0.25</v>
      </c>
      <c r="BQ55" s="143">
        <f t="shared" si="99"/>
        <v>0.25</v>
      </c>
      <c r="BR55" s="143" t="str">
        <f t="shared" si="99"/>
        <v>NM</v>
      </c>
      <c r="BS55" s="143" t="str">
        <f t="shared" si="99"/>
        <v>NM</v>
      </c>
      <c r="BT55" s="143" t="str">
        <f t="shared" si="99"/>
        <v>NM</v>
      </c>
      <c r="BU55" s="143" t="str">
        <f t="shared" si="99"/>
        <v>NM</v>
      </c>
      <c r="BX55" s="221">
        <f t="shared" si="19"/>
        <v>47</v>
      </c>
    </row>
    <row r="56" spans="1:76" ht="11.25" customHeight="1" outlineLevel="1">
      <c r="A56" s="181"/>
      <c r="B56" s="93" t="s">
        <v>350</v>
      </c>
      <c r="C56" s="199"/>
      <c r="D56" s="199"/>
      <c r="E56" s="199"/>
      <c r="F56" s="199"/>
      <c r="G56" s="199"/>
      <c r="H56" s="199"/>
      <c r="I56" s="199"/>
      <c r="J56" s="141">
        <f t="shared" ref="J56:P56" si="100">IFERROR(IF(((J22-I22)/(J11-I11))&gt;2,"NM",(J22-I22)/(J11-I11)),"NM")</f>
        <v>0.20047404425605589</v>
      </c>
      <c r="K56" s="141">
        <f t="shared" si="100"/>
        <v>0.91170600756333131</v>
      </c>
      <c r="L56" s="141">
        <f t="shared" si="100"/>
        <v>-0.5438715877490975</v>
      </c>
      <c r="M56" s="141">
        <f t="shared" si="100"/>
        <v>0.2151528286717688</v>
      </c>
      <c r="N56" s="141">
        <f t="shared" si="100"/>
        <v>0.35690643442158027</v>
      </c>
      <c r="O56" s="141">
        <f t="shared" si="100"/>
        <v>0.38834272503973383</v>
      </c>
      <c r="P56" s="141" t="str">
        <f t="shared" si="100"/>
        <v>NM</v>
      </c>
      <c r="Q56" s="142"/>
      <c r="R56" s="199"/>
      <c r="S56" s="199"/>
      <c r="T56" s="199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9"/>
      <c r="AL56" s="199"/>
      <c r="AM56" s="199"/>
      <c r="AN56" s="199"/>
      <c r="AO56" s="199"/>
      <c r="AP56" s="199"/>
      <c r="AQ56" s="199"/>
      <c r="AR56" s="199"/>
      <c r="AS56" s="199"/>
      <c r="AT56" s="199"/>
      <c r="AU56" s="199"/>
      <c r="AV56" s="199"/>
      <c r="AW56" s="199"/>
      <c r="AX56" s="199"/>
      <c r="AY56" s="199"/>
      <c r="AZ56" s="199"/>
      <c r="BA56" s="199"/>
      <c r="BB56" s="141">
        <f t="shared" ref="BB56:BU56" si="101">IFERROR(IF(((BB22-BA22)/(BB11-BA11))&gt;2,"NM",(BB22-BA22)/(BB11-BA11)),"NM")</f>
        <v>7.7307233893600058E-2</v>
      </c>
      <c r="BC56" s="141">
        <f t="shared" si="101"/>
        <v>0.25467676012678914</v>
      </c>
      <c r="BD56" s="141">
        <f t="shared" si="101"/>
        <v>-0.35125914718408796</v>
      </c>
      <c r="BE56" s="141">
        <f t="shared" si="101"/>
        <v>0.33899230011134157</v>
      </c>
      <c r="BF56" s="141">
        <f t="shared" si="101"/>
        <v>0.11880017357344322</v>
      </c>
      <c r="BG56" s="141">
        <f t="shared" si="101"/>
        <v>0.28296157044213893</v>
      </c>
      <c r="BH56" s="141">
        <f t="shared" si="101"/>
        <v>0.27602980535698302</v>
      </c>
      <c r="BI56" s="141">
        <f t="shared" si="101"/>
        <v>0.91076183431952629</v>
      </c>
      <c r="BJ56" s="141" t="str">
        <f t="shared" si="101"/>
        <v>NM</v>
      </c>
      <c r="BK56" s="141">
        <f t="shared" si="101"/>
        <v>0.42999999999999994</v>
      </c>
      <c r="BL56" s="141">
        <f t="shared" si="101"/>
        <v>0.40883116883116832</v>
      </c>
      <c r="BM56" s="141">
        <f t="shared" si="101"/>
        <v>0.52000000000000068</v>
      </c>
      <c r="BN56" s="141">
        <f t="shared" si="101"/>
        <v>0.25</v>
      </c>
      <c r="BO56" s="141" t="str">
        <f t="shared" si="101"/>
        <v>NM</v>
      </c>
      <c r="BP56" s="141" t="str">
        <f t="shared" si="101"/>
        <v>NM</v>
      </c>
      <c r="BQ56" s="141" t="str">
        <f t="shared" si="101"/>
        <v>NM</v>
      </c>
      <c r="BR56" s="141" t="str">
        <f t="shared" si="101"/>
        <v>NM</v>
      </c>
      <c r="BS56" s="141" t="str">
        <f t="shared" si="101"/>
        <v>NM</v>
      </c>
      <c r="BT56" s="141" t="str">
        <f t="shared" si="101"/>
        <v>NM</v>
      </c>
      <c r="BU56" s="141" t="str">
        <f t="shared" si="101"/>
        <v>NM</v>
      </c>
      <c r="BX56" s="221">
        <f t="shared" si="19"/>
        <v>48</v>
      </c>
    </row>
    <row r="57" spans="1:76" ht="11.25" customHeight="1" outlineLevel="1">
      <c r="A57" s="181"/>
      <c r="B57" s="93" t="s">
        <v>204</v>
      </c>
      <c r="C57" s="199"/>
      <c r="D57" s="199"/>
      <c r="E57" s="199"/>
      <c r="F57" s="199"/>
      <c r="G57" s="199"/>
      <c r="H57" s="199"/>
      <c r="I57" s="199"/>
      <c r="J57" s="141">
        <f t="shared" ref="J57:P57" si="102">IFERROR(IF(((J23-I23)/(J12-I12))&gt;2,"NM",(J23-I23)/(J12-I12)),"NM")</f>
        <v>0.3032311910910464</v>
      </c>
      <c r="K57" s="141">
        <f t="shared" si="102"/>
        <v>0.14280489778588951</v>
      </c>
      <c r="L57" s="141">
        <f t="shared" si="102"/>
        <v>-1.0760666674158734</v>
      </c>
      <c r="M57" s="141">
        <f t="shared" si="102"/>
        <v>1.3734534801456755</v>
      </c>
      <c r="N57" s="141">
        <f t="shared" si="102"/>
        <v>0.19875861857218141</v>
      </c>
      <c r="O57" s="141">
        <f t="shared" si="102"/>
        <v>0.30861285419261975</v>
      </c>
      <c r="P57" s="141">
        <f t="shared" si="102"/>
        <v>0.25</v>
      </c>
      <c r="Q57" s="142"/>
      <c r="R57" s="199"/>
      <c r="S57" s="199"/>
      <c r="T57" s="199"/>
      <c r="U57" s="199"/>
      <c r="V57" s="199"/>
      <c r="W57" s="199"/>
      <c r="X57" s="199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  <c r="AI57" s="199"/>
      <c r="AJ57" s="199"/>
      <c r="AK57" s="199"/>
      <c r="AL57" s="199"/>
      <c r="AM57" s="199"/>
      <c r="AN57" s="199"/>
      <c r="AO57" s="199"/>
      <c r="AP57" s="199"/>
      <c r="AQ57" s="199"/>
      <c r="AR57" s="199"/>
      <c r="AS57" s="199"/>
      <c r="AT57" s="199"/>
      <c r="AU57" s="199"/>
      <c r="AV57" s="199"/>
      <c r="AW57" s="199"/>
      <c r="AX57" s="199"/>
      <c r="AY57" s="199"/>
      <c r="AZ57" s="199"/>
      <c r="BA57" s="199"/>
      <c r="BB57" s="141">
        <f t="shared" ref="BB57:BU57" si="103">IFERROR(IF(((BB23-BA23)/(BB12-BA12))&gt;2,"NM",(BB23-BA23)/(BB12-BA12)),"NM")</f>
        <v>-0.14565401843081405</v>
      </c>
      <c r="BC57" s="141">
        <f t="shared" si="103"/>
        <v>-1.4274092982224873</v>
      </c>
      <c r="BD57" s="141">
        <f t="shared" si="103"/>
        <v>0.3220877700189087</v>
      </c>
      <c r="BE57" s="141">
        <f t="shared" si="103"/>
        <v>1.1327404560351599</v>
      </c>
      <c r="BF57" s="141">
        <f t="shared" si="103"/>
        <v>-6.045751633986924E-2</v>
      </c>
      <c r="BG57" s="141" t="str">
        <f t="shared" si="103"/>
        <v>NM</v>
      </c>
      <c r="BH57" s="141">
        <f t="shared" si="103"/>
        <v>0.20378556046696145</v>
      </c>
      <c r="BI57" s="141">
        <f t="shared" si="103"/>
        <v>0.43793828892005654</v>
      </c>
      <c r="BJ57" s="141">
        <f t="shared" si="103"/>
        <v>0.18055602076704169</v>
      </c>
      <c r="BK57" s="141">
        <f t="shared" si="103"/>
        <v>0.35000000000000003</v>
      </c>
      <c r="BL57" s="141">
        <f t="shared" si="103"/>
        <v>0.3428571428571428</v>
      </c>
      <c r="BM57" s="141">
        <f t="shared" si="103"/>
        <v>0.30499999999999999</v>
      </c>
      <c r="BN57" s="141">
        <f t="shared" si="103"/>
        <v>0.31666666666666665</v>
      </c>
      <c r="BO57" s="141">
        <f t="shared" si="103"/>
        <v>0.25</v>
      </c>
      <c r="BP57" s="141">
        <f t="shared" si="103"/>
        <v>0.25</v>
      </c>
      <c r="BQ57" s="141">
        <f t="shared" si="103"/>
        <v>0.25</v>
      </c>
      <c r="BR57" s="141" t="str">
        <f t="shared" si="103"/>
        <v>NM</v>
      </c>
      <c r="BS57" s="141" t="str">
        <f t="shared" si="103"/>
        <v>NM</v>
      </c>
      <c r="BT57" s="141" t="str">
        <f t="shared" si="103"/>
        <v>NM</v>
      </c>
      <c r="BU57" s="141" t="str">
        <f t="shared" si="103"/>
        <v>NM</v>
      </c>
      <c r="BX57" s="221">
        <f t="shared" si="19"/>
        <v>49</v>
      </c>
    </row>
    <row r="58" spans="1:76" ht="11.25" customHeight="1" outlineLevel="1">
      <c r="A58" s="182"/>
      <c r="B58" s="140" t="s">
        <v>203</v>
      </c>
      <c r="C58" s="198"/>
      <c r="D58" s="198"/>
      <c r="E58" s="198"/>
      <c r="F58" s="198"/>
      <c r="G58" s="198"/>
      <c r="H58" s="198"/>
      <c r="I58" s="198"/>
      <c r="J58" s="138">
        <f t="shared" ref="J58:O58" si="104">IFERROR(J27/J13,"NM")</f>
        <v>0.14817306219678716</v>
      </c>
      <c r="K58" s="138">
        <f t="shared" si="104"/>
        <v>0.10627849507627039</v>
      </c>
      <c r="L58" s="138">
        <f t="shared" si="104"/>
        <v>-2.1114349746987122E-2</v>
      </c>
      <c r="M58" s="138">
        <f t="shared" si="104"/>
        <v>0.12247086891025823</v>
      </c>
      <c r="N58" s="138">
        <f t="shared" si="104"/>
        <v>0.19371946511761531</v>
      </c>
      <c r="O58" s="138">
        <f t="shared" si="104"/>
        <v>0.21490108588729415</v>
      </c>
      <c r="P58" s="138">
        <f t="shared" ref="P58" si="105">IFERROR(P27/P13,"NM")</f>
        <v>0.21803052106998638</v>
      </c>
      <c r="Q58" s="139"/>
      <c r="R58" s="198"/>
      <c r="S58" s="198"/>
      <c r="T58" s="198"/>
      <c r="U58" s="198"/>
      <c r="V58" s="198"/>
      <c r="W58" s="198"/>
      <c r="X58" s="198"/>
      <c r="Y58" s="198"/>
      <c r="Z58" s="198"/>
      <c r="AA58" s="198"/>
      <c r="AB58" s="198"/>
      <c r="AC58" s="198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U58" s="198"/>
      <c r="AV58" s="198"/>
      <c r="AW58" s="198"/>
      <c r="AX58" s="198"/>
      <c r="AY58" s="198"/>
      <c r="AZ58" s="198"/>
      <c r="BA58" s="198"/>
      <c r="BB58" s="138">
        <f t="shared" ref="BB58:BU58" si="106">IFERROR(BB27/BB13,"NM")</f>
        <v>-4.8887971783911121E-3</v>
      </c>
      <c r="BC58" s="138">
        <f t="shared" si="106"/>
        <v>2.8355473685918987E-2</v>
      </c>
      <c r="BD58" s="138">
        <f t="shared" si="106"/>
        <v>-0.10217308030685235</v>
      </c>
      <c r="BE58" s="138">
        <f>IFERROR(BE27/BE13,"NM")</f>
        <v>4.9724232452510392E-3</v>
      </c>
      <c r="BF58" s="138">
        <f>IFERROR(BF27/BF13,"NM")</f>
        <v>2.039533130962342E-2</v>
      </c>
      <c r="BG58" s="138">
        <f>IFERROR(BG27/BG13,"NM")</f>
        <v>8.1405352545058471E-2</v>
      </c>
      <c r="BH58" s="138">
        <f>IFERROR(BH27/BH13,"NM")</f>
        <v>0.14106791926285664</v>
      </c>
      <c r="BI58" s="138">
        <f>IFERROR(BI27/BI13,"NM")</f>
        <v>0.18011326247781612</v>
      </c>
      <c r="BJ58" s="138">
        <f t="shared" si="106"/>
        <v>0.16658094351862501</v>
      </c>
      <c r="BK58" s="138">
        <f t="shared" si="106"/>
        <v>0.19071780341650188</v>
      </c>
      <c r="BL58" s="138">
        <f t="shared" si="106"/>
        <v>0.20035964065266915</v>
      </c>
      <c r="BM58" s="138">
        <f t="shared" si="106"/>
        <v>0.21224388987180121</v>
      </c>
      <c r="BN58" s="138">
        <f t="shared" si="106"/>
        <v>0.21269925410010398</v>
      </c>
      <c r="BO58" s="138">
        <f t="shared" si="106"/>
        <v>0.21557473693872403</v>
      </c>
      <c r="BP58" s="138">
        <f t="shared" si="106"/>
        <v>0.21563169129880194</v>
      </c>
      <c r="BQ58" s="138">
        <f t="shared" si="106"/>
        <v>0.21569129090437564</v>
      </c>
      <c r="BR58" s="138">
        <f t="shared" si="106"/>
        <v>0.21569129090437564</v>
      </c>
      <c r="BS58" s="138">
        <f t="shared" si="106"/>
        <v>0.21881026445852331</v>
      </c>
      <c r="BT58" s="138">
        <f t="shared" si="106"/>
        <v>0.21881026445852331</v>
      </c>
      <c r="BU58" s="138">
        <f t="shared" si="106"/>
        <v>0.21881026445852331</v>
      </c>
      <c r="BX58" s="221">
        <f t="shared" si="19"/>
        <v>50</v>
      </c>
    </row>
    <row r="59" spans="1:76" ht="11.25" customHeight="1" outlineLevel="1">
      <c r="A59" s="181"/>
      <c r="B59" s="114" t="s">
        <v>202</v>
      </c>
      <c r="C59" s="195"/>
      <c r="D59" s="195"/>
      <c r="E59" s="195"/>
      <c r="F59" s="195"/>
      <c r="G59" s="195"/>
      <c r="H59" s="195"/>
      <c r="I59" s="195"/>
      <c r="J59" s="137">
        <f t="shared" ref="J59:O59" si="107">IFERROR(J29/J13,"NM")</f>
        <v>-2.4257708656651375E-2</v>
      </c>
      <c r="K59" s="137">
        <f t="shared" si="107"/>
        <v>-8.3660315262540308E-2</v>
      </c>
      <c r="L59" s="137">
        <f t="shared" si="107"/>
        <v>-0.26121367481622965</v>
      </c>
      <c r="M59" s="137">
        <f t="shared" si="107"/>
        <v>1.9181871769381714E-2</v>
      </c>
      <c r="N59" s="137">
        <f t="shared" si="107"/>
        <v>8.9520104628935088E-2</v>
      </c>
      <c r="O59" s="137">
        <f t="shared" si="107"/>
        <v>0.12130636147454077</v>
      </c>
      <c r="P59" s="137">
        <f t="shared" ref="P59" si="108">IFERROR(P29/P13,"NM")</f>
        <v>0.14235270025058003</v>
      </c>
      <c r="Q59" s="14"/>
      <c r="R59" s="195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L59" s="195"/>
      <c r="AM59" s="195"/>
      <c r="AN59" s="195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37">
        <f t="shared" ref="BB59:BU59" si="109">IFERROR(BB29/BB13,"NM")</f>
        <v>-0.23313847531090878</v>
      </c>
      <c r="BC59" s="137">
        <f t="shared" si="109"/>
        <v>-0.27433321354668533</v>
      </c>
      <c r="BD59" s="137">
        <f t="shared" si="109"/>
        <v>-0.36131740896533526</v>
      </c>
      <c r="BE59" s="137">
        <f>IFERROR(BE29/BE13,"NM")</f>
        <v>-0.18725046844067189</v>
      </c>
      <c r="BF59" s="137">
        <f>IFERROR(BF29/BF13,"NM")</f>
        <v>-0.10607820847543029</v>
      </c>
      <c r="BG59" s="137">
        <f>IFERROR(BG29/BG13,"NM")</f>
        <v>-1.9911121014062127E-2</v>
      </c>
      <c r="BH59" s="137">
        <f>IFERROR(BH29/BH13,"NM")</f>
        <v>4.4265475527024804E-2</v>
      </c>
      <c r="BI59" s="137">
        <f>IFERROR(BI29/BI13,"NM")</f>
        <v>8.0482163153801675E-2</v>
      </c>
      <c r="BJ59" s="137">
        <f t="shared" si="109"/>
        <v>5.81638461483691E-2</v>
      </c>
      <c r="BK59" s="137">
        <f t="shared" si="109"/>
        <v>9.2088640514686113E-2</v>
      </c>
      <c r="BL59" s="137">
        <f t="shared" si="109"/>
        <v>9.6212055275341907E-2</v>
      </c>
      <c r="BM59" s="137">
        <f t="shared" si="109"/>
        <v>0.10642524468275058</v>
      </c>
      <c r="BN59" s="137">
        <f t="shared" si="109"/>
        <v>0.1139690934047536</v>
      </c>
      <c r="BO59" s="137">
        <f t="shared" si="109"/>
        <v>0.1202074527611646</v>
      </c>
      <c r="BP59" s="137">
        <f t="shared" si="109"/>
        <v>0.12375497295792981</v>
      </c>
      <c r="BQ59" s="137">
        <f t="shared" si="109"/>
        <v>0.12725806963428057</v>
      </c>
      <c r="BR59" s="137">
        <f t="shared" si="109"/>
        <v>0.1331898324489178</v>
      </c>
      <c r="BS59" s="137">
        <f t="shared" si="109"/>
        <v>0.14134546940086487</v>
      </c>
      <c r="BT59" s="137">
        <f t="shared" si="109"/>
        <v>0.14562210334181305</v>
      </c>
      <c r="BU59" s="137">
        <f t="shared" si="109"/>
        <v>0.14925339581072439</v>
      </c>
      <c r="BX59" s="221">
        <f t="shared" si="19"/>
        <v>51</v>
      </c>
    </row>
    <row r="60" spans="1:76" ht="11.25" customHeight="1" outlineLevel="1">
      <c r="A60" s="180"/>
      <c r="B60" s="90" t="s">
        <v>333</v>
      </c>
      <c r="C60" s="197"/>
      <c r="D60" s="197"/>
      <c r="E60" s="197"/>
      <c r="F60" s="197"/>
      <c r="G60" s="197"/>
      <c r="H60" s="197"/>
      <c r="I60" s="197"/>
      <c r="J60" s="135" t="str">
        <f t="shared" ref="J60:P60" si="110">IFERROR((-J28)/I193,"NM")</f>
        <v>NM</v>
      </c>
      <c r="K60" s="135">
        <f t="shared" si="110"/>
        <v>0.36623145855713529</v>
      </c>
      <c r="L60" s="135">
        <f t="shared" si="110"/>
        <v>0.65730714256574241</v>
      </c>
      <c r="M60" s="135">
        <f t="shared" si="110"/>
        <v>0.54138384617737734</v>
      </c>
      <c r="N60" s="135">
        <f t="shared" si="110"/>
        <v>0.50097253713418055</v>
      </c>
      <c r="O60" s="135">
        <f t="shared" si="110"/>
        <v>0.51658556104858844</v>
      </c>
      <c r="P60" s="135">
        <f t="shared" si="110"/>
        <v>0.5536744464818395</v>
      </c>
      <c r="Q60" s="3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35">
        <f t="shared" ref="BB60:BI60" si="111">IFERROR((-BB28*4)/BA193,"NM")</f>
        <v>0.36369032859826911</v>
      </c>
      <c r="BC60" s="135" t="str">
        <f t="shared" si="111"/>
        <v>NM</v>
      </c>
      <c r="BD60" s="135" t="str">
        <f t="shared" si="111"/>
        <v>NM</v>
      </c>
      <c r="BE60" s="135">
        <f t="shared" si="111"/>
        <v>0.3787099572464217</v>
      </c>
      <c r="BF60" s="135">
        <f t="shared" si="111"/>
        <v>0.4129445394260543</v>
      </c>
      <c r="BG60" s="135">
        <f t="shared" si="111"/>
        <v>0.45898743494032906</v>
      </c>
      <c r="BH60" s="135">
        <f t="shared" si="111"/>
        <v>0.64718509362010579</v>
      </c>
      <c r="BI60" s="135">
        <f t="shared" si="111"/>
        <v>0.45359757785938332</v>
      </c>
      <c r="BJ60" s="136">
        <f t="shared" ref="BJ60" si="112">+BI60+0.01</f>
        <v>0.46359757785938333</v>
      </c>
      <c r="BK60" s="136">
        <f t="shared" ref="BK60:BQ60" si="113">+BJ60+0.02</f>
        <v>0.48359757785938334</v>
      </c>
      <c r="BL60" s="136">
        <f t="shared" si="113"/>
        <v>0.50359757785938331</v>
      </c>
      <c r="BM60" s="136">
        <f t="shared" si="113"/>
        <v>0.52359757785938332</v>
      </c>
      <c r="BN60" s="136">
        <f t="shared" si="113"/>
        <v>0.54359757785938334</v>
      </c>
      <c r="BO60" s="136">
        <f t="shared" si="113"/>
        <v>0.56359757785938336</v>
      </c>
      <c r="BP60" s="136">
        <f t="shared" si="113"/>
        <v>0.58359757785938338</v>
      </c>
      <c r="BQ60" s="136">
        <f t="shared" si="113"/>
        <v>0.60359757785938339</v>
      </c>
      <c r="BR60" s="136">
        <f>BQ60</f>
        <v>0.60359757785938339</v>
      </c>
      <c r="BS60" s="136">
        <f>BR60</f>
        <v>0.60359757785938339</v>
      </c>
      <c r="BT60" s="136">
        <f>BS60</f>
        <v>0.60359757785938339</v>
      </c>
      <c r="BU60" s="136">
        <f>BT60</f>
        <v>0.60359757785938339</v>
      </c>
      <c r="BX60" s="221">
        <f t="shared" si="19"/>
        <v>52</v>
      </c>
    </row>
    <row r="61" spans="1:76" ht="11.25" customHeight="1" outlineLevel="1">
      <c r="A61" s="180"/>
      <c r="B61" s="90" t="s">
        <v>201</v>
      </c>
      <c r="C61" s="197"/>
      <c r="D61" s="197"/>
      <c r="E61" s="197"/>
      <c r="F61" s="197"/>
      <c r="G61" s="197"/>
      <c r="H61" s="197"/>
      <c r="I61" s="197"/>
      <c r="J61" s="135">
        <f>IFERROR((-J30)/AVERAGE(I219:J219),"NM")</f>
        <v>4.7941231237554643E-2</v>
      </c>
      <c r="K61" s="135">
        <f>IFERROR((-K30)/AVERAGE(J219:K219),"NM")</f>
        <v>0.10815827529985311</v>
      </c>
      <c r="L61" s="135">
        <f>IFERROR((-L30)/AVERAGE(K219:L219),"NM")</f>
        <v>0.15537065831776534</v>
      </c>
      <c r="M61" s="135">
        <f>(-M30)/AVERAGE(L219:M219)</f>
        <v>9.8517757662650779E-2</v>
      </c>
      <c r="N61" s="135">
        <f>(-N30)/AVERAGE(M219:N219)</f>
        <v>0.10776105361762871</v>
      </c>
      <c r="O61" s="135">
        <f>(-O30)/AVERAGE(N219:O219)</f>
        <v>0.10776622564878939</v>
      </c>
      <c r="P61" s="135">
        <f>(-P30)/AVERAGE(O219:P219)</f>
        <v>0.10777160676030399</v>
      </c>
      <c r="Q61" s="3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  <c r="AG61" s="197"/>
      <c r="AH61" s="197"/>
      <c r="AI61" s="197"/>
      <c r="AJ61" s="197"/>
      <c r="AK61" s="197"/>
      <c r="AL61" s="197"/>
      <c r="AM61" s="197"/>
      <c r="AN61" s="197"/>
      <c r="AO61" s="197"/>
      <c r="AP61" s="197"/>
      <c r="AQ61" s="197"/>
      <c r="AR61" s="197"/>
      <c r="AS61" s="197"/>
      <c r="AT61" s="197"/>
      <c r="AU61" s="197"/>
      <c r="AV61" s="197"/>
      <c r="AW61" s="197"/>
      <c r="AX61" s="197"/>
      <c r="AY61" s="197"/>
      <c r="AZ61" s="197"/>
      <c r="BA61" s="197"/>
      <c r="BB61" s="135">
        <f>(-BB30*4)/AVERAGE(BA219:BB219)</f>
        <v>0.1563046095347819</v>
      </c>
      <c r="BC61" s="197"/>
      <c r="BD61" s="135">
        <f t="shared" ref="BD61:BI61" si="114">(-BD30*4)/AVERAGE(BC219:BD219)</f>
        <v>0.14309118844649901</v>
      </c>
      <c r="BE61" s="135">
        <f t="shared" si="114"/>
        <v>0.14223749750588252</v>
      </c>
      <c r="BF61" s="135">
        <f t="shared" si="114"/>
        <v>0.16289950331549105</v>
      </c>
      <c r="BG61" s="135">
        <f t="shared" si="114"/>
        <v>0.11438829288821233</v>
      </c>
      <c r="BH61" s="135">
        <f t="shared" si="114"/>
        <v>0.13234161426420038</v>
      </c>
      <c r="BI61" s="135">
        <f t="shared" si="114"/>
        <v>0.10340667628715206</v>
      </c>
      <c r="BJ61" s="225">
        <v>0.1075</v>
      </c>
      <c r="BK61" s="225">
        <v>0.1075</v>
      </c>
      <c r="BL61" s="225">
        <v>0.1075</v>
      </c>
      <c r="BM61" s="225">
        <v>0.1075</v>
      </c>
      <c r="BN61" s="225">
        <v>0.1075</v>
      </c>
      <c r="BO61" s="225">
        <v>0.1075</v>
      </c>
      <c r="BP61" s="225">
        <v>0.1075</v>
      </c>
      <c r="BQ61" s="225">
        <v>0.1075</v>
      </c>
      <c r="BR61" s="225">
        <v>0.1075</v>
      </c>
      <c r="BS61" s="225">
        <v>0.1075</v>
      </c>
      <c r="BT61" s="225">
        <v>0.1075</v>
      </c>
      <c r="BU61" s="225">
        <v>0.1075</v>
      </c>
      <c r="BX61" s="221">
        <f t="shared" si="19"/>
        <v>53</v>
      </c>
    </row>
    <row r="62" spans="1:76" ht="11.25" customHeight="1" outlineLevel="1">
      <c r="A62" s="181"/>
      <c r="B62" s="99" t="s">
        <v>200</v>
      </c>
      <c r="C62" s="201"/>
      <c r="D62" s="201"/>
      <c r="E62" s="201"/>
      <c r="F62" s="201"/>
      <c r="G62" s="201"/>
      <c r="H62" s="201"/>
      <c r="I62" s="201"/>
      <c r="J62" s="119">
        <f>IFERROR(-J33/J32,"NM")</f>
        <v>0</v>
      </c>
      <c r="K62" s="119">
        <f>IFERROR(-K33/K32,"NM")</f>
        <v>0</v>
      </c>
      <c r="L62" s="119">
        <f>IFERROR(-L33/L32,"NM")</f>
        <v>0</v>
      </c>
      <c r="M62" s="47">
        <f>-M33/M32</f>
        <v>0.64637002341915073</v>
      </c>
      <c r="N62" s="47">
        <f>-N33/N32</f>
        <v>0.21999999999999997</v>
      </c>
      <c r="O62" s="47">
        <f>-O33/O32</f>
        <v>0.21999999999999997</v>
      </c>
      <c r="P62" s="47">
        <f>-P33/P32</f>
        <v>0.22000000000000003</v>
      </c>
      <c r="Q62" s="3"/>
      <c r="R62" s="201"/>
      <c r="S62" s="201"/>
      <c r="T62" s="201"/>
      <c r="U62" s="201"/>
      <c r="V62" s="201"/>
      <c r="W62" s="201"/>
      <c r="X62" s="201"/>
      <c r="Y62" s="201"/>
      <c r="Z62" s="201"/>
      <c r="AA62" s="201"/>
      <c r="AB62" s="201"/>
      <c r="AC62" s="201"/>
      <c r="AD62" s="201"/>
      <c r="AE62" s="201"/>
      <c r="AF62" s="201"/>
      <c r="AG62" s="201"/>
      <c r="AH62" s="201"/>
      <c r="AI62" s="201"/>
      <c r="AJ62" s="201"/>
      <c r="AK62" s="201"/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71">
        <f t="shared" ref="BB62:BI62" si="115">-BB33/BB32</f>
        <v>0</v>
      </c>
      <c r="BC62" s="71">
        <f t="shared" si="115"/>
        <v>0</v>
      </c>
      <c r="BD62" s="71">
        <f t="shared" si="115"/>
        <v>0</v>
      </c>
      <c r="BE62" s="71">
        <f t="shared" si="115"/>
        <v>0</v>
      </c>
      <c r="BF62" s="13">
        <f t="shared" si="115"/>
        <v>-3.9144659967282067E-3</v>
      </c>
      <c r="BG62" s="13">
        <f t="shared" si="115"/>
        <v>-2.143793297135372E-2</v>
      </c>
      <c r="BH62" s="13">
        <f t="shared" si="115"/>
        <v>5.7063077253526197E-2</v>
      </c>
      <c r="BI62" s="13">
        <f t="shared" si="115"/>
        <v>-5.6890306715847522E-2</v>
      </c>
      <c r="BJ62" s="71">
        <v>0.22</v>
      </c>
      <c r="BK62" s="71">
        <v>0.22</v>
      </c>
      <c r="BL62" s="71">
        <v>0.22</v>
      </c>
      <c r="BM62" s="71">
        <v>0.22</v>
      </c>
      <c r="BN62" s="71">
        <v>0.22</v>
      </c>
      <c r="BO62" s="71">
        <v>0.22</v>
      </c>
      <c r="BP62" s="71">
        <v>0.22</v>
      </c>
      <c r="BQ62" s="71">
        <v>0.22</v>
      </c>
      <c r="BR62" s="71">
        <v>0.22</v>
      </c>
      <c r="BS62" s="71">
        <v>0.22</v>
      </c>
      <c r="BT62" s="71">
        <v>0.22</v>
      </c>
      <c r="BU62" s="71">
        <v>0.22</v>
      </c>
      <c r="BX62" s="221">
        <f t="shared" si="19"/>
        <v>54</v>
      </c>
    </row>
    <row r="63" spans="1:76" ht="11.25" customHeight="1" outlineLevel="1">
      <c r="A63" s="181"/>
      <c r="B63" s="99" t="s">
        <v>199</v>
      </c>
      <c r="C63" s="197"/>
      <c r="D63" s="197"/>
      <c r="E63" s="197"/>
      <c r="F63" s="197"/>
      <c r="G63" s="197"/>
      <c r="H63" s="197"/>
      <c r="I63" s="197"/>
      <c r="J63" s="135">
        <f t="shared" ref="J63:O63" si="116">IFERROR(J34/J13,"NM")</f>
        <v>-4.9345295195452991E-2</v>
      </c>
      <c r="K63" s="135">
        <f t="shared" si="116"/>
        <v>-0.14176453938301087</v>
      </c>
      <c r="L63" s="135">
        <f t="shared" si="116"/>
        <v>-0.34921110562026247</v>
      </c>
      <c r="M63" s="135">
        <f t="shared" si="116"/>
        <v>-1.9583925876790517E-4</v>
      </c>
      <c r="N63" s="135">
        <f t="shared" si="116"/>
        <v>5.9357564054304771E-2</v>
      </c>
      <c r="O63" s="135">
        <f t="shared" si="116"/>
        <v>8.5591174638576989E-2</v>
      </c>
      <c r="P63" s="135">
        <f t="shared" ref="P63" si="117">IFERROR(P34/P13,"NM")</f>
        <v>0.10220803388508427</v>
      </c>
      <c r="Q63" s="3"/>
      <c r="R63" s="197"/>
      <c r="S63" s="197"/>
      <c r="T63" s="197"/>
      <c r="U63" s="197"/>
      <c r="V63" s="197"/>
      <c r="W63" s="197"/>
      <c r="X63" s="197"/>
      <c r="Y63" s="197"/>
      <c r="Z63" s="197"/>
      <c r="AA63" s="197"/>
      <c r="AB63" s="197"/>
      <c r="AC63" s="197"/>
      <c r="AD63" s="197"/>
      <c r="AE63" s="197"/>
      <c r="AF63" s="197"/>
      <c r="AG63" s="197"/>
      <c r="AH63" s="197"/>
      <c r="AI63" s="197"/>
      <c r="AJ63" s="197"/>
      <c r="AK63" s="197"/>
      <c r="AL63" s="197"/>
      <c r="AM63" s="197"/>
      <c r="AN63" s="197"/>
      <c r="AO63" s="197"/>
      <c r="AP63" s="197"/>
      <c r="AQ63" s="197"/>
      <c r="AR63" s="197"/>
      <c r="AS63" s="197"/>
      <c r="AT63" s="197"/>
      <c r="AU63" s="197"/>
      <c r="AV63" s="197"/>
      <c r="AW63" s="197"/>
      <c r="AX63" s="197"/>
      <c r="AY63" s="197"/>
      <c r="AZ63" s="197"/>
      <c r="BA63" s="197"/>
      <c r="BB63" s="135">
        <f t="shared" ref="BB63:BU63" si="118">IFERROR(BB34/BB13,"NM")</f>
        <v>-0.36369878203593375</v>
      </c>
      <c r="BC63" s="135">
        <f t="shared" si="118"/>
        <v>-0.37341895147590065</v>
      </c>
      <c r="BD63" s="135">
        <f t="shared" si="118"/>
        <v>-0.45067039428883715</v>
      </c>
      <c r="BE63" s="135">
        <f>IFERROR(BE34/BE13,"NM")</f>
        <v>-0.25023008216747328</v>
      </c>
      <c r="BF63" s="135">
        <f>IFERROR(BF34/BF13,"NM")</f>
        <v>-0.14310044013607995</v>
      </c>
      <c r="BG63" s="135">
        <f>IFERROR(BG34/BG13,"NM")</f>
        <v>-3.3765968508615504E-2</v>
      </c>
      <c r="BH63" s="135">
        <f>IFERROR(BH34/BH13,"NM")</f>
        <v>2.7592593368559095E-2</v>
      </c>
      <c r="BI63" s="135">
        <f>IFERROR(BI34/BI13,"NM")</f>
        <v>6.3421005403896405E-2</v>
      </c>
      <c r="BJ63" s="135">
        <f t="shared" si="118"/>
        <v>3.3512325924295948E-2</v>
      </c>
      <c r="BK63" s="135">
        <f t="shared" si="118"/>
        <v>6.1122445061603255E-2</v>
      </c>
      <c r="BL63" s="135">
        <f t="shared" si="118"/>
        <v>6.5027222087478007E-2</v>
      </c>
      <c r="BM63" s="135">
        <f t="shared" si="118"/>
        <v>7.3461404659438553E-2</v>
      </c>
      <c r="BN63" s="135">
        <f t="shared" si="118"/>
        <v>7.9778906234057353E-2</v>
      </c>
      <c r="BO63" s="135">
        <f t="shared" si="118"/>
        <v>8.4703858787781361E-2</v>
      </c>
      <c r="BP63" s="135">
        <f t="shared" si="118"/>
        <v>8.7530479727005436E-2</v>
      </c>
      <c r="BQ63" s="135">
        <f t="shared" si="118"/>
        <v>9.032299175619779E-2</v>
      </c>
      <c r="BR63" s="135">
        <f t="shared" si="118"/>
        <v>9.4994258850884E-2</v>
      </c>
      <c r="BS63" s="135">
        <f t="shared" si="118"/>
        <v>0.10140014777267187</v>
      </c>
      <c r="BT63" s="135">
        <f t="shared" si="118"/>
        <v>0.10478041434588062</v>
      </c>
      <c r="BU63" s="135">
        <f t="shared" si="118"/>
        <v>0.10765731457090061</v>
      </c>
      <c r="BX63" s="221">
        <f t="shared" si="19"/>
        <v>55</v>
      </c>
    </row>
    <row r="64" spans="1:76" outlineLevel="1">
      <c r="A64" s="181"/>
      <c r="B64" s="87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X64" s="221">
        <f t="shared" si="19"/>
        <v>56</v>
      </c>
    </row>
    <row r="65" spans="1:76" outlineLevel="1">
      <c r="A65" s="181" t="s">
        <v>0</v>
      </c>
      <c r="B65" s="114" t="s">
        <v>198</v>
      </c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215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3"/>
      <c r="BS65" s="3"/>
      <c r="BT65" s="3"/>
      <c r="BU65" s="3"/>
      <c r="BX65" s="221">
        <f t="shared" si="19"/>
        <v>57</v>
      </c>
    </row>
    <row r="66" spans="1:76" outlineLevel="1">
      <c r="A66" s="180"/>
      <c r="B66" s="8" t="s">
        <v>338</v>
      </c>
      <c r="C66" s="202"/>
      <c r="D66" s="202"/>
      <c r="E66" s="202"/>
      <c r="F66" s="202"/>
      <c r="G66" s="202"/>
      <c r="H66" s="202"/>
      <c r="I66" s="202"/>
      <c r="J66" s="40">
        <f t="shared" ref="J66:P66" si="119">SUMIF($R$5:$BV$5,J$5,$R66:$BV66)</f>
        <v>0</v>
      </c>
      <c r="K66" s="40">
        <f t="shared" si="119"/>
        <v>0</v>
      </c>
      <c r="L66" s="40">
        <f t="shared" si="119"/>
        <v>410.85547824000002</v>
      </c>
      <c r="M66" s="40">
        <f t="shared" si="119"/>
        <v>1527.287</v>
      </c>
      <c r="N66" s="40">
        <f t="shared" si="119"/>
        <v>2208.6841784423077</v>
      </c>
      <c r="O66" s="40">
        <f t="shared" si="119"/>
        <v>2471.5386741692309</v>
      </c>
      <c r="P66" s="40">
        <f t="shared" si="119"/>
        <v>2471.5386741692309</v>
      </c>
      <c r="Q66" s="3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16">
        <f t="shared" ref="BB66:BG66" si="120">BB11</f>
        <v>58.872999999999998</v>
      </c>
      <c r="BC66" s="16">
        <f t="shared" si="120"/>
        <v>88.315478240000004</v>
      </c>
      <c r="BD66" s="16">
        <f t="shared" si="120"/>
        <v>115.69400000000002</v>
      </c>
      <c r="BE66" s="16">
        <f t="shared" si="120"/>
        <v>147.97300000000001</v>
      </c>
      <c r="BF66" s="16">
        <f t="shared" si="120"/>
        <v>240.15299999999999</v>
      </c>
      <c r="BG66" s="16">
        <f t="shared" si="120"/>
        <v>323.13600000000002</v>
      </c>
      <c r="BH66" s="16">
        <f t="shared" ref="BH66:BI66" si="121">BH11</f>
        <v>468.47899999999998</v>
      </c>
      <c r="BI66" s="16">
        <f t="shared" si="121"/>
        <v>495.51900000000001</v>
      </c>
      <c r="BJ66" s="16">
        <f t="shared" ref="BJ66:BU66" si="122">BJ71*BJ76/4</f>
        <v>493.73045000000002</v>
      </c>
      <c r="BK66" s="16">
        <f t="shared" si="122"/>
        <v>543.10349500000007</v>
      </c>
      <c r="BL66" s="16">
        <f t="shared" si="122"/>
        <v>575.27193278076925</v>
      </c>
      <c r="BM66" s="16">
        <f t="shared" si="122"/>
        <v>596.57830066153849</v>
      </c>
      <c r="BN66" s="16">
        <f t="shared" si="122"/>
        <v>617.88466854230774</v>
      </c>
      <c r="BO66" s="16">
        <f t="shared" si="122"/>
        <v>617.88466854230774</v>
      </c>
      <c r="BP66" s="16">
        <f t="shared" si="122"/>
        <v>617.88466854230774</v>
      </c>
      <c r="BQ66" s="16">
        <f t="shared" si="122"/>
        <v>617.88466854230774</v>
      </c>
      <c r="BR66" s="16">
        <f t="shared" si="122"/>
        <v>617.88466854230774</v>
      </c>
      <c r="BS66" s="16">
        <f t="shared" si="122"/>
        <v>617.88466854230774</v>
      </c>
      <c r="BT66" s="16">
        <f t="shared" si="122"/>
        <v>617.88466854230774</v>
      </c>
      <c r="BU66" s="16">
        <f t="shared" si="122"/>
        <v>617.88466854230774</v>
      </c>
      <c r="BX66" s="221">
        <f t="shared" si="19"/>
        <v>58</v>
      </c>
    </row>
    <row r="67" spans="1:76" outlineLevel="1">
      <c r="A67" s="180"/>
      <c r="B67" s="92" t="s">
        <v>337</v>
      </c>
      <c r="C67" s="202"/>
      <c r="D67" s="202"/>
      <c r="E67" s="202"/>
      <c r="F67" s="202"/>
      <c r="G67" s="202"/>
      <c r="H67" s="202"/>
      <c r="I67" s="202"/>
      <c r="J67" s="119" t="str">
        <f>IFERROR(+J66/I66-1,"NM")</f>
        <v>NM</v>
      </c>
      <c r="K67" s="119" t="str">
        <f>IFERROR(+K66/J66-1,"NM")</f>
        <v>NM</v>
      </c>
      <c r="L67" s="119" t="str">
        <f>IFERROR(+L66/K66-1,"NM")</f>
        <v>NM</v>
      </c>
      <c r="M67" s="47">
        <f>+M66/L66-1</f>
        <v>2.7173339066635003</v>
      </c>
      <c r="N67" s="47">
        <f>+N66/M66-1</f>
        <v>0.44614874509002411</v>
      </c>
      <c r="O67" s="47">
        <f>+O66/N66-1</f>
        <v>0.11900954346143933</v>
      </c>
      <c r="P67" s="47">
        <f>+P66/O66-1</f>
        <v>0</v>
      </c>
      <c r="Q67" s="3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16"/>
      <c r="BC67" s="47">
        <f t="shared" ref="BC67:BI67" si="123">+BC66/BB66-1</f>
        <v>0.50010154468092338</v>
      </c>
      <c r="BD67" s="47">
        <f t="shared" si="123"/>
        <v>0.31000819228536636</v>
      </c>
      <c r="BE67" s="47">
        <f t="shared" si="123"/>
        <v>0.27900323266547966</v>
      </c>
      <c r="BF67" s="47">
        <f t="shared" si="123"/>
        <v>0.62295148439242265</v>
      </c>
      <c r="BG67" s="47">
        <f t="shared" si="123"/>
        <v>0.34554221683676678</v>
      </c>
      <c r="BH67" s="47">
        <f t="shared" si="123"/>
        <v>0.44978894335511965</v>
      </c>
      <c r="BI67" s="47">
        <f t="shared" si="123"/>
        <v>5.7718702439170322E-2</v>
      </c>
      <c r="BJ67" s="47">
        <f t="shared" ref="BJ67:BU67" si="124">+BJ66/BI66-1</f>
        <v>-3.6094478718272649E-3</v>
      </c>
      <c r="BK67" s="47">
        <f t="shared" si="124"/>
        <v>0.10000000000000009</v>
      </c>
      <c r="BL67" s="47">
        <f t="shared" si="124"/>
        <v>5.9230769230769198E-2</v>
      </c>
      <c r="BM67" s="47">
        <f t="shared" si="124"/>
        <v>3.7037037037036979E-2</v>
      </c>
      <c r="BN67" s="47">
        <f t="shared" si="124"/>
        <v>3.5714285714285809E-2</v>
      </c>
      <c r="BO67" s="47">
        <f t="shared" si="124"/>
        <v>0</v>
      </c>
      <c r="BP67" s="47">
        <f t="shared" si="124"/>
        <v>0</v>
      </c>
      <c r="BQ67" s="47">
        <f t="shared" si="124"/>
        <v>0</v>
      </c>
      <c r="BR67" s="47">
        <f t="shared" si="124"/>
        <v>0</v>
      </c>
      <c r="BS67" s="47">
        <f t="shared" si="124"/>
        <v>0</v>
      </c>
      <c r="BT67" s="47">
        <f t="shared" si="124"/>
        <v>0</v>
      </c>
      <c r="BU67" s="47">
        <f t="shared" si="124"/>
        <v>0</v>
      </c>
      <c r="BX67" s="221">
        <f t="shared" si="19"/>
        <v>59</v>
      </c>
    </row>
    <row r="68" spans="1:76" outlineLevel="1">
      <c r="A68" s="181"/>
      <c r="B68" s="114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215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3"/>
      <c r="BS68" s="3"/>
      <c r="BT68" s="3"/>
      <c r="BU68" s="3"/>
      <c r="BX68" s="221">
        <f t="shared" si="19"/>
        <v>60</v>
      </c>
    </row>
    <row r="69" spans="1:76" outlineLevel="1">
      <c r="A69" s="180"/>
      <c r="B69" s="8" t="s">
        <v>197</v>
      </c>
      <c r="C69" s="202"/>
      <c r="D69" s="202"/>
      <c r="E69" s="202"/>
      <c r="F69" s="202"/>
      <c r="G69" s="202"/>
      <c r="H69" s="202"/>
      <c r="I69" s="202"/>
      <c r="J69" s="121">
        <v>5.0833333333333339</v>
      </c>
      <c r="K69" s="121">
        <v>8</v>
      </c>
      <c r="L69" s="121">
        <f>IFERROR(AVERAGEIF($R$5:$BV$5,L$5,$R69:$BV69),"NM")</f>
        <v>19.875</v>
      </c>
      <c r="M69" s="121">
        <f>IFERROR(AVERAGEIF($R$5:$BV$5,M$5,$R69:$BV69),"NM")</f>
        <v>24.25</v>
      </c>
      <c r="N69" s="121">
        <f>IFERROR(AVERAGEIF($R$5:$BV$5,N$5,$R69:$BV69),"NM")</f>
        <v>28</v>
      </c>
      <c r="O69" s="121">
        <f>IFERROR(AVERAGEIF($R$5:$BV$5,O$5,$R69:$BV69),"NM")</f>
        <v>29</v>
      </c>
      <c r="P69" s="121">
        <f>IFERROR(AVERAGEIF($R$5:$BV$5,P$5,$R69:$BV69),"NM")</f>
        <v>29</v>
      </c>
      <c r="Q69" s="3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65">
        <v>10.5</v>
      </c>
      <c r="BC69" s="65">
        <v>23</v>
      </c>
      <c r="BD69" s="65">
        <v>23</v>
      </c>
      <c r="BE69" s="65">
        <v>23</v>
      </c>
      <c r="BF69" s="65">
        <v>23</v>
      </c>
      <c r="BG69" s="65">
        <v>23</v>
      </c>
      <c r="BH69" s="65">
        <v>25</v>
      </c>
      <c r="BI69" s="65">
        <v>26</v>
      </c>
      <c r="BJ69" s="16">
        <f t="shared" ref="BJ69:BU69" si="125">BI69+BJ70</f>
        <v>26</v>
      </c>
      <c r="BK69" s="16">
        <f t="shared" si="125"/>
        <v>28</v>
      </c>
      <c r="BL69" s="16">
        <f t="shared" si="125"/>
        <v>29</v>
      </c>
      <c r="BM69" s="16">
        <f t="shared" si="125"/>
        <v>29</v>
      </c>
      <c r="BN69" s="16">
        <f t="shared" si="125"/>
        <v>29</v>
      </c>
      <c r="BO69" s="16">
        <f t="shared" si="125"/>
        <v>29</v>
      </c>
      <c r="BP69" s="16">
        <f t="shared" si="125"/>
        <v>29</v>
      </c>
      <c r="BQ69" s="16">
        <f t="shared" si="125"/>
        <v>29</v>
      </c>
      <c r="BR69" s="16">
        <f t="shared" si="125"/>
        <v>29</v>
      </c>
      <c r="BS69" s="16">
        <f t="shared" si="125"/>
        <v>29</v>
      </c>
      <c r="BT69" s="16">
        <f t="shared" si="125"/>
        <v>29</v>
      </c>
      <c r="BU69" s="16">
        <f t="shared" si="125"/>
        <v>29</v>
      </c>
      <c r="BX69" s="221">
        <f t="shared" si="19"/>
        <v>61</v>
      </c>
    </row>
    <row r="70" spans="1:76" outlineLevel="1">
      <c r="A70" s="180"/>
      <c r="B70" s="8" t="s">
        <v>196</v>
      </c>
      <c r="C70" s="19"/>
      <c r="D70" s="19"/>
      <c r="E70" s="19"/>
      <c r="F70" s="19"/>
      <c r="G70" s="19"/>
      <c r="H70" s="19"/>
      <c r="I70" s="19"/>
      <c r="J70" s="40">
        <f t="shared" ref="J70:P70" si="126">SUMIF($R$5:$BV$5,J$5,$R70:$BV70)</f>
        <v>0</v>
      </c>
      <c r="K70" s="40">
        <f t="shared" si="126"/>
        <v>0</v>
      </c>
      <c r="L70" s="40">
        <f t="shared" si="126"/>
        <v>0</v>
      </c>
      <c r="M70" s="40">
        <f t="shared" si="126"/>
        <v>0</v>
      </c>
      <c r="N70" s="40">
        <f t="shared" si="126"/>
        <v>3</v>
      </c>
      <c r="O70" s="40">
        <f t="shared" si="126"/>
        <v>0</v>
      </c>
      <c r="P70" s="40">
        <f t="shared" si="126"/>
        <v>0</v>
      </c>
      <c r="Q70" s="3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65">
        <v>0</v>
      </c>
      <c r="BC70" s="65">
        <v>0</v>
      </c>
      <c r="BD70" s="65">
        <v>0</v>
      </c>
      <c r="BE70" s="65">
        <v>0</v>
      </c>
      <c r="BF70" s="65">
        <v>0</v>
      </c>
      <c r="BG70" s="65">
        <v>0</v>
      </c>
      <c r="BH70" s="65">
        <v>0</v>
      </c>
      <c r="BI70" s="65">
        <v>0</v>
      </c>
      <c r="BJ70" s="134">
        <v>0</v>
      </c>
      <c r="BK70" s="134">
        <v>2</v>
      </c>
      <c r="BL70" s="134">
        <v>1</v>
      </c>
      <c r="BM70" s="134">
        <v>0</v>
      </c>
      <c r="BN70" s="134">
        <v>0</v>
      </c>
      <c r="BO70" s="134">
        <v>0</v>
      </c>
      <c r="BP70" s="134">
        <v>0</v>
      </c>
      <c r="BQ70" s="134">
        <v>0</v>
      </c>
      <c r="BR70" s="134">
        <v>0</v>
      </c>
      <c r="BS70" s="134">
        <v>0</v>
      </c>
      <c r="BT70" s="134">
        <v>0</v>
      </c>
      <c r="BU70" s="134">
        <v>0</v>
      </c>
      <c r="BX70" s="221">
        <f t="shared" si="19"/>
        <v>62</v>
      </c>
    </row>
    <row r="71" spans="1:76" outlineLevel="1">
      <c r="A71" s="180"/>
      <c r="B71" s="8" t="s">
        <v>195</v>
      </c>
      <c r="C71" s="202"/>
      <c r="D71" s="202"/>
      <c r="E71" s="202"/>
      <c r="F71" s="202"/>
      <c r="G71" s="202"/>
      <c r="H71" s="202"/>
      <c r="I71" s="202"/>
      <c r="J71" s="40">
        <v>4.8333333333333339</v>
      </c>
      <c r="K71" s="40">
        <v>5.25</v>
      </c>
      <c r="L71" s="121">
        <f>IFERROR(AVERAGEIF($R$5:$BV$5,L$5,$R71:$BV71),"NM")</f>
        <v>10.166666666666666</v>
      </c>
      <c r="M71" s="121">
        <f>IFERROR(AVERAGEIF($R$5:$BV$5,M$5,$R71:$BV71),"NM")</f>
        <v>21.125</v>
      </c>
      <c r="N71" s="121">
        <f>IFERROR(AVERAGEIF($R$5:$BV$5,N$5,$R71:$BV71),"NM")</f>
        <v>26.75</v>
      </c>
      <c r="O71" s="121">
        <f>IFERROR(AVERAGEIF($R$5:$BV$5,O$5,$R71:$BV71),"NM")</f>
        <v>29</v>
      </c>
      <c r="P71" s="121">
        <f>IFERROR(AVERAGEIF($R$5:$BV$5,P$5,$R71:$BV71),"NM")</f>
        <v>29</v>
      </c>
      <c r="Q71" s="3"/>
      <c r="R71" s="202"/>
      <c r="S71" s="202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  <c r="AD71" s="202"/>
      <c r="AE71" s="202"/>
      <c r="AF71" s="202"/>
      <c r="AG71" s="202"/>
      <c r="AH71" s="202"/>
      <c r="AI71" s="202"/>
      <c r="AJ71" s="202"/>
      <c r="AK71" s="202"/>
      <c r="AL71" s="202"/>
      <c r="AM71" s="202"/>
      <c r="AN71" s="202"/>
      <c r="AO71" s="202"/>
      <c r="AP71" s="202"/>
      <c r="AQ71" s="202"/>
      <c r="AR71" s="202"/>
      <c r="AS71" s="202"/>
      <c r="AT71" s="202"/>
      <c r="AU71" s="202"/>
      <c r="AV71" s="202"/>
      <c r="AW71" s="202"/>
      <c r="AX71" s="202"/>
      <c r="AY71" s="202"/>
      <c r="AZ71" s="202"/>
      <c r="BA71" s="202"/>
      <c r="BB71" s="65">
        <v>6.666666666666667</v>
      </c>
      <c r="BC71" s="65">
        <v>9.3333333333333339</v>
      </c>
      <c r="BD71" s="65">
        <v>12.666666666666666</v>
      </c>
      <c r="BE71" s="65">
        <v>12</v>
      </c>
      <c r="BF71" s="65">
        <v>15.5</v>
      </c>
      <c r="BG71" s="65">
        <v>18.3</v>
      </c>
      <c r="BH71" s="65">
        <v>24.7</v>
      </c>
      <c r="BI71" s="65">
        <v>26</v>
      </c>
      <c r="BJ71" s="134">
        <v>26</v>
      </c>
      <c r="BK71" s="134">
        <v>26</v>
      </c>
      <c r="BL71" s="134">
        <v>27</v>
      </c>
      <c r="BM71" s="134">
        <v>28</v>
      </c>
      <c r="BN71" s="134">
        <v>29</v>
      </c>
      <c r="BO71" s="134">
        <f t="shared" ref="BO71:BQ71" si="127">+BN71+BO70</f>
        <v>29</v>
      </c>
      <c r="BP71" s="134">
        <f t="shared" si="127"/>
        <v>29</v>
      </c>
      <c r="BQ71" s="134">
        <f t="shared" si="127"/>
        <v>29</v>
      </c>
      <c r="BR71" s="134">
        <f>BQ71</f>
        <v>29</v>
      </c>
      <c r="BS71" s="134">
        <f>BR71</f>
        <v>29</v>
      </c>
      <c r="BT71" s="134">
        <f>BS71</f>
        <v>29</v>
      </c>
      <c r="BU71" s="134">
        <f>BT71</f>
        <v>29</v>
      </c>
      <c r="BX71" s="221">
        <f t="shared" si="19"/>
        <v>63</v>
      </c>
    </row>
    <row r="72" spans="1:76" outlineLevel="1">
      <c r="A72" s="180"/>
      <c r="B72" s="8" t="s">
        <v>194</v>
      </c>
      <c r="C72" s="201"/>
      <c r="D72" s="201"/>
      <c r="E72" s="201"/>
      <c r="F72" s="201"/>
      <c r="G72" s="201"/>
      <c r="H72" s="201"/>
      <c r="I72" s="201"/>
      <c r="J72" s="119">
        <f t="shared" ref="J72:O72" si="128">IFERROR(J71/J69,"NM")</f>
        <v>0.9508196721311476</v>
      </c>
      <c r="K72" s="119">
        <f t="shared" si="128"/>
        <v>0.65625</v>
      </c>
      <c r="L72" s="119">
        <f t="shared" si="128"/>
        <v>0.51153039832285108</v>
      </c>
      <c r="M72" s="119">
        <f t="shared" si="128"/>
        <v>0.87113402061855671</v>
      </c>
      <c r="N72" s="119">
        <f t="shared" si="128"/>
        <v>0.9553571428571429</v>
      </c>
      <c r="O72" s="119">
        <f t="shared" si="128"/>
        <v>1</v>
      </c>
      <c r="P72" s="119">
        <f t="shared" ref="P72" si="129">IFERROR(P71/P69,"NM")</f>
        <v>1</v>
      </c>
      <c r="Q72" s="3"/>
      <c r="R72" s="201"/>
      <c r="S72" s="201"/>
      <c r="T72" s="201"/>
      <c r="U72" s="201"/>
      <c r="V72" s="201"/>
      <c r="W72" s="201"/>
      <c r="X72" s="201"/>
      <c r="Y72" s="201"/>
      <c r="Z72" s="201"/>
      <c r="AA72" s="201"/>
      <c r="AB72" s="201"/>
      <c r="AC72" s="201"/>
      <c r="AD72" s="201"/>
      <c r="AE72" s="201"/>
      <c r="AF72" s="201"/>
      <c r="AG72" s="201"/>
      <c r="AH72" s="201"/>
      <c r="AI72" s="201"/>
      <c r="AJ72" s="201"/>
      <c r="AK72" s="201"/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47">
        <f t="shared" ref="BB72:BU72" si="130">BB71/BB69</f>
        <v>0.634920634920635</v>
      </c>
      <c r="BC72" s="47">
        <f t="shared" si="130"/>
        <v>0.40579710144927539</v>
      </c>
      <c r="BD72" s="47">
        <f t="shared" si="130"/>
        <v>0.55072463768115942</v>
      </c>
      <c r="BE72" s="47">
        <f t="shared" si="130"/>
        <v>0.52173913043478259</v>
      </c>
      <c r="BF72" s="47">
        <f t="shared" si="130"/>
        <v>0.67391304347826086</v>
      </c>
      <c r="BG72" s="47">
        <f t="shared" si="130"/>
        <v>0.79565217391304355</v>
      </c>
      <c r="BH72" s="47">
        <f t="shared" si="130"/>
        <v>0.98799999999999999</v>
      </c>
      <c r="BI72" s="47">
        <f t="shared" si="130"/>
        <v>1</v>
      </c>
      <c r="BJ72" s="47">
        <f t="shared" si="130"/>
        <v>1</v>
      </c>
      <c r="BK72" s="47">
        <f t="shared" si="130"/>
        <v>0.9285714285714286</v>
      </c>
      <c r="BL72" s="47">
        <f t="shared" si="130"/>
        <v>0.93103448275862066</v>
      </c>
      <c r="BM72" s="47">
        <f t="shared" si="130"/>
        <v>0.96551724137931039</v>
      </c>
      <c r="BN72" s="47">
        <f t="shared" si="130"/>
        <v>1</v>
      </c>
      <c r="BO72" s="47">
        <f t="shared" si="130"/>
        <v>1</v>
      </c>
      <c r="BP72" s="47">
        <f t="shared" si="130"/>
        <v>1</v>
      </c>
      <c r="BQ72" s="47">
        <f t="shared" si="130"/>
        <v>1</v>
      </c>
      <c r="BR72" s="47">
        <f t="shared" si="130"/>
        <v>1</v>
      </c>
      <c r="BS72" s="47">
        <f t="shared" si="130"/>
        <v>1</v>
      </c>
      <c r="BT72" s="47">
        <f t="shared" si="130"/>
        <v>1</v>
      </c>
      <c r="BU72" s="47">
        <f t="shared" si="130"/>
        <v>1</v>
      </c>
      <c r="BX72" s="221">
        <f t="shared" si="19"/>
        <v>64</v>
      </c>
    </row>
    <row r="73" spans="1:76" outlineLevel="1">
      <c r="A73" s="180"/>
      <c r="B73" s="8" t="s">
        <v>193</v>
      </c>
      <c r="C73" s="201"/>
      <c r="D73" s="201"/>
      <c r="E73" s="201"/>
      <c r="F73" s="201"/>
      <c r="G73" s="201"/>
      <c r="H73" s="201"/>
      <c r="I73" s="201"/>
      <c r="J73" s="119" t="str">
        <f t="shared" ref="J73:P73" si="131">IFERROR(AVERAGEIF($R$5:$BV$5,J$5,$R73:$BV73),"NM")</f>
        <v>NM</v>
      </c>
      <c r="K73" s="119" t="str">
        <f t="shared" si="131"/>
        <v>NM</v>
      </c>
      <c r="L73" s="119">
        <f t="shared" si="131"/>
        <v>0.59250000000000003</v>
      </c>
      <c r="M73" s="119">
        <f t="shared" si="131"/>
        <v>0.70250000000000012</v>
      </c>
      <c r="N73" s="119" t="str">
        <f t="shared" si="131"/>
        <v>NM</v>
      </c>
      <c r="O73" s="119" t="str">
        <f t="shared" si="131"/>
        <v>NM</v>
      </c>
      <c r="P73" s="119" t="str">
        <f t="shared" si="131"/>
        <v>NM</v>
      </c>
      <c r="Q73" s="3"/>
      <c r="R73" s="201"/>
      <c r="S73" s="201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133">
        <v>0.75</v>
      </c>
      <c r="BC73" s="133">
        <v>0.5</v>
      </c>
      <c r="BD73" s="133">
        <v>0.5</v>
      </c>
      <c r="BE73" s="133">
        <v>0.62</v>
      </c>
      <c r="BF73" s="133">
        <v>0.57999999999999996</v>
      </c>
      <c r="BG73" s="133">
        <v>0.64</v>
      </c>
      <c r="BH73" s="133">
        <v>0.81</v>
      </c>
      <c r="BI73" s="133">
        <v>0.78</v>
      </c>
      <c r="BJ73" s="133"/>
      <c r="BK73" s="133"/>
      <c r="BL73" s="133"/>
      <c r="BM73" s="133"/>
      <c r="BN73" s="133"/>
      <c r="BO73" s="133"/>
      <c r="BP73" s="133"/>
      <c r="BQ73" s="133"/>
      <c r="BR73" s="3"/>
      <c r="BS73" s="3"/>
      <c r="BT73" s="3"/>
      <c r="BU73" s="3"/>
      <c r="BX73" s="221">
        <f t="shared" si="19"/>
        <v>65</v>
      </c>
    </row>
    <row r="74" spans="1:76" outlineLevel="1">
      <c r="A74" s="180"/>
      <c r="B74" s="8" t="s">
        <v>192</v>
      </c>
      <c r="C74" s="202"/>
      <c r="D74" s="202"/>
      <c r="E74" s="202"/>
      <c r="F74" s="202"/>
      <c r="G74" s="202"/>
      <c r="H74" s="202"/>
      <c r="I74" s="202"/>
      <c r="J74" s="121" t="str">
        <f t="shared" ref="J74:O74" si="132">IFERROR(+J73*J71,"NM")</f>
        <v>NM</v>
      </c>
      <c r="K74" s="121" t="str">
        <f t="shared" si="132"/>
        <v>NM</v>
      </c>
      <c r="L74" s="121">
        <f t="shared" si="132"/>
        <v>6.0237499999999997</v>
      </c>
      <c r="M74" s="121">
        <f t="shared" si="132"/>
        <v>14.840312500000003</v>
      </c>
      <c r="N74" s="121" t="str">
        <f t="shared" si="132"/>
        <v>NM</v>
      </c>
      <c r="O74" s="121" t="str">
        <f t="shared" si="132"/>
        <v>NM</v>
      </c>
      <c r="P74" s="121" t="str">
        <f t="shared" ref="P74" si="133">IFERROR(+P73*P71,"NM")</f>
        <v>NM</v>
      </c>
      <c r="Q74" s="3"/>
      <c r="R74" s="202"/>
      <c r="S74" s="202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2"/>
      <c r="AP74" s="202"/>
      <c r="AQ74" s="202"/>
      <c r="AR74" s="202"/>
      <c r="AS74" s="202"/>
      <c r="AT74" s="202"/>
      <c r="AU74" s="202"/>
      <c r="AV74" s="202"/>
      <c r="AW74" s="202"/>
      <c r="AX74" s="202"/>
      <c r="AY74" s="202"/>
      <c r="AZ74" s="202"/>
      <c r="BA74" s="202"/>
      <c r="BB74" s="16">
        <f t="shared" ref="BB74:BI74" si="134">+BB73*BB71</f>
        <v>5</v>
      </c>
      <c r="BC74" s="16">
        <f t="shared" si="134"/>
        <v>4.666666666666667</v>
      </c>
      <c r="BD74" s="16">
        <f t="shared" si="134"/>
        <v>6.333333333333333</v>
      </c>
      <c r="BE74" s="16">
        <f t="shared" si="134"/>
        <v>7.4399999999999995</v>
      </c>
      <c r="BF74" s="16">
        <f t="shared" si="134"/>
        <v>8.99</v>
      </c>
      <c r="BG74" s="16">
        <f t="shared" si="134"/>
        <v>11.712000000000002</v>
      </c>
      <c r="BH74" s="16">
        <f t="shared" si="134"/>
        <v>20.007000000000001</v>
      </c>
      <c r="BI74" s="16">
        <f t="shared" si="134"/>
        <v>20.28</v>
      </c>
      <c r="BJ74" s="16"/>
      <c r="BK74" s="16"/>
      <c r="BL74" s="16"/>
      <c r="BM74" s="16"/>
      <c r="BN74" s="16"/>
      <c r="BO74" s="16"/>
      <c r="BP74" s="16"/>
      <c r="BQ74" s="16"/>
      <c r="BR74" s="3"/>
      <c r="BS74" s="3"/>
      <c r="BT74" s="3"/>
      <c r="BU74" s="3"/>
      <c r="BX74" s="221">
        <f t="shared" si="19"/>
        <v>66</v>
      </c>
    </row>
    <row r="75" spans="1:76" outlineLevel="1">
      <c r="A75" s="180"/>
      <c r="B75" s="8"/>
      <c r="C75" s="3"/>
      <c r="D75" s="3"/>
      <c r="E75" s="3"/>
      <c r="F75" s="3"/>
      <c r="G75" s="3"/>
      <c r="H75" s="3"/>
      <c r="I75" s="3"/>
      <c r="J75" s="3"/>
      <c r="K75" s="3"/>
      <c r="L75" s="187"/>
      <c r="M75" s="47"/>
      <c r="N75" s="47"/>
      <c r="O75" s="47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1"/>
      <c r="BL75" s="3"/>
      <c r="BM75" s="3"/>
      <c r="BN75" s="3"/>
      <c r="BO75" s="3"/>
      <c r="BP75" s="3"/>
      <c r="BQ75" s="3"/>
      <c r="BR75" s="3"/>
      <c r="BS75" s="3"/>
      <c r="BT75" s="3"/>
      <c r="BU75" s="3"/>
      <c r="BX75" s="221">
        <f t="shared" ref="BX75:BX138" si="135">+BX74+1</f>
        <v>67</v>
      </c>
    </row>
    <row r="76" spans="1:76" outlineLevel="1">
      <c r="A76" s="180"/>
      <c r="B76" s="8" t="s">
        <v>191</v>
      </c>
      <c r="C76" s="202"/>
      <c r="D76" s="202"/>
      <c r="E76" s="202"/>
      <c r="F76" s="202"/>
      <c r="G76" s="202"/>
      <c r="H76" s="202"/>
      <c r="I76" s="202"/>
      <c r="J76" s="121">
        <f t="shared" ref="J76:O76" si="136">IFERROR(J11/J71,"NM")</f>
        <v>79.277073895862074</v>
      </c>
      <c r="K76" s="121">
        <f t="shared" si="136"/>
        <v>69.144309771428581</v>
      </c>
      <c r="L76" s="121">
        <f t="shared" si="136"/>
        <v>40.412014253114762</v>
      </c>
      <c r="M76" s="121">
        <f t="shared" si="136"/>
        <v>72.297609467455629</v>
      </c>
      <c r="N76" s="121">
        <f t="shared" si="136"/>
        <v>82.567632838964769</v>
      </c>
      <c r="O76" s="121">
        <f t="shared" si="136"/>
        <v>85.225471523076934</v>
      </c>
      <c r="P76" s="121">
        <f t="shared" ref="P76" si="137">IFERROR(P11/P71,"NM")</f>
        <v>85.225471523076934</v>
      </c>
      <c r="Q76" s="3"/>
      <c r="R76" s="202"/>
      <c r="S76" s="202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  <c r="AD76" s="202"/>
      <c r="AE76" s="202"/>
      <c r="AF76" s="202"/>
      <c r="AG76" s="202"/>
      <c r="AH76" s="202"/>
      <c r="AI76" s="202"/>
      <c r="AJ76" s="202"/>
      <c r="AK76" s="202"/>
      <c r="AL76" s="202"/>
      <c r="AM76" s="202"/>
      <c r="AN76" s="202"/>
      <c r="AO76" s="202"/>
      <c r="AP76" s="202"/>
      <c r="AQ76" s="202"/>
      <c r="AR76" s="202"/>
      <c r="AS76" s="202"/>
      <c r="AT76" s="202"/>
      <c r="AU76" s="202"/>
      <c r="AV76" s="202"/>
      <c r="AW76" s="202"/>
      <c r="AX76" s="202"/>
      <c r="AY76" s="202"/>
      <c r="AZ76" s="202"/>
      <c r="BA76" s="202"/>
      <c r="BB76" s="16">
        <f t="shared" ref="BB76:BH76" si="138">BB11*4/BB71</f>
        <v>35.323799999999999</v>
      </c>
      <c r="BC76" s="16">
        <f t="shared" si="138"/>
        <v>37.849490674285711</v>
      </c>
      <c r="BD76" s="16">
        <f t="shared" si="138"/>
        <v>36.534947368421058</v>
      </c>
      <c r="BE76" s="16">
        <f t="shared" si="138"/>
        <v>49.324333333333335</v>
      </c>
      <c r="BF76" s="16">
        <f t="shared" si="138"/>
        <v>61.97496774193548</v>
      </c>
      <c r="BG76" s="16">
        <f t="shared" si="138"/>
        <v>70.630819672131153</v>
      </c>
      <c r="BH76" s="16">
        <f t="shared" si="138"/>
        <v>75.867044534412955</v>
      </c>
      <c r="BI76" s="16">
        <f t="shared" ref="BI76" si="139">BI11*4/BI71</f>
        <v>76.233692307692309</v>
      </c>
      <c r="BJ76" s="16">
        <f t="shared" ref="BJ76:BU76" si="140">+BI76*(1+BJ77)</f>
        <v>75.958530769230777</v>
      </c>
      <c r="BK76" s="16">
        <f t="shared" si="140"/>
        <v>83.554383846153854</v>
      </c>
      <c r="BL76" s="16">
        <f t="shared" si="140"/>
        <v>85.225471523076934</v>
      </c>
      <c r="BM76" s="16">
        <f t="shared" si="140"/>
        <v>85.225471523076934</v>
      </c>
      <c r="BN76" s="16">
        <f t="shared" si="140"/>
        <v>85.225471523076934</v>
      </c>
      <c r="BO76" s="16">
        <f t="shared" si="140"/>
        <v>85.225471523076934</v>
      </c>
      <c r="BP76" s="16">
        <f t="shared" si="140"/>
        <v>85.225471523076934</v>
      </c>
      <c r="BQ76" s="16">
        <f t="shared" si="140"/>
        <v>85.225471523076934</v>
      </c>
      <c r="BR76" s="16">
        <f t="shared" si="140"/>
        <v>85.225471523076934</v>
      </c>
      <c r="BS76" s="16">
        <f t="shared" si="140"/>
        <v>85.225471523076934</v>
      </c>
      <c r="BT76" s="16">
        <f t="shared" si="140"/>
        <v>85.225471523076934</v>
      </c>
      <c r="BU76" s="16">
        <f t="shared" si="140"/>
        <v>85.225471523076934</v>
      </c>
      <c r="BX76" s="221">
        <f t="shared" si="135"/>
        <v>68</v>
      </c>
    </row>
    <row r="77" spans="1:76" outlineLevel="1">
      <c r="A77" s="180"/>
      <c r="B77" s="8" t="s">
        <v>318</v>
      </c>
      <c r="C77" s="202"/>
      <c r="D77" s="202"/>
      <c r="E77" s="202"/>
      <c r="F77" s="202"/>
      <c r="G77" s="202"/>
      <c r="H77" s="202"/>
      <c r="I77" s="202"/>
      <c r="J77" s="219"/>
      <c r="K77" s="119">
        <f t="shared" ref="K77:P77" si="141">+K76/J76-1</f>
        <v>-0.1278145575572559</v>
      </c>
      <c r="L77" s="119">
        <f t="shared" si="141"/>
        <v>-0.41554099843204184</v>
      </c>
      <c r="M77" s="119">
        <f t="shared" si="141"/>
        <v>0.78901276770393292</v>
      </c>
      <c r="N77" s="119">
        <f t="shared" si="141"/>
        <v>0.14205204635614033</v>
      </c>
      <c r="O77" s="119">
        <f t="shared" si="141"/>
        <v>3.218983750322435E-2</v>
      </c>
      <c r="P77" s="119">
        <f t="shared" si="141"/>
        <v>0</v>
      </c>
      <c r="Q77" s="3"/>
      <c r="R77" s="202"/>
      <c r="S77" s="202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  <c r="AD77" s="202"/>
      <c r="AE77" s="202"/>
      <c r="AF77" s="202"/>
      <c r="AG77" s="202"/>
      <c r="AH77" s="202"/>
      <c r="AI77" s="202"/>
      <c r="AJ77" s="202"/>
      <c r="AK77" s="202"/>
      <c r="AL77" s="202"/>
      <c r="AM77" s="202"/>
      <c r="AN77" s="202"/>
      <c r="AO77" s="202"/>
      <c r="AP77" s="202"/>
      <c r="AQ77" s="202"/>
      <c r="AR77" s="202"/>
      <c r="AS77" s="202"/>
      <c r="AT77" s="202"/>
      <c r="AU77" s="202"/>
      <c r="AV77" s="202"/>
      <c r="AW77" s="202"/>
      <c r="AX77" s="202"/>
      <c r="AY77" s="202"/>
      <c r="AZ77" s="202"/>
      <c r="BA77" s="202"/>
      <c r="BB77" s="16"/>
      <c r="BC77" s="119">
        <f t="shared" ref="BC77:BI77" si="142">+BC76/BB76-1</f>
        <v>7.150110334351667E-2</v>
      </c>
      <c r="BD77" s="119">
        <f t="shared" si="142"/>
        <v>-3.4730805684466737E-2</v>
      </c>
      <c r="BE77" s="119">
        <f t="shared" si="142"/>
        <v>0.35005896781356172</v>
      </c>
      <c r="BF77" s="119">
        <f t="shared" si="142"/>
        <v>0.25647856856187579</v>
      </c>
      <c r="BG77" s="119">
        <f t="shared" si="142"/>
        <v>0.13966690497103196</v>
      </c>
      <c r="BH77" s="119">
        <f t="shared" si="142"/>
        <v>7.4135128072821521E-2</v>
      </c>
      <c r="BI77" s="119">
        <f t="shared" si="142"/>
        <v>4.8327673172117169E-3</v>
      </c>
      <c r="BJ77" s="230">
        <v>-3.6094478718272766E-3</v>
      </c>
      <c r="BK77" s="230">
        <v>0.1</v>
      </c>
      <c r="BL77" s="230">
        <v>0.02</v>
      </c>
      <c r="BM77" s="230">
        <v>0</v>
      </c>
      <c r="BN77" s="230">
        <v>0</v>
      </c>
      <c r="BO77" s="230">
        <v>0</v>
      </c>
      <c r="BP77" s="230">
        <v>0</v>
      </c>
      <c r="BQ77" s="230">
        <v>0</v>
      </c>
      <c r="BR77" s="230">
        <v>0</v>
      </c>
      <c r="BS77" s="230">
        <v>0</v>
      </c>
      <c r="BT77" s="230">
        <v>0</v>
      </c>
      <c r="BU77" s="230">
        <v>0</v>
      </c>
      <c r="BX77" s="221">
        <f t="shared" si="135"/>
        <v>69</v>
      </c>
    </row>
    <row r="78" spans="1:76" outlineLevel="1">
      <c r="A78" s="180"/>
      <c r="B78" s="8" t="s">
        <v>190</v>
      </c>
      <c r="C78" s="202"/>
      <c r="D78" s="202"/>
      <c r="E78" s="202"/>
      <c r="F78" s="202"/>
      <c r="G78" s="202"/>
      <c r="H78" s="202"/>
      <c r="I78" s="202"/>
      <c r="J78" s="16">
        <f t="shared" ref="J78:N78" si="143">(J22+J24)/J71</f>
        <v>15.892995620689666</v>
      </c>
      <c r="K78" s="16">
        <f t="shared" si="143"/>
        <v>11.129845196190487</v>
      </c>
      <c r="L78" s="16">
        <f t="shared" si="143"/>
        <v>2.2043321991113638</v>
      </c>
      <c r="M78" s="16">
        <f t="shared" si="143"/>
        <v>12.3192899408284</v>
      </c>
      <c r="N78" s="16">
        <f t="shared" si="143"/>
        <v>19.147926631131561</v>
      </c>
      <c r="O78" s="16">
        <f>(O22+O24)/O71</f>
        <v>21.244298915251992</v>
      </c>
      <c r="P78" s="16">
        <f>(P22+P24)/P71</f>
        <v>21.306367880769233</v>
      </c>
      <c r="Q78" s="3"/>
      <c r="R78" s="202"/>
      <c r="S78" s="202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  <c r="AD78" s="202"/>
      <c r="AE78" s="202"/>
      <c r="AF78" s="202"/>
      <c r="AG78" s="202"/>
      <c r="AH78" s="202"/>
      <c r="AI78" s="202"/>
      <c r="AJ78" s="202"/>
      <c r="AK78" s="202"/>
      <c r="AL78" s="202"/>
      <c r="AM78" s="202"/>
      <c r="AN78" s="202"/>
      <c r="AO78" s="202"/>
      <c r="AP78" s="202"/>
      <c r="AQ78" s="202"/>
      <c r="AR78" s="202"/>
      <c r="AS78" s="202"/>
      <c r="AT78" s="202"/>
      <c r="AU78" s="202"/>
      <c r="AV78" s="202"/>
      <c r="AW78" s="202"/>
      <c r="AX78" s="202"/>
      <c r="AY78" s="202"/>
      <c r="AZ78" s="202"/>
      <c r="BA78" s="202"/>
      <c r="BB78" s="16">
        <f t="shared" ref="BB78:BF78" si="144">(BB22+BB24)*4/BB71</f>
        <v>2.7307852686107492</v>
      </c>
      <c r="BC78" s="16">
        <f t="shared" si="144"/>
        <v>5.1077074754076879</v>
      </c>
      <c r="BD78" s="16">
        <f t="shared" si="144"/>
        <v>-0.78113122084326114</v>
      </c>
      <c r="BE78" s="16">
        <f t="shared" si="144"/>
        <v>2.8049999999999997</v>
      </c>
      <c r="BF78" s="16">
        <f t="shared" si="144"/>
        <v>4.4972903225806435</v>
      </c>
      <c r="BG78" s="16">
        <f>(BG22+BG24)*4/BG71</f>
        <v>9.7818579234972702</v>
      </c>
      <c r="BH78" s="16">
        <f>(BH22+BH24)*4/BH71</f>
        <v>13.976842105263156</v>
      </c>
      <c r="BI78" s="16">
        <f>(BI22+BI24)*4/BI71</f>
        <v>17.193692307692309</v>
      </c>
      <c r="BJ78" s="16">
        <f t="shared" ref="BJ78:BQ78" si="145">(BJ22+BJ24)*4/BJ71</f>
        <v>15.951291461538462</v>
      </c>
      <c r="BK78" s="16">
        <f t="shared" si="145"/>
        <v>19.217508284615388</v>
      </c>
      <c r="BL78" s="16">
        <f t="shared" si="145"/>
        <v>20.18744649887179</v>
      </c>
      <c r="BM78" s="16">
        <f t="shared" si="145"/>
        <v>21.049225023626374</v>
      </c>
      <c r="BN78" s="16">
        <f t="shared" si="145"/>
        <v>21.058092018700265</v>
      </c>
      <c r="BO78" s="16">
        <f t="shared" si="145"/>
        <v>21.306367880769233</v>
      </c>
      <c r="BP78" s="16">
        <f t="shared" si="145"/>
        <v>21.306367880769233</v>
      </c>
      <c r="BQ78" s="16">
        <f t="shared" si="145"/>
        <v>21.306367880769233</v>
      </c>
      <c r="BR78" s="16">
        <f t="shared" ref="BR78:BU78" si="146">BR22*4/BR71</f>
        <v>21.306367880769233</v>
      </c>
      <c r="BS78" s="16">
        <f t="shared" si="146"/>
        <v>21.306367880769233</v>
      </c>
      <c r="BT78" s="16">
        <f t="shared" si="146"/>
        <v>21.306367880769233</v>
      </c>
      <c r="BU78" s="16">
        <f t="shared" si="146"/>
        <v>21.306367880769233</v>
      </c>
      <c r="BX78" s="221">
        <f t="shared" si="135"/>
        <v>70</v>
      </c>
    </row>
    <row r="79" spans="1:76" outlineLevel="1">
      <c r="A79" s="180"/>
      <c r="B79" s="8" t="s">
        <v>331</v>
      </c>
      <c r="C79" s="202"/>
      <c r="D79" s="202"/>
      <c r="E79" s="202"/>
      <c r="F79" s="202"/>
      <c r="G79" s="202"/>
      <c r="H79" s="202"/>
      <c r="I79" s="202"/>
      <c r="J79" s="121">
        <f t="shared" ref="J79:P79" si="147">IFERROR(J125/J71,"NM")</f>
        <v>15.892995620689666</v>
      </c>
      <c r="K79" s="121">
        <f t="shared" si="147"/>
        <v>11.129845196190455</v>
      </c>
      <c r="L79" s="121">
        <f t="shared" si="147"/>
        <v>3.1877311549188416</v>
      </c>
      <c r="M79" s="121">
        <f t="shared" si="147"/>
        <v>12.904639053254439</v>
      </c>
      <c r="N79" s="121">
        <f t="shared" si="147"/>
        <v>19.41708550963623</v>
      </c>
      <c r="O79" s="121">
        <f t="shared" si="147"/>
        <v>21.368436846286471</v>
      </c>
      <c r="P79" s="121">
        <f t="shared" si="147"/>
        <v>21.306367880769233</v>
      </c>
      <c r="Q79" s="3"/>
      <c r="R79" s="202"/>
      <c r="S79" s="202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  <c r="AD79" s="202"/>
      <c r="AE79" s="202"/>
      <c r="AF79" s="202"/>
      <c r="AG79" s="202"/>
      <c r="AH79" s="202"/>
      <c r="AI79" s="202"/>
      <c r="AJ79" s="202"/>
      <c r="AK79" s="202"/>
      <c r="AL79" s="202"/>
      <c r="AM79" s="202"/>
      <c r="AN79" s="202"/>
      <c r="AO79" s="202"/>
      <c r="AP79" s="202"/>
      <c r="AQ79" s="202"/>
      <c r="AR79" s="202"/>
      <c r="AS79" s="202"/>
      <c r="AT79" s="202"/>
      <c r="AU79" s="202"/>
      <c r="AV79" s="202"/>
      <c r="AW79" s="202"/>
      <c r="AX79" s="202"/>
      <c r="AY79" s="202"/>
      <c r="AZ79" s="202"/>
      <c r="BA79" s="202"/>
      <c r="BB79" s="121">
        <f t="shared" ref="BB79:BU79" si="148">IFERROR(BB125*4/BB71,"NM")</f>
        <v>2.7307852686107492</v>
      </c>
      <c r="BC79" s="121">
        <f t="shared" si="148"/>
        <v>5.1641244639791291</v>
      </c>
      <c r="BD79" s="121">
        <f t="shared" si="148"/>
        <v>0.76821080359128535</v>
      </c>
      <c r="BE79" s="121">
        <f t="shared" si="148"/>
        <v>4.458333333333333</v>
      </c>
      <c r="BF79" s="121">
        <f t="shared" si="148"/>
        <v>6.2776774193548368</v>
      </c>
      <c r="BG79" s="121">
        <f t="shared" si="148"/>
        <v>10.4496174863388</v>
      </c>
      <c r="BH79" s="121">
        <f t="shared" si="148"/>
        <v>14.238785425101209</v>
      </c>
      <c r="BI79" s="121">
        <f t="shared" si="148"/>
        <v>17.315846153846152</v>
      </c>
      <c r="BJ79" s="121">
        <f t="shared" si="148"/>
        <v>15.951291461538464</v>
      </c>
      <c r="BK79" s="121">
        <f t="shared" si="148"/>
        <v>19.217508284615388</v>
      </c>
      <c r="BL79" s="121">
        <f t="shared" si="148"/>
        <v>20.720779832205128</v>
      </c>
      <c r="BM79" s="121">
        <f t="shared" si="148"/>
        <v>21.563510737912086</v>
      </c>
      <c r="BN79" s="121">
        <f t="shared" si="148"/>
        <v>21.554643742838199</v>
      </c>
      <c r="BO79" s="121">
        <f t="shared" si="148"/>
        <v>21.306367880769233</v>
      </c>
      <c r="BP79" s="121">
        <f t="shared" si="148"/>
        <v>21.306367880769233</v>
      </c>
      <c r="BQ79" s="121">
        <f t="shared" si="148"/>
        <v>21.306367880769233</v>
      </c>
      <c r="BR79" s="121">
        <f t="shared" si="148"/>
        <v>21.306367880769233</v>
      </c>
      <c r="BS79" s="121">
        <f t="shared" si="148"/>
        <v>21.306367880769233</v>
      </c>
      <c r="BT79" s="121">
        <f t="shared" si="148"/>
        <v>21.306367880769233</v>
      </c>
      <c r="BU79" s="121">
        <f t="shared" si="148"/>
        <v>21.306367880769233</v>
      </c>
      <c r="BX79" s="221">
        <f t="shared" si="135"/>
        <v>71</v>
      </c>
    </row>
    <row r="80" spans="1:76" outlineLevel="1">
      <c r="A80" s="180"/>
      <c r="B80" s="8" t="s">
        <v>352</v>
      </c>
      <c r="C80" s="202"/>
      <c r="D80" s="202"/>
      <c r="E80" s="202"/>
      <c r="F80" s="202"/>
      <c r="G80" s="202"/>
      <c r="H80" s="202"/>
      <c r="I80" s="202"/>
      <c r="J80" s="121">
        <f t="shared" ref="J80:O80" si="149">IFERROR(J27/J71,"NM")</f>
        <v>12.134883289986838</v>
      </c>
      <c r="K80" s="121">
        <f t="shared" si="149"/>
        <v>7.4123000372958598</v>
      </c>
      <c r="L80" s="121">
        <f t="shared" si="149"/>
        <v>-0.8734507753326799</v>
      </c>
      <c r="M80" s="121">
        <f t="shared" si="149"/>
        <v>8.9401183431952624</v>
      </c>
      <c r="N80" s="121">
        <f t="shared" si="149"/>
        <v>16.29461836337455</v>
      </c>
      <c r="O80" s="121">
        <f t="shared" si="149"/>
        <v>18.959342328557085</v>
      </c>
      <c r="P80" s="121">
        <f t="shared" ref="P80" si="150">IFERROR(P27/P71,"NM")</f>
        <v>19.284020718935718</v>
      </c>
      <c r="Q80" s="3"/>
      <c r="R80" s="202"/>
      <c r="S80" s="202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  <c r="AD80" s="202"/>
      <c r="AE80" s="202"/>
      <c r="AF80" s="202"/>
      <c r="AG80" s="202"/>
      <c r="AH80" s="202"/>
      <c r="AI80" s="202"/>
      <c r="AJ80" s="202"/>
      <c r="AK80" s="202"/>
      <c r="AL80" s="202"/>
      <c r="AM80" s="202"/>
      <c r="AN80" s="202"/>
      <c r="AO80" s="202"/>
      <c r="AP80" s="202"/>
      <c r="AQ80" s="202"/>
      <c r="AR80" s="202"/>
      <c r="AS80" s="202"/>
      <c r="AT80" s="202"/>
      <c r="AU80" s="202"/>
      <c r="AV80" s="202"/>
      <c r="AW80" s="202"/>
      <c r="AX80" s="202"/>
      <c r="AY80" s="202"/>
      <c r="AZ80" s="202"/>
      <c r="BA80" s="202"/>
      <c r="BB80" s="121">
        <f>BB27*4/BB71</f>
        <v>-0.17950508407382681</v>
      </c>
      <c r="BC80" s="121">
        <f t="shared" ref="BC80:BU80" si="151">BC27*4/BC71</f>
        <v>1.1130257218848982</v>
      </c>
      <c r="BD80" s="121">
        <f t="shared" si="151"/>
        <v>-3.7670424505759894</v>
      </c>
      <c r="BE80" s="121">
        <f t="shared" si="151"/>
        <v>0.25033333333333346</v>
      </c>
      <c r="BF80" s="121">
        <f t="shared" si="151"/>
        <v>1.263999999999998</v>
      </c>
      <c r="BG80" s="121">
        <f t="shared" si="151"/>
        <v>5.7497267759562876</v>
      </c>
      <c r="BH80" s="121">
        <f t="shared" si="151"/>
        <v>10.903967611336032</v>
      </c>
      <c r="BI80" s="121">
        <f t="shared" ref="BI80" si="152">BI27*4/BI71</f>
        <v>13.896153846153847</v>
      </c>
      <c r="BJ80" s="121">
        <f t="shared" si="151"/>
        <v>12.821569923076924</v>
      </c>
      <c r="BK80" s="121">
        <f t="shared" si="151"/>
        <v>16.176203476923082</v>
      </c>
      <c r="BL80" s="121">
        <f t="shared" si="151"/>
        <v>17.404740387760679</v>
      </c>
      <c r="BM80" s="121">
        <f t="shared" si="151"/>
        <v>18.559073786126373</v>
      </c>
      <c r="BN80" s="121">
        <f t="shared" si="151"/>
        <v>18.719205023010613</v>
      </c>
      <c r="BO80" s="121">
        <f t="shared" si="151"/>
        <v>19.002260673226132</v>
      </c>
      <c r="BP80" s="121">
        <f t="shared" si="151"/>
        <v>19.038779450780009</v>
      </c>
      <c r="BQ80" s="121">
        <f t="shared" si="151"/>
        <v>19.077124167211579</v>
      </c>
      <c r="BR80" s="121">
        <f t="shared" si="151"/>
        <v>19.077124167211579</v>
      </c>
      <c r="BS80" s="121">
        <f t="shared" si="151"/>
        <v>19.352986236177095</v>
      </c>
      <c r="BT80" s="121">
        <f t="shared" si="151"/>
        <v>19.352986236177095</v>
      </c>
      <c r="BU80" s="121">
        <f t="shared" si="151"/>
        <v>19.352986236177095</v>
      </c>
      <c r="BX80" s="221">
        <f t="shared" si="135"/>
        <v>72</v>
      </c>
    </row>
    <row r="81" spans="1:76" outlineLevel="1">
      <c r="A81" s="180"/>
      <c r="B81" s="8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X81" s="221">
        <f t="shared" si="135"/>
        <v>73</v>
      </c>
    </row>
    <row r="82" spans="1:76" outlineLevel="1">
      <c r="A82" s="180"/>
      <c r="B82" s="8" t="s">
        <v>189</v>
      </c>
      <c r="C82" s="202"/>
      <c r="D82" s="202"/>
      <c r="E82" s="202"/>
      <c r="F82" s="202"/>
      <c r="G82" s="202"/>
      <c r="H82" s="202"/>
      <c r="I82" s="202"/>
      <c r="J82" s="121">
        <f>+J69*40</f>
        <v>203.33333333333337</v>
      </c>
      <c r="K82" s="121">
        <f>+K69*40</f>
        <v>320</v>
      </c>
      <c r="L82" s="121">
        <f>IFERROR(AVERAGEIF($R$5:$BV$5,L$5,$R82:$BV82),"NM")</f>
        <v>944.25</v>
      </c>
      <c r="M82" s="121">
        <f>IFERROR(AVERAGEIF($R$5:$BV$5,M$5,$R82:$BV82),"NM")</f>
        <v>1059.25</v>
      </c>
      <c r="N82" s="121">
        <f>IFERROR(AVERAGEIF($R$5:$BV$5,N$5,$R82:$BV82),"NM")</f>
        <v>1289.25</v>
      </c>
      <c r="O82" s="121">
        <f>IFERROR(AVERAGEIF($R$5:$BV$5,O$5,$R82:$BV82),"NM")</f>
        <v>1339.25</v>
      </c>
      <c r="P82" s="121">
        <f>IFERROR(AVERAGEIF($R$5:$BV$5,P$5,$R82:$BV82),"NM")</f>
        <v>1339.25</v>
      </c>
      <c r="Q82" s="3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2">
        <f>BC82</f>
        <v>944.25</v>
      </c>
      <c r="BC82" s="132">
        <v>944.25</v>
      </c>
      <c r="BD82" s="132">
        <v>944.25</v>
      </c>
      <c r="BE82" s="132">
        <v>944.25</v>
      </c>
      <c r="BF82" s="132">
        <v>944.25</v>
      </c>
      <c r="BG82" s="132">
        <v>944.25</v>
      </c>
      <c r="BH82" s="242">
        <v>1159.25</v>
      </c>
      <c r="BI82" s="245">
        <f>+BH82+BI70*40+30</f>
        <v>1189.25</v>
      </c>
      <c r="BJ82" s="132">
        <f>+BI82+BJ70*50</f>
        <v>1189.25</v>
      </c>
      <c r="BK82" s="132">
        <f t="shared" ref="BK82:BU82" si="153">+BJ82+BK70*50</f>
        <v>1289.25</v>
      </c>
      <c r="BL82" s="132">
        <f t="shared" si="153"/>
        <v>1339.25</v>
      </c>
      <c r="BM82" s="132">
        <f t="shared" si="153"/>
        <v>1339.25</v>
      </c>
      <c r="BN82" s="132">
        <f t="shared" si="153"/>
        <v>1339.25</v>
      </c>
      <c r="BO82" s="132">
        <f t="shared" si="153"/>
        <v>1339.25</v>
      </c>
      <c r="BP82" s="132">
        <f t="shared" si="153"/>
        <v>1339.25</v>
      </c>
      <c r="BQ82" s="132">
        <f t="shared" si="153"/>
        <v>1339.25</v>
      </c>
      <c r="BR82" s="132">
        <f t="shared" si="153"/>
        <v>1339.25</v>
      </c>
      <c r="BS82" s="132">
        <f t="shared" si="153"/>
        <v>1339.25</v>
      </c>
      <c r="BT82" s="132">
        <f t="shared" si="153"/>
        <v>1339.25</v>
      </c>
      <c r="BU82" s="132">
        <f t="shared" si="153"/>
        <v>1339.25</v>
      </c>
      <c r="BX82" s="221">
        <f t="shared" si="135"/>
        <v>74</v>
      </c>
    </row>
    <row r="83" spans="1:76" outlineLevel="1">
      <c r="A83" s="180"/>
      <c r="B83" s="8" t="s">
        <v>339</v>
      </c>
      <c r="C83" s="202"/>
      <c r="D83" s="202"/>
      <c r="E83" s="202"/>
      <c r="F83" s="202"/>
      <c r="G83" s="202"/>
      <c r="H83" s="202"/>
      <c r="I83" s="202"/>
      <c r="J83" s="16">
        <f t="shared" ref="J83:O83" si="154">J71*J85</f>
        <v>193.33333333333337</v>
      </c>
      <c r="K83" s="16">
        <f t="shared" si="154"/>
        <v>210</v>
      </c>
      <c r="L83" s="16">
        <f t="shared" si="154"/>
        <v>483.01257861635219</v>
      </c>
      <c r="M83" s="16">
        <f t="shared" si="154"/>
        <v>922.74871134020611</v>
      </c>
      <c r="N83" s="16">
        <f t="shared" si="154"/>
        <v>1231.6941964285713</v>
      </c>
      <c r="O83" s="16">
        <f t="shared" si="154"/>
        <v>1339.25</v>
      </c>
      <c r="P83" s="16">
        <f t="shared" ref="P83" si="155">P71*P85</f>
        <v>1339.25</v>
      </c>
      <c r="Q83" s="3"/>
      <c r="R83" s="202"/>
      <c r="S83" s="202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  <c r="AD83" s="202"/>
      <c r="AE83" s="202"/>
      <c r="AF83" s="202"/>
      <c r="AG83" s="202"/>
      <c r="AH83" s="202"/>
      <c r="AI83" s="202"/>
      <c r="AJ83" s="202"/>
      <c r="AK83" s="202"/>
      <c r="AL83" s="202"/>
      <c r="AM83" s="202"/>
      <c r="AN83" s="202"/>
      <c r="AO83" s="202"/>
      <c r="AP83" s="202"/>
      <c r="AQ83" s="202"/>
      <c r="AR83" s="202"/>
      <c r="AS83" s="202"/>
      <c r="AT83" s="202"/>
      <c r="AU83" s="202"/>
      <c r="AV83" s="202"/>
      <c r="AW83" s="202"/>
      <c r="AX83" s="202"/>
      <c r="AY83" s="202"/>
      <c r="AZ83" s="202"/>
      <c r="BA83" s="202"/>
      <c r="BB83" s="22">
        <f t="shared" ref="BB83:BG83" si="156">BB71*BB85</f>
        <v>273.69565217391306</v>
      </c>
      <c r="BC83" s="22">
        <f t="shared" si="156"/>
        <v>383.17391304347825</v>
      </c>
      <c r="BD83" s="22">
        <f t="shared" si="156"/>
        <v>520.02173913043475</v>
      </c>
      <c r="BE83" s="22">
        <f t="shared" si="156"/>
        <v>492.65217391304344</v>
      </c>
      <c r="BF83" s="22">
        <f t="shared" si="156"/>
        <v>636.34239130434776</v>
      </c>
      <c r="BG83" s="22">
        <f t="shared" si="156"/>
        <v>751.29456521739132</v>
      </c>
      <c r="BH83" s="22">
        <f t="shared" ref="BH83:BI83" si="157">BH71*BH85</f>
        <v>1145.3389999999999</v>
      </c>
      <c r="BI83" s="22">
        <f t="shared" si="157"/>
        <v>1189.25</v>
      </c>
      <c r="BJ83" s="22">
        <f t="shared" ref="BJ83:BQ83" si="158">BJ71*BJ85</f>
        <v>1189.25</v>
      </c>
      <c r="BK83" s="22">
        <f t="shared" si="158"/>
        <v>1197.1607142857142</v>
      </c>
      <c r="BL83" s="22">
        <f t="shared" si="158"/>
        <v>1246.8879310344828</v>
      </c>
      <c r="BM83" s="22">
        <f t="shared" si="158"/>
        <v>1293.0689655172414</v>
      </c>
      <c r="BN83" s="22">
        <f t="shared" si="158"/>
        <v>1339.25</v>
      </c>
      <c r="BO83" s="22">
        <f t="shared" si="158"/>
        <v>1339.25</v>
      </c>
      <c r="BP83" s="22">
        <f t="shared" si="158"/>
        <v>1339.25</v>
      </c>
      <c r="BQ83" s="22">
        <f t="shared" si="158"/>
        <v>1339.25</v>
      </c>
      <c r="BR83" s="22">
        <f>BR71*BR85</f>
        <v>1339.25</v>
      </c>
      <c r="BS83" s="22">
        <f>BS71*BS85</f>
        <v>1339.25</v>
      </c>
      <c r="BT83" s="22">
        <f>BT71*BT85</f>
        <v>1339.25</v>
      </c>
      <c r="BU83" s="22">
        <f>BU71*BU85</f>
        <v>1339.25</v>
      </c>
      <c r="BX83" s="221">
        <f t="shared" si="135"/>
        <v>75</v>
      </c>
    </row>
    <row r="84" spans="1:76" outlineLevel="1">
      <c r="A84" s="180"/>
      <c r="B84" s="8" t="s">
        <v>351</v>
      </c>
      <c r="C84" s="202"/>
      <c r="D84" s="202"/>
      <c r="E84" s="202"/>
      <c r="F84" s="202"/>
      <c r="G84" s="202"/>
      <c r="H84" s="202"/>
      <c r="I84" s="202"/>
      <c r="J84" s="47">
        <f>J83/J82</f>
        <v>0.9508196721311476</v>
      </c>
      <c r="K84" s="47">
        <f t="shared" ref="K84:O84" si="159">K83/K82</f>
        <v>0.65625</v>
      </c>
      <c r="L84" s="47">
        <f t="shared" si="159"/>
        <v>0.51153039832285119</v>
      </c>
      <c r="M84" s="47">
        <f t="shared" si="159"/>
        <v>0.8711340206185566</v>
      </c>
      <c r="N84" s="47">
        <f t="shared" si="159"/>
        <v>0.95535714285714279</v>
      </c>
      <c r="O84" s="47">
        <f t="shared" si="159"/>
        <v>1</v>
      </c>
      <c r="P84" s="47">
        <f t="shared" ref="P84" si="160">P83/P82</f>
        <v>1</v>
      </c>
      <c r="Q84" s="3"/>
      <c r="R84" s="202"/>
      <c r="S84" s="202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  <c r="AD84" s="202"/>
      <c r="AE84" s="202"/>
      <c r="AF84" s="202"/>
      <c r="AG84" s="202"/>
      <c r="AH84" s="202"/>
      <c r="AI84" s="202"/>
      <c r="AJ84" s="202"/>
      <c r="AK84" s="202"/>
      <c r="AL84" s="202"/>
      <c r="AM84" s="202"/>
      <c r="AN84" s="202"/>
      <c r="AO84" s="202"/>
      <c r="AP84" s="202"/>
      <c r="AQ84" s="202"/>
      <c r="AR84" s="202"/>
      <c r="AS84" s="202"/>
      <c r="AT84" s="202"/>
      <c r="AU84" s="202"/>
      <c r="AV84" s="202"/>
      <c r="AW84" s="202"/>
      <c r="AX84" s="202"/>
      <c r="AY84" s="202"/>
      <c r="AZ84" s="202"/>
      <c r="BA84" s="202"/>
      <c r="BB84" s="47">
        <f t="shared" ref="BB84:BU84" si="161">BB83/BB82</f>
        <v>0.28985507246376813</v>
      </c>
      <c r="BC84" s="47">
        <f t="shared" si="161"/>
        <v>0.40579710144927533</v>
      </c>
      <c r="BD84" s="47">
        <f t="shared" si="161"/>
        <v>0.55072463768115942</v>
      </c>
      <c r="BE84" s="47">
        <f t="shared" si="161"/>
        <v>0.52173913043478259</v>
      </c>
      <c r="BF84" s="47">
        <f t="shared" si="161"/>
        <v>0.67391304347826075</v>
      </c>
      <c r="BG84" s="47">
        <f t="shared" si="161"/>
        <v>0.79565217391304355</v>
      </c>
      <c r="BH84" s="47">
        <f t="shared" ref="BH84:BI84" si="162">BH83/BH82</f>
        <v>0.98799999999999999</v>
      </c>
      <c r="BI84" s="47">
        <f t="shared" si="162"/>
        <v>1</v>
      </c>
      <c r="BJ84" s="47">
        <f t="shared" si="161"/>
        <v>1</v>
      </c>
      <c r="BK84" s="47">
        <f t="shared" si="161"/>
        <v>0.92857142857142849</v>
      </c>
      <c r="BL84" s="47">
        <f t="shared" si="161"/>
        <v>0.93103448275862066</v>
      </c>
      <c r="BM84" s="47">
        <f t="shared" si="161"/>
        <v>0.96551724137931039</v>
      </c>
      <c r="BN84" s="47">
        <f t="shared" si="161"/>
        <v>1</v>
      </c>
      <c r="BO84" s="47">
        <f t="shared" si="161"/>
        <v>1</v>
      </c>
      <c r="BP84" s="47">
        <f t="shared" si="161"/>
        <v>1</v>
      </c>
      <c r="BQ84" s="47">
        <f t="shared" si="161"/>
        <v>1</v>
      </c>
      <c r="BR84" s="47">
        <f t="shared" si="161"/>
        <v>1</v>
      </c>
      <c r="BS84" s="47">
        <f t="shared" si="161"/>
        <v>1</v>
      </c>
      <c r="BT84" s="47">
        <f t="shared" si="161"/>
        <v>1</v>
      </c>
      <c r="BU84" s="47">
        <f t="shared" si="161"/>
        <v>1</v>
      </c>
      <c r="BX84" s="221">
        <f t="shared" si="135"/>
        <v>76</v>
      </c>
    </row>
    <row r="85" spans="1:76" outlineLevel="1">
      <c r="A85" s="180"/>
      <c r="B85" s="8" t="s">
        <v>322</v>
      </c>
      <c r="C85" s="202"/>
      <c r="D85" s="202"/>
      <c r="E85" s="202"/>
      <c r="F85" s="202"/>
      <c r="G85" s="202"/>
      <c r="H85" s="202"/>
      <c r="I85" s="202"/>
      <c r="J85" s="121">
        <f t="shared" ref="J85:O85" si="163">IFERROR(J82/J69,"NM")</f>
        <v>40</v>
      </c>
      <c r="K85" s="121">
        <f t="shared" si="163"/>
        <v>40</v>
      </c>
      <c r="L85" s="121">
        <f t="shared" si="163"/>
        <v>47.509433962264154</v>
      </c>
      <c r="M85" s="121">
        <f t="shared" si="163"/>
        <v>43.680412371134018</v>
      </c>
      <c r="N85" s="121">
        <f t="shared" si="163"/>
        <v>46.044642857142854</v>
      </c>
      <c r="O85" s="121">
        <f t="shared" si="163"/>
        <v>46.181034482758619</v>
      </c>
      <c r="P85" s="121">
        <f t="shared" ref="P85" si="164">IFERROR(P82/P69,"NM")</f>
        <v>46.181034482758619</v>
      </c>
      <c r="Q85" s="3"/>
      <c r="R85" s="202"/>
      <c r="S85" s="202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  <c r="AD85" s="202"/>
      <c r="AE85" s="202"/>
      <c r="AF85" s="202"/>
      <c r="AG85" s="202"/>
      <c r="AH85" s="202"/>
      <c r="AI85" s="202"/>
      <c r="AJ85" s="202"/>
      <c r="AK85" s="202"/>
      <c r="AL85" s="202"/>
      <c r="AM85" s="202"/>
      <c r="AN85" s="202"/>
      <c r="AO85" s="202"/>
      <c r="AP85" s="202"/>
      <c r="AQ85" s="202"/>
      <c r="AR85" s="202"/>
      <c r="AS85" s="202"/>
      <c r="AT85" s="202"/>
      <c r="AU85" s="202"/>
      <c r="AV85" s="202"/>
      <c r="AW85" s="202"/>
      <c r="AX85" s="202"/>
      <c r="AY85" s="202"/>
      <c r="AZ85" s="202"/>
      <c r="BA85" s="202"/>
      <c r="BB85" s="16">
        <f>BC85</f>
        <v>41.054347826086953</v>
      </c>
      <c r="BC85" s="16">
        <f t="shared" ref="BC85:BU85" si="165">BC82/BC69</f>
        <v>41.054347826086953</v>
      </c>
      <c r="BD85" s="16">
        <f t="shared" si="165"/>
        <v>41.054347826086953</v>
      </c>
      <c r="BE85" s="16">
        <f t="shared" si="165"/>
        <v>41.054347826086953</v>
      </c>
      <c r="BF85" s="16">
        <f t="shared" si="165"/>
        <v>41.054347826086953</v>
      </c>
      <c r="BG85" s="16">
        <f t="shared" si="165"/>
        <v>41.054347826086953</v>
      </c>
      <c r="BH85" s="16">
        <f t="shared" ref="BH85:BI85" si="166">BH82/BH69</f>
        <v>46.37</v>
      </c>
      <c r="BI85" s="16">
        <f t="shared" si="166"/>
        <v>45.740384615384613</v>
      </c>
      <c r="BJ85" s="16">
        <f t="shared" si="165"/>
        <v>45.740384615384613</v>
      </c>
      <c r="BK85" s="16">
        <f t="shared" si="165"/>
        <v>46.044642857142854</v>
      </c>
      <c r="BL85" s="16">
        <f t="shared" si="165"/>
        <v>46.181034482758619</v>
      </c>
      <c r="BM85" s="16">
        <f t="shared" si="165"/>
        <v>46.181034482758619</v>
      </c>
      <c r="BN85" s="16">
        <f t="shared" si="165"/>
        <v>46.181034482758619</v>
      </c>
      <c r="BO85" s="16">
        <f t="shared" si="165"/>
        <v>46.181034482758619</v>
      </c>
      <c r="BP85" s="16">
        <f t="shared" si="165"/>
        <v>46.181034482758619</v>
      </c>
      <c r="BQ85" s="16">
        <f t="shared" si="165"/>
        <v>46.181034482758619</v>
      </c>
      <c r="BR85" s="16">
        <f t="shared" si="165"/>
        <v>46.181034482758619</v>
      </c>
      <c r="BS85" s="16">
        <f t="shared" si="165"/>
        <v>46.181034482758619</v>
      </c>
      <c r="BT85" s="16">
        <f t="shared" si="165"/>
        <v>46.181034482758619</v>
      </c>
      <c r="BU85" s="16">
        <f t="shared" si="165"/>
        <v>46.181034482758619</v>
      </c>
      <c r="BX85" s="221">
        <f t="shared" si="135"/>
        <v>77</v>
      </c>
    </row>
    <row r="86" spans="1:76" outlineLevel="1">
      <c r="A86" s="180"/>
      <c r="B86" s="8"/>
      <c r="C86" s="202"/>
      <c r="D86" s="202"/>
      <c r="E86" s="202"/>
      <c r="F86" s="202"/>
      <c r="G86" s="202"/>
      <c r="H86" s="202"/>
      <c r="I86" s="202"/>
      <c r="J86" s="121"/>
      <c r="K86" s="121"/>
      <c r="L86" s="121"/>
      <c r="M86" s="121"/>
      <c r="N86" s="121"/>
      <c r="O86" s="121"/>
      <c r="P86" s="121"/>
      <c r="Q86" s="3"/>
      <c r="R86" s="202"/>
      <c r="S86" s="202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  <c r="AD86" s="202"/>
      <c r="AE86" s="202"/>
      <c r="AF86" s="202"/>
      <c r="AG86" s="202"/>
      <c r="AH86" s="202"/>
      <c r="AI86" s="202"/>
      <c r="AJ86" s="202"/>
      <c r="AK86" s="202"/>
      <c r="AL86" s="202"/>
      <c r="AM86" s="202"/>
      <c r="AN86" s="202"/>
      <c r="AO86" s="202"/>
      <c r="AP86" s="202"/>
      <c r="AQ86" s="202"/>
      <c r="AR86" s="202"/>
      <c r="AS86" s="202"/>
      <c r="AT86" s="202"/>
      <c r="AU86" s="202"/>
      <c r="AV86" s="202"/>
      <c r="AW86" s="202"/>
      <c r="AX86" s="202"/>
      <c r="AY86" s="202"/>
      <c r="AZ86" s="202"/>
      <c r="BA86" s="202"/>
      <c r="BB86" s="22"/>
      <c r="BC86" s="132"/>
      <c r="BD86" s="132"/>
      <c r="BE86" s="132"/>
      <c r="BF86" s="132"/>
      <c r="BG86" s="133"/>
      <c r="BH86" s="133"/>
      <c r="BI86" s="133"/>
      <c r="BJ86" s="132"/>
      <c r="BK86" s="132"/>
      <c r="BL86" s="132"/>
      <c r="BM86" s="132"/>
      <c r="BN86" s="132"/>
      <c r="BO86" s="132"/>
      <c r="BP86" s="132"/>
      <c r="BQ86" s="132"/>
      <c r="BR86" s="22"/>
      <c r="BS86" s="22"/>
      <c r="BT86" s="22"/>
      <c r="BU86" s="22"/>
      <c r="BX86" s="221">
        <f t="shared" si="135"/>
        <v>78</v>
      </c>
    </row>
    <row r="87" spans="1:76" outlineLevel="1">
      <c r="A87" s="180"/>
      <c r="B87" s="8" t="s">
        <v>340</v>
      </c>
      <c r="C87" s="202"/>
      <c r="D87" s="202"/>
      <c r="E87" s="202"/>
      <c r="F87" s="202"/>
      <c r="G87" s="202"/>
      <c r="H87" s="202"/>
      <c r="I87" s="202"/>
      <c r="J87" s="16">
        <f t="shared" ref="J87:O87" si="167">J11*1000/J83</f>
        <v>1981.9268473965515</v>
      </c>
      <c r="K87" s="16">
        <f t="shared" si="167"/>
        <v>1728.6077442857143</v>
      </c>
      <c r="L87" s="16">
        <f t="shared" si="167"/>
        <v>850.61030794880151</v>
      </c>
      <c r="M87" s="16">
        <f t="shared" si="167"/>
        <v>1655.1494260899683</v>
      </c>
      <c r="N87" s="16">
        <f t="shared" si="167"/>
        <v>1793.2082369525026</v>
      </c>
      <c r="O87" s="16">
        <f t="shared" si="167"/>
        <v>1845.4647557731796</v>
      </c>
      <c r="P87" s="16">
        <f t="shared" ref="P87" si="168">P11*1000/P83</f>
        <v>1845.4647557731796</v>
      </c>
      <c r="Q87" s="3"/>
      <c r="R87" s="202"/>
      <c r="S87" s="202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  <c r="AD87" s="202"/>
      <c r="AE87" s="202"/>
      <c r="AF87" s="202"/>
      <c r="AG87" s="202"/>
      <c r="AH87" s="202"/>
      <c r="AI87" s="202"/>
      <c r="AJ87" s="202"/>
      <c r="AK87" s="202"/>
      <c r="AL87" s="202"/>
      <c r="AM87" s="202"/>
      <c r="AN87" s="202"/>
      <c r="AO87" s="202"/>
      <c r="AP87" s="202"/>
      <c r="AQ87" s="202"/>
      <c r="AR87" s="202"/>
      <c r="AS87" s="202"/>
      <c r="AT87" s="202"/>
      <c r="AU87" s="202"/>
      <c r="AV87" s="202"/>
      <c r="AW87" s="202"/>
      <c r="AX87" s="202"/>
      <c r="AY87" s="202"/>
      <c r="AZ87" s="202"/>
      <c r="BA87" s="202"/>
      <c r="BB87" s="22"/>
      <c r="BC87" s="16">
        <f>BC11*1000*4/BC83</f>
        <v>921.93623035061853</v>
      </c>
      <c r="BD87" s="16">
        <f t="shared" ref="BD87:BU87" si="169">BD11*1000*4/BD83</f>
        <v>889.9166422808413</v>
      </c>
      <c r="BE87" s="16">
        <f t="shared" si="169"/>
        <v>1201.4399435177831</v>
      </c>
      <c r="BF87" s="16">
        <f t="shared" si="169"/>
        <v>1509.5835404442853</v>
      </c>
      <c r="BG87" s="16">
        <f t="shared" ref="BG87:BH87" si="170">BG11*1000*4/BG83</f>
        <v>1720.4224013333508</v>
      </c>
      <c r="BH87" s="16">
        <f t="shared" si="170"/>
        <v>1636.1234534054984</v>
      </c>
      <c r="BI87" s="16">
        <f t="shared" ref="BI87" si="171">BI11*1000*4/BI83</f>
        <v>1666.6605003153247</v>
      </c>
      <c r="BJ87" s="16">
        <f t="shared" si="169"/>
        <v>1660.6447761194031</v>
      </c>
      <c r="BK87" s="16">
        <f t="shared" si="169"/>
        <v>1814.6385477543597</v>
      </c>
      <c r="BL87" s="16">
        <f t="shared" si="169"/>
        <v>1845.4647557731798</v>
      </c>
      <c r="BM87" s="16">
        <f t="shared" si="169"/>
        <v>1845.4647557731796</v>
      </c>
      <c r="BN87" s="16">
        <f t="shared" si="169"/>
        <v>1845.4647557731796</v>
      </c>
      <c r="BO87" s="16">
        <f t="shared" si="169"/>
        <v>1845.4647557731796</v>
      </c>
      <c r="BP87" s="16">
        <f t="shared" si="169"/>
        <v>1845.4647557731796</v>
      </c>
      <c r="BQ87" s="16">
        <f t="shared" si="169"/>
        <v>1845.4647557731796</v>
      </c>
      <c r="BR87" s="16">
        <f t="shared" si="169"/>
        <v>1845.4647557731796</v>
      </c>
      <c r="BS87" s="16">
        <f t="shared" si="169"/>
        <v>1845.4647557731796</v>
      </c>
      <c r="BT87" s="16">
        <f t="shared" si="169"/>
        <v>1845.4647557731796</v>
      </c>
      <c r="BU87" s="16">
        <f t="shared" si="169"/>
        <v>1845.4647557731796</v>
      </c>
      <c r="BX87" s="221">
        <f t="shared" si="135"/>
        <v>79</v>
      </c>
    </row>
    <row r="88" spans="1:76" outlineLevel="1">
      <c r="A88" s="180"/>
      <c r="B88" s="8" t="s">
        <v>341</v>
      </c>
      <c r="C88" s="202"/>
      <c r="D88" s="202"/>
      <c r="E88" s="202"/>
      <c r="F88" s="202"/>
      <c r="G88" s="202"/>
      <c r="H88" s="202"/>
      <c r="I88" s="202"/>
      <c r="J88" s="16">
        <f t="shared" ref="J88:O88" si="172">J22*1000/J83</f>
        <v>397.32489051724161</v>
      </c>
      <c r="K88" s="16">
        <f t="shared" si="172"/>
        <v>278.2461299047622</v>
      </c>
      <c r="L88" s="16">
        <f t="shared" si="172"/>
        <v>67.096803499086661</v>
      </c>
      <c r="M88" s="16">
        <f t="shared" si="172"/>
        <v>295.43471223498813</v>
      </c>
      <c r="N88" s="16">
        <f t="shared" si="172"/>
        <v>418.77849134826386</v>
      </c>
      <c r="O88" s="16">
        <f t="shared" si="172"/>
        <v>461.3661889432949</v>
      </c>
      <c r="P88" s="16">
        <f t="shared" ref="P88" si="173">P22*1000/P83</f>
        <v>461.3661889432949</v>
      </c>
      <c r="Q88" s="3"/>
      <c r="R88" s="202"/>
      <c r="S88" s="202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  <c r="AD88" s="202"/>
      <c r="AE88" s="202"/>
      <c r="AF88" s="202"/>
      <c r="AG88" s="202"/>
      <c r="AH88" s="202"/>
      <c r="AI88" s="202"/>
      <c r="AJ88" s="202"/>
      <c r="AK88" s="202"/>
      <c r="AL88" s="202"/>
      <c r="AM88" s="202"/>
      <c r="AN88" s="202"/>
      <c r="AO88" s="202"/>
      <c r="AP88" s="202"/>
      <c r="AQ88" s="202"/>
      <c r="AR88" s="202"/>
      <c r="AS88" s="202"/>
      <c r="AT88" s="202"/>
      <c r="AU88" s="202"/>
      <c r="AV88" s="202"/>
      <c r="AW88" s="202"/>
      <c r="AX88" s="202"/>
      <c r="AY88" s="202"/>
      <c r="AZ88" s="202"/>
      <c r="BA88" s="202"/>
      <c r="BB88" s="22"/>
      <c r="BC88" s="16">
        <f>BC22*1000*4/BC83</f>
        <v>125.78751672917097</v>
      </c>
      <c r="BD88" s="16">
        <f t="shared" ref="BD88:BU88" si="174">BD22*1000*4/BD83</f>
        <v>18.712044990840905</v>
      </c>
      <c r="BE88" s="16">
        <f t="shared" si="174"/>
        <v>108.59588738858001</v>
      </c>
      <c r="BF88" s="16">
        <f t="shared" si="174"/>
        <v>152.91139067530978</v>
      </c>
      <c r="BG88" s="16">
        <f t="shared" ref="BG88:BH88" si="175">BG22*1000*4/BG83</f>
        <v>254.53132346920034</v>
      </c>
      <c r="BH88" s="16">
        <f t="shared" si="175"/>
        <v>307.07415009879168</v>
      </c>
      <c r="BI88" s="16">
        <f t="shared" ref="BI88" si="176">BI22*1000*4/BI83</f>
        <v>378.56800504519657</v>
      </c>
      <c r="BJ88" s="16">
        <f t="shared" si="174"/>
        <v>348.73540298507464</v>
      </c>
      <c r="BK88" s="16">
        <f t="shared" si="174"/>
        <v>417.36686598350275</v>
      </c>
      <c r="BL88" s="16">
        <f t="shared" si="174"/>
        <v>442.91154138556305</v>
      </c>
      <c r="BM88" s="16">
        <f t="shared" si="174"/>
        <v>461.3661889432949</v>
      </c>
      <c r="BN88" s="16">
        <f t="shared" si="174"/>
        <v>461.3661889432949</v>
      </c>
      <c r="BO88" s="16">
        <f t="shared" si="174"/>
        <v>461.3661889432949</v>
      </c>
      <c r="BP88" s="16">
        <f t="shared" si="174"/>
        <v>461.3661889432949</v>
      </c>
      <c r="BQ88" s="16">
        <f t="shared" si="174"/>
        <v>461.3661889432949</v>
      </c>
      <c r="BR88" s="16">
        <f t="shared" si="174"/>
        <v>461.3661889432949</v>
      </c>
      <c r="BS88" s="16">
        <f t="shared" si="174"/>
        <v>461.3661889432949</v>
      </c>
      <c r="BT88" s="16">
        <f t="shared" si="174"/>
        <v>461.3661889432949</v>
      </c>
      <c r="BU88" s="16">
        <f t="shared" si="174"/>
        <v>461.3661889432949</v>
      </c>
      <c r="BX88" s="221">
        <f t="shared" si="135"/>
        <v>80</v>
      </c>
    </row>
    <row r="89" spans="1:76" outlineLevel="1">
      <c r="A89" s="180"/>
      <c r="B89" s="8" t="s">
        <v>342</v>
      </c>
      <c r="C89" s="202"/>
      <c r="D89" s="202"/>
      <c r="E89" s="202"/>
      <c r="F89" s="202"/>
      <c r="G89" s="202"/>
      <c r="H89" s="202"/>
      <c r="I89" s="202"/>
      <c r="J89" s="16">
        <f t="shared" ref="J89:O89" si="177">J27*1000/J83</f>
        <v>303.37208224967094</v>
      </c>
      <c r="K89" s="16">
        <f t="shared" si="177"/>
        <v>185.30750093239649</v>
      </c>
      <c r="L89" s="16">
        <f t="shared" si="177"/>
        <v>-18.384785978011134</v>
      </c>
      <c r="M89" s="16">
        <f t="shared" si="177"/>
        <v>204.67110674768483</v>
      </c>
      <c r="N89" s="16">
        <f t="shared" si="177"/>
        <v>353.88738737598413</v>
      </c>
      <c r="O89" s="16">
        <f t="shared" si="177"/>
        <v>410.54390705854433</v>
      </c>
      <c r="P89" s="16">
        <f t="shared" ref="P89" si="178">P27*1000/P83</f>
        <v>417.5744639530601</v>
      </c>
      <c r="Q89" s="3"/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  <c r="AD89" s="202"/>
      <c r="AE89" s="202"/>
      <c r="AF89" s="202"/>
      <c r="AG89" s="202"/>
      <c r="AH89" s="202"/>
      <c r="AI89" s="202"/>
      <c r="AJ89" s="202"/>
      <c r="AK89" s="202"/>
      <c r="AL89" s="202"/>
      <c r="AM89" s="202"/>
      <c r="AN89" s="202"/>
      <c r="AO89" s="202"/>
      <c r="AP89" s="202"/>
      <c r="AQ89" s="202"/>
      <c r="AR89" s="202"/>
      <c r="AS89" s="202"/>
      <c r="AT89" s="202"/>
      <c r="AU89" s="202"/>
      <c r="AV89" s="202"/>
      <c r="AW89" s="202"/>
      <c r="AX89" s="202"/>
      <c r="AY89" s="202"/>
      <c r="AZ89" s="202"/>
      <c r="BA89" s="202"/>
      <c r="BB89" s="22"/>
      <c r="BC89" s="16">
        <f>BC27*1000*4/BC83</f>
        <v>27.111031615941396</v>
      </c>
      <c r="BD89" s="16">
        <f t="shared" ref="BD89:BU89" si="179">BD27*1000*4/BD83</f>
        <v>-91.757454448766481</v>
      </c>
      <c r="BE89" s="16">
        <f t="shared" si="179"/>
        <v>6.0976083311269997</v>
      </c>
      <c r="BF89" s="16">
        <f t="shared" si="179"/>
        <v>30.7884564469155</v>
      </c>
      <c r="BG89" s="16">
        <f t="shared" ref="BG89:BH89" si="180">BG27*1000*4/BG83</f>
        <v>140.05159210695751</v>
      </c>
      <c r="BH89" s="16">
        <f t="shared" si="180"/>
        <v>235.15133947241821</v>
      </c>
      <c r="BI89" s="16">
        <f t="shared" ref="BI89" si="181">BI27*1000*4/BI83</f>
        <v>303.80491906663866</v>
      </c>
      <c r="BJ89" s="16">
        <f t="shared" si="179"/>
        <v>280.31180828253099</v>
      </c>
      <c r="BK89" s="16">
        <f t="shared" si="179"/>
        <v>351.3156465804509</v>
      </c>
      <c r="BL89" s="16">
        <f t="shared" si="179"/>
        <v>376.8806953481872</v>
      </c>
      <c r="BM89" s="16">
        <f t="shared" si="179"/>
        <v>401.87652775632995</v>
      </c>
      <c r="BN89" s="16">
        <f t="shared" si="179"/>
        <v>405.34399527146365</v>
      </c>
      <c r="BO89" s="16">
        <f t="shared" si="179"/>
        <v>411.47325706444485</v>
      </c>
      <c r="BP89" s="16">
        <f t="shared" si="179"/>
        <v>412.26403141506086</v>
      </c>
      <c r="BQ89" s="16">
        <f t="shared" si="179"/>
        <v>413.09434448320758</v>
      </c>
      <c r="BR89" s="16">
        <f t="shared" si="179"/>
        <v>413.09434448320758</v>
      </c>
      <c r="BS89" s="16">
        <f t="shared" si="179"/>
        <v>419.06783710967761</v>
      </c>
      <c r="BT89" s="16">
        <f t="shared" si="179"/>
        <v>419.06783710967761</v>
      </c>
      <c r="BU89" s="16">
        <f t="shared" si="179"/>
        <v>419.06783710967761</v>
      </c>
      <c r="BX89" s="221">
        <f t="shared" si="135"/>
        <v>81</v>
      </c>
    </row>
    <row r="90" spans="1:76" outlineLevel="1">
      <c r="A90" s="180"/>
      <c r="B90" s="8" t="s">
        <v>343</v>
      </c>
      <c r="C90" s="202"/>
      <c r="D90" s="202"/>
      <c r="E90" s="202"/>
      <c r="F90" s="202"/>
      <c r="G90" s="202"/>
      <c r="H90" s="202"/>
      <c r="I90" s="202"/>
      <c r="J90" s="16">
        <f t="shared" ref="J90:O90" si="182">J29*1000/J83</f>
        <v>-49.665650939984168</v>
      </c>
      <c r="K90" s="16">
        <f t="shared" si="182"/>
        <v>-145.87037516284155</v>
      </c>
      <c r="L90" s="16">
        <f t="shared" si="182"/>
        <v>-227.44520023456766</v>
      </c>
      <c r="M90" s="16">
        <f t="shared" si="182"/>
        <v>32.05639805992007</v>
      </c>
      <c r="N90" s="16">
        <f t="shared" si="182"/>
        <v>163.53563605765834</v>
      </c>
      <c r="O90" s="16">
        <f t="shared" si="182"/>
        <v>231.74190760921849</v>
      </c>
      <c r="P90" s="16">
        <f t="shared" ref="P90" si="183">P29*1000/P83</f>
        <v>272.63546501512894</v>
      </c>
      <c r="Q90" s="3"/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  <c r="AI90" s="202"/>
      <c r="AJ90" s="202"/>
      <c r="AK90" s="202"/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  <c r="BA90" s="202"/>
      <c r="BB90" s="22"/>
      <c r="BC90" s="16">
        <f>BC29*1000*4/BC83</f>
        <v>-262.2934995954713</v>
      </c>
      <c r="BD90" s="16">
        <f t="shared" ref="BD90:BU90" si="184">BD29*1000*4/BD83</f>
        <v>-324.48435140757522</v>
      </c>
      <c r="BE90" s="16">
        <f t="shared" si="184"/>
        <v>-229.62245168122851</v>
      </c>
      <c r="BF90" s="16">
        <f t="shared" si="184"/>
        <v>-160.13391751432701</v>
      </c>
      <c r="BG90" s="16">
        <f t="shared" ref="BG90:BH90" si="185">BG29*1000*4/BG83</f>
        <v>-34.255538628251706</v>
      </c>
      <c r="BH90" s="16">
        <f t="shared" si="185"/>
        <v>73.78776065426915</v>
      </c>
      <c r="BI90" s="16">
        <f t="shared" ref="BI90" si="186">BI29*1000*4/BI83</f>
        <v>135.75278536893003</v>
      </c>
      <c r="BJ90" s="16">
        <f t="shared" si="184"/>
        <v>97.874417962420509</v>
      </c>
      <c r="BK90" s="16">
        <f t="shared" si="184"/>
        <v>169.63377149682702</v>
      </c>
      <c r="BL90" s="16">
        <f t="shared" si="184"/>
        <v>180.97689821628268</v>
      </c>
      <c r="BM90" s="16">
        <f t="shared" si="184"/>
        <v>201.51255154885865</v>
      </c>
      <c r="BN90" s="16">
        <f t="shared" si="184"/>
        <v>217.19252309369929</v>
      </c>
      <c r="BO90" s="16">
        <f t="shared" si="184"/>
        <v>229.44317508371191</v>
      </c>
      <c r="BP90" s="16">
        <f t="shared" si="184"/>
        <v>236.60587064913241</v>
      </c>
      <c r="BQ90" s="16">
        <f t="shared" si="184"/>
        <v>243.72606161033028</v>
      </c>
      <c r="BR90" s="16">
        <f t="shared" si="184"/>
        <v>255.08663931964901</v>
      </c>
      <c r="BS90" s="16">
        <f t="shared" si="184"/>
        <v>270.70640535833076</v>
      </c>
      <c r="BT90" s="16">
        <f t="shared" si="184"/>
        <v>278.89706195379739</v>
      </c>
      <c r="BU90" s="16">
        <f t="shared" si="184"/>
        <v>285.85175342873862</v>
      </c>
      <c r="BX90" s="221">
        <f t="shared" si="135"/>
        <v>82</v>
      </c>
    </row>
    <row r="91" spans="1:76" outlineLevel="1">
      <c r="A91" s="180"/>
      <c r="B91" s="8"/>
      <c r="C91" s="202"/>
      <c r="D91" s="202"/>
      <c r="E91" s="202"/>
      <c r="F91" s="202"/>
      <c r="G91" s="202"/>
      <c r="H91" s="202"/>
      <c r="I91" s="202"/>
      <c r="J91" s="121"/>
      <c r="K91" s="121"/>
      <c r="L91" s="121"/>
      <c r="M91" s="121"/>
      <c r="N91" s="121"/>
      <c r="O91" s="121"/>
      <c r="P91" s="121"/>
      <c r="Q91" s="3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2"/>
      <c r="AK91" s="202"/>
      <c r="AL91" s="202"/>
      <c r="AM91" s="202"/>
      <c r="AN91" s="202"/>
      <c r="AO91" s="202"/>
      <c r="AP91" s="202"/>
      <c r="AQ91" s="202"/>
      <c r="AR91" s="202"/>
      <c r="AS91" s="202"/>
      <c r="AT91" s="202"/>
      <c r="AU91" s="202"/>
      <c r="AV91" s="202"/>
      <c r="AW91" s="202"/>
      <c r="AX91" s="202"/>
      <c r="AY91" s="202"/>
      <c r="AZ91" s="202"/>
      <c r="BA91" s="202"/>
      <c r="BB91" s="2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22"/>
      <c r="BS91" s="22"/>
      <c r="BT91" s="22"/>
      <c r="BU91" s="22"/>
      <c r="BX91" s="221">
        <f t="shared" si="135"/>
        <v>83</v>
      </c>
    </row>
    <row r="92" spans="1:76" outlineLevel="1">
      <c r="A92" s="180"/>
      <c r="B92" s="8" t="s">
        <v>344</v>
      </c>
      <c r="C92" s="202"/>
      <c r="D92" s="202"/>
      <c r="E92" s="202"/>
      <c r="F92" s="202"/>
      <c r="G92" s="202"/>
      <c r="H92" s="202"/>
      <c r="I92" s="202"/>
      <c r="J92" s="121">
        <f t="shared" ref="J92:O92" si="187">IFERROR(J11*1000/J82,"NM")</f>
        <v>1884.455035229508</v>
      </c>
      <c r="K92" s="121">
        <f t="shared" si="187"/>
        <v>1134.3988321874999</v>
      </c>
      <c r="L92" s="121">
        <f t="shared" si="187"/>
        <v>435.11302964257351</v>
      </c>
      <c r="M92" s="121">
        <f t="shared" si="187"/>
        <v>1441.8569742742507</v>
      </c>
      <c r="N92" s="121">
        <f t="shared" si="187"/>
        <v>1713.1542978028372</v>
      </c>
      <c r="O92" s="121">
        <f t="shared" si="187"/>
        <v>1845.4647557731796</v>
      </c>
      <c r="P92" s="121">
        <f t="shared" ref="P92" si="188">IFERROR(P11*1000/P82,"NM")</f>
        <v>1845.4647557731796</v>
      </c>
      <c r="Q92" s="3"/>
      <c r="R92" s="202"/>
      <c r="S92" s="202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  <c r="AD92" s="202"/>
      <c r="AE92" s="202"/>
      <c r="AF92" s="202"/>
      <c r="AG92" s="202"/>
      <c r="AH92" s="202"/>
      <c r="AI92" s="202"/>
      <c r="AJ92" s="202"/>
      <c r="AK92" s="202"/>
      <c r="AL92" s="202"/>
      <c r="AM92" s="202"/>
      <c r="AN92" s="202"/>
      <c r="AO92" s="202"/>
      <c r="AP92" s="202"/>
      <c r="AQ92" s="202"/>
      <c r="AR92" s="202"/>
      <c r="AS92" s="202"/>
      <c r="AT92" s="202"/>
      <c r="AU92" s="202"/>
      <c r="AV92" s="202"/>
      <c r="AW92" s="202"/>
      <c r="AX92" s="202"/>
      <c r="AY92" s="202"/>
      <c r="AZ92" s="202"/>
      <c r="BA92" s="202"/>
      <c r="BB92" s="3"/>
      <c r="BC92" s="16">
        <f>BC11*1000*4/BC82</f>
        <v>374.11904999735242</v>
      </c>
      <c r="BD92" s="16">
        <f t="shared" ref="BD92:BU92" si="189">BD11*1000*4/BD82</f>
        <v>490.09902038655025</v>
      </c>
      <c r="BE92" s="16">
        <f t="shared" si="189"/>
        <v>626.83823140058246</v>
      </c>
      <c r="BF92" s="16">
        <f t="shared" si="189"/>
        <v>1017.3280381254964</v>
      </c>
      <c r="BG92" s="16">
        <f t="shared" ref="BG92:BH92" si="190">BG11*1000*4/BG82</f>
        <v>1368.8578236695789</v>
      </c>
      <c r="BH92" s="16">
        <f t="shared" si="190"/>
        <v>1616.4899719646323</v>
      </c>
      <c r="BI92" s="16">
        <f t="shared" ref="BI92" si="191">BI11*1000*4/BI82</f>
        <v>1666.6605003153247</v>
      </c>
      <c r="BJ92" s="16">
        <f t="shared" si="189"/>
        <v>1660.6447761194031</v>
      </c>
      <c r="BK92" s="16">
        <f t="shared" si="189"/>
        <v>1685.0215086290482</v>
      </c>
      <c r="BL92" s="16">
        <f t="shared" si="189"/>
        <v>1718.1913243405468</v>
      </c>
      <c r="BM92" s="16">
        <f t="shared" si="189"/>
        <v>1781.8280400568631</v>
      </c>
      <c r="BN92" s="16">
        <f t="shared" si="189"/>
        <v>1845.4647557731796</v>
      </c>
      <c r="BO92" s="16">
        <f t="shared" si="189"/>
        <v>1845.4647557731796</v>
      </c>
      <c r="BP92" s="16">
        <f t="shared" si="189"/>
        <v>1845.4647557731796</v>
      </c>
      <c r="BQ92" s="16">
        <f t="shared" si="189"/>
        <v>1845.4647557731796</v>
      </c>
      <c r="BR92" s="16">
        <f t="shared" si="189"/>
        <v>1845.4647557731796</v>
      </c>
      <c r="BS92" s="16">
        <f t="shared" si="189"/>
        <v>1845.4647557731796</v>
      </c>
      <c r="BT92" s="16">
        <f t="shared" si="189"/>
        <v>1845.4647557731796</v>
      </c>
      <c r="BU92" s="16">
        <f t="shared" si="189"/>
        <v>1845.4647557731796</v>
      </c>
      <c r="BX92" s="221">
        <f t="shared" si="135"/>
        <v>84</v>
      </c>
    </row>
    <row r="93" spans="1:76" outlineLevel="1">
      <c r="A93" s="180"/>
      <c r="B93" s="8" t="s">
        <v>345</v>
      </c>
      <c r="C93" s="202"/>
      <c r="D93" s="202"/>
      <c r="E93" s="202"/>
      <c r="F93" s="202"/>
      <c r="G93" s="202"/>
      <c r="H93" s="202"/>
      <c r="I93" s="202"/>
      <c r="J93" s="121">
        <f t="shared" ref="J93:O93" si="192">IFERROR(J22*1000/J82,"NM")</f>
        <v>377.78432213114775</v>
      </c>
      <c r="K93" s="121">
        <f t="shared" si="192"/>
        <v>182.59902275000019</v>
      </c>
      <c r="L93" s="121">
        <f t="shared" si="192"/>
        <v>34.322054620077871</v>
      </c>
      <c r="M93" s="121">
        <f t="shared" si="192"/>
        <v>257.36322869955154</v>
      </c>
      <c r="N93" s="121">
        <f t="shared" si="192"/>
        <v>400.08302298450207</v>
      </c>
      <c r="O93" s="121">
        <f t="shared" si="192"/>
        <v>461.3661889432949</v>
      </c>
      <c r="P93" s="121">
        <f t="shared" ref="P93" si="193">IFERROR(P22*1000/P82,"NM")</f>
        <v>461.3661889432949</v>
      </c>
      <c r="Q93" s="3"/>
      <c r="R93" s="202"/>
      <c r="S93" s="202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  <c r="AD93" s="202"/>
      <c r="AE93" s="202"/>
      <c r="AF93" s="202"/>
      <c r="AG93" s="202"/>
      <c r="AH93" s="202"/>
      <c r="AI93" s="202"/>
      <c r="AJ93" s="202"/>
      <c r="AK93" s="202"/>
      <c r="AL93" s="202"/>
      <c r="AM93" s="202"/>
      <c r="AN93" s="202"/>
      <c r="AO93" s="202"/>
      <c r="AP93" s="202"/>
      <c r="AQ93" s="202"/>
      <c r="AR93" s="202"/>
      <c r="AS93" s="202"/>
      <c r="AT93" s="202"/>
      <c r="AU93" s="202"/>
      <c r="AV93" s="202"/>
      <c r="AW93" s="202"/>
      <c r="AX93" s="202"/>
      <c r="AY93" s="202"/>
      <c r="AZ93" s="202"/>
      <c r="BA93" s="202"/>
      <c r="BB93" s="3"/>
      <c r="BC93" s="16">
        <f>BC22*1000*4/BC82</f>
        <v>51.044209687199817</v>
      </c>
      <c r="BD93" s="16">
        <f t="shared" ref="BD93:BU93" si="194">BD22*1000*4/BD82</f>
        <v>10.305184197854411</v>
      </c>
      <c r="BE93" s="16">
        <f t="shared" si="194"/>
        <v>56.658723854911308</v>
      </c>
      <c r="BF93" s="16">
        <f t="shared" si="194"/>
        <v>103.04898067249137</v>
      </c>
      <c r="BG93" s="16">
        <f t="shared" ref="BG93:BH93" si="195">BG22*1000*4/BG82</f>
        <v>202.51840084723332</v>
      </c>
      <c r="BH93" s="16">
        <f t="shared" si="195"/>
        <v>303.38926029760614</v>
      </c>
      <c r="BI93" s="16">
        <f t="shared" ref="BI93" si="196">BI22*1000*4/BI82</f>
        <v>378.56800504519657</v>
      </c>
      <c r="BJ93" s="16">
        <f t="shared" si="194"/>
        <v>348.73540298507464</v>
      </c>
      <c r="BK93" s="16">
        <f t="shared" si="194"/>
        <v>387.55494698468112</v>
      </c>
      <c r="BL93" s="16">
        <f t="shared" si="194"/>
        <v>412.36591784173112</v>
      </c>
      <c r="BM93" s="16">
        <f t="shared" si="194"/>
        <v>445.45701001421577</v>
      </c>
      <c r="BN93" s="16">
        <f t="shared" si="194"/>
        <v>461.3661889432949</v>
      </c>
      <c r="BO93" s="16">
        <f t="shared" si="194"/>
        <v>461.3661889432949</v>
      </c>
      <c r="BP93" s="16">
        <f t="shared" si="194"/>
        <v>461.3661889432949</v>
      </c>
      <c r="BQ93" s="16">
        <f t="shared" si="194"/>
        <v>461.3661889432949</v>
      </c>
      <c r="BR93" s="16">
        <f t="shared" si="194"/>
        <v>461.3661889432949</v>
      </c>
      <c r="BS93" s="16">
        <f t="shared" si="194"/>
        <v>461.3661889432949</v>
      </c>
      <c r="BT93" s="16">
        <f t="shared" si="194"/>
        <v>461.3661889432949</v>
      </c>
      <c r="BU93" s="16">
        <f t="shared" si="194"/>
        <v>461.3661889432949</v>
      </c>
      <c r="BX93" s="221">
        <f t="shared" si="135"/>
        <v>85</v>
      </c>
    </row>
    <row r="94" spans="1:76" outlineLevel="1">
      <c r="A94" s="180"/>
      <c r="B94" s="8" t="s">
        <v>346</v>
      </c>
      <c r="C94" s="202"/>
      <c r="D94" s="202"/>
      <c r="E94" s="202"/>
      <c r="F94" s="202"/>
      <c r="G94" s="202"/>
      <c r="H94" s="202"/>
      <c r="I94" s="202"/>
      <c r="J94" s="121">
        <f t="shared" ref="J94:O94" si="197">IFERROR(J27*1000/J82,"NM")</f>
        <v>288.45214377837561</v>
      </c>
      <c r="K94" s="121">
        <f t="shared" si="197"/>
        <v>121.6080474868852</v>
      </c>
      <c r="L94" s="121">
        <f t="shared" si="197"/>
        <v>-9.4043768944124029</v>
      </c>
      <c r="M94" s="121">
        <f t="shared" si="197"/>
        <v>178.29596412556049</v>
      </c>
      <c r="N94" s="121">
        <f t="shared" si="197"/>
        <v>338.08884329669905</v>
      </c>
      <c r="O94" s="121">
        <f t="shared" si="197"/>
        <v>410.54390705854433</v>
      </c>
      <c r="P94" s="121">
        <f t="shared" ref="P94" si="198">IFERROR(P27*1000/P82,"NM")</f>
        <v>417.5744639530601</v>
      </c>
      <c r="Q94" s="3"/>
      <c r="R94" s="202"/>
      <c r="S94" s="202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  <c r="AD94" s="202"/>
      <c r="AE94" s="202"/>
      <c r="AF94" s="202"/>
      <c r="AG94" s="202"/>
      <c r="AH94" s="202"/>
      <c r="AI94" s="202"/>
      <c r="AJ94" s="202"/>
      <c r="AK94" s="202"/>
      <c r="AL94" s="202"/>
      <c r="AM94" s="202"/>
      <c r="AN94" s="202"/>
      <c r="AO94" s="202"/>
      <c r="AP94" s="202"/>
      <c r="AQ94" s="202"/>
      <c r="AR94" s="202"/>
      <c r="AS94" s="202"/>
      <c r="AT94" s="202"/>
      <c r="AU94" s="202"/>
      <c r="AV94" s="202"/>
      <c r="AW94" s="202"/>
      <c r="AX94" s="202"/>
      <c r="AY94" s="202"/>
      <c r="AZ94" s="202"/>
      <c r="BA94" s="202"/>
      <c r="BB94" s="3"/>
      <c r="BC94" s="16">
        <f>BC27*1000*4/BC82</f>
        <v>11.001578047048682</v>
      </c>
      <c r="BD94" s="16">
        <f t="shared" ref="BD94:BU94" si="199">BD27*1000*4/BD82</f>
        <v>-50.53309085584241</v>
      </c>
      <c r="BE94" s="16">
        <f t="shared" si="199"/>
        <v>3.1813608684140866</v>
      </c>
      <c r="BF94" s="16">
        <f t="shared" si="199"/>
        <v>20.748742388138705</v>
      </c>
      <c r="BG94" s="16">
        <f t="shared" ref="BG94:BH94" si="200">BG27*1000*4/BG82</f>
        <v>111.43235371988358</v>
      </c>
      <c r="BH94" s="16">
        <f t="shared" si="200"/>
        <v>232.32952339874919</v>
      </c>
      <c r="BI94" s="16">
        <f t="shared" ref="BI94" si="201">BI27*1000*4/BI82</f>
        <v>303.80491906663866</v>
      </c>
      <c r="BJ94" s="16">
        <f t="shared" si="199"/>
        <v>280.31180828253099</v>
      </c>
      <c r="BK94" s="16">
        <f t="shared" si="199"/>
        <v>326.2216718247044</v>
      </c>
      <c r="BL94" s="16">
        <f t="shared" si="199"/>
        <v>350.88892325520879</v>
      </c>
      <c r="BM94" s="16">
        <f t="shared" si="199"/>
        <v>388.01871645438752</v>
      </c>
      <c r="BN94" s="16">
        <f t="shared" si="199"/>
        <v>405.34399527146365</v>
      </c>
      <c r="BO94" s="16">
        <f t="shared" si="199"/>
        <v>411.47325706444485</v>
      </c>
      <c r="BP94" s="16">
        <f t="shared" si="199"/>
        <v>412.26403141506086</v>
      </c>
      <c r="BQ94" s="16">
        <f t="shared" si="199"/>
        <v>413.09434448320758</v>
      </c>
      <c r="BR94" s="16">
        <f t="shared" si="199"/>
        <v>413.09434448320758</v>
      </c>
      <c r="BS94" s="16">
        <f t="shared" si="199"/>
        <v>419.06783710967761</v>
      </c>
      <c r="BT94" s="16">
        <f t="shared" si="199"/>
        <v>419.06783710967761</v>
      </c>
      <c r="BU94" s="16">
        <f t="shared" si="199"/>
        <v>419.06783710967761</v>
      </c>
      <c r="BX94" s="221">
        <f t="shared" si="135"/>
        <v>86</v>
      </c>
    </row>
    <row r="95" spans="1:76" outlineLevel="1">
      <c r="A95" s="180"/>
      <c r="B95" s="8" t="s">
        <v>347</v>
      </c>
      <c r="C95" s="202"/>
      <c r="D95" s="202"/>
      <c r="E95" s="202"/>
      <c r="F95" s="202"/>
      <c r="G95" s="202"/>
      <c r="H95" s="202"/>
      <c r="I95" s="202"/>
      <c r="J95" s="121">
        <f t="shared" ref="J95:O95" si="202">IFERROR(J29*1000/J82,"NM")</f>
        <v>-47.223077942935767</v>
      </c>
      <c r="K95" s="121">
        <f t="shared" si="202"/>
        <v>-95.727433700614782</v>
      </c>
      <c r="L95" s="121">
        <f t="shared" si="202"/>
        <v>-116.34513387260904</v>
      </c>
      <c r="M95" s="121">
        <f t="shared" si="202"/>
        <v>27.925418928487069</v>
      </c>
      <c r="N95" s="121">
        <f t="shared" si="202"/>
        <v>156.23493801936999</v>
      </c>
      <c r="O95" s="121">
        <f t="shared" si="202"/>
        <v>231.74190760921849</v>
      </c>
      <c r="P95" s="121">
        <f t="shared" ref="P95" si="203">IFERROR(P29*1000/P82,"NM")</f>
        <v>272.63546501512894</v>
      </c>
      <c r="Q95" s="3"/>
      <c r="R95" s="202"/>
      <c r="S95" s="202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  <c r="AD95" s="202"/>
      <c r="AE95" s="202"/>
      <c r="AF95" s="202"/>
      <c r="AG95" s="202"/>
      <c r="AH95" s="202"/>
      <c r="AI95" s="202"/>
      <c r="AJ95" s="202"/>
      <c r="AK95" s="202"/>
      <c r="AL95" s="202"/>
      <c r="AM95" s="202"/>
      <c r="AN95" s="202"/>
      <c r="AO95" s="202"/>
      <c r="AP95" s="202"/>
      <c r="AQ95" s="202"/>
      <c r="AR95" s="202"/>
      <c r="AS95" s="202"/>
      <c r="AT95" s="202"/>
      <c r="AU95" s="202"/>
      <c r="AV95" s="202"/>
      <c r="AW95" s="202"/>
      <c r="AX95" s="202"/>
      <c r="AY95" s="202"/>
      <c r="AZ95" s="202"/>
      <c r="BA95" s="202"/>
      <c r="BB95" s="3"/>
      <c r="BC95" s="16">
        <f>BC29*1000*4/BC82</f>
        <v>-106.43794186482893</v>
      </c>
      <c r="BD95" s="16">
        <f t="shared" ref="BD95:BU95" si="204">BD29*1000*4/BD82</f>
        <v>-178.70152686214286</v>
      </c>
      <c r="BE95" s="16">
        <f t="shared" si="204"/>
        <v>-119.80301826846704</v>
      </c>
      <c r="BF95" s="16">
        <f t="shared" si="204"/>
        <v>-107.91633571617689</v>
      </c>
      <c r="BG95" s="16">
        <f t="shared" ref="BG95:BH95" si="205">BG29*1000*4/BG82</f>
        <v>-27.255493778130706</v>
      </c>
      <c r="BH95" s="16">
        <f t="shared" si="205"/>
        <v>72.902307526417914</v>
      </c>
      <c r="BI95" s="16">
        <f t="shared" ref="BI95" si="206">BI29*1000*4/BI82</f>
        <v>135.75278536893003</v>
      </c>
      <c r="BJ95" s="16">
        <f t="shared" si="204"/>
        <v>97.874417962420509</v>
      </c>
      <c r="BK95" s="16">
        <f t="shared" si="204"/>
        <v>157.51707353276794</v>
      </c>
      <c r="BL95" s="16">
        <f t="shared" si="204"/>
        <v>168.49573282205631</v>
      </c>
      <c r="BM95" s="16">
        <f t="shared" si="204"/>
        <v>194.56384287476007</v>
      </c>
      <c r="BN95" s="16">
        <f t="shared" si="204"/>
        <v>217.19252309369929</v>
      </c>
      <c r="BO95" s="16">
        <f t="shared" si="204"/>
        <v>229.44317508371191</v>
      </c>
      <c r="BP95" s="16">
        <f t="shared" si="204"/>
        <v>236.60587064913241</v>
      </c>
      <c r="BQ95" s="16">
        <f t="shared" si="204"/>
        <v>243.72606161033028</v>
      </c>
      <c r="BR95" s="16">
        <f t="shared" si="204"/>
        <v>255.08663931964901</v>
      </c>
      <c r="BS95" s="16">
        <f t="shared" si="204"/>
        <v>270.70640535833076</v>
      </c>
      <c r="BT95" s="16">
        <f t="shared" si="204"/>
        <v>278.89706195379739</v>
      </c>
      <c r="BU95" s="16">
        <f t="shared" si="204"/>
        <v>285.85175342873862</v>
      </c>
      <c r="BX95" s="221">
        <f t="shared" si="135"/>
        <v>87</v>
      </c>
    </row>
    <row r="96" spans="1:76" outlineLevel="1">
      <c r="A96" s="180"/>
      <c r="B96" s="8"/>
      <c r="C96" s="202"/>
      <c r="D96" s="202"/>
      <c r="E96" s="202"/>
      <c r="F96" s="202"/>
      <c r="G96" s="202"/>
      <c r="H96" s="202"/>
      <c r="I96" s="202"/>
      <c r="J96" s="121"/>
      <c r="K96" s="121"/>
      <c r="L96" s="121"/>
      <c r="M96" s="121"/>
      <c r="N96" s="121"/>
      <c r="O96" s="121"/>
      <c r="P96" s="121"/>
      <c r="Q96" s="3"/>
      <c r="R96" s="202"/>
      <c r="S96" s="202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  <c r="AD96" s="202"/>
      <c r="AE96" s="202"/>
      <c r="AF96" s="202"/>
      <c r="AG96" s="202"/>
      <c r="AH96" s="202"/>
      <c r="AI96" s="202"/>
      <c r="AJ96" s="202"/>
      <c r="AK96" s="202"/>
      <c r="AL96" s="202"/>
      <c r="AM96" s="202"/>
      <c r="AN96" s="202"/>
      <c r="AO96" s="202"/>
      <c r="AP96" s="202"/>
      <c r="AQ96" s="202"/>
      <c r="AR96" s="202"/>
      <c r="AS96" s="202"/>
      <c r="AT96" s="202"/>
      <c r="AU96" s="202"/>
      <c r="AV96" s="202"/>
      <c r="AW96" s="202"/>
      <c r="AX96" s="202"/>
      <c r="AY96" s="202"/>
      <c r="AZ96" s="202"/>
      <c r="BA96" s="202"/>
      <c r="BB96" s="3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X96" s="221">
        <f t="shared" si="135"/>
        <v>88</v>
      </c>
    </row>
    <row r="97" spans="1:76" outlineLevel="1">
      <c r="A97" s="180"/>
      <c r="B97" s="8" t="s">
        <v>188</v>
      </c>
      <c r="C97" s="202"/>
      <c r="D97" s="202"/>
      <c r="E97" s="202"/>
      <c r="F97" s="202"/>
      <c r="G97" s="202"/>
      <c r="H97" s="202"/>
      <c r="I97" s="202"/>
      <c r="J97" s="40">
        <f>J26</f>
        <v>-22.003564098397</v>
      </c>
      <c r="K97" s="40">
        <f>K26</f>
        <v>-21.9980383841968</v>
      </c>
      <c r="L97" s="40">
        <f t="shared" ref="L97:P100" si="207">SUMIF($R$5:$BV$5,L$5,$R97:$BV97)</f>
        <v>-26.705720128274102</v>
      </c>
      <c r="M97" s="40">
        <f t="shared" si="207"/>
        <v>-73.775000000000006</v>
      </c>
      <c r="N97" s="40">
        <f t="shared" si="207"/>
        <v>-84</v>
      </c>
      <c r="O97" s="40">
        <f t="shared" si="207"/>
        <v>-88</v>
      </c>
      <c r="P97" s="40">
        <f t="shared" si="207"/>
        <v>-82</v>
      </c>
      <c r="Q97" s="3"/>
      <c r="R97" s="202"/>
      <c r="S97" s="202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  <c r="AD97" s="202"/>
      <c r="AE97" s="202"/>
      <c r="AF97" s="202"/>
      <c r="AG97" s="202"/>
      <c r="AH97" s="202"/>
      <c r="AI97" s="202"/>
      <c r="AJ97" s="202"/>
      <c r="AK97" s="202"/>
      <c r="AL97" s="202"/>
      <c r="AM97" s="202"/>
      <c r="AN97" s="202"/>
      <c r="AO97" s="202"/>
      <c r="AP97" s="202"/>
      <c r="AQ97" s="202"/>
      <c r="AR97" s="202"/>
      <c r="AS97" s="202"/>
      <c r="AT97" s="202"/>
      <c r="AU97" s="202"/>
      <c r="AV97" s="202"/>
      <c r="AW97" s="202"/>
      <c r="AX97" s="202"/>
      <c r="AY97" s="202"/>
      <c r="AZ97" s="202"/>
      <c r="BA97" s="202"/>
      <c r="BB97" s="40">
        <f t="shared" ref="BB97:BU97" si="208">BB26</f>
        <v>-4.5121204601230183</v>
      </c>
      <c r="BC97" s="40">
        <f t="shared" si="208"/>
        <v>-7.6253364622685353</v>
      </c>
      <c r="BD97" s="40">
        <f t="shared" si="208"/>
        <v>-7.0462632058825498</v>
      </c>
      <c r="BE97" s="40">
        <f t="shared" si="208"/>
        <v>-7.5219999999999994</v>
      </c>
      <c r="BF97" s="40">
        <f t="shared" si="208"/>
        <v>-12.571999999999999</v>
      </c>
      <c r="BG97" s="40">
        <f t="shared" si="208"/>
        <v>-18.446999999999999</v>
      </c>
      <c r="BH97" s="40">
        <f t="shared" si="208"/>
        <v>-20.773000000000003</v>
      </c>
      <c r="BI97" s="40">
        <f t="shared" si="208"/>
        <v>-21.983000000000001</v>
      </c>
      <c r="BJ97" s="40">
        <f t="shared" si="208"/>
        <v>-21</v>
      </c>
      <c r="BK97" s="40">
        <f t="shared" si="208"/>
        <v>-21</v>
      </c>
      <c r="BL97" s="40">
        <f t="shared" si="208"/>
        <v>-21</v>
      </c>
      <c r="BM97" s="40">
        <f t="shared" si="208"/>
        <v>-21</v>
      </c>
      <c r="BN97" s="40">
        <f t="shared" si="208"/>
        <v>-22</v>
      </c>
      <c r="BO97" s="40">
        <f t="shared" si="208"/>
        <v>-22</v>
      </c>
      <c r="BP97" s="40">
        <f t="shared" si="208"/>
        <v>-22</v>
      </c>
      <c r="BQ97" s="40">
        <f t="shared" si="208"/>
        <v>-22</v>
      </c>
      <c r="BR97" s="40">
        <f t="shared" si="208"/>
        <v>-22</v>
      </c>
      <c r="BS97" s="40">
        <f t="shared" si="208"/>
        <v>-20</v>
      </c>
      <c r="BT97" s="40">
        <f t="shared" si="208"/>
        <v>-20</v>
      </c>
      <c r="BU97" s="40">
        <f t="shared" si="208"/>
        <v>-20</v>
      </c>
      <c r="BX97" s="221">
        <f t="shared" si="135"/>
        <v>89</v>
      </c>
    </row>
    <row r="98" spans="1:76" outlineLevel="1">
      <c r="A98" s="180"/>
      <c r="B98" s="8" t="s">
        <v>187</v>
      </c>
      <c r="C98" s="202"/>
      <c r="D98" s="202"/>
      <c r="E98" s="202"/>
      <c r="F98" s="202"/>
      <c r="G98" s="202"/>
      <c r="H98" s="202"/>
      <c r="I98" s="202"/>
      <c r="J98" s="16">
        <f>K98</f>
        <v>-1.25</v>
      </c>
      <c r="K98" s="16">
        <f>L98</f>
        <v>-1.25</v>
      </c>
      <c r="L98" s="40">
        <f t="shared" si="207"/>
        <v>-1.25</v>
      </c>
      <c r="M98" s="40">
        <f t="shared" si="207"/>
        <v>-1.25</v>
      </c>
      <c r="N98" s="40">
        <f t="shared" si="207"/>
        <v>-1.25</v>
      </c>
      <c r="O98" s="40">
        <f t="shared" si="207"/>
        <v>-1.25</v>
      </c>
      <c r="P98" s="40">
        <f t="shared" si="207"/>
        <v>-1.25</v>
      </c>
      <c r="Q98" s="3"/>
      <c r="R98" s="202"/>
      <c r="S98" s="202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  <c r="AD98" s="202"/>
      <c r="AE98" s="202"/>
      <c r="AF98" s="202"/>
      <c r="AG98" s="202"/>
      <c r="AH98" s="202"/>
      <c r="AI98" s="202"/>
      <c r="AJ98" s="202"/>
      <c r="AK98" s="202"/>
      <c r="AL98" s="202"/>
      <c r="AM98" s="202"/>
      <c r="AN98" s="202"/>
      <c r="AO98" s="202"/>
      <c r="AP98" s="202"/>
      <c r="AQ98" s="202"/>
      <c r="AR98" s="202"/>
      <c r="AS98" s="202"/>
      <c r="AT98" s="202"/>
      <c r="AU98" s="202"/>
      <c r="AV98" s="202"/>
      <c r="AW98" s="202"/>
      <c r="AX98" s="202"/>
      <c r="AY98" s="202"/>
      <c r="AZ98" s="202"/>
      <c r="BA98" s="202"/>
      <c r="BB98" s="16">
        <f t="shared" ref="BB98:BI98" si="209">BC98</f>
        <v>-0.3125</v>
      </c>
      <c r="BC98" s="16">
        <f t="shared" si="209"/>
        <v>-0.3125</v>
      </c>
      <c r="BD98" s="16">
        <f t="shared" si="209"/>
        <v>-0.3125</v>
      </c>
      <c r="BE98" s="16">
        <f t="shared" si="209"/>
        <v>-0.3125</v>
      </c>
      <c r="BF98" s="16">
        <f t="shared" si="209"/>
        <v>-0.3125</v>
      </c>
      <c r="BG98" s="16">
        <f t="shared" si="209"/>
        <v>-0.3125</v>
      </c>
      <c r="BH98" s="16">
        <f t="shared" si="209"/>
        <v>-0.3125</v>
      </c>
      <c r="BI98" s="16">
        <f t="shared" si="209"/>
        <v>-0.3125</v>
      </c>
      <c r="BJ98" s="65">
        <f t="shared" ref="BJ98:BU98" si="210">-1.25/4</f>
        <v>-0.3125</v>
      </c>
      <c r="BK98" s="65">
        <f t="shared" si="210"/>
        <v>-0.3125</v>
      </c>
      <c r="BL98" s="65">
        <f t="shared" si="210"/>
        <v>-0.3125</v>
      </c>
      <c r="BM98" s="65">
        <f t="shared" si="210"/>
        <v>-0.3125</v>
      </c>
      <c r="BN98" s="65">
        <f t="shared" si="210"/>
        <v>-0.3125</v>
      </c>
      <c r="BO98" s="65">
        <f t="shared" si="210"/>
        <v>-0.3125</v>
      </c>
      <c r="BP98" s="65">
        <f t="shared" si="210"/>
        <v>-0.3125</v>
      </c>
      <c r="BQ98" s="65">
        <f t="shared" si="210"/>
        <v>-0.3125</v>
      </c>
      <c r="BR98" s="65">
        <f t="shared" si="210"/>
        <v>-0.3125</v>
      </c>
      <c r="BS98" s="65">
        <f t="shared" si="210"/>
        <v>-0.3125</v>
      </c>
      <c r="BT98" s="65">
        <f t="shared" si="210"/>
        <v>-0.3125</v>
      </c>
      <c r="BU98" s="65">
        <f t="shared" si="210"/>
        <v>-0.3125</v>
      </c>
      <c r="BX98" s="221">
        <f t="shared" si="135"/>
        <v>90</v>
      </c>
    </row>
    <row r="99" spans="1:76" outlineLevel="1">
      <c r="A99" s="180"/>
      <c r="B99" s="8" t="s">
        <v>360</v>
      </c>
      <c r="C99" s="202"/>
      <c r="D99" s="202"/>
      <c r="E99" s="202"/>
      <c r="F99" s="202"/>
      <c r="G99" s="202"/>
      <c r="H99" s="202"/>
      <c r="I99" s="202"/>
      <c r="J99" s="16">
        <f>J98*J71</f>
        <v>-6.0416666666666679</v>
      </c>
      <c r="K99" s="16">
        <f>K98*K71</f>
        <v>-6.5625</v>
      </c>
      <c r="L99" s="40">
        <f t="shared" si="207"/>
        <v>-12.708333333333332</v>
      </c>
      <c r="M99" s="40">
        <f t="shared" si="207"/>
        <v>-26.40625</v>
      </c>
      <c r="N99" s="40">
        <f t="shared" si="207"/>
        <v>-33.4375</v>
      </c>
      <c r="O99" s="40">
        <f t="shared" si="207"/>
        <v>-36.25</v>
      </c>
      <c r="P99" s="40">
        <f t="shared" si="207"/>
        <v>-36.25</v>
      </c>
      <c r="Q99" s="3"/>
      <c r="R99" s="202"/>
      <c r="S99" s="202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  <c r="AD99" s="202"/>
      <c r="AE99" s="202"/>
      <c r="AF99" s="202"/>
      <c r="AG99" s="202"/>
      <c r="AH99" s="202"/>
      <c r="AI99" s="202"/>
      <c r="AJ99" s="202"/>
      <c r="AK99" s="202"/>
      <c r="AL99" s="202"/>
      <c r="AM99" s="202"/>
      <c r="AN99" s="202"/>
      <c r="AO99" s="202"/>
      <c r="AP99" s="202"/>
      <c r="AQ99" s="202"/>
      <c r="AR99" s="202"/>
      <c r="AS99" s="202"/>
      <c r="AT99" s="202"/>
      <c r="AU99" s="202"/>
      <c r="AV99" s="202"/>
      <c r="AW99" s="202"/>
      <c r="AX99" s="202"/>
      <c r="AY99" s="202"/>
      <c r="AZ99" s="202"/>
      <c r="BA99" s="202"/>
      <c r="BB99" s="16">
        <f t="shared" ref="BB99:BU99" si="211">BB98*BB71</f>
        <v>-2.0833333333333335</v>
      </c>
      <c r="BC99" s="16">
        <f t="shared" si="211"/>
        <v>-2.916666666666667</v>
      </c>
      <c r="BD99" s="16">
        <f t="shared" si="211"/>
        <v>-3.958333333333333</v>
      </c>
      <c r="BE99" s="16">
        <f t="shared" si="211"/>
        <v>-3.75</v>
      </c>
      <c r="BF99" s="16">
        <f t="shared" si="211"/>
        <v>-4.84375</v>
      </c>
      <c r="BG99" s="16">
        <f t="shared" si="211"/>
        <v>-5.71875</v>
      </c>
      <c r="BH99" s="16">
        <f t="shared" si="211"/>
        <v>-7.71875</v>
      </c>
      <c r="BI99" s="16">
        <f t="shared" si="211"/>
        <v>-8.125</v>
      </c>
      <c r="BJ99" s="16">
        <f t="shared" si="211"/>
        <v>-8.125</v>
      </c>
      <c r="BK99" s="16">
        <f t="shared" si="211"/>
        <v>-8.125</v>
      </c>
      <c r="BL99" s="16">
        <f t="shared" si="211"/>
        <v>-8.4375</v>
      </c>
      <c r="BM99" s="16">
        <f t="shared" si="211"/>
        <v>-8.75</v>
      </c>
      <c r="BN99" s="16">
        <f t="shared" si="211"/>
        <v>-9.0625</v>
      </c>
      <c r="BO99" s="16">
        <f t="shared" si="211"/>
        <v>-9.0625</v>
      </c>
      <c r="BP99" s="16">
        <f t="shared" si="211"/>
        <v>-9.0625</v>
      </c>
      <c r="BQ99" s="16">
        <f t="shared" si="211"/>
        <v>-9.0625</v>
      </c>
      <c r="BR99" s="16">
        <f t="shared" si="211"/>
        <v>-9.0625</v>
      </c>
      <c r="BS99" s="16">
        <f t="shared" si="211"/>
        <v>-9.0625</v>
      </c>
      <c r="BT99" s="16">
        <f t="shared" si="211"/>
        <v>-9.0625</v>
      </c>
      <c r="BU99" s="16">
        <f t="shared" si="211"/>
        <v>-9.0625</v>
      </c>
      <c r="BX99" s="221">
        <f t="shared" si="135"/>
        <v>91</v>
      </c>
    </row>
    <row r="100" spans="1:76" outlineLevel="1">
      <c r="A100" s="180"/>
      <c r="B100" s="8" t="s">
        <v>186</v>
      </c>
      <c r="C100" s="202"/>
      <c r="D100" s="202"/>
      <c r="E100" s="202"/>
      <c r="F100" s="202"/>
      <c r="G100" s="202"/>
      <c r="H100" s="202"/>
      <c r="I100" s="202"/>
      <c r="J100" s="16">
        <f>J97-J99</f>
        <v>-15.961897431730332</v>
      </c>
      <c r="K100" s="16">
        <f>K97-K99</f>
        <v>-15.4355383841968</v>
      </c>
      <c r="L100" s="40">
        <f t="shared" si="207"/>
        <v>-13.99738679494077</v>
      </c>
      <c r="M100" s="40">
        <f t="shared" si="207"/>
        <v>-47.368750000000006</v>
      </c>
      <c r="N100" s="40">
        <f t="shared" si="207"/>
        <v>-50.5625</v>
      </c>
      <c r="O100" s="40">
        <f t="shared" si="207"/>
        <v>-51.75</v>
      </c>
      <c r="P100" s="40">
        <f t="shared" si="207"/>
        <v>-45.75</v>
      </c>
      <c r="Q100" s="3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  <c r="AD100" s="202"/>
      <c r="AE100" s="202"/>
      <c r="AF100" s="202"/>
      <c r="AG100" s="202"/>
      <c r="AH100" s="202"/>
      <c r="AI100" s="202"/>
      <c r="AJ100" s="202"/>
      <c r="AK100" s="202"/>
      <c r="AL100" s="202"/>
      <c r="AM100" s="202"/>
      <c r="AN100" s="202"/>
      <c r="AO100" s="202"/>
      <c r="AP100" s="202"/>
      <c r="AQ100" s="202"/>
      <c r="AR100" s="202"/>
      <c r="AS100" s="202"/>
      <c r="AT100" s="202"/>
      <c r="AU100" s="202"/>
      <c r="AV100" s="202"/>
      <c r="AW100" s="202"/>
      <c r="AX100" s="202"/>
      <c r="AY100" s="202"/>
      <c r="AZ100" s="202"/>
      <c r="BA100" s="202"/>
      <c r="BB100" s="16">
        <f t="shared" ref="BB100:BG100" si="212">BB97-BB99</f>
        <v>-2.4287871267896848</v>
      </c>
      <c r="BC100" s="16">
        <f t="shared" si="212"/>
        <v>-4.7086697956018684</v>
      </c>
      <c r="BD100" s="16">
        <f t="shared" si="212"/>
        <v>-3.0879298725492168</v>
      </c>
      <c r="BE100" s="16">
        <f t="shared" si="212"/>
        <v>-3.7719999999999994</v>
      </c>
      <c r="BF100" s="16">
        <f t="shared" si="212"/>
        <v>-7.7282499999999992</v>
      </c>
      <c r="BG100" s="16">
        <f t="shared" si="212"/>
        <v>-12.728249999999999</v>
      </c>
      <c r="BH100" s="16">
        <f t="shared" ref="BH100:BU100" si="213">BH97-BH99</f>
        <v>-13.054250000000003</v>
      </c>
      <c r="BI100" s="16">
        <f t="shared" ref="BI100" si="214">BI97-BI99</f>
        <v>-13.858000000000001</v>
      </c>
      <c r="BJ100" s="16">
        <f t="shared" si="213"/>
        <v>-12.875</v>
      </c>
      <c r="BK100" s="16">
        <f t="shared" si="213"/>
        <v>-12.875</v>
      </c>
      <c r="BL100" s="16">
        <f t="shared" si="213"/>
        <v>-12.5625</v>
      </c>
      <c r="BM100" s="16">
        <f t="shared" si="213"/>
        <v>-12.25</v>
      </c>
      <c r="BN100" s="16">
        <f t="shared" si="213"/>
        <v>-12.9375</v>
      </c>
      <c r="BO100" s="16">
        <f t="shared" si="213"/>
        <v>-12.9375</v>
      </c>
      <c r="BP100" s="16">
        <f t="shared" si="213"/>
        <v>-12.9375</v>
      </c>
      <c r="BQ100" s="16">
        <f t="shared" si="213"/>
        <v>-12.9375</v>
      </c>
      <c r="BR100" s="16">
        <f t="shared" si="213"/>
        <v>-12.9375</v>
      </c>
      <c r="BS100" s="16">
        <f t="shared" si="213"/>
        <v>-10.9375</v>
      </c>
      <c r="BT100" s="16">
        <f t="shared" si="213"/>
        <v>-10.9375</v>
      </c>
      <c r="BU100" s="16">
        <f t="shared" si="213"/>
        <v>-10.9375</v>
      </c>
      <c r="BX100" s="221">
        <f t="shared" si="135"/>
        <v>92</v>
      </c>
    </row>
    <row r="101" spans="1:76" outlineLevel="1">
      <c r="A101" s="180"/>
      <c r="B101" s="8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3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16"/>
      <c r="BC101" s="16"/>
      <c r="BD101" s="16"/>
      <c r="BE101" s="16"/>
      <c r="BF101" s="16"/>
      <c r="BG101" s="16"/>
      <c r="BH101" s="16"/>
      <c r="BI101" s="16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X101" s="221">
        <f t="shared" si="135"/>
        <v>93</v>
      </c>
    </row>
    <row r="102" spans="1:76" outlineLevel="1">
      <c r="A102" s="180"/>
      <c r="B102" s="8" t="s">
        <v>185</v>
      </c>
      <c r="C102" s="202"/>
      <c r="D102" s="202"/>
      <c r="E102" s="202"/>
      <c r="F102" s="202"/>
      <c r="G102" s="202"/>
      <c r="H102" s="202"/>
      <c r="I102" s="202"/>
      <c r="J102" s="63">
        <f t="shared" ref="J102:P106" si="215">SUMIF($R$5:$BV$5,J$5,$R102:$BV102)</f>
        <v>0</v>
      </c>
      <c r="K102" s="63">
        <f t="shared" si="215"/>
        <v>0</v>
      </c>
      <c r="L102" s="63">
        <f t="shared" si="215"/>
        <v>2.75</v>
      </c>
      <c r="M102" s="63">
        <f t="shared" si="215"/>
        <v>3.375</v>
      </c>
      <c r="N102" s="63">
        <f t="shared" si="215"/>
        <v>4</v>
      </c>
      <c r="O102" s="63">
        <f t="shared" si="215"/>
        <v>4</v>
      </c>
      <c r="P102" s="63">
        <f t="shared" si="215"/>
        <v>4</v>
      </c>
      <c r="Q102" s="3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  <c r="AD102" s="202"/>
      <c r="AE102" s="202"/>
      <c r="AF102" s="202"/>
      <c r="AG102" s="202"/>
      <c r="AH102" s="202"/>
      <c r="AI102" s="202"/>
      <c r="AJ102" s="202"/>
      <c r="AK102" s="202"/>
      <c r="AL102" s="202"/>
      <c r="AM102" s="202"/>
      <c r="AN102" s="202"/>
      <c r="AO102" s="202"/>
      <c r="AP102" s="202"/>
      <c r="AQ102" s="202"/>
      <c r="AR102" s="202"/>
      <c r="AS102" s="202"/>
      <c r="AT102" s="202"/>
      <c r="AU102" s="202"/>
      <c r="AV102" s="202"/>
      <c r="AW102" s="202"/>
      <c r="AX102" s="202"/>
      <c r="AY102" s="202"/>
      <c r="AZ102" s="202"/>
      <c r="BA102" s="202"/>
      <c r="BB102" s="65">
        <f>2.75/4</f>
        <v>0.6875</v>
      </c>
      <c r="BC102" s="65">
        <f>2.75/4</f>
        <v>0.6875</v>
      </c>
      <c r="BD102" s="65">
        <f>2.75/4</f>
        <v>0.6875</v>
      </c>
      <c r="BE102" s="65">
        <f>2.75/4</f>
        <v>0.6875</v>
      </c>
      <c r="BF102" s="65">
        <f>3/4</f>
        <v>0.75</v>
      </c>
      <c r="BG102" s="65">
        <f t="shared" ref="BG102:BI102" si="216">3.5/4</f>
        <v>0.875</v>
      </c>
      <c r="BH102" s="65">
        <f t="shared" si="216"/>
        <v>0.875</v>
      </c>
      <c r="BI102" s="65">
        <f t="shared" si="216"/>
        <v>0.875</v>
      </c>
      <c r="BJ102" s="65">
        <f>4/4</f>
        <v>1</v>
      </c>
      <c r="BK102" s="65">
        <f t="shared" ref="BK102:BM102" si="217">4/4</f>
        <v>1</v>
      </c>
      <c r="BL102" s="65">
        <f t="shared" si="217"/>
        <v>1</v>
      </c>
      <c r="BM102" s="65">
        <f t="shared" si="217"/>
        <v>1</v>
      </c>
      <c r="BN102" s="65">
        <f>BM102</f>
        <v>1</v>
      </c>
      <c r="BO102" s="65">
        <f t="shared" ref="BO102:BU102" si="218">BN102</f>
        <v>1</v>
      </c>
      <c r="BP102" s="65">
        <f t="shared" si="218"/>
        <v>1</v>
      </c>
      <c r="BQ102" s="65">
        <f t="shared" si="218"/>
        <v>1</v>
      </c>
      <c r="BR102" s="65">
        <f t="shared" si="218"/>
        <v>1</v>
      </c>
      <c r="BS102" s="65">
        <f t="shared" si="218"/>
        <v>1</v>
      </c>
      <c r="BT102" s="65">
        <f t="shared" si="218"/>
        <v>1</v>
      </c>
      <c r="BU102" s="65">
        <f t="shared" si="218"/>
        <v>1</v>
      </c>
      <c r="BX102" s="221">
        <f t="shared" si="135"/>
        <v>94</v>
      </c>
    </row>
    <row r="103" spans="1:76" outlineLevel="1">
      <c r="A103" s="180"/>
      <c r="B103" s="8" t="s">
        <v>184</v>
      </c>
      <c r="C103" s="202"/>
      <c r="D103" s="202"/>
      <c r="E103" s="202"/>
      <c r="F103" s="202"/>
      <c r="G103" s="202"/>
      <c r="H103" s="202"/>
      <c r="I103" s="202"/>
      <c r="J103" s="40">
        <f t="shared" si="215"/>
        <v>0</v>
      </c>
      <c r="K103" s="40">
        <f t="shared" si="215"/>
        <v>0</v>
      </c>
      <c r="L103" s="40">
        <f>AVERAGEIF($R$5:$BV$5,L$5,$R103:$BV103)</f>
        <v>35</v>
      </c>
      <c r="M103" s="40">
        <f t="shared" ref="M103:P104" si="219">AVERAGEIF($R$5:$BV$5,M$5,$R103:$BV103)</f>
        <v>35</v>
      </c>
      <c r="N103" s="40">
        <f t="shared" si="219"/>
        <v>38.333333333333336</v>
      </c>
      <c r="O103" s="40">
        <f t="shared" si="219"/>
        <v>38.333333333333336</v>
      </c>
      <c r="P103" s="40">
        <f t="shared" si="219"/>
        <v>40</v>
      </c>
      <c r="Q103" s="3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  <c r="AD103" s="202"/>
      <c r="AE103" s="202"/>
      <c r="AF103" s="202"/>
      <c r="AG103" s="202"/>
      <c r="AH103" s="202"/>
      <c r="AI103" s="202"/>
      <c r="AJ103" s="202"/>
      <c r="AK103" s="202"/>
      <c r="AL103" s="202"/>
      <c r="AM103" s="202"/>
      <c r="AN103" s="202"/>
      <c r="AO103" s="202"/>
      <c r="AP103" s="202"/>
      <c r="AQ103" s="202"/>
      <c r="AR103" s="202"/>
      <c r="AS103" s="202"/>
      <c r="AT103" s="202"/>
      <c r="AU103" s="202"/>
      <c r="AV103" s="202"/>
      <c r="AW103" s="202"/>
      <c r="AX103" s="202"/>
      <c r="AY103" s="202"/>
      <c r="AZ103" s="202"/>
      <c r="BA103" s="202"/>
      <c r="BB103" s="65">
        <v>35</v>
      </c>
      <c r="BC103" s="65">
        <f t="shared" ref="BC103:BQ103" si="220">BB103</f>
        <v>35</v>
      </c>
      <c r="BD103" s="65">
        <f t="shared" si="220"/>
        <v>35</v>
      </c>
      <c r="BE103" s="65">
        <f t="shared" si="220"/>
        <v>35</v>
      </c>
      <c r="BF103" s="65">
        <f t="shared" si="220"/>
        <v>35</v>
      </c>
      <c r="BG103" s="65">
        <f t="shared" si="220"/>
        <v>35</v>
      </c>
      <c r="BH103" s="65">
        <f t="shared" si="220"/>
        <v>35</v>
      </c>
      <c r="BI103" s="65">
        <f t="shared" si="220"/>
        <v>35</v>
      </c>
      <c r="BJ103" s="65">
        <v>38.333333333333336</v>
      </c>
      <c r="BK103" s="65">
        <f t="shared" si="220"/>
        <v>38.333333333333336</v>
      </c>
      <c r="BL103" s="65">
        <f t="shared" si="220"/>
        <v>38.333333333333336</v>
      </c>
      <c r="BM103" s="65">
        <f t="shared" si="220"/>
        <v>38.333333333333336</v>
      </c>
      <c r="BN103" s="65">
        <f t="shared" si="220"/>
        <v>38.333333333333336</v>
      </c>
      <c r="BO103" s="65">
        <f t="shared" si="220"/>
        <v>38.333333333333336</v>
      </c>
      <c r="BP103" s="65">
        <f t="shared" si="220"/>
        <v>38.333333333333336</v>
      </c>
      <c r="BQ103" s="65">
        <f t="shared" si="220"/>
        <v>38.333333333333336</v>
      </c>
      <c r="BR103" s="65">
        <v>40</v>
      </c>
      <c r="BS103" s="65">
        <v>40</v>
      </c>
      <c r="BT103" s="65">
        <v>40</v>
      </c>
      <c r="BU103" s="65">
        <v>40</v>
      </c>
      <c r="BX103" s="221">
        <f t="shared" si="135"/>
        <v>95</v>
      </c>
    </row>
    <row r="104" spans="1:76" outlineLevel="1">
      <c r="A104" s="180"/>
      <c r="B104" s="8" t="s">
        <v>320</v>
      </c>
      <c r="C104" s="202"/>
      <c r="D104" s="202"/>
      <c r="E104" s="202"/>
      <c r="F104" s="202"/>
      <c r="G104" s="202"/>
      <c r="H104" s="202"/>
      <c r="I104" s="202"/>
      <c r="J104" s="40">
        <f t="shared" si="215"/>
        <v>0</v>
      </c>
      <c r="K104" s="40">
        <f t="shared" si="215"/>
        <v>0</v>
      </c>
      <c r="L104" s="40">
        <f>AVERAGEIF($R$5:$BV$5,L$5,$R104:$BV104)</f>
        <v>0.5</v>
      </c>
      <c r="M104" s="40">
        <f t="shared" si="219"/>
        <v>0.5</v>
      </c>
      <c r="N104" s="40">
        <f t="shared" si="219"/>
        <v>0.5</v>
      </c>
      <c r="O104" s="40">
        <f t="shared" si="219"/>
        <v>0.5</v>
      </c>
      <c r="P104" s="40">
        <f t="shared" si="219"/>
        <v>0.5</v>
      </c>
      <c r="Q104" s="3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  <c r="AD104" s="202"/>
      <c r="AE104" s="202"/>
      <c r="AF104" s="202"/>
      <c r="AG104" s="202"/>
      <c r="AH104" s="202"/>
      <c r="AI104" s="202"/>
      <c r="AJ104" s="202"/>
      <c r="AK104" s="202"/>
      <c r="AL104" s="202"/>
      <c r="AM104" s="202"/>
      <c r="AN104" s="202"/>
      <c r="AO104" s="202"/>
      <c r="AP104" s="202"/>
      <c r="AQ104" s="202"/>
      <c r="AR104" s="202"/>
      <c r="AS104" s="202"/>
      <c r="AT104" s="202"/>
      <c r="AU104" s="202"/>
      <c r="AV104" s="202"/>
      <c r="AW104" s="202"/>
      <c r="AX104" s="202"/>
      <c r="AY104" s="202"/>
      <c r="AZ104" s="202"/>
      <c r="BA104" s="202"/>
      <c r="BB104" s="65">
        <v>0.5</v>
      </c>
      <c r="BC104" s="65">
        <v>0.5</v>
      </c>
      <c r="BD104" s="65">
        <v>0.5</v>
      </c>
      <c r="BE104" s="65">
        <v>0.5</v>
      </c>
      <c r="BF104" s="65">
        <v>0.5</v>
      </c>
      <c r="BG104" s="65">
        <v>0.5</v>
      </c>
      <c r="BH104" s="65">
        <v>0.5</v>
      </c>
      <c r="BI104" s="65">
        <v>0.5</v>
      </c>
      <c r="BJ104" s="65">
        <v>0.5</v>
      </c>
      <c r="BK104" s="65">
        <v>0.5</v>
      </c>
      <c r="BL104" s="65">
        <v>0.5</v>
      </c>
      <c r="BM104" s="65">
        <v>0.5</v>
      </c>
      <c r="BN104" s="65">
        <v>0.5</v>
      </c>
      <c r="BO104" s="65">
        <v>0.5</v>
      </c>
      <c r="BP104" s="65">
        <v>0.5</v>
      </c>
      <c r="BQ104" s="65">
        <v>0.5</v>
      </c>
      <c r="BR104" s="65">
        <v>0.5</v>
      </c>
      <c r="BS104" s="65">
        <v>0.5</v>
      </c>
      <c r="BT104" s="65">
        <v>0.5</v>
      </c>
      <c r="BU104" s="65">
        <v>0.5</v>
      </c>
      <c r="BX104" s="221">
        <f t="shared" si="135"/>
        <v>96</v>
      </c>
    </row>
    <row r="105" spans="1:76" outlineLevel="1">
      <c r="A105" s="180"/>
      <c r="B105" s="8" t="s">
        <v>183</v>
      </c>
      <c r="C105" s="202"/>
      <c r="D105" s="202"/>
      <c r="E105" s="202"/>
      <c r="F105" s="202"/>
      <c r="G105" s="202"/>
      <c r="H105" s="202"/>
      <c r="I105" s="202"/>
      <c r="J105" s="40">
        <f t="shared" si="215"/>
        <v>0</v>
      </c>
      <c r="K105" s="40">
        <f t="shared" si="215"/>
        <v>0</v>
      </c>
      <c r="L105" s="40">
        <f t="shared" si="215"/>
        <v>-1.061333333333331</v>
      </c>
      <c r="M105" s="40">
        <f t="shared" si="215"/>
        <v>76.34</v>
      </c>
      <c r="N105" s="40">
        <f t="shared" si="215"/>
        <v>7</v>
      </c>
      <c r="O105" s="40">
        <f t="shared" si="215"/>
        <v>10</v>
      </c>
      <c r="P105" s="40">
        <f t="shared" si="215"/>
        <v>10</v>
      </c>
      <c r="Q105" s="3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  <c r="AD105" s="202"/>
      <c r="AE105" s="202"/>
      <c r="AF105" s="202"/>
      <c r="AG105" s="202"/>
      <c r="AH105" s="202"/>
      <c r="AI105" s="202"/>
      <c r="AJ105" s="202"/>
      <c r="AK105" s="202"/>
      <c r="AL105" s="202"/>
      <c r="AM105" s="202"/>
      <c r="AN105" s="202"/>
      <c r="AO105" s="202"/>
      <c r="AP105" s="202"/>
      <c r="AQ105" s="202"/>
      <c r="AR105" s="202"/>
      <c r="AS105" s="202"/>
      <c r="AT105" s="202"/>
      <c r="AU105" s="202"/>
      <c r="AV105" s="202"/>
      <c r="AW105" s="202"/>
      <c r="AX105" s="202"/>
      <c r="AY105" s="202"/>
      <c r="AZ105" s="202"/>
      <c r="BA105" s="202"/>
      <c r="BB105" s="65">
        <v>0</v>
      </c>
      <c r="BC105" s="65">
        <v>0</v>
      </c>
      <c r="BD105" s="65">
        <v>0</v>
      </c>
      <c r="BE105" s="16">
        <f>+BE106-+BE102*BE71+BE103*BE70+BE104*(BE71-BD71)</f>
        <v>-1.061333333333331</v>
      </c>
      <c r="BF105" s="237">
        <f>+BF106-+BF102*BF71+BF103*BF70+BF104*(BF71-BE71)</f>
        <v>0.19500000000000028</v>
      </c>
      <c r="BG105" s="237">
        <f>+BG106-+BG102*BG71+BG103*BG70+BG104*(BG71-BF71)</f>
        <v>3.2524999999999995</v>
      </c>
      <c r="BH105" s="237">
        <f>+BH106-+BH102*BH71+BH103*BH70+BH104*(BH71-BG71)</f>
        <v>38.000500000000002</v>
      </c>
      <c r="BI105" s="237">
        <f>+BI106-+BI102*BI71+BI103*BI70+BI104*(BI71-BH71)</f>
        <v>34.891999999999996</v>
      </c>
      <c r="BJ105" s="65">
        <v>10</v>
      </c>
      <c r="BK105" s="65">
        <f>-20%*115+10</f>
        <v>-13</v>
      </c>
      <c r="BL105" s="65">
        <v>5</v>
      </c>
      <c r="BM105" s="65">
        <v>5</v>
      </c>
      <c r="BN105" s="65">
        <v>2.5</v>
      </c>
      <c r="BO105" s="65">
        <v>2.5</v>
      </c>
      <c r="BP105" s="65">
        <v>2.5</v>
      </c>
      <c r="BQ105" s="65">
        <v>2.5</v>
      </c>
      <c r="BR105" s="65">
        <v>2.5</v>
      </c>
      <c r="BS105" s="65">
        <v>2.5</v>
      </c>
      <c r="BT105" s="65">
        <v>2.5</v>
      </c>
      <c r="BU105" s="65">
        <v>2.5</v>
      </c>
      <c r="BX105" s="221">
        <f t="shared" si="135"/>
        <v>97</v>
      </c>
    </row>
    <row r="106" spans="1:76" outlineLevel="1">
      <c r="A106" s="180"/>
      <c r="B106" s="8" t="s">
        <v>182</v>
      </c>
      <c r="C106" s="202"/>
      <c r="D106" s="202"/>
      <c r="E106" s="202"/>
      <c r="F106" s="202"/>
      <c r="G106" s="202"/>
      <c r="H106" s="202"/>
      <c r="I106" s="202"/>
      <c r="J106" s="40">
        <f t="shared" si="215"/>
        <v>0</v>
      </c>
      <c r="K106" s="40">
        <f t="shared" si="215"/>
        <v>0</v>
      </c>
      <c r="L106" s="40">
        <f t="shared" si="215"/>
        <v>33.563666666666663</v>
      </c>
      <c r="M106" s="40">
        <f t="shared" si="215"/>
        <v>141.34</v>
      </c>
      <c r="N106" s="40">
        <f t="shared" si="215"/>
        <v>230</v>
      </c>
      <c r="O106" s="40">
        <f t="shared" si="215"/>
        <v>126.5</v>
      </c>
      <c r="P106" s="40">
        <f t="shared" si="215"/>
        <v>126</v>
      </c>
      <c r="Q106" s="3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  <c r="AD106" s="202"/>
      <c r="AE106" s="202"/>
      <c r="AF106" s="202"/>
      <c r="AG106" s="202"/>
      <c r="AH106" s="202"/>
      <c r="AI106" s="202"/>
      <c r="AJ106" s="202"/>
      <c r="AK106" s="202"/>
      <c r="AL106" s="202"/>
      <c r="AM106" s="202"/>
      <c r="AN106" s="202"/>
      <c r="AO106" s="202"/>
      <c r="AP106" s="202"/>
      <c r="AQ106" s="202"/>
      <c r="AR106" s="202"/>
      <c r="AS106" s="202"/>
      <c r="AT106" s="202"/>
      <c r="AU106" s="202"/>
      <c r="AV106" s="202"/>
      <c r="AW106" s="202"/>
      <c r="AX106" s="202"/>
      <c r="AY106" s="202"/>
      <c r="AZ106" s="202"/>
      <c r="BA106" s="202"/>
      <c r="BB106" s="16">
        <f>+BB102*BB71+BB103*BB70+BB104*(BB71-BA71)+BB105</f>
        <v>7.9166666666666679</v>
      </c>
      <c r="BC106" s="16">
        <f>+BC102*BC71+BC103*BC70+BC104*(BC71-BB71)+BC105</f>
        <v>7.75</v>
      </c>
      <c r="BD106" s="16">
        <f>+BD102*BD71+BD103*BD70+BD104*(BD71-BC71)+BD105</f>
        <v>10.374999999999998</v>
      </c>
      <c r="BE106" s="227">
        <f>-BE170</f>
        <v>7.522000000000002</v>
      </c>
      <c r="BF106" s="237">
        <f>-BF170</f>
        <v>10.07</v>
      </c>
      <c r="BG106" s="237">
        <f>-BG170</f>
        <v>17.864999999999998</v>
      </c>
      <c r="BH106" s="237">
        <f>-BH170</f>
        <v>56.413000000000004</v>
      </c>
      <c r="BI106" s="237">
        <f>-BI170</f>
        <v>56.991999999999997</v>
      </c>
      <c r="BJ106" s="16">
        <f t="shared" ref="BJ106:BU106" si="221">+BJ102*BJ71+BJ103*BJ70+BJ104*(BJ71-BI71)+BJ105</f>
        <v>36</v>
      </c>
      <c r="BK106" s="16">
        <f t="shared" si="221"/>
        <v>89.666666666666671</v>
      </c>
      <c r="BL106" s="16">
        <f t="shared" si="221"/>
        <v>70.833333333333343</v>
      </c>
      <c r="BM106" s="16">
        <f t="shared" si="221"/>
        <v>33.5</v>
      </c>
      <c r="BN106" s="16">
        <f t="shared" si="221"/>
        <v>32</v>
      </c>
      <c r="BO106" s="16">
        <f t="shared" si="221"/>
        <v>31.5</v>
      </c>
      <c r="BP106" s="16">
        <f t="shared" si="221"/>
        <v>31.5</v>
      </c>
      <c r="BQ106" s="16">
        <f t="shared" si="221"/>
        <v>31.5</v>
      </c>
      <c r="BR106" s="16">
        <f t="shared" si="221"/>
        <v>31.5</v>
      </c>
      <c r="BS106" s="16">
        <f t="shared" si="221"/>
        <v>31.5</v>
      </c>
      <c r="BT106" s="16">
        <f t="shared" si="221"/>
        <v>31.5</v>
      </c>
      <c r="BU106" s="16">
        <f t="shared" si="221"/>
        <v>31.5</v>
      </c>
      <c r="BX106" s="221">
        <f t="shared" si="135"/>
        <v>98</v>
      </c>
    </row>
    <row r="107" spans="1:76" outlineLevel="1">
      <c r="A107" s="180"/>
      <c r="B107" s="8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X107" s="221">
        <f t="shared" si="135"/>
        <v>99</v>
      </c>
    </row>
    <row r="108" spans="1:76" outlineLevel="1">
      <c r="A108" s="181" t="s">
        <v>0</v>
      </c>
      <c r="B108" s="114" t="s">
        <v>323</v>
      </c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X108" s="221">
        <f t="shared" si="135"/>
        <v>100</v>
      </c>
    </row>
    <row r="109" spans="1:76" hidden="1" outlineLevel="2">
      <c r="A109" s="183"/>
      <c r="B109" s="92" t="s">
        <v>181</v>
      </c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31"/>
      <c r="BC109" s="131"/>
      <c r="BD109" s="131"/>
      <c r="BE109" s="131"/>
      <c r="BF109" s="131"/>
      <c r="BG109" s="131"/>
      <c r="BH109" s="131"/>
      <c r="BI109" s="131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X109" s="221">
        <f t="shared" si="135"/>
        <v>101</v>
      </c>
    </row>
    <row r="110" spans="1:76" hidden="1" outlineLevel="2">
      <c r="A110" s="183"/>
      <c r="B110" s="130" t="s">
        <v>178</v>
      </c>
      <c r="C110" s="202"/>
      <c r="D110" s="202"/>
      <c r="E110" s="202"/>
      <c r="F110" s="202"/>
      <c r="G110" s="202"/>
      <c r="H110" s="202"/>
      <c r="I110" s="202"/>
      <c r="J110" s="40">
        <v>-314.78337833000001</v>
      </c>
      <c r="K110" s="40">
        <v>-305.92889002000015</v>
      </c>
      <c r="L110" s="40">
        <f t="shared" ref="L110:P112" si="222">SUMIF($R$5:$BV$5,L$5,$R110:$BV110)</f>
        <v>-401.89369093475977</v>
      </c>
      <c r="M110" s="40">
        <f t="shared" si="222"/>
        <v>-1269.2629999999999</v>
      </c>
      <c r="N110" s="40">
        <f t="shared" si="222"/>
        <v>-1692.8771410595386</v>
      </c>
      <c r="O110" s="40">
        <f t="shared" si="222"/>
        <v>-1853.6540056269232</v>
      </c>
      <c r="P110" s="40">
        <f t="shared" si="222"/>
        <v>-1853.6540056269232</v>
      </c>
      <c r="Q110" s="124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  <c r="AI110" s="202"/>
      <c r="AJ110" s="202"/>
      <c r="AK110" s="202"/>
      <c r="AL110" s="202"/>
      <c r="AM110" s="202"/>
      <c r="AN110" s="202"/>
      <c r="AO110" s="202"/>
      <c r="AP110" s="202"/>
      <c r="AQ110" s="202"/>
      <c r="AR110" s="202"/>
      <c r="AS110" s="202"/>
      <c r="AT110" s="202"/>
      <c r="AU110" s="202"/>
      <c r="AV110" s="202"/>
      <c r="AW110" s="202"/>
      <c r="AX110" s="202"/>
      <c r="AY110" s="202"/>
      <c r="AZ110" s="202"/>
      <c r="BA110" s="202"/>
      <c r="BB110" s="129">
        <v>-65.183941338982081</v>
      </c>
      <c r="BC110" s="129">
        <v>-80.069617860715368</v>
      </c>
      <c r="BD110" s="129">
        <v>-117.01413173506228</v>
      </c>
      <c r="BE110" s="129">
        <v>-139.626</v>
      </c>
      <c r="BF110" s="129">
        <v>-223.99199999999999</v>
      </c>
      <c r="BG110" s="129">
        <v>-278.38400000000001</v>
      </c>
      <c r="BH110" s="129">
        <v>-384.00700000000001</v>
      </c>
      <c r="BI110" s="129">
        <v>-382.88</v>
      </c>
      <c r="BJ110" s="127">
        <f t="shared" ref="BJ110:BU110" si="223">BJ16</f>
        <v>-390.0470555</v>
      </c>
      <c r="BK110" s="127">
        <f t="shared" si="223"/>
        <v>-418.18969115000004</v>
      </c>
      <c r="BL110" s="127">
        <f t="shared" si="223"/>
        <v>-437.20666891338465</v>
      </c>
      <c r="BM110" s="127">
        <f t="shared" si="223"/>
        <v>-447.4337254961539</v>
      </c>
      <c r="BN110" s="127">
        <f t="shared" si="223"/>
        <v>-463.4135014067308</v>
      </c>
      <c r="BO110" s="127">
        <f t="shared" si="223"/>
        <v>-463.4135014067308</v>
      </c>
      <c r="BP110" s="127">
        <f t="shared" si="223"/>
        <v>-463.4135014067308</v>
      </c>
      <c r="BQ110" s="127">
        <f t="shared" si="223"/>
        <v>-463.4135014067308</v>
      </c>
      <c r="BR110" s="127">
        <f t="shared" si="223"/>
        <v>-463.4135014067308</v>
      </c>
      <c r="BS110" s="127">
        <f t="shared" si="223"/>
        <v>-463.4135014067308</v>
      </c>
      <c r="BT110" s="127">
        <f t="shared" si="223"/>
        <v>-463.4135014067308</v>
      </c>
      <c r="BU110" s="127">
        <f t="shared" si="223"/>
        <v>-463.4135014067308</v>
      </c>
      <c r="BX110" s="221">
        <f t="shared" si="135"/>
        <v>102</v>
      </c>
    </row>
    <row r="111" spans="1:76" hidden="1" outlineLevel="2">
      <c r="A111" s="183"/>
      <c r="B111" s="130" t="s">
        <v>177</v>
      </c>
      <c r="C111" s="202"/>
      <c r="D111" s="202"/>
      <c r="E111" s="202"/>
      <c r="F111" s="202"/>
      <c r="G111" s="202"/>
      <c r="H111" s="202"/>
      <c r="I111" s="202"/>
      <c r="J111" s="40">
        <v>-8.9346216699999985</v>
      </c>
      <c r="K111" s="40">
        <v>-0.66807360999999998</v>
      </c>
      <c r="L111" s="40">
        <f t="shared" si="222"/>
        <v>-14.450580765240339</v>
      </c>
      <c r="M111" s="40">
        <f t="shared" si="222"/>
        <v>-13.298</v>
      </c>
      <c r="N111" s="40">
        <f t="shared" si="222"/>
        <v>-33.705026162500005</v>
      </c>
      <c r="O111" s="40">
        <f t="shared" si="222"/>
        <v>-65.20877695754298</v>
      </c>
      <c r="P111" s="40">
        <f t="shared" si="222"/>
        <v>-70.055796920484383</v>
      </c>
      <c r="Q111" s="124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  <c r="AI111" s="202"/>
      <c r="AJ111" s="202"/>
      <c r="AK111" s="202"/>
      <c r="AL111" s="202"/>
      <c r="AM111" s="202"/>
      <c r="AN111" s="202"/>
      <c r="AO111" s="202"/>
      <c r="AP111" s="202"/>
      <c r="AQ111" s="202"/>
      <c r="AR111" s="202"/>
      <c r="AS111" s="202"/>
      <c r="AT111" s="202"/>
      <c r="AU111" s="202"/>
      <c r="AV111" s="202"/>
      <c r="AW111" s="202"/>
      <c r="AX111" s="202"/>
      <c r="AY111" s="202"/>
      <c r="AZ111" s="202"/>
      <c r="BA111" s="202"/>
      <c r="BB111" s="129">
        <v>-2.6614264610179426</v>
      </c>
      <c r="BC111" s="129">
        <v>-4.9694810392846414</v>
      </c>
      <c r="BD111" s="129">
        <v>-3.4676732649377557</v>
      </c>
      <c r="BE111" s="129">
        <v>-3.3519999999999999</v>
      </c>
      <c r="BF111" s="129">
        <v>0</v>
      </c>
      <c r="BG111" s="129">
        <v>0</v>
      </c>
      <c r="BH111" s="129">
        <v>-7.0819999999999999</v>
      </c>
      <c r="BI111" s="129">
        <v>-6.2160000000000002</v>
      </c>
      <c r="BJ111" s="127">
        <f t="shared" ref="BJ111:BU111" si="224">BJ17</f>
        <v>-5.9112900000000002</v>
      </c>
      <c r="BK111" s="127">
        <f t="shared" si="224"/>
        <v>-6.9786062499999995</v>
      </c>
      <c r="BL111" s="127">
        <f t="shared" si="224"/>
        <v>-8.8669350000000016</v>
      </c>
      <c r="BM111" s="127">
        <f t="shared" si="224"/>
        <v>-11.9481949125</v>
      </c>
      <c r="BN111" s="127">
        <f t="shared" si="224"/>
        <v>-15.129207843750001</v>
      </c>
      <c r="BO111" s="127">
        <f t="shared" si="224"/>
        <v>-15.885668235937501</v>
      </c>
      <c r="BP111" s="127">
        <f t="shared" si="224"/>
        <v>-16.679951647734377</v>
      </c>
      <c r="BQ111" s="127">
        <f t="shared" si="224"/>
        <v>-17.513949230121096</v>
      </c>
      <c r="BR111" s="127">
        <f t="shared" si="224"/>
        <v>-17.513949230121096</v>
      </c>
      <c r="BS111" s="127">
        <f t="shared" si="224"/>
        <v>-17.513949230121096</v>
      </c>
      <c r="BT111" s="127">
        <f t="shared" si="224"/>
        <v>-17.513949230121096</v>
      </c>
      <c r="BU111" s="127">
        <f t="shared" si="224"/>
        <v>-17.513949230121096</v>
      </c>
      <c r="BX111" s="221">
        <f t="shared" si="135"/>
        <v>103</v>
      </c>
    </row>
    <row r="112" spans="1:76" hidden="1" outlineLevel="2">
      <c r="A112" s="183"/>
      <c r="B112" s="92" t="s">
        <v>176</v>
      </c>
      <c r="C112" s="202"/>
      <c r="D112" s="202"/>
      <c r="E112" s="202"/>
      <c r="F112" s="202"/>
      <c r="G112" s="202"/>
      <c r="H112" s="202"/>
      <c r="I112" s="202"/>
      <c r="J112" s="124">
        <f>SUM(J110:J111)</f>
        <v>-323.71800000000002</v>
      </c>
      <c r="K112" s="124">
        <f>SUM(K110:K111)</f>
        <v>-306.59696363000018</v>
      </c>
      <c r="L112" s="40">
        <f t="shared" si="222"/>
        <v>-416.34427170000009</v>
      </c>
      <c r="M112" s="40">
        <f t="shared" si="222"/>
        <v>-1282.5609999999999</v>
      </c>
      <c r="N112" s="40">
        <f t="shared" si="222"/>
        <v>-1730.1821672220385</v>
      </c>
      <c r="O112" s="40">
        <f t="shared" si="222"/>
        <v>-1920.6627825844662</v>
      </c>
      <c r="P112" s="40">
        <f t="shared" si="222"/>
        <v>-1923.7098025474077</v>
      </c>
      <c r="Q112" s="124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  <c r="AI112" s="202"/>
      <c r="AJ112" s="202"/>
      <c r="AK112" s="202"/>
      <c r="AL112" s="202"/>
      <c r="AM112" s="202"/>
      <c r="AN112" s="202"/>
      <c r="AO112" s="202"/>
      <c r="AP112" s="202"/>
      <c r="AQ112" s="202"/>
      <c r="AR112" s="202"/>
      <c r="AS112" s="202"/>
      <c r="AT112" s="202"/>
      <c r="AU112" s="202"/>
      <c r="AV112" s="202"/>
      <c r="AW112" s="202"/>
      <c r="AX112" s="202"/>
      <c r="AY112" s="202"/>
      <c r="AZ112" s="202"/>
      <c r="BA112" s="202"/>
      <c r="BB112" s="124">
        <f t="shared" ref="BB112:BI112" si="225">SUM(BB110:BB111)</f>
        <v>-67.84536780000002</v>
      </c>
      <c r="BC112" s="124">
        <f t="shared" si="225"/>
        <v>-85.039098900000013</v>
      </c>
      <c r="BD112" s="124">
        <f t="shared" si="225"/>
        <v>-120.48180500000004</v>
      </c>
      <c r="BE112" s="124">
        <f t="shared" si="225"/>
        <v>-142.97800000000001</v>
      </c>
      <c r="BF112" s="124">
        <f t="shared" si="225"/>
        <v>-223.99199999999999</v>
      </c>
      <c r="BG112" s="124">
        <f t="shared" si="225"/>
        <v>-278.38400000000001</v>
      </c>
      <c r="BH112" s="124">
        <f t="shared" si="225"/>
        <v>-391.089</v>
      </c>
      <c r="BI112" s="124">
        <f t="shared" si="225"/>
        <v>-389.096</v>
      </c>
      <c r="BJ112" s="127">
        <f t="shared" ref="BJ112:BU112" si="226">BJ19</f>
        <v>-395.95834550000001</v>
      </c>
      <c r="BK112" s="127">
        <f t="shared" si="226"/>
        <v>-425.16829740000003</v>
      </c>
      <c r="BL112" s="127">
        <f t="shared" si="226"/>
        <v>-447.87360391338467</v>
      </c>
      <c r="BM112" s="127">
        <f t="shared" si="226"/>
        <v>-461.18192040865392</v>
      </c>
      <c r="BN112" s="127">
        <f t="shared" si="226"/>
        <v>-480.34270925048082</v>
      </c>
      <c r="BO112" s="127">
        <f t="shared" si="226"/>
        <v>-479.29916964266829</v>
      </c>
      <c r="BP112" s="127">
        <f t="shared" si="226"/>
        <v>-480.09345305446516</v>
      </c>
      <c r="BQ112" s="127">
        <f t="shared" si="226"/>
        <v>-480.92745063685192</v>
      </c>
      <c r="BR112" s="127">
        <f t="shared" si="226"/>
        <v>-480.92745063685192</v>
      </c>
      <c r="BS112" s="127">
        <f t="shared" si="226"/>
        <v>-480.92745063685192</v>
      </c>
      <c r="BT112" s="127">
        <f t="shared" si="226"/>
        <v>-480.92745063685192</v>
      </c>
      <c r="BU112" s="127">
        <f t="shared" si="226"/>
        <v>-480.92745063685192</v>
      </c>
      <c r="BX112" s="221">
        <f t="shared" si="135"/>
        <v>104</v>
      </c>
    </row>
    <row r="113" spans="1:76" hidden="1" outlineLevel="2">
      <c r="A113" s="180"/>
      <c r="B113" s="8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X113" s="221">
        <f t="shared" si="135"/>
        <v>105</v>
      </c>
    </row>
    <row r="114" spans="1:76" hidden="1" outlineLevel="2">
      <c r="A114" s="183"/>
      <c r="B114" s="92" t="s">
        <v>180</v>
      </c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X114" s="221">
        <f t="shared" si="135"/>
        <v>106</v>
      </c>
    </row>
    <row r="115" spans="1:76" hidden="1" outlineLevel="2">
      <c r="A115" s="183"/>
      <c r="B115" s="130" t="s">
        <v>178</v>
      </c>
      <c r="C115" s="202"/>
      <c r="D115" s="202"/>
      <c r="E115" s="202"/>
      <c r="F115" s="202"/>
      <c r="G115" s="202"/>
      <c r="H115" s="202"/>
      <c r="I115" s="202"/>
      <c r="J115" s="40">
        <v>8.4269999999999996</v>
      </c>
      <c r="K115" s="40">
        <v>1.352951</v>
      </c>
      <c r="L115" s="40">
        <f t="shared" ref="J115:P117" si="227">SUMIF($R$5:$BV$5,L$5,$R115:$BV115)</f>
        <v>23.446812769767998</v>
      </c>
      <c r="M115" s="40">
        <f t="shared" si="227"/>
        <v>14.586499999999999</v>
      </c>
      <c r="N115" s="40">
        <f t="shared" si="227"/>
        <v>3.6</v>
      </c>
      <c r="O115" s="40">
        <f t="shared" si="227"/>
        <v>1.8</v>
      </c>
      <c r="P115" s="40">
        <f t="shared" si="227"/>
        <v>0</v>
      </c>
      <c r="Q115" s="124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  <c r="AD115" s="202"/>
      <c r="AE115" s="202"/>
      <c r="AF115" s="202"/>
      <c r="AG115" s="202"/>
      <c r="AH115" s="202"/>
      <c r="AI115" s="202"/>
      <c r="AJ115" s="202"/>
      <c r="AK115" s="202"/>
      <c r="AL115" s="202"/>
      <c r="AM115" s="202"/>
      <c r="AN115" s="202"/>
      <c r="AO115" s="202"/>
      <c r="AP115" s="202"/>
      <c r="AQ115" s="202"/>
      <c r="AR115" s="202"/>
      <c r="AS115" s="202"/>
      <c r="AT115" s="202"/>
      <c r="AU115" s="202"/>
      <c r="AV115" s="202"/>
      <c r="AW115" s="202"/>
      <c r="AX115" s="202"/>
      <c r="AY115" s="202"/>
      <c r="AZ115" s="202"/>
      <c r="BA115" s="202"/>
      <c r="BB115" s="129">
        <v>10.862250119999999</v>
      </c>
      <c r="BC115" s="129">
        <v>3.80376337</v>
      </c>
      <c r="BD115" s="129">
        <v>3.7527992797679999</v>
      </c>
      <c r="BE115" s="129">
        <f>4.951+0.077</f>
        <v>5.0279999999999996</v>
      </c>
      <c r="BF115" s="129">
        <f>6.899+1.266</f>
        <v>8.1649999999999991</v>
      </c>
      <c r="BG115" s="129">
        <v>3.0550000000000002</v>
      </c>
      <c r="BH115" s="129">
        <f>1.8335+1.619</f>
        <v>3.4524999999999997</v>
      </c>
      <c r="BI115" s="129">
        <v>-8.5999999999999993E-2</v>
      </c>
      <c r="BJ115" s="124">
        <f t="shared" ref="BJ115:BU115" si="228">-BJ18</f>
        <v>0</v>
      </c>
      <c r="BK115" s="124">
        <f t="shared" si="228"/>
        <v>0</v>
      </c>
      <c r="BL115" s="124">
        <f t="shared" si="228"/>
        <v>1.8</v>
      </c>
      <c r="BM115" s="124">
        <f t="shared" si="228"/>
        <v>1.8</v>
      </c>
      <c r="BN115" s="124">
        <f t="shared" si="228"/>
        <v>1.8</v>
      </c>
      <c r="BO115" s="124">
        <f t="shared" si="228"/>
        <v>0</v>
      </c>
      <c r="BP115" s="124">
        <f t="shared" si="228"/>
        <v>0</v>
      </c>
      <c r="BQ115" s="124">
        <f t="shared" si="228"/>
        <v>0</v>
      </c>
      <c r="BR115" s="124">
        <f t="shared" si="228"/>
        <v>0</v>
      </c>
      <c r="BS115" s="124">
        <f t="shared" si="228"/>
        <v>0</v>
      </c>
      <c r="BT115" s="124">
        <f t="shared" si="228"/>
        <v>0</v>
      </c>
      <c r="BU115" s="124">
        <f t="shared" si="228"/>
        <v>0</v>
      </c>
      <c r="BX115" s="221">
        <f t="shared" si="135"/>
        <v>107</v>
      </c>
    </row>
    <row r="116" spans="1:76" hidden="1" outlineLevel="2">
      <c r="A116" s="183"/>
      <c r="B116" s="130" t="s">
        <v>177</v>
      </c>
      <c r="C116" s="202"/>
      <c r="D116" s="202"/>
      <c r="E116" s="202"/>
      <c r="F116" s="202"/>
      <c r="G116" s="202"/>
      <c r="H116" s="202"/>
      <c r="I116" s="202"/>
      <c r="J116" s="40">
        <v>0.1125</v>
      </c>
      <c r="K116" s="40">
        <f t="shared" si="227"/>
        <v>0</v>
      </c>
      <c r="L116" s="40">
        <f t="shared" si="227"/>
        <v>0.15</v>
      </c>
      <c r="M116" s="40">
        <f t="shared" si="227"/>
        <v>0.89400000000000002</v>
      </c>
      <c r="N116" s="40">
        <f t="shared" si="227"/>
        <v>0</v>
      </c>
      <c r="O116" s="40">
        <f t="shared" si="227"/>
        <v>0</v>
      </c>
      <c r="P116" s="40">
        <f t="shared" si="227"/>
        <v>0</v>
      </c>
      <c r="Q116" s="124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  <c r="AD116" s="202"/>
      <c r="AE116" s="202"/>
      <c r="AF116" s="202"/>
      <c r="AG116" s="202"/>
      <c r="AH116" s="202"/>
      <c r="AI116" s="202"/>
      <c r="AJ116" s="202"/>
      <c r="AK116" s="202"/>
      <c r="AL116" s="202"/>
      <c r="AM116" s="202"/>
      <c r="AN116" s="202"/>
      <c r="AO116" s="202"/>
      <c r="AP116" s="202"/>
      <c r="AQ116" s="202"/>
      <c r="AR116" s="202"/>
      <c r="AS116" s="202"/>
      <c r="AT116" s="202"/>
      <c r="AU116" s="202"/>
      <c r="AV116" s="202"/>
      <c r="AW116" s="202"/>
      <c r="AX116" s="202"/>
      <c r="AY116" s="202"/>
      <c r="AZ116" s="202"/>
      <c r="BA116" s="202"/>
      <c r="BB116" s="129">
        <v>0</v>
      </c>
      <c r="BC116" s="129">
        <v>0</v>
      </c>
      <c r="BD116" s="129">
        <v>0</v>
      </c>
      <c r="BE116" s="129">
        <f>0.141+0.009</f>
        <v>0.15</v>
      </c>
      <c r="BF116" s="129">
        <v>4.2999999999999997E-2</v>
      </c>
      <c r="BG116" s="129">
        <v>0</v>
      </c>
      <c r="BH116" s="129">
        <v>5.7000000000000002E-2</v>
      </c>
      <c r="BI116" s="129">
        <v>0.79400000000000004</v>
      </c>
      <c r="BJ116" s="129">
        <v>0</v>
      </c>
      <c r="BK116" s="129">
        <v>0</v>
      </c>
      <c r="BL116" s="129">
        <v>0</v>
      </c>
      <c r="BM116" s="129">
        <v>0</v>
      </c>
      <c r="BN116" s="129">
        <v>0</v>
      </c>
      <c r="BO116" s="129">
        <v>0</v>
      </c>
      <c r="BP116" s="129">
        <v>0</v>
      </c>
      <c r="BQ116" s="129">
        <v>0</v>
      </c>
      <c r="BR116" s="129">
        <v>0</v>
      </c>
      <c r="BS116" s="129">
        <v>0</v>
      </c>
      <c r="BT116" s="129">
        <v>0</v>
      </c>
      <c r="BU116" s="129">
        <v>0</v>
      </c>
      <c r="BX116" s="221">
        <f t="shared" si="135"/>
        <v>108</v>
      </c>
    </row>
    <row r="117" spans="1:76" hidden="1" outlineLevel="2">
      <c r="A117" s="183"/>
      <c r="B117" s="92" t="s">
        <v>176</v>
      </c>
      <c r="C117" s="202"/>
      <c r="D117" s="202"/>
      <c r="E117" s="202"/>
      <c r="F117" s="202"/>
      <c r="G117" s="202"/>
      <c r="H117" s="202"/>
      <c r="I117" s="202"/>
      <c r="J117" s="40">
        <f t="shared" si="227"/>
        <v>0</v>
      </c>
      <c r="K117" s="40">
        <f t="shared" si="227"/>
        <v>0</v>
      </c>
      <c r="L117" s="40">
        <f t="shared" si="227"/>
        <v>23.596812769768</v>
      </c>
      <c r="M117" s="40">
        <f t="shared" si="227"/>
        <v>15.480499999999997</v>
      </c>
      <c r="N117" s="40">
        <f t="shared" si="227"/>
        <v>3.6</v>
      </c>
      <c r="O117" s="40">
        <f t="shared" si="227"/>
        <v>1.8</v>
      </c>
      <c r="P117" s="40">
        <f t="shared" si="227"/>
        <v>0</v>
      </c>
      <c r="Q117" s="124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  <c r="AD117" s="202"/>
      <c r="AE117" s="202"/>
      <c r="AF117" s="202"/>
      <c r="AG117" s="202"/>
      <c r="AH117" s="202"/>
      <c r="AI117" s="202"/>
      <c r="AJ117" s="202"/>
      <c r="AK117" s="202"/>
      <c r="AL117" s="202"/>
      <c r="AM117" s="202"/>
      <c r="AN117" s="202"/>
      <c r="AO117" s="202"/>
      <c r="AP117" s="202"/>
      <c r="AQ117" s="202"/>
      <c r="AR117" s="202"/>
      <c r="AS117" s="202"/>
      <c r="AT117" s="202"/>
      <c r="AU117" s="202"/>
      <c r="AV117" s="202"/>
      <c r="AW117" s="202"/>
      <c r="AX117" s="202"/>
      <c r="AY117" s="202"/>
      <c r="AZ117" s="202"/>
      <c r="BA117" s="202"/>
      <c r="BB117" s="124">
        <f t="shared" ref="BB117:BH117" si="229">SUM(BB115:BB116)</f>
        <v>10.862250119999999</v>
      </c>
      <c r="BC117" s="124">
        <f t="shared" si="229"/>
        <v>3.80376337</v>
      </c>
      <c r="BD117" s="124">
        <f t="shared" si="229"/>
        <v>3.7527992797679999</v>
      </c>
      <c r="BE117" s="124">
        <f t="shared" si="229"/>
        <v>5.1779999999999999</v>
      </c>
      <c r="BF117" s="124">
        <f t="shared" si="229"/>
        <v>8.2079999999999984</v>
      </c>
      <c r="BG117" s="124">
        <f t="shared" si="229"/>
        <v>3.0550000000000002</v>
      </c>
      <c r="BH117" s="124">
        <f t="shared" si="229"/>
        <v>3.5094999999999996</v>
      </c>
      <c r="BI117" s="124">
        <f t="shared" ref="BI117:BQ117" si="230">SUM(BI115:BI116)</f>
        <v>0.70800000000000007</v>
      </c>
      <c r="BJ117" s="124">
        <f t="shared" si="230"/>
        <v>0</v>
      </c>
      <c r="BK117" s="124">
        <f t="shared" si="230"/>
        <v>0</v>
      </c>
      <c r="BL117" s="124">
        <f t="shared" si="230"/>
        <v>1.8</v>
      </c>
      <c r="BM117" s="124">
        <f t="shared" si="230"/>
        <v>1.8</v>
      </c>
      <c r="BN117" s="124">
        <f t="shared" si="230"/>
        <v>1.8</v>
      </c>
      <c r="BO117" s="124">
        <f t="shared" si="230"/>
        <v>0</v>
      </c>
      <c r="BP117" s="124">
        <f t="shared" si="230"/>
        <v>0</v>
      </c>
      <c r="BQ117" s="124">
        <f t="shared" si="230"/>
        <v>0</v>
      </c>
      <c r="BR117" s="124">
        <f>SUM(BR115:BR116)</f>
        <v>0</v>
      </c>
      <c r="BS117" s="124">
        <f>SUM(BS115:BS116)</f>
        <v>0</v>
      </c>
      <c r="BT117" s="124">
        <f>SUM(BT115:BT116)</f>
        <v>0</v>
      </c>
      <c r="BU117" s="124">
        <f>SUM(BU115:BU116)</f>
        <v>0</v>
      </c>
      <c r="BX117" s="221">
        <f t="shared" si="135"/>
        <v>109</v>
      </c>
    </row>
    <row r="118" spans="1:76" hidden="1" outlineLevel="2">
      <c r="A118" s="180"/>
      <c r="B118" s="8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X118" s="221">
        <f t="shared" si="135"/>
        <v>110</v>
      </c>
    </row>
    <row r="119" spans="1:76" hidden="1" outlineLevel="2">
      <c r="A119" s="183"/>
      <c r="B119" s="92" t="s">
        <v>179</v>
      </c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X119" s="221">
        <f t="shared" si="135"/>
        <v>111</v>
      </c>
    </row>
    <row r="120" spans="1:76" hidden="1" outlineLevel="2">
      <c r="A120" s="183"/>
      <c r="B120" s="130" t="s">
        <v>178</v>
      </c>
      <c r="C120" s="202"/>
      <c r="D120" s="202"/>
      <c r="E120" s="202"/>
      <c r="F120" s="202"/>
      <c r="G120" s="202"/>
      <c r="H120" s="202"/>
      <c r="I120" s="202"/>
      <c r="J120" s="124">
        <f t="shared" ref="J120:L122" si="231">J110+J115</f>
        <v>-306.35637832999998</v>
      </c>
      <c r="K120" s="124">
        <f t="shared" si="231"/>
        <v>-304.57593902000013</v>
      </c>
      <c r="L120" s="124">
        <f t="shared" si="231"/>
        <v>-378.4468781649918</v>
      </c>
      <c r="M120" s="40">
        <f t="shared" ref="M120:P122" si="232">SUMIF($R$5:$BV$5,M$5,$R120:$BV120)</f>
        <v>-1254.6765</v>
      </c>
      <c r="N120" s="40">
        <f t="shared" si="232"/>
        <v>-1689.2771410595385</v>
      </c>
      <c r="O120" s="40">
        <f t="shared" si="232"/>
        <v>-1851.8540056269233</v>
      </c>
      <c r="P120" s="40">
        <f t="shared" si="232"/>
        <v>-1853.6540056269232</v>
      </c>
      <c r="Q120" s="124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  <c r="AI120" s="202"/>
      <c r="AJ120" s="202"/>
      <c r="AK120" s="202"/>
      <c r="AL120" s="202"/>
      <c r="AM120" s="202"/>
      <c r="AN120" s="202"/>
      <c r="AO120" s="202"/>
      <c r="AP120" s="202"/>
      <c r="AQ120" s="202"/>
      <c r="AR120" s="202"/>
      <c r="AS120" s="202"/>
      <c r="AT120" s="202"/>
      <c r="AU120" s="202"/>
      <c r="AV120" s="202"/>
      <c r="AW120" s="202"/>
      <c r="AX120" s="202"/>
      <c r="AY120" s="202"/>
      <c r="AZ120" s="202"/>
      <c r="BA120" s="202"/>
      <c r="BB120" s="124">
        <f t="shared" ref="BB120:BD122" si="233">BB110+BB115</f>
        <v>-54.321691218982082</v>
      </c>
      <c r="BC120" s="124">
        <f t="shared" si="233"/>
        <v>-76.26585449071537</v>
      </c>
      <c r="BD120" s="124">
        <f t="shared" si="233"/>
        <v>-113.26133245529428</v>
      </c>
      <c r="BE120" s="124">
        <f t="shared" ref="BE120:BF122" si="234">BE110+BE115</f>
        <v>-134.59800000000001</v>
      </c>
      <c r="BF120" s="124">
        <f t="shared" si="234"/>
        <v>-215.827</v>
      </c>
      <c r="BG120" s="124">
        <f t="shared" ref="BG120" si="235">BG110+BG115</f>
        <v>-275.32900000000001</v>
      </c>
      <c r="BH120" s="124">
        <f t="shared" ref="BH120" si="236">BH110+BH115</f>
        <v>-380.55450000000002</v>
      </c>
      <c r="BI120" s="124">
        <f t="shared" ref="BI120" si="237">BI110+BI115</f>
        <v>-382.96600000000001</v>
      </c>
      <c r="BJ120" s="124">
        <f t="shared" ref="BJ120:BU120" si="238">BJ110+BJ115</f>
        <v>-390.0470555</v>
      </c>
      <c r="BK120" s="124">
        <f t="shared" si="238"/>
        <v>-418.18969115000004</v>
      </c>
      <c r="BL120" s="124">
        <f t="shared" si="238"/>
        <v>-435.40666891338464</v>
      </c>
      <c r="BM120" s="124">
        <f t="shared" si="238"/>
        <v>-445.63372549615389</v>
      </c>
      <c r="BN120" s="124">
        <f t="shared" si="238"/>
        <v>-461.61350140673079</v>
      </c>
      <c r="BO120" s="124">
        <f t="shared" si="238"/>
        <v>-463.4135014067308</v>
      </c>
      <c r="BP120" s="124">
        <f t="shared" si="238"/>
        <v>-463.4135014067308</v>
      </c>
      <c r="BQ120" s="124">
        <f t="shared" si="238"/>
        <v>-463.4135014067308</v>
      </c>
      <c r="BR120" s="124">
        <f t="shared" si="238"/>
        <v>-463.4135014067308</v>
      </c>
      <c r="BS120" s="124">
        <f t="shared" si="238"/>
        <v>-463.4135014067308</v>
      </c>
      <c r="BT120" s="124">
        <f t="shared" si="238"/>
        <v>-463.4135014067308</v>
      </c>
      <c r="BU120" s="124">
        <f t="shared" si="238"/>
        <v>-463.4135014067308</v>
      </c>
      <c r="BX120" s="221">
        <f t="shared" si="135"/>
        <v>112</v>
      </c>
    </row>
    <row r="121" spans="1:76" hidden="1" outlineLevel="2">
      <c r="A121" s="183"/>
      <c r="B121" s="130" t="s">
        <v>177</v>
      </c>
      <c r="C121" s="202"/>
      <c r="D121" s="202"/>
      <c r="E121" s="202"/>
      <c r="F121" s="202"/>
      <c r="G121" s="202"/>
      <c r="H121" s="202"/>
      <c r="I121" s="202"/>
      <c r="J121" s="124">
        <f t="shared" si="231"/>
        <v>-8.8221216699999978</v>
      </c>
      <c r="K121" s="124">
        <f t="shared" si="231"/>
        <v>-0.66807360999999998</v>
      </c>
      <c r="L121" s="124">
        <f t="shared" si="231"/>
        <v>-14.300580765240339</v>
      </c>
      <c r="M121" s="40">
        <f t="shared" si="232"/>
        <v>-12.404</v>
      </c>
      <c r="N121" s="40">
        <f t="shared" si="232"/>
        <v>-33.705026162500005</v>
      </c>
      <c r="O121" s="40">
        <f t="shared" si="232"/>
        <v>-65.20877695754298</v>
      </c>
      <c r="P121" s="40">
        <f t="shared" si="232"/>
        <v>-70.055796920484383</v>
      </c>
      <c r="Q121" s="124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  <c r="AD121" s="202"/>
      <c r="AE121" s="202"/>
      <c r="AF121" s="202"/>
      <c r="AG121" s="202"/>
      <c r="AH121" s="202"/>
      <c r="AI121" s="202"/>
      <c r="AJ121" s="202"/>
      <c r="AK121" s="202"/>
      <c r="AL121" s="202"/>
      <c r="AM121" s="202"/>
      <c r="AN121" s="202"/>
      <c r="AO121" s="202"/>
      <c r="AP121" s="202"/>
      <c r="AQ121" s="202"/>
      <c r="AR121" s="202"/>
      <c r="AS121" s="202"/>
      <c r="AT121" s="202"/>
      <c r="AU121" s="202"/>
      <c r="AV121" s="202"/>
      <c r="AW121" s="202"/>
      <c r="AX121" s="202"/>
      <c r="AY121" s="202"/>
      <c r="AZ121" s="202"/>
      <c r="BA121" s="202"/>
      <c r="BB121" s="124">
        <f t="shared" si="233"/>
        <v>-2.6614264610179426</v>
      </c>
      <c r="BC121" s="124">
        <f t="shared" si="233"/>
        <v>-4.9694810392846414</v>
      </c>
      <c r="BD121" s="124">
        <f t="shared" si="233"/>
        <v>-3.4676732649377557</v>
      </c>
      <c r="BE121" s="124">
        <f t="shared" si="234"/>
        <v>-3.202</v>
      </c>
      <c r="BF121" s="124">
        <f t="shared" si="234"/>
        <v>4.2999999999999997E-2</v>
      </c>
      <c r="BG121" s="124">
        <f t="shared" ref="BG121" si="239">BG111+BG116</f>
        <v>0</v>
      </c>
      <c r="BH121" s="124">
        <f t="shared" ref="BH121" si="240">BH111+BH116</f>
        <v>-7.0249999999999995</v>
      </c>
      <c r="BI121" s="124">
        <f t="shared" ref="BI121" si="241">BI111+BI116</f>
        <v>-5.4220000000000006</v>
      </c>
      <c r="BJ121" s="124">
        <f t="shared" ref="BJ121:BU121" si="242">BJ111+BJ116</f>
        <v>-5.9112900000000002</v>
      </c>
      <c r="BK121" s="124">
        <f t="shared" si="242"/>
        <v>-6.9786062499999995</v>
      </c>
      <c r="BL121" s="124">
        <f t="shared" si="242"/>
        <v>-8.8669350000000016</v>
      </c>
      <c r="BM121" s="124">
        <f t="shared" si="242"/>
        <v>-11.9481949125</v>
      </c>
      <c r="BN121" s="124">
        <f t="shared" si="242"/>
        <v>-15.129207843750001</v>
      </c>
      <c r="BO121" s="124">
        <f t="shared" si="242"/>
        <v>-15.885668235937501</v>
      </c>
      <c r="BP121" s="124">
        <f t="shared" si="242"/>
        <v>-16.679951647734377</v>
      </c>
      <c r="BQ121" s="124">
        <f t="shared" si="242"/>
        <v>-17.513949230121096</v>
      </c>
      <c r="BR121" s="124">
        <f t="shared" si="242"/>
        <v>-17.513949230121096</v>
      </c>
      <c r="BS121" s="124">
        <f t="shared" si="242"/>
        <v>-17.513949230121096</v>
      </c>
      <c r="BT121" s="124">
        <f t="shared" si="242"/>
        <v>-17.513949230121096</v>
      </c>
      <c r="BU121" s="124">
        <f t="shared" si="242"/>
        <v>-17.513949230121096</v>
      </c>
      <c r="BX121" s="221">
        <f t="shared" si="135"/>
        <v>113</v>
      </c>
    </row>
    <row r="122" spans="1:76" hidden="1" outlineLevel="2">
      <c r="A122" s="183"/>
      <c r="B122" s="92" t="s">
        <v>176</v>
      </c>
      <c r="C122" s="202"/>
      <c r="D122" s="202"/>
      <c r="E122" s="202"/>
      <c r="F122" s="202"/>
      <c r="G122" s="202"/>
      <c r="H122" s="202"/>
      <c r="I122" s="202"/>
      <c r="J122" s="124">
        <f t="shared" si="231"/>
        <v>-323.71800000000002</v>
      </c>
      <c r="K122" s="124">
        <f t="shared" si="231"/>
        <v>-306.59696363000018</v>
      </c>
      <c r="L122" s="124">
        <f t="shared" si="231"/>
        <v>-392.74745893023209</v>
      </c>
      <c r="M122" s="40">
        <f t="shared" si="232"/>
        <v>-1267.0805</v>
      </c>
      <c r="N122" s="40">
        <f t="shared" si="232"/>
        <v>-1726.5821672220386</v>
      </c>
      <c r="O122" s="40">
        <f t="shared" si="232"/>
        <v>-1918.8627825844662</v>
      </c>
      <c r="P122" s="40">
        <f t="shared" si="232"/>
        <v>-1923.7098025474077</v>
      </c>
      <c r="Q122" s="124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  <c r="AD122" s="202"/>
      <c r="AE122" s="202"/>
      <c r="AF122" s="202"/>
      <c r="AG122" s="202"/>
      <c r="AH122" s="202"/>
      <c r="AI122" s="202"/>
      <c r="AJ122" s="202"/>
      <c r="AK122" s="202"/>
      <c r="AL122" s="202"/>
      <c r="AM122" s="202"/>
      <c r="AN122" s="202"/>
      <c r="AO122" s="202"/>
      <c r="AP122" s="202"/>
      <c r="AQ122" s="202"/>
      <c r="AR122" s="202"/>
      <c r="AS122" s="202"/>
      <c r="AT122" s="202"/>
      <c r="AU122" s="202"/>
      <c r="AV122" s="202"/>
      <c r="AW122" s="202"/>
      <c r="AX122" s="202"/>
      <c r="AY122" s="202"/>
      <c r="AZ122" s="202"/>
      <c r="BA122" s="202"/>
      <c r="BB122" s="124">
        <f t="shared" si="233"/>
        <v>-56.983117680000021</v>
      </c>
      <c r="BC122" s="124">
        <f t="shared" si="233"/>
        <v>-81.235335530000015</v>
      </c>
      <c r="BD122" s="124">
        <f t="shared" si="233"/>
        <v>-116.72900572023204</v>
      </c>
      <c r="BE122" s="124">
        <f t="shared" si="234"/>
        <v>-137.80000000000001</v>
      </c>
      <c r="BF122" s="124">
        <f t="shared" si="234"/>
        <v>-215.78399999999999</v>
      </c>
      <c r="BG122" s="124">
        <f t="shared" ref="BG122" si="243">BG112+BG117</f>
        <v>-275.32900000000001</v>
      </c>
      <c r="BH122" s="124">
        <f t="shared" ref="BH122" si="244">BH112+BH117</f>
        <v>-387.5795</v>
      </c>
      <c r="BI122" s="124">
        <f t="shared" ref="BI122" si="245">BI112+BI117</f>
        <v>-388.38799999999998</v>
      </c>
      <c r="BJ122" s="124">
        <f t="shared" ref="BJ122:BU122" si="246">BJ112+BJ117</f>
        <v>-395.95834550000001</v>
      </c>
      <c r="BK122" s="124">
        <f t="shared" si="246"/>
        <v>-425.16829740000003</v>
      </c>
      <c r="BL122" s="124">
        <f t="shared" si="246"/>
        <v>-446.07360391338466</v>
      </c>
      <c r="BM122" s="124">
        <f t="shared" si="246"/>
        <v>-459.38192040865391</v>
      </c>
      <c r="BN122" s="124">
        <f t="shared" si="246"/>
        <v>-478.54270925048081</v>
      </c>
      <c r="BO122" s="124">
        <f t="shared" si="246"/>
        <v>-479.29916964266829</v>
      </c>
      <c r="BP122" s="124">
        <f t="shared" si="246"/>
        <v>-480.09345305446516</v>
      </c>
      <c r="BQ122" s="124">
        <f t="shared" si="246"/>
        <v>-480.92745063685192</v>
      </c>
      <c r="BR122" s="124">
        <f t="shared" si="246"/>
        <v>-480.92745063685192</v>
      </c>
      <c r="BS122" s="124">
        <f t="shared" si="246"/>
        <v>-480.92745063685192</v>
      </c>
      <c r="BT122" s="124">
        <f t="shared" si="246"/>
        <v>-480.92745063685192</v>
      </c>
      <c r="BU122" s="124">
        <f t="shared" si="246"/>
        <v>-480.92745063685192</v>
      </c>
      <c r="BX122" s="221">
        <f t="shared" si="135"/>
        <v>114</v>
      </c>
    </row>
    <row r="123" spans="1:76" hidden="1" outlineLevel="2">
      <c r="A123" s="183"/>
      <c r="B123" s="92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X123" s="221">
        <f t="shared" si="135"/>
        <v>115</v>
      </c>
    </row>
    <row r="124" spans="1:76" hidden="1" outlineLevel="2">
      <c r="A124" s="183"/>
      <c r="B124" s="92" t="s">
        <v>330</v>
      </c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X124" s="221">
        <f t="shared" si="135"/>
        <v>116</v>
      </c>
    </row>
    <row r="125" spans="1:76" hidden="1" outlineLevel="2">
      <c r="A125" s="183"/>
      <c r="B125" s="130" t="s">
        <v>178</v>
      </c>
      <c r="C125" s="124"/>
      <c r="D125" s="124"/>
      <c r="E125" s="124"/>
      <c r="F125" s="124"/>
      <c r="G125" s="124"/>
      <c r="H125" s="124"/>
      <c r="I125" s="124"/>
      <c r="J125" s="124">
        <f t="shared" ref="J125:P127" si="247">J11+J120</f>
        <v>76.816145500000061</v>
      </c>
      <c r="K125" s="124">
        <f t="shared" si="247"/>
        <v>58.431687279999892</v>
      </c>
      <c r="L125" s="124">
        <f t="shared" si="247"/>
        <v>32.408600075008223</v>
      </c>
      <c r="M125" s="124">
        <f t="shared" si="247"/>
        <v>272.6105</v>
      </c>
      <c r="N125" s="124">
        <f t="shared" si="247"/>
        <v>519.4070373827692</v>
      </c>
      <c r="O125" s="124">
        <f t="shared" si="247"/>
        <v>619.68466854230769</v>
      </c>
      <c r="P125" s="124">
        <f t="shared" si="247"/>
        <v>617.88466854230774</v>
      </c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>
        <f t="shared" ref="BB125:BU125" si="248">BB11+BB120</f>
        <v>4.5513087810179158</v>
      </c>
      <c r="BC125" s="124">
        <f t="shared" si="248"/>
        <v>12.049623749284635</v>
      </c>
      <c r="BD125" s="124">
        <f t="shared" si="248"/>
        <v>2.4326675447057369</v>
      </c>
      <c r="BE125" s="124">
        <f t="shared" si="248"/>
        <v>13.375</v>
      </c>
      <c r="BF125" s="124">
        <f t="shared" si="248"/>
        <v>24.325999999999993</v>
      </c>
      <c r="BG125" s="124">
        <f t="shared" si="248"/>
        <v>47.807000000000016</v>
      </c>
      <c r="BH125" s="124">
        <f t="shared" si="248"/>
        <v>87.924499999999966</v>
      </c>
      <c r="BI125" s="124">
        <f t="shared" si="248"/>
        <v>112.553</v>
      </c>
      <c r="BJ125" s="124">
        <f t="shared" si="248"/>
        <v>103.68339450000002</v>
      </c>
      <c r="BK125" s="124">
        <f t="shared" si="248"/>
        <v>124.91380385000002</v>
      </c>
      <c r="BL125" s="124">
        <f t="shared" si="248"/>
        <v>139.86526386738461</v>
      </c>
      <c r="BM125" s="124">
        <f t="shared" si="248"/>
        <v>150.94457516538461</v>
      </c>
      <c r="BN125" s="124">
        <f t="shared" si="248"/>
        <v>156.27116713557695</v>
      </c>
      <c r="BO125" s="124">
        <f t="shared" si="248"/>
        <v>154.47116713557693</v>
      </c>
      <c r="BP125" s="124">
        <f t="shared" si="248"/>
        <v>154.47116713557693</v>
      </c>
      <c r="BQ125" s="124">
        <f t="shared" si="248"/>
        <v>154.47116713557693</v>
      </c>
      <c r="BR125" s="124">
        <f t="shared" si="248"/>
        <v>154.47116713557693</v>
      </c>
      <c r="BS125" s="124">
        <f t="shared" si="248"/>
        <v>154.47116713557693</v>
      </c>
      <c r="BT125" s="124">
        <f t="shared" si="248"/>
        <v>154.47116713557693</v>
      </c>
      <c r="BU125" s="124">
        <f t="shared" si="248"/>
        <v>154.47116713557693</v>
      </c>
      <c r="BX125" s="221">
        <f t="shared" si="135"/>
        <v>117</v>
      </c>
    </row>
    <row r="126" spans="1:76" hidden="1" outlineLevel="2">
      <c r="A126" s="183"/>
      <c r="B126" s="130" t="s">
        <v>177</v>
      </c>
      <c r="C126" s="124"/>
      <c r="D126" s="124"/>
      <c r="E126" s="124"/>
      <c r="F126" s="124"/>
      <c r="G126" s="124"/>
      <c r="H126" s="124"/>
      <c r="I126" s="124"/>
      <c r="J126" s="124">
        <f t="shared" si="247"/>
        <v>3.8393545000000024</v>
      </c>
      <c r="K126" s="124">
        <f t="shared" si="247"/>
        <v>2.4809263000000001</v>
      </c>
      <c r="L126" s="124">
        <f t="shared" si="247"/>
        <v>-4.5850734452403383</v>
      </c>
      <c r="M126" s="124">
        <f t="shared" si="247"/>
        <v>2.3900000000000006</v>
      </c>
      <c r="N126" s="124">
        <f t="shared" si="247"/>
        <v>7.6740038374999955</v>
      </c>
      <c r="O126" s="124">
        <f t="shared" si="247"/>
        <v>21.736258985847655</v>
      </c>
      <c r="P126" s="124">
        <f t="shared" si="247"/>
        <v>23.351932306828132</v>
      </c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>
        <f t="shared" ref="BB126:BU126" si="249">BB12+BB121</f>
        <v>-0.33836346101794224</v>
      </c>
      <c r="BC126" s="124">
        <f t="shared" si="249"/>
        <v>-1.6955876292846415</v>
      </c>
      <c r="BD126" s="124">
        <f t="shared" si="249"/>
        <v>-2.4091223549377556</v>
      </c>
      <c r="BE126" s="124">
        <f t="shared" si="249"/>
        <v>-0.1419999999999999</v>
      </c>
      <c r="BF126" s="124">
        <f t="shared" si="249"/>
        <v>4.2999999999999997E-2</v>
      </c>
      <c r="BG126" s="124">
        <f t="shared" si="249"/>
        <v>0</v>
      </c>
      <c r="BH126" s="124">
        <f t="shared" si="249"/>
        <v>1.7980000000000009</v>
      </c>
      <c r="BI126" s="124">
        <f t="shared" si="249"/>
        <v>0.54899999999999949</v>
      </c>
      <c r="BJ126" s="124">
        <f t="shared" si="249"/>
        <v>0.65681000000000012</v>
      </c>
      <c r="BK126" s="124">
        <f t="shared" si="249"/>
        <v>1.2315187500000002</v>
      </c>
      <c r="BL126" s="124">
        <f t="shared" si="249"/>
        <v>2.2167337499999995</v>
      </c>
      <c r="BM126" s="124">
        <f t="shared" si="249"/>
        <v>3.5689413375000001</v>
      </c>
      <c r="BN126" s="124">
        <f t="shared" si="249"/>
        <v>5.0430692812500002</v>
      </c>
      <c r="BO126" s="124">
        <f t="shared" si="249"/>
        <v>5.2952227453125005</v>
      </c>
      <c r="BP126" s="124">
        <f t="shared" si="249"/>
        <v>5.5599838825781269</v>
      </c>
      <c r="BQ126" s="124">
        <f t="shared" si="249"/>
        <v>5.8379830767070331</v>
      </c>
      <c r="BR126" s="124">
        <f t="shared" si="249"/>
        <v>5.8379830767070331</v>
      </c>
      <c r="BS126" s="124">
        <f t="shared" si="249"/>
        <v>5.8379830767070331</v>
      </c>
      <c r="BT126" s="124">
        <f t="shared" si="249"/>
        <v>5.8379830767070331</v>
      </c>
      <c r="BU126" s="124">
        <f t="shared" si="249"/>
        <v>5.8379830767070331</v>
      </c>
      <c r="BX126" s="221">
        <f t="shared" si="135"/>
        <v>118</v>
      </c>
    </row>
    <row r="127" spans="1:76" hidden="1" outlineLevel="2">
      <c r="A127" s="183"/>
      <c r="B127" s="92" t="s">
        <v>176</v>
      </c>
      <c r="C127" s="124"/>
      <c r="D127" s="124"/>
      <c r="E127" s="124"/>
      <c r="F127" s="124"/>
      <c r="G127" s="124"/>
      <c r="H127" s="124"/>
      <c r="I127" s="124"/>
      <c r="J127" s="124">
        <f t="shared" si="247"/>
        <v>72.116000000000042</v>
      </c>
      <c r="K127" s="124">
        <f t="shared" si="247"/>
        <v>59.559662579999838</v>
      </c>
      <c r="L127" s="124">
        <f t="shared" si="247"/>
        <v>27.823526629767969</v>
      </c>
      <c r="M127" s="124">
        <f t="shared" si="247"/>
        <v>275.0005000000001</v>
      </c>
      <c r="N127" s="124">
        <f t="shared" si="247"/>
        <v>523.48104122026916</v>
      </c>
      <c r="O127" s="124">
        <f t="shared" si="247"/>
        <v>639.62092752815556</v>
      </c>
      <c r="P127" s="124">
        <f t="shared" si="247"/>
        <v>641.23660084913558</v>
      </c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>
        <f t="shared" ref="BB127:BU127" si="250">BB13+BB122</f>
        <v>4.2129453199999745</v>
      </c>
      <c r="BC127" s="124">
        <f t="shared" si="250"/>
        <v>10.354036119999989</v>
      </c>
      <c r="BD127" s="124">
        <f t="shared" si="250"/>
        <v>2.3545189767972374E-2</v>
      </c>
      <c r="BE127" s="124">
        <f t="shared" si="250"/>
        <v>13.233000000000004</v>
      </c>
      <c r="BF127" s="124">
        <f t="shared" si="250"/>
        <v>24.369</v>
      </c>
      <c r="BG127" s="124">
        <f t="shared" si="250"/>
        <v>47.807000000000016</v>
      </c>
      <c r="BH127" s="124">
        <f t="shared" si="250"/>
        <v>89.722499999999968</v>
      </c>
      <c r="BI127" s="124">
        <f t="shared" si="250"/>
        <v>113.10200000000003</v>
      </c>
      <c r="BJ127" s="124">
        <f t="shared" si="250"/>
        <v>104.34020450000003</v>
      </c>
      <c r="BK127" s="124">
        <f t="shared" si="250"/>
        <v>126.14532259999999</v>
      </c>
      <c r="BL127" s="124">
        <f t="shared" si="250"/>
        <v>140.2819976173846</v>
      </c>
      <c r="BM127" s="124">
        <f t="shared" si="250"/>
        <v>152.7135165028846</v>
      </c>
      <c r="BN127" s="124">
        <f t="shared" si="250"/>
        <v>159.51423641682698</v>
      </c>
      <c r="BO127" s="124">
        <f t="shared" si="250"/>
        <v>159.76638988088951</v>
      </c>
      <c r="BP127" s="124">
        <f t="shared" si="250"/>
        <v>160.03115101815513</v>
      </c>
      <c r="BQ127" s="124">
        <f t="shared" si="250"/>
        <v>160.3091502122839</v>
      </c>
      <c r="BR127" s="124">
        <f t="shared" si="250"/>
        <v>160.3091502122839</v>
      </c>
      <c r="BS127" s="124">
        <f t="shared" si="250"/>
        <v>160.3091502122839</v>
      </c>
      <c r="BT127" s="124">
        <f t="shared" si="250"/>
        <v>160.3091502122839</v>
      </c>
      <c r="BU127" s="124">
        <f t="shared" si="250"/>
        <v>160.3091502122839</v>
      </c>
      <c r="BX127" s="221">
        <f t="shared" si="135"/>
        <v>119</v>
      </c>
    </row>
    <row r="128" spans="1:76" hidden="1" outlineLevel="2">
      <c r="A128" s="183"/>
      <c r="B128" s="92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4"/>
      <c r="BG128" s="124"/>
      <c r="BH128" s="124"/>
      <c r="BI128" s="124"/>
      <c r="BJ128" s="124"/>
      <c r="BK128" s="124"/>
      <c r="BL128" s="124"/>
      <c r="BM128" s="124"/>
      <c r="BN128" s="124"/>
      <c r="BO128" s="124"/>
      <c r="BP128" s="124"/>
      <c r="BQ128" s="124"/>
      <c r="BR128" s="124"/>
      <c r="BS128" s="124"/>
      <c r="BT128" s="124"/>
      <c r="BU128" s="124"/>
      <c r="BX128" s="221">
        <f t="shared" si="135"/>
        <v>120</v>
      </c>
    </row>
    <row r="129" spans="1:76" hidden="1" outlineLevel="2">
      <c r="A129" s="183"/>
      <c r="B129" s="92" t="s">
        <v>175</v>
      </c>
      <c r="C129" s="202"/>
      <c r="D129" s="202"/>
      <c r="E129" s="202"/>
      <c r="F129" s="202"/>
      <c r="G129" s="202"/>
      <c r="H129" s="202"/>
      <c r="I129" s="202"/>
      <c r="J129" s="40">
        <f t="shared" ref="J129:P133" si="251">SUMIF($R$5:$BV$5,J$5,$R129:$BV129)</f>
        <v>0</v>
      </c>
      <c r="K129" s="40">
        <f t="shared" si="251"/>
        <v>0</v>
      </c>
      <c r="L129" s="40">
        <f t="shared" si="251"/>
        <v>-52.767972380355545</v>
      </c>
      <c r="M129" s="40">
        <f t="shared" si="251"/>
        <v>-93.087000000000003</v>
      </c>
      <c r="N129" s="40">
        <f t="shared" si="251"/>
        <v>-84</v>
      </c>
      <c r="O129" s="40">
        <f t="shared" si="251"/>
        <v>-88</v>
      </c>
      <c r="P129" s="40">
        <f t="shared" si="251"/>
        <v>-82</v>
      </c>
      <c r="Q129" s="124"/>
      <c r="R129" s="202"/>
      <c r="S129" s="202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  <c r="AD129" s="202"/>
      <c r="AE129" s="202"/>
      <c r="AF129" s="202"/>
      <c r="AG129" s="202"/>
      <c r="AH129" s="202"/>
      <c r="AI129" s="202"/>
      <c r="AJ129" s="202"/>
      <c r="AK129" s="202"/>
      <c r="AL129" s="202"/>
      <c r="AM129" s="202"/>
      <c r="AN129" s="202"/>
      <c r="AO129" s="202"/>
      <c r="AP129" s="202"/>
      <c r="AQ129" s="202"/>
      <c r="AR129" s="202"/>
      <c r="AS129" s="202"/>
      <c r="AT129" s="202"/>
      <c r="AU129" s="202"/>
      <c r="AV129" s="202"/>
      <c r="AW129" s="202"/>
      <c r="AX129" s="202"/>
      <c r="AY129" s="202"/>
      <c r="AZ129" s="202"/>
      <c r="BA129" s="202"/>
      <c r="BB129" s="129">
        <v>-20.160279968630391</v>
      </c>
      <c r="BC129" s="129">
        <v>-15.355851425842609</v>
      </c>
      <c r="BD129" s="129">
        <v>-9.3938409858825498</v>
      </c>
      <c r="BE129" s="129">
        <f>-7.858</f>
        <v>-7.8579999999999997</v>
      </c>
      <c r="BF129" s="129">
        <v>-17.552</v>
      </c>
      <c r="BG129" s="129">
        <v>-22.332000000000001</v>
      </c>
      <c r="BH129" s="129">
        <v>-28.591999999999999</v>
      </c>
      <c r="BI129" s="129">
        <v>-24.611000000000001</v>
      </c>
      <c r="BJ129" s="127">
        <f t="shared" ref="BJ129:BU129" si="252">+BJ131-BJ130</f>
        <v>-21</v>
      </c>
      <c r="BK129" s="127">
        <f t="shared" si="252"/>
        <v>-21</v>
      </c>
      <c r="BL129" s="127">
        <f t="shared" si="252"/>
        <v>-21</v>
      </c>
      <c r="BM129" s="127">
        <f t="shared" si="252"/>
        <v>-21</v>
      </c>
      <c r="BN129" s="127">
        <f t="shared" si="252"/>
        <v>-22</v>
      </c>
      <c r="BO129" s="127">
        <f t="shared" si="252"/>
        <v>-22</v>
      </c>
      <c r="BP129" s="127">
        <f t="shared" si="252"/>
        <v>-22</v>
      </c>
      <c r="BQ129" s="127">
        <f t="shared" si="252"/>
        <v>-22</v>
      </c>
      <c r="BR129" s="127">
        <f t="shared" si="252"/>
        <v>-22</v>
      </c>
      <c r="BS129" s="127">
        <f t="shared" si="252"/>
        <v>-20</v>
      </c>
      <c r="BT129" s="127">
        <f t="shared" si="252"/>
        <v>-20</v>
      </c>
      <c r="BU129" s="127">
        <f t="shared" si="252"/>
        <v>-20</v>
      </c>
      <c r="BX129" s="221">
        <f t="shared" si="135"/>
        <v>121</v>
      </c>
    </row>
    <row r="130" spans="1:76" hidden="1" outlineLevel="2">
      <c r="A130" s="183"/>
      <c r="B130" s="130" t="s">
        <v>174</v>
      </c>
      <c r="C130" s="202"/>
      <c r="D130" s="202"/>
      <c r="E130" s="202"/>
      <c r="F130" s="202"/>
      <c r="G130" s="202"/>
      <c r="H130" s="202"/>
      <c r="I130" s="202"/>
      <c r="J130" s="40">
        <f t="shared" si="251"/>
        <v>0</v>
      </c>
      <c r="K130" s="40">
        <f t="shared" si="251"/>
        <v>0</v>
      </c>
      <c r="L130" s="40">
        <f t="shared" si="251"/>
        <v>26.062252252081443</v>
      </c>
      <c r="M130" s="40">
        <f t="shared" si="251"/>
        <v>19.312000000000001</v>
      </c>
      <c r="N130" s="40">
        <f t="shared" si="251"/>
        <v>0</v>
      </c>
      <c r="O130" s="40">
        <f t="shared" si="251"/>
        <v>0</v>
      </c>
      <c r="P130" s="40">
        <f t="shared" si="251"/>
        <v>0</v>
      </c>
      <c r="Q130" s="124"/>
      <c r="R130" s="202"/>
      <c r="S130" s="202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  <c r="AD130" s="202"/>
      <c r="AE130" s="202"/>
      <c r="AF130" s="202"/>
      <c r="AG130" s="202"/>
      <c r="AH130" s="202"/>
      <c r="AI130" s="202"/>
      <c r="AJ130" s="202"/>
      <c r="AK130" s="202"/>
      <c r="AL130" s="202"/>
      <c r="AM130" s="202"/>
      <c r="AN130" s="202"/>
      <c r="AO130" s="202"/>
      <c r="AP130" s="202"/>
      <c r="AQ130" s="202"/>
      <c r="AR130" s="202"/>
      <c r="AS130" s="202"/>
      <c r="AT130" s="202"/>
      <c r="AU130" s="202"/>
      <c r="AV130" s="202"/>
      <c r="AW130" s="202"/>
      <c r="AX130" s="202"/>
      <c r="AY130" s="202"/>
      <c r="AZ130" s="202"/>
      <c r="BA130" s="202"/>
      <c r="BB130" s="129">
        <v>15.648159508507373</v>
      </c>
      <c r="BC130" s="129">
        <v>7.7305149635740733</v>
      </c>
      <c r="BD130" s="129">
        <v>2.3475777799999999</v>
      </c>
      <c r="BE130" s="129">
        <v>0.33600000000000002</v>
      </c>
      <c r="BF130" s="129">
        <f>0.571+3.626+0.783</f>
        <v>4.9800000000000004</v>
      </c>
      <c r="BG130" s="129">
        <f>-1.194+0.109+4.97</f>
        <v>3.8849999999999998</v>
      </c>
      <c r="BH130" s="129">
        <f>6.906+0.098+0.615+0.2</f>
        <v>7.819</v>
      </c>
      <c r="BI130" s="129">
        <f>1.184+1.444</f>
        <v>2.6280000000000001</v>
      </c>
      <c r="BJ130" s="128">
        <v>0</v>
      </c>
      <c r="BK130" s="128">
        <v>0</v>
      </c>
      <c r="BL130" s="128">
        <v>0</v>
      </c>
      <c r="BM130" s="128">
        <v>0</v>
      </c>
      <c r="BN130" s="128">
        <v>0</v>
      </c>
      <c r="BO130" s="128">
        <v>0</v>
      </c>
      <c r="BP130" s="128">
        <v>0</v>
      </c>
      <c r="BQ130" s="128">
        <v>0</v>
      </c>
      <c r="BR130" s="128">
        <v>0</v>
      </c>
      <c r="BS130" s="128">
        <v>0</v>
      </c>
      <c r="BT130" s="128">
        <v>0</v>
      </c>
      <c r="BU130" s="128">
        <v>0</v>
      </c>
      <c r="BX130" s="221">
        <f t="shared" si="135"/>
        <v>122</v>
      </c>
    </row>
    <row r="131" spans="1:76" hidden="1" outlineLevel="2">
      <c r="A131" s="183"/>
      <c r="B131" s="92" t="s">
        <v>173</v>
      </c>
      <c r="C131" s="202"/>
      <c r="D131" s="202"/>
      <c r="E131" s="202"/>
      <c r="F131" s="202"/>
      <c r="G131" s="202"/>
      <c r="H131" s="202"/>
      <c r="I131" s="202"/>
      <c r="J131" s="40">
        <f t="shared" si="251"/>
        <v>0</v>
      </c>
      <c r="K131" s="40">
        <f t="shared" si="251"/>
        <v>0</v>
      </c>
      <c r="L131" s="40">
        <f t="shared" si="251"/>
        <v>-26.705720128274102</v>
      </c>
      <c r="M131" s="40">
        <f t="shared" si="251"/>
        <v>-73.775000000000006</v>
      </c>
      <c r="N131" s="40">
        <f t="shared" si="251"/>
        <v>-84</v>
      </c>
      <c r="O131" s="40">
        <f t="shared" si="251"/>
        <v>-88</v>
      </c>
      <c r="P131" s="40">
        <f t="shared" si="251"/>
        <v>-82</v>
      </c>
      <c r="Q131" s="124"/>
      <c r="R131" s="202"/>
      <c r="S131" s="202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  <c r="AD131" s="202"/>
      <c r="AE131" s="202"/>
      <c r="AF131" s="202"/>
      <c r="AG131" s="202"/>
      <c r="AH131" s="202"/>
      <c r="AI131" s="202"/>
      <c r="AJ131" s="202"/>
      <c r="AK131" s="202"/>
      <c r="AL131" s="202"/>
      <c r="AM131" s="202"/>
      <c r="AN131" s="202"/>
      <c r="AO131" s="202"/>
      <c r="AP131" s="202"/>
      <c r="AQ131" s="202"/>
      <c r="AR131" s="202"/>
      <c r="AS131" s="202"/>
      <c r="AT131" s="202"/>
      <c r="AU131" s="202"/>
      <c r="AV131" s="202"/>
      <c r="AW131" s="202"/>
      <c r="AX131" s="202"/>
      <c r="AY131" s="202"/>
      <c r="AZ131" s="202"/>
      <c r="BA131" s="202"/>
      <c r="BB131" s="124">
        <f t="shared" ref="BB131:BI131" si="253">SUM(BB129:BB130)</f>
        <v>-4.5121204601230183</v>
      </c>
      <c r="BC131" s="124">
        <f t="shared" si="253"/>
        <v>-7.6253364622685353</v>
      </c>
      <c r="BD131" s="124">
        <f t="shared" si="253"/>
        <v>-7.0462632058825498</v>
      </c>
      <c r="BE131" s="124">
        <f t="shared" si="253"/>
        <v>-7.5219999999999994</v>
      </c>
      <c r="BF131" s="124">
        <f t="shared" si="253"/>
        <v>-12.571999999999999</v>
      </c>
      <c r="BG131" s="124">
        <f t="shared" si="253"/>
        <v>-18.447000000000003</v>
      </c>
      <c r="BH131" s="124">
        <f t="shared" si="253"/>
        <v>-20.773</v>
      </c>
      <c r="BI131" s="124">
        <f t="shared" si="253"/>
        <v>-21.983000000000001</v>
      </c>
      <c r="BJ131" s="124">
        <f t="shared" ref="BJ131:BU131" si="254">+BJ133+BJ132</f>
        <v>-21</v>
      </c>
      <c r="BK131" s="124">
        <f t="shared" si="254"/>
        <v>-21</v>
      </c>
      <c r="BL131" s="124">
        <f t="shared" si="254"/>
        <v>-21</v>
      </c>
      <c r="BM131" s="124">
        <f t="shared" si="254"/>
        <v>-21</v>
      </c>
      <c r="BN131" s="124">
        <f t="shared" si="254"/>
        <v>-22</v>
      </c>
      <c r="BO131" s="124">
        <f t="shared" si="254"/>
        <v>-22</v>
      </c>
      <c r="BP131" s="124">
        <f t="shared" si="254"/>
        <v>-22</v>
      </c>
      <c r="BQ131" s="124">
        <f t="shared" si="254"/>
        <v>-22</v>
      </c>
      <c r="BR131" s="124">
        <f t="shared" si="254"/>
        <v>-22</v>
      </c>
      <c r="BS131" s="124">
        <f t="shared" si="254"/>
        <v>-20</v>
      </c>
      <c r="BT131" s="124">
        <f t="shared" si="254"/>
        <v>-20</v>
      </c>
      <c r="BU131" s="124">
        <f t="shared" si="254"/>
        <v>-20</v>
      </c>
      <c r="BX131" s="221">
        <f t="shared" si="135"/>
        <v>123</v>
      </c>
    </row>
    <row r="132" spans="1:76" hidden="1" outlineLevel="2">
      <c r="A132" s="183"/>
      <c r="B132" s="130" t="s">
        <v>358</v>
      </c>
      <c r="C132" s="202"/>
      <c r="D132" s="202"/>
      <c r="E132" s="202"/>
      <c r="F132" s="202"/>
      <c r="G132" s="202"/>
      <c r="H132" s="202"/>
      <c r="I132" s="202"/>
      <c r="J132" s="40">
        <f t="shared" si="251"/>
        <v>0</v>
      </c>
      <c r="K132" s="40">
        <f t="shared" si="251"/>
        <v>0</v>
      </c>
      <c r="L132" s="40">
        <f t="shared" si="251"/>
        <v>0</v>
      </c>
      <c r="M132" s="40">
        <f t="shared" si="251"/>
        <v>-10.577999999999999</v>
      </c>
      <c r="N132" s="40">
        <f t="shared" si="251"/>
        <v>-12</v>
      </c>
      <c r="O132" s="40">
        <f t="shared" si="251"/>
        <v>-12</v>
      </c>
      <c r="P132" s="40">
        <f t="shared" si="251"/>
        <v>-6</v>
      </c>
      <c r="Q132" s="124"/>
      <c r="R132" s="202"/>
      <c r="S132" s="202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  <c r="AD132" s="202"/>
      <c r="AE132" s="202"/>
      <c r="AF132" s="202"/>
      <c r="AG132" s="202"/>
      <c r="AH132" s="202"/>
      <c r="AI132" s="202"/>
      <c r="AJ132" s="202"/>
      <c r="AK132" s="202"/>
      <c r="AL132" s="202"/>
      <c r="AM132" s="202"/>
      <c r="AN132" s="202"/>
      <c r="AO132" s="202"/>
      <c r="AP132" s="202"/>
      <c r="AQ132" s="202"/>
      <c r="AR132" s="202"/>
      <c r="AS132" s="202"/>
      <c r="AT132" s="202"/>
      <c r="AU132" s="202"/>
      <c r="AV132" s="202"/>
      <c r="AW132" s="202"/>
      <c r="AX132" s="202"/>
      <c r="AY132" s="202"/>
      <c r="AZ132" s="202"/>
      <c r="BA132" s="202"/>
      <c r="BB132" s="124"/>
      <c r="BC132" s="124"/>
      <c r="BD132" s="124"/>
      <c r="BE132" s="124"/>
      <c r="BF132" s="129">
        <f>-BF160</f>
        <v>-1.1379999999999999</v>
      </c>
      <c r="BG132" s="129">
        <f>-BG160</f>
        <v>-2.9329999999999998</v>
      </c>
      <c r="BH132" s="129">
        <f>-BH160</f>
        <v>-3.2629999999999999</v>
      </c>
      <c r="BI132" s="129">
        <v>-3.2440000000000002</v>
      </c>
      <c r="BJ132" s="129">
        <v>-3</v>
      </c>
      <c r="BK132" s="129">
        <v>-3</v>
      </c>
      <c r="BL132" s="129">
        <v>-3</v>
      </c>
      <c r="BM132" s="129">
        <v>-3</v>
      </c>
      <c r="BN132" s="129">
        <v>-3</v>
      </c>
      <c r="BO132" s="129">
        <v>-3</v>
      </c>
      <c r="BP132" s="129">
        <v>-3</v>
      </c>
      <c r="BQ132" s="129">
        <v>-3</v>
      </c>
      <c r="BR132" s="129">
        <v>-3</v>
      </c>
      <c r="BS132" s="241">
        <v>-1</v>
      </c>
      <c r="BT132" s="129">
        <v>-1</v>
      </c>
      <c r="BU132" s="129">
        <v>-1</v>
      </c>
      <c r="BX132" s="221">
        <f t="shared" si="135"/>
        <v>124</v>
      </c>
    </row>
    <row r="133" spans="1:76" hidden="1" outlineLevel="2">
      <c r="A133" s="183"/>
      <c r="B133" s="92" t="s">
        <v>359</v>
      </c>
      <c r="C133" s="202"/>
      <c r="D133" s="202"/>
      <c r="E133" s="202"/>
      <c r="F133" s="202"/>
      <c r="G133" s="202"/>
      <c r="H133" s="202"/>
      <c r="I133" s="202"/>
      <c r="J133" s="40">
        <f t="shared" si="251"/>
        <v>0</v>
      </c>
      <c r="K133" s="40">
        <f t="shared" si="251"/>
        <v>0</v>
      </c>
      <c r="L133" s="40">
        <f t="shared" si="251"/>
        <v>0</v>
      </c>
      <c r="M133" s="40">
        <f t="shared" si="251"/>
        <v>-63.197000000000003</v>
      </c>
      <c r="N133" s="40">
        <f t="shared" si="251"/>
        <v>-72</v>
      </c>
      <c r="O133" s="40">
        <f t="shared" si="251"/>
        <v>-76</v>
      </c>
      <c r="P133" s="40">
        <f t="shared" si="251"/>
        <v>-76</v>
      </c>
      <c r="Q133" s="124"/>
      <c r="R133" s="202"/>
      <c r="S133" s="202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  <c r="AD133" s="202"/>
      <c r="AE133" s="202"/>
      <c r="AF133" s="202"/>
      <c r="AG133" s="202"/>
      <c r="AH133" s="202"/>
      <c r="AI133" s="202"/>
      <c r="AJ133" s="202"/>
      <c r="AK133" s="202"/>
      <c r="AL133" s="202"/>
      <c r="AM133" s="202"/>
      <c r="AN133" s="202"/>
      <c r="AO133" s="202"/>
      <c r="AP133" s="202"/>
      <c r="AQ133" s="202"/>
      <c r="AR133" s="202"/>
      <c r="AS133" s="202"/>
      <c r="AT133" s="202"/>
      <c r="AU133" s="202"/>
      <c r="AV133" s="202"/>
      <c r="AW133" s="202"/>
      <c r="AX133" s="202"/>
      <c r="AY133" s="202"/>
      <c r="AZ133" s="202"/>
      <c r="BA133" s="202"/>
      <c r="BB133" s="124"/>
      <c r="BC133" s="124"/>
      <c r="BD133" s="124"/>
      <c r="BE133" s="124"/>
      <c r="BF133" s="124">
        <f>+BF131-BF132</f>
        <v>-11.433999999999999</v>
      </c>
      <c r="BG133" s="124">
        <f>+BG131-BG132</f>
        <v>-15.514000000000003</v>
      </c>
      <c r="BH133" s="124">
        <f>+BH131-BH132</f>
        <v>-17.509999999999998</v>
      </c>
      <c r="BI133" s="124">
        <f>+BI131-BI132</f>
        <v>-18.739000000000001</v>
      </c>
      <c r="BJ133" s="129">
        <v>-18</v>
      </c>
      <c r="BK133" s="129">
        <v>-18</v>
      </c>
      <c r="BL133" s="129">
        <v>-18</v>
      </c>
      <c r="BM133" s="129">
        <v>-18</v>
      </c>
      <c r="BN133" s="129">
        <v>-19</v>
      </c>
      <c r="BO133" s="129">
        <v>-19</v>
      </c>
      <c r="BP133" s="129">
        <v>-19</v>
      </c>
      <c r="BQ133" s="129">
        <v>-19</v>
      </c>
      <c r="BR133" s="129">
        <v>-19</v>
      </c>
      <c r="BS133" s="129">
        <v>-19</v>
      </c>
      <c r="BT133" s="129">
        <v>-19</v>
      </c>
      <c r="BU133" s="129">
        <v>-19</v>
      </c>
      <c r="BX133" s="221">
        <f t="shared" si="135"/>
        <v>125</v>
      </c>
    </row>
    <row r="134" spans="1:76" hidden="1" outlineLevel="2">
      <c r="A134" s="180"/>
      <c r="B134" s="8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65"/>
      <c r="BC134" s="65"/>
      <c r="BD134" s="65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X134" s="221">
        <f t="shared" si="135"/>
        <v>126</v>
      </c>
    </row>
    <row r="135" spans="1:76" hidden="1" outlineLevel="2">
      <c r="A135" s="180"/>
      <c r="B135" s="8" t="s">
        <v>172</v>
      </c>
      <c r="C135" s="202"/>
      <c r="D135" s="202"/>
      <c r="E135" s="202"/>
      <c r="F135" s="202"/>
      <c r="G135" s="202"/>
      <c r="H135" s="202"/>
      <c r="I135" s="202"/>
      <c r="J135" s="65">
        <f>J41-J33-J30-J28+0.366</f>
        <v>33.507293891603055</v>
      </c>
      <c r="K135" s="65">
        <f>K41-K33-K30-K28+0.793</f>
        <v>29.148481648238068</v>
      </c>
      <c r="L135" s="16">
        <f t="shared" ref="L135:P143" si="255">SUMIF($R$5:$BV$5,L$5,$R135:$BV135)</f>
        <v>-47.326321190355358</v>
      </c>
      <c r="M135" s="16">
        <f t="shared" si="255"/>
        <v>151.10900000000001</v>
      </c>
      <c r="N135" s="16">
        <f t="shared" si="255"/>
        <v>435.88104122026925</v>
      </c>
      <c r="O135" s="16">
        <f t="shared" si="255"/>
        <v>549.82092752815538</v>
      </c>
      <c r="P135" s="16">
        <f t="shared" si="255"/>
        <v>559.23660084913581</v>
      </c>
      <c r="Q135" s="124"/>
      <c r="R135" s="202"/>
      <c r="S135" s="202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  <c r="AD135" s="202"/>
      <c r="AE135" s="202"/>
      <c r="AF135" s="202"/>
      <c r="AG135" s="202"/>
      <c r="AH135" s="202"/>
      <c r="AI135" s="202"/>
      <c r="AJ135" s="202"/>
      <c r="AK135" s="202"/>
      <c r="AL135" s="202"/>
      <c r="AM135" s="202"/>
      <c r="AN135" s="202"/>
      <c r="AO135" s="202"/>
      <c r="AP135" s="202"/>
      <c r="AQ135" s="202"/>
      <c r="AR135" s="202"/>
      <c r="AS135" s="202"/>
      <c r="AT135" s="202"/>
      <c r="AU135" s="202"/>
      <c r="AV135" s="202"/>
      <c r="AW135" s="202"/>
      <c r="AX135" s="202"/>
      <c r="AY135" s="202"/>
      <c r="AZ135" s="202"/>
      <c r="BA135" s="202"/>
      <c r="BB135" s="16">
        <f t="shared" ref="BB135:BU135" si="256">BB41-BB33-BB30-BB28</f>
        <v>-26.676375571265083</v>
      </c>
      <c r="BC135" s="16">
        <f t="shared" si="256"/>
        <v>-7.9318132060990507</v>
      </c>
      <c r="BD135" s="16">
        <f t="shared" si="256"/>
        <v>-13.593132412991224</v>
      </c>
      <c r="BE135" s="16">
        <f t="shared" si="256"/>
        <v>0.87499999999999645</v>
      </c>
      <c r="BF135" s="16">
        <f t="shared" si="256"/>
        <v>-32.790000000000006</v>
      </c>
      <c r="BG135" s="16">
        <f t="shared" si="256"/>
        <v>26.121000000000016</v>
      </c>
      <c r="BH135" s="16">
        <f t="shared" si="256"/>
        <v>58.260999999999996</v>
      </c>
      <c r="BI135" s="16">
        <f t="shared" si="256"/>
        <v>99.516999999999996</v>
      </c>
      <c r="BJ135" s="16">
        <f t="shared" si="256"/>
        <v>83.340204499999999</v>
      </c>
      <c r="BK135" s="16">
        <f t="shared" si="256"/>
        <v>105.14532260000003</v>
      </c>
      <c r="BL135" s="16">
        <f t="shared" si="256"/>
        <v>117.48199761738459</v>
      </c>
      <c r="BM135" s="16">
        <f t="shared" si="256"/>
        <v>129.91351650288462</v>
      </c>
      <c r="BN135" s="16">
        <f t="shared" si="256"/>
        <v>135.71423641682694</v>
      </c>
      <c r="BO135" s="16">
        <f t="shared" si="256"/>
        <v>137.76638988088945</v>
      </c>
      <c r="BP135" s="16">
        <f t="shared" si="256"/>
        <v>138.03115101815507</v>
      </c>
      <c r="BQ135" s="16">
        <f t="shared" si="256"/>
        <v>138.30915021228395</v>
      </c>
      <c r="BR135" s="16">
        <f t="shared" si="256"/>
        <v>138.30915021228395</v>
      </c>
      <c r="BS135" s="16">
        <f t="shared" si="256"/>
        <v>140.30915021228398</v>
      </c>
      <c r="BT135" s="16">
        <f t="shared" si="256"/>
        <v>140.30915021228395</v>
      </c>
      <c r="BU135" s="16">
        <f t="shared" si="256"/>
        <v>140.30915021228395</v>
      </c>
      <c r="BX135" s="221">
        <f t="shared" si="135"/>
        <v>127</v>
      </c>
    </row>
    <row r="136" spans="1:76" hidden="1" outlineLevel="2">
      <c r="A136" s="180"/>
      <c r="B136" s="92" t="s">
        <v>171</v>
      </c>
      <c r="C136" s="202"/>
      <c r="D136" s="202"/>
      <c r="E136" s="202"/>
      <c r="F136" s="202"/>
      <c r="G136" s="202"/>
      <c r="H136" s="202"/>
      <c r="I136" s="202"/>
      <c r="J136" s="16">
        <v>9.0609999999999999</v>
      </c>
      <c r="K136" s="16">
        <v>6.2707087650639997</v>
      </c>
      <c r="L136" s="40">
        <f t="shared" si="255"/>
        <v>36.747835677806499</v>
      </c>
      <c r="M136" s="40">
        <f t="shared" si="255"/>
        <v>1.9259999999999984</v>
      </c>
      <c r="N136" s="40">
        <f t="shared" si="255"/>
        <v>0</v>
      </c>
      <c r="O136" s="40">
        <f t="shared" si="255"/>
        <v>0</v>
      </c>
      <c r="P136" s="40">
        <f t="shared" si="255"/>
        <v>0</v>
      </c>
      <c r="Q136" s="124"/>
      <c r="R136" s="202"/>
      <c r="S136" s="202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  <c r="AD136" s="202"/>
      <c r="AE136" s="202"/>
      <c r="AF136" s="202"/>
      <c r="AG136" s="202"/>
      <c r="AH136" s="202"/>
      <c r="AI136" s="202"/>
      <c r="AJ136" s="202"/>
      <c r="AK136" s="202"/>
      <c r="AL136" s="202"/>
      <c r="AM136" s="202"/>
      <c r="AN136" s="202"/>
      <c r="AO136" s="202"/>
      <c r="AP136" s="202"/>
      <c r="AQ136" s="202"/>
      <c r="AR136" s="202"/>
      <c r="AS136" s="202"/>
      <c r="AT136" s="202"/>
      <c r="AU136" s="202"/>
      <c r="AV136" s="202"/>
      <c r="AW136" s="202"/>
      <c r="AX136" s="202"/>
      <c r="AY136" s="202"/>
      <c r="AZ136" s="202"/>
      <c r="BA136" s="202"/>
      <c r="BB136" s="65">
        <v>24.733403398507399</v>
      </c>
      <c r="BC136" s="65">
        <v>11.3300692335741</v>
      </c>
      <c r="BD136" s="65">
        <v>0.68436304572499995</v>
      </c>
      <c r="BE136" s="122">
        <v>0</v>
      </c>
      <c r="BF136" s="65">
        <f>0.043+1.266+0.571+0.783+3.626</f>
        <v>6.2889999999999997</v>
      </c>
      <c r="BG136" s="65">
        <f>-1.194+0.109</f>
        <v>-1.085</v>
      </c>
      <c r="BH136" s="65">
        <v>7.89</v>
      </c>
      <c r="BI136" s="65">
        <f>-12.352+1.184</f>
        <v>-11.168000000000001</v>
      </c>
      <c r="BJ136" s="65">
        <v>0</v>
      </c>
      <c r="BK136" s="65">
        <v>0</v>
      </c>
      <c r="BL136" s="65">
        <v>0</v>
      </c>
      <c r="BM136" s="65">
        <v>0</v>
      </c>
      <c r="BN136" s="65">
        <v>0</v>
      </c>
      <c r="BO136" s="65">
        <v>0</v>
      </c>
      <c r="BP136" s="65">
        <v>0</v>
      </c>
      <c r="BQ136" s="65">
        <v>0</v>
      </c>
      <c r="BR136" s="65">
        <v>0</v>
      </c>
      <c r="BS136" s="65">
        <v>0</v>
      </c>
      <c r="BT136" s="65">
        <v>0</v>
      </c>
      <c r="BU136" s="65">
        <v>0</v>
      </c>
      <c r="BX136" s="221">
        <f t="shared" si="135"/>
        <v>128</v>
      </c>
    </row>
    <row r="137" spans="1:76" hidden="1" outlineLevel="2">
      <c r="A137" s="180"/>
      <c r="B137" s="92" t="s">
        <v>170</v>
      </c>
      <c r="C137" s="202"/>
      <c r="D137" s="202"/>
      <c r="E137" s="202"/>
      <c r="F137" s="202"/>
      <c r="G137" s="202"/>
      <c r="H137" s="202"/>
      <c r="I137" s="202"/>
      <c r="J137" s="16">
        <v>0</v>
      </c>
      <c r="K137" s="16">
        <v>0</v>
      </c>
      <c r="L137" s="40">
        <f t="shared" si="255"/>
        <v>9.9978893840430008</v>
      </c>
      <c r="M137" s="40">
        <f t="shared" si="255"/>
        <v>12.367000000000001</v>
      </c>
      <c r="N137" s="40">
        <f t="shared" si="255"/>
        <v>3.6</v>
      </c>
      <c r="O137" s="40">
        <f t="shared" si="255"/>
        <v>1.8</v>
      </c>
      <c r="P137" s="40">
        <f t="shared" si="255"/>
        <v>0</v>
      </c>
      <c r="Q137" s="124"/>
      <c r="R137" s="202"/>
      <c r="S137" s="202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  <c r="AD137" s="202"/>
      <c r="AE137" s="202"/>
      <c r="AF137" s="202"/>
      <c r="AG137" s="202"/>
      <c r="AH137" s="202"/>
      <c r="AI137" s="202"/>
      <c r="AJ137" s="202"/>
      <c r="AK137" s="202"/>
      <c r="AL137" s="202"/>
      <c r="AM137" s="202"/>
      <c r="AN137" s="202"/>
      <c r="AO137" s="202"/>
      <c r="AP137" s="202"/>
      <c r="AQ137" s="202"/>
      <c r="AR137" s="202"/>
      <c r="AS137" s="202"/>
      <c r="AT137" s="202"/>
      <c r="AU137" s="202"/>
      <c r="AV137" s="202"/>
      <c r="AW137" s="202"/>
      <c r="AX137" s="202"/>
      <c r="AY137" s="202"/>
      <c r="AZ137" s="202"/>
      <c r="BA137" s="202"/>
      <c r="BB137" s="65">
        <v>0</v>
      </c>
      <c r="BC137" s="65">
        <v>0.13163964</v>
      </c>
      <c r="BD137" s="65">
        <v>4.9062497440430004</v>
      </c>
      <c r="BE137" s="16">
        <f t="shared" ref="BE137:BU137" si="257">-BE18</f>
        <v>4.96</v>
      </c>
      <c r="BF137" s="16">
        <f t="shared" si="257"/>
        <v>6.899</v>
      </c>
      <c r="BG137" s="16">
        <f t="shared" si="257"/>
        <v>3.0550000000000002</v>
      </c>
      <c r="BH137" s="16">
        <f t="shared" si="257"/>
        <v>1.619</v>
      </c>
      <c r="BI137" s="16">
        <f t="shared" si="257"/>
        <v>0.79400000000000004</v>
      </c>
      <c r="BJ137" s="16">
        <f t="shared" si="257"/>
        <v>0</v>
      </c>
      <c r="BK137" s="16">
        <f t="shared" si="257"/>
        <v>0</v>
      </c>
      <c r="BL137" s="16">
        <f t="shared" si="257"/>
        <v>1.8</v>
      </c>
      <c r="BM137" s="16">
        <f t="shared" si="257"/>
        <v>1.8</v>
      </c>
      <c r="BN137" s="16">
        <f t="shared" si="257"/>
        <v>1.8</v>
      </c>
      <c r="BO137" s="16">
        <f t="shared" si="257"/>
        <v>0</v>
      </c>
      <c r="BP137" s="16">
        <f t="shared" si="257"/>
        <v>0</v>
      </c>
      <c r="BQ137" s="16">
        <f t="shared" si="257"/>
        <v>0</v>
      </c>
      <c r="BR137" s="16">
        <f t="shared" si="257"/>
        <v>0</v>
      </c>
      <c r="BS137" s="16">
        <f t="shared" si="257"/>
        <v>0</v>
      </c>
      <c r="BT137" s="16">
        <f t="shared" si="257"/>
        <v>0</v>
      </c>
      <c r="BU137" s="16">
        <f t="shared" si="257"/>
        <v>0</v>
      </c>
      <c r="BX137" s="221">
        <f t="shared" si="135"/>
        <v>129</v>
      </c>
    </row>
    <row r="138" spans="1:76" hidden="1" outlineLevel="2">
      <c r="A138" s="180"/>
      <c r="B138" s="92" t="s">
        <v>169</v>
      </c>
      <c r="C138" s="202"/>
      <c r="D138" s="202"/>
      <c r="E138" s="202"/>
      <c r="F138" s="202"/>
      <c r="G138" s="202"/>
      <c r="H138" s="202"/>
      <c r="I138" s="202"/>
      <c r="J138" s="16">
        <v>11.09812395</v>
      </c>
      <c r="K138" s="16">
        <v>3.9144204899999999</v>
      </c>
      <c r="L138" s="40">
        <f t="shared" si="255"/>
        <v>0</v>
      </c>
      <c r="M138" s="40">
        <f t="shared" si="255"/>
        <v>0</v>
      </c>
      <c r="N138" s="40">
        <f t="shared" si="255"/>
        <v>0</v>
      </c>
      <c r="O138" s="40">
        <f t="shared" si="255"/>
        <v>0</v>
      </c>
      <c r="P138" s="40">
        <f t="shared" si="255"/>
        <v>0</v>
      </c>
      <c r="Q138" s="124"/>
      <c r="R138" s="202"/>
      <c r="S138" s="202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  <c r="AD138" s="202"/>
      <c r="AE138" s="202"/>
      <c r="AF138" s="202"/>
      <c r="AG138" s="202"/>
      <c r="AH138" s="202"/>
      <c r="AI138" s="202"/>
      <c r="AJ138" s="202"/>
      <c r="AK138" s="202"/>
      <c r="AL138" s="202"/>
      <c r="AM138" s="202"/>
      <c r="AN138" s="202"/>
      <c r="AO138" s="202"/>
      <c r="AP138" s="202"/>
      <c r="AQ138" s="202"/>
      <c r="AR138" s="202"/>
      <c r="AS138" s="202"/>
      <c r="AT138" s="202"/>
      <c r="AU138" s="202"/>
      <c r="AV138" s="202"/>
      <c r="AW138" s="202"/>
      <c r="AX138" s="202"/>
      <c r="AY138" s="202"/>
      <c r="AZ138" s="202"/>
      <c r="BA138" s="202"/>
      <c r="BB138" s="65">
        <v>0</v>
      </c>
      <c r="BC138" s="65">
        <v>0</v>
      </c>
      <c r="BD138" s="65">
        <v>0</v>
      </c>
      <c r="BE138" s="122">
        <v>0</v>
      </c>
      <c r="BF138" s="122">
        <v>0</v>
      </c>
      <c r="BG138" s="122">
        <v>0</v>
      </c>
      <c r="BH138" s="122">
        <v>0</v>
      </c>
      <c r="BI138" s="122">
        <v>0</v>
      </c>
      <c r="BJ138" s="65">
        <v>0</v>
      </c>
      <c r="BK138" s="65">
        <v>0</v>
      </c>
      <c r="BL138" s="65">
        <v>0</v>
      </c>
      <c r="BM138" s="65">
        <v>0</v>
      </c>
      <c r="BN138" s="65">
        <v>0</v>
      </c>
      <c r="BO138" s="65">
        <v>0</v>
      </c>
      <c r="BP138" s="65">
        <v>0</v>
      </c>
      <c r="BQ138" s="65">
        <v>0</v>
      </c>
      <c r="BR138" s="65">
        <v>0</v>
      </c>
      <c r="BS138" s="65">
        <v>0</v>
      </c>
      <c r="BT138" s="65">
        <v>0</v>
      </c>
      <c r="BU138" s="65">
        <v>0</v>
      </c>
      <c r="BX138" s="221">
        <f t="shared" si="135"/>
        <v>130</v>
      </c>
    </row>
    <row r="139" spans="1:76" hidden="1" outlineLevel="2">
      <c r="A139" s="180"/>
      <c r="B139" s="92" t="s">
        <v>168</v>
      </c>
      <c r="C139" s="202"/>
      <c r="D139" s="202"/>
      <c r="E139" s="202"/>
      <c r="F139" s="202"/>
      <c r="G139" s="202"/>
      <c r="H139" s="202"/>
      <c r="I139" s="202"/>
      <c r="J139" s="16">
        <v>2.4159999999999999</v>
      </c>
      <c r="K139" s="16">
        <v>0.31200000000000006</v>
      </c>
      <c r="L139" s="40">
        <f t="shared" si="255"/>
        <v>1.9847761899999998</v>
      </c>
      <c r="M139" s="40">
        <f t="shared" si="255"/>
        <v>10.577999999999999</v>
      </c>
      <c r="N139" s="40">
        <f t="shared" si="255"/>
        <v>12</v>
      </c>
      <c r="O139" s="40">
        <f t="shared" si="255"/>
        <v>12</v>
      </c>
      <c r="P139" s="40">
        <f t="shared" si="255"/>
        <v>6</v>
      </c>
      <c r="Q139" s="124"/>
      <c r="R139" s="202"/>
      <c r="S139" s="202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  <c r="AD139" s="202"/>
      <c r="AE139" s="202"/>
      <c r="AF139" s="202"/>
      <c r="AG139" s="202"/>
      <c r="AH139" s="202"/>
      <c r="AI139" s="202"/>
      <c r="AJ139" s="202"/>
      <c r="AK139" s="202"/>
      <c r="AL139" s="202"/>
      <c r="AM139" s="202"/>
      <c r="AN139" s="202"/>
      <c r="AO139" s="202"/>
      <c r="AP139" s="202"/>
      <c r="AQ139" s="202"/>
      <c r="AR139" s="202"/>
      <c r="AS139" s="202"/>
      <c r="AT139" s="202"/>
      <c r="AU139" s="202"/>
      <c r="AV139" s="202"/>
      <c r="AW139" s="202"/>
      <c r="AX139" s="202"/>
      <c r="AY139" s="202"/>
      <c r="AZ139" s="202"/>
      <c r="BA139" s="202"/>
      <c r="BB139" s="65">
        <v>1.7686687299999999</v>
      </c>
      <c r="BC139" s="65">
        <v>7.2569460000000002E-2</v>
      </c>
      <c r="BD139" s="65">
        <v>-1.5462E-2</v>
      </c>
      <c r="BE139" s="16">
        <f t="shared" ref="BE139:BU139" si="258">BE160</f>
        <v>0.15900000000000003</v>
      </c>
      <c r="BF139" s="16">
        <f>BF160</f>
        <v>1.1379999999999999</v>
      </c>
      <c r="BG139" s="16">
        <f>BG160</f>
        <v>2.9329999999999998</v>
      </c>
      <c r="BH139" s="16">
        <f t="shared" si="258"/>
        <v>3.2629999999999999</v>
      </c>
      <c r="BI139" s="16">
        <f t="shared" si="258"/>
        <v>3.2439999999999998</v>
      </c>
      <c r="BJ139" s="16">
        <f t="shared" si="258"/>
        <v>3</v>
      </c>
      <c r="BK139" s="16">
        <f t="shared" si="258"/>
        <v>3</v>
      </c>
      <c r="BL139" s="16">
        <f t="shared" si="258"/>
        <v>3</v>
      </c>
      <c r="BM139" s="16">
        <f t="shared" si="258"/>
        <v>3</v>
      </c>
      <c r="BN139" s="16">
        <f t="shared" si="258"/>
        <v>3</v>
      </c>
      <c r="BO139" s="16">
        <f t="shared" si="258"/>
        <v>3</v>
      </c>
      <c r="BP139" s="16">
        <f t="shared" si="258"/>
        <v>3</v>
      </c>
      <c r="BQ139" s="16">
        <f t="shared" si="258"/>
        <v>3</v>
      </c>
      <c r="BR139" s="16">
        <f t="shared" si="258"/>
        <v>3</v>
      </c>
      <c r="BS139" s="16">
        <f t="shared" si="258"/>
        <v>1</v>
      </c>
      <c r="BT139" s="16">
        <f t="shared" si="258"/>
        <v>1</v>
      </c>
      <c r="BU139" s="16">
        <f t="shared" si="258"/>
        <v>1</v>
      </c>
      <c r="BX139" s="221">
        <f t="shared" ref="BX139:BX202" si="259">+BX138+1</f>
        <v>131</v>
      </c>
    </row>
    <row r="140" spans="1:76" hidden="1" outlineLevel="2">
      <c r="A140" s="180"/>
      <c r="B140" s="92" t="s">
        <v>167</v>
      </c>
      <c r="C140" s="202"/>
      <c r="D140" s="202"/>
      <c r="E140" s="202"/>
      <c r="F140" s="202"/>
      <c r="G140" s="202"/>
      <c r="H140" s="202"/>
      <c r="I140" s="202"/>
      <c r="J140" s="16">
        <v>2.27</v>
      </c>
      <c r="K140" s="16">
        <v>0</v>
      </c>
      <c r="L140" s="40">
        <f t="shared" si="255"/>
        <v>0</v>
      </c>
      <c r="M140" s="40">
        <f t="shared" si="255"/>
        <v>0</v>
      </c>
      <c r="N140" s="40">
        <f t="shared" si="255"/>
        <v>0</v>
      </c>
      <c r="O140" s="40">
        <f t="shared" si="255"/>
        <v>0</v>
      </c>
      <c r="P140" s="40">
        <f t="shared" si="255"/>
        <v>0</v>
      </c>
      <c r="Q140" s="124"/>
      <c r="R140" s="202"/>
      <c r="S140" s="202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  <c r="AD140" s="202"/>
      <c r="AE140" s="202"/>
      <c r="AF140" s="202"/>
      <c r="AG140" s="202"/>
      <c r="AH140" s="202"/>
      <c r="AI140" s="202"/>
      <c r="AJ140" s="202"/>
      <c r="AK140" s="202"/>
      <c r="AL140" s="202"/>
      <c r="AM140" s="202"/>
      <c r="AN140" s="202"/>
      <c r="AO140" s="202"/>
      <c r="AP140" s="202"/>
      <c r="AQ140" s="202"/>
      <c r="AR140" s="202"/>
      <c r="AS140" s="202"/>
      <c r="AT140" s="202"/>
      <c r="AU140" s="202"/>
      <c r="AV140" s="202"/>
      <c r="AW140" s="202"/>
      <c r="AX140" s="202"/>
      <c r="AY140" s="202"/>
      <c r="AZ140" s="202"/>
      <c r="BA140" s="202"/>
      <c r="BB140" s="65">
        <v>0</v>
      </c>
      <c r="BC140" s="65">
        <v>0</v>
      </c>
      <c r="BD140" s="65">
        <v>0</v>
      </c>
      <c r="BE140" s="122">
        <v>0</v>
      </c>
      <c r="BF140" s="122">
        <v>0</v>
      </c>
      <c r="BG140" s="122">
        <v>0</v>
      </c>
      <c r="BH140" s="65">
        <v>0</v>
      </c>
      <c r="BI140" s="65">
        <v>0</v>
      </c>
      <c r="BJ140" s="65">
        <v>0</v>
      </c>
      <c r="BK140" s="65">
        <v>0</v>
      </c>
      <c r="BL140" s="65">
        <v>0</v>
      </c>
      <c r="BM140" s="65">
        <v>0</v>
      </c>
      <c r="BN140" s="65">
        <v>0</v>
      </c>
      <c r="BO140" s="65">
        <v>0</v>
      </c>
      <c r="BP140" s="65">
        <v>0</v>
      </c>
      <c r="BQ140" s="65">
        <v>0</v>
      </c>
      <c r="BR140" s="65">
        <v>0</v>
      </c>
      <c r="BS140" s="65">
        <v>0</v>
      </c>
      <c r="BT140" s="65">
        <v>0</v>
      </c>
      <c r="BU140" s="65">
        <v>0</v>
      </c>
      <c r="BX140" s="221">
        <f t="shared" si="259"/>
        <v>132</v>
      </c>
    </row>
    <row r="141" spans="1:76" hidden="1" outlineLevel="2">
      <c r="A141" s="180"/>
      <c r="B141" s="92" t="s">
        <v>42</v>
      </c>
      <c r="C141" s="202"/>
      <c r="D141" s="202"/>
      <c r="E141" s="202"/>
      <c r="F141" s="202"/>
      <c r="G141" s="202"/>
      <c r="H141" s="202"/>
      <c r="I141" s="202"/>
      <c r="J141" s="16">
        <v>1.2080000000000002</v>
      </c>
      <c r="K141" s="16">
        <v>2.2389999999999999</v>
      </c>
      <c r="L141" s="40">
        <f t="shared" si="255"/>
        <v>0.51468606000000805</v>
      </c>
      <c r="M141" s="40">
        <f t="shared" si="255"/>
        <v>38.582000000000008</v>
      </c>
      <c r="N141" s="40">
        <f t="shared" si="255"/>
        <v>0</v>
      </c>
      <c r="O141" s="40">
        <f t="shared" si="255"/>
        <v>0</v>
      </c>
      <c r="P141" s="40">
        <f t="shared" si="255"/>
        <v>0</v>
      </c>
      <c r="Q141" s="124"/>
      <c r="R141" s="202"/>
      <c r="S141" s="202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  <c r="AD141" s="202"/>
      <c r="AE141" s="202"/>
      <c r="AF141" s="202"/>
      <c r="AG141" s="202"/>
      <c r="AH141" s="202"/>
      <c r="AI141" s="202"/>
      <c r="AJ141" s="202"/>
      <c r="AK141" s="202"/>
      <c r="AL141" s="202"/>
      <c r="AM141" s="202"/>
      <c r="AN141" s="202"/>
      <c r="AO141" s="202"/>
      <c r="AP141" s="202"/>
      <c r="AQ141" s="202"/>
      <c r="AR141" s="202"/>
      <c r="AS141" s="202"/>
      <c r="AT141" s="202"/>
      <c r="AU141" s="202"/>
      <c r="AV141" s="202"/>
      <c r="AW141" s="202"/>
      <c r="AX141" s="202"/>
      <c r="AY141" s="202"/>
      <c r="AZ141" s="202"/>
      <c r="BA141" s="202"/>
      <c r="BB141" s="65">
        <v>0.28518606000000002</v>
      </c>
      <c r="BC141" s="65">
        <v>8.8499999999999995E-2</v>
      </c>
      <c r="BD141" s="65">
        <v>0</v>
      </c>
      <c r="BE141" s="65">
        <v>0.14100000000000801</v>
      </c>
      <c r="BF141" s="65">
        <v>31.600000000000009</v>
      </c>
      <c r="BG141" s="65">
        <v>4.97</v>
      </c>
      <c r="BH141" s="65">
        <f>0.47+0.098</f>
        <v>0.56799999999999995</v>
      </c>
      <c r="BI141" s="65">
        <v>1.444</v>
      </c>
      <c r="BJ141" s="65">
        <v>0</v>
      </c>
      <c r="BK141" s="65">
        <v>0</v>
      </c>
      <c r="BL141" s="65">
        <v>0</v>
      </c>
      <c r="BM141" s="65">
        <v>0</v>
      </c>
      <c r="BN141" s="65">
        <v>0</v>
      </c>
      <c r="BO141" s="65">
        <v>0</v>
      </c>
      <c r="BP141" s="65">
        <v>0</v>
      </c>
      <c r="BQ141" s="65">
        <v>0</v>
      </c>
      <c r="BR141" s="65">
        <v>0</v>
      </c>
      <c r="BS141" s="65">
        <v>0</v>
      </c>
      <c r="BT141" s="65">
        <v>0</v>
      </c>
      <c r="BU141" s="65">
        <v>0</v>
      </c>
      <c r="BX141" s="221">
        <f t="shared" si="259"/>
        <v>133</v>
      </c>
    </row>
    <row r="142" spans="1:76" hidden="1" outlineLevel="2">
      <c r="A142" s="180"/>
      <c r="B142" s="8" t="s">
        <v>166</v>
      </c>
      <c r="C142" s="202"/>
      <c r="D142" s="202"/>
      <c r="E142" s="202"/>
      <c r="F142" s="202"/>
      <c r="G142" s="202"/>
      <c r="H142" s="202"/>
      <c r="I142" s="202"/>
      <c r="J142" s="16">
        <f>SUM(J136:J141)</f>
        <v>26.05312395</v>
      </c>
      <c r="K142" s="16">
        <f>SUM(K136:K141)</f>
        <v>12.736129255064</v>
      </c>
      <c r="L142" s="40">
        <f t="shared" si="255"/>
        <v>49.245187311849506</v>
      </c>
      <c r="M142" s="40">
        <f t="shared" si="255"/>
        <v>63.45300000000001</v>
      </c>
      <c r="N142" s="40">
        <f t="shared" si="255"/>
        <v>15.600000000000001</v>
      </c>
      <c r="O142" s="40">
        <f t="shared" si="255"/>
        <v>13.8</v>
      </c>
      <c r="P142" s="40">
        <f t="shared" si="255"/>
        <v>6</v>
      </c>
      <c r="Q142" s="124"/>
      <c r="R142" s="202"/>
      <c r="S142" s="202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  <c r="AD142" s="202"/>
      <c r="AE142" s="202"/>
      <c r="AF142" s="202"/>
      <c r="AG142" s="202"/>
      <c r="AH142" s="202"/>
      <c r="AI142" s="202"/>
      <c r="AJ142" s="202"/>
      <c r="AK142" s="202"/>
      <c r="AL142" s="202"/>
      <c r="AM142" s="202"/>
      <c r="AN142" s="202"/>
      <c r="AO142" s="202"/>
      <c r="AP142" s="202"/>
      <c r="AQ142" s="202"/>
      <c r="AR142" s="202"/>
      <c r="AS142" s="202"/>
      <c r="AT142" s="202"/>
      <c r="AU142" s="202"/>
      <c r="AV142" s="202"/>
      <c r="AW142" s="202"/>
      <c r="AX142" s="202"/>
      <c r="AY142" s="202"/>
      <c r="AZ142" s="202"/>
      <c r="BA142" s="202"/>
      <c r="BB142" s="16">
        <f t="shared" ref="BB142:BU142" si="260">SUM(BB136:BB141)</f>
        <v>26.787258188507401</v>
      </c>
      <c r="BC142" s="16">
        <f t="shared" si="260"/>
        <v>11.6227783335741</v>
      </c>
      <c r="BD142" s="16">
        <f t="shared" si="260"/>
        <v>5.5751507897680002</v>
      </c>
      <c r="BE142" s="16">
        <f t="shared" si="260"/>
        <v>5.2600000000000078</v>
      </c>
      <c r="BF142" s="16">
        <f>SUM(BF136:BF141)</f>
        <v>45.926000000000009</v>
      </c>
      <c r="BG142" s="16">
        <f>SUM(BG136:BG141)</f>
        <v>9.8730000000000011</v>
      </c>
      <c r="BH142" s="16">
        <f>SUM(BH136:BH141)</f>
        <v>13.34</v>
      </c>
      <c r="BI142" s="16">
        <f t="shared" si="260"/>
        <v>-5.6860000000000008</v>
      </c>
      <c r="BJ142" s="16">
        <f t="shared" si="260"/>
        <v>3</v>
      </c>
      <c r="BK142" s="16">
        <f t="shared" si="260"/>
        <v>3</v>
      </c>
      <c r="BL142" s="16">
        <f t="shared" si="260"/>
        <v>4.8</v>
      </c>
      <c r="BM142" s="16">
        <f t="shared" si="260"/>
        <v>4.8</v>
      </c>
      <c r="BN142" s="16">
        <f t="shared" si="260"/>
        <v>4.8</v>
      </c>
      <c r="BO142" s="16">
        <f t="shared" si="260"/>
        <v>3</v>
      </c>
      <c r="BP142" s="16">
        <f t="shared" si="260"/>
        <v>3</v>
      </c>
      <c r="BQ142" s="16">
        <f t="shared" si="260"/>
        <v>3</v>
      </c>
      <c r="BR142" s="16">
        <f t="shared" si="260"/>
        <v>3</v>
      </c>
      <c r="BS142" s="16">
        <f t="shared" si="260"/>
        <v>1</v>
      </c>
      <c r="BT142" s="16">
        <f t="shared" si="260"/>
        <v>1</v>
      </c>
      <c r="BU142" s="16">
        <f t="shared" si="260"/>
        <v>1</v>
      </c>
      <c r="BX142" s="221">
        <f t="shared" si="259"/>
        <v>134</v>
      </c>
    </row>
    <row r="143" spans="1:76" hidden="1" outlineLevel="2">
      <c r="A143" s="180"/>
      <c r="B143" s="52" t="s">
        <v>165</v>
      </c>
      <c r="C143" s="202"/>
      <c r="D143" s="202"/>
      <c r="E143" s="202"/>
      <c r="F143" s="202"/>
      <c r="G143" s="202"/>
      <c r="H143" s="202"/>
      <c r="I143" s="202"/>
      <c r="J143" s="125">
        <f>J135+J142</f>
        <v>59.560417841603055</v>
      </c>
      <c r="K143" s="125">
        <f>K135+K142</f>
        <v>41.884610903302068</v>
      </c>
      <c r="L143" s="95">
        <f t="shared" si="255"/>
        <v>1.9188661214941467</v>
      </c>
      <c r="M143" s="95">
        <f t="shared" si="255"/>
        <v>214.56200000000001</v>
      </c>
      <c r="N143" s="95">
        <f t="shared" si="255"/>
        <v>451.48104122026928</v>
      </c>
      <c r="O143" s="95">
        <f t="shared" si="255"/>
        <v>563.62092752815533</v>
      </c>
      <c r="P143" s="95">
        <f t="shared" si="255"/>
        <v>565.23660084913581</v>
      </c>
      <c r="Q143" s="126"/>
      <c r="R143" s="202"/>
      <c r="S143" s="202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  <c r="AD143" s="202"/>
      <c r="AE143" s="202"/>
      <c r="AF143" s="202"/>
      <c r="AG143" s="202"/>
      <c r="AH143" s="202"/>
      <c r="AI143" s="202"/>
      <c r="AJ143" s="202"/>
      <c r="AK143" s="202"/>
      <c r="AL143" s="202"/>
      <c r="AM143" s="202"/>
      <c r="AN143" s="202"/>
      <c r="AO143" s="202"/>
      <c r="AP143" s="202"/>
      <c r="AQ143" s="202"/>
      <c r="AR143" s="202"/>
      <c r="AS143" s="202"/>
      <c r="AT143" s="202"/>
      <c r="AU143" s="202"/>
      <c r="AV143" s="202"/>
      <c r="AW143" s="202"/>
      <c r="AX143" s="202"/>
      <c r="AY143" s="202"/>
      <c r="AZ143" s="202"/>
      <c r="BA143" s="202"/>
      <c r="BB143" s="125">
        <f t="shared" ref="BB143:BU143" si="261">BB135+BB142</f>
        <v>0.11088261724231785</v>
      </c>
      <c r="BC143" s="125">
        <f t="shared" si="261"/>
        <v>3.6909651274750495</v>
      </c>
      <c r="BD143" s="125">
        <f t="shared" si="261"/>
        <v>-8.0179816232232248</v>
      </c>
      <c r="BE143" s="125">
        <f t="shared" si="261"/>
        <v>6.1350000000000042</v>
      </c>
      <c r="BF143" s="125">
        <f t="shared" si="261"/>
        <v>13.136000000000003</v>
      </c>
      <c r="BG143" s="125">
        <f t="shared" si="261"/>
        <v>35.994000000000014</v>
      </c>
      <c r="BH143" s="125">
        <f t="shared" si="261"/>
        <v>71.600999999999999</v>
      </c>
      <c r="BI143" s="125">
        <f t="shared" si="261"/>
        <v>93.830999999999989</v>
      </c>
      <c r="BJ143" s="125">
        <f t="shared" si="261"/>
        <v>86.340204499999999</v>
      </c>
      <c r="BK143" s="125">
        <f t="shared" si="261"/>
        <v>108.14532260000003</v>
      </c>
      <c r="BL143" s="125">
        <f t="shared" si="261"/>
        <v>122.28199761738459</v>
      </c>
      <c r="BM143" s="125">
        <f t="shared" si="261"/>
        <v>134.71351650288463</v>
      </c>
      <c r="BN143" s="125">
        <f t="shared" si="261"/>
        <v>140.51423641682695</v>
      </c>
      <c r="BO143" s="125">
        <f t="shared" si="261"/>
        <v>140.76638988088945</v>
      </c>
      <c r="BP143" s="125">
        <f t="shared" si="261"/>
        <v>141.03115101815507</v>
      </c>
      <c r="BQ143" s="125">
        <f t="shared" si="261"/>
        <v>141.30915021228395</v>
      </c>
      <c r="BR143" s="125">
        <f t="shared" si="261"/>
        <v>141.30915021228395</v>
      </c>
      <c r="BS143" s="125">
        <f t="shared" si="261"/>
        <v>141.30915021228398</v>
      </c>
      <c r="BT143" s="125">
        <f t="shared" si="261"/>
        <v>141.30915021228395</v>
      </c>
      <c r="BU143" s="125">
        <f t="shared" si="261"/>
        <v>141.30915021228395</v>
      </c>
      <c r="BX143" s="221">
        <f t="shared" si="259"/>
        <v>135</v>
      </c>
    </row>
    <row r="144" spans="1:76" hidden="1" outlineLevel="2">
      <c r="A144" s="180"/>
      <c r="B144" s="52"/>
      <c r="C144" s="202"/>
      <c r="D144" s="202"/>
      <c r="E144" s="202"/>
      <c r="F144" s="202"/>
      <c r="G144" s="202"/>
      <c r="H144" s="202"/>
      <c r="I144" s="202"/>
      <c r="J144" s="125"/>
      <c r="K144" s="125"/>
      <c r="L144" s="95"/>
      <c r="M144" s="95"/>
      <c r="N144" s="95"/>
      <c r="O144" s="95"/>
      <c r="P144" s="95"/>
      <c r="Q144" s="126"/>
      <c r="R144" s="202"/>
      <c r="S144" s="202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2"/>
      <c r="AP144" s="202"/>
      <c r="AQ144" s="202"/>
      <c r="AR144" s="202"/>
      <c r="AS144" s="202"/>
      <c r="AT144" s="202"/>
      <c r="AU144" s="202"/>
      <c r="AV144" s="202"/>
      <c r="AW144" s="202"/>
      <c r="AX144" s="202"/>
      <c r="AY144" s="202"/>
      <c r="AZ144" s="202"/>
      <c r="BA144" s="202"/>
      <c r="BB144" s="125"/>
      <c r="BC144" s="125"/>
      <c r="BD144" s="125"/>
      <c r="BE144" s="125"/>
      <c r="BF144" s="125"/>
      <c r="BG144" s="125"/>
      <c r="BH144" s="125"/>
      <c r="BI144" s="125"/>
      <c r="BJ144" s="125"/>
      <c r="BK144" s="125"/>
      <c r="BL144" s="125"/>
      <c r="BM144" s="125"/>
      <c r="BN144" s="125"/>
      <c r="BO144" s="125"/>
      <c r="BP144" s="125"/>
      <c r="BQ144" s="125"/>
      <c r="BR144" s="125"/>
      <c r="BS144" s="125"/>
      <c r="BT144" s="125"/>
      <c r="BU144" s="125"/>
      <c r="BX144" s="221">
        <f t="shared" si="259"/>
        <v>136</v>
      </c>
    </row>
    <row r="145" spans="1:76" outlineLevel="1" collapsed="1">
      <c r="A145" s="180" t="s">
        <v>0</v>
      </c>
      <c r="B145" s="52" t="s">
        <v>164</v>
      </c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12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X145" s="221">
        <f t="shared" si="259"/>
        <v>137</v>
      </c>
    </row>
    <row r="146" spans="1:76" hidden="1" outlineLevel="2">
      <c r="A146" s="180"/>
      <c r="B146" s="92" t="s">
        <v>163</v>
      </c>
      <c r="C146" s="121" t="str">
        <f t="shared" ref="C146:P147" si="262">IFERROR(AVERAGEIF($R$5:$BV$5,C$5,$R146:$BV146),"NM")</f>
        <v>NM</v>
      </c>
      <c r="D146" s="121" t="str">
        <f t="shared" si="262"/>
        <v>NM</v>
      </c>
      <c r="E146" s="121" t="str">
        <f t="shared" si="262"/>
        <v>NM</v>
      </c>
      <c r="F146" s="121" t="str">
        <f t="shared" si="262"/>
        <v>NM</v>
      </c>
      <c r="G146" s="121" t="str">
        <f t="shared" si="262"/>
        <v>NM</v>
      </c>
      <c r="H146" s="121">
        <f t="shared" si="262"/>
        <v>11.912725</v>
      </c>
      <c r="I146" s="121">
        <f t="shared" si="262"/>
        <v>12.37415</v>
      </c>
      <c r="J146" s="121">
        <f t="shared" si="262"/>
        <v>14.6343</v>
      </c>
      <c r="K146" s="121">
        <f t="shared" si="262"/>
        <v>10.666599999999999</v>
      </c>
      <c r="L146" s="121">
        <f t="shared" si="262"/>
        <v>6.1823499999999996</v>
      </c>
      <c r="M146" s="121">
        <f t="shared" si="262"/>
        <v>11.049206311987328</v>
      </c>
      <c r="N146" s="121">
        <f t="shared" si="262"/>
        <v>16.458848823292261</v>
      </c>
      <c r="O146" s="121">
        <f t="shared" si="262"/>
        <v>20.19692888526378</v>
      </c>
      <c r="P146" s="121">
        <f t="shared" si="262"/>
        <v>20.707817454728414</v>
      </c>
      <c r="Q146" s="3"/>
      <c r="R146" s="202"/>
      <c r="S146" s="202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  <c r="AI146" s="202"/>
      <c r="AJ146" s="202"/>
      <c r="AK146" s="202"/>
      <c r="AL146" s="122">
        <v>12.9495</v>
      </c>
      <c r="AM146" s="122">
        <v>12.355399999999999</v>
      </c>
      <c r="AN146" s="122">
        <v>11.627000000000001</v>
      </c>
      <c r="AO146" s="122">
        <v>10.718999999999999</v>
      </c>
      <c r="AP146" s="122">
        <v>12.0092</v>
      </c>
      <c r="AQ146" s="122">
        <v>12.542999999999999</v>
      </c>
      <c r="AR146" s="122">
        <v>12.6426</v>
      </c>
      <c r="AS146" s="122">
        <v>12.3018</v>
      </c>
      <c r="AT146" s="122">
        <v>13.1829</v>
      </c>
      <c r="AU146" s="122">
        <v>13.8872</v>
      </c>
      <c r="AV146" s="122">
        <v>14.745200000000001</v>
      </c>
      <c r="AW146" s="122">
        <v>16.721900000000002</v>
      </c>
      <c r="AX146" s="122">
        <v>13.5267</v>
      </c>
      <c r="AY146" s="122">
        <v>10.4832</v>
      </c>
      <c r="AZ146" s="122">
        <v>10.164099999999999</v>
      </c>
      <c r="BA146" s="122">
        <v>8.4923999999999999</v>
      </c>
      <c r="BB146" s="122">
        <v>6.5731000000000002</v>
      </c>
      <c r="BC146" s="122">
        <v>5.5</v>
      </c>
      <c r="BD146" s="122">
        <v>5.8236999999999997</v>
      </c>
      <c r="BE146" s="122">
        <v>6.8326000000000002</v>
      </c>
      <c r="BF146" s="122">
        <v>9.214686804990869</v>
      </c>
      <c r="BG146" s="122">
        <v>10.919107903901336</v>
      </c>
      <c r="BH146" s="122">
        <v>11.611581415992914</v>
      </c>
      <c r="BI146" s="122">
        <v>12.451449123064192</v>
      </c>
      <c r="BJ146" s="122">
        <v>12.649199126032114</v>
      </c>
      <c r="BK146" s="122">
        <v>15.894167927008613</v>
      </c>
      <c r="BL146" s="122">
        <v>18.081071307182956</v>
      </c>
      <c r="BM146" s="122">
        <v>19.210956932945368</v>
      </c>
      <c r="BN146" s="122">
        <v>19.991140248907548</v>
      </c>
      <c r="BO146" s="122">
        <v>19.983935314059959</v>
      </c>
      <c r="BP146" s="122">
        <v>20.221073159985181</v>
      </c>
      <c r="BQ146" s="122">
        <v>20.591566818102432</v>
      </c>
      <c r="BR146" s="122">
        <v>20.848659395636592</v>
      </c>
      <c r="BS146" s="122">
        <v>20.702950615870503</v>
      </c>
      <c r="BT146" s="122">
        <v>20.567767409362443</v>
      </c>
      <c r="BU146" s="122">
        <v>20.711892398044121</v>
      </c>
      <c r="BX146" s="221">
        <f t="shared" si="259"/>
        <v>138</v>
      </c>
    </row>
    <row r="147" spans="1:76" hidden="1" outlineLevel="2">
      <c r="A147" s="180"/>
      <c r="B147" s="92" t="s">
        <v>162</v>
      </c>
      <c r="C147" s="121" t="str">
        <f t="shared" si="262"/>
        <v>NM</v>
      </c>
      <c r="D147" s="121" t="str">
        <f t="shared" si="262"/>
        <v>NM</v>
      </c>
      <c r="E147" s="121" t="str">
        <f t="shared" si="262"/>
        <v>NM</v>
      </c>
      <c r="F147" s="121" t="str">
        <f t="shared" si="262"/>
        <v>NM</v>
      </c>
      <c r="G147" s="121" t="str">
        <f t="shared" si="262"/>
        <v>NM</v>
      </c>
      <c r="H147" s="121">
        <f t="shared" si="262"/>
        <v>436.39460002179192</v>
      </c>
      <c r="I147" s="121">
        <f t="shared" si="262"/>
        <v>389.19805371951838</v>
      </c>
      <c r="J147" s="121">
        <f t="shared" si="262"/>
        <v>410.05708877318762</v>
      </c>
      <c r="K147" s="121">
        <f t="shared" si="262"/>
        <v>406.68581976186658</v>
      </c>
      <c r="L147" s="121">
        <f t="shared" si="262"/>
        <v>215.93673803403959</v>
      </c>
      <c r="M147" s="121">
        <f t="shared" si="262"/>
        <v>227.67684740708128</v>
      </c>
      <c r="N147" s="121">
        <f t="shared" si="262"/>
        <v>313.96935694864879</v>
      </c>
      <c r="O147" s="121">
        <f t="shared" si="262"/>
        <v>430.99769817546473</v>
      </c>
      <c r="P147" s="121">
        <f t="shared" si="262"/>
        <v>457.57916660885945</v>
      </c>
      <c r="Q147" s="3"/>
      <c r="R147" s="202"/>
      <c r="S147" s="202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/>
      <c r="AI147" s="202"/>
      <c r="AJ147" s="202"/>
      <c r="AK147" s="202"/>
      <c r="AL147" s="120">
        <v>433.16291540752081</v>
      </c>
      <c r="AM147" s="120">
        <v>439.99001077149279</v>
      </c>
      <c r="AN147" s="120">
        <v>445.5350722636253</v>
      </c>
      <c r="AO147" s="120">
        <v>426.89040164452877</v>
      </c>
      <c r="AP147" s="120">
        <v>392.00881170296782</v>
      </c>
      <c r="AQ147" s="120">
        <v>358.38955597983949</v>
      </c>
      <c r="AR147" s="120">
        <v>398.96507342186862</v>
      </c>
      <c r="AS147" s="120">
        <v>407.4287737733975</v>
      </c>
      <c r="AT147" s="120">
        <v>403.39025073696718</v>
      </c>
      <c r="AU147" s="120">
        <v>387.55172703649964</v>
      </c>
      <c r="AV147" s="120">
        <v>414.125404016782</v>
      </c>
      <c r="AW147" s="120">
        <v>435.16097330250159</v>
      </c>
      <c r="AX147" s="120">
        <v>449.54737333045364</v>
      </c>
      <c r="AY147" s="120">
        <v>497.12319306239823</v>
      </c>
      <c r="AZ147" s="120">
        <v>388.18541364296084</v>
      </c>
      <c r="BA147" s="120">
        <v>291.88729901165362</v>
      </c>
      <c r="BB147" s="120">
        <v>278.5267652510114</v>
      </c>
      <c r="BC147" s="120">
        <v>227.44860866128263</v>
      </c>
      <c r="BD147" s="120">
        <v>190.86750935658259</v>
      </c>
      <c r="BE147" s="120">
        <v>166.90406886728186</v>
      </c>
      <c r="BF147" s="120">
        <v>181.29510769152893</v>
      </c>
      <c r="BG147" s="120">
        <v>199.31942735758321</v>
      </c>
      <c r="BH147" s="120">
        <v>250.51555356749688</v>
      </c>
      <c r="BI147" s="120">
        <v>279.57730101171614</v>
      </c>
      <c r="BJ147" s="120">
        <v>290.79680503438453</v>
      </c>
      <c r="BK147" s="120">
        <v>301.0828993460479</v>
      </c>
      <c r="BL147" s="120">
        <v>297.50367331513831</v>
      </c>
      <c r="BM147" s="120">
        <v>366.49405009902438</v>
      </c>
      <c r="BN147" s="120">
        <v>408.74562612601727</v>
      </c>
      <c r="BO147" s="120">
        <v>426.91015406545262</v>
      </c>
      <c r="BP147" s="120">
        <v>444.24756108683437</v>
      </c>
      <c r="BQ147" s="120">
        <v>444.08745142355463</v>
      </c>
      <c r="BR147" s="120">
        <v>449.35718133300401</v>
      </c>
      <c r="BS147" s="120">
        <v>457.59037373560955</v>
      </c>
      <c r="BT147" s="120">
        <v>463.30354212525759</v>
      </c>
      <c r="BU147" s="120">
        <v>460.06556924156672</v>
      </c>
      <c r="BX147" s="221">
        <f t="shared" si="259"/>
        <v>139</v>
      </c>
    </row>
    <row r="148" spans="1:76" hidden="1" outlineLevel="2">
      <c r="A148" s="180"/>
      <c r="B148" s="92" t="s">
        <v>161</v>
      </c>
      <c r="C148" s="119" t="str">
        <f t="shared" ref="C148:P148" si="263">IFERROR(C71/C147,"NM")</f>
        <v>NM</v>
      </c>
      <c r="D148" s="119" t="str">
        <f t="shared" si="263"/>
        <v>NM</v>
      </c>
      <c r="E148" s="119" t="str">
        <f t="shared" si="263"/>
        <v>NM</v>
      </c>
      <c r="F148" s="119" t="str">
        <f t="shared" si="263"/>
        <v>NM</v>
      </c>
      <c r="G148" s="119" t="str">
        <f t="shared" si="263"/>
        <v>NM</v>
      </c>
      <c r="H148" s="119">
        <f t="shared" si="263"/>
        <v>0</v>
      </c>
      <c r="I148" s="119">
        <f t="shared" si="263"/>
        <v>0</v>
      </c>
      <c r="J148" s="119">
        <f t="shared" si="263"/>
        <v>1.17869766568205E-2</v>
      </c>
      <c r="K148" s="119">
        <f t="shared" si="263"/>
        <v>1.2909228069653667E-2</v>
      </c>
      <c r="L148" s="119">
        <f t="shared" si="263"/>
        <v>4.7081690495222837E-2</v>
      </c>
      <c r="M148" s="119">
        <f t="shared" si="263"/>
        <v>9.2785016309668747E-2</v>
      </c>
      <c r="N148" s="119">
        <f t="shared" si="263"/>
        <v>8.5199397355121803E-2</v>
      </c>
      <c r="O148" s="119">
        <f t="shared" si="263"/>
        <v>6.7285742180910033E-2</v>
      </c>
      <c r="P148" s="119">
        <f t="shared" si="263"/>
        <v>6.337701127199552E-2</v>
      </c>
      <c r="Q148" s="3"/>
      <c r="R148" s="202"/>
      <c r="S148" s="202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  <c r="AD148" s="202"/>
      <c r="AE148" s="202"/>
      <c r="AF148" s="202"/>
      <c r="AG148" s="202"/>
      <c r="AH148" s="202"/>
      <c r="AI148" s="202"/>
      <c r="AJ148" s="202"/>
      <c r="AK148" s="202"/>
      <c r="AL148" s="47">
        <f t="shared" ref="AL148:BU148" si="264">AL71/AL147</f>
        <v>0</v>
      </c>
      <c r="AM148" s="47">
        <f t="shared" si="264"/>
        <v>0</v>
      </c>
      <c r="AN148" s="47">
        <f t="shared" si="264"/>
        <v>0</v>
      </c>
      <c r="AO148" s="47">
        <f t="shared" si="264"/>
        <v>0</v>
      </c>
      <c r="AP148" s="47">
        <f t="shared" si="264"/>
        <v>0</v>
      </c>
      <c r="AQ148" s="47">
        <f t="shared" si="264"/>
        <v>0</v>
      </c>
      <c r="AR148" s="47">
        <f t="shared" si="264"/>
        <v>0</v>
      </c>
      <c r="AS148" s="47">
        <f t="shared" si="264"/>
        <v>0</v>
      </c>
      <c r="AT148" s="47">
        <f t="shared" si="264"/>
        <v>0</v>
      </c>
      <c r="AU148" s="47">
        <f t="shared" si="264"/>
        <v>0</v>
      </c>
      <c r="AV148" s="47">
        <f t="shared" si="264"/>
        <v>0</v>
      </c>
      <c r="AW148" s="47">
        <f t="shared" si="264"/>
        <v>0</v>
      </c>
      <c r="AX148" s="47">
        <f t="shared" si="264"/>
        <v>0</v>
      </c>
      <c r="AY148" s="47">
        <f t="shared" si="264"/>
        <v>0</v>
      </c>
      <c r="AZ148" s="47">
        <f t="shared" si="264"/>
        <v>0</v>
      </c>
      <c r="BA148" s="47">
        <f t="shared" si="264"/>
        <v>0</v>
      </c>
      <c r="BB148" s="47">
        <f t="shared" si="264"/>
        <v>2.3935461501010839E-2</v>
      </c>
      <c r="BC148" s="47">
        <f t="shared" si="264"/>
        <v>4.103491064758532E-2</v>
      </c>
      <c r="BD148" s="47">
        <f t="shared" si="264"/>
        <v>6.6363660894230778E-2</v>
      </c>
      <c r="BE148" s="47">
        <f t="shared" si="264"/>
        <v>7.1897588126159553E-2</v>
      </c>
      <c r="BF148" s="47">
        <f t="shared" si="264"/>
        <v>8.549596399685E-2</v>
      </c>
      <c r="BG148" s="47">
        <f t="shared" si="264"/>
        <v>9.1812425123866226E-2</v>
      </c>
      <c r="BH148" s="47">
        <f t="shared" si="264"/>
        <v>9.8596672534925184E-2</v>
      </c>
      <c r="BI148" s="47">
        <f t="shared" si="264"/>
        <v>9.2997535586447438E-2</v>
      </c>
      <c r="BJ148" s="47">
        <f t="shared" si="264"/>
        <v>8.940951052376829E-2</v>
      </c>
      <c r="BK148" s="47">
        <f t="shared" si="264"/>
        <v>8.6354954255030772E-2</v>
      </c>
      <c r="BL148" s="47">
        <f t="shared" si="264"/>
        <v>9.075518194156737E-2</v>
      </c>
      <c r="BM148" s="47">
        <f t="shared" si="264"/>
        <v>7.6399603192560908E-2</v>
      </c>
      <c r="BN148" s="47">
        <f t="shared" si="264"/>
        <v>7.0948771427487345E-2</v>
      </c>
      <c r="BO148" s="47">
        <f t="shared" si="264"/>
        <v>6.7929984152013886E-2</v>
      </c>
      <c r="BP148" s="47">
        <f t="shared" si="264"/>
        <v>6.5278917748141665E-2</v>
      </c>
      <c r="BQ148" s="47">
        <f t="shared" si="264"/>
        <v>6.530245317006457E-2</v>
      </c>
      <c r="BR148" s="47">
        <f t="shared" si="264"/>
        <v>6.4536634118035924E-2</v>
      </c>
      <c r="BS148" s="47">
        <f t="shared" si="264"/>
        <v>6.3375459066706386E-2</v>
      </c>
      <c r="BT148" s="47">
        <f t="shared" si="264"/>
        <v>6.2593952696695834E-2</v>
      </c>
      <c r="BU148" s="47">
        <f t="shared" si="264"/>
        <v>6.3034493208886419E-2</v>
      </c>
      <c r="BX148" s="221">
        <f t="shared" si="259"/>
        <v>140</v>
      </c>
    </row>
    <row r="149" spans="1:76" hidden="1" outlineLevel="2">
      <c r="A149" s="180"/>
      <c r="B149" s="9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16"/>
      <c r="N149" s="16"/>
      <c r="O149" s="16"/>
      <c r="P149" s="16"/>
      <c r="Q149" s="3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X149" s="221">
        <f t="shared" si="259"/>
        <v>141</v>
      </c>
    </row>
    <row r="150" spans="1:76" hidden="1" outlineLevel="2" collapsed="1">
      <c r="A150" s="181"/>
      <c r="B150" s="117" t="s">
        <v>160</v>
      </c>
      <c r="C150" s="115">
        <v>1670.2499999999998</v>
      </c>
      <c r="D150" s="115">
        <v>1792.7416666666663</v>
      </c>
      <c r="E150" s="115">
        <v>1035.0666666666666</v>
      </c>
      <c r="F150" s="115">
        <v>1494.1250000000002</v>
      </c>
      <c r="G150" s="115">
        <v>1826.3416666666665</v>
      </c>
      <c r="H150" s="115">
        <v>1854.0666666666668</v>
      </c>
      <c r="I150" s="115">
        <v>1686.5791666666667</v>
      </c>
      <c r="J150" s="115">
        <v>1790.8291666666664</v>
      </c>
      <c r="K150" s="115">
        <v>937.77500000000009</v>
      </c>
      <c r="L150" s="115">
        <v>484.89166666666665</v>
      </c>
      <c r="M150" s="115">
        <v>851.9</v>
      </c>
      <c r="N150" s="115">
        <v>1053.6538461538462</v>
      </c>
      <c r="O150" s="115">
        <v>1132.5</v>
      </c>
      <c r="P150" s="115">
        <v>1150</v>
      </c>
      <c r="Q150" s="116"/>
      <c r="R150" s="115">
        <v>1628.1333333333332</v>
      </c>
      <c r="S150" s="115">
        <v>1654.3</v>
      </c>
      <c r="T150" s="115">
        <v>1692.2166666666667</v>
      </c>
      <c r="U150" s="115">
        <v>1706.35</v>
      </c>
      <c r="V150" s="115">
        <v>1690.9666666666667</v>
      </c>
      <c r="W150" s="115">
        <v>1776.6833333333332</v>
      </c>
      <c r="X150" s="115">
        <v>1887.7833333333333</v>
      </c>
      <c r="Y150" s="115">
        <v>1815.5333333333335</v>
      </c>
      <c r="Z150" s="115">
        <v>1265.0166666666667</v>
      </c>
      <c r="AA150" s="115">
        <v>881.46666666666658</v>
      </c>
      <c r="AB150" s="115">
        <v>933.48333333333335</v>
      </c>
      <c r="AC150" s="115">
        <v>1060.3</v>
      </c>
      <c r="AD150" s="115">
        <v>1283.0500000000002</v>
      </c>
      <c r="AE150" s="115">
        <v>1454.9333333333334</v>
      </c>
      <c r="AF150" s="115">
        <v>1590.5166666666669</v>
      </c>
      <c r="AG150" s="115">
        <v>1648</v>
      </c>
      <c r="AH150" s="115">
        <v>1674.3333333333333</v>
      </c>
      <c r="AI150" s="115">
        <v>1780.8999999999999</v>
      </c>
      <c r="AJ150" s="115">
        <v>1894.1499999999996</v>
      </c>
      <c r="AK150" s="115">
        <v>1955.9833333333333</v>
      </c>
      <c r="AL150" s="115">
        <v>1930.3</v>
      </c>
      <c r="AM150" s="115">
        <v>1903.35</v>
      </c>
      <c r="AN150" s="115">
        <v>1838.3166666666666</v>
      </c>
      <c r="AO150" s="115">
        <v>1744.2999999999997</v>
      </c>
      <c r="AP150" s="115">
        <v>1689.0833333333335</v>
      </c>
      <c r="AQ150" s="115">
        <v>1687.6666666666667</v>
      </c>
      <c r="AR150" s="115">
        <v>1688.6833333333332</v>
      </c>
      <c r="AS150" s="115">
        <v>1680.8833333333332</v>
      </c>
      <c r="AT150" s="115">
        <v>1707.4666666666665</v>
      </c>
      <c r="AU150" s="115">
        <v>1782.15</v>
      </c>
      <c r="AV150" s="115">
        <v>1829.8999999999999</v>
      </c>
      <c r="AW150" s="115">
        <v>1843.8</v>
      </c>
      <c r="AX150" s="115">
        <v>1323.7666666666669</v>
      </c>
      <c r="AY150" s="115">
        <v>874.48333333333335</v>
      </c>
      <c r="AZ150" s="115">
        <v>829.58333333333337</v>
      </c>
      <c r="BA150" s="115">
        <v>723.26666666666688</v>
      </c>
      <c r="BB150" s="115">
        <v>526.04999999999995</v>
      </c>
      <c r="BC150" s="115">
        <v>393.73333333333335</v>
      </c>
      <c r="BD150" s="115">
        <v>457.90000000000003</v>
      </c>
      <c r="BE150" s="115">
        <v>561.88333333333321</v>
      </c>
      <c r="BF150" s="115">
        <v>715.55000000000018</v>
      </c>
      <c r="BG150" s="115">
        <v>867.88333333333321</v>
      </c>
      <c r="BH150" s="115">
        <v>924.49999999999989</v>
      </c>
      <c r="BI150" s="115">
        <v>899.66666666666663</v>
      </c>
      <c r="BJ150" s="115">
        <v>984.61538461538464</v>
      </c>
      <c r="BK150" s="115">
        <v>1045</v>
      </c>
      <c r="BL150" s="115">
        <v>1080</v>
      </c>
      <c r="BM150" s="115">
        <v>1105</v>
      </c>
      <c r="BN150" s="115">
        <v>1115</v>
      </c>
      <c r="BO150" s="115">
        <v>1125</v>
      </c>
      <c r="BP150" s="115">
        <v>1140</v>
      </c>
      <c r="BQ150" s="115">
        <v>1150</v>
      </c>
      <c r="BR150" s="115">
        <v>1150</v>
      </c>
      <c r="BS150" s="115">
        <v>1150</v>
      </c>
      <c r="BT150" s="115">
        <v>1150</v>
      </c>
      <c r="BU150" s="115">
        <v>1150</v>
      </c>
      <c r="BX150" s="221">
        <f t="shared" si="259"/>
        <v>142</v>
      </c>
    </row>
    <row r="151" spans="1:76" hidden="1" outlineLevel="2">
      <c r="A151" s="181"/>
      <c r="B151" s="93" t="s">
        <v>159</v>
      </c>
      <c r="C151" s="13"/>
      <c r="D151" s="13">
        <f t="shared" ref="D151:P151" si="265">D150/C150-1</f>
        <v>7.3337324751783672E-2</v>
      </c>
      <c r="E151" s="13">
        <f t="shared" si="265"/>
        <v>-0.42263479121829217</v>
      </c>
      <c r="F151" s="13">
        <f t="shared" si="265"/>
        <v>0.44350605436042789</v>
      </c>
      <c r="G151" s="13">
        <f t="shared" si="265"/>
        <v>0.22234864329735871</v>
      </c>
      <c r="H151" s="13">
        <f t="shared" si="265"/>
        <v>1.5180620639621223E-2</v>
      </c>
      <c r="I151" s="13">
        <f t="shared" si="265"/>
        <v>-9.0335209089928536E-2</v>
      </c>
      <c r="J151" s="13">
        <f t="shared" si="265"/>
        <v>6.1811507019879919E-2</v>
      </c>
      <c r="K151" s="13">
        <f t="shared" si="265"/>
        <v>-0.47634591983694696</v>
      </c>
      <c r="L151" s="13">
        <f t="shared" si="265"/>
        <v>-0.4829338949463714</v>
      </c>
      <c r="M151" s="13">
        <f t="shared" si="265"/>
        <v>0.75688727722687199</v>
      </c>
      <c r="N151" s="13">
        <f t="shared" si="265"/>
        <v>0.23682808563663138</v>
      </c>
      <c r="O151" s="13">
        <f t="shared" si="265"/>
        <v>7.4831173571819676E-2</v>
      </c>
      <c r="P151" s="13">
        <f t="shared" si="265"/>
        <v>1.5452538631346657E-2</v>
      </c>
      <c r="Q151" s="3"/>
      <c r="R151" s="13"/>
      <c r="S151" s="13">
        <f t="shared" ref="S151:AX151" si="266">S150/R150-1</f>
        <v>1.6071574809597866E-2</v>
      </c>
      <c r="T151" s="13">
        <f t="shared" si="266"/>
        <v>2.2920066896371161E-2</v>
      </c>
      <c r="U151" s="13">
        <f t="shared" si="266"/>
        <v>8.3519643859630843E-3</v>
      </c>
      <c r="V151" s="13">
        <f t="shared" si="266"/>
        <v>-9.0153446440256468E-3</v>
      </c>
      <c r="W151" s="13">
        <f t="shared" si="266"/>
        <v>5.0690926294624239E-2</v>
      </c>
      <c r="X151" s="13">
        <f t="shared" si="266"/>
        <v>6.2532246414198855E-2</v>
      </c>
      <c r="Y151" s="13">
        <f t="shared" si="266"/>
        <v>-3.8272400610945723E-2</v>
      </c>
      <c r="Z151" s="13">
        <f t="shared" si="266"/>
        <v>-0.30322586567767051</v>
      </c>
      <c r="AA151" s="13">
        <f t="shared" si="266"/>
        <v>-0.30319758632956095</v>
      </c>
      <c r="AB151" s="13">
        <f t="shared" si="266"/>
        <v>5.9011495991529328E-2</v>
      </c>
      <c r="AC151" s="13">
        <f t="shared" si="266"/>
        <v>0.13585316645539103</v>
      </c>
      <c r="AD151" s="13">
        <f t="shared" si="266"/>
        <v>0.2100820522493636</v>
      </c>
      <c r="AE151" s="13">
        <f t="shared" si="266"/>
        <v>0.13396464154423682</v>
      </c>
      <c r="AF151" s="13">
        <f t="shared" si="266"/>
        <v>9.3188691348973673E-2</v>
      </c>
      <c r="AG151" s="13">
        <f t="shared" si="266"/>
        <v>3.6141295805346196E-2</v>
      </c>
      <c r="AH151" s="13">
        <f t="shared" si="266"/>
        <v>1.5978964401294427E-2</v>
      </c>
      <c r="AI151" s="13">
        <f t="shared" si="266"/>
        <v>6.3647222775233825E-2</v>
      </c>
      <c r="AJ151" s="13">
        <f t="shared" si="266"/>
        <v>6.359144252905824E-2</v>
      </c>
      <c r="AK151" s="13">
        <f t="shared" si="266"/>
        <v>3.2644369946062124E-2</v>
      </c>
      <c r="AL151" s="13">
        <f t="shared" si="266"/>
        <v>-1.3130650397498278E-2</v>
      </c>
      <c r="AM151" s="13">
        <f t="shared" si="266"/>
        <v>-1.3961560379215698E-2</v>
      </c>
      <c r="AN151" s="13">
        <f t="shared" si="266"/>
        <v>-3.4167826901690845E-2</v>
      </c>
      <c r="AO151" s="13">
        <f t="shared" si="266"/>
        <v>-5.1142802745265281E-2</v>
      </c>
      <c r="AP151" s="13">
        <f t="shared" si="266"/>
        <v>-3.1655487397045379E-2</v>
      </c>
      <c r="AQ151" s="13">
        <f t="shared" si="266"/>
        <v>-8.3871922640488261E-4</v>
      </c>
      <c r="AR151" s="13">
        <f t="shared" si="266"/>
        <v>6.0240963855417995E-4</v>
      </c>
      <c r="AS151" s="13">
        <f t="shared" si="266"/>
        <v>-4.6189832315116641E-3</v>
      </c>
      <c r="AT151" s="13">
        <f t="shared" si="266"/>
        <v>1.5815097220707397E-2</v>
      </c>
      <c r="AU151" s="13">
        <f t="shared" si="266"/>
        <v>4.3739262845541305E-2</v>
      </c>
      <c r="AV151" s="13">
        <f t="shared" si="266"/>
        <v>2.6793479785651941E-2</v>
      </c>
      <c r="AW151" s="13">
        <f t="shared" si="266"/>
        <v>7.5960434996449333E-3</v>
      </c>
      <c r="AX151" s="13">
        <f t="shared" si="266"/>
        <v>-0.28204432874136731</v>
      </c>
      <c r="AY151" s="13">
        <f t="shared" ref="AY151:BU151" si="267">AY150/AX150-1</f>
        <v>-0.33939767834210466</v>
      </c>
      <c r="AZ151" s="13">
        <f t="shared" si="267"/>
        <v>-5.1344603480150131E-2</v>
      </c>
      <c r="BA151" s="13">
        <f t="shared" si="267"/>
        <v>-0.12815670517327959</v>
      </c>
      <c r="BB151" s="13">
        <f t="shared" si="267"/>
        <v>-0.27267490091252677</v>
      </c>
      <c r="BC151" s="13">
        <f t="shared" si="267"/>
        <v>-0.25152868865443712</v>
      </c>
      <c r="BD151" s="13">
        <f t="shared" si="267"/>
        <v>0.16296986115814427</v>
      </c>
      <c r="BE151" s="13">
        <f t="shared" si="267"/>
        <v>0.22708742811385285</v>
      </c>
      <c r="BF151" s="13">
        <f t="shared" si="267"/>
        <v>0.27348500578411938</v>
      </c>
      <c r="BG151" s="13">
        <f t="shared" si="267"/>
        <v>0.21288985162928231</v>
      </c>
      <c r="BH151" s="13">
        <f t="shared" si="267"/>
        <v>6.523534269199005E-2</v>
      </c>
      <c r="BI151" s="13">
        <f t="shared" si="267"/>
        <v>-2.6861366504416728E-2</v>
      </c>
      <c r="BJ151" s="13">
        <f t="shared" si="267"/>
        <v>9.4422435659931025E-2</v>
      </c>
      <c r="BK151" s="13">
        <f t="shared" si="267"/>
        <v>6.1328124999999956E-2</v>
      </c>
      <c r="BL151" s="13">
        <f t="shared" si="267"/>
        <v>3.3492822966507241E-2</v>
      </c>
      <c r="BM151" s="13">
        <f t="shared" si="267"/>
        <v>2.314814814814814E-2</v>
      </c>
      <c r="BN151" s="13">
        <f t="shared" si="267"/>
        <v>9.0497737556560764E-3</v>
      </c>
      <c r="BO151" s="13">
        <f t="shared" si="267"/>
        <v>8.9686098654708779E-3</v>
      </c>
      <c r="BP151" s="13">
        <f t="shared" si="267"/>
        <v>1.3333333333333419E-2</v>
      </c>
      <c r="BQ151" s="13">
        <f t="shared" si="267"/>
        <v>8.7719298245614308E-3</v>
      </c>
      <c r="BR151" s="13">
        <f t="shared" si="267"/>
        <v>0</v>
      </c>
      <c r="BS151" s="13">
        <f t="shared" si="267"/>
        <v>0</v>
      </c>
      <c r="BT151" s="13">
        <f t="shared" si="267"/>
        <v>0</v>
      </c>
      <c r="BU151" s="13">
        <f t="shared" si="267"/>
        <v>0</v>
      </c>
      <c r="BX151" s="221">
        <f t="shared" si="259"/>
        <v>143</v>
      </c>
    </row>
    <row r="152" spans="1:76" hidden="1" outlineLevel="2">
      <c r="A152" s="181"/>
      <c r="B152" s="93" t="s">
        <v>6</v>
      </c>
      <c r="C152" s="61">
        <f t="shared" ref="C152:P152" si="268">C13/C150*1000</f>
        <v>0</v>
      </c>
      <c r="D152" s="61">
        <f t="shared" si="268"/>
        <v>0</v>
      </c>
      <c r="E152" s="61">
        <f t="shared" si="268"/>
        <v>0</v>
      </c>
      <c r="F152" s="61">
        <f t="shared" si="268"/>
        <v>0</v>
      </c>
      <c r="G152" s="61">
        <f t="shared" si="268"/>
        <v>0</v>
      </c>
      <c r="H152" s="61">
        <f t="shared" si="268"/>
        <v>0</v>
      </c>
      <c r="I152" s="61">
        <f t="shared" si="268"/>
        <v>0</v>
      </c>
      <c r="J152" s="61">
        <f t="shared" si="268"/>
        <v>221.03392516036573</v>
      </c>
      <c r="K152" s="61">
        <f t="shared" si="268"/>
        <v>390.45253521367061</v>
      </c>
      <c r="L152" s="61">
        <f t="shared" si="268"/>
        <v>867.35040932166999</v>
      </c>
      <c r="M152" s="61">
        <f t="shared" si="268"/>
        <v>1810.1666862307784</v>
      </c>
      <c r="N152" s="61">
        <f t="shared" si="268"/>
        <v>2135.4861624201494</v>
      </c>
      <c r="O152" s="61">
        <f t="shared" si="268"/>
        <v>2259.146763896355</v>
      </c>
      <c r="P152" s="61">
        <f t="shared" si="268"/>
        <v>2230.3881768665592</v>
      </c>
      <c r="Q152" s="3"/>
      <c r="R152" s="61">
        <f t="shared" ref="R152:AW152" si="269">R13/R150*1000</f>
        <v>0</v>
      </c>
      <c r="S152" s="61">
        <f t="shared" si="269"/>
        <v>0</v>
      </c>
      <c r="T152" s="61">
        <f t="shared" si="269"/>
        <v>0</v>
      </c>
      <c r="U152" s="61">
        <f t="shared" si="269"/>
        <v>0</v>
      </c>
      <c r="V152" s="61">
        <f t="shared" si="269"/>
        <v>0</v>
      </c>
      <c r="W152" s="61">
        <f t="shared" si="269"/>
        <v>0</v>
      </c>
      <c r="X152" s="61">
        <f t="shared" si="269"/>
        <v>0</v>
      </c>
      <c r="Y152" s="61">
        <f t="shared" si="269"/>
        <v>0</v>
      </c>
      <c r="Z152" s="61">
        <f t="shared" si="269"/>
        <v>0</v>
      </c>
      <c r="AA152" s="61">
        <f t="shared" si="269"/>
        <v>0</v>
      </c>
      <c r="AB152" s="61">
        <f t="shared" si="269"/>
        <v>0</v>
      </c>
      <c r="AC152" s="61">
        <f t="shared" si="269"/>
        <v>0</v>
      </c>
      <c r="AD152" s="61">
        <f t="shared" si="269"/>
        <v>0</v>
      </c>
      <c r="AE152" s="61">
        <f t="shared" si="269"/>
        <v>0</v>
      </c>
      <c r="AF152" s="61">
        <f t="shared" si="269"/>
        <v>0</v>
      </c>
      <c r="AG152" s="61">
        <f t="shared" si="269"/>
        <v>0</v>
      </c>
      <c r="AH152" s="61">
        <f t="shared" si="269"/>
        <v>0</v>
      </c>
      <c r="AI152" s="61">
        <f t="shared" si="269"/>
        <v>0</v>
      </c>
      <c r="AJ152" s="61">
        <f t="shared" si="269"/>
        <v>0</v>
      </c>
      <c r="AK152" s="61">
        <f t="shared" si="269"/>
        <v>0</v>
      </c>
      <c r="AL152" s="61">
        <f t="shared" si="269"/>
        <v>0</v>
      </c>
      <c r="AM152" s="61">
        <f t="shared" si="269"/>
        <v>0</v>
      </c>
      <c r="AN152" s="61">
        <f t="shared" si="269"/>
        <v>0</v>
      </c>
      <c r="AO152" s="61">
        <f t="shared" si="269"/>
        <v>0</v>
      </c>
      <c r="AP152" s="61">
        <f t="shared" si="269"/>
        <v>0</v>
      </c>
      <c r="AQ152" s="61">
        <f t="shared" si="269"/>
        <v>0</v>
      </c>
      <c r="AR152" s="61">
        <f t="shared" si="269"/>
        <v>0</v>
      </c>
      <c r="AS152" s="61">
        <f t="shared" si="269"/>
        <v>0</v>
      </c>
      <c r="AT152" s="61">
        <f t="shared" si="269"/>
        <v>0</v>
      </c>
      <c r="AU152" s="61">
        <f t="shared" si="269"/>
        <v>0</v>
      </c>
      <c r="AV152" s="61">
        <f t="shared" si="269"/>
        <v>0</v>
      </c>
      <c r="AW152" s="61">
        <f t="shared" si="269"/>
        <v>0</v>
      </c>
      <c r="AX152" s="61">
        <f t="shared" ref="AX152:BU152" si="270">AX13/AX150*1000</f>
        <v>0</v>
      </c>
      <c r="AY152" s="61">
        <f t="shared" si="270"/>
        <v>0</v>
      </c>
      <c r="AZ152" s="61">
        <f t="shared" si="270"/>
        <v>0</v>
      </c>
      <c r="BA152" s="61">
        <f t="shared" si="270"/>
        <v>0</v>
      </c>
      <c r="BB152" s="61">
        <f t="shared" si="270"/>
        <v>116.33126698982986</v>
      </c>
      <c r="BC152" s="61">
        <f t="shared" si="270"/>
        <v>232.61777425499491</v>
      </c>
      <c r="BD152" s="61">
        <f t="shared" si="270"/>
        <v>254.97390458615422</v>
      </c>
      <c r="BE152" s="61">
        <f t="shared" si="270"/>
        <v>268.797793136179</v>
      </c>
      <c r="BF152" s="61">
        <f t="shared" si="270"/>
        <v>335.62015233037511</v>
      </c>
      <c r="BG152" s="61">
        <f t="shared" si="270"/>
        <v>372.32654158585069</v>
      </c>
      <c r="BH152" s="61">
        <f t="shared" si="270"/>
        <v>516.28123309897239</v>
      </c>
      <c r="BI152" s="61">
        <f t="shared" si="270"/>
        <v>557.41756206002219</v>
      </c>
      <c r="BJ152" s="61">
        <f t="shared" si="270"/>
        <v>508.11571484375008</v>
      </c>
      <c r="BK152" s="61">
        <f t="shared" si="270"/>
        <v>527.57284210526313</v>
      </c>
      <c r="BL152" s="61">
        <f t="shared" si="270"/>
        <v>542.92185326923084</v>
      </c>
      <c r="BM152" s="61">
        <f t="shared" si="270"/>
        <v>553.93252209189006</v>
      </c>
      <c r="BN152" s="61">
        <f t="shared" si="270"/>
        <v>572.24838176440164</v>
      </c>
      <c r="BO152" s="61">
        <f t="shared" si="270"/>
        <v>568.05827513205145</v>
      </c>
      <c r="BP152" s="61">
        <f t="shared" si="270"/>
        <v>561.51281059001781</v>
      </c>
      <c r="BQ152" s="61">
        <f t="shared" si="270"/>
        <v>557.5970442166398</v>
      </c>
      <c r="BR152" s="61">
        <f t="shared" si="270"/>
        <v>557.5970442166398</v>
      </c>
      <c r="BS152" s="61">
        <f t="shared" si="270"/>
        <v>557.5970442166398</v>
      </c>
      <c r="BT152" s="61">
        <f t="shared" si="270"/>
        <v>557.5970442166398</v>
      </c>
      <c r="BU152" s="61">
        <f t="shared" si="270"/>
        <v>557.5970442166398</v>
      </c>
      <c r="BX152" s="221">
        <f t="shared" si="259"/>
        <v>144</v>
      </c>
    </row>
    <row r="153" spans="1:76" hidden="1" outlineLevel="2">
      <c r="A153" s="181"/>
      <c r="B153" s="93" t="s">
        <v>158</v>
      </c>
      <c r="C153" s="61">
        <f t="shared" ref="C153:P153" si="271">C29/C150*1000</f>
        <v>0</v>
      </c>
      <c r="D153" s="61">
        <f t="shared" si="271"/>
        <v>0</v>
      </c>
      <c r="E153" s="61">
        <f t="shared" si="271"/>
        <v>0</v>
      </c>
      <c r="F153" s="61">
        <f t="shared" si="271"/>
        <v>0</v>
      </c>
      <c r="G153" s="61">
        <f t="shared" si="271"/>
        <v>0</v>
      </c>
      <c r="H153" s="61">
        <f t="shared" si="271"/>
        <v>0</v>
      </c>
      <c r="I153" s="61">
        <f t="shared" si="271"/>
        <v>0</v>
      </c>
      <c r="J153" s="61">
        <f t="shared" si="271"/>
        <v>-5.361776559776235</v>
      </c>
      <c r="K153" s="61">
        <f t="shared" si="271"/>
        <v>-32.665382191033807</v>
      </c>
      <c r="L153" s="61">
        <f t="shared" si="271"/>
        <v>-226.5637877722744</v>
      </c>
      <c r="M153" s="61">
        <f t="shared" si="271"/>
        <v>34.722385256485417</v>
      </c>
      <c r="N153" s="61">
        <f t="shared" si="271"/>
        <v>191.16894469349489</v>
      </c>
      <c r="O153" s="61">
        <f t="shared" si="271"/>
        <v>274.04887396525027</v>
      </c>
      <c r="P153" s="61">
        <f t="shared" si="271"/>
        <v>317.501779583923</v>
      </c>
      <c r="Q153" s="3"/>
      <c r="R153" s="61">
        <f t="shared" ref="R153:AW153" si="272">R29/R150*1000</f>
        <v>0</v>
      </c>
      <c r="S153" s="61">
        <f t="shared" si="272"/>
        <v>0</v>
      </c>
      <c r="T153" s="61">
        <f t="shared" si="272"/>
        <v>0</v>
      </c>
      <c r="U153" s="61">
        <f t="shared" si="272"/>
        <v>0</v>
      </c>
      <c r="V153" s="61">
        <f t="shared" si="272"/>
        <v>0</v>
      </c>
      <c r="W153" s="61">
        <f t="shared" si="272"/>
        <v>0</v>
      </c>
      <c r="X153" s="61">
        <f t="shared" si="272"/>
        <v>0</v>
      </c>
      <c r="Y153" s="61">
        <f t="shared" si="272"/>
        <v>0</v>
      </c>
      <c r="Z153" s="61">
        <f t="shared" si="272"/>
        <v>0</v>
      </c>
      <c r="AA153" s="61">
        <f t="shared" si="272"/>
        <v>0</v>
      </c>
      <c r="AB153" s="61">
        <f t="shared" si="272"/>
        <v>0</v>
      </c>
      <c r="AC153" s="61">
        <f t="shared" si="272"/>
        <v>0</v>
      </c>
      <c r="AD153" s="61">
        <f t="shared" si="272"/>
        <v>0</v>
      </c>
      <c r="AE153" s="61">
        <f t="shared" si="272"/>
        <v>0</v>
      </c>
      <c r="AF153" s="61">
        <f t="shared" si="272"/>
        <v>0</v>
      </c>
      <c r="AG153" s="61">
        <f t="shared" si="272"/>
        <v>0</v>
      </c>
      <c r="AH153" s="61">
        <f t="shared" si="272"/>
        <v>0</v>
      </c>
      <c r="AI153" s="61">
        <f t="shared" si="272"/>
        <v>0</v>
      </c>
      <c r="AJ153" s="61">
        <f t="shared" si="272"/>
        <v>0</v>
      </c>
      <c r="AK153" s="61">
        <f t="shared" si="272"/>
        <v>0</v>
      </c>
      <c r="AL153" s="61">
        <f t="shared" si="272"/>
        <v>0</v>
      </c>
      <c r="AM153" s="61">
        <f t="shared" si="272"/>
        <v>0</v>
      </c>
      <c r="AN153" s="61">
        <f t="shared" si="272"/>
        <v>0</v>
      </c>
      <c r="AO153" s="61">
        <f t="shared" si="272"/>
        <v>0</v>
      </c>
      <c r="AP153" s="61">
        <f t="shared" si="272"/>
        <v>0</v>
      </c>
      <c r="AQ153" s="61">
        <f t="shared" si="272"/>
        <v>0</v>
      </c>
      <c r="AR153" s="61">
        <f t="shared" si="272"/>
        <v>0</v>
      </c>
      <c r="AS153" s="61">
        <f t="shared" si="272"/>
        <v>0</v>
      </c>
      <c r="AT153" s="61">
        <f t="shared" si="272"/>
        <v>0</v>
      </c>
      <c r="AU153" s="61">
        <f t="shared" si="272"/>
        <v>0</v>
      </c>
      <c r="AV153" s="61">
        <f t="shared" si="272"/>
        <v>0</v>
      </c>
      <c r="AW153" s="61">
        <f t="shared" si="272"/>
        <v>0</v>
      </c>
      <c r="AX153" s="61">
        <f t="shared" ref="AX153:BU153" si="273">AX29/AX150*1000</f>
        <v>0</v>
      </c>
      <c r="AY153" s="61">
        <f t="shared" si="273"/>
        <v>0</v>
      </c>
      <c r="AZ153" s="61">
        <f t="shared" si="273"/>
        <v>0</v>
      </c>
      <c r="BA153" s="61">
        <f t="shared" si="273"/>
        <v>0</v>
      </c>
      <c r="BB153" s="61">
        <f t="shared" si="273"/>
        <v>-27.121294216995189</v>
      </c>
      <c r="BC153" s="61">
        <f t="shared" si="273"/>
        <v>-63.814781539450166</v>
      </c>
      <c r="BD153" s="61">
        <f t="shared" si="273"/>
        <v>-92.126510558843847</v>
      </c>
      <c r="BE153" s="61">
        <f t="shared" si="273"/>
        <v>-50.332512680568335</v>
      </c>
      <c r="BF153" s="61">
        <f t="shared" si="273"/>
        <v>-35.601984487457202</v>
      </c>
      <c r="BG153" s="61">
        <f t="shared" si="273"/>
        <v>-7.4134388262631079</v>
      </c>
      <c r="BH153" s="61">
        <f t="shared" si="273"/>
        <v>22.853434288804753</v>
      </c>
      <c r="BI153" s="61">
        <f t="shared" si="273"/>
        <v>44.862171174509086</v>
      </c>
      <c r="BJ153" s="61">
        <f t="shared" si="273"/>
        <v>29.553964263740458</v>
      </c>
      <c r="BK153" s="61">
        <f t="shared" si="273"/>
        <v>48.583465801942836</v>
      </c>
      <c r="BL153" s="61">
        <f t="shared" si="273"/>
        <v>52.235627356930301</v>
      </c>
      <c r="BM153" s="61">
        <f t="shared" si="273"/>
        <v>58.95240420136254</v>
      </c>
      <c r="BN153" s="61">
        <f t="shared" si="273"/>
        <v>65.218629272026178</v>
      </c>
      <c r="BO153" s="61">
        <f t="shared" si="273"/>
        <v>68.284838273524699</v>
      </c>
      <c r="BP153" s="61">
        <f t="shared" si="273"/>
        <v>69.490002690098805</v>
      </c>
      <c r="BQ153" s="61">
        <f t="shared" si="273"/>
        <v>70.958723480790169</v>
      </c>
      <c r="BR153" s="61">
        <f t="shared" si="273"/>
        <v>74.266256893226071</v>
      </c>
      <c r="BS153" s="61">
        <f t="shared" si="273"/>
        <v>78.813815951335755</v>
      </c>
      <c r="BT153" s="61">
        <f t="shared" si="273"/>
        <v>81.198454396005019</v>
      </c>
      <c r="BU153" s="61">
        <f t="shared" si="273"/>
        <v>83.223252343356137</v>
      </c>
      <c r="BX153" s="221">
        <f t="shared" si="259"/>
        <v>145</v>
      </c>
    </row>
    <row r="154" spans="1:76" outlineLevel="1" collapsed="1">
      <c r="A154" s="181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3"/>
      <c r="R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  <c r="AM154" s="87"/>
      <c r="AN154" s="87"/>
      <c r="AO154" s="87"/>
      <c r="AP154" s="87"/>
      <c r="AQ154" s="87"/>
      <c r="AR154" s="87"/>
      <c r="AS154" s="87"/>
      <c r="AT154" s="87"/>
      <c r="AU154" s="87"/>
      <c r="AV154" s="87"/>
      <c r="AW154" s="87"/>
      <c r="AX154" s="87"/>
      <c r="AY154" s="87"/>
      <c r="AZ154" s="87"/>
      <c r="BA154" s="87"/>
      <c r="BB154" s="87"/>
      <c r="BC154" s="87"/>
      <c r="BD154" s="87"/>
      <c r="BE154" s="87"/>
      <c r="BF154" s="87"/>
      <c r="BG154" s="87"/>
      <c r="BH154" s="87"/>
      <c r="BI154" s="87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X154" s="221">
        <f t="shared" si="259"/>
        <v>146</v>
      </c>
    </row>
    <row r="155" spans="1:76">
      <c r="A155" s="181" t="s">
        <v>0</v>
      </c>
      <c r="B155" s="114" t="s">
        <v>157</v>
      </c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3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  <c r="AX155" s="87"/>
      <c r="AY155" s="87"/>
      <c r="AZ155" s="87"/>
      <c r="BA155" s="87"/>
      <c r="BB155" s="87"/>
      <c r="BC155" s="87"/>
      <c r="BD155" s="87"/>
      <c r="BE155" s="87"/>
      <c r="BF155" s="87"/>
      <c r="BG155" s="87"/>
      <c r="BH155" s="87"/>
      <c r="BI155" s="87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X155" s="221">
        <f t="shared" si="259"/>
        <v>147</v>
      </c>
    </row>
    <row r="156" spans="1:76" outlineLevel="1">
      <c r="A156" s="180"/>
      <c r="B156" s="107" t="s">
        <v>138</v>
      </c>
      <c r="C156" s="79">
        <f t="shared" ref="C156:P156" si="274">C$7</f>
        <v>2007</v>
      </c>
      <c r="D156" s="79">
        <f t="shared" si="274"/>
        <v>2008</v>
      </c>
      <c r="E156" s="79">
        <f t="shared" si="274"/>
        <v>2009</v>
      </c>
      <c r="F156" s="79">
        <f t="shared" si="274"/>
        <v>2010</v>
      </c>
      <c r="G156" s="79">
        <f t="shared" si="274"/>
        <v>2011</v>
      </c>
      <c r="H156" s="79">
        <f t="shared" si="274"/>
        <v>2012</v>
      </c>
      <c r="I156" s="79">
        <f t="shared" si="274"/>
        <v>2013</v>
      </c>
      <c r="J156" s="79">
        <f t="shared" si="274"/>
        <v>2014</v>
      </c>
      <c r="K156" s="79">
        <f t="shared" si="274"/>
        <v>2015</v>
      </c>
      <c r="L156" s="79">
        <f t="shared" si="274"/>
        <v>2016</v>
      </c>
      <c r="M156" s="79">
        <f t="shared" si="274"/>
        <v>2017</v>
      </c>
      <c r="N156" s="79" t="str">
        <f t="shared" si="274"/>
        <v>2018E</v>
      </c>
      <c r="O156" s="79" t="str">
        <f t="shared" si="274"/>
        <v>2019E</v>
      </c>
      <c r="P156" s="79" t="str">
        <f t="shared" si="274"/>
        <v>2020E</v>
      </c>
      <c r="Q156" s="3"/>
      <c r="R156" s="79" t="str">
        <f t="shared" ref="R156:AW156" si="275">R$7</f>
        <v>1Q07</v>
      </c>
      <c r="S156" s="79" t="str">
        <f t="shared" si="275"/>
        <v>2Q07</v>
      </c>
      <c r="T156" s="79" t="str">
        <f t="shared" si="275"/>
        <v>3Q07</v>
      </c>
      <c r="U156" s="79" t="str">
        <f t="shared" si="275"/>
        <v>4Q07</v>
      </c>
      <c r="V156" s="79" t="str">
        <f t="shared" si="275"/>
        <v>1Q08</v>
      </c>
      <c r="W156" s="79" t="str">
        <f t="shared" si="275"/>
        <v>2Q08</v>
      </c>
      <c r="X156" s="79" t="str">
        <f t="shared" si="275"/>
        <v>3Q08</v>
      </c>
      <c r="Y156" s="79" t="str">
        <f t="shared" si="275"/>
        <v>4Q08</v>
      </c>
      <c r="Z156" s="79" t="str">
        <f t="shared" si="275"/>
        <v>1Q09</v>
      </c>
      <c r="AA156" s="79" t="str">
        <f t="shared" si="275"/>
        <v>2Q09</v>
      </c>
      <c r="AB156" s="79" t="str">
        <f t="shared" si="275"/>
        <v>3Q09</v>
      </c>
      <c r="AC156" s="79" t="str">
        <f t="shared" si="275"/>
        <v>4Q09</v>
      </c>
      <c r="AD156" s="79" t="str">
        <f t="shared" si="275"/>
        <v>1Q10</v>
      </c>
      <c r="AE156" s="79" t="str">
        <f t="shared" si="275"/>
        <v>2Q10</v>
      </c>
      <c r="AF156" s="79" t="str">
        <f t="shared" si="275"/>
        <v>3Q10</v>
      </c>
      <c r="AG156" s="79" t="str">
        <f t="shared" si="275"/>
        <v>4Q10</v>
      </c>
      <c r="AH156" s="79" t="str">
        <f t="shared" si="275"/>
        <v>1Q11</v>
      </c>
      <c r="AI156" s="79" t="str">
        <f t="shared" si="275"/>
        <v>2Q11</v>
      </c>
      <c r="AJ156" s="79" t="str">
        <f t="shared" si="275"/>
        <v>3Q11</v>
      </c>
      <c r="AK156" s="79" t="str">
        <f t="shared" si="275"/>
        <v>4Q11</v>
      </c>
      <c r="AL156" s="79" t="str">
        <f t="shared" si="275"/>
        <v>1Q12</v>
      </c>
      <c r="AM156" s="79" t="str">
        <f t="shared" si="275"/>
        <v>2Q12</v>
      </c>
      <c r="AN156" s="79" t="str">
        <f t="shared" si="275"/>
        <v>3Q12</v>
      </c>
      <c r="AO156" s="79" t="str">
        <f t="shared" si="275"/>
        <v>4Q12</v>
      </c>
      <c r="AP156" s="79" t="str">
        <f t="shared" si="275"/>
        <v>1Q13</v>
      </c>
      <c r="AQ156" s="79" t="str">
        <f t="shared" si="275"/>
        <v>2Q13</v>
      </c>
      <c r="AR156" s="79" t="str">
        <f t="shared" si="275"/>
        <v>3Q13</v>
      </c>
      <c r="AS156" s="79" t="str">
        <f t="shared" si="275"/>
        <v>4Q13</v>
      </c>
      <c r="AT156" s="79" t="str">
        <f t="shared" si="275"/>
        <v>1Q14</v>
      </c>
      <c r="AU156" s="79" t="str">
        <f t="shared" si="275"/>
        <v>2Q14</v>
      </c>
      <c r="AV156" s="79" t="str">
        <f t="shared" si="275"/>
        <v>3Q14</v>
      </c>
      <c r="AW156" s="79" t="str">
        <f t="shared" si="275"/>
        <v>4Q14</v>
      </c>
      <c r="AX156" s="79" t="str">
        <f t="shared" ref="AX156:BU156" si="276">AX$7</f>
        <v>1Q15</v>
      </c>
      <c r="AY156" s="79" t="str">
        <f t="shared" si="276"/>
        <v>2Q15</v>
      </c>
      <c r="AZ156" s="79" t="str">
        <f t="shared" si="276"/>
        <v>3Q15</v>
      </c>
      <c r="BA156" s="79" t="str">
        <f t="shared" si="276"/>
        <v>4Q15</v>
      </c>
      <c r="BB156" s="79" t="str">
        <f t="shared" si="276"/>
        <v>1Q16</v>
      </c>
      <c r="BC156" s="79" t="str">
        <f t="shared" si="276"/>
        <v>2Q16</v>
      </c>
      <c r="BD156" s="79" t="str">
        <f t="shared" si="276"/>
        <v>3Q16</v>
      </c>
      <c r="BE156" s="79" t="str">
        <f t="shared" si="276"/>
        <v>4Q16</v>
      </c>
      <c r="BF156" s="79" t="str">
        <f t="shared" si="276"/>
        <v>1Q17</v>
      </c>
      <c r="BG156" s="79" t="str">
        <f t="shared" si="276"/>
        <v>2Q17</v>
      </c>
      <c r="BH156" s="79" t="str">
        <f t="shared" si="276"/>
        <v>3Q17</v>
      </c>
      <c r="BI156" s="79" t="str">
        <f t="shared" si="276"/>
        <v>4Q17</v>
      </c>
      <c r="BJ156" s="79" t="str">
        <f t="shared" si="276"/>
        <v>1Q18E</v>
      </c>
      <c r="BK156" s="79" t="str">
        <f t="shared" si="276"/>
        <v>2Q18E</v>
      </c>
      <c r="BL156" s="79" t="str">
        <f t="shared" si="276"/>
        <v>3Q18E</v>
      </c>
      <c r="BM156" s="79" t="str">
        <f t="shared" si="276"/>
        <v>4Q18E</v>
      </c>
      <c r="BN156" s="79" t="str">
        <f t="shared" si="276"/>
        <v>1Q19E</v>
      </c>
      <c r="BO156" s="79" t="str">
        <f t="shared" si="276"/>
        <v>2Q19E</v>
      </c>
      <c r="BP156" s="79" t="str">
        <f t="shared" si="276"/>
        <v>3Q19E</v>
      </c>
      <c r="BQ156" s="79" t="str">
        <f t="shared" si="276"/>
        <v>4Q19E</v>
      </c>
      <c r="BR156" s="79" t="str">
        <f t="shared" si="276"/>
        <v>1Q20E</v>
      </c>
      <c r="BS156" s="79" t="str">
        <f t="shared" si="276"/>
        <v>2Q20E</v>
      </c>
      <c r="BT156" s="79" t="str">
        <f t="shared" si="276"/>
        <v>3Q20E</v>
      </c>
      <c r="BU156" s="79" t="str">
        <f t="shared" si="276"/>
        <v>4Q20E</v>
      </c>
      <c r="BX156" s="221">
        <f t="shared" si="259"/>
        <v>148</v>
      </c>
    </row>
    <row r="157" spans="1:76" outlineLevel="1">
      <c r="A157" s="180"/>
      <c r="B157" s="92" t="s">
        <v>156</v>
      </c>
      <c r="C157" s="19"/>
      <c r="D157" s="19"/>
      <c r="E157" s="19"/>
      <c r="F157" s="19"/>
      <c r="G157" s="19"/>
      <c r="H157" s="19"/>
      <c r="I157" s="19"/>
      <c r="J157" s="40">
        <f>J41</f>
        <v>-45.585669528396942</v>
      </c>
      <c r="K157" s="40">
        <f>K41</f>
        <v>-64.642154711761933</v>
      </c>
      <c r="L157" s="40">
        <f>SUMIF($R$5:$BV$5,L$5,$R157:$BV157)</f>
        <v>-186.60300000000001</v>
      </c>
      <c r="M157" s="40">
        <f t="shared" ref="L157:P161" si="277">SUMIF($R$5:$BV$5,M$5,$R157:$BV157)</f>
        <v>-35.24199999999999</v>
      </c>
      <c r="N157" s="40">
        <f t="shared" si="277"/>
        <v>133.55827102134876</v>
      </c>
      <c r="O157" s="40">
        <f t="shared" si="277"/>
        <v>218.98362604220375</v>
      </c>
      <c r="P157" s="40">
        <f t="shared" si="277"/>
        <v>262.15812891177893</v>
      </c>
      <c r="Q157" s="40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1"/>
      <c r="AL157" s="91"/>
      <c r="AM157" s="91"/>
      <c r="AN157" s="91"/>
      <c r="AO157" s="91"/>
      <c r="AP157" s="91"/>
      <c r="AQ157" s="91"/>
      <c r="AR157" s="91"/>
      <c r="AS157" s="91"/>
      <c r="AT157" s="91"/>
      <c r="AU157" s="91"/>
      <c r="AV157" s="91"/>
      <c r="AW157" s="91"/>
      <c r="AX157" s="91"/>
      <c r="AY157" s="91"/>
      <c r="AZ157" s="91"/>
      <c r="BA157" s="91"/>
      <c r="BB157" s="91"/>
      <c r="BC157" s="91"/>
      <c r="BD157" s="91">
        <f>-148.555-BC157-BB157</f>
        <v>-148.55500000000001</v>
      </c>
      <c r="BE157" s="40">
        <f t="shared" ref="BE157:BU157" si="278">BE41</f>
        <v>-38.048000000000002</v>
      </c>
      <c r="BF157" s="40">
        <f t="shared" si="278"/>
        <v>-72.058000000000007</v>
      </c>
      <c r="BG157" s="40">
        <f t="shared" si="278"/>
        <v>-11.19599999999998</v>
      </c>
      <c r="BH157" s="40">
        <f t="shared" si="278"/>
        <v>4.0649999999999942</v>
      </c>
      <c r="BI157" s="40">
        <f t="shared" si="278"/>
        <v>43.947000000000003</v>
      </c>
      <c r="BJ157" s="40">
        <f t="shared" si="278"/>
        <v>16.766168067052675</v>
      </c>
      <c r="BK157" s="40">
        <f t="shared" si="278"/>
        <v>33.697636450163614</v>
      </c>
      <c r="BL157" s="40">
        <f t="shared" si="278"/>
        <v>38.129075922978089</v>
      </c>
      <c r="BM157" s="40">
        <f t="shared" si="278"/>
        <v>44.965390581154374</v>
      </c>
      <c r="BN157" s="40">
        <f t="shared" si="278"/>
        <v>50.903485240381173</v>
      </c>
      <c r="BO157" s="40">
        <f t="shared" si="278"/>
        <v>54.131318910017924</v>
      </c>
      <c r="BP157" s="40">
        <f t="shared" si="278"/>
        <v>56.030413679535869</v>
      </c>
      <c r="BQ157" s="40">
        <f t="shared" si="278"/>
        <v>57.918408212268787</v>
      </c>
      <c r="BR157" s="40">
        <f t="shared" si="278"/>
        <v>60.913795645723795</v>
      </c>
      <c r="BS157" s="40">
        <f t="shared" si="278"/>
        <v>65.021486083348179</v>
      </c>
      <c r="BT157" s="40">
        <f t="shared" si="278"/>
        <v>67.189036730716509</v>
      </c>
      <c r="BU157" s="40">
        <f t="shared" si="278"/>
        <v>69.033810451990448</v>
      </c>
      <c r="BX157" s="221">
        <f t="shared" si="259"/>
        <v>149</v>
      </c>
    </row>
    <row r="158" spans="1:76" outlineLevel="1">
      <c r="A158" s="180"/>
      <c r="B158" s="92" t="s">
        <v>155</v>
      </c>
      <c r="C158" s="19"/>
      <c r="D158" s="19"/>
      <c r="E158" s="19"/>
      <c r="F158" s="19"/>
      <c r="G158" s="19"/>
      <c r="H158" s="19"/>
      <c r="I158" s="19"/>
      <c r="J158" s="40">
        <f>-J28</f>
        <v>68.253961750000002</v>
      </c>
      <c r="K158" s="40">
        <f>-K28</f>
        <v>69.547353979999997</v>
      </c>
      <c r="L158" s="40">
        <f t="shared" si="277"/>
        <v>100.979</v>
      </c>
      <c r="M158" s="40">
        <f t="shared" si="277"/>
        <v>159.28</v>
      </c>
      <c r="N158" s="40">
        <f t="shared" si="277"/>
        <v>234.45514737879648</v>
      </c>
      <c r="O158" s="40">
        <f t="shared" si="277"/>
        <v>239.46057776250959</v>
      </c>
      <c r="P158" s="40">
        <f t="shared" si="277"/>
        <v>194.10955432762438</v>
      </c>
      <c r="Q158" s="40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1"/>
      <c r="AL158" s="91"/>
      <c r="AM158" s="91"/>
      <c r="AN158" s="91"/>
      <c r="AO158" s="91"/>
      <c r="AP158" s="91"/>
      <c r="AQ158" s="91"/>
      <c r="AR158" s="91"/>
      <c r="AS158" s="91"/>
      <c r="AT158" s="91"/>
      <c r="AU158" s="91"/>
      <c r="AV158" s="91"/>
      <c r="AW158" s="91"/>
      <c r="AX158" s="91"/>
      <c r="AY158" s="91"/>
      <c r="AZ158" s="91"/>
      <c r="BA158" s="91"/>
      <c r="BB158" s="91"/>
      <c r="BC158" s="91"/>
      <c r="BD158" s="91">
        <f>71.947-BC158-BB158</f>
        <v>71.947000000000003</v>
      </c>
      <c r="BE158" s="40">
        <f t="shared" ref="BE158:BU158" si="279">-BE28</f>
        <v>29.032</v>
      </c>
      <c r="BF158" s="40">
        <f t="shared" si="279"/>
        <v>30.373000000000001</v>
      </c>
      <c r="BG158" s="40">
        <f t="shared" si="279"/>
        <v>32.738999999999997</v>
      </c>
      <c r="BH158" s="40">
        <f t="shared" si="279"/>
        <v>46.204000000000001</v>
      </c>
      <c r="BI158" s="40">
        <f t="shared" si="279"/>
        <v>49.963999999999999</v>
      </c>
      <c r="BJ158" s="40">
        <f t="shared" si="279"/>
        <v>54.240916609547853</v>
      </c>
      <c r="BK158" s="40">
        <f t="shared" si="279"/>
        <v>54.37560083696976</v>
      </c>
      <c r="BL158" s="40">
        <f t="shared" si="279"/>
        <v>61.067520071899864</v>
      </c>
      <c r="BM158" s="40">
        <f t="shared" si="279"/>
        <v>64.771109860379013</v>
      </c>
      <c r="BN158" s="40">
        <f t="shared" si="279"/>
        <v>62.99546477851775</v>
      </c>
      <c r="BO158" s="40">
        <f t="shared" si="279"/>
        <v>60.945946823174154</v>
      </c>
      <c r="BP158" s="40">
        <f t="shared" si="279"/>
        <v>58.812547951442426</v>
      </c>
      <c r="BQ158" s="40">
        <f t="shared" si="279"/>
        <v>56.706618209375257</v>
      </c>
      <c r="BR158" s="40">
        <f t="shared" si="279"/>
        <v>52.902954785073973</v>
      </c>
      <c r="BS158" s="40">
        <f t="shared" si="279"/>
        <v>49.673261868247842</v>
      </c>
      <c r="BT158" s="40">
        <f t="shared" si="279"/>
        <v>46.930927656878161</v>
      </c>
      <c r="BU158" s="40">
        <f t="shared" si="279"/>
        <v>44.602410017424411</v>
      </c>
      <c r="BX158" s="221">
        <f t="shared" si="259"/>
        <v>150</v>
      </c>
    </row>
    <row r="159" spans="1:76" outlineLevel="1">
      <c r="A159" s="180"/>
      <c r="B159" s="92" t="s">
        <v>119</v>
      </c>
      <c r="C159" s="19"/>
      <c r="D159" s="19"/>
      <c r="E159" s="19"/>
      <c r="F159" s="19"/>
      <c r="G159" s="19"/>
      <c r="H159" s="19"/>
      <c r="I159" s="19"/>
      <c r="J159" s="40">
        <v>0</v>
      </c>
      <c r="K159" s="40">
        <v>0</v>
      </c>
      <c r="L159" s="40">
        <f t="shared" si="277"/>
        <v>0</v>
      </c>
      <c r="M159" s="40">
        <f t="shared" si="277"/>
        <v>0</v>
      </c>
      <c r="N159" s="40">
        <f t="shared" si="277"/>
        <v>22.670281570124011</v>
      </c>
      <c r="O159" s="40">
        <f t="shared" si="277"/>
        <v>0</v>
      </c>
      <c r="P159" s="40">
        <f t="shared" si="277"/>
        <v>0</v>
      </c>
      <c r="Q159" s="40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1"/>
      <c r="AL159" s="91"/>
      <c r="AM159" s="91"/>
      <c r="AN159" s="91"/>
      <c r="AO159" s="91"/>
      <c r="AP159" s="91"/>
      <c r="AQ159" s="91"/>
      <c r="AR159" s="91"/>
      <c r="AS159" s="91"/>
      <c r="AT159" s="91"/>
      <c r="AU159" s="91"/>
      <c r="AV159" s="91"/>
      <c r="AW159" s="91"/>
      <c r="AX159" s="91"/>
      <c r="AY159" s="91"/>
      <c r="AZ159" s="91"/>
      <c r="BA159" s="91"/>
      <c r="BB159" s="91"/>
      <c r="BC159" s="91"/>
      <c r="BD159" s="91">
        <v>0</v>
      </c>
      <c r="BE159" s="40">
        <v>0</v>
      </c>
      <c r="BF159" s="40">
        <v>0</v>
      </c>
      <c r="BG159" s="40">
        <v>0</v>
      </c>
      <c r="BH159" s="40">
        <v>0</v>
      </c>
      <c r="BI159" s="40">
        <f t="shared" ref="BI159:BU159" si="280">(BI207-BI196)-(BH207-BH196)</f>
        <v>0</v>
      </c>
      <c r="BJ159" s="40">
        <f t="shared" si="280"/>
        <v>0.97891919839947317</v>
      </c>
      <c r="BK159" s="40">
        <f t="shared" si="280"/>
        <v>5.7544615628666609</v>
      </c>
      <c r="BL159" s="40">
        <f t="shared" si="280"/>
        <v>7.0043547475066417</v>
      </c>
      <c r="BM159" s="40">
        <f t="shared" si="280"/>
        <v>8.9325460613512355</v>
      </c>
      <c r="BN159" s="40">
        <f t="shared" si="280"/>
        <v>0</v>
      </c>
      <c r="BO159" s="40">
        <f t="shared" si="280"/>
        <v>0</v>
      </c>
      <c r="BP159" s="40">
        <f t="shared" si="280"/>
        <v>0</v>
      </c>
      <c r="BQ159" s="40">
        <f t="shared" si="280"/>
        <v>0</v>
      </c>
      <c r="BR159" s="40">
        <f t="shared" si="280"/>
        <v>0</v>
      </c>
      <c r="BS159" s="40">
        <f t="shared" si="280"/>
        <v>0</v>
      </c>
      <c r="BT159" s="40">
        <f t="shared" si="280"/>
        <v>0</v>
      </c>
      <c r="BU159" s="40">
        <f t="shared" si="280"/>
        <v>0</v>
      </c>
      <c r="BX159" s="221">
        <f t="shared" si="259"/>
        <v>151</v>
      </c>
    </row>
    <row r="160" spans="1:76" outlineLevel="1">
      <c r="A160" s="180"/>
      <c r="B160" s="92" t="s">
        <v>154</v>
      </c>
      <c r="C160" s="19"/>
      <c r="D160" s="19"/>
      <c r="E160" s="19"/>
      <c r="F160" s="19"/>
      <c r="G160" s="19"/>
      <c r="H160" s="19"/>
      <c r="I160" s="19"/>
      <c r="J160" s="40">
        <v>11.098000000000001</v>
      </c>
      <c r="K160" s="40">
        <v>3.9140000000000001</v>
      </c>
      <c r="L160" s="40">
        <f t="shared" si="277"/>
        <v>1.9850000000000001</v>
      </c>
      <c r="M160" s="40">
        <f t="shared" si="277"/>
        <v>10.577999999999999</v>
      </c>
      <c r="N160" s="40">
        <f t="shared" si="277"/>
        <v>12</v>
      </c>
      <c r="O160" s="40">
        <f t="shared" si="277"/>
        <v>12</v>
      </c>
      <c r="P160" s="40">
        <f t="shared" si="277"/>
        <v>6</v>
      </c>
      <c r="Q160" s="40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C160" s="91"/>
      <c r="BD160" s="91">
        <f>1.826-BC160-BB160</f>
        <v>1.8260000000000001</v>
      </c>
      <c r="BE160" s="112">
        <f>1.985-BD160</f>
        <v>0.15900000000000003</v>
      </c>
      <c r="BF160" s="112">
        <v>1.1379999999999999</v>
      </c>
      <c r="BG160" s="112">
        <f>4.071-BF160</f>
        <v>2.9329999999999998</v>
      </c>
      <c r="BH160" s="112">
        <f>7.334-BG160-BF160</f>
        <v>3.2629999999999999</v>
      </c>
      <c r="BI160" s="112">
        <f>10.578-BH160-BG160-BF160</f>
        <v>3.2439999999999998</v>
      </c>
      <c r="BJ160" s="40">
        <f t="shared" ref="BJ160:BU160" si="281">-BJ132</f>
        <v>3</v>
      </c>
      <c r="BK160" s="40">
        <f t="shared" si="281"/>
        <v>3</v>
      </c>
      <c r="BL160" s="40">
        <f t="shared" si="281"/>
        <v>3</v>
      </c>
      <c r="BM160" s="40">
        <f t="shared" si="281"/>
        <v>3</v>
      </c>
      <c r="BN160" s="40">
        <f t="shared" si="281"/>
        <v>3</v>
      </c>
      <c r="BO160" s="40">
        <f t="shared" si="281"/>
        <v>3</v>
      </c>
      <c r="BP160" s="40">
        <f t="shared" si="281"/>
        <v>3</v>
      </c>
      <c r="BQ160" s="40">
        <f t="shared" si="281"/>
        <v>3</v>
      </c>
      <c r="BR160" s="40">
        <f t="shared" si="281"/>
        <v>3</v>
      </c>
      <c r="BS160" s="40">
        <f t="shared" si="281"/>
        <v>1</v>
      </c>
      <c r="BT160" s="40">
        <f t="shared" si="281"/>
        <v>1</v>
      </c>
      <c r="BU160" s="40">
        <f t="shared" si="281"/>
        <v>1</v>
      </c>
      <c r="BX160" s="221">
        <f t="shared" si="259"/>
        <v>152</v>
      </c>
    </row>
    <row r="161" spans="1:76" outlineLevel="1">
      <c r="A161" s="180"/>
      <c r="B161" s="92" t="s">
        <v>42</v>
      </c>
      <c r="C161" s="19"/>
      <c r="D161" s="19"/>
      <c r="E161" s="19"/>
      <c r="F161" s="19"/>
      <c r="G161" s="19"/>
      <c r="H161" s="19"/>
      <c r="I161" s="19"/>
      <c r="J161" s="40">
        <f>+J169-SUM(J157:J160,J163:J168)</f>
        <v>4.4077077783969401</v>
      </c>
      <c r="K161" s="40">
        <f>+K169-SUM(K157:K160,K163:K168)</f>
        <v>4.2948007317619314</v>
      </c>
      <c r="L161" s="40">
        <f t="shared" si="277"/>
        <v>6.9750000000000227</v>
      </c>
      <c r="M161" s="40">
        <f t="shared" si="277"/>
        <v>33.511999999999958</v>
      </c>
      <c r="N161" s="40">
        <f t="shared" si="277"/>
        <v>0</v>
      </c>
      <c r="O161" s="40">
        <f t="shared" si="277"/>
        <v>0</v>
      </c>
      <c r="P161" s="40">
        <f t="shared" si="277"/>
        <v>0</v>
      </c>
      <c r="Q161" s="40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C161" s="91"/>
      <c r="BD161" s="19">
        <f t="shared" ref="BD161:BI161" si="282">+BD169-SUM(BD157:BD160,BD163:BD168)</f>
        <v>6.0370000000000203</v>
      </c>
      <c r="BE161" s="40">
        <f t="shared" si="282"/>
        <v>0.93800000000000239</v>
      </c>
      <c r="BF161" s="40">
        <f t="shared" si="282"/>
        <v>34.482000000000006</v>
      </c>
      <c r="BG161" s="40">
        <f t="shared" si="282"/>
        <v>-0.84800000000001674</v>
      </c>
      <c r="BH161" s="40">
        <f t="shared" si="282"/>
        <v>0.71899999999999409</v>
      </c>
      <c r="BI161" s="40">
        <f t="shared" si="282"/>
        <v>-0.8410000000000224</v>
      </c>
      <c r="BJ161" s="40">
        <v>0</v>
      </c>
      <c r="BK161" s="40">
        <v>0</v>
      </c>
      <c r="BL161" s="40">
        <v>0</v>
      </c>
      <c r="BM161" s="40">
        <v>0</v>
      </c>
      <c r="BN161" s="40">
        <v>0</v>
      </c>
      <c r="BO161" s="40">
        <v>0</v>
      </c>
      <c r="BP161" s="40">
        <v>0</v>
      </c>
      <c r="BQ161" s="40">
        <v>0</v>
      </c>
      <c r="BR161" s="59">
        <v>0</v>
      </c>
      <c r="BS161" s="59">
        <v>0</v>
      </c>
      <c r="BT161" s="59">
        <v>0</v>
      </c>
      <c r="BU161" s="59">
        <v>0</v>
      </c>
      <c r="BX161" s="221">
        <f t="shared" si="259"/>
        <v>153</v>
      </c>
    </row>
    <row r="162" spans="1:76" outlineLevel="1">
      <c r="A162" s="180"/>
      <c r="B162" s="113" t="s">
        <v>153</v>
      </c>
      <c r="C162" s="19"/>
      <c r="D162" s="19"/>
      <c r="E162" s="19"/>
      <c r="F162" s="19"/>
      <c r="G162" s="19"/>
      <c r="H162" s="19"/>
      <c r="I162" s="19"/>
      <c r="J162" s="40"/>
      <c r="K162" s="40"/>
      <c r="L162" s="40"/>
      <c r="M162" s="40"/>
      <c r="N162" s="40"/>
      <c r="O162" s="40"/>
      <c r="P162" s="40"/>
      <c r="Q162" s="40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C162" s="91"/>
      <c r="BD162" s="91"/>
      <c r="BE162" s="40"/>
      <c r="BF162" s="40"/>
      <c r="BG162" s="40"/>
      <c r="BH162" s="40"/>
      <c r="BI162" s="40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X162" s="221">
        <f t="shared" si="259"/>
        <v>154</v>
      </c>
    </row>
    <row r="163" spans="1:76" outlineLevel="1">
      <c r="A163" s="180"/>
      <c r="B163" s="92" t="s">
        <v>135</v>
      </c>
      <c r="C163" s="19"/>
      <c r="D163" s="19"/>
      <c r="E163" s="19"/>
      <c r="F163" s="19"/>
      <c r="G163" s="19"/>
      <c r="H163" s="19"/>
      <c r="I163" s="19"/>
      <c r="J163" s="40">
        <v>-36.091000000000001</v>
      </c>
      <c r="K163" s="40">
        <v>36.966000000000001</v>
      </c>
      <c r="L163" s="40">
        <f t="shared" ref="L163:P168" si="283">SUMIF($R$5:$BV$5,L$5,$R163:$BV163)</f>
        <v>-13.026999999999997</v>
      </c>
      <c r="M163" s="40">
        <f t="shared" si="283"/>
        <v>-113.047</v>
      </c>
      <c r="N163" s="40">
        <f t="shared" si="283"/>
        <v>-52.495732482822319</v>
      </c>
      <c r="O163" s="40">
        <f t="shared" si="283"/>
        <v>-13.831026656760912</v>
      </c>
      <c r="P163" s="40">
        <f t="shared" si="283"/>
        <v>0</v>
      </c>
      <c r="Q163" s="40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C163" s="91"/>
      <c r="BD163" s="91">
        <f>-2.412-BC163-BB163</f>
        <v>-2.4119999999999999</v>
      </c>
      <c r="BE163" s="59">
        <f>-13.027-BD163</f>
        <v>-10.614999999999998</v>
      </c>
      <c r="BF163" s="59">
        <v>-60.152000000000001</v>
      </c>
      <c r="BG163" s="59">
        <f>-76.415-BF163</f>
        <v>-16.263000000000005</v>
      </c>
      <c r="BH163" s="59">
        <f>-94.237-BG163-BF163</f>
        <v>-17.821999999999989</v>
      </c>
      <c r="BI163" s="59">
        <f>-113.047-BH163-BG163-BF163</f>
        <v>-18.810000000000002</v>
      </c>
      <c r="BJ163" s="40">
        <f t="shared" ref="BJ163:BU163" si="284">-(BJ187-BI187)</f>
        <v>-4.7112345521191514</v>
      </c>
      <c r="BK163" s="40">
        <f t="shared" si="284"/>
        <v>-21.811576662871602</v>
      </c>
      <c r="BL163" s="40">
        <f t="shared" si="284"/>
        <v>-13.756238706544366</v>
      </c>
      <c r="BM163" s="40">
        <f t="shared" si="284"/>
        <v>-12.2166825612872</v>
      </c>
      <c r="BN163" s="40">
        <f t="shared" si="284"/>
        <v>-19.051574117583925</v>
      </c>
      <c r="BO163" s="40">
        <f t="shared" si="284"/>
        <v>2.9178460571242795</v>
      </c>
      <c r="BP163" s="40">
        <f t="shared" si="284"/>
        <v>2.8304791235987636</v>
      </c>
      <c r="BQ163" s="40">
        <f t="shared" si="284"/>
        <v>-0.52777771990002975</v>
      </c>
      <c r="BR163" s="40">
        <f t="shared" si="284"/>
        <v>-3.344447902632794</v>
      </c>
      <c r="BS163" s="40">
        <f t="shared" si="284"/>
        <v>0</v>
      </c>
      <c r="BT163" s="40">
        <f t="shared" si="284"/>
        <v>3.344447902632794</v>
      </c>
      <c r="BU163" s="40">
        <f t="shared" si="284"/>
        <v>0</v>
      </c>
      <c r="BX163" s="221">
        <f t="shared" si="259"/>
        <v>155</v>
      </c>
    </row>
    <row r="164" spans="1:76" outlineLevel="1">
      <c r="A164" s="180"/>
      <c r="B164" s="92" t="s">
        <v>134</v>
      </c>
      <c r="C164" s="19"/>
      <c r="D164" s="19"/>
      <c r="E164" s="19"/>
      <c r="F164" s="19"/>
      <c r="G164" s="19"/>
      <c r="H164" s="19"/>
      <c r="I164" s="19"/>
      <c r="J164" s="40">
        <v>-12.952</v>
      </c>
      <c r="K164" s="40">
        <v>11.840999999999999</v>
      </c>
      <c r="L164" s="40">
        <f t="shared" si="283"/>
        <v>8.4849999999999994</v>
      </c>
      <c r="M164" s="40">
        <f t="shared" si="283"/>
        <v>-15.475000000000001</v>
      </c>
      <c r="N164" s="40">
        <f t="shared" si="283"/>
        <v>-6.1859524302361351</v>
      </c>
      <c r="O164" s="40">
        <f t="shared" si="283"/>
        <v>-1.6964589684010463</v>
      </c>
      <c r="P164" s="40">
        <f t="shared" si="283"/>
        <v>0</v>
      </c>
      <c r="Q164" s="40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C164" s="91"/>
      <c r="BD164" s="91">
        <f>10.91-BC164-BB164</f>
        <v>10.91</v>
      </c>
      <c r="BE164" s="59">
        <f>8.485-BD164</f>
        <v>-2.4250000000000007</v>
      </c>
      <c r="BF164" s="59">
        <v>-5.5369999999999999</v>
      </c>
      <c r="BG164" s="59">
        <f>-14.25-BF164</f>
        <v>-8.713000000000001</v>
      </c>
      <c r="BH164" s="59">
        <f>-21.417-BG164-BF164</f>
        <v>-7.1670000000000007</v>
      </c>
      <c r="BI164" s="59">
        <f>-15.475-BH164-BG164-BF164</f>
        <v>5.9420000000000011</v>
      </c>
      <c r="BJ164" s="40">
        <f t="shared" ref="BJ164:BU164" si="285">-(BJ188-BI188)</f>
        <v>-1.3381793436970071</v>
      </c>
      <c r="BK164" s="40">
        <f t="shared" si="285"/>
        <v>-2.1550384270973524</v>
      </c>
      <c r="BL164" s="40">
        <f t="shared" si="285"/>
        <v>-1.549335995957037</v>
      </c>
      <c r="BM164" s="40">
        <f t="shared" si="285"/>
        <v>-1.1433986634847386</v>
      </c>
      <c r="BN164" s="40">
        <f t="shared" si="285"/>
        <v>-2.5633129950566271</v>
      </c>
      <c r="BO164" s="40">
        <f t="shared" si="285"/>
        <v>0.55422742879126474</v>
      </c>
      <c r="BP164" s="40">
        <f t="shared" si="285"/>
        <v>0.38428041834487914</v>
      </c>
      <c r="BQ164" s="40">
        <f t="shared" si="285"/>
        <v>-7.1653820480563013E-2</v>
      </c>
      <c r="BR164" s="40">
        <f t="shared" si="285"/>
        <v>-0.4540594659190873</v>
      </c>
      <c r="BS164" s="40">
        <f t="shared" si="285"/>
        <v>0</v>
      </c>
      <c r="BT164" s="40">
        <f t="shared" si="285"/>
        <v>0.4540594659190873</v>
      </c>
      <c r="BU164" s="40">
        <f t="shared" si="285"/>
        <v>0</v>
      </c>
      <c r="BX164" s="221">
        <f t="shared" si="259"/>
        <v>156</v>
      </c>
    </row>
    <row r="165" spans="1:76" outlineLevel="1">
      <c r="A165" s="180"/>
      <c r="B165" s="92" t="s">
        <v>124</v>
      </c>
      <c r="C165" s="19"/>
      <c r="D165" s="19"/>
      <c r="E165" s="19"/>
      <c r="F165" s="19"/>
      <c r="G165" s="19"/>
      <c r="H165" s="19"/>
      <c r="I165" s="19"/>
      <c r="J165" s="40">
        <v>12.803000000000001</v>
      </c>
      <c r="K165" s="40">
        <v>-12.65</v>
      </c>
      <c r="L165" s="40">
        <f t="shared" si="283"/>
        <v>14.214</v>
      </c>
      <c r="M165" s="40">
        <f t="shared" si="283"/>
        <v>-0.14099999999999824</v>
      </c>
      <c r="N165" s="40">
        <f t="shared" si="283"/>
        <v>17.084676706266904</v>
      </c>
      <c r="O165" s="40">
        <f t="shared" si="283"/>
        <v>4.6853662952388078</v>
      </c>
      <c r="P165" s="40">
        <f t="shared" si="283"/>
        <v>0</v>
      </c>
      <c r="Q165" s="40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C165" s="91"/>
      <c r="BD165" s="91">
        <f>0.622-BC165-BB165</f>
        <v>0.622</v>
      </c>
      <c r="BE165" s="59">
        <f>14.214-BD165</f>
        <v>13.592000000000001</v>
      </c>
      <c r="BF165" s="59">
        <v>9.0670000000000002</v>
      </c>
      <c r="BG165" s="59">
        <f>9.721-BF165</f>
        <v>0.65399999999999991</v>
      </c>
      <c r="BH165" s="59">
        <f>25.92-BG165-BF165</f>
        <v>16.199000000000002</v>
      </c>
      <c r="BI165" s="59">
        <f>-0.141-BH165-BG165-BF165</f>
        <v>-26.061</v>
      </c>
      <c r="BJ165" s="40">
        <f t="shared" ref="BJ165:BU165" si="286">(BJ201-BI201)</f>
        <v>3.6958514828402826</v>
      </c>
      <c r="BK165" s="40">
        <f t="shared" si="286"/>
        <v>5.9518942687916763</v>
      </c>
      <c r="BL165" s="40">
        <f t="shared" si="286"/>
        <v>4.2790346189741797</v>
      </c>
      <c r="BM165" s="40">
        <f t="shared" si="286"/>
        <v>3.1578963356607659</v>
      </c>
      <c r="BN165" s="40">
        <f t="shared" si="286"/>
        <v>7.079487647441141</v>
      </c>
      <c r="BO165" s="40">
        <f t="shared" si="286"/>
        <v>-1.5306933814043049</v>
      </c>
      <c r="BP165" s="40">
        <f t="shared" si="286"/>
        <v>-1.0613251210728407</v>
      </c>
      <c r="BQ165" s="40">
        <f t="shared" si="286"/>
        <v>0.19789715027481236</v>
      </c>
      <c r="BR165" s="40">
        <f t="shared" si="286"/>
        <v>1.2540444285879744</v>
      </c>
      <c r="BS165" s="40">
        <f t="shared" si="286"/>
        <v>0</v>
      </c>
      <c r="BT165" s="40">
        <f t="shared" si="286"/>
        <v>-1.2540444285879744</v>
      </c>
      <c r="BU165" s="40">
        <f t="shared" si="286"/>
        <v>0</v>
      </c>
      <c r="BX165" s="221">
        <f t="shared" si="259"/>
        <v>157</v>
      </c>
    </row>
    <row r="166" spans="1:76" outlineLevel="1">
      <c r="A166" s="180"/>
      <c r="B166" s="92" t="s">
        <v>123</v>
      </c>
      <c r="C166" s="19"/>
      <c r="D166" s="19"/>
      <c r="E166" s="19"/>
      <c r="F166" s="19"/>
      <c r="G166" s="19"/>
      <c r="H166" s="19"/>
      <c r="I166" s="19"/>
      <c r="J166" s="40">
        <v>16.574999999999999</v>
      </c>
      <c r="K166" s="40">
        <v>-13.185</v>
      </c>
      <c r="L166" s="40">
        <f t="shared" si="283"/>
        <v>19.734999999999999</v>
      </c>
      <c r="M166" s="40">
        <f t="shared" si="283"/>
        <v>41.446000000000005</v>
      </c>
      <c r="N166" s="40">
        <f t="shared" si="283"/>
        <v>17.628898579235681</v>
      </c>
      <c r="O166" s="40">
        <f t="shared" si="283"/>
        <v>-1.1525315765572088</v>
      </c>
      <c r="P166" s="40">
        <f t="shared" si="283"/>
        <v>-7.6948392101896559</v>
      </c>
      <c r="Q166" s="40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C166" s="91"/>
      <c r="BD166" s="91">
        <f>9.69-BC166-BB166</f>
        <v>9.69</v>
      </c>
      <c r="BE166" s="59">
        <f>19.735-BD166</f>
        <v>10.045</v>
      </c>
      <c r="BF166" s="59">
        <v>9.6219999999999999</v>
      </c>
      <c r="BG166" s="59">
        <f>22.684-BF166</f>
        <v>13.062000000000001</v>
      </c>
      <c r="BH166" s="59">
        <f>5.537-BG166-BF166</f>
        <v>-17.147000000000002</v>
      </c>
      <c r="BI166" s="59">
        <f>41.446-BH166-BG166-BF166</f>
        <v>35.909000000000006</v>
      </c>
      <c r="BJ166" s="40">
        <f t="shared" ref="BJ166:BU166" si="287">(BJ202-BI202)</f>
        <v>0.7698019427645022</v>
      </c>
      <c r="BK166" s="40">
        <f t="shared" si="287"/>
        <v>8.3280108144934957</v>
      </c>
      <c r="BL166" s="40">
        <f t="shared" si="287"/>
        <v>5.9131215099309884</v>
      </c>
      <c r="BM166" s="40">
        <f t="shared" si="287"/>
        <v>2.6179643120466949</v>
      </c>
      <c r="BN166" s="40">
        <f t="shared" si="287"/>
        <v>4.4271938081391795</v>
      </c>
      <c r="BO166" s="40">
        <f t="shared" si="287"/>
        <v>-2.2587796136835436</v>
      </c>
      <c r="BP166" s="40">
        <f t="shared" si="287"/>
        <v>-1.6635573077876415</v>
      </c>
      <c r="BQ166" s="40">
        <f t="shared" si="287"/>
        <v>-1.6573884632252032</v>
      </c>
      <c r="BR166" s="40">
        <f t="shared" si="287"/>
        <v>-1.9237098025474211</v>
      </c>
      <c r="BS166" s="40">
        <f t="shared" si="287"/>
        <v>-1.9237098025473927</v>
      </c>
      <c r="BT166" s="40">
        <f t="shared" si="287"/>
        <v>-1.9237098025474211</v>
      </c>
      <c r="BU166" s="40">
        <f t="shared" si="287"/>
        <v>-1.9237098025474211</v>
      </c>
      <c r="BX166" s="221">
        <f t="shared" si="259"/>
        <v>158</v>
      </c>
    </row>
    <row r="167" spans="1:76" outlineLevel="1">
      <c r="A167" s="180"/>
      <c r="B167" s="92" t="s">
        <v>152</v>
      </c>
      <c r="C167" s="19"/>
      <c r="D167" s="19"/>
      <c r="E167" s="19"/>
      <c r="F167" s="19"/>
      <c r="G167" s="19"/>
      <c r="H167" s="19"/>
      <c r="I167" s="19"/>
      <c r="J167" s="40">
        <v>0.159</v>
      </c>
      <c r="K167" s="40">
        <f>0.105</f>
        <v>0.105</v>
      </c>
      <c r="L167" s="40">
        <f t="shared" si="283"/>
        <v>-5.9939999999999998</v>
      </c>
      <c r="M167" s="40">
        <f t="shared" si="283"/>
        <v>20.294</v>
      </c>
      <c r="N167" s="40">
        <f t="shared" si="283"/>
        <v>0</v>
      </c>
      <c r="O167" s="40">
        <f t="shared" si="283"/>
        <v>0</v>
      </c>
      <c r="P167" s="40">
        <f t="shared" si="283"/>
        <v>0</v>
      </c>
      <c r="Q167" s="40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91">
        <f>-3.003-BC167-BB167</f>
        <v>-3.0030000000000001</v>
      </c>
      <c r="BE167" s="59">
        <f>-5.994-BD167</f>
        <v>-2.9909999999999997</v>
      </c>
      <c r="BF167" s="59">
        <f>4.92</f>
        <v>4.92</v>
      </c>
      <c r="BG167" s="59">
        <f>3.83-BF167</f>
        <v>-1.0899999999999999</v>
      </c>
      <c r="BH167" s="59">
        <f>8.41+8.329-BG167-BF167</f>
        <v>12.909000000000001</v>
      </c>
      <c r="BI167" s="59">
        <f>20.294-BH167-BG167-BF167</f>
        <v>3.5549999999999997</v>
      </c>
      <c r="BJ167" s="40">
        <f t="shared" ref="BJ167:BU167" si="288">-(BJ189-BI189)+(BJ204-BI204)</f>
        <v>0</v>
      </c>
      <c r="BK167" s="40">
        <f t="shared" si="288"/>
        <v>0</v>
      </c>
      <c r="BL167" s="40">
        <f t="shared" si="288"/>
        <v>0</v>
      </c>
      <c r="BM167" s="40">
        <f t="shared" si="288"/>
        <v>0</v>
      </c>
      <c r="BN167" s="40">
        <f t="shared" si="288"/>
        <v>0</v>
      </c>
      <c r="BO167" s="40">
        <f t="shared" si="288"/>
        <v>0</v>
      </c>
      <c r="BP167" s="40">
        <f t="shared" si="288"/>
        <v>0</v>
      </c>
      <c r="BQ167" s="40">
        <f t="shared" si="288"/>
        <v>0</v>
      </c>
      <c r="BR167" s="40">
        <f t="shared" si="288"/>
        <v>0</v>
      </c>
      <c r="BS167" s="40">
        <f t="shared" si="288"/>
        <v>0</v>
      </c>
      <c r="BT167" s="40">
        <f t="shared" si="288"/>
        <v>0</v>
      </c>
      <c r="BU167" s="40">
        <f t="shared" si="288"/>
        <v>0</v>
      </c>
      <c r="BX167" s="221">
        <f t="shared" si="259"/>
        <v>159</v>
      </c>
    </row>
    <row r="168" spans="1:76" outlineLevel="1">
      <c r="A168" s="180"/>
      <c r="B168" s="92" t="s">
        <v>151</v>
      </c>
      <c r="C168" s="19"/>
      <c r="D168" s="19"/>
      <c r="E168" s="19"/>
      <c r="F168" s="19"/>
      <c r="G168" s="19"/>
      <c r="H168" s="19"/>
      <c r="I168" s="19"/>
      <c r="J168" s="40">
        <f>0.452-0.388</f>
        <v>6.4000000000000001E-2</v>
      </c>
      <c r="K168" s="40">
        <f>1.047+0.283</f>
        <v>1.3299999999999998</v>
      </c>
      <c r="L168" s="40">
        <f t="shared" si="283"/>
        <v>-0.80299999999999994</v>
      </c>
      <c r="M168" s="40">
        <f t="shared" si="283"/>
        <v>-21.514000000000003</v>
      </c>
      <c r="N168" s="40">
        <f t="shared" si="283"/>
        <v>0</v>
      </c>
      <c r="O168" s="40">
        <f t="shared" si="283"/>
        <v>0</v>
      </c>
      <c r="P168" s="40">
        <f t="shared" si="283"/>
        <v>0</v>
      </c>
      <c r="Q168" s="40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91">
        <f>0.371+2.248-BC168-BB168</f>
        <v>2.6190000000000002</v>
      </c>
      <c r="BE168" s="59">
        <f>0.032-0.835-BD168</f>
        <v>-3.4220000000000002</v>
      </c>
      <c r="BF168" s="59">
        <f>-0.15+0.889</f>
        <v>0.73899999999999999</v>
      </c>
      <c r="BG168" s="59">
        <f>0.167-1.387-BF168</f>
        <v>-1.9590000000000001</v>
      </c>
      <c r="BH168" s="59">
        <f>0.258-BG168-BF168</f>
        <v>1.4780000000000002</v>
      </c>
      <c r="BI168" s="59">
        <f>-0.336-21.178-BH168-BG168-BF168</f>
        <v>-21.772000000000002</v>
      </c>
      <c r="BJ168" s="40">
        <f t="shared" ref="BJ168:BU168" si="289">-(BJ197-BI197)+(BJ208-BI208)</f>
        <v>0</v>
      </c>
      <c r="BK168" s="40">
        <f t="shared" si="289"/>
        <v>0</v>
      </c>
      <c r="BL168" s="40">
        <f t="shared" si="289"/>
        <v>0</v>
      </c>
      <c r="BM168" s="40">
        <f t="shared" si="289"/>
        <v>0</v>
      </c>
      <c r="BN168" s="40">
        <f t="shared" si="289"/>
        <v>0</v>
      </c>
      <c r="BO168" s="40">
        <f t="shared" si="289"/>
        <v>0</v>
      </c>
      <c r="BP168" s="40">
        <f t="shared" si="289"/>
        <v>0</v>
      </c>
      <c r="BQ168" s="40">
        <f t="shared" si="289"/>
        <v>0</v>
      </c>
      <c r="BR168" s="40">
        <f t="shared" si="289"/>
        <v>0</v>
      </c>
      <c r="BS168" s="40">
        <f t="shared" si="289"/>
        <v>0</v>
      </c>
      <c r="BT168" s="40">
        <f t="shared" si="289"/>
        <v>0</v>
      </c>
      <c r="BU168" s="40">
        <f t="shared" si="289"/>
        <v>0</v>
      </c>
      <c r="BX168" s="221">
        <f t="shared" si="259"/>
        <v>160</v>
      </c>
    </row>
    <row r="169" spans="1:76" outlineLevel="1">
      <c r="A169" s="180"/>
      <c r="B169" s="86" t="s">
        <v>150</v>
      </c>
      <c r="C169" s="85"/>
      <c r="D169" s="85"/>
      <c r="E169" s="85"/>
      <c r="F169" s="85"/>
      <c r="G169" s="85"/>
      <c r="H169" s="85"/>
      <c r="I169" s="85"/>
      <c r="J169" s="84">
        <v>18.731999999999999</v>
      </c>
      <c r="K169" s="84">
        <v>37.521000000000001</v>
      </c>
      <c r="L169" s="84">
        <f>SUM(L157:L168)</f>
        <v>-54.053999999999988</v>
      </c>
      <c r="M169" s="84">
        <f>SUM(M157:M168)</f>
        <v>79.691000000000003</v>
      </c>
      <c r="N169" s="84">
        <f>SUM(N157:N168)</f>
        <v>378.71559034271343</v>
      </c>
      <c r="O169" s="84">
        <f>SUM(O157:O168)</f>
        <v>458.44955289823292</v>
      </c>
      <c r="P169" s="84">
        <f>SUM(P157:P168)</f>
        <v>454.57284402921368</v>
      </c>
      <c r="Q169" s="95"/>
      <c r="R169" s="84">
        <f t="shared" ref="R169:BC169" si="290">SUM(R157:R168)</f>
        <v>0</v>
      </c>
      <c r="S169" s="84">
        <f t="shared" si="290"/>
        <v>0</v>
      </c>
      <c r="T169" s="84">
        <f t="shared" si="290"/>
        <v>0</v>
      </c>
      <c r="U169" s="84">
        <f t="shared" si="290"/>
        <v>0</v>
      </c>
      <c r="V169" s="84">
        <f t="shared" si="290"/>
        <v>0</v>
      </c>
      <c r="W169" s="84">
        <f t="shared" si="290"/>
        <v>0</v>
      </c>
      <c r="X169" s="84">
        <f t="shared" si="290"/>
        <v>0</v>
      </c>
      <c r="Y169" s="84">
        <f t="shared" si="290"/>
        <v>0</v>
      </c>
      <c r="Z169" s="84">
        <f t="shared" si="290"/>
        <v>0</v>
      </c>
      <c r="AA169" s="84">
        <f t="shared" si="290"/>
        <v>0</v>
      </c>
      <c r="AB169" s="84">
        <f t="shared" si="290"/>
        <v>0</v>
      </c>
      <c r="AC169" s="84">
        <f t="shared" si="290"/>
        <v>0</v>
      </c>
      <c r="AD169" s="84">
        <f t="shared" si="290"/>
        <v>0</v>
      </c>
      <c r="AE169" s="84">
        <f t="shared" si="290"/>
        <v>0</v>
      </c>
      <c r="AF169" s="84">
        <f t="shared" si="290"/>
        <v>0</v>
      </c>
      <c r="AG169" s="84">
        <f t="shared" si="290"/>
        <v>0</v>
      </c>
      <c r="AH169" s="84">
        <f t="shared" si="290"/>
        <v>0</v>
      </c>
      <c r="AI169" s="84">
        <f t="shared" si="290"/>
        <v>0</v>
      </c>
      <c r="AJ169" s="84">
        <f t="shared" si="290"/>
        <v>0</v>
      </c>
      <c r="AK169" s="84">
        <f t="shared" si="290"/>
        <v>0</v>
      </c>
      <c r="AL169" s="84">
        <f t="shared" si="290"/>
        <v>0</v>
      </c>
      <c r="AM169" s="84">
        <f t="shared" si="290"/>
        <v>0</v>
      </c>
      <c r="AN169" s="84">
        <f t="shared" si="290"/>
        <v>0</v>
      </c>
      <c r="AO169" s="84">
        <f t="shared" si="290"/>
        <v>0</v>
      </c>
      <c r="AP169" s="84">
        <f t="shared" si="290"/>
        <v>0</v>
      </c>
      <c r="AQ169" s="84">
        <f t="shared" si="290"/>
        <v>0</v>
      </c>
      <c r="AR169" s="84">
        <f t="shared" si="290"/>
        <v>0</v>
      </c>
      <c r="AS169" s="84">
        <f t="shared" si="290"/>
        <v>0</v>
      </c>
      <c r="AT169" s="84">
        <f t="shared" si="290"/>
        <v>0</v>
      </c>
      <c r="AU169" s="84">
        <f t="shared" si="290"/>
        <v>0</v>
      </c>
      <c r="AV169" s="84">
        <f t="shared" si="290"/>
        <v>0</v>
      </c>
      <c r="AW169" s="84">
        <f t="shared" si="290"/>
        <v>0</v>
      </c>
      <c r="AX169" s="84">
        <f t="shared" si="290"/>
        <v>0</v>
      </c>
      <c r="AY169" s="84">
        <f t="shared" si="290"/>
        <v>0</v>
      </c>
      <c r="AZ169" s="84">
        <f t="shared" si="290"/>
        <v>0</v>
      </c>
      <c r="BA169" s="84">
        <f t="shared" si="290"/>
        <v>0</v>
      </c>
      <c r="BB169" s="84">
        <f t="shared" si="290"/>
        <v>0</v>
      </c>
      <c r="BC169" s="84">
        <f t="shared" si="290"/>
        <v>0</v>
      </c>
      <c r="BD169" s="216">
        <f>-50.319-BC169-BB169</f>
        <v>-50.319000000000003</v>
      </c>
      <c r="BE169" s="216">
        <f>-54.054-BD169</f>
        <v>-3.7349999999999994</v>
      </c>
      <c r="BF169" s="216">
        <v>-47.405999999999999</v>
      </c>
      <c r="BG169" s="216">
        <f>-38.087-BF169</f>
        <v>9.3189999999999955</v>
      </c>
      <c r="BH169" s="216">
        <f>4.614-BG169-BF169</f>
        <v>42.701000000000001</v>
      </c>
      <c r="BI169" s="216">
        <f>79.691-BH169-BG169-BF169</f>
        <v>75.076999999999998</v>
      </c>
      <c r="BJ169" s="84">
        <f t="shared" ref="BJ169:BU169" si="291">SUM(BJ157:BJ168)</f>
        <v>73.402243404788621</v>
      </c>
      <c r="BK169" s="84">
        <f t="shared" si="291"/>
        <v>87.140988843316251</v>
      </c>
      <c r="BL169" s="84">
        <f t="shared" si="291"/>
        <v>104.08753216878836</v>
      </c>
      <c r="BM169" s="84">
        <f t="shared" si="291"/>
        <v>114.08482592582014</v>
      </c>
      <c r="BN169" s="84">
        <f t="shared" si="291"/>
        <v>106.79074436183868</v>
      </c>
      <c r="BO169" s="84">
        <f t="shared" si="291"/>
        <v>117.75986622401977</v>
      </c>
      <c r="BP169" s="84">
        <f t="shared" si="291"/>
        <v>118.33283874406145</v>
      </c>
      <c r="BQ169" s="84">
        <f t="shared" si="291"/>
        <v>115.56610356831305</v>
      </c>
      <c r="BR169" s="84">
        <f t="shared" si="291"/>
        <v>112.34857768828644</v>
      </c>
      <c r="BS169" s="84">
        <f t="shared" si="291"/>
        <v>113.77103814904862</v>
      </c>
      <c r="BT169" s="84">
        <f t="shared" si="291"/>
        <v>115.74071752501116</v>
      </c>
      <c r="BU169" s="84">
        <f t="shared" si="291"/>
        <v>112.71251066686744</v>
      </c>
      <c r="BX169" s="221">
        <f t="shared" si="259"/>
        <v>161</v>
      </c>
    </row>
    <row r="170" spans="1:76" outlineLevel="1">
      <c r="A170" s="180"/>
      <c r="B170" s="92" t="s">
        <v>84</v>
      </c>
      <c r="C170" s="19"/>
      <c r="D170" s="19"/>
      <c r="E170" s="19"/>
      <c r="F170" s="19"/>
      <c r="G170" s="19"/>
      <c r="H170" s="19"/>
      <c r="I170" s="19"/>
      <c r="J170" s="40">
        <v>-130.48500000000001</v>
      </c>
      <c r="K170" s="40">
        <v>-26.085999999999999</v>
      </c>
      <c r="L170" s="40">
        <f>SUMIF($R$5:$BV$5,L$5,$R170:$BV170)</f>
        <v>-23.126000000000001</v>
      </c>
      <c r="M170" s="40">
        <f>SUMIF($R$5:$BV$5,M$5,$R170:$BV170)</f>
        <v>-141.34</v>
      </c>
      <c r="N170" s="40">
        <f>SUMIF($R$5:$BV$5,N$5,$R170:$BV170)</f>
        <v>-230</v>
      </c>
      <c r="O170" s="40">
        <f>SUMIF($R$5:$BV$5,O$5,$R170:$BV170)</f>
        <v>-126.5</v>
      </c>
      <c r="P170" s="40">
        <f>SUMIF($R$5:$BV$5,P$5,$R170:$BV170)</f>
        <v>-126</v>
      </c>
      <c r="Q170" s="40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C170" s="91"/>
      <c r="BD170" s="91">
        <v>-15.603999999999999</v>
      </c>
      <c r="BE170" s="59">
        <f>-23.126-BD170</f>
        <v>-7.522000000000002</v>
      </c>
      <c r="BF170" s="59">
        <v>-10.07</v>
      </c>
      <c r="BG170" s="59">
        <f>-27.935-BF170</f>
        <v>-17.864999999999998</v>
      </c>
      <c r="BH170" s="59">
        <f>-84.348-BG170-BF170</f>
        <v>-56.413000000000004</v>
      </c>
      <c r="BI170" s="59">
        <f>-141.34-BH170-BG170-BF170</f>
        <v>-56.991999999999997</v>
      </c>
      <c r="BJ170" s="40">
        <f t="shared" ref="BJ170:BU170" si="292">-BJ106</f>
        <v>-36</v>
      </c>
      <c r="BK170" s="40">
        <f t="shared" si="292"/>
        <v>-89.666666666666671</v>
      </c>
      <c r="BL170" s="40">
        <f t="shared" si="292"/>
        <v>-70.833333333333343</v>
      </c>
      <c r="BM170" s="40">
        <f t="shared" si="292"/>
        <v>-33.5</v>
      </c>
      <c r="BN170" s="40">
        <f t="shared" si="292"/>
        <v>-32</v>
      </c>
      <c r="BO170" s="40">
        <f t="shared" si="292"/>
        <v>-31.5</v>
      </c>
      <c r="BP170" s="40">
        <f t="shared" si="292"/>
        <v>-31.5</v>
      </c>
      <c r="BQ170" s="40">
        <f t="shared" si="292"/>
        <v>-31.5</v>
      </c>
      <c r="BR170" s="40">
        <f t="shared" si="292"/>
        <v>-31.5</v>
      </c>
      <c r="BS170" s="40">
        <f t="shared" si="292"/>
        <v>-31.5</v>
      </c>
      <c r="BT170" s="40">
        <f t="shared" si="292"/>
        <v>-31.5</v>
      </c>
      <c r="BU170" s="40">
        <f t="shared" si="292"/>
        <v>-31.5</v>
      </c>
      <c r="BX170" s="221">
        <f t="shared" si="259"/>
        <v>162</v>
      </c>
    </row>
    <row r="171" spans="1:76" outlineLevel="1">
      <c r="A171" s="180"/>
      <c r="B171" s="86" t="s">
        <v>149</v>
      </c>
      <c r="C171" s="85"/>
      <c r="D171" s="85"/>
      <c r="E171" s="85"/>
      <c r="F171" s="85"/>
      <c r="G171" s="85"/>
      <c r="H171" s="85"/>
      <c r="I171" s="85"/>
      <c r="J171" s="84">
        <f t="shared" ref="J171:O171" si="293">J169+J170</f>
        <v>-111.75300000000001</v>
      </c>
      <c r="K171" s="84">
        <f t="shared" si="293"/>
        <v>11.435000000000002</v>
      </c>
      <c r="L171" s="84">
        <f t="shared" si="293"/>
        <v>-77.179999999999993</v>
      </c>
      <c r="M171" s="84">
        <f t="shared" si="293"/>
        <v>-61.649000000000001</v>
      </c>
      <c r="N171" s="84">
        <f t="shared" si="293"/>
        <v>148.71559034271343</v>
      </c>
      <c r="O171" s="84">
        <f t="shared" si="293"/>
        <v>331.94955289823292</v>
      </c>
      <c r="P171" s="84">
        <f t="shared" ref="P171" si="294">P169+P170</f>
        <v>328.57284402921368</v>
      </c>
      <c r="Q171" s="40"/>
      <c r="R171" s="84">
        <f t="shared" ref="R171:AW171" si="295">R169+R170</f>
        <v>0</v>
      </c>
      <c r="S171" s="84">
        <f t="shared" si="295"/>
        <v>0</v>
      </c>
      <c r="T171" s="84">
        <f t="shared" si="295"/>
        <v>0</v>
      </c>
      <c r="U171" s="84">
        <f t="shared" si="295"/>
        <v>0</v>
      </c>
      <c r="V171" s="84">
        <f t="shared" si="295"/>
        <v>0</v>
      </c>
      <c r="W171" s="84">
        <f t="shared" si="295"/>
        <v>0</v>
      </c>
      <c r="X171" s="84">
        <f t="shared" si="295"/>
        <v>0</v>
      </c>
      <c r="Y171" s="84">
        <f t="shared" si="295"/>
        <v>0</v>
      </c>
      <c r="Z171" s="84">
        <f t="shared" si="295"/>
        <v>0</v>
      </c>
      <c r="AA171" s="84">
        <f t="shared" si="295"/>
        <v>0</v>
      </c>
      <c r="AB171" s="84">
        <f t="shared" si="295"/>
        <v>0</v>
      </c>
      <c r="AC171" s="84">
        <f t="shared" si="295"/>
        <v>0</v>
      </c>
      <c r="AD171" s="84">
        <f t="shared" si="295"/>
        <v>0</v>
      </c>
      <c r="AE171" s="84">
        <f t="shared" si="295"/>
        <v>0</v>
      </c>
      <c r="AF171" s="84">
        <f t="shared" si="295"/>
        <v>0</v>
      </c>
      <c r="AG171" s="84">
        <f t="shared" si="295"/>
        <v>0</v>
      </c>
      <c r="AH171" s="84">
        <f t="shared" si="295"/>
        <v>0</v>
      </c>
      <c r="AI171" s="84">
        <f t="shared" si="295"/>
        <v>0</v>
      </c>
      <c r="AJ171" s="84">
        <f t="shared" si="295"/>
        <v>0</v>
      </c>
      <c r="AK171" s="84">
        <f t="shared" si="295"/>
        <v>0</v>
      </c>
      <c r="AL171" s="84">
        <f t="shared" si="295"/>
        <v>0</v>
      </c>
      <c r="AM171" s="84">
        <f t="shared" si="295"/>
        <v>0</v>
      </c>
      <c r="AN171" s="84">
        <f t="shared" si="295"/>
        <v>0</v>
      </c>
      <c r="AO171" s="84">
        <f t="shared" si="295"/>
        <v>0</v>
      </c>
      <c r="AP171" s="84">
        <f t="shared" si="295"/>
        <v>0</v>
      </c>
      <c r="AQ171" s="84">
        <f t="shared" si="295"/>
        <v>0</v>
      </c>
      <c r="AR171" s="84">
        <f t="shared" si="295"/>
        <v>0</v>
      </c>
      <c r="AS171" s="84">
        <f t="shared" si="295"/>
        <v>0</v>
      </c>
      <c r="AT171" s="84">
        <f t="shared" si="295"/>
        <v>0</v>
      </c>
      <c r="AU171" s="84">
        <f t="shared" si="295"/>
        <v>0</v>
      </c>
      <c r="AV171" s="84">
        <f t="shared" si="295"/>
        <v>0</v>
      </c>
      <c r="AW171" s="84">
        <f t="shared" si="295"/>
        <v>0</v>
      </c>
      <c r="AX171" s="84">
        <f t="shared" ref="AX171:BU171" si="296">AX169+AX170</f>
        <v>0</v>
      </c>
      <c r="AY171" s="84">
        <f t="shared" si="296"/>
        <v>0</v>
      </c>
      <c r="AZ171" s="84">
        <f t="shared" si="296"/>
        <v>0</v>
      </c>
      <c r="BA171" s="84">
        <f t="shared" si="296"/>
        <v>0</v>
      </c>
      <c r="BB171" s="84">
        <f t="shared" si="296"/>
        <v>0</v>
      </c>
      <c r="BC171" s="84">
        <f t="shared" si="296"/>
        <v>0</v>
      </c>
      <c r="BD171" s="84">
        <f t="shared" si="296"/>
        <v>-65.923000000000002</v>
      </c>
      <c r="BE171" s="84">
        <f t="shared" si="296"/>
        <v>-11.257000000000001</v>
      </c>
      <c r="BF171" s="84">
        <f t="shared" si="296"/>
        <v>-57.475999999999999</v>
      </c>
      <c r="BG171" s="84">
        <f t="shared" si="296"/>
        <v>-8.5460000000000029</v>
      </c>
      <c r="BH171" s="84">
        <f t="shared" si="296"/>
        <v>-13.712000000000003</v>
      </c>
      <c r="BI171" s="84">
        <f t="shared" si="296"/>
        <v>18.085000000000001</v>
      </c>
      <c r="BJ171" s="84">
        <f t="shared" si="296"/>
        <v>37.402243404788621</v>
      </c>
      <c r="BK171" s="84">
        <f t="shared" si="296"/>
        <v>-2.5256778233504207</v>
      </c>
      <c r="BL171" s="84">
        <f t="shared" si="296"/>
        <v>33.254198835455014</v>
      </c>
      <c r="BM171" s="84">
        <f t="shared" si="296"/>
        <v>80.584825925820141</v>
      </c>
      <c r="BN171" s="84">
        <f t="shared" si="296"/>
        <v>74.790744361838676</v>
      </c>
      <c r="BO171" s="84">
        <f t="shared" si="296"/>
        <v>86.259866224019774</v>
      </c>
      <c r="BP171" s="84">
        <f t="shared" si="296"/>
        <v>86.832838744061448</v>
      </c>
      <c r="BQ171" s="84">
        <f t="shared" si="296"/>
        <v>84.066103568313054</v>
      </c>
      <c r="BR171" s="84">
        <f t="shared" si="296"/>
        <v>80.84857768828644</v>
      </c>
      <c r="BS171" s="84">
        <f t="shared" si="296"/>
        <v>82.271038149048621</v>
      </c>
      <c r="BT171" s="84">
        <f t="shared" si="296"/>
        <v>84.240717525011164</v>
      </c>
      <c r="BU171" s="84">
        <f t="shared" si="296"/>
        <v>81.212510666867445</v>
      </c>
      <c r="BV171" s="214"/>
      <c r="BW171" s="214"/>
      <c r="BX171" s="221">
        <f t="shared" si="259"/>
        <v>163</v>
      </c>
    </row>
    <row r="172" spans="1:76" outlineLevel="1">
      <c r="A172" s="180"/>
      <c r="B172" s="92" t="s">
        <v>148</v>
      </c>
      <c r="C172" s="19"/>
      <c r="D172" s="19"/>
      <c r="E172" s="19"/>
      <c r="F172" s="19"/>
      <c r="G172" s="19"/>
      <c r="H172" s="19"/>
      <c r="I172" s="19"/>
      <c r="J172" s="40">
        <v>0</v>
      </c>
      <c r="K172" s="40">
        <v>0</v>
      </c>
      <c r="L172" s="40">
        <f t="shared" ref="K172:P180" si="297">SUMIF($R$5:$BV$5,L$5,$R172:$BV172)</f>
        <v>-203.9</v>
      </c>
      <c r="M172" s="40">
        <f t="shared" si="297"/>
        <v>-116.57599999999999</v>
      </c>
      <c r="N172" s="40">
        <f t="shared" si="297"/>
        <v>0</v>
      </c>
      <c r="O172" s="40">
        <f t="shared" si="297"/>
        <v>0</v>
      </c>
      <c r="P172" s="40">
        <f t="shared" si="297"/>
        <v>0</v>
      </c>
      <c r="Q172" s="40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C172" s="91"/>
      <c r="BD172" s="91">
        <v>-203.9</v>
      </c>
      <c r="BE172" s="59">
        <f>-203.9-BD172</f>
        <v>0</v>
      </c>
      <c r="BF172" s="59">
        <v>0</v>
      </c>
      <c r="BG172" s="59">
        <v>0</v>
      </c>
      <c r="BH172" s="59">
        <f>-124.374-BG172-BF172</f>
        <v>-124.374</v>
      </c>
      <c r="BI172" s="59">
        <f>-116.576-BH172-BG172-BF172</f>
        <v>7.7980000000000018</v>
      </c>
      <c r="BJ172" s="112">
        <v>0</v>
      </c>
      <c r="BK172" s="112">
        <v>0</v>
      </c>
      <c r="BL172" s="112">
        <v>0</v>
      </c>
      <c r="BM172" s="112">
        <v>0</v>
      </c>
      <c r="BN172" s="112">
        <v>0</v>
      </c>
      <c r="BO172" s="112">
        <v>0</v>
      </c>
      <c r="BP172" s="112">
        <v>0</v>
      </c>
      <c r="BQ172" s="112">
        <v>0</v>
      </c>
      <c r="BR172" s="112">
        <v>0</v>
      </c>
      <c r="BS172" s="112">
        <v>0</v>
      </c>
      <c r="BT172" s="112">
        <v>0</v>
      </c>
      <c r="BU172" s="112">
        <v>0</v>
      </c>
      <c r="BX172" s="221">
        <f t="shared" si="259"/>
        <v>164</v>
      </c>
    </row>
    <row r="173" spans="1:76" outlineLevel="1">
      <c r="A173" s="180"/>
      <c r="B173" s="92" t="s">
        <v>147</v>
      </c>
      <c r="C173" s="19"/>
      <c r="D173" s="19"/>
      <c r="E173" s="19"/>
      <c r="F173" s="19"/>
      <c r="G173" s="19"/>
      <c r="H173" s="19"/>
      <c r="I173" s="19"/>
      <c r="J173" s="40">
        <v>1.76</v>
      </c>
      <c r="K173" s="40">
        <v>1.278</v>
      </c>
      <c r="L173" s="40">
        <f t="shared" si="297"/>
        <v>0.71099999999999997</v>
      </c>
      <c r="M173" s="40">
        <f t="shared" si="297"/>
        <v>30.565000000000001</v>
      </c>
      <c r="N173" s="40">
        <f t="shared" si="297"/>
        <v>0</v>
      </c>
      <c r="O173" s="40">
        <f t="shared" si="297"/>
        <v>0</v>
      </c>
      <c r="P173" s="40">
        <f t="shared" si="297"/>
        <v>0</v>
      </c>
      <c r="Q173" s="40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C173" s="91"/>
      <c r="BD173" s="91">
        <v>0.7</v>
      </c>
      <c r="BE173" s="59">
        <f>0.711-BD173</f>
        <v>1.100000000000001E-2</v>
      </c>
      <c r="BF173" s="59">
        <v>2.3759999999999999</v>
      </c>
      <c r="BG173" s="59">
        <f>2.393-BF173</f>
        <v>1.6999999999999904E-2</v>
      </c>
      <c r="BH173" s="59">
        <f>10.53-BG173-BF173</f>
        <v>8.1370000000000005</v>
      </c>
      <c r="BI173" s="59">
        <f>30.565-BH173-BG173-BF173</f>
        <v>20.035</v>
      </c>
      <c r="BJ173" s="112">
        <v>0</v>
      </c>
      <c r="BK173" s="112">
        <v>0</v>
      </c>
      <c r="BL173" s="112">
        <v>0</v>
      </c>
      <c r="BM173" s="112">
        <v>0</v>
      </c>
      <c r="BN173" s="112">
        <v>0</v>
      </c>
      <c r="BO173" s="112">
        <v>0</v>
      </c>
      <c r="BP173" s="112">
        <v>0</v>
      </c>
      <c r="BQ173" s="112">
        <v>0</v>
      </c>
      <c r="BR173" s="112">
        <v>0</v>
      </c>
      <c r="BS173" s="112">
        <v>0</v>
      </c>
      <c r="BT173" s="112">
        <v>0</v>
      </c>
      <c r="BU173" s="112">
        <v>0</v>
      </c>
      <c r="BV173" s="214"/>
      <c r="BX173" s="221">
        <f t="shared" si="259"/>
        <v>165</v>
      </c>
    </row>
    <row r="174" spans="1:76" outlineLevel="1">
      <c r="A174" s="180"/>
      <c r="B174" s="92" t="s">
        <v>146</v>
      </c>
      <c r="C174" s="19"/>
      <c r="D174" s="19"/>
      <c r="E174" s="19"/>
      <c r="F174" s="19"/>
      <c r="G174" s="19"/>
      <c r="H174" s="19"/>
      <c r="I174" s="19"/>
      <c r="J174" s="40">
        <f>-10.871-0.037-0.13+0.888+0.005</f>
        <v>-10.145000000000001</v>
      </c>
      <c r="K174" s="40">
        <f>-1.114-0.046-0.069-0.001</f>
        <v>-1.23</v>
      </c>
      <c r="L174" s="40">
        <f t="shared" si="297"/>
        <v>-0.84599999999999997</v>
      </c>
      <c r="M174" s="40">
        <f t="shared" si="297"/>
        <v>-23.424999999999997</v>
      </c>
      <c r="N174" s="40">
        <f t="shared" si="297"/>
        <v>0</v>
      </c>
      <c r="O174" s="40">
        <f t="shared" si="297"/>
        <v>0</v>
      </c>
      <c r="P174" s="40">
        <f t="shared" si="297"/>
        <v>0</v>
      </c>
      <c r="Q174" s="40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C174" s="91"/>
      <c r="BD174" s="91">
        <f>-0.095-0.309+0.001</f>
        <v>-0.40300000000000002</v>
      </c>
      <c r="BE174" s="59">
        <f>-0.42-0.453+0.022+0.005-BD174</f>
        <v>-0.44299999999999995</v>
      </c>
      <c r="BF174" s="59">
        <f>-0.007-0.157</f>
        <v>-0.16400000000000001</v>
      </c>
      <c r="BG174" s="59">
        <f>-0.394-0.337-0.157-BF174</f>
        <v>-0.72400000000000009</v>
      </c>
      <c r="BH174" s="59">
        <f>-3.667-0.66-0.157-BG174-BF174</f>
        <v>-3.5959999999999996</v>
      </c>
      <c r="BI174" s="59">
        <f>-23.096-0.687-0.157+0.515-BH174-BG174-BF174</f>
        <v>-18.940999999999999</v>
      </c>
      <c r="BJ174" s="112">
        <v>0</v>
      </c>
      <c r="BK174" s="112">
        <v>0</v>
      </c>
      <c r="BL174" s="112">
        <v>0</v>
      </c>
      <c r="BM174" s="112">
        <v>0</v>
      </c>
      <c r="BN174" s="112">
        <v>0</v>
      </c>
      <c r="BO174" s="112">
        <v>0</v>
      </c>
      <c r="BP174" s="112">
        <v>0</v>
      </c>
      <c r="BQ174" s="112">
        <v>0</v>
      </c>
      <c r="BR174" s="112">
        <v>0</v>
      </c>
      <c r="BS174" s="112">
        <v>0</v>
      </c>
      <c r="BT174" s="112">
        <v>0</v>
      </c>
      <c r="BU174" s="112">
        <v>0</v>
      </c>
      <c r="BV174" s="214"/>
      <c r="BW174" s="214"/>
      <c r="BX174" s="221">
        <f t="shared" si="259"/>
        <v>166</v>
      </c>
    </row>
    <row r="175" spans="1:76" outlineLevel="1">
      <c r="A175" s="180"/>
      <c r="B175" s="92" t="s">
        <v>145</v>
      </c>
      <c r="C175" s="19"/>
      <c r="D175" s="19"/>
      <c r="E175" s="19"/>
      <c r="F175" s="19"/>
      <c r="G175" s="19"/>
      <c r="H175" s="19"/>
      <c r="I175" s="19"/>
      <c r="J175" s="40">
        <f>12.924-61.091+245-59.135+40-20</f>
        <v>157.69800000000001</v>
      </c>
      <c r="K175" s="40">
        <f>-1.661-5</f>
        <v>-6.6609999999999996</v>
      </c>
      <c r="L175" s="40">
        <f t="shared" si="297"/>
        <v>91.684999999999988</v>
      </c>
      <c r="M175" s="40">
        <f t="shared" si="297"/>
        <v>-7.7629999999999768</v>
      </c>
      <c r="N175" s="40">
        <f t="shared" si="297"/>
        <v>-5.4440000000000168</v>
      </c>
      <c r="O175" s="40">
        <f t="shared" si="297"/>
        <v>-5.4440000000000168</v>
      </c>
      <c r="P175" s="40">
        <f t="shared" si="297"/>
        <v>-5.4440000000000737</v>
      </c>
      <c r="Q175" s="40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C175" s="91"/>
      <c r="BD175" s="91">
        <f>100-5-2.049</f>
        <v>92.950999999999993</v>
      </c>
      <c r="BE175" s="59">
        <f>100-5.647-2.668-BD175</f>
        <v>-1.2660000000000053</v>
      </c>
      <c r="BF175" s="59">
        <f>150-288.103-0.662</f>
        <v>-138.76500000000001</v>
      </c>
      <c r="BG175" s="59">
        <f>150-288.478-1.33-BF175</f>
        <v>-1.0430000000000064</v>
      </c>
      <c r="BH175" s="59">
        <f>285-289.19-2.059-BG175-BF175</f>
        <v>133.55900000000003</v>
      </c>
      <c r="BI175" s="59">
        <f>285-289.902-2.861-BH175-BG175-BF175</f>
        <v>-1.5139999999999816</v>
      </c>
      <c r="BJ175" s="40">
        <f t="shared" ref="BJ175:BU175" si="298">(BJ219-BI219)</f>
        <v>-1.36099999999999</v>
      </c>
      <c r="BK175" s="40">
        <f t="shared" si="298"/>
        <v>-1.36099999999999</v>
      </c>
      <c r="BL175" s="40">
        <f t="shared" si="298"/>
        <v>-1.36099999999999</v>
      </c>
      <c r="BM175" s="40">
        <f t="shared" si="298"/>
        <v>-1.3610000000000468</v>
      </c>
      <c r="BN175" s="40">
        <f t="shared" si="298"/>
        <v>-1.36099999999999</v>
      </c>
      <c r="BO175" s="40">
        <f t="shared" si="298"/>
        <v>-1.3610000000000468</v>
      </c>
      <c r="BP175" s="40">
        <f t="shared" si="298"/>
        <v>-1.36099999999999</v>
      </c>
      <c r="BQ175" s="40">
        <f t="shared" si="298"/>
        <v>-1.36099999999999</v>
      </c>
      <c r="BR175" s="40">
        <f t="shared" si="298"/>
        <v>-1.3610000000000468</v>
      </c>
      <c r="BS175" s="40">
        <f t="shared" si="298"/>
        <v>-1.36099999999999</v>
      </c>
      <c r="BT175" s="40">
        <f t="shared" si="298"/>
        <v>-1.3610000000000468</v>
      </c>
      <c r="BU175" s="40">
        <f t="shared" si="298"/>
        <v>-1.36099999999999</v>
      </c>
      <c r="BV175" s="214"/>
      <c r="BX175" s="221">
        <f t="shared" si="259"/>
        <v>167</v>
      </c>
    </row>
    <row r="176" spans="1:76" outlineLevel="1">
      <c r="A176" s="180"/>
      <c r="B176" s="92" t="s">
        <v>144</v>
      </c>
      <c r="C176" s="19"/>
      <c r="D176" s="19"/>
      <c r="E176" s="19"/>
      <c r="F176" s="19"/>
      <c r="G176" s="19"/>
      <c r="H176" s="19"/>
      <c r="I176" s="19"/>
      <c r="J176" s="40">
        <v>0</v>
      </c>
      <c r="K176" s="40">
        <f t="shared" si="297"/>
        <v>0</v>
      </c>
      <c r="L176" s="40">
        <f t="shared" si="297"/>
        <v>0</v>
      </c>
      <c r="M176" s="40">
        <f t="shared" si="297"/>
        <v>0</v>
      </c>
      <c r="N176" s="40">
        <f t="shared" si="297"/>
        <v>0</v>
      </c>
      <c r="O176" s="40">
        <f t="shared" si="297"/>
        <v>0</v>
      </c>
      <c r="P176" s="40">
        <f t="shared" si="297"/>
        <v>0</v>
      </c>
      <c r="Q176" s="40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C176" s="91"/>
      <c r="BD176" s="91">
        <v>0</v>
      </c>
      <c r="BE176" s="59">
        <f>+BE46*BE263</f>
        <v>0</v>
      </c>
      <c r="BF176" s="59">
        <f>+BF46*BF263</f>
        <v>0</v>
      </c>
      <c r="BG176" s="59">
        <v>0</v>
      </c>
      <c r="BH176" s="59">
        <f t="shared" ref="BH176:BU176" si="299">+BH46*BH263</f>
        <v>0</v>
      </c>
      <c r="BI176" s="59">
        <f t="shared" si="299"/>
        <v>0</v>
      </c>
      <c r="BJ176" s="40">
        <f t="shared" si="299"/>
        <v>0</v>
      </c>
      <c r="BK176" s="40">
        <f t="shared" si="299"/>
        <v>0</v>
      </c>
      <c r="BL176" s="40">
        <f t="shared" si="299"/>
        <v>0</v>
      </c>
      <c r="BM176" s="40">
        <f t="shared" si="299"/>
        <v>0</v>
      </c>
      <c r="BN176" s="40">
        <f t="shared" si="299"/>
        <v>0</v>
      </c>
      <c r="BO176" s="40">
        <f t="shared" si="299"/>
        <v>0</v>
      </c>
      <c r="BP176" s="40">
        <f t="shared" si="299"/>
        <v>0</v>
      </c>
      <c r="BQ176" s="40">
        <f t="shared" si="299"/>
        <v>0</v>
      </c>
      <c r="BR176" s="40">
        <f t="shared" si="299"/>
        <v>0</v>
      </c>
      <c r="BS176" s="40">
        <f t="shared" si="299"/>
        <v>0</v>
      </c>
      <c r="BT176" s="40">
        <f t="shared" si="299"/>
        <v>0</v>
      </c>
      <c r="BU176" s="40">
        <f t="shared" si="299"/>
        <v>0</v>
      </c>
      <c r="BX176" s="221">
        <f t="shared" si="259"/>
        <v>168</v>
      </c>
    </row>
    <row r="177" spans="1:76" outlineLevel="1">
      <c r="A177" s="180"/>
      <c r="B177" s="92" t="s">
        <v>143</v>
      </c>
      <c r="C177" s="19"/>
      <c r="D177" s="19"/>
      <c r="E177" s="19"/>
      <c r="F177" s="19"/>
      <c r="G177" s="19"/>
      <c r="H177" s="19"/>
      <c r="I177" s="19"/>
      <c r="J177" s="40">
        <v>0</v>
      </c>
      <c r="K177" s="40">
        <f t="shared" si="297"/>
        <v>0</v>
      </c>
      <c r="L177" s="40">
        <f t="shared" si="297"/>
        <v>200</v>
      </c>
      <c r="M177" s="40">
        <f t="shared" si="297"/>
        <v>255.494</v>
      </c>
      <c r="N177" s="40">
        <f t="shared" si="297"/>
        <v>0</v>
      </c>
      <c r="O177" s="40">
        <f t="shared" si="297"/>
        <v>0</v>
      </c>
      <c r="P177" s="40">
        <f t="shared" si="297"/>
        <v>0</v>
      </c>
      <c r="Q177" s="40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>
        <v>200</v>
      </c>
      <c r="BE177" s="59">
        <f>200-BD177</f>
        <v>0</v>
      </c>
      <c r="BF177" s="59">
        <v>255.494</v>
      </c>
      <c r="BG177" s="59">
        <f>255.494-BF177</f>
        <v>0</v>
      </c>
      <c r="BH177" s="59">
        <f>255.494-BG177-BF177</f>
        <v>0</v>
      </c>
      <c r="BI177" s="59">
        <v>0</v>
      </c>
      <c r="BJ177" s="59">
        <v>0</v>
      </c>
      <c r="BK177" s="59">
        <v>0</v>
      </c>
      <c r="BL177" s="59">
        <v>0</v>
      </c>
      <c r="BM177" s="59">
        <v>0</v>
      </c>
      <c r="BN177" s="59">
        <v>0</v>
      </c>
      <c r="BO177" s="59">
        <v>0</v>
      </c>
      <c r="BP177" s="59">
        <v>0</v>
      </c>
      <c r="BQ177" s="59">
        <v>0</v>
      </c>
      <c r="BR177" s="59">
        <v>0</v>
      </c>
      <c r="BS177" s="59">
        <v>0</v>
      </c>
      <c r="BT177" s="59">
        <v>0</v>
      </c>
      <c r="BU177" s="59">
        <v>0</v>
      </c>
      <c r="BX177" s="221">
        <f t="shared" si="259"/>
        <v>169</v>
      </c>
    </row>
    <row r="178" spans="1:76" outlineLevel="1">
      <c r="A178" s="180"/>
      <c r="B178" s="92" t="s">
        <v>142</v>
      </c>
      <c r="C178" s="19"/>
      <c r="D178" s="19"/>
      <c r="E178" s="19"/>
      <c r="F178" s="19"/>
      <c r="G178" s="19"/>
      <c r="H178" s="19"/>
      <c r="I178" s="19"/>
      <c r="J178" s="40">
        <v>0</v>
      </c>
      <c r="K178" s="40">
        <f t="shared" si="297"/>
        <v>0</v>
      </c>
      <c r="L178" s="40">
        <f t="shared" si="297"/>
        <v>0</v>
      </c>
      <c r="M178" s="40">
        <f t="shared" si="297"/>
        <v>0</v>
      </c>
      <c r="N178" s="40">
        <f t="shared" si="297"/>
        <v>0</v>
      </c>
      <c r="O178" s="40">
        <f t="shared" si="297"/>
        <v>0</v>
      </c>
      <c r="P178" s="40">
        <f t="shared" si="297"/>
        <v>0</v>
      </c>
      <c r="Q178" s="40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C178" s="91"/>
      <c r="BD178" s="91"/>
      <c r="BE178" s="59">
        <v>0</v>
      </c>
      <c r="BF178" s="59">
        <v>0</v>
      </c>
      <c r="BG178" s="59">
        <v>0</v>
      </c>
      <c r="BH178" s="59">
        <v>0</v>
      </c>
      <c r="BI178" s="59">
        <v>0</v>
      </c>
      <c r="BJ178" s="59">
        <v>0</v>
      </c>
      <c r="BK178" s="59">
        <v>0</v>
      </c>
      <c r="BL178" s="59">
        <v>0</v>
      </c>
      <c r="BM178" s="59">
        <v>0</v>
      </c>
      <c r="BN178" s="59">
        <v>0</v>
      </c>
      <c r="BO178" s="59">
        <v>0</v>
      </c>
      <c r="BP178" s="59">
        <v>0</v>
      </c>
      <c r="BQ178" s="59">
        <v>0</v>
      </c>
      <c r="BR178" s="59">
        <v>0</v>
      </c>
      <c r="BS178" s="59">
        <v>0</v>
      </c>
      <c r="BT178" s="59">
        <v>0</v>
      </c>
      <c r="BU178" s="59">
        <v>0</v>
      </c>
      <c r="BX178" s="221">
        <f t="shared" si="259"/>
        <v>170</v>
      </c>
    </row>
    <row r="179" spans="1:76" outlineLevel="1">
      <c r="A179" s="180"/>
      <c r="B179" s="92" t="s">
        <v>141</v>
      </c>
      <c r="C179" s="19"/>
      <c r="D179" s="19"/>
      <c r="E179" s="19"/>
      <c r="F179" s="19"/>
      <c r="G179" s="19"/>
      <c r="H179" s="19"/>
      <c r="I179" s="19"/>
      <c r="J179" s="40">
        <f>-9.5-0.337-10.563</f>
        <v>-20.399999999999999</v>
      </c>
      <c r="K179" s="40">
        <f>-2.5-0.222-1.135</f>
        <v>-3.8570000000000002</v>
      </c>
      <c r="L179" s="40">
        <f t="shared" si="297"/>
        <v>-15.052</v>
      </c>
      <c r="M179" s="40">
        <f t="shared" si="297"/>
        <v>-29.609000000000002</v>
      </c>
      <c r="N179" s="40">
        <f t="shared" si="297"/>
        <v>0</v>
      </c>
      <c r="O179" s="40">
        <f t="shared" si="297"/>
        <v>0</v>
      </c>
      <c r="P179" s="40">
        <f t="shared" si="297"/>
        <v>0</v>
      </c>
      <c r="Q179" s="40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C179" s="91"/>
      <c r="BD179" s="91">
        <v>-14.646000000000001</v>
      </c>
      <c r="BE179" s="59">
        <f>-15.052-BD179</f>
        <v>-0.40599999999999881</v>
      </c>
      <c r="BF179" s="59">
        <f>-15.817-8.8</f>
        <v>-24.617000000000001</v>
      </c>
      <c r="BG179" s="59">
        <f>-15.817-8.8-BF179</f>
        <v>0</v>
      </c>
      <c r="BH179" s="59">
        <f>-15.817-12.739-BG179-BF179</f>
        <v>-3.9390000000000001</v>
      </c>
      <c r="BI179" s="59">
        <f>-15.817-13.792-BH179-BG179-BF179</f>
        <v>-1.0530000000000008</v>
      </c>
      <c r="BJ179" s="59">
        <v>0</v>
      </c>
      <c r="BK179" s="59">
        <v>0</v>
      </c>
      <c r="BL179" s="59">
        <v>0</v>
      </c>
      <c r="BM179" s="59">
        <v>0</v>
      </c>
      <c r="BN179" s="59">
        <v>0</v>
      </c>
      <c r="BO179" s="59">
        <v>0</v>
      </c>
      <c r="BP179" s="59">
        <v>0</v>
      </c>
      <c r="BQ179" s="59">
        <v>0</v>
      </c>
      <c r="BR179" s="59">
        <v>0</v>
      </c>
      <c r="BS179" s="59">
        <v>0</v>
      </c>
      <c r="BT179" s="59">
        <v>0</v>
      </c>
      <c r="BU179" s="59">
        <v>0</v>
      </c>
      <c r="BX179" s="221">
        <f t="shared" si="259"/>
        <v>171</v>
      </c>
    </row>
    <row r="180" spans="1:76" outlineLevel="1">
      <c r="A180" s="180"/>
      <c r="B180" s="92" t="s">
        <v>300</v>
      </c>
      <c r="C180" s="19"/>
      <c r="D180" s="19"/>
      <c r="E180" s="19"/>
      <c r="F180" s="19"/>
      <c r="G180" s="19"/>
      <c r="H180" s="19"/>
      <c r="I180" s="19"/>
      <c r="J180" s="40">
        <v>-0.4</v>
      </c>
      <c r="K180" s="40">
        <v>0.25</v>
      </c>
      <c r="L180" s="40">
        <f t="shared" si="297"/>
        <v>0.08</v>
      </c>
      <c r="M180" s="40">
        <f t="shared" si="297"/>
        <v>0.16299999999999998</v>
      </c>
      <c r="N180" s="40">
        <f t="shared" si="297"/>
        <v>0</v>
      </c>
      <c r="O180" s="40">
        <f t="shared" si="297"/>
        <v>0</v>
      </c>
      <c r="P180" s="40">
        <f t="shared" si="297"/>
        <v>0</v>
      </c>
      <c r="Q180" s="40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C180" s="91"/>
      <c r="BD180" s="91">
        <v>0.182</v>
      </c>
      <c r="BE180" s="59">
        <f>0.08-BD180</f>
        <v>-0.10199999999999999</v>
      </c>
      <c r="BF180" s="59">
        <v>2.8000000000000001E-2</v>
      </c>
      <c r="BG180" s="59">
        <f>0.08-BF180</f>
        <v>5.2000000000000005E-2</v>
      </c>
      <c r="BH180" s="59">
        <f>0.182-BG180-BF180</f>
        <v>0.10200000000000001</v>
      </c>
      <c r="BI180" s="59">
        <f>0.163-BH180-BG180-BF180</f>
        <v>-1.9000000000000006E-2</v>
      </c>
      <c r="BJ180" s="59">
        <v>0</v>
      </c>
      <c r="BK180" s="59">
        <v>0</v>
      </c>
      <c r="BL180" s="59">
        <v>0</v>
      </c>
      <c r="BM180" s="59">
        <v>0</v>
      </c>
      <c r="BN180" s="59">
        <v>0</v>
      </c>
      <c r="BO180" s="59">
        <v>0</v>
      </c>
      <c r="BP180" s="59">
        <v>0</v>
      </c>
      <c r="BQ180" s="59">
        <v>0</v>
      </c>
      <c r="BR180" s="59">
        <v>0</v>
      </c>
      <c r="BS180" s="59">
        <v>0</v>
      </c>
      <c r="BT180" s="59">
        <v>0</v>
      </c>
      <c r="BU180" s="59">
        <v>0</v>
      </c>
      <c r="BX180" s="221">
        <f t="shared" si="259"/>
        <v>172</v>
      </c>
    </row>
    <row r="181" spans="1:76" outlineLevel="1">
      <c r="A181" s="180"/>
      <c r="B181" s="90" t="s">
        <v>140</v>
      </c>
      <c r="C181" s="89"/>
      <c r="D181" s="89"/>
      <c r="E181" s="89"/>
      <c r="F181" s="89"/>
      <c r="G181" s="89"/>
      <c r="H181" s="89"/>
      <c r="I181" s="89"/>
      <c r="J181" s="88">
        <f t="shared" ref="J181:O181" si="300">SUM(J171:J180)</f>
        <v>16.760000000000005</v>
      </c>
      <c r="K181" s="88">
        <f t="shared" si="300"/>
        <v>1.2150000000000025</v>
      </c>
      <c r="L181" s="88">
        <f t="shared" si="300"/>
        <v>-4.5019999999999722</v>
      </c>
      <c r="M181" s="88">
        <f t="shared" si="300"/>
        <v>47.200000000000038</v>
      </c>
      <c r="N181" s="88">
        <f t="shared" si="300"/>
        <v>143.27159034271341</v>
      </c>
      <c r="O181" s="88">
        <f t="shared" si="300"/>
        <v>326.50555289823291</v>
      </c>
      <c r="P181" s="88">
        <f t="shared" ref="P181" si="301">SUM(P171:P180)</f>
        <v>323.12884402921361</v>
      </c>
      <c r="Q181" s="40"/>
      <c r="R181" s="88">
        <f t="shared" ref="R181:AW181" si="302">SUM(R171:R180)</f>
        <v>0</v>
      </c>
      <c r="S181" s="88">
        <f t="shared" si="302"/>
        <v>0</v>
      </c>
      <c r="T181" s="88">
        <f t="shared" si="302"/>
        <v>0</v>
      </c>
      <c r="U181" s="88">
        <f t="shared" si="302"/>
        <v>0</v>
      </c>
      <c r="V181" s="88">
        <f t="shared" si="302"/>
        <v>0</v>
      </c>
      <c r="W181" s="88">
        <f t="shared" si="302"/>
        <v>0</v>
      </c>
      <c r="X181" s="88">
        <f t="shared" si="302"/>
        <v>0</v>
      </c>
      <c r="Y181" s="88">
        <f t="shared" si="302"/>
        <v>0</v>
      </c>
      <c r="Z181" s="88">
        <f t="shared" si="302"/>
        <v>0</v>
      </c>
      <c r="AA181" s="88">
        <f t="shared" si="302"/>
        <v>0</v>
      </c>
      <c r="AB181" s="88">
        <f t="shared" si="302"/>
        <v>0</v>
      </c>
      <c r="AC181" s="88">
        <f t="shared" si="302"/>
        <v>0</v>
      </c>
      <c r="AD181" s="88">
        <f t="shared" si="302"/>
        <v>0</v>
      </c>
      <c r="AE181" s="88">
        <f t="shared" si="302"/>
        <v>0</v>
      </c>
      <c r="AF181" s="88">
        <f t="shared" si="302"/>
        <v>0</v>
      </c>
      <c r="AG181" s="88">
        <f t="shared" si="302"/>
        <v>0</v>
      </c>
      <c r="AH181" s="88">
        <f t="shared" si="302"/>
        <v>0</v>
      </c>
      <c r="AI181" s="88">
        <f t="shared" si="302"/>
        <v>0</v>
      </c>
      <c r="AJ181" s="88">
        <f t="shared" si="302"/>
        <v>0</v>
      </c>
      <c r="AK181" s="88">
        <f t="shared" si="302"/>
        <v>0</v>
      </c>
      <c r="AL181" s="88">
        <f t="shared" si="302"/>
        <v>0</v>
      </c>
      <c r="AM181" s="88">
        <f t="shared" si="302"/>
        <v>0</v>
      </c>
      <c r="AN181" s="88">
        <f t="shared" si="302"/>
        <v>0</v>
      </c>
      <c r="AO181" s="88">
        <f t="shared" si="302"/>
        <v>0</v>
      </c>
      <c r="AP181" s="88">
        <f t="shared" si="302"/>
        <v>0</v>
      </c>
      <c r="AQ181" s="88">
        <f t="shared" si="302"/>
        <v>0</v>
      </c>
      <c r="AR181" s="88">
        <f t="shared" si="302"/>
        <v>0</v>
      </c>
      <c r="AS181" s="88">
        <f t="shared" si="302"/>
        <v>0</v>
      </c>
      <c r="AT181" s="88">
        <f t="shared" si="302"/>
        <v>0</v>
      </c>
      <c r="AU181" s="88">
        <f t="shared" si="302"/>
        <v>0</v>
      </c>
      <c r="AV181" s="88">
        <f t="shared" si="302"/>
        <v>0</v>
      </c>
      <c r="AW181" s="88">
        <f t="shared" si="302"/>
        <v>0</v>
      </c>
      <c r="AX181" s="88">
        <f t="shared" ref="AX181:BU181" si="303">SUM(AX171:AX180)</f>
        <v>0</v>
      </c>
      <c r="AY181" s="88">
        <f t="shared" si="303"/>
        <v>0</v>
      </c>
      <c r="AZ181" s="88">
        <f t="shared" si="303"/>
        <v>0</v>
      </c>
      <c r="BA181" s="88">
        <f t="shared" si="303"/>
        <v>0</v>
      </c>
      <c r="BB181" s="88">
        <f t="shared" si="303"/>
        <v>0</v>
      </c>
      <c r="BC181" s="88">
        <f t="shared" si="303"/>
        <v>0</v>
      </c>
      <c r="BD181" s="88">
        <f t="shared" si="303"/>
        <v>8.9609999999999825</v>
      </c>
      <c r="BE181" s="88">
        <f t="shared" si="303"/>
        <v>-13.463000000000006</v>
      </c>
      <c r="BF181" s="88">
        <f t="shared" si="303"/>
        <v>36.875999999999969</v>
      </c>
      <c r="BG181" s="88">
        <f t="shared" si="303"/>
        <v>-10.24400000000001</v>
      </c>
      <c r="BH181" s="88">
        <f t="shared" si="303"/>
        <v>-3.8229999999999902</v>
      </c>
      <c r="BI181" s="88">
        <f t="shared" si="303"/>
        <v>24.391000000000027</v>
      </c>
      <c r="BJ181" s="88">
        <f t="shared" si="303"/>
        <v>36.041243404788631</v>
      </c>
      <c r="BK181" s="88">
        <f t="shared" si="303"/>
        <v>-3.8866778233504107</v>
      </c>
      <c r="BL181" s="88">
        <f t="shared" si="303"/>
        <v>31.893198835455024</v>
      </c>
      <c r="BM181" s="88">
        <f t="shared" si="303"/>
        <v>79.223825925820094</v>
      </c>
      <c r="BN181" s="88">
        <f t="shared" si="303"/>
        <v>73.429744361838686</v>
      </c>
      <c r="BO181" s="88">
        <f t="shared" si="303"/>
        <v>84.898866224019727</v>
      </c>
      <c r="BP181" s="88">
        <f t="shared" si="303"/>
        <v>85.471838744061458</v>
      </c>
      <c r="BQ181" s="88">
        <f t="shared" si="303"/>
        <v>82.705103568313064</v>
      </c>
      <c r="BR181" s="88">
        <f t="shared" si="303"/>
        <v>79.487577688286393</v>
      </c>
      <c r="BS181" s="88">
        <f t="shared" si="303"/>
        <v>80.910038149048631</v>
      </c>
      <c r="BT181" s="88">
        <f t="shared" si="303"/>
        <v>82.879717525011117</v>
      </c>
      <c r="BU181" s="88">
        <f t="shared" si="303"/>
        <v>79.851510666867455</v>
      </c>
      <c r="BX181" s="221">
        <f t="shared" si="259"/>
        <v>173</v>
      </c>
    </row>
    <row r="182" spans="1:76" outlineLevel="1">
      <c r="A182" s="180"/>
      <c r="B182" s="111"/>
      <c r="C182" s="110"/>
      <c r="D182" s="110">
        <f t="shared" ref="D182:M182" si="304">ROUND((D186-C186)-D181,1)</f>
        <v>0</v>
      </c>
      <c r="E182" s="110">
        <f t="shared" si="304"/>
        <v>0</v>
      </c>
      <c r="F182" s="110">
        <f t="shared" si="304"/>
        <v>0</v>
      </c>
      <c r="G182" s="108">
        <f t="shared" si="304"/>
        <v>0</v>
      </c>
      <c r="H182" s="108">
        <f t="shared" si="304"/>
        <v>0</v>
      </c>
      <c r="I182" s="108">
        <f t="shared" si="304"/>
        <v>0</v>
      </c>
      <c r="J182" s="108"/>
      <c r="K182" s="108">
        <f t="shared" si="304"/>
        <v>0</v>
      </c>
      <c r="L182" s="108">
        <f t="shared" si="304"/>
        <v>0</v>
      </c>
      <c r="M182" s="108">
        <f t="shared" si="304"/>
        <v>0</v>
      </c>
      <c r="N182" s="108"/>
      <c r="O182" s="108"/>
      <c r="P182" s="108"/>
      <c r="Q182" s="109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226">
        <f t="shared" ref="BE182:BU182" si="305">(BE186-BD186)-BE181</f>
        <v>0</v>
      </c>
      <c r="BF182" s="226">
        <f t="shared" si="305"/>
        <v>0</v>
      </c>
      <c r="BG182" s="226">
        <f t="shared" si="305"/>
        <v>0</v>
      </c>
      <c r="BH182" s="226">
        <f t="shared" si="305"/>
        <v>-1.7319479184152442E-14</v>
      </c>
      <c r="BI182" s="226">
        <f t="shared" si="305"/>
        <v>0</v>
      </c>
      <c r="BJ182" s="108">
        <f t="shared" si="305"/>
        <v>0</v>
      </c>
      <c r="BK182" s="108">
        <f t="shared" si="305"/>
        <v>1.4210854715202004E-14</v>
      </c>
      <c r="BL182" s="108">
        <f t="shared" si="305"/>
        <v>0</v>
      </c>
      <c r="BM182" s="108">
        <f t="shared" si="305"/>
        <v>0</v>
      </c>
      <c r="BN182" s="108">
        <f t="shared" si="305"/>
        <v>0</v>
      </c>
      <c r="BO182" s="108">
        <f t="shared" si="305"/>
        <v>0</v>
      </c>
      <c r="BP182" s="108">
        <f t="shared" si="305"/>
        <v>0</v>
      </c>
      <c r="BQ182" s="108">
        <f t="shared" si="305"/>
        <v>0</v>
      </c>
      <c r="BR182" s="108">
        <f t="shared" si="305"/>
        <v>0</v>
      </c>
      <c r="BS182" s="108">
        <f t="shared" si="305"/>
        <v>0</v>
      </c>
      <c r="BT182" s="108">
        <f t="shared" si="305"/>
        <v>0</v>
      </c>
      <c r="BU182" s="108">
        <f t="shared" si="305"/>
        <v>0</v>
      </c>
      <c r="BX182" s="221">
        <f t="shared" si="259"/>
        <v>174</v>
      </c>
    </row>
    <row r="183" spans="1:76">
      <c r="A183" s="180" t="s">
        <v>0</v>
      </c>
      <c r="B183" s="14" t="s">
        <v>139</v>
      </c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X183" s="221">
        <f t="shared" si="259"/>
        <v>175</v>
      </c>
    </row>
    <row r="184" spans="1:76" outlineLevel="1">
      <c r="A184" s="181"/>
      <c r="B184" s="107" t="s">
        <v>138</v>
      </c>
      <c r="C184" s="79">
        <f t="shared" ref="C184:P184" si="306">C$7</f>
        <v>2007</v>
      </c>
      <c r="D184" s="79">
        <f t="shared" si="306"/>
        <v>2008</v>
      </c>
      <c r="E184" s="79">
        <f t="shared" si="306"/>
        <v>2009</v>
      </c>
      <c r="F184" s="79">
        <f t="shared" si="306"/>
        <v>2010</v>
      </c>
      <c r="G184" s="79">
        <f t="shared" si="306"/>
        <v>2011</v>
      </c>
      <c r="H184" s="79">
        <f t="shared" si="306"/>
        <v>2012</v>
      </c>
      <c r="I184" s="79">
        <f t="shared" si="306"/>
        <v>2013</v>
      </c>
      <c r="J184" s="79">
        <f t="shared" si="306"/>
        <v>2014</v>
      </c>
      <c r="K184" s="79">
        <f t="shared" si="306"/>
        <v>2015</v>
      </c>
      <c r="L184" s="79">
        <f t="shared" si="306"/>
        <v>2016</v>
      </c>
      <c r="M184" s="79">
        <f t="shared" si="306"/>
        <v>2017</v>
      </c>
      <c r="N184" s="79" t="str">
        <f t="shared" si="306"/>
        <v>2018E</v>
      </c>
      <c r="O184" s="79" t="str">
        <f t="shared" si="306"/>
        <v>2019E</v>
      </c>
      <c r="P184" s="79" t="str">
        <f t="shared" si="306"/>
        <v>2020E</v>
      </c>
      <c r="Q184" s="3"/>
      <c r="R184" s="79" t="str">
        <f t="shared" ref="R184:AW184" si="307">R$7</f>
        <v>1Q07</v>
      </c>
      <c r="S184" s="79" t="str">
        <f t="shared" si="307"/>
        <v>2Q07</v>
      </c>
      <c r="T184" s="79" t="str">
        <f t="shared" si="307"/>
        <v>3Q07</v>
      </c>
      <c r="U184" s="79" t="str">
        <f t="shared" si="307"/>
        <v>4Q07</v>
      </c>
      <c r="V184" s="79" t="str">
        <f t="shared" si="307"/>
        <v>1Q08</v>
      </c>
      <c r="W184" s="79" t="str">
        <f t="shared" si="307"/>
        <v>2Q08</v>
      </c>
      <c r="X184" s="79" t="str">
        <f t="shared" si="307"/>
        <v>3Q08</v>
      </c>
      <c r="Y184" s="79" t="str">
        <f t="shared" si="307"/>
        <v>4Q08</v>
      </c>
      <c r="Z184" s="79" t="str">
        <f t="shared" si="307"/>
        <v>1Q09</v>
      </c>
      <c r="AA184" s="79" t="str">
        <f t="shared" si="307"/>
        <v>2Q09</v>
      </c>
      <c r="AB184" s="79" t="str">
        <f t="shared" si="307"/>
        <v>3Q09</v>
      </c>
      <c r="AC184" s="79" t="str">
        <f t="shared" si="307"/>
        <v>4Q09</v>
      </c>
      <c r="AD184" s="79" t="str">
        <f t="shared" si="307"/>
        <v>1Q10</v>
      </c>
      <c r="AE184" s="79" t="str">
        <f t="shared" si="307"/>
        <v>2Q10</v>
      </c>
      <c r="AF184" s="79" t="str">
        <f t="shared" si="307"/>
        <v>3Q10</v>
      </c>
      <c r="AG184" s="79" t="str">
        <f t="shared" si="307"/>
        <v>4Q10</v>
      </c>
      <c r="AH184" s="79" t="str">
        <f t="shared" si="307"/>
        <v>1Q11</v>
      </c>
      <c r="AI184" s="79" t="str">
        <f t="shared" si="307"/>
        <v>2Q11</v>
      </c>
      <c r="AJ184" s="79" t="str">
        <f t="shared" si="307"/>
        <v>3Q11</v>
      </c>
      <c r="AK184" s="79" t="str">
        <f t="shared" si="307"/>
        <v>4Q11</v>
      </c>
      <c r="AL184" s="79" t="str">
        <f t="shared" si="307"/>
        <v>1Q12</v>
      </c>
      <c r="AM184" s="79" t="str">
        <f t="shared" si="307"/>
        <v>2Q12</v>
      </c>
      <c r="AN184" s="79" t="str">
        <f t="shared" si="307"/>
        <v>3Q12</v>
      </c>
      <c r="AO184" s="79" t="str">
        <f t="shared" si="307"/>
        <v>4Q12</v>
      </c>
      <c r="AP184" s="79" t="str">
        <f t="shared" si="307"/>
        <v>1Q13</v>
      </c>
      <c r="AQ184" s="79" t="str">
        <f t="shared" si="307"/>
        <v>2Q13</v>
      </c>
      <c r="AR184" s="79" t="str">
        <f t="shared" si="307"/>
        <v>3Q13</v>
      </c>
      <c r="AS184" s="79" t="str">
        <f t="shared" si="307"/>
        <v>4Q13</v>
      </c>
      <c r="AT184" s="79" t="str">
        <f t="shared" si="307"/>
        <v>1Q14</v>
      </c>
      <c r="AU184" s="79" t="str">
        <f t="shared" si="307"/>
        <v>2Q14</v>
      </c>
      <c r="AV184" s="79" t="str">
        <f t="shared" si="307"/>
        <v>3Q14</v>
      </c>
      <c r="AW184" s="79" t="str">
        <f t="shared" si="307"/>
        <v>4Q14</v>
      </c>
      <c r="AX184" s="79" t="str">
        <f t="shared" ref="AX184:BU184" si="308">AX$7</f>
        <v>1Q15</v>
      </c>
      <c r="AY184" s="79" t="str">
        <f t="shared" si="308"/>
        <v>2Q15</v>
      </c>
      <c r="AZ184" s="79" t="str">
        <f t="shared" si="308"/>
        <v>3Q15</v>
      </c>
      <c r="BA184" s="79" t="str">
        <f t="shared" si="308"/>
        <v>4Q15</v>
      </c>
      <c r="BB184" s="79" t="str">
        <f t="shared" si="308"/>
        <v>1Q16</v>
      </c>
      <c r="BC184" s="79" t="str">
        <f t="shared" si="308"/>
        <v>2Q16</v>
      </c>
      <c r="BD184" s="79" t="str">
        <f t="shared" si="308"/>
        <v>3Q16</v>
      </c>
      <c r="BE184" s="79" t="str">
        <f t="shared" si="308"/>
        <v>4Q16</v>
      </c>
      <c r="BF184" s="79" t="str">
        <f t="shared" si="308"/>
        <v>1Q17</v>
      </c>
      <c r="BG184" s="79" t="str">
        <f t="shared" si="308"/>
        <v>2Q17</v>
      </c>
      <c r="BH184" s="79" t="str">
        <f t="shared" si="308"/>
        <v>3Q17</v>
      </c>
      <c r="BI184" s="79" t="str">
        <f t="shared" si="308"/>
        <v>4Q17</v>
      </c>
      <c r="BJ184" s="79" t="str">
        <f t="shared" si="308"/>
        <v>1Q18E</v>
      </c>
      <c r="BK184" s="79" t="str">
        <f t="shared" si="308"/>
        <v>2Q18E</v>
      </c>
      <c r="BL184" s="79" t="str">
        <f t="shared" si="308"/>
        <v>3Q18E</v>
      </c>
      <c r="BM184" s="79" t="str">
        <f t="shared" si="308"/>
        <v>4Q18E</v>
      </c>
      <c r="BN184" s="79" t="str">
        <f t="shared" si="308"/>
        <v>1Q19E</v>
      </c>
      <c r="BO184" s="79" t="str">
        <f t="shared" si="308"/>
        <v>2Q19E</v>
      </c>
      <c r="BP184" s="79" t="str">
        <f t="shared" si="308"/>
        <v>3Q19E</v>
      </c>
      <c r="BQ184" s="79" t="str">
        <f t="shared" si="308"/>
        <v>4Q19E</v>
      </c>
      <c r="BR184" s="79" t="str">
        <f t="shared" si="308"/>
        <v>1Q20E</v>
      </c>
      <c r="BS184" s="79" t="str">
        <f t="shared" si="308"/>
        <v>2Q20E</v>
      </c>
      <c r="BT184" s="79" t="str">
        <f t="shared" si="308"/>
        <v>3Q20E</v>
      </c>
      <c r="BU184" s="79" t="str">
        <f t="shared" si="308"/>
        <v>4Q20E</v>
      </c>
      <c r="BX184" s="221">
        <f t="shared" si="259"/>
        <v>176</v>
      </c>
    </row>
    <row r="185" spans="1:76" outlineLevel="1">
      <c r="A185" s="181"/>
      <c r="B185" s="106" t="s">
        <v>137</v>
      </c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3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5"/>
      <c r="BC185" s="105"/>
      <c r="BD185" s="105"/>
      <c r="BE185" s="104"/>
      <c r="BF185" s="104"/>
      <c r="BG185" s="104"/>
      <c r="BH185" s="104"/>
      <c r="BI185" s="104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X185" s="221">
        <f t="shared" si="259"/>
        <v>177</v>
      </c>
    </row>
    <row r="186" spans="1:76" outlineLevel="1">
      <c r="A186" s="181"/>
      <c r="B186" s="93" t="s">
        <v>136</v>
      </c>
      <c r="C186" s="19"/>
      <c r="D186" s="19"/>
      <c r="E186" s="19"/>
      <c r="F186" s="19"/>
      <c r="G186" s="19"/>
      <c r="H186" s="19"/>
      <c r="I186" s="19"/>
      <c r="J186" s="40">
        <f t="shared" ref="J186:P192" si="309">INDEX($R186:$BV186,1,MATCH(J$4,$R$4:$BV$4,0))</f>
        <v>52.207000000000001</v>
      </c>
      <c r="K186" s="40">
        <f t="shared" si="309"/>
        <v>53.421999999999997</v>
      </c>
      <c r="L186" s="40">
        <f t="shared" si="309"/>
        <v>48.92</v>
      </c>
      <c r="M186" s="40">
        <f t="shared" si="309"/>
        <v>96.12</v>
      </c>
      <c r="N186" s="40">
        <f t="shared" si="309"/>
        <v>239.39159034271336</v>
      </c>
      <c r="O186" s="40">
        <f t="shared" si="309"/>
        <v>565.89714324094632</v>
      </c>
      <c r="P186" s="40">
        <f t="shared" si="309"/>
        <v>889.02598727015993</v>
      </c>
      <c r="Q186" s="40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91"/>
      <c r="AS186" s="91"/>
      <c r="AT186" s="91"/>
      <c r="AU186" s="91"/>
      <c r="AV186" s="91"/>
      <c r="AW186" s="59">
        <v>52.207000000000001</v>
      </c>
      <c r="AX186" s="91"/>
      <c r="AY186" s="91"/>
      <c r="AZ186" s="91"/>
      <c r="BA186" s="59">
        <v>53.421999999999997</v>
      </c>
      <c r="BB186" s="91"/>
      <c r="BC186" s="91"/>
      <c r="BD186" s="59">
        <v>62.383000000000003</v>
      </c>
      <c r="BE186" s="59">
        <v>48.92</v>
      </c>
      <c r="BF186" s="59">
        <v>85.796000000000006</v>
      </c>
      <c r="BG186" s="59">
        <v>75.552000000000007</v>
      </c>
      <c r="BH186" s="59">
        <v>71.728999999999999</v>
      </c>
      <c r="BI186" s="59">
        <v>96.12</v>
      </c>
      <c r="BJ186" s="40">
        <f t="shared" ref="BJ186:BU186" si="310">BI186+BJ181</f>
        <v>132.16124340478865</v>
      </c>
      <c r="BK186" s="40">
        <f t="shared" si="310"/>
        <v>128.27456558143825</v>
      </c>
      <c r="BL186" s="40">
        <f t="shared" si="310"/>
        <v>160.16776441689328</v>
      </c>
      <c r="BM186" s="40">
        <f t="shared" si="310"/>
        <v>239.39159034271336</v>
      </c>
      <c r="BN186" s="40">
        <f t="shared" si="310"/>
        <v>312.82133470455204</v>
      </c>
      <c r="BO186" s="40">
        <f t="shared" si="310"/>
        <v>397.72020092857178</v>
      </c>
      <c r="BP186" s="40">
        <f t="shared" si="310"/>
        <v>483.19203967263326</v>
      </c>
      <c r="BQ186" s="40">
        <f t="shared" si="310"/>
        <v>565.89714324094632</v>
      </c>
      <c r="BR186" s="40">
        <f t="shared" si="310"/>
        <v>645.38472092923269</v>
      </c>
      <c r="BS186" s="40">
        <f t="shared" si="310"/>
        <v>726.29475907828134</v>
      </c>
      <c r="BT186" s="40">
        <f t="shared" si="310"/>
        <v>809.17447660329242</v>
      </c>
      <c r="BU186" s="40">
        <f t="shared" si="310"/>
        <v>889.02598727015993</v>
      </c>
      <c r="BX186" s="221">
        <f t="shared" si="259"/>
        <v>178</v>
      </c>
    </row>
    <row r="187" spans="1:76" outlineLevel="1">
      <c r="A187" s="181"/>
      <c r="B187" s="93" t="s">
        <v>135</v>
      </c>
      <c r="C187" s="19"/>
      <c r="D187" s="19"/>
      <c r="E187" s="19"/>
      <c r="F187" s="19"/>
      <c r="G187" s="19"/>
      <c r="H187" s="19"/>
      <c r="I187" s="19"/>
      <c r="J187" s="40">
        <f t="shared" si="309"/>
        <v>53.298999999999999</v>
      </c>
      <c r="K187" s="40">
        <f t="shared" si="309"/>
        <v>15.64</v>
      </c>
      <c r="L187" s="40">
        <f t="shared" si="309"/>
        <v>66.277000000000001</v>
      </c>
      <c r="M187" s="40">
        <f t="shared" si="309"/>
        <v>238.018</v>
      </c>
      <c r="N187" s="40">
        <f t="shared" si="309"/>
        <v>290.51373248282232</v>
      </c>
      <c r="O187" s="40">
        <f t="shared" si="309"/>
        <v>304.34475913958323</v>
      </c>
      <c r="P187" s="40">
        <f t="shared" si="309"/>
        <v>304.34475913958323</v>
      </c>
      <c r="Q187" s="40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91"/>
      <c r="AS187" s="91"/>
      <c r="AT187" s="91"/>
      <c r="AU187" s="91"/>
      <c r="AV187" s="91"/>
      <c r="AW187" s="59">
        <v>53.298999999999999</v>
      </c>
      <c r="AX187" s="91"/>
      <c r="AY187" s="91"/>
      <c r="AZ187" s="91"/>
      <c r="BA187" s="59">
        <v>15.64</v>
      </c>
      <c r="BB187" s="91"/>
      <c r="BC187" s="91"/>
      <c r="BD187" s="59">
        <v>55.453000000000003</v>
      </c>
      <c r="BE187" s="59">
        <v>66.277000000000001</v>
      </c>
      <c r="BF187" s="59">
        <v>126.431</v>
      </c>
      <c r="BG187" s="59">
        <v>142.67699999999999</v>
      </c>
      <c r="BH187" s="59">
        <v>219.166</v>
      </c>
      <c r="BI187" s="59">
        <v>238.018</v>
      </c>
      <c r="BJ187" s="40">
        <f t="shared" ref="BJ187:BU187" si="311">BJ238*BJ13/BJ6</f>
        <v>242.72923455211915</v>
      </c>
      <c r="BK187" s="40">
        <f t="shared" si="311"/>
        <v>264.54081121499075</v>
      </c>
      <c r="BL187" s="40">
        <f t="shared" si="311"/>
        <v>278.29704992153512</v>
      </c>
      <c r="BM187" s="40">
        <f t="shared" si="311"/>
        <v>290.51373248282232</v>
      </c>
      <c r="BN187" s="40">
        <f t="shared" si="311"/>
        <v>309.56530660040625</v>
      </c>
      <c r="BO187" s="40">
        <f t="shared" si="311"/>
        <v>306.64746054328197</v>
      </c>
      <c r="BP187" s="40">
        <f t="shared" si="311"/>
        <v>303.8169814196832</v>
      </c>
      <c r="BQ187" s="40">
        <f t="shared" si="311"/>
        <v>304.34475913958323</v>
      </c>
      <c r="BR187" s="40">
        <f t="shared" si="311"/>
        <v>307.68920704221603</v>
      </c>
      <c r="BS187" s="40">
        <f t="shared" si="311"/>
        <v>307.68920704221603</v>
      </c>
      <c r="BT187" s="40">
        <f t="shared" si="311"/>
        <v>304.34475913958323</v>
      </c>
      <c r="BU187" s="40">
        <f t="shared" si="311"/>
        <v>304.34475913958323</v>
      </c>
      <c r="BX187" s="221">
        <f t="shared" si="259"/>
        <v>179</v>
      </c>
    </row>
    <row r="188" spans="1:76" outlineLevel="1">
      <c r="A188" s="181"/>
      <c r="B188" s="93" t="s">
        <v>134</v>
      </c>
      <c r="C188" s="19"/>
      <c r="D188" s="19"/>
      <c r="E188" s="19"/>
      <c r="F188" s="19"/>
      <c r="G188" s="19"/>
      <c r="H188" s="19"/>
      <c r="I188" s="19"/>
      <c r="J188" s="40">
        <f t="shared" si="309"/>
        <v>16.564</v>
      </c>
      <c r="K188" s="40">
        <f t="shared" si="309"/>
        <v>4.6680000000000001</v>
      </c>
      <c r="L188" s="40">
        <f t="shared" si="309"/>
        <v>15.891</v>
      </c>
      <c r="M188" s="40">
        <f t="shared" si="309"/>
        <v>33.436999999999998</v>
      </c>
      <c r="N188" s="40">
        <f t="shared" si="309"/>
        <v>39.622952430236133</v>
      </c>
      <c r="O188" s="40">
        <f t="shared" si="309"/>
        <v>41.319411398637179</v>
      </c>
      <c r="P188" s="40">
        <f t="shared" si="309"/>
        <v>41.319411398637179</v>
      </c>
      <c r="Q188" s="40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91"/>
      <c r="AS188" s="91"/>
      <c r="AT188" s="91"/>
      <c r="AU188" s="91"/>
      <c r="AV188" s="91"/>
      <c r="AW188" s="59">
        <v>16.564</v>
      </c>
      <c r="AX188" s="91"/>
      <c r="AY188" s="91"/>
      <c r="AZ188" s="91"/>
      <c r="BA188" s="59">
        <v>4.6680000000000001</v>
      </c>
      <c r="BB188" s="91"/>
      <c r="BC188" s="91"/>
      <c r="BD188" s="59">
        <v>13.781000000000001</v>
      </c>
      <c r="BE188" s="59">
        <v>15.891</v>
      </c>
      <c r="BF188" s="59">
        <v>21.100999999999999</v>
      </c>
      <c r="BG188" s="59">
        <v>30.501000000000001</v>
      </c>
      <c r="BH188" s="59">
        <v>39.381</v>
      </c>
      <c r="BI188" s="59">
        <v>33.436999999999998</v>
      </c>
      <c r="BJ188" s="40">
        <f t="shared" ref="BJ188:BU188" si="312">BJ240*-BJ19/BJ6</f>
        <v>34.775179343697005</v>
      </c>
      <c r="BK188" s="40">
        <f t="shared" si="312"/>
        <v>36.930217770794357</v>
      </c>
      <c r="BL188" s="40">
        <f t="shared" si="312"/>
        <v>38.479553766751394</v>
      </c>
      <c r="BM188" s="40">
        <f t="shared" si="312"/>
        <v>39.622952430236133</v>
      </c>
      <c r="BN188" s="40">
        <f t="shared" si="312"/>
        <v>42.18626542529276</v>
      </c>
      <c r="BO188" s="40">
        <f t="shared" si="312"/>
        <v>41.632037996501495</v>
      </c>
      <c r="BP188" s="40">
        <f t="shared" si="312"/>
        <v>41.247757578156616</v>
      </c>
      <c r="BQ188" s="40">
        <f t="shared" si="312"/>
        <v>41.319411398637179</v>
      </c>
      <c r="BR188" s="40">
        <f t="shared" si="312"/>
        <v>41.773470864556266</v>
      </c>
      <c r="BS188" s="40">
        <f t="shared" si="312"/>
        <v>41.773470864556266</v>
      </c>
      <c r="BT188" s="40">
        <f t="shared" si="312"/>
        <v>41.319411398637179</v>
      </c>
      <c r="BU188" s="40">
        <f t="shared" si="312"/>
        <v>41.319411398637179</v>
      </c>
      <c r="BX188" s="221">
        <f t="shared" si="259"/>
        <v>180</v>
      </c>
    </row>
    <row r="189" spans="1:76" outlineLevel="1">
      <c r="A189" s="181"/>
      <c r="B189" s="93" t="s">
        <v>348</v>
      </c>
      <c r="C189" s="19"/>
      <c r="D189" s="19"/>
      <c r="E189" s="19"/>
      <c r="F189" s="19"/>
      <c r="G189" s="19"/>
      <c r="H189" s="19"/>
      <c r="I189" s="19"/>
      <c r="J189" s="40">
        <f t="shared" si="309"/>
        <v>1.9419999999999999</v>
      </c>
      <c r="K189" s="40">
        <f t="shared" si="309"/>
        <v>1.8680000000000001</v>
      </c>
      <c r="L189" s="40">
        <f t="shared" si="309"/>
        <v>14.782</v>
      </c>
      <c r="M189" s="40">
        <f t="shared" si="309"/>
        <v>8.5190000000000001</v>
      </c>
      <c r="N189" s="40">
        <f t="shared" si="309"/>
        <v>8.5190000000000001</v>
      </c>
      <c r="O189" s="40">
        <f t="shared" si="309"/>
        <v>8.5190000000000001</v>
      </c>
      <c r="P189" s="40">
        <f t="shared" si="309"/>
        <v>8.5190000000000001</v>
      </c>
      <c r="Q189" s="40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91"/>
      <c r="AV189" s="91"/>
      <c r="AW189" s="59">
        <v>1.9419999999999999</v>
      </c>
      <c r="AX189" s="91"/>
      <c r="AY189" s="91"/>
      <c r="AZ189" s="91"/>
      <c r="BA189" s="59">
        <v>1.8680000000000001</v>
      </c>
      <c r="BB189" s="91"/>
      <c r="BC189" s="91"/>
      <c r="BD189" s="59">
        <v>11.629</v>
      </c>
      <c r="BE189" s="59">
        <v>14.782</v>
      </c>
      <c r="BF189" s="59">
        <v>9.7040000000000006</v>
      </c>
      <c r="BG189" s="59">
        <v>10.798999999999999</v>
      </c>
      <c r="BH189" s="59">
        <f>9.148+19.415</f>
        <v>28.562999999999999</v>
      </c>
      <c r="BI189" s="59">
        <v>8.5190000000000001</v>
      </c>
      <c r="BJ189" s="59">
        <f t="shared" ref="BJ189:BU189" si="313">BI189</f>
        <v>8.5190000000000001</v>
      </c>
      <c r="BK189" s="59">
        <f t="shared" si="313"/>
        <v>8.5190000000000001</v>
      </c>
      <c r="BL189" s="59">
        <f t="shared" si="313"/>
        <v>8.5190000000000001</v>
      </c>
      <c r="BM189" s="59">
        <f t="shared" si="313"/>
        <v>8.5190000000000001</v>
      </c>
      <c r="BN189" s="59">
        <f t="shared" si="313"/>
        <v>8.5190000000000001</v>
      </c>
      <c r="BO189" s="59">
        <f t="shared" si="313"/>
        <v>8.5190000000000001</v>
      </c>
      <c r="BP189" s="59">
        <f t="shared" si="313"/>
        <v>8.5190000000000001</v>
      </c>
      <c r="BQ189" s="59">
        <f t="shared" si="313"/>
        <v>8.5190000000000001</v>
      </c>
      <c r="BR189" s="59">
        <f t="shared" si="313"/>
        <v>8.5190000000000001</v>
      </c>
      <c r="BS189" s="59">
        <f t="shared" si="313"/>
        <v>8.5190000000000001</v>
      </c>
      <c r="BT189" s="59">
        <f t="shared" si="313"/>
        <v>8.5190000000000001</v>
      </c>
      <c r="BU189" s="59">
        <f t="shared" si="313"/>
        <v>8.5190000000000001</v>
      </c>
      <c r="BX189" s="221">
        <f t="shared" si="259"/>
        <v>181</v>
      </c>
    </row>
    <row r="190" spans="1:76" outlineLevel="1">
      <c r="A190" s="181"/>
      <c r="B190" s="94" t="s">
        <v>133</v>
      </c>
      <c r="C190" s="85"/>
      <c r="D190" s="85"/>
      <c r="E190" s="85"/>
      <c r="F190" s="85"/>
      <c r="G190" s="85"/>
      <c r="H190" s="85"/>
      <c r="I190" s="85"/>
      <c r="J190" s="84">
        <f>SUM(J186:J189)</f>
        <v>124.01199999999999</v>
      </c>
      <c r="K190" s="84">
        <f t="shared" ref="K190:O190" si="314">SUM(K186:K189)</f>
        <v>75.597999999999999</v>
      </c>
      <c r="L190" s="84">
        <f t="shared" si="314"/>
        <v>145.87</v>
      </c>
      <c r="M190" s="84">
        <f t="shared" si="314"/>
        <v>376.09400000000005</v>
      </c>
      <c r="N190" s="84">
        <f t="shared" si="314"/>
        <v>578.04727525577186</v>
      </c>
      <c r="O190" s="84">
        <f t="shared" si="314"/>
        <v>920.08031377916677</v>
      </c>
      <c r="P190" s="84">
        <f t="shared" ref="P190" si="315">SUM(P186:P189)</f>
        <v>1243.2091578083803</v>
      </c>
      <c r="Q190" s="95"/>
      <c r="R190" s="85">
        <f t="shared" ref="R190:AW190" si="316">SUM(R186:R189)</f>
        <v>0</v>
      </c>
      <c r="S190" s="85">
        <f t="shared" si="316"/>
        <v>0</v>
      </c>
      <c r="T190" s="85">
        <f t="shared" si="316"/>
        <v>0</v>
      </c>
      <c r="U190" s="85">
        <f t="shared" si="316"/>
        <v>0</v>
      </c>
      <c r="V190" s="85">
        <f t="shared" si="316"/>
        <v>0</v>
      </c>
      <c r="W190" s="85">
        <f t="shared" si="316"/>
        <v>0</v>
      </c>
      <c r="X190" s="85">
        <f t="shared" si="316"/>
        <v>0</v>
      </c>
      <c r="Y190" s="85">
        <f t="shared" si="316"/>
        <v>0</v>
      </c>
      <c r="Z190" s="85">
        <f t="shared" si="316"/>
        <v>0</v>
      </c>
      <c r="AA190" s="85">
        <f t="shared" si="316"/>
        <v>0</v>
      </c>
      <c r="AB190" s="85">
        <f t="shared" si="316"/>
        <v>0</v>
      </c>
      <c r="AC190" s="85">
        <f t="shared" si="316"/>
        <v>0</v>
      </c>
      <c r="AD190" s="85">
        <f t="shared" si="316"/>
        <v>0</v>
      </c>
      <c r="AE190" s="85">
        <f t="shared" si="316"/>
        <v>0</v>
      </c>
      <c r="AF190" s="85">
        <f t="shared" si="316"/>
        <v>0</v>
      </c>
      <c r="AG190" s="85">
        <f t="shared" si="316"/>
        <v>0</v>
      </c>
      <c r="AH190" s="85">
        <f t="shared" si="316"/>
        <v>0</v>
      </c>
      <c r="AI190" s="85">
        <f t="shared" si="316"/>
        <v>0</v>
      </c>
      <c r="AJ190" s="85">
        <f t="shared" si="316"/>
        <v>0</v>
      </c>
      <c r="AK190" s="85">
        <f t="shared" si="316"/>
        <v>0</v>
      </c>
      <c r="AL190" s="85">
        <f t="shared" si="316"/>
        <v>0</v>
      </c>
      <c r="AM190" s="85">
        <f t="shared" si="316"/>
        <v>0</v>
      </c>
      <c r="AN190" s="85">
        <f t="shared" si="316"/>
        <v>0</v>
      </c>
      <c r="AO190" s="85">
        <f t="shared" si="316"/>
        <v>0</v>
      </c>
      <c r="AP190" s="85">
        <f t="shared" si="316"/>
        <v>0</v>
      </c>
      <c r="AQ190" s="85">
        <f t="shared" si="316"/>
        <v>0</v>
      </c>
      <c r="AR190" s="85">
        <f t="shared" si="316"/>
        <v>0</v>
      </c>
      <c r="AS190" s="85">
        <f t="shared" si="316"/>
        <v>0</v>
      </c>
      <c r="AT190" s="85">
        <f t="shared" si="316"/>
        <v>0</v>
      </c>
      <c r="AU190" s="85">
        <f t="shared" si="316"/>
        <v>0</v>
      </c>
      <c r="AV190" s="85">
        <f t="shared" si="316"/>
        <v>0</v>
      </c>
      <c r="AW190" s="84">
        <f t="shared" si="316"/>
        <v>124.01199999999999</v>
      </c>
      <c r="AX190" s="85">
        <f t="shared" ref="AX190:BU190" si="317">SUM(AX186:AX189)</f>
        <v>0</v>
      </c>
      <c r="AY190" s="85">
        <f t="shared" si="317"/>
        <v>0</v>
      </c>
      <c r="AZ190" s="85">
        <f t="shared" si="317"/>
        <v>0</v>
      </c>
      <c r="BA190" s="84">
        <f t="shared" si="317"/>
        <v>75.597999999999999</v>
      </c>
      <c r="BB190" s="85">
        <f t="shared" si="317"/>
        <v>0</v>
      </c>
      <c r="BC190" s="85">
        <f t="shared" si="317"/>
        <v>0</v>
      </c>
      <c r="BD190" s="84">
        <f t="shared" si="317"/>
        <v>143.24600000000001</v>
      </c>
      <c r="BE190" s="84">
        <f>SUM(BE186:BE189)</f>
        <v>145.87</v>
      </c>
      <c r="BF190" s="84">
        <f t="shared" si="317"/>
        <v>243.03200000000001</v>
      </c>
      <c r="BG190" s="84">
        <f t="shared" si="317"/>
        <v>259.529</v>
      </c>
      <c r="BH190" s="84">
        <f t="shared" si="317"/>
        <v>358.83899999999994</v>
      </c>
      <c r="BI190" s="84">
        <f t="shared" si="317"/>
        <v>376.09400000000005</v>
      </c>
      <c r="BJ190" s="84">
        <f t="shared" si="317"/>
        <v>418.18465730060484</v>
      </c>
      <c r="BK190" s="84">
        <f t="shared" si="317"/>
        <v>438.26459456722336</v>
      </c>
      <c r="BL190" s="84">
        <f t="shared" si="317"/>
        <v>485.46336810517977</v>
      </c>
      <c r="BM190" s="84">
        <f t="shared" si="317"/>
        <v>578.04727525577186</v>
      </c>
      <c r="BN190" s="84">
        <f t="shared" si="317"/>
        <v>673.09190673025103</v>
      </c>
      <c r="BO190" s="84">
        <f t="shared" si="317"/>
        <v>754.51869946835529</v>
      </c>
      <c r="BP190" s="84">
        <f t="shared" si="317"/>
        <v>836.77577867047319</v>
      </c>
      <c r="BQ190" s="84">
        <f t="shared" si="317"/>
        <v>920.08031377916677</v>
      </c>
      <c r="BR190" s="84">
        <f t="shared" si="317"/>
        <v>1003.366398836005</v>
      </c>
      <c r="BS190" s="84">
        <f t="shared" si="317"/>
        <v>1084.2764369850536</v>
      </c>
      <c r="BT190" s="84">
        <f t="shared" si="317"/>
        <v>1163.3576471415129</v>
      </c>
      <c r="BU190" s="84">
        <f t="shared" si="317"/>
        <v>1243.2091578083803</v>
      </c>
      <c r="BX190" s="221">
        <f t="shared" si="259"/>
        <v>182</v>
      </c>
    </row>
    <row r="191" spans="1:76" hidden="1" outlineLevel="2">
      <c r="A191" s="181"/>
      <c r="B191" s="103" t="s">
        <v>132</v>
      </c>
      <c r="C191" s="101"/>
      <c r="D191" s="101"/>
      <c r="E191" s="101"/>
      <c r="F191" s="101"/>
      <c r="G191" s="101"/>
      <c r="H191" s="101"/>
      <c r="I191" s="101"/>
      <c r="J191" s="101">
        <f t="shared" si="309"/>
        <v>0</v>
      </c>
      <c r="K191" s="101">
        <f t="shared" si="309"/>
        <v>321.60500000000002</v>
      </c>
      <c r="L191" s="101">
        <f t="shared" si="309"/>
        <v>555.50099999999998</v>
      </c>
      <c r="M191" s="101">
        <f t="shared" si="309"/>
        <v>840.61699999999996</v>
      </c>
      <c r="N191" s="101">
        <f t="shared" si="309"/>
        <v>1070.617</v>
      </c>
      <c r="O191" s="101">
        <f t="shared" si="309"/>
        <v>1197.117</v>
      </c>
      <c r="P191" s="101">
        <f t="shared" si="309"/>
        <v>1323.117</v>
      </c>
      <c r="Q191" s="189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  <c r="AJ191" s="101"/>
      <c r="AK191" s="101"/>
      <c r="AL191" s="101"/>
      <c r="AM191" s="101"/>
      <c r="AN191" s="101"/>
      <c r="AO191" s="101"/>
      <c r="AP191" s="101"/>
      <c r="AQ191" s="101"/>
      <c r="AR191" s="101"/>
      <c r="AS191" s="101"/>
      <c r="AT191" s="101"/>
      <c r="AU191" s="101"/>
      <c r="AV191" s="101"/>
      <c r="AW191" s="101"/>
      <c r="AX191" s="101"/>
      <c r="AY191" s="101"/>
      <c r="AZ191" s="101"/>
      <c r="BA191" s="101">
        <f>316.945+4.66</f>
        <v>321.60500000000002</v>
      </c>
      <c r="BB191" s="101"/>
      <c r="BC191" s="101"/>
      <c r="BD191" s="101">
        <f>526.922+14.738</f>
        <v>541.66000000000008</v>
      </c>
      <c r="BE191" s="101">
        <f>554.713+0.788</f>
        <v>555.50099999999998</v>
      </c>
      <c r="BF191" s="101">
        <f>572.965+2.575</f>
        <v>575.54000000000008</v>
      </c>
      <c r="BG191" s="101">
        <f>605.946+0.993</f>
        <v>606.93900000000008</v>
      </c>
      <c r="BH191" s="101">
        <f>799.219+4.809</f>
        <v>804.02800000000002</v>
      </c>
      <c r="BI191" s="101">
        <f>815.362+25.255</f>
        <v>840.61699999999996</v>
      </c>
      <c r="BJ191" s="101">
        <f t="shared" ref="BJ191:BU191" si="318">BI191-BJ170-BJ172-BJ173</f>
        <v>876.61699999999996</v>
      </c>
      <c r="BK191" s="101">
        <f t="shared" si="318"/>
        <v>966.28366666666659</v>
      </c>
      <c r="BL191" s="101">
        <f t="shared" si="318"/>
        <v>1037.117</v>
      </c>
      <c r="BM191" s="101">
        <f t="shared" si="318"/>
        <v>1070.617</v>
      </c>
      <c r="BN191" s="101">
        <f t="shared" si="318"/>
        <v>1102.617</v>
      </c>
      <c r="BO191" s="101">
        <f t="shared" si="318"/>
        <v>1134.117</v>
      </c>
      <c r="BP191" s="101">
        <f t="shared" si="318"/>
        <v>1165.617</v>
      </c>
      <c r="BQ191" s="101">
        <f t="shared" si="318"/>
        <v>1197.117</v>
      </c>
      <c r="BR191" s="101">
        <f t="shared" si="318"/>
        <v>1228.617</v>
      </c>
      <c r="BS191" s="101">
        <f t="shared" si="318"/>
        <v>1260.117</v>
      </c>
      <c r="BT191" s="101">
        <f t="shared" si="318"/>
        <v>1291.617</v>
      </c>
      <c r="BU191" s="101">
        <f t="shared" si="318"/>
        <v>1323.117</v>
      </c>
      <c r="BX191" s="221">
        <f t="shared" si="259"/>
        <v>183</v>
      </c>
    </row>
    <row r="192" spans="1:76" hidden="1" outlineLevel="2">
      <c r="A192" s="181"/>
      <c r="B192" s="102" t="s">
        <v>131</v>
      </c>
      <c r="C192" s="100"/>
      <c r="D192" s="100"/>
      <c r="E192" s="100"/>
      <c r="F192" s="100"/>
      <c r="G192" s="100"/>
      <c r="H192" s="100"/>
      <c r="I192" s="100"/>
      <c r="J192" s="100">
        <f t="shared" si="309"/>
        <v>0</v>
      </c>
      <c r="K192" s="100">
        <f t="shared" si="309"/>
        <v>-167.98</v>
      </c>
      <c r="L192" s="100">
        <f t="shared" si="309"/>
        <v>-261.29199999999997</v>
      </c>
      <c r="M192" s="100">
        <f t="shared" si="309"/>
        <v>-372.61700000000002</v>
      </c>
      <c r="N192" s="100">
        <f t="shared" si="309"/>
        <v>-607.07214737879656</v>
      </c>
      <c r="O192" s="100">
        <f t="shared" si="309"/>
        <v>-846.53272514130617</v>
      </c>
      <c r="P192" s="100">
        <f t="shared" si="309"/>
        <v>-1040.6422794689306</v>
      </c>
      <c r="Q192" s="189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>
        <v>-167.98</v>
      </c>
      <c r="BB192" s="100"/>
      <c r="BC192" s="100"/>
      <c r="BD192" s="100">
        <v>-235.01900000000001</v>
      </c>
      <c r="BE192" s="100">
        <v>-261.29199999999997</v>
      </c>
      <c r="BF192" s="100">
        <v>-290.22500000000002</v>
      </c>
      <c r="BG192" s="100">
        <v>-321.37</v>
      </c>
      <c r="BH192" s="100">
        <v>-363.42599999999999</v>
      </c>
      <c r="BI192" s="100">
        <v>-372.61700000000002</v>
      </c>
      <c r="BJ192" s="100">
        <f t="shared" ref="BJ192:BU192" si="319">BI192-BJ158</f>
        <v>-426.85791660954789</v>
      </c>
      <c r="BK192" s="100">
        <f t="shared" si="319"/>
        <v>-481.23351744651762</v>
      </c>
      <c r="BL192" s="100">
        <f t="shared" si="319"/>
        <v>-542.3010375184175</v>
      </c>
      <c r="BM192" s="100">
        <f t="shared" si="319"/>
        <v>-607.07214737879656</v>
      </c>
      <c r="BN192" s="100">
        <f t="shared" si="319"/>
        <v>-670.06761215731433</v>
      </c>
      <c r="BO192" s="100">
        <f t="shared" si="319"/>
        <v>-731.01355898048848</v>
      </c>
      <c r="BP192" s="100">
        <f t="shared" si="319"/>
        <v>-789.82610693193089</v>
      </c>
      <c r="BQ192" s="100">
        <f t="shared" si="319"/>
        <v>-846.53272514130617</v>
      </c>
      <c r="BR192" s="100">
        <f t="shared" si="319"/>
        <v>-899.43567992638009</v>
      </c>
      <c r="BS192" s="100">
        <f t="shared" si="319"/>
        <v>-949.10894179462798</v>
      </c>
      <c r="BT192" s="100">
        <f t="shared" si="319"/>
        <v>-996.03986945150609</v>
      </c>
      <c r="BU192" s="100">
        <f t="shared" si="319"/>
        <v>-1040.6422794689306</v>
      </c>
      <c r="BX192" s="221">
        <f t="shared" si="259"/>
        <v>184</v>
      </c>
    </row>
    <row r="193" spans="1:76" outlineLevel="1" collapsed="1">
      <c r="A193" s="181"/>
      <c r="B193" s="92" t="s">
        <v>130</v>
      </c>
      <c r="C193" s="19"/>
      <c r="D193" s="19"/>
      <c r="E193" s="19"/>
      <c r="F193" s="19"/>
      <c r="G193" s="19"/>
      <c r="H193" s="19"/>
      <c r="I193" s="19"/>
      <c r="J193" s="40">
        <f t="shared" ref="J193:P197" si="320">INDEX($R193:$BV193,1,MATCH(J$4,$R$4:$BV$4,0))</f>
        <v>189.9</v>
      </c>
      <c r="K193" s="40">
        <f t="shared" si="320"/>
        <v>153.625</v>
      </c>
      <c r="L193" s="40">
        <f t="shared" si="320"/>
        <v>294.209</v>
      </c>
      <c r="M193" s="40">
        <f t="shared" si="320"/>
        <v>468</v>
      </c>
      <c r="N193" s="40">
        <f t="shared" si="320"/>
        <v>463.5448526212034</v>
      </c>
      <c r="O193" s="40">
        <f t="shared" si="320"/>
        <v>350.58427485869379</v>
      </c>
      <c r="P193" s="40">
        <f t="shared" si="320"/>
        <v>282.47472053106935</v>
      </c>
      <c r="Q193" s="40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59">
        <v>189.9</v>
      </c>
      <c r="AX193" s="91"/>
      <c r="AY193" s="91"/>
      <c r="AZ193" s="91"/>
      <c r="BA193" s="59">
        <v>153.625</v>
      </c>
      <c r="BB193" s="91"/>
      <c r="BC193" s="91"/>
      <c r="BD193" s="59">
        <v>306.64100000000002</v>
      </c>
      <c r="BE193" s="59">
        <v>294.209</v>
      </c>
      <c r="BF193" s="59">
        <v>285.315</v>
      </c>
      <c r="BG193" s="59">
        <v>285.56900000000002</v>
      </c>
      <c r="BH193" s="59">
        <v>440.60199999999998</v>
      </c>
      <c r="BI193" s="59">
        <v>468</v>
      </c>
      <c r="BJ193" s="40">
        <f t="shared" ref="BJ193:BU193" si="321">SUM(BJ191:BJ192)</f>
        <v>449.75908339045208</v>
      </c>
      <c r="BK193" s="40">
        <f t="shared" si="321"/>
        <v>485.05014922014897</v>
      </c>
      <c r="BL193" s="40">
        <f t="shared" si="321"/>
        <v>494.81596248158246</v>
      </c>
      <c r="BM193" s="40">
        <f t="shared" si="321"/>
        <v>463.5448526212034</v>
      </c>
      <c r="BN193" s="40">
        <f t="shared" si="321"/>
        <v>432.54938784268563</v>
      </c>
      <c r="BO193" s="40">
        <f t="shared" si="321"/>
        <v>403.10344101951148</v>
      </c>
      <c r="BP193" s="40">
        <f t="shared" si="321"/>
        <v>375.79089306806907</v>
      </c>
      <c r="BQ193" s="40">
        <f t="shared" si="321"/>
        <v>350.58427485869379</v>
      </c>
      <c r="BR193" s="40">
        <f t="shared" si="321"/>
        <v>329.18132007361987</v>
      </c>
      <c r="BS193" s="40">
        <f t="shared" si="321"/>
        <v>311.00805820537198</v>
      </c>
      <c r="BT193" s="40">
        <f t="shared" si="321"/>
        <v>295.57713054849387</v>
      </c>
      <c r="BU193" s="40">
        <f t="shared" si="321"/>
        <v>282.47472053106935</v>
      </c>
      <c r="BX193" s="221">
        <f t="shared" si="259"/>
        <v>185</v>
      </c>
    </row>
    <row r="194" spans="1:76" outlineLevel="1">
      <c r="A194" s="181"/>
      <c r="B194" s="93" t="s">
        <v>129</v>
      </c>
      <c r="C194" s="19"/>
      <c r="D194" s="19"/>
      <c r="E194" s="19"/>
      <c r="F194" s="19"/>
      <c r="G194" s="19"/>
      <c r="H194" s="19"/>
      <c r="I194" s="19"/>
      <c r="J194" s="40">
        <f t="shared" si="320"/>
        <v>49.012999999999998</v>
      </c>
      <c r="K194" s="40">
        <f t="shared" si="320"/>
        <v>48.881999999999998</v>
      </c>
      <c r="L194" s="40">
        <f t="shared" si="320"/>
        <v>50.478000000000002</v>
      </c>
      <c r="M194" s="40">
        <f t="shared" si="320"/>
        <v>134.96700000000001</v>
      </c>
      <c r="N194" s="40">
        <f t="shared" si="320"/>
        <v>134.96700000000001</v>
      </c>
      <c r="O194" s="40">
        <f t="shared" si="320"/>
        <v>134.96700000000001</v>
      </c>
      <c r="P194" s="40">
        <f t="shared" si="320"/>
        <v>134.96700000000001</v>
      </c>
      <c r="Q194" s="40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59">
        <v>49.012999999999998</v>
      </c>
      <c r="AX194" s="91"/>
      <c r="AY194" s="91"/>
      <c r="AZ194" s="91"/>
      <c r="BA194" s="59">
        <v>48.881999999999998</v>
      </c>
      <c r="BB194" s="91"/>
      <c r="BC194" s="91"/>
      <c r="BD194" s="59">
        <v>50.478000000000002</v>
      </c>
      <c r="BE194" s="59">
        <v>50.478000000000002</v>
      </c>
      <c r="BF194" s="59">
        <v>50.624000000000002</v>
      </c>
      <c r="BG194" s="59">
        <v>50.624000000000002</v>
      </c>
      <c r="BH194" s="59">
        <v>144.875</v>
      </c>
      <c r="BI194" s="59">
        <v>134.96700000000001</v>
      </c>
      <c r="BJ194" s="59">
        <f t="shared" ref="BJ194:BU194" si="322">BI194</f>
        <v>134.96700000000001</v>
      </c>
      <c r="BK194" s="59">
        <f t="shared" si="322"/>
        <v>134.96700000000001</v>
      </c>
      <c r="BL194" s="59">
        <f t="shared" si="322"/>
        <v>134.96700000000001</v>
      </c>
      <c r="BM194" s="59">
        <f t="shared" si="322"/>
        <v>134.96700000000001</v>
      </c>
      <c r="BN194" s="59">
        <f t="shared" si="322"/>
        <v>134.96700000000001</v>
      </c>
      <c r="BO194" s="59">
        <f t="shared" si="322"/>
        <v>134.96700000000001</v>
      </c>
      <c r="BP194" s="59">
        <f t="shared" si="322"/>
        <v>134.96700000000001</v>
      </c>
      <c r="BQ194" s="59">
        <f t="shared" si="322"/>
        <v>134.96700000000001</v>
      </c>
      <c r="BR194" s="59">
        <f t="shared" si="322"/>
        <v>134.96700000000001</v>
      </c>
      <c r="BS194" s="59">
        <f t="shared" si="322"/>
        <v>134.96700000000001</v>
      </c>
      <c r="BT194" s="59">
        <f t="shared" si="322"/>
        <v>134.96700000000001</v>
      </c>
      <c r="BU194" s="59">
        <f t="shared" si="322"/>
        <v>134.96700000000001</v>
      </c>
      <c r="BX194" s="221">
        <f t="shared" si="259"/>
        <v>186</v>
      </c>
    </row>
    <row r="195" spans="1:76" outlineLevel="1">
      <c r="A195" s="181"/>
      <c r="B195" s="93" t="s">
        <v>128</v>
      </c>
      <c r="C195" s="19"/>
      <c r="D195" s="19"/>
      <c r="E195" s="19"/>
      <c r="F195" s="19"/>
      <c r="G195" s="19"/>
      <c r="H195" s="19"/>
      <c r="I195" s="19"/>
      <c r="J195" s="40">
        <f t="shared" si="320"/>
        <v>54.167999999999999</v>
      </c>
      <c r="K195" s="40">
        <f t="shared" si="320"/>
        <v>45.616</v>
      </c>
      <c r="L195" s="40">
        <f t="shared" si="320"/>
        <v>44.015000000000001</v>
      </c>
      <c r="M195" s="40">
        <f t="shared" si="320"/>
        <v>57.28</v>
      </c>
      <c r="N195" s="40">
        <f t="shared" si="320"/>
        <v>57.28</v>
      </c>
      <c r="O195" s="40">
        <f t="shared" si="320"/>
        <v>57.28</v>
      </c>
      <c r="P195" s="40">
        <f t="shared" si="320"/>
        <v>57.28</v>
      </c>
      <c r="Q195" s="40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59">
        <v>54.167999999999999</v>
      </c>
      <c r="AX195" s="91"/>
      <c r="AY195" s="91"/>
      <c r="AZ195" s="91"/>
      <c r="BA195" s="59">
        <v>45.616</v>
      </c>
      <c r="BB195" s="91"/>
      <c r="BC195" s="91"/>
      <c r="BD195" s="59">
        <v>45.585000000000001</v>
      </c>
      <c r="BE195" s="59">
        <v>44.015000000000001</v>
      </c>
      <c r="BF195" s="59">
        <v>42.506999999999998</v>
      </c>
      <c r="BG195" s="59">
        <v>41.322000000000003</v>
      </c>
      <c r="BH195" s="59">
        <v>59.314</v>
      </c>
      <c r="BI195" s="59">
        <v>57.28</v>
      </c>
      <c r="BJ195" s="59">
        <f t="shared" ref="BJ195:BU196" si="323">BI195</f>
        <v>57.28</v>
      </c>
      <c r="BK195" s="59">
        <f t="shared" si="323"/>
        <v>57.28</v>
      </c>
      <c r="BL195" s="59">
        <f t="shared" si="323"/>
        <v>57.28</v>
      </c>
      <c r="BM195" s="59">
        <f t="shared" si="323"/>
        <v>57.28</v>
      </c>
      <c r="BN195" s="59">
        <f t="shared" si="323"/>
        <v>57.28</v>
      </c>
      <c r="BO195" s="59">
        <f t="shared" si="323"/>
        <v>57.28</v>
      </c>
      <c r="BP195" s="59">
        <f t="shared" si="323"/>
        <v>57.28</v>
      </c>
      <c r="BQ195" s="59">
        <f t="shared" si="323"/>
        <v>57.28</v>
      </c>
      <c r="BR195" s="59">
        <f t="shared" si="323"/>
        <v>57.28</v>
      </c>
      <c r="BS195" s="59">
        <f t="shared" si="323"/>
        <v>57.28</v>
      </c>
      <c r="BT195" s="59">
        <f t="shared" si="323"/>
        <v>57.28</v>
      </c>
      <c r="BU195" s="59">
        <f t="shared" si="323"/>
        <v>57.28</v>
      </c>
      <c r="BX195" s="221">
        <f t="shared" si="259"/>
        <v>187</v>
      </c>
    </row>
    <row r="196" spans="1:76" outlineLevel="1">
      <c r="A196" s="181"/>
      <c r="B196" s="93" t="s">
        <v>119</v>
      </c>
      <c r="C196" s="19"/>
      <c r="D196" s="19"/>
      <c r="E196" s="19"/>
      <c r="F196" s="19"/>
      <c r="G196" s="19"/>
      <c r="H196" s="19"/>
      <c r="I196" s="19"/>
      <c r="J196" s="40">
        <f t="shared" si="320"/>
        <v>0</v>
      </c>
      <c r="K196" s="40">
        <f t="shared" si="320"/>
        <v>0</v>
      </c>
      <c r="L196" s="40">
        <f t="shared" si="320"/>
        <v>0</v>
      </c>
      <c r="M196" s="40">
        <f t="shared" si="320"/>
        <v>0</v>
      </c>
      <c r="N196" s="40">
        <f t="shared" si="320"/>
        <v>0</v>
      </c>
      <c r="O196" s="40">
        <f t="shared" si="320"/>
        <v>0</v>
      </c>
      <c r="P196" s="40">
        <f t="shared" si="320"/>
        <v>0</v>
      </c>
      <c r="Q196" s="40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59">
        <v>0</v>
      </c>
      <c r="AX196" s="91"/>
      <c r="AY196" s="91"/>
      <c r="AZ196" s="91"/>
      <c r="BA196" s="59">
        <v>0</v>
      </c>
      <c r="BB196" s="91"/>
      <c r="BC196" s="91"/>
      <c r="BD196" s="59">
        <v>0</v>
      </c>
      <c r="BE196" s="59">
        <v>0</v>
      </c>
      <c r="BF196" s="59">
        <f t="shared" ref="BF196:BQ196" si="324">BE196</f>
        <v>0</v>
      </c>
      <c r="BG196" s="59">
        <v>0</v>
      </c>
      <c r="BH196" s="59">
        <v>0</v>
      </c>
      <c r="BI196" s="59">
        <v>0</v>
      </c>
      <c r="BJ196" s="40">
        <f t="shared" si="324"/>
        <v>0</v>
      </c>
      <c r="BK196" s="40">
        <f t="shared" si="324"/>
        <v>0</v>
      </c>
      <c r="BL196" s="40">
        <f t="shared" si="324"/>
        <v>0</v>
      </c>
      <c r="BM196" s="40">
        <f t="shared" si="324"/>
        <v>0</v>
      </c>
      <c r="BN196" s="40">
        <f t="shared" si="324"/>
        <v>0</v>
      </c>
      <c r="BO196" s="40">
        <f t="shared" si="324"/>
        <v>0</v>
      </c>
      <c r="BP196" s="40">
        <f t="shared" si="324"/>
        <v>0</v>
      </c>
      <c r="BQ196" s="40">
        <f t="shared" si="324"/>
        <v>0</v>
      </c>
      <c r="BR196" s="40">
        <f t="shared" si="323"/>
        <v>0</v>
      </c>
      <c r="BS196" s="40">
        <f t="shared" si="323"/>
        <v>0</v>
      </c>
      <c r="BT196" s="40">
        <f t="shared" si="323"/>
        <v>0</v>
      </c>
      <c r="BU196" s="40">
        <f t="shared" si="323"/>
        <v>0</v>
      </c>
      <c r="BX196" s="221">
        <f t="shared" si="259"/>
        <v>188</v>
      </c>
    </row>
    <row r="197" spans="1:76" outlineLevel="1">
      <c r="A197" s="181"/>
      <c r="B197" s="93" t="s">
        <v>127</v>
      </c>
      <c r="C197" s="19"/>
      <c r="D197" s="19"/>
      <c r="E197" s="19"/>
      <c r="F197" s="19"/>
      <c r="G197" s="19"/>
      <c r="H197" s="19"/>
      <c r="I197" s="19"/>
      <c r="J197" s="40">
        <f t="shared" si="320"/>
        <v>1.762</v>
      </c>
      <c r="K197" s="40">
        <f t="shared" si="320"/>
        <v>1.0740000000000001</v>
      </c>
      <c r="L197" s="40">
        <f t="shared" si="320"/>
        <v>2.3679999999999999</v>
      </c>
      <c r="M197" s="40">
        <f t="shared" si="320"/>
        <v>6.7759999999999998</v>
      </c>
      <c r="N197" s="40">
        <f t="shared" si="320"/>
        <v>6.7759999999999998</v>
      </c>
      <c r="O197" s="40">
        <f t="shared" si="320"/>
        <v>6.7759999999999998</v>
      </c>
      <c r="P197" s="40">
        <f t="shared" si="320"/>
        <v>6.7759999999999998</v>
      </c>
      <c r="Q197" s="40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59">
        <f>1.756+0.006</f>
        <v>1.762</v>
      </c>
      <c r="AX197" s="91"/>
      <c r="AY197" s="91"/>
      <c r="AZ197" s="91"/>
      <c r="BA197" s="59">
        <v>1.0740000000000001</v>
      </c>
      <c r="BB197" s="91"/>
      <c r="BC197" s="91"/>
      <c r="BD197" s="59">
        <v>2.4089999999999998</v>
      </c>
      <c r="BE197" s="59">
        <v>2.3679999999999999</v>
      </c>
      <c r="BF197" s="59">
        <v>5.8730000000000002</v>
      </c>
      <c r="BG197" s="59">
        <v>5.5730000000000004</v>
      </c>
      <c r="BH197" s="59">
        <v>5.5970000000000004</v>
      </c>
      <c r="BI197" s="59">
        <v>6.7759999999999998</v>
      </c>
      <c r="BJ197" s="59">
        <f t="shared" ref="BJ197:BU197" si="325">BI197</f>
        <v>6.7759999999999998</v>
      </c>
      <c r="BK197" s="59">
        <f t="shared" si="325"/>
        <v>6.7759999999999998</v>
      </c>
      <c r="BL197" s="59">
        <f t="shared" si="325"/>
        <v>6.7759999999999998</v>
      </c>
      <c r="BM197" s="59">
        <f t="shared" si="325"/>
        <v>6.7759999999999998</v>
      </c>
      <c r="BN197" s="59">
        <f t="shared" si="325"/>
        <v>6.7759999999999998</v>
      </c>
      <c r="BO197" s="59">
        <f t="shared" si="325"/>
        <v>6.7759999999999998</v>
      </c>
      <c r="BP197" s="59">
        <f t="shared" si="325"/>
        <v>6.7759999999999998</v>
      </c>
      <c r="BQ197" s="59">
        <f t="shared" si="325"/>
        <v>6.7759999999999998</v>
      </c>
      <c r="BR197" s="59">
        <f t="shared" si="325"/>
        <v>6.7759999999999998</v>
      </c>
      <c r="BS197" s="59">
        <f t="shared" si="325"/>
        <v>6.7759999999999998</v>
      </c>
      <c r="BT197" s="59">
        <f t="shared" si="325"/>
        <v>6.7759999999999998</v>
      </c>
      <c r="BU197" s="59">
        <f t="shared" si="325"/>
        <v>6.7759999999999998</v>
      </c>
      <c r="BX197" s="221">
        <f t="shared" si="259"/>
        <v>189</v>
      </c>
    </row>
    <row r="198" spans="1:76" outlineLevel="1">
      <c r="A198" s="181"/>
      <c r="B198" s="94" t="s">
        <v>126</v>
      </c>
      <c r="C198" s="85"/>
      <c r="D198" s="85"/>
      <c r="E198" s="85"/>
      <c r="F198" s="85"/>
      <c r="G198" s="85"/>
      <c r="H198" s="85"/>
      <c r="I198" s="85"/>
      <c r="J198" s="84">
        <f>SUM(J193:J197,J190)</f>
        <v>418.85500000000002</v>
      </c>
      <c r="K198" s="84">
        <f t="shared" ref="K198:O198" si="326">SUM(K193:K197,K190)</f>
        <v>324.79500000000002</v>
      </c>
      <c r="L198" s="84">
        <f t="shared" si="326"/>
        <v>536.94000000000005</v>
      </c>
      <c r="M198" s="84">
        <f t="shared" si="326"/>
        <v>1043.117</v>
      </c>
      <c r="N198" s="84">
        <f t="shared" si="326"/>
        <v>1240.6151278769753</v>
      </c>
      <c r="O198" s="84">
        <f t="shared" si="326"/>
        <v>1469.6875886378605</v>
      </c>
      <c r="P198" s="84">
        <f t="shared" ref="P198" si="327">SUM(P193:P197,P190)</f>
        <v>1724.7068783394495</v>
      </c>
      <c r="Q198" s="40"/>
      <c r="R198" s="85">
        <f t="shared" ref="R198:AW198" si="328">SUM(R193:R197,R190)</f>
        <v>0</v>
      </c>
      <c r="S198" s="85">
        <f t="shared" si="328"/>
        <v>0</v>
      </c>
      <c r="T198" s="85">
        <f t="shared" si="328"/>
        <v>0</v>
      </c>
      <c r="U198" s="85">
        <f t="shared" si="328"/>
        <v>0</v>
      </c>
      <c r="V198" s="85">
        <f t="shared" si="328"/>
        <v>0</v>
      </c>
      <c r="W198" s="85">
        <f t="shared" si="328"/>
        <v>0</v>
      </c>
      <c r="X198" s="85">
        <f t="shared" si="328"/>
        <v>0</v>
      </c>
      <c r="Y198" s="85">
        <f t="shared" si="328"/>
        <v>0</v>
      </c>
      <c r="Z198" s="85">
        <f t="shared" si="328"/>
        <v>0</v>
      </c>
      <c r="AA198" s="85">
        <f t="shared" si="328"/>
        <v>0</v>
      </c>
      <c r="AB198" s="85">
        <f t="shared" si="328"/>
        <v>0</v>
      </c>
      <c r="AC198" s="85">
        <f t="shared" si="328"/>
        <v>0</v>
      </c>
      <c r="AD198" s="85">
        <f t="shared" si="328"/>
        <v>0</v>
      </c>
      <c r="AE198" s="85">
        <f t="shared" si="328"/>
        <v>0</v>
      </c>
      <c r="AF198" s="85">
        <f t="shared" si="328"/>
        <v>0</v>
      </c>
      <c r="AG198" s="85">
        <f t="shared" si="328"/>
        <v>0</v>
      </c>
      <c r="AH198" s="85">
        <f t="shared" si="328"/>
        <v>0</v>
      </c>
      <c r="AI198" s="85">
        <f t="shared" si="328"/>
        <v>0</v>
      </c>
      <c r="AJ198" s="85">
        <f t="shared" si="328"/>
        <v>0</v>
      </c>
      <c r="AK198" s="85">
        <f t="shared" si="328"/>
        <v>0</v>
      </c>
      <c r="AL198" s="85">
        <f t="shared" si="328"/>
        <v>0</v>
      </c>
      <c r="AM198" s="85">
        <f t="shared" si="328"/>
        <v>0</v>
      </c>
      <c r="AN198" s="85">
        <f t="shared" si="328"/>
        <v>0</v>
      </c>
      <c r="AO198" s="85">
        <f t="shared" si="328"/>
        <v>0</v>
      </c>
      <c r="AP198" s="85">
        <f t="shared" si="328"/>
        <v>0</v>
      </c>
      <c r="AQ198" s="85">
        <f t="shared" si="328"/>
        <v>0</v>
      </c>
      <c r="AR198" s="85">
        <f t="shared" si="328"/>
        <v>0</v>
      </c>
      <c r="AS198" s="85">
        <f t="shared" si="328"/>
        <v>0</v>
      </c>
      <c r="AT198" s="85">
        <f t="shared" si="328"/>
        <v>0</v>
      </c>
      <c r="AU198" s="85">
        <f t="shared" si="328"/>
        <v>0</v>
      </c>
      <c r="AV198" s="85">
        <f t="shared" si="328"/>
        <v>0</v>
      </c>
      <c r="AW198" s="84">
        <f t="shared" si="328"/>
        <v>418.85500000000002</v>
      </c>
      <c r="AX198" s="85">
        <f t="shared" ref="AX198:BU198" si="329">SUM(AX193:AX197,AX190)</f>
        <v>0</v>
      </c>
      <c r="AY198" s="85">
        <f t="shared" si="329"/>
        <v>0</v>
      </c>
      <c r="AZ198" s="85">
        <f t="shared" si="329"/>
        <v>0</v>
      </c>
      <c r="BA198" s="84">
        <f t="shared" si="329"/>
        <v>324.79500000000002</v>
      </c>
      <c r="BB198" s="85">
        <f t="shared" si="329"/>
        <v>0</v>
      </c>
      <c r="BC198" s="85">
        <f t="shared" si="329"/>
        <v>0</v>
      </c>
      <c r="BD198" s="84">
        <f t="shared" si="329"/>
        <v>548.35900000000004</v>
      </c>
      <c r="BE198" s="84">
        <f>SUM(BE193:BE197,BE190)</f>
        <v>536.94000000000005</v>
      </c>
      <c r="BF198" s="84">
        <f t="shared" si="329"/>
        <v>627.351</v>
      </c>
      <c r="BG198" s="84">
        <f t="shared" si="329"/>
        <v>642.61699999999996</v>
      </c>
      <c r="BH198" s="84">
        <f t="shared" si="329"/>
        <v>1009.2269999999999</v>
      </c>
      <c r="BI198" s="84">
        <f t="shared" si="329"/>
        <v>1043.117</v>
      </c>
      <c r="BJ198" s="84">
        <f t="shared" si="329"/>
        <v>1066.9667406910569</v>
      </c>
      <c r="BK198" s="84">
        <f t="shared" si="329"/>
        <v>1122.3377437873723</v>
      </c>
      <c r="BL198" s="84">
        <f t="shared" si="329"/>
        <v>1179.3023305867621</v>
      </c>
      <c r="BM198" s="84">
        <f t="shared" si="329"/>
        <v>1240.6151278769753</v>
      </c>
      <c r="BN198" s="84">
        <f t="shared" si="329"/>
        <v>1304.6642945729366</v>
      </c>
      <c r="BO198" s="84">
        <f t="shared" si="329"/>
        <v>1356.6451404878667</v>
      </c>
      <c r="BP198" s="84">
        <f t="shared" si="329"/>
        <v>1411.5896717385422</v>
      </c>
      <c r="BQ198" s="84">
        <f t="shared" si="329"/>
        <v>1469.6875886378605</v>
      </c>
      <c r="BR198" s="84">
        <f t="shared" si="329"/>
        <v>1531.5707189096247</v>
      </c>
      <c r="BS198" s="84">
        <f t="shared" si="329"/>
        <v>1594.3074951904255</v>
      </c>
      <c r="BT198" s="84">
        <f t="shared" si="329"/>
        <v>1657.9577776900067</v>
      </c>
      <c r="BU198" s="84">
        <f t="shared" si="329"/>
        <v>1724.7068783394495</v>
      </c>
      <c r="BX198" s="221">
        <f t="shared" si="259"/>
        <v>190</v>
      </c>
    </row>
    <row r="199" spans="1:76" outlineLevel="1">
      <c r="A199" s="181"/>
      <c r="B199" s="99"/>
      <c r="C199" s="19"/>
      <c r="D199" s="19"/>
      <c r="E199" s="19"/>
      <c r="F199" s="19"/>
      <c r="G199" s="19"/>
      <c r="H199" s="19"/>
      <c r="I199" s="19"/>
      <c r="J199" s="40"/>
      <c r="K199" s="40"/>
      <c r="L199" s="40"/>
      <c r="M199" s="40"/>
      <c r="N199" s="40"/>
      <c r="O199" s="40"/>
      <c r="P199" s="40"/>
      <c r="Q199" s="40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97"/>
      <c r="AW199" s="40"/>
      <c r="AX199" s="97"/>
      <c r="AY199" s="97"/>
      <c r="AZ199" s="97"/>
      <c r="BA199" s="40"/>
      <c r="BB199" s="97"/>
      <c r="BC199" s="97"/>
      <c r="BD199" s="40"/>
      <c r="BE199" s="40"/>
      <c r="BF199" s="40"/>
      <c r="BG199" s="40"/>
      <c r="BH199" s="40"/>
      <c r="BI199" s="40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X199" s="221">
        <f t="shared" si="259"/>
        <v>191</v>
      </c>
    </row>
    <row r="200" spans="1:76" outlineLevel="1">
      <c r="A200" s="181"/>
      <c r="B200" s="86" t="s">
        <v>125</v>
      </c>
      <c r="C200" s="19"/>
      <c r="D200" s="19"/>
      <c r="E200" s="19"/>
      <c r="F200" s="19"/>
      <c r="G200" s="19"/>
      <c r="H200" s="19"/>
      <c r="I200" s="19"/>
      <c r="J200" s="40"/>
      <c r="K200" s="40"/>
      <c r="L200" s="40"/>
      <c r="M200" s="40"/>
      <c r="N200" s="40"/>
      <c r="O200" s="40"/>
      <c r="P200" s="40"/>
      <c r="Q200" s="40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97"/>
      <c r="AW200" s="40"/>
      <c r="AX200" s="98"/>
      <c r="AY200" s="97"/>
      <c r="AZ200" s="97"/>
      <c r="BA200" s="40"/>
      <c r="BB200" s="97"/>
      <c r="BC200" s="97"/>
      <c r="BD200" s="40"/>
      <c r="BE200" s="40"/>
      <c r="BF200" s="40"/>
      <c r="BG200" s="40"/>
      <c r="BH200" s="40"/>
      <c r="BI200" s="40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X200" s="221">
        <f t="shared" si="259"/>
        <v>192</v>
      </c>
    </row>
    <row r="201" spans="1:76" outlineLevel="1">
      <c r="A201" s="181"/>
      <c r="B201" s="92" t="s">
        <v>124</v>
      </c>
      <c r="C201" s="19"/>
      <c r="D201" s="19"/>
      <c r="E201" s="19"/>
      <c r="F201" s="19"/>
      <c r="G201" s="19"/>
      <c r="H201" s="19"/>
      <c r="I201" s="19"/>
      <c r="J201" s="40">
        <f t="shared" ref="J201:P204" si="330">INDEX($R201:$BV201,1,MATCH(J$4,$R$4:$BV$4,0))</f>
        <v>22.242000000000001</v>
      </c>
      <c r="K201" s="40">
        <f t="shared" si="330"/>
        <v>12.561999999999999</v>
      </c>
      <c r="L201" s="40">
        <f t="shared" si="330"/>
        <v>48.484000000000002</v>
      </c>
      <c r="M201" s="40">
        <f t="shared" si="330"/>
        <v>92.347999999999999</v>
      </c>
      <c r="N201" s="40">
        <f t="shared" si="330"/>
        <v>109.4326767062669</v>
      </c>
      <c r="O201" s="40">
        <f t="shared" si="330"/>
        <v>114.11804300150571</v>
      </c>
      <c r="P201" s="40">
        <f t="shared" si="330"/>
        <v>114.11804300150571</v>
      </c>
      <c r="Q201" s="40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59">
        <v>22.242000000000001</v>
      </c>
      <c r="AX201" s="91"/>
      <c r="AY201" s="91"/>
      <c r="AZ201" s="91"/>
      <c r="BA201" s="59">
        <v>12.561999999999999</v>
      </c>
      <c r="BB201" s="91"/>
      <c r="BC201" s="91"/>
      <c r="BD201" s="59">
        <v>27.783999999999999</v>
      </c>
      <c r="BE201" s="59">
        <v>48.484000000000002</v>
      </c>
      <c r="BF201" s="59">
        <v>69.064999999999998</v>
      </c>
      <c r="BG201" s="59">
        <v>83.320999999999998</v>
      </c>
      <c r="BH201" s="59">
        <v>110.29900000000001</v>
      </c>
      <c r="BI201" s="59">
        <v>92.347999999999999</v>
      </c>
      <c r="BJ201" s="40">
        <f t="shared" ref="BJ201:BU201" si="331">BJ242*-BJ19/BJ6</f>
        <v>96.043851482840282</v>
      </c>
      <c r="BK201" s="40">
        <f t="shared" si="331"/>
        <v>101.99574575163196</v>
      </c>
      <c r="BL201" s="40">
        <f t="shared" si="331"/>
        <v>106.27478037060614</v>
      </c>
      <c r="BM201" s="40">
        <f t="shared" si="331"/>
        <v>109.4326767062669</v>
      </c>
      <c r="BN201" s="40">
        <f t="shared" si="331"/>
        <v>116.51216435370804</v>
      </c>
      <c r="BO201" s="40">
        <f t="shared" si="331"/>
        <v>114.98147097230374</v>
      </c>
      <c r="BP201" s="40">
        <f t="shared" si="331"/>
        <v>113.9201458512309</v>
      </c>
      <c r="BQ201" s="40">
        <f t="shared" si="331"/>
        <v>114.11804300150571</v>
      </c>
      <c r="BR201" s="40">
        <f t="shared" si="331"/>
        <v>115.37208743009369</v>
      </c>
      <c r="BS201" s="40">
        <f t="shared" si="331"/>
        <v>115.37208743009369</v>
      </c>
      <c r="BT201" s="40">
        <f t="shared" si="331"/>
        <v>114.11804300150571</v>
      </c>
      <c r="BU201" s="40">
        <f t="shared" si="331"/>
        <v>114.11804300150571</v>
      </c>
      <c r="BX201" s="221">
        <f t="shared" si="259"/>
        <v>193</v>
      </c>
    </row>
    <row r="202" spans="1:76" outlineLevel="1">
      <c r="A202" s="181"/>
      <c r="B202" s="92" t="s">
        <v>123</v>
      </c>
      <c r="C202" s="19"/>
      <c r="D202" s="19"/>
      <c r="E202" s="19"/>
      <c r="F202" s="19"/>
      <c r="G202" s="19"/>
      <c r="H202" s="19"/>
      <c r="I202" s="19"/>
      <c r="J202" s="40">
        <f t="shared" si="330"/>
        <v>27.419</v>
      </c>
      <c r="K202" s="40">
        <f t="shared" si="330"/>
        <v>14.023999999999999</v>
      </c>
      <c r="L202" s="40">
        <f t="shared" si="330"/>
        <v>42.892000000000003</v>
      </c>
      <c r="M202" s="40">
        <f t="shared" si="330"/>
        <v>135.17500000000001</v>
      </c>
      <c r="N202" s="40">
        <f t="shared" si="330"/>
        <v>152.80389857923569</v>
      </c>
      <c r="O202" s="40">
        <f t="shared" si="330"/>
        <v>151.65136700267848</v>
      </c>
      <c r="P202" s="40">
        <f t="shared" si="330"/>
        <v>143.95652779248883</v>
      </c>
      <c r="Q202" s="40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59">
        <v>27.419</v>
      </c>
      <c r="AX202" s="91"/>
      <c r="AY202" s="91"/>
      <c r="AZ202" s="91"/>
      <c r="BA202" s="59">
        <v>14.023999999999999</v>
      </c>
      <c r="BB202" s="91"/>
      <c r="BC202" s="91"/>
      <c r="BD202" s="59">
        <v>32.927999999999997</v>
      </c>
      <c r="BE202" s="59">
        <v>42.892000000000003</v>
      </c>
      <c r="BF202" s="59">
        <v>52.654000000000003</v>
      </c>
      <c r="BG202" s="59">
        <v>64.861999999999995</v>
      </c>
      <c r="BH202" s="59">
        <v>124.066</v>
      </c>
      <c r="BI202" s="59">
        <v>135.17500000000001</v>
      </c>
      <c r="BJ202" s="40">
        <f t="shared" ref="BJ202:BU202" si="332">BJ246*(-BJ19*4)</f>
        <v>135.94480194276451</v>
      </c>
      <c r="BK202" s="40">
        <f t="shared" si="332"/>
        <v>144.27281275725801</v>
      </c>
      <c r="BL202" s="40">
        <f t="shared" si="332"/>
        <v>150.185934267189</v>
      </c>
      <c r="BM202" s="40">
        <f t="shared" si="332"/>
        <v>152.80389857923569</v>
      </c>
      <c r="BN202" s="40">
        <f t="shared" si="332"/>
        <v>157.23109238737487</v>
      </c>
      <c r="BO202" s="40">
        <f t="shared" si="332"/>
        <v>154.97231277369133</v>
      </c>
      <c r="BP202" s="40">
        <f t="shared" si="332"/>
        <v>153.30875546590369</v>
      </c>
      <c r="BQ202" s="40">
        <f t="shared" si="332"/>
        <v>151.65136700267848</v>
      </c>
      <c r="BR202" s="40">
        <f t="shared" si="332"/>
        <v>149.72765720013106</v>
      </c>
      <c r="BS202" s="40">
        <f t="shared" si="332"/>
        <v>147.80394739758367</v>
      </c>
      <c r="BT202" s="40">
        <f t="shared" si="332"/>
        <v>145.88023759503625</v>
      </c>
      <c r="BU202" s="40">
        <f t="shared" si="332"/>
        <v>143.95652779248883</v>
      </c>
      <c r="BX202" s="221">
        <f t="shared" si="259"/>
        <v>194</v>
      </c>
    </row>
    <row r="203" spans="1:76" outlineLevel="1">
      <c r="A203" s="181"/>
      <c r="B203" s="92" t="s">
        <v>349</v>
      </c>
      <c r="C203" s="19"/>
      <c r="D203" s="19"/>
      <c r="E203" s="19"/>
      <c r="F203" s="19"/>
      <c r="G203" s="19"/>
      <c r="H203" s="19"/>
      <c r="I203" s="19"/>
      <c r="J203" s="40">
        <f t="shared" si="330"/>
        <v>4.7970000000000006</v>
      </c>
      <c r="K203" s="40">
        <f t="shared" si="330"/>
        <v>4.66</v>
      </c>
      <c r="L203" s="40">
        <f t="shared" si="330"/>
        <v>5.1449999999999996</v>
      </c>
      <c r="M203" s="40">
        <f t="shared" si="330"/>
        <v>4.4359999999999999</v>
      </c>
      <c r="N203" s="40">
        <f t="shared" si="330"/>
        <v>5.4440000000000524</v>
      </c>
      <c r="O203" s="40">
        <f t="shared" si="330"/>
        <v>2.5999999999999996</v>
      </c>
      <c r="P203" s="40">
        <f t="shared" si="330"/>
        <v>0</v>
      </c>
      <c r="Q203" s="40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59">
        <f>1.661+3.136</f>
        <v>4.7970000000000006</v>
      </c>
      <c r="AX203" s="91"/>
      <c r="AY203" s="91"/>
      <c r="AZ203" s="91"/>
      <c r="BA203" s="59">
        <f>1.742+2.918</f>
        <v>4.66</v>
      </c>
      <c r="BB203" s="91"/>
      <c r="BC203" s="91"/>
      <c r="BD203" s="59">
        <f>2.655+0.842</f>
        <v>3.4969999999999999</v>
      </c>
      <c r="BE203" s="59">
        <f>2.633+2.512</f>
        <v>5.1449999999999996</v>
      </c>
      <c r="BF203" s="59">
        <f>2.617+0.349</f>
        <v>2.9660000000000002</v>
      </c>
      <c r="BG203" s="59">
        <f>2.642+0.342</f>
        <v>2.984</v>
      </c>
      <c r="BH203" s="59">
        <f>2.575+1.396</f>
        <v>3.9710000000000001</v>
      </c>
      <c r="BI203" s="59">
        <f>3.097+1.339</f>
        <v>4.4359999999999999</v>
      </c>
      <c r="BJ203" s="40">
        <f t="shared" ref="BJ203:BU203" si="333">BJ315</f>
        <v>5.4440000000000524</v>
      </c>
      <c r="BK203" s="40">
        <f t="shared" si="333"/>
        <v>5.4440000000000524</v>
      </c>
      <c r="BL203" s="40">
        <f t="shared" si="333"/>
        <v>5.4440000000000524</v>
      </c>
      <c r="BM203" s="40">
        <f t="shared" si="333"/>
        <v>5.4440000000000524</v>
      </c>
      <c r="BN203" s="40">
        <f t="shared" si="333"/>
        <v>4.7330000000000378</v>
      </c>
      <c r="BO203" s="40">
        <f t="shared" si="333"/>
        <v>4.0220000000000251</v>
      </c>
      <c r="BP203" s="40">
        <f t="shared" si="333"/>
        <v>3.3110000000000124</v>
      </c>
      <c r="BQ203" s="40">
        <f t="shared" si="333"/>
        <v>2.5999999999999996</v>
      </c>
      <c r="BR203" s="40">
        <f t="shared" si="333"/>
        <v>0</v>
      </c>
      <c r="BS203" s="40">
        <f t="shared" si="333"/>
        <v>0</v>
      </c>
      <c r="BT203" s="40">
        <f t="shared" si="333"/>
        <v>0</v>
      </c>
      <c r="BU203" s="40">
        <f t="shared" si="333"/>
        <v>0</v>
      </c>
      <c r="BX203" s="221">
        <f t="shared" ref="BX203:BX266" si="334">+BX202+1</f>
        <v>195</v>
      </c>
    </row>
    <row r="204" spans="1:76" outlineLevel="1">
      <c r="A204" s="181"/>
      <c r="B204" s="92" t="s">
        <v>122</v>
      </c>
      <c r="C204" s="19"/>
      <c r="D204" s="19"/>
      <c r="E204" s="19"/>
      <c r="F204" s="19"/>
      <c r="G204" s="19"/>
      <c r="H204" s="19"/>
      <c r="I204" s="19"/>
      <c r="J204" s="40">
        <f t="shared" si="330"/>
        <v>4.0410000000000004</v>
      </c>
      <c r="K204" s="40">
        <f t="shared" si="330"/>
        <v>1.1000000000000001</v>
      </c>
      <c r="L204" s="40">
        <f t="shared" si="330"/>
        <v>3.1709999999999998</v>
      </c>
      <c r="M204" s="40">
        <f t="shared" si="330"/>
        <v>10.194999999999999</v>
      </c>
      <c r="N204" s="40">
        <f t="shared" si="330"/>
        <v>10.194999999999999</v>
      </c>
      <c r="O204" s="40">
        <f t="shared" si="330"/>
        <v>10.194999999999999</v>
      </c>
      <c r="P204" s="40">
        <f t="shared" si="330"/>
        <v>10.194999999999999</v>
      </c>
      <c r="Q204" s="40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91"/>
      <c r="AL204" s="91"/>
      <c r="AM204" s="91"/>
      <c r="AN204" s="91"/>
      <c r="AO204" s="91"/>
      <c r="AP204" s="96"/>
      <c r="AQ204" s="96"/>
      <c r="AR204" s="96"/>
      <c r="AS204" s="96"/>
      <c r="AT204" s="96"/>
      <c r="AU204" s="96"/>
      <c r="AV204" s="96"/>
      <c r="AW204" s="59">
        <f>1.541+2.5</f>
        <v>4.0410000000000004</v>
      </c>
      <c r="AX204" s="96"/>
      <c r="AY204" s="96"/>
      <c r="AZ204" s="96"/>
      <c r="BA204" s="59">
        <v>1.1000000000000001</v>
      </c>
      <c r="BB204" s="96"/>
      <c r="BC204" s="96"/>
      <c r="BD204" s="59">
        <v>4.407</v>
      </c>
      <c r="BE204" s="59">
        <v>3.1709999999999998</v>
      </c>
      <c r="BF204" s="59">
        <f>4.281+4.086</f>
        <v>8.3670000000000009</v>
      </c>
      <c r="BG204" s="59">
        <f>4.281+1.75</f>
        <v>6.0309999999999997</v>
      </c>
      <c r="BH204" s="59">
        <f>4.281+10.009+1.525</f>
        <v>15.815</v>
      </c>
      <c r="BI204" s="59">
        <f>4.281+5+0.914</f>
        <v>10.194999999999999</v>
      </c>
      <c r="BJ204" s="59">
        <f t="shared" ref="BJ204:BU204" si="335">BI204</f>
        <v>10.194999999999999</v>
      </c>
      <c r="BK204" s="59">
        <f t="shared" si="335"/>
        <v>10.194999999999999</v>
      </c>
      <c r="BL204" s="59">
        <f t="shared" si="335"/>
        <v>10.194999999999999</v>
      </c>
      <c r="BM204" s="59">
        <f t="shared" si="335"/>
        <v>10.194999999999999</v>
      </c>
      <c r="BN204" s="59">
        <f t="shared" si="335"/>
        <v>10.194999999999999</v>
      </c>
      <c r="BO204" s="59">
        <f t="shared" si="335"/>
        <v>10.194999999999999</v>
      </c>
      <c r="BP204" s="59">
        <f t="shared" si="335"/>
        <v>10.194999999999999</v>
      </c>
      <c r="BQ204" s="59">
        <f t="shared" si="335"/>
        <v>10.194999999999999</v>
      </c>
      <c r="BR204" s="59">
        <f t="shared" si="335"/>
        <v>10.194999999999999</v>
      </c>
      <c r="BS204" s="59">
        <f t="shared" si="335"/>
        <v>10.194999999999999</v>
      </c>
      <c r="BT204" s="59">
        <f t="shared" si="335"/>
        <v>10.194999999999999</v>
      </c>
      <c r="BU204" s="59">
        <f t="shared" si="335"/>
        <v>10.194999999999999</v>
      </c>
      <c r="BX204" s="221">
        <f t="shared" si="334"/>
        <v>196</v>
      </c>
    </row>
    <row r="205" spans="1:76" outlineLevel="1">
      <c r="A205" s="181"/>
      <c r="B205" s="86" t="s">
        <v>121</v>
      </c>
      <c r="C205" s="85"/>
      <c r="D205" s="85"/>
      <c r="E205" s="85"/>
      <c r="F205" s="85"/>
      <c r="G205" s="85"/>
      <c r="H205" s="85"/>
      <c r="I205" s="85"/>
      <c r="J205" s="84">
        <f>SUM(J201:J204)</f>
        <v>58.498999999999995</v>
      </c>
      <c r="K205" s="84">
        <f t="shared" ref="K205:O205" si="336">SUM(K201:K204)</f>
        <v>32.345999999999997</v>
      </c>
      <c r="L205" s="84">
        <f t="shared" si="336"/>
        <v>99.692000000000007</v>
      </c>
      <c r="M205" s="84">
        <f t="shared" si="336"/>
        <v>242.15400000000002</v>
      </c>
      <c r="N205" s="84">
        <f t="shared" si="336"/>
        <v>277.87557528550263</v>
      </c>
      <c r="O205" s="84">
        <f t="shared" si="336"/>
        <v>278.5644100041842</v>
      </c>
      <c r="P205" s="84">
        <f t="shared" ref="P205" si="337">SUM(P201:P204)</f>
        <v>268.26957079399455</v>
      </c>
      <c r="Q205" s="95"/>
      <c r="R205" s="85">
        <f t="shared" ref="R205:AW205" si="338">SUM(R201:R204)</f>
        <v>0</v>
      </c>
      <c r="S205" s="85">
        <f t="shared" si="338"/>
        <v>0</v>
      </c>
      <c r="T205" s="85">
        <f t="shared" si="338"/>
        <v>0</v>
      </c>
      <c r="U205" s="85">
        <f t="shared" si="338"/>
        <v>0</v>
      </c>
      <c r="V205" s="85">
        <f t="shared" si="338"/>
        <v>0</v>
      </c>
      <c r="W205" s="85">
        <f t="shared" si="338"/>
        <v>0</v>
      </c>
      <c r="X205" s="85">
        <f t="shared" si="338"/>
        <v>0</v>
      </c>
      <c r="Y205" s="85">
        <f t="shared" si="338"/>
        <v>0</v>
      </c>
      <c r="Z205" s="85">
        <f t="shared" si="338"/>
        <v>0</v>
      </c>
      <c r="AA205" s="85">
        <f t="shared" si="338"/>
        <v>0</v>
      </c>
      <c r="AB205" s="85">
        <f t="shared" si="338"/>
        <v>0</v>
      </c>
      <c r="AC205" s="85">
        <f t="shared" si="338"/>
        <v>0</v>
      </c>
      <c r="AD205" s="85">
        <f t="shared" si="338"/>
        <v>0</v>
      </c>
      <c r="AE205" s="85">
        <f t="shared" si="338"/>
        <v>0</v>
      </c>
      <c r="AF205" s="85">
        <f t="shared" si="338"/>
        <v>0</v>
      </c>
      <c r="AG205" s="85">
        <f t="shared" si="338"/>
        <v>0</v>
      </c>
      <c r="AH205" s="85">
        <f t="shared" si="338"/>
        <v>0</v>
      </c>
      <c r="AI205" s="85">
        <f t="shared" si="338"/>
        <v>0</v>
      </c>
      <c r="AJ205" s="85">
        <f t="shared" si="338"/>
        <v>0</v>
      </c>
      <c r="AK205" s="85">
        <f t="shared" si="338"/>
        <v>0</v>
      </c>
      <c r="AL205" s="85">
        <f t="shared" si="338"/>
        <v>0</v>
      </c>
      <c r="AM205" s="85">
        <f t="shared" si="338"/>
        <v>0</v>
      </c>
      <c r="AN205" s="85">
        <f t="shared" si="338"/>
        <v>0</v>
      </c>
      <c r="AO205" s="85">
        <f t="shared" si="338"/>
        <v>0</v>
      </c>
      <c r="AP205" s="85">
        <f t="shared" si="338"/>
        <v>0</v>
      </c>
      <c r="AQ205" s="85">
        <f t="shared" si="338"/>
        <v>0</v>
      </c>
      <c r="AR205" s="85">
        <f t="shared" si="338"/>
        <v>0</v>
      </c>
      <c r="AS205" s="85">
        <f t="shared" si="338"/>
        <v>0</v>
      </c>
      <c r="AT205" s="85">
        <f t="shared" si="338"/>
        <v>0</v>
      </c>
      <c r="AU205" s="85">
        <f t="shared" si="338"/>
        <v>0</v>
      </c>
      <c r="AV205" s="85">
        <f t="shared" si="338"/>
        <v>0</v>
      </c>
      <c r="AW205" s="84">
        <f t="shared" si="338"/>
        <v>58.498999999999995</v>
      </c>
      <c r="AX205" s="85">
        <f t="shared" ref="AX205:BU205" si="339">SUM(AX201:AX204)</f>
        <v>0</v>
      </c>
      <c r="AY205" s="85">
        <f t="shared" si="339"/>
        <v>0</v>
      </c>
      <c r="AZ205" s="85">
        <f t="shared" si="339"/>
        <v>0</v>
      </c>
      <c r="BA205" s="84">
        <f t="shared" si="339"/>
        <v>32.345999999999997</v>
      </c>
      <c r="BB205" s="85">
        <f t="shared" si="339"/>
        <v>0</v>
      </c>
      <c r="BC205" s="85">
        <f t="shared" si="339"/>
        <v>0</v>
      </c>
      <c r="BD205" s="84">
        <f t="shared" si="339"/>
        <v>68.616</v>
      </c>
      <c r="BE205" s="84">
        <f>SUM(BE201:BE204)</f>
        <v>99.692000000000007</v>
      </c>
      <c r="BF205" s="84">
        <f t="shared" si="339"/>
        <v>133.05199999999999</v>
      </c>
      <c r="BG205" s="84">
        <f t="shared" si="339"/>
        <v>157.19800000000001</v>
      </c>
      <c r="BH205" s="84">
        <f t="shared" si="339"/>
        <v>254.15100000000001</v>
      </c>
      <c r="BI205" s="84">
        <f t="shared" si="339"/>
        <v>242.15400000000002</v>
      </c>
      <c r="BJ205" s="84">
        <f t="shared" si="339"/>
        <v>247.62765342560485</v>
      </c>
      <c r="BK205" s="84">
        <f t="shared" si="339"/>
        <v>261.90755850889002</v>
      </c>
      <c r="BL205" s="84">
        <f t="shared" si="339"/>
        <v>272.09971463779522</v>
      </c>
      <c r="BM205" s="84">
        <f t="shared" si="339"/>
        <v>277.87557528550263</v>
      </c>
      <c r="BN205" s="84">
        <f t="shared" si="339"/>
        <v>288.67125674108297</v>
      </c>
      <c r="BO205" s="84">
        <f t="shared" si="339"/>
        <v>284.1707837459951</v>
      </c>
      <c r="BP205" s="84">
        <f t="shared" si="339"/>
        <v>280.73490131713464</v>
      </c>
      <c r="BQ205" s="84">
        <f t="shared" si="339"/>
        <v>278.5644100041842</v>
      </c>
      <c r="BR205" s="84">
        <f t="shared" si="339"/>
        <v>275.29474463022473</v>
      </c>
      <c r="BS205" s="84">
        <f t="shared" si="339"/>
        <v>273.37103482767736</v>
      </c>
      <c r="BT205" s="84">
        <f t="shared" si="339"/>
        <v>270.19328059654197</v>
      </c>
      <c r="BU205" s="84">
        <f t="shared" si="339"/>
        <v>268.26957079399455</v>
      </c>
      <c r="BX205" s="221">
        <f t="shared" si="334"/>
        <v>197</v>
      </c>
    </row>
    <row r="206" spans="1:76" outlineLevel="1">
      <c r="A206" s="181"/>
      <c r="B206" s="92" t="s">
        <v>120</v>
      </c>
      <c r="C206" s="19"/>
      <c r="D206" s="19"/>
      <c r="E206" s="19"/>
      <c r="F206" s="19"/>
      <c r="G206" s="19"/>
      <c r="H206" s="19"/>
      <c r="I206" s="19"/>
      <c r="J206" s="40">
        <f t="shared" ref="J206:P208" si="340">INDEX($R206:$BV206,1,MATCH(J$4,$R$4:$BV$4,0))</f>
        <v>213.65799999999999</v>
      </c>
      <c r="K206" s="40">
        <f t="shared" si="340"/>
        <v>210.51400000000001</v>
      </c>
      <c r="L206" s="40">
        <f t="shared" si="340"/>
        <v>272.68</v>
      </c>
      <c r="M206" s="40">
        <f t="shared" si="340"/>
        <v>278.51099999999997</v>
      </c>
      <c r="N206" s="40">
        <f t="shared" si="340"/>
        <v>272.05899999999986</v>
      </c>
      <c r="O206" s="40">
        <f t="shared" si="340"/>
        <v>269.45899999999989</v>
      </c>
      <c r="P206" s="40">
        <f t="shared" si="340"/>
        <v>266.61499999999984</v>
      </c>
      <c r="Q206" s="40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59">
        <f>8.106+185.552+20</f>
        <v>213.65799999999999</v>
      </c>
      <c r="AX206" s="91"/>
      <c r="AY206" s="91"/>
      <c r="AZ206" s="91"/>
      <c r="BA206" s="59">
        <f>6.365+181.975+22.174</f>
        <v>210.51400000000001</v>
      </c>
      <c r="BB206" s="91"/>
      <c r="BC206" s="91"/>
      <c r="BD206" s="59">
        <f>268.771+6.216</f>
        <v>274.98700000000002</v>
      </c>
      <c r="BE206" s="59">
        <f>5.442+267.238</f>
        <v>272.68</v>
      </c>
      <c r="BF206" s="59">
        <f>144.718+4.744</f>
        <v>149.46199999999999</v>
      </c>
      <c r="BG206" s="59">
        <f>144.535+4.21</f>
        <v>148.745</v>
      </c>
      <c r="BH206" s="59">
        <f>5.063+274.172</f>
        <v>279.23500000000001</v>
      </c>
      <c r="BI206" s="59">
        <f>273.715+4.796</f>
        <v>278.51099999999997</v>
      </c>
      <c r="BJ206" s="40">
        <f t="shared" ref="BJ206:BU206" si="341">BJ316</f>
        <v>276.14199999999988</v>
      </c>
      <c r="BK206" s="40">
        <f t="shared" si="341"/>
        <v>274.78099999999989</v>
      </c>
      <c r="BL206" s="40">
        <f t="shared" si="341"/>
        <v>273.4199999999999</v>
      </c>
      <c r="BM206" s="40">
        <f t="shared" si="341"/>
        <v>272.05899999999986</v>
      </c>
      <c r="BN206" s="40">
        <f t="shared" si="341"/>
        <v>271.40899999999988</v>
      </c>
      <c r="BO206" s="40">
        <f t="shared" si="341"/>
        <v>270.75899999999984</v>
      </c>
      <c r="BP206" s="40">
        <f t="shared" si="341"/>
        <v>270.10899999999987</v>
      </c>
      <c r="BQ206" s="40">
        <f t="shared" si="341"/>
        <v>269.45899999999989</v>
      </c>
      <c r="BR206" s="40">
        <f t="shared" si="341"/>
        <v>270.69799999999987</v>
      </c>
      <c r="BS206" s="40">
        <f t="shared" si="341"/>
        <v>269.33699999999988</v>
      </c>
      <c r="BT206" s="40">
        <f t="shared" si="341"/>
        <v>267.97599999999983</v>
      </c>
      <c r="BU206" s="40">
        <f t="shared" si="341"/>
        <v>266.61499999999984</v>
      </c>
      <c r="BX206" s="221">
        <f t="shared" si="334"/>
        <v>198</v>
      </c>
    </row>
    <row r="207" spans="1:76" outlineLevel="1">
      <c r="A207" s="181"/>
      <c r="B207" s="92" t="s">
        <v>119</v>
      </c>
      <c r="C207" s="19"/>
      <c r="D207" s="19"/>
      <c r="E207" s="19"/>
      <c r="F207" s="19"/>
      <c r="G207" s="19"/>
      <c r="H207" s="19"/>
      <c r="I207" s="19"/>
      <c r="J207" s="40">
        <f t="shared" si="340"/>
        <v>0</v>
      </c>
      <c r="K207" s="40">
        <f t="shared" si="340"/>
        <v>0</v>
      </c>
      <c r="L207" s="40">
        <f t="shared" si="340"/>
        <v>0</v>
      </c>
      <c r="M207" s="40">
        <f t="shared" si="340"/>
        <v>0</v>
      </c>
      <c r="N207" s="40">
        <f t="shared" si="340"/>
        <v>22.670281570124011</v>
      </c>
      <c r="O207" s="40">
        <f t="shared" si="340"/>
        <v>22.670281570124011</v>
      </c>
      <c r="P207" s="40">
        <f t="shared" si="340"/>
        <v>22.670281570124011</v>
      </c>
      <c r="Q207" s="40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59">
        <v>0</v>
      </c>
      <c r="AX207" s="91"/>
      <c r="AY207" s="91"/>
      <c r="AZ207" s="91"/>
      <c r="BA207" s="59">
        <v>0</v>
      </c>
      <c r="BB207" s="91"/>
      <c r="BC207" s="91"/>
      <c r="BD207" s="59">
        <v>0</v>
      </c>
      <c r="BE207" s="59">
        <v>0</v>
      </c>
      <c r="BF207" s="59">
        <v>0</v>
      </c>
      <c r="BG207" s="59">
        <v>0</v>
      </c>
      <c r="BH207" s="59">
        <v>0</v>
      </c>
      <c r="BI207" s="59">
        <v>0</v>
      </c>
      <c r="BJ207" s="59">
        <f>+BI207-(BJ33+15/4)</f>
        <v>0.97891919839947317</v>
      </c>
      <c r="BK207" s="59">
        <f>+BJ207-(BK33+15/4)</f>
        <v>6.7333807612661341</v>
      </c>
      <c r="BL207" s="59">
        <f>+BK207-(BL33+15/4)</f>
        <v>13.737735508772776</v>
      </c>
      <c r="BM207" s="59">
        <f>+BL207-(BM33+15/4)</f>
        <v>22.670281570124011</v>
      </c>
      <c r="BN207" s="59">
        <f>BM207</f>
        <v>22.670281570124011</v>
      </c>
      <c r="BO207" s="59">
        <f t="shared" ref="BO207:BU207" si="342">BN207</f>
        <v>22.670281570124011</v>
      </c>
      <c r="BP207" s="59">
        <f t="shared" si="342"/>
        <v>22.670281570124011</v>
      </c>
      <c r="BQ207" s="59">
        <f t="shared" si="342"/>
        <v>22.670281570124011</v>
      </c>
      <c r="BR207" s="59">
        <f t="shared" si="342"/>
        <v>22.670281570124011</v>
      </c>
      <c r="BS207" s="59">
        <f t="shared" si="342"/>
        <v>22.670281570124011</v>
      </c>
      <c r="BT207" s="59">
        <f t="shared" si="342"/>
        <v>22.670281570124011</v>
      </c>
      <c r="BU207" s="59">
        <f t="shared" si="342"/>
        <v>22.670281570124011</v>
      </c>
      <c r="BX207" s="221">
        <f t="shared" si="334"/>
        <v>199</v>
      </c>
    </row>
    <row r="208" spans="1:76" outlineLevel="1">
      <c r="A208" s="181"/>
      <c r="B208" s="93" t="s">
        <v>118</v>
      </c>
      <c r="C208" s="19"/>
      <c r="D208" s="19"/>
      <c r="E208" s="19"/>
      <c r="F208" s="19"/>
      <c r="G208" s="19"/>
      <c r="H208" s="19"/>
      <c r="I208" s="19"/>
      <c r="J208" s="40">
        <f t="shared" si="340"/>
        <v>5.8000000000000003E-2</v>
      </c>
      <c r="K208" s="40">
        <f t="shared" si="340"/>
        <v>1.7749999999999999</v>
      </c>
      <c r="L208" s="40">
        <f t="shared" si="340"/>
        <v>2.3159999999999998</v>
      </c>
      <c r="M208" s="40">
        <f t="shared" si="340"/>
        <v>9.359</v>
      </c>
      <c r="N208" s="40">
        <f t="shared" si="340"/>
        <v>9.359</v>
      </c>
      <c r="O208" s="40">
        <f t="shared" si="340"/>
        <v>9.359</v>
      </c>
      <c r="P208" s="40">
        <f t="shared" si="340"/>
        <v>9.359</v>
      </c>
      <c r="Q208" s="40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59">
        <v>5.8000000000000003E-2</v>
      </c>
      <c r="AX208" s="91"/>
      <c r="AY208" s="91"/>
      <c r="AZ208" s="91"/>
      <c r="BA208" s="59">
        <v>1.7749999999999999</v>
      </c>
      <c r="BB208" s="91"/>
      <c r="BC208" s="91"/>
      <c r="BD208" s="59">
        <v>4.6150000000000002</v>
      </c>
      <c r="BE208" s="59">
        <v>2.3159999999999998</v>
      </c>
      <c r="BF208" s="59">
        <f>4.281+4.173</f>
        <v>8.4540000000000006</v>
      </c>
      <c r="BG208" s="59">
        <f>4.281+4.242</f>
        <v>8.5229999999999997</v>
      </c>
      <c r="BH208" s="59">
        <f>4.281+6.607</f>
        <v>10.888</v>
      </c>
      <c r="BI208" s="59">
        <f>4.281+5.078</f>
        <v>9.359</v>
      </c>
      <c r="BJ208" s="59">
        <f t="shared" ref="BJ208:BU208" si="343">BI208</f>
        <v>9.359</v>
      </c>
      <c r="BK208" s="59">
        <f t="shared" si="343"/>
        <v>9.359</v>
      </c>
      <c r="BL208" s="59">
        <f t="shared" si="343"/>
        <v>9.359</v>
      </c>
      <c r="BM208" s="59">
        <f t="shared" si="343"/>
        <v>9.359</v>
      </c>
      <c r="BN208" s="59">
        <f t="shared" si="343"/>
        <v>9.359</v>
      </c>
      <c r="BO208" s="59">
        <f t="shared" si="343"/>
        <v>9.359</v>
      </c>
      <c r="BP208" s="59">
        <f t="shared" si="343"/>
        <v>9.359</v>
      </c>
      <c r="BQ208" s="59">
        <f t="shared" si="343"/>
        <v>9.359</v>
      </c>
      <c r="BR208" s="59">
        <f t="shared" si="343"/>
        <v>9.359</v>
      </c>
      <c r="BS208" s="59">
        <f t="shared" si="343"/>
        <v>9.359</v>
      </c>
      <c r="BT208" s="59">
        <f t="shared" si="343"/>
        <v>9.359</v>
      </c>
      <c r="BU208" s="59">
        <f t="shared" si="343"/>
        <v>9.359</v>
      </c>
      <c r="BX208" s="221">
        <f t="shared" si="334"/>
        <v>200</v>
      </c>
    </row>
    <row r="209" spans="1:76" outlineLevel="1">
      <c r="A209" s="181"/>
      <c r="B209" s="94" t="s">
        <v>117</v>
      </c>
      <c r="C209" s="85"/>
      <c r="D209" s="85"/>
      <c r="E209" s="85"/>
      <c r="F209" s="85"/>
      <c r="G209" s="85"/>
      <c r="H209" s="85"/>
      <c r="I209" s="85"/>
      <c r="J209" s="84">
        <f>SUM(J205:J208)</f>
        <v>272.21499999999997</v>
      </c>
      <c r="K209" s="84">
        <f t="shared" ref="K209:O209" si="344">SUM(K205:K208)</f>
        <v>244.63500000000002</v>
      </c>
      <c r="L209" s="84">
        <f t="shared" si="344"/>
        <v>374.68799999999999</v>
      </c>
      <c r="M209" s="84">
        <f t="shared" si="344"/>
        <v>530.024</v>
      </c>
      <c r="N209" s="84">
        <f t="shared" si="344"/>
        <v>581.96385685562643</v>
      </c>
      <c r="O209" s="84">
        <f t="shared" si="344"/>
        <v>580.05269157430814</v>
      </c>
      <c r="P209" s="84">
        <f t="shared" ref="P209" si="345">SUM(P205:P208)</f>
        <v>566.91385236411838</v>
      </c>
      <c r="Q209" s="40"/>
      <c r="R209" s="85">
        <f t="shared" ref="R209:AW209" si="346">SUM(R205:R208)</f>
        <v>0</v>
      </c>
      <c r="S209" s="85">
        <f t="shared" si="346"/>
        <v>0</v>
      </c>
      <c r="T209" s="85">
        <f t="shared" si="346"/>
        <v>0</v>
      </c>
      <c r="U209" s="85">
        <f t="shared" si="346"/>
        <v>0</v>
      </c>
      <c r="V209" s="85">
        <f t="shared" si="346"/>
        <v>0</v>
      </c>
      <c r="W209" s="85">
        <f t="shared" si="346"/>
        <v>0</v>
      </c>
      <c r="X209" s="85">
        <f t="shared" si="346"/>
        <v>0</v>
      </c>
      <c r="Y209" s="85">
        <f t="shared" si="346"/>
        <v>0</v>
      </c>
      <c r="Z209" s="85">
        <f t="shared" si="346"/>
        <v>0</v>
      </c>
      <c r="AA209" s="85">
        <f t="shared" si="346"/>
        <v>0</v>
      </c>
      <c r="AB209" s="85">
        <f t="shared" si="346"/>
        <v>0</v>
      </c>
      <c r="AC209" s="85">
        <f t="shared" si="346"/>
        <v>0</v>
      </c>
      <c r="AD209" s="85">
        <f t="shared" si="346"/>
        <v>0</v>
      </c>
      <c r="AE209" s="85">
        <f t="shared" si="346"/>
        <v>0</v>
      </c>
      <c r="AF209" s="85">
        <f t="shared" si="346"/>
        <v>0</v>
      </c>
      <c r="AG209" s="85">
        <f t="shared" si="346"/>
        <v>0</v>
      </c>
      <c r="AH209" s="85">
        <f t="shared" si="346"/>
        <v>0</v>
      </c>
      <c r="AI209" s="85">
        <f t="shared" si="346"/>
        <v>0</v>
      </c>
      <c r="AJ209" s="85">
        <f t="shared" si="346"/>
        <v>0</v>
      </c>
      <c r="AK209" s="85">
        <f t="shared" si="346"/>
        <v>0</v>
      </c>
      <c r="AL209" s="85">
        <f t="shared" si="346"/>
        <v>0</v>
      </c>
      <c r="AM209" s="85">
        <f t="shared" si="346"/>
        <v>0</v>
      </c>
      <c r="AN209" s="85">
        <f t="shared" si="346"/>
        <v>0</v>
      </c>
      <c r="AO209" s="85">
        <f t="shared" si="346"/>
        <v>0</v>
      </c>
      <c r="AP209" s="85">
        <f t="shared" si="346"/>
        <v>0</v>
      </c>
      <c r="AQ209" s="85">
        <f t="shared" si="346"/>
        <v>0</v>
      </c>
      <c r="AR209" s="85">
        <f t="shared" si="346"/>
        <v>0</v>
      </c>
      <c r="AS209" s="85">
        <f t="shared" si="346"/>
        <v>0</v>
      </c>
      <c r="AT209" s="85">
        <f t="shared" si="346"/>
        <v>0</v>
      </c>
      <c r="AU209" s="85">
        <f t="shared" si="346"/>
        <v>0</v>
      </c>
      <c r="AV209" s="85">
        <f t="shared" si="346"/>
        <v>0</v>
      </c>
      <c r="AW209" s="84">
        <f t="shared" si="346"/>
        <v>272.21499999999997</v>
      </c>
      <c r="AX209" s="85">
        <f t="shared" ref="AX209:BU209" si="347">SUM(AX205:AX208)</f>
        <v>0</v>
      </c>
      <c r="AY209" s="85">
        <f t="shared" si="347"/>
        <v>0</v>
      </c>
      <c r="AZ209" s="85">
        <f t="shared" si="347"/>
        <v>0</v>
      </c>
      <c r="BA209" s="84">
        <f t="shared" si="347"/>
        <v>244.63500000000002</v>
      </c>
      <c r="BB209" s="85">
        <f t="shared" si="347"/>
        <v>0</v>
      </c>
      <c r="BC209" s="85">
        <f t="shared" si="347"/>
        <v>0</v>
      </c>
      <c r="BD209" s="84">
        <f t="shared" si="347"/>
        <v>348.21800000000002</v>
      </c>
      <c r="BE209" s="84">
        <f>SUM(BE205:BE208)</f>
        <v>374.68799999999999</v>
      </c>
      <c r="BF209" s="84">
        <f t="shared" si="347"/>
        <v>290.96800000000002</v>
      </c>
      <c r="BG209" s="84">
        <f t="shared" si="347"/>
        <v>314.46600000000001</v>
      </c>
      <c r="BH209" s="84">
        <f t="shared" si="347"/>
        <v>544.274</v>
      </c>
      <c r="BI209" s="84">
        <f t="shared" si="347"/>
        <v>530.024</v>
      </c>
      <c r="BJ209" s="84">
        <f t="shared" si="347"/>
        <v>534.10757262400421</v>
      </c>
      <c r="BK209" s="84">
        <f t="shared" si="347"/>
        <v>552.78093927015607</v>
      </c>
      <c r="BL209" s="84">
        <f t="shared" si="347"/>
        <v>568.6164501465679</v>
      </c>
      <c r="BM209" s="84">
        <f t="shared" si="347"/>
        <v>581.96385685562643</v>
      </c>
      <c r="BN209" s="84">
        <f t="shared" si="347"/>
        <v>592.10953831120685</v>
      </c>
      <c r="BO209" s="84">
        <f t="shared" si="347"/>
        <v>586.95906531611888</v>
      </c>
      <c r="BP209" s="84">
        <f t="shared" si="347"/>
        <v>582.87318288725851</v>
      </c>
      <c r="BQ209" s="84">
        <f t="shared" si="347"/>
        <v>580.05269157430814</v>
      </c>
      <c r="BR209" s="84">
        <f t="shared" si="347"/>
        <v>578.02202620034859</v>
      </c>
      <c r="BS209" s="84">
        <f t="shared" si="347"/>
        <v>574.73731639780124</v>
      </c>
      <c r="BT209" s="84">
        <f t="shared" si="347"/>
        <v>570.19856216666574</v>
      </c>
      <c r="BU209" s="84">
        <f t="shared" si="347"/>
        <v>566.91385236411838</v>
      </c>
      <c r="BX209" s="221">
        <f t="shared" si="334"/>
        <v>201</v>
      </c>
    </row>
    <row r="210" spans="1:76" outlineLevel="1">
      <c r="A210" s="181"/>
      <c r="B210" s="93" t="s">
        <v>116</v>
      </c>
      <c r="C210" s="19"/>
      <c r="D210" s="19"/>
      <c r="E210" s="19"/>
      <c r="F210" s="19"/>
      <c r="G210" s="19"/>
      <c r="H210" s="19"/>
      <c r="I210" s="19"/>
      <c r="J210" s="40">
        <f t="shared" ref="J210:P212" si="348">INDEX($R210:$BV210,1,MATCH(J$4,$R$4:$BV$4,0))</f>
        <v>186.42</v>
      </c>
      <c r="K210" s="40">
        <f t="shared" si="348"/>
        <v>186.51</v>
      </c>
      <c r="L210" s="40">
        <f t="shared" si="348"/>
        <v>453.81</v>
      </c>
      <c r="M210" s="40">
        <f t="shared" si="348"/>
        <v>542.19200000000001</v>
      </c>
      <c r="N210" s="40">
        <f t="shared" si="348"/>
        <v>554.19200000000001</v>
      </c>
      <c r="O210" s="40">
        <f t="shared" si="348"/>
        <v>566.19200000000001</v>
      </c>
      <c r="P210" s="40">
        <f t="shared" si="348"/>
        <v>572.19200000000001</v>
      </c>
      <c r="Q210" s="40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59">
        <v>186.42</v>
      </c>
      <c r="AX210" s="91"/>
      <c r="AY210" s="91"/>
      <c r="AZ210" s="91"/>
      <c r="BA210" s="59">
        <v>186.51</v>
      </c>
      <c r="BB210" s="91"/>
      <c r="BC210" s="91"/>
      <c r="BD210" s="59">
        <v>453.65100000000001</v>
      </c>
      <c r="BE210" s="59">
        <v>453.81</v>
      </c>
      <c r="BF210" s="59">
        <v>402.459</v>
      </c>
      <c r="BG210" s="59">
        <v>405.392</v>
      </c>
      <c r="BH210" s="59">
        <v>538.94500000000005</v>
      </c>
      <c r="BI210" s="59">
        <v>542.19200000000001</v>
      </c>
      <c r="BJ210" s="40">
        <f t="shared" ref="BJ210:BU210" si="349">BI210+BJ177+BJ178+BJ160</f>
        <v>545.19200000000001</v>
      </c>
      <c r="BK210" s="40">
        <f t="shared" si="349"/>
        <v>548.19200000000001</v>
      </c>
      <c r="BL210" s="40">
        <f t="shared" si="349"/>
        <v>551.19200000000001</v>
      </c>
      <c r="BM210" s="40">
        <f t="shared" si="349"/>
        <v>554.19200000000001</v>
      </c>
      <c r="BN210" s="40">
        <f t="shared" si="349"/>
        <v>557.19200000000001</v>
      </c>
      <c r="BO210" s="40">
        <f t="shared" si="349"/>
        <v>560.19200000000001</v>
      </c>
      <c r="BP210" s="40">
        <f t="shared" si="349"/>
        <v>563.19200000000001</v>
      </c>
      <c r="BQ210" s="40">
        <f t="shared" si="349"/>
        <v>566.19200000000001</v>
      </c>
      <c r="BR210" s="40">
        <f t="shared" si="349"/>
        <v>569.19200000000001</v>
      </c>
      <c r="BS210" s="40">
        <f t="shared" si="349"/>
        <v>570.19200000000001</v>
      </c>
      <c r="BT210" s="40">
        <f t="shared" si="349"/>
        <v>571.19200000000001</v>
      </c>
      <c r="BU210" s="40">
        <f t="shared" si="349"/>
        <v>572.19200000000001</v>
      </c>
      <c r="BX210" s="221">
        <f t="shared" si="334"/>
        <v>202</v>
      </c>
    </row>
    <row r="211" spans="1:76" outlineLevel="1">
      <c r="A211" s="181"/>
      <c r="B211" s="92" t="s">
        <v>115</v>
      </c>
      <c r="C211" s="19"/>
      <c r="D211" s="19"/>
      <c r="E211" s="19"/>
      <c r="F211" s="19"/>
      <c r="G211" s="19"/>
      <c r="H211" s="19"/>
      <c r="I211" s="19"/>
      <c r="J211" s="40">
        <f t="shared" si="348"/>
        <v>-37.042000000000002</v>
      </c>
      <c r="K211" s="40">
        <f t="shared" si="348"/>
        <v>-101.684</v>
      </c>
      <c r="L211" s="40">
        <f t="shared" si="348"/>
        <v>-288.77100000000002</v>
      </c>
      <c r="M211" s="40">
        <f t="shared" si="348"/>
        <v>-27.370999999999999</v>
      </c>
      <c r="N211" s="40">
        <f t="shared" si="348"/>
        <v>106.18727102134875</v>
      </c>
      <c r="O211" s="40">
        <f t="shared" si="348"/>
        <v>325.1708970635525</v>
      </c>
      <c r="P211" s="40">
        <f t="shared" si="348"/>
        <v>587.32902597533143</v>
      </c>
      <c r="Q211" s="40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  <c r="AF211" s="91"/>
      <c r="AG211" s="91"/>
      <c r="AH211" s="91"/>
      <c r="AI211" s="91"/>
      <c r="AJ211" s="91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59">
        <v>-37.042000000000002</v>
      </c>
      <c r="AX211" s="91"/>
      <c r="AY211" s="91"/>
      <c r="AZ211" s="91"/>
      <c r="BA211" s="59">
        <v>-101.684</v>
      </c>
      <c r="BB211" s="91"/>
      <c r="BC211" s="91"/>
      <c r="BD211" s="59">
        <v>-250.239</v>
      </c>
      <c r="BE211" s="59">
        <v>-288.77100000000002</v>
      </c>
      <c r="BF211" s="59">
        <v>-63.485999999999997</v>
      </c>
      <c r="BG211" s="59">
        <v>-74.682000000000002</v>
      </c>
      <c r="BH211" s="59">
        <v>-71.319000000000003</v>
      </c>
      <c r="BI211" s="59">
        <v>-27.370999999999999</v>
      </c>
      <c r="BJ211" s="40">
        <f t="shared" ref="BJ211:BU211" si="350">BI211+BJ41+BJ176</f>
        <v>-10.604831932947324</v>
      </c>
      <c r="BK211" s="40">
        <f t="shared" si="350"/>
        <v>23.09280451721629</v>
      </c>
      <c r="BL211" s="40">
        <f t="shared" si="350"/>
        <v>61.221880440194383</v>
      </c>
      <c r="BM211" s="40">
        <f t="shared" si="350"/>
        <v>106.18727102134875</v>
      </c>
      <c r="BN211" s="40">
        <f t="shared" si="350"/>
        <v>157.09075626172992</v>
      </c>
      <c r="BO211" s="40">
        <f t="shared" si="350"/>
        <v>211.22207517174786</v>
      </c>
      <c r="BP211" s="40">
        <f t="shared" si="350"/>
        <v>267.25248885128372</v>
      </c>
      <c r="BQ211" s="40">
        <f t="shared" si="350"/>
        <v>325.1708970635525</v>
      </c>
      <c r="BR211" s="40">
        <f t="shared" si="350"/>
        <v>386.08469270927628</v>
      </c>
      <c r="BS211" s="40">
        <f t="shared" si="350"/>
        <v>451.10617879262446</v>
      </c>
      <c r="BT211" s="40">
        <f t="shared" si="350"/>
        <v>518.29521552334097</v>
      </c>
      <c r="BU211" s="40">
        <f t="shared" si="350"/>
        <v>587.32902597533143</v>
      </c>
      <c r="BX211" s="221">
        <f t="shared" si="334"/>
        <v>203</v>
      </c>
    </row>
    <row r="212" spans="1:76" outlineLevel="1">
      <c r="A212" s="181"/>
      <c r="B212" s="92" t="s">
        <v>114</v>
      </c>
      <c r="C212" s="19"/>
      <c r="D212" s="19"/>
      <c r="E212" s="19"/>
      <c r="F212" s="19"/>
      <c r="G212" s="19"/>
      <c r="H212" s="19"/>
      <c r="I212" s="19"/>
      <c r="J212" s="40">
        <f t="shared" si="348"/>
        <v>-2.738</v>
      </c>
      <c r="K212" s="40">
        <f t="shared" si="348"/>
        <v>-4.6660000000000004</v>
      </c>
      <c r="L212" s="40">
        <f t="shared" si="348"/>
        <v>-2.7869999999999999</v>
      </c>
      <c r="M212" s="40">
        <f t="shared" si="348"/>
        <v>-1.728</v>
      </c>
      <c r="N212" s="40">
        <f t="shared" si="348"/>
        <v>-1.728</v>
      </c>
      <c r="O212" s="40">
        <f t="shared" si="348"/>
        <v>-1.728</v>
      </c>
      <c r="P212" s="40">
        <f t="shared" si="348"/>
        <v>-1.728</v>
      </c>
      <c r="Q212" s="40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59">
        <v>-2.738</v>
      </c>
      <c r="AX212" s="91"/>
      <c r="AY212" s="91"/>
      <c r="AZ212" s="91"/>
      <c r="BA212" s="59">
        <v>-4.6660000000000004</v>
      </c>
      <c r="BB212" s="91"/>
      <c r="BC212" s="91"/>
      <c r="BD212" s="59">
        <v>-3.2709999999999999</v>
      </c>
      <c r="BE212" s="59">
        <v>-2.7869999999999999</v>
      </c>
      <c r="BF212" s="59">
        <v>-2.59</v>
      </c>
      <c r="BG212" s="59">
        <v>-2.5590000000000002</v>
      </c>
      <c r="BH212" s="59">
        <v>-2.673</v>
      </c>
      <c r="BI212" s="59">
        <v>-1.728</v>
      </c>
      <c r="BJ212" s="40">
        <f t="shared" ref="BJ212:BU212" si="351">BI212</f>
        <v>-1.728</v>
      </c>
      <c r="BK212" s="40">
        <f t="shared" si="351"/>
        <v>-1.728</v>
      </c>
      <c r="BL212" s="40">
        <f t="shared" si="351"/>
        <v>-1.728</v>
      </c>
      <c r="BM212" s="40">
        <f t="shared" si="351"/>
        <v>-1.728</v>
      </c>
      <c r="BN212" s="40">
        <f t="shared" si="351"/>
        <v>-1.728</v>
      </c>
      <c r="BO212" s="40">
        <f t="shared" si="351"/>
        <v>-1.728</v>
      </c>
      <c r="BP212" s="40">
        <f t="shared" si="351"/>
        <v>-1.728</v>
      </c>
      <c r="BQ212" s="40">
        <f t="shared" si="351"/>
        <v>-1.728</v>
      </c>
      <c r="BR212" s="40">
        <f t="shared" si="351"/>
        <v>-1.728</v>
      </c>
      <c r="BS212" s="40">
        <f t="shared" si="351"/>
        <v>-1.728</v>
      </c>
      <c r="BT212" s="40">
        <f t="shared" si="351"/>
        <v>-1.728</v>
      </c>
      <c r="BU212" s="40">
        <f t="shared" si="351"/>
        <v>-1.728</v>
      </c>
      <c r="BX212" s="221">
        <f t="shared" si="334"/>
        <v>204</v>
      </c>
    </row>
    <row r="213" spans="1:76" outlineLevel="1">
      <c r="A213" s="181"/>
      <c r="B213" s="90" t="s">
        <v>56</v>
      </c>
      <c r="C213" s="89"/>
      <c r="D213" s="89"/>
      <c r="E213" s="89"/>
      <c r="F213" s="89"/>
      <c r="G213" s="89"/>
      <c r="H213" s="89"/>
      <c r="I213" s="89"/>
      <c r="J213" s="88">
        <f>SUM(J210:J212)</f>
        <v>146.63999999999999</v>
      </c>
      <c r="K213" s="88">
        <f t="shared" ref="K213:O213" si="352">SUM(K210:K212)</f>
        <v>80.16</v>
      </c>
      <c r="L213" s="88">
        <f t="shared" si="352"/>
        <v>162.25199999999998</v>
      </c>
      <c r="M213" s="88">
        <f t="shared" si="352"/>
        <v>513.09300000000007</v>
      </c>
      <c r="N213" s="88">
        <f t="shared" si="352"/>
        <v>658.65127102134886</v>
      </c>
      <c r="O213" s="88">
        <f t="shared" si="352"/>
        <v>889.63489706355256</v>
      </c>
      <c r="P213" s="88">
        <f t="shared" ref="P213" si="353">SUM(P210:P212)</f>
        <v>1157.7930259753314</v>
      </c>
      <c r="Q213" s="40"/>
      <c r="R213" s="89">
        <f t="shared" ref="R213:AW213" si="354">SUM(R210:R212)</f>
        <v>0</v>
      </c>
      <c r="S213" s="89">
        <f t="shared" si="354"/>
        <v>0</v>
      </c>
      <c r="T213" s="89">
        <f t="shared" si="354"/>
        <v>0</v>
      </c>
      <c r="U213" s="89">
        <f t="shared" si="354"/>
        <v>0</v>
      </c>
      <c r="V213" s="89">
        <f t="shared" si="354"/>
        <v>0</v>
      </c>
      <c r="W213" s="89">
        <f t="shared" si="354"/>
        <v>0</v>
      </c>
      <c r="X213" s="89">
        <f t="shared" si="354"/>
        <v>0</v>
      </c>
      <c r="Y213" s="89">
        <f t="shared" si="354"/>
        <v>0</v>
      </c>
      <c r="Z213" s="89">
        <f t="shared" si="354"/>
        <v>0</v>
      </c>
      <c r="AA213" s="89">
        <f t="shared" si="354"/>
        <v>0</v>
      </c>
      <c r="AB213" s="89">
        <f t="shared" si="354"/>
        <v>0</v>
      </c>
      <c r="AC213" s="89">
        <f t="shared" si="354"/>
        <v>0</v>
      </c>
      <c r="AD213" s="89">
        <f t="shared" si="354"/>
        <v>0</v>
      </c>
      <c r="AE213" s="89">
        <f t="shared" si="354"/>
        <v>0</v>
      </c>
      <c r="AF213" s="89">
        <f t="shared" si="354"/>
        <v>0</v>
      </c>
      <c r="AG213" s="89">
        <f t="shared" si="354"/>
        <v>0</v>
      </c>
      <c r="AH213" s="89">
        <f t="shared" si="354"/>
        <v>0</v>
      </c>
      <c r="AI213" s="89">
        <f t="shared" si="354"/>
        <v>0</v>
      </c>
      <c r="AJ213" s="89">
        <f t="shared" si="354"/>
        <v>0</v>
      </c>
      <c r="AK213" s="89">
        <f t="shared" si="354"/>
        <v>0</v>
      </c>
      <c r="AL213" s="89">
        <f t="shared" si="354"/>
        <v>0</v>
      </c>
      <c r="AM213" s="89">
        <f t="shared" si="354"/>
        <v>0</v>
      </c>
      <c r="AN213" s="89">
        <f t="shared" si="354"/>
        <v>0</v>
      </c>
      <c r="AO213" s="89">
        <f t="shared" si="354"/>
        <v>0</v>
      </c>
      <c r="AP213" s="89">
        <f t="shared" si="354"/>
        <v>0</v>
      </c>
      <c r="AQ213" s="89">
        <f t="shared" si="354"/>
        <v>0</v>
      </c>
      <c r="AR213" s="89">
        <f t="shared" si="354"/>
        <v>0</v>
      </c>
      <c r="AS213" s="89">
        <f t="shared" si="354"/>
        <v>0</v>
      </c>
      <c r="AT213" s="89">
        <f t="shared" si="354"/>
        <v>0</v>
      </c>
      <c r="AU213" s="89">
        <f t="shared" si="354"/>
        <v>0</v>
      </c>
      <c r="AV213" s="89">
        <f t="shared" si="354"/>
        <v>0</v>
      </c>
      <c r="AW213" s="88">
        <f t="shared" si="354"/>
        <v>146.63999999999999</v>
      </c>
      <c r="AX213" s="89">
        <f t="shared" ref="AX213:BU213" si="355">SUM(AX210:AX212)</f>
        <v>0</v>
      </c>
      <c r="AY213" s="89">
        <f t="shared" si="355"/>
        <v>0</v>
      </c>
      <c r="AZ213" s="89">
        <f t="shared" si="355"/>
        <v>0</v>
      </c>
      <c r="BA213" s="88">
        <f t="shared" si="355"/>
        <v>80.16</v>
      </c>
      <c r="BB213" s="89">
        <f t="shared" si="355"/>
        <v>0</v>
      </c>
      <c r="BC213" s="89">
        <f t="shared" si="355"/>
        <v>0</v>
      </c>
      <c r="BD213" s="88">
        <f t="shared" si="355"/>
        <v>200.14100000000002</v>
      </c>
      <c r="BE213" s="88">
        <f t="shared" si="355"/>
        <v>162.25199999999998</v>
      </c>
      <c r="BF213" s="88">
        <f t="shared" si="355"/>
        <v>336.38300000000004</v>
      </c>
      <c r="BG213" s="88">
        <f t="shared" si="355"/>
        <v>328.15099999999995</v>
      </c>
      <c r="BH213" s="88">
        <f t="shared" si="355"/>
        <v>464.95300000000003</v>
      </c>
      <c r="BI213" s="88">
        <f t="shared" si="355"/>
        <v>513.09300000000007</v>
      </c>
      <c r="BJ213" s="88">
        <f t="shared" si="355"/>
        <v>532.85916806705268</v>
      </c>
      <c r="BK213" s="88">
        <f t="shared" si="355"/>
        <v>569.55680451721639</v>
      </c>
      <c r="BL213" s="88">
        <f t="shared" si="355"/>
        <v>610.68588044019441</v>
      </c>
      <c r="BM213" s="88">
        <f t="shared" si="355"/>
        <v>658.65127102134886</v>
      </c>
      <c r="BN213" s="88">
        <f t="shared" si="355"/>
        <v>712.55475626172995</v>
      </c>
      <c r="BO213" s="88">
        <f t="shared" si="355"/>
        <v>769.68607517174792</v>
      </c>
      <c r="BP213" s="88">
        <f t="shared" si="355"/>
        <v>828.71648885128377</v>
      </c>
      <c r="BQ213" s="88">
        <f t="shared" si="355"/>
        <v>889.63489706355256</v>
      </c>
      <c r="BR213" s="88">
        <f t="shared" si="355"/>
        <v>953.54869270927634</v>
      </c>
      <c r="BS213" s="88">
        <f t="shared" si="355"/>
        <v>1019.5701787926245</v>
      </c>
      <c r="BT213" s="88">
        <f t="shared" si="355"/>
        <v>1087.759215523341</v>
      </c>
      <c r="BU213" s="88">
        <f t="shared" si="355"/>
        <v>1157.7930259753314</v>
      </c>
      <c r="BX213" s="221">
        <f t="shared" si="334"/>
        <v>205</v>
      </c>
    </row>
    <row r="214" spans="1:76" outlineLevel="1">
      <c r="A214" s="181"/>
      <c r="B214" s="86" t="s">
        <v>113</v>
      </c>
      <c r="C214" s="85"/>
      <c r="D214" s="85"/>
      <c r="E214" s="85"/>
      <c r="F214" s="85"/>
      <c r="G214" s="85"/>
      <c r="H214" s="85"/>
      <c r="I214" s="85"/>
      <c r="J214" s="84">
        <f>SUM(J213,J206:J208,J205)</f>
        <v>418.85500000000002</v>
      </c>
      <c r="K214" s="84">
        <f t="shared" ref="K214:O214" si="356">SUM(K213,K206:K208,K205)</f>
        <v>324.79499999999996</v>
      </c>
      <c r="L214" s="84">
        <f t="shared" si="356"/>
        <v>536.94000000000005</v>
      </c>
      <c r="M214" s="84">
        <f t="shared" si="356"/>
        <v>1043.1170000000002</v>
      </c>
      <c r="N214" s="84">
        <f t="shared" si="356"/>
        <v>1240.6151278769753</v>
      </c>
      <c r="O214" s="84">
        <f t="shared" si="356"/>
        <v>1469.6875886378607</v>
      </c>
      <c r="P214" s="84">
        <f t="shared" ref="P214" si="357">SUM(P213,P206:P208,P205)</f>
        <v>1724.7068783394495</v>
      </c>
      <c r="Q214" s="40"/>
      <c r="R214" s="85">
        <f t="shared" ref="R214:AW214" si="358">SUM(R213,R206:R208,R205)</f>
        <v>0</v>
      </c>
      <c r="S214" s="85">
        <f t="shared" si="358"/>
        <v>0</v>
      </c>
      <c r="T214" s="85">
        <f t="shared" si="358"/>
        <v>0</v>
      </c>
      <c r="U214" s="85">
        <f t="shared" si="358"/>
        <v>0</v>
      </c>
      <c r="V214" s="85">
        <f t="shared" si="358"/>
        <v>0</v>
      </c>
      <c r="W214" s="85">
        <f t="shared" si="358"/>
        <v>0</v>
      </c>
      <c r="X214" s="85">
        <f t="shared" si="358"/>
        <v>0</v>
      </c>
      <c r="Y214" s="85">
        <f t="shared" si="358"/>
        <v>0</v>
      </c>
      <c r="Z214" s="85">
        <f t="shared" si="358"/>
        <v>0</v>
      </c>
      <c r="AA214" s="85">
        <f t="shared" si="358"/>
        <v>0</v>
      </c>
      <c r="AB214" s="85">
        <f t="shared" si="358"/>
        <v>0</v>
      </c>
      <c r="AC214" s="85">
        <f t="shared" si="358"/>
        <v>0</v>
      </c>
      <c r="AD214" s="85">
        <f t="shared" si="358"/>
        <v>0</v>
      </c>
      <c r="AE214" s="85">
        <f t="shared" si="358"/>
        <v>0</v>
      </c>
      <c r="AF214" s="85">
        <f t="shared" si="358"/>
        <v>0</v>
      </c>
      <c r="AG214" s="85">
        <f t="shared" si="358"/>
        <v>0</v>
      </c>
      <c r="AH214" s="85">
        <f t="shared" si="358"/>
        <v>0</v>
      </c>
      <c r="AI214" s="85">
        <f t="shared" si="358"/>
        <v>0</v>
      </c>
      <c r="AJ214" s="85">
        <f t="shared" si="358"/>
        <v>0</v>
      </c>
      <c r="AK214" s="85">
        <f t="shared" si="358"/>
        <v>0</v>
      </c>
      <c r="AL214" s="85">
        <f t="shared" si="358"/>
        <v>0</v>
      </c>
      <c r="AM214" s="85">
        <f t="shared" si="358"/>
        <v>0</v>
      </c>
      <c r="AN214" s="85">
        <f t="shared" si="358"/>
        <v>0</v>
      </c>
      <c r="AO214" s="85">
        <f t="shared" si="358"/>
        <v>0</v>
      </c>
      <c r="AP214" s="85">
        <f t="shared" si="358"/>
        <v>0</v>
      </c>
      <c r="AQ214" s="85">
        <f t="shared" si="358"/>
        <v>0</v>
      </c>
      <c r="AR214" s="85">
        <f t="shared" si="358"/>
        <v>0</v>
      </c>
      <c r="AS214" s="85">
        <f t="shared" si="358"/>
        <v>0</v>
      </c>
      <c r="AT214" s="85">
        <f t="shared" si="358"/>
        <v>0</v>
      </c>
      <c r="AU214" s="85">
        <f t="shared" si="358"/>
        <v>0</v>
      </c>
      <c r="AV214" s="85">
        <f t="shared" si="358"/>
        <v>0</v>
      </c>
      <c r="AW214" s="84">
        <f t="shared" si="358"/>
        <v>418.85500000000002</v>
      </c>
      <c r="AX214" s="85">
        <f t="shared" ref="AX214:BU214" si="359">SUM(AX213,AX206:AX208,AX205)</f>
        <v>0</v>
      </c>
      <c r="AY214" s="85">
        <f t="shared" si="359"/>
        <v>0</v>
      </c>
      <c r="AZ214" s="85">
        <f t="shared" si="359"/>
        <v>0</v>
      </c>
      <c r="BA214" s="84">
        <f t="shared" si="359"/>
        <v>324.79499999999996</v>
      </c>
      <c r="BB214" s="85">
        <f t="shared" si="359"/>
        <v>0</v>
      </c>
      <c r="BC214" s="85">
        <f t="shared" si="359"/>
        <v>0</v>
      </c>
      <c r="BD214" s="84">
        <f t="shared" si="359"/>
        <v>548.35900000000004</v>
      </c>
      <c r="BE214" s="84">
        <f t="shared" si="359"/>
        <v>536.94000000000005</v>
      </c>
      <c r="BF214" s="84">
        <f t="shared" si="359"/>
        <v>627.351</v>
      </c>
      <c r="BG214" s="84">
        <f t="shared" si="359"/>
        <v>642.61699999999996</v>
      </c>
      <c r="BH214" s="84">
        <f t="shared" si="359"/>
        <v>1009.2270000000001</v>
      </c>
      <c r="BI214" s="84">
        <f t="shared" si="359"/>
        <v>1043.1170000000002</v>
      </c>
      <c r="BJ214" s="84">
        <f t="shared" si="359"/>
        <v>1066.9667406910569</v>
      </c>
      <c r="BK214" s="84">
        <f t="shared" si="359"/>
        <v>1122.3377437873723</v>
      </c>
      <c r="BL214" s="84">
        <f t="shared" si="359"/>
        <v>1179.3023305867623</v>
      </c>
      <c r="BM214" s="84">
        <f t="shared" si="359"/>
        <v>1240.6151278769753</v>
      </c>
      <c r="BN214" s="84">
        <f t="shared" si="359"/>
        <v>1304.6642945729368</v>
      </c>
      <c r="BO214" s="84">
        <f t="shared" si="359"/>
        <v>1356.6451404878667</v>
      </c>
      <c r="BP214" s="84">
        <f t="shared" si="359"/>
        <v>1411.5896717385422</v>
      </c>
      <c r="BQ214" s="84">
        <f t="shared" si="359"/>
        <v>1469.6875886378607</v>
      </c>
      <c r="BR214" s="84">
        <f t="shared" si="359"/>
        <v>1531.5707189096247</v>
      </c>
      <c r="BS214" s="84">
        <f t="shared" si="359"/>
        <v>1594.3074951904255</v>
      </c>
      <c r="BT214" s="84">
        <f t="shared" si="359"/>
        <v>1657.9577776900069</v>
      </c>
      <c r="BU214" s="84">
        <f t="shared" si="359"/>
        <v>1724.7068783394495</v>
      </c>
      <c r="BX214" s="221">
        <f t="shared" si="334"/>
        <v>206</v>
      </c>
    </row>
    <row r="215" spans="1:76" outlineLevel="1">
      <c r="A215" s="180"/>
      <c r="B215" s="3"/>
      <c r="C215" s="3"/>
      <c r="D215" s="3"/>
      <c r="E215" s="3"/>
      <c r="F215" s="3"/>
      <c r="G215" s="81">
        <f t="shared" ref="G215:P215" si="360">G214-G198</f>
        <v>0</v>
      </c>
      <c r="H215" s="81">
        <f t="shared" si="360"/>
        <v>0</v>
      </c>
      <c r="I215" s="81">
        <f t="shared" si="360"/>
        <v>0</v>
      </c>
      <c r="J215" s="81">
        <f>J214-J198</f>
        <v>0</v>
      </c>
      <c r="K215" s="81">
        <f t="shared" si="360"/>
        <v>0</v>
      </c>
      <c r="L215" s="81">
        <f t="shared" si="360"/>
        <v>0</v>
      </c>
      <c r="M215" s="81">
        <f t="shared" si="360"/>
        <v>0</v>
      </c>
      <c r="N215" s="81">
        <f t="shared" si="360"/>
        <v>0</v>
      </c>
      <c r="O215" s="81">
        <f t="shared" si="360"/>
        <v>0</v>
      </c>
      <c r="P215" s="81">
        <f t="shared" si="360"/>
        <v>0</v>
      </c>
      <c r="Q215" s="83"/>
      <c r="R215" s="81">
        <f t="shared" ref="R215:AW215" si="361">R214-R198</f>
        <v>0</v>
      </c>
      <c r="S215" s="81">
        <f t="shared" si="361"/>
        <v>0</v>
      </c>
      <c r="T215" s="81">
        <f t="shared" si="361"/>
        <v>0</v>
      </c>
      <c r="U215" s="81">
        <f t="shared" si="361"/>
        <v>0</v>
      </c>
      <c r="V215" s="81">
        <f t="shared" si="361"/>
        <v>0</v>
      </c>
      <c r="W215" s="81">
        <f t="shared" si="361"/>
        <v>0</v>
      </c>
      <c r="X215" s="81">
        <f t="shared" si="361"/>
        <v>0</v>
      </c>
      <c r="Y215" s="81">
        <f t="shared" si="361"/>
        <v>0</v>
      </c>
      <c r="Z215" s="81">
        <f t="shared" si="361"/>
        <v>0</v>
      </c>
      <c r="AA215" s="81">
        <f t="shared" si="361"/>
        <v>0</v>
      </c>
      <c r="AB215" s="81">
        <f t="shared" si="361"/>
        <v>0</v>
      </c>
      <c r="AC215" s="81">
        <f t="shared" si="361"/>
        <v>0</v>
      </c>
      <c r="AD215" s="81">
        <f t="shared" si="361"/>
        <v>0</v>
      </c>
      <c r="AE215" s="81">
        <f t="shared" si="361"/>
        <v>0</v>
      </c>
      <c r="AF215" s="81">
        <f t="shared" si="361"/>
        <v>0</v>
      </c>
      <c r="AG215" s="81">
        <f t="shared" si="361"/>
        <v>0</v>
      </c>
      <c r="AH215" s="81">
        <f t="shared" si="361"/>
        <v>0</v>
      </c>
      <c r="AI215" s="81">
        <f t="shared" si="361"/>
        <v>0</v>
      </c>
      <c r="AJ215" s="81">
        <f t="shared" si="361"/>
        <v>0</v>
      </c>
      <c r="AK215" s="81">
        <f t="shared" si="361"/>
        <v>0</v>
      </c>
      <c r="AL215" s="81">
        <f t="shared" si="361"/>
        <v>0</v>
      </c>
      <c r="AM215" s="81">
        <f t="shared" si="361"/>
        <v>0</v>
      </c>
      <c r="AN215" s="81">
        <f t="shared" si="361"/>
        <v>0</v>
      </c>
      <c r="AO215" s="81">
        <f t="shared" si="361"/>
        <v>0</v>
      </c>
      <c r="AP215" s="81">
        <f t="shared" si="361"/>
        <v>0</v>
      </c>
      <c r="AQ215" s="81">
        <f t="shared" si="361"/>
        <v>0</v>
      </c>
      <c r="AR215" s="81">
        <f t="shared" si="361"/>
        <v>0</v>
      </c>
      <c r="AS215" s="81">
        <f t="shared" si="361"/>
        <v>0</v>
      </c>
      <c r="AT215" s="81">
        <f t="shared" si="361"/>
        <v>0</v>
      </c>
      <c r="AU215" s="81">
        <f t="shared" si="361"/>
        <v>0</v>
      </c>
      <c r="AV215" s="81">
        <f t="shared" si="361"/>
        <v>0</v>
      </c>
      <c r="AW215" s="81">
        <f t="shared" si="361"/>
        <v>0</v>
      </c>
      <c r="AX215" s="81">
        <f t="shared" ref="AX215:BU215" si="362">AX214-AX198</f>
        <v>0</v>
      </c>
      <c r="AY215" s="81">
        <f t="shared" si="362"/>
        <v>0</v>
      </c>
      <c r="AZ215" s="81">
        <f t="shared" si="362"/>
        <v>0</v>
      </c>
      <c r="BA215" s="81">
        <f t="shared" si="362"/>
        <v>0</v>
      </c>
      <c r="BB215" s="82">
        <f t="shared" si="362"/>
        <v>0</v>
      </c>
      <c r="BC215" s="82">
        <f t="shared" si="362"/>
        <v>0</v>
      </c>
      <c r="BD215" s="82">
        <f t="shared" si="362"/>
        <v>0</v>
      </c>
      <c r="BE215" s="82">
        <f t="shared" si="362"/>
        <v>0</v>
      </c>
      <c r="BF215" s="82">
        <f t="shared" si="362"/>
        <v>0</v>
      </c>
      <c r="BG215" s="236">
        <f t="shared" si="362"/>
        <v>0</v>
      </c>
      <c r="BH215" s="236">
        <f t="shared" si="362"/>
        <v>0</v>
      </c>
      <c r="BI215" s="236">
        <f t="shared" si="362"/>
        <v>0</v>
      </c>
      <c r="BJ215" s="222">
        <f t="shared" si="362"/>
        <v>0</v>
      </c>
      <c r="BK215" s="222">
        <f t="shared" si="362"/>
        <v>0</v>
      </c>
      <c r="BL215" s="222">
        <f t="shared" si="362"/>
        <v>0</v>
      </c>
      <c r="BM215" s="222">
        <f t="shared" si="362"/>
        <v>0</v>
      </c>
      <c r="BN215" s="222">
        <f t="shared" si="362"/>
        <v>0</v>
      </c>
      <c r="BO215" s="222">
        <f t="shared" si="362"/>
        <v>0</v>
      </c>
      <c r="BP215" s="222">
        <f t="shared" si="362"/>
        <v>0</v>
      </c>
      <c r="BQ215" s="222">
        <f t="shared" si="362"/>
        <v>0</v>
      </c>
      <c r="BR215" s="81">
        <f t="shared" si="362"/>
        <v>0</v>
      </c>
      <c r="BS215" s="81">
        <f t="shared" si="362"/>
        <v>0</v>
      </c>
      <c r="BT215" s="81">
        <f t="shared" si="362"/>
        <v>0</v>
      </c>
      <c r="BU215" s="81">
        <f t="shared" si="362"/>
        <v>0</v>
      </c>
      <c r="BX215" s="221">
        <f t="shared" si="334"/>
        <v>207</v>
      </c>
    </row>
    <row r="216" spans="1:76">
      <c r="A216" s="180" t="s">
        <v>0</v>
      </c>
      <c r="B216" s="80" t="s">
        <v>112</v>
      </c>
      <c r="C216" s="79">
        <f t="shared" ref="C216:P216" si="363">C$7</f>
        <v>2007</v>
      </c>
      <c r="D216" s="79">
        <f t="shared" si="363"/>
        <v>2008</v>
      </c>
      <c r="E216" s="79">
        <f t="shared" si="363"/>
        <v>2009</v>
      </c>
      <c r="F216" s="79">
        <f t="shared" si="363"/>
        <v>2010</v>
      </c>
      <c r="G216" s="79">
        <f t="shared" si="363"/>
        <v>2011</v>
      </c>
      <c r="H216" s="79">
        <f t="shared" si="363"/>
        <v>2012</v>
      </c>
      <c r="I216" s="79">
        <f t="shared" si="363"/>
        <v>2013</v>
      </c>
      <c r="J216" s="79">
        <f t="shared" si="363"/>
        <v>2014</v>
      </c>
      <c r="K216" s="79">
        <f t="shared" si="363"/>
        <v>2015</v>
      </c>
      <c r="L216" s="79">
        <f t="shared" si="363"/>
        <v>2016</v>
      </c>
      <c r="M216" s="79">
        <f t="shared" si="363"/>
        <v>2017</v>
      </c>
      <c r="N216" s="79" t="str">
        <f t="shared" si="363"/>
        <v>2018E</v>
      </c>
      <c r="O216" s="79" t="str">
        <f t="shared" si="363"/>
        <v>2019E</v>
      </c>
      <c r="P216" s="79" t="str">
        <f t="shared" si="363"/>
        <v>2020E</v>
      </c>
      <c r="Q216" s="3"/>
      <c r="R216" s="79" t="str">
        <f t="shared" ref="R216:AV216" si="364">R$7</f>
        <v>1Q07</v>
      </c>
      <c r="S216" s="79" t="str">
        <f t="shared" si="364"/>
        <v>2Q07</v>
      </c>
      <c r="T216" s="79" t="str">
        <f t="shared" si="364"/>
        <v>3Q07</v>
      </c>
      <c r="U216" s="79" t="str">
        <f t="shared" si="364"/>
        <v>4Q07</v>
      </c>
      <c r="V216" s="79" t="str">
        <f t="shared" si="364"/>
        <v>1Q08</v>
      </c>
      <c r="W216" s="79" t="str">
        <f t="shared" si="364"/>
        <v>2Q08</v>
      </c>
      <c r="X216" s="79" t="str">
        <f t="shared" si="364"/>
        <v>3Q08</v>
      </c>
      <c r="Y216" s="79" t="str">
        <f t="shared" si="364"/>
        <v>4Q08</v>
      </c>
      <c r="Z216" s="79" t="str">
        <f t="shared" si="364"/>
        <v>1Q09</v>
      </c>
      <c r="AA216" s="79" t="str">
        <f t="shared" si="364"/>
        <v>2Q09</v>
      </c>
      <c r="AB216" s="79" t="str">
        <f t="shared" si="364"/>
        <v>3Q09</v>
      </c>
      <c r="AC216" s="79" t="str">
        <f t="shared" si="364"/>
        <v>4Q09</v>
      </c>
      <c r="AD216" s="79" t="str">
        <f t="shared" si="364"/>
        <v>1Q10</v>
      </c>
      <c r="AE216" s="79" t="str">
        <f t="shared" si="364"/>
        <v>2Q10</v>
      </c>
      <c r="AF216" s="79" t="str">
        <f t="shared" si="364"/>
        <v>3Q10</v>
      </c>
      <c r="AG216" s="79" t="str">
        <f t="shared" si="364"/>
        <v>4Q10</v>
      </c>
      <c r="AH216" s="79" t="str">
        <f t="shared" si="364"/>
        <v>1Q11</v>
      </c>
      <c r="AI216" s="79" t="str">
        <f t="shared" si="364"/>
        <v>2Q11</v>
      </c>
      <c r="AJ216" s="79" t="str">
        <f t="shared" si="364"/>
        <v>3Q11</v>
      </c>
      <c r="AK216" s="79" t="str">
        <f t="shared" si="364"/>
        <v>4Q11</v>
      </c>
      <c r="AL216" s="79" t="str">
        <f t="shared" si="364"/>
        <v>1Q12</v>
      </c>
      <c r="AM216" s="79" t="str">
        <f t="shared" si="364"/>
        <v>2Q12</v>
      </c>
      <c r="AN216" s="79" t="str">
        <f t="shared" si="364"/>
        <v>3Q12</v>
      </c>
      <c r="AO216" s="79" t="str">
        <f t="shared" si="364"/>
        <v>4Q12</v>
      </c>
      <c r="AP216" s="79" t="str">
        <f t="shared" si="364"/>
        <v>1Q13</v>
      </c>
      <c r="AQ216" s="79" t="str">
        <f t="shared" si="364"/>
        <v>2Q13</v>
      </c>
      <c r="AR216" s="79" t="str">
        <f t="shared" si="364"/>
        <v>3Q13</v>
      </c>
      <c r="AS216" s="79" t="str">
        <f t="shared" si="364"/>
        <v>4Q13</v>
      </c>
      <c r="AT216" s="79" t="str">
        <f t="shared" si="364"/>
        <v>1Q14</v>
      </c>
      <c r="AU216" s="79" t="str">
        <f t="shared" si="364"/>
        <v>2Q14</v>
      </c>
      <c r="AV216" s="79" t="str">
        <f t="shared" si="364"/>
        <v>3Q14</v>
      </c>
      <c r="AW216" s="79" t="str">
        <f t="shared" ref="AW216:BU216" si="365">AW$7</f>
        <v>4Q14</v>
      </c>
      <c r="AX216" s="79" t="str">
        <f t="shared" si="365"/>
        <v>1Q15</v>
      </c>
      <c r="AY216" s="79" t="str">
        <f t="shared" si="365"/>
        <v>2Q15</v>
      </c>
      <c r="AZ216" s="79" t="str">
        <f t="shared" si="365"/>
        <v>3Q15</v>
      </c>
      <c r="BA216" s="79" t="str">
        <f t="shared" si="365"/>
        <v>4Q15</v>
      </c>
      <c r="BB216" s="79" t="str">
        <f t="shared" si="365"/>
        <v>1Q16</v>
      </c>
      <c r="BC216" s="79" t="str">
        <f t="shared" si="365"/>
        <v>2Q16</v>
      </c>
      <c r="BD216" s="79" t="str">
        <f t="shared" si="365"/>
        <v>3Q16</v>
      </c>
      <c r="BE216" s="79" t="str">
        <f t="shared" si="365"/>
        <v>4Q16</v>
      </c>
      <c r="BF216" s="79" t="str">
        <f t="shared" si="365"/>
        <v>1Q17</v>
      </c>
      <c r="BG216" s="79" t="str">
        <f t="shared" si="365"/>
        <v>2Q17</v>
      </c>
      <c r="BH216" s="79" t="str">
        <f t="shared" si="365"/>
        <v>3Q17</v>
      </c>
      <c r="BI216" s="79" t="str">
        <f t="shared" si="365"/>
        <v>4Q17</v>
      </c>
      <c r="BJ216" s="79" t="str">
        <f t="shared" si="365"/>
        <v>1Q18E</v>
      </c>
      <c r="BK216" s="79" t="str">
        <f t="shared" si="365"/>
        <v>2Q18E</v>
      </c>
      <c r="BL216" s="79" t="str">
        <f t="shared" si="365"/>
        <v>3Q18E</v>
      </c>
      <c r="BM216" s="79" t="str">
        <f t="shared" si="365"/>
        <v>4Q18E</v>
      </c>
      <c r="BN216" s="79" t="str">
        <f t="shared" si="365"/>
        <v>1Q19E</v>
      </c>
      <c r="BO216" s="79" t="str">
        <f t="shared" si="365"/>
        <v>2Q19E</v>
      </c>
      <c r="BP216" s="79" t="str">
        <f t="shared" si="365"/>
        <v>3Q19E</v>
      </c>
      <c r="BQ216" s="79" t="str">
        <f t="shared" si="365"/>
        <v>4Q19E</v>
      </c>
      <c r="BR216" s="79" t="str">
        <f t="shared" si="365"/>
        <v>1Q20E</v>
      </c>
      <c r="BS216" s="79" t="str">
        <f t="shared" si="365"/>
        <v>2Q20E</v>
      </c>
      <c r="BT216" s="79" t="str">
        <f t="shared" si="365"/>
        <v>3Q20E</v>
      </c>
      <c r="BU216" s="79" t="str">
        <f t="shared" si="365"/>
        <v>4Q20E</v>
      </c>
      <c r="BX216" s="221">
        <f t="shared" si="334"/>
        <v>208</v>
      </c>
    </row>
    <row r="217" spans="1:76" outlineLevel="1">
      <c r="A217" s="180" t="s">
        <v>0</v>
      </c>
      <c r="B217" s="52" t="s">
        <v>111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X217" s="221">
        <f t="shared" si="334"/>
        <v>209</v>
      </c>
    </row>
    <row r="218" spans="1:76" outlineLevel="1">
      <c r="A218" s="180"/>
      <c r="B218" s="8" t="s">
        <v>110</v>
      </c>
      <c r="C218" s="19"/>
      <c r="D218" s="19"/>
      <c r="E218" s="19"/>
      <c r="F218" s="19"/>
      <c r="G218" s="19"/>
      <c r="H218" s="19"/>
      <c r="I218" s="19"/>
      <c r="J218" s="40">
        <f>J203+J206+J213</f>
        <v>365.09499999999997</v>
      </c>
      <c r="K218" s="40">
        <f t="shared" ref="K218:O218" si="366">K203+K206+K213</f>
        <v>295.334</v>
      </c>
      <c r="L218" s="40">
        <f t="shared" si="366"/>
        <v>440.077</v>
      </c>
      <c r="M218" s="40">
        <f t="shared" si="366"/>
        <v>796.04</v>
      </c>
      <c r="N218" s="40">
        <f t="shared" si="366"/>
        <v>936.15427102134879</v>
      </c>
      <c r="O218" s="40">
        <f t="shared" si="366"/>
        <v>1161.6938970635524</v>
      </c>
      <c r="P218" s="40">
        <f t="shared" ref="P218" si="367">P203+P206+P213</f>
        <v>1424.4080259753312</v>
      </c>
      <c r="Q218" s="40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40">
        <f>AW203+AW206+AW213</f>
        <v>365.09499999999997</v>
      </c>
      <c r="AX218" s="19"/>
      <c r="AY218" s="19"/>
      <c r="AZ218" s="19"/>
      <c r="BA218" s="40">
        <f t="shared" ref="BA218:BU218" si="368">BA203+BA206+BA213</f>
        <v>295.334</v>
      </c>
      <c r="BB218" s="19"/>
      <c r="BC218" s="19"/>
      <c r="BD218" s="40">
        <f t="shared" ref="BD218:BI218" si="369">BD203+BD206+BD213</f>
        <v>478.62500000000006</v>
      </c>
      <c r="BE218" s="40">
        <f t="shared" si="369"/>
        <v>440.077</v>
      </c>
      <c r="BF218" s="40">
        <f t="shared" si="369"/>
        <v>488.81100000000004</v>
      </c>
      <c r="BG218" s="40">
        <f t="shared" si="369"/>
        <v>479.88</v>
      </c>
      <c r="BH218" s="40">
        <f t="shared" si="369"/>
        <v>748.15900000000011</v>
      </c>
      <c r="BI218" s="40">
        <f t="shared" si="369"/>
        <v>796.04</v>
      </c>
      <c r="BJ218" s="40">
        <f t="shared" si="368"/>
        <v>814.44516806705269</v>
      </c>
      <c r="BK218" s="40">
        <f t="shared" si="368"/>
        <v>849.78180451721641</v>
      </c>
      <c r="BL218" s="40">
        <f t="shared" si="368"/>
        <v>889.54988044019433</v>
      </c>
      <c r="BM218" s="40">
        <f t="shared" si="368"/>
        <v>936.15427102134879</v>
      </c>
      <c r="BN218" s="40">
        <f t="shared" si="368"/>
        <v>988.69675626172989</v>
      </c>
      <c r="BO218" s="40">
        <f t="shared" si="368"/>
        <v>1044.4670751717479</v>
      </c>
      <c r="BP218" s="40">
        <f t="shared" si="368"/>
        <v>1102.1364888512837</v>
      </c>
      <c r="BQ218" s="40">
        <f t="shared" si="368"/>
        <v>1161.6938970635524</v>
      </c>
      <c r="BR218" s="40">
        <f t="shared" si="368"/>
        <v>1224.2466927092762</v>
      </c>
      <c r="BS218" s="40">
        <f t="shared" si="368"/>
        <v>1288.9071787926243</v>
      </c>
      <c r="BT218" s="40">
        <f t="shared" si="368"/>
        <v>1355.7352155233409</v>
      </c>
      <c r="BU218" s="40">
        <f t="shared" si="368"/>
        <v>1424.4080259753312</v>
      </c>
      <c r="BX218" s="221">
        <f t="shared" si="334"/>
        <v>210</v>
      </c>
    </row>
    <row r="219" spans="1:76" outlineLevel="1">
      <c r="A219" s="180"/>
      <c r="B219" s="8" t="s">
        <v>109</v>
      </c>
      <c r="C219" s="19"/>
      <c r="D219" s="19"/>
      <c r="E219" s="19"/>
      <c r="F219" s="19"/>
      <c r="G219" s="19"/>
      <c r="H219" s="19"/>
      <c r="I219" s="19"/>
      <c r="J219" s="40">
        <f>J203+J206</f>
        <v>218.45499999999998</v>
      </c>
      <c r="K219" s="40">
        <f t="shared" ref="K219:O219" si="370">K203+K206</f>
        <v>215.17400000000001</v>
      </c>
      <c r="L219" s="40">
        <f t="shared" si="370"/>
        <v>277.82499999999999</v>
      </c>
      <c r="M219" s="40">
        <f t="shared" si="370"/>
        <v>282.94699999999995</v>
      </c>
      <c r="N219" s="40">
        <f t="shared" si="370"/>
        <v>277.50299999999993</v>
      </c>
      <c r="O219" s="40">
        <f t="shared" si="370"/>
        <v>272.05899999999991</v>
      </c>
      <c r="P219" s="40">
        <f t="shared" ref="P219" si="371">P203+P206</f>
        <v>266.61499999999984</v>
      </c>
      <c r="Q219" s="40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40">
        <f>AW203+AW206</f>
        <v>218.45499999999998</v>
      </c>
      <c r="AX219" s="19"/>
      <c r="AY219" s="19"/>
      <c r="AZ219" s="19"/>
      <c r="BA219" s="40">
        <f t="shared" ref="BA219:BU219" si="372">BA203+BA206</f>
        <v>215.17400000000001</v>
      </c>
      <c r="BB219" s="19"/>
      <c r="BC219" s="19"/>
      <c r="BD219" s="40">
        <f t="shared" ref="BD219:BI219" si="373">BD203+BD206</f>
        <v>278.48400000000004</v>
      </c>
      <c r="BE219" s="40">
        <f t="shared" si="373"/>
        <v>277.82499999999999</v>
      </c>
      <c r="BF219" s="40">
        <f t="shared" si="373"/>
        <v>152.428</v>
      </c>
      <c r="BG219" s="40">
        <f t="shared" si="373"/>
        <v>151.72900000000001</v>
      </c>
      <c r="BH219" s="40">
        <f t="shared" si="373"/>
        <v>283.20600000000002</v>
      </c>
      <c r="BI219" s="40">
        <f t="shared" si="373"/>
        <v>282.94699999999995</v>
      </c>
      <c r="BJ219" s="40">
        <f t="shared" si="372"/>
        <v>281.58599999999996</v>
      </c>
      <c r="BK219" s="40">
        <f t="shared" si="372"/>
        <v>280.22499999999997</v>
      </c>
      <c r="BL219" s="40">
        <f t="shared" si="372"/>
        <v>278.86399999999998</v>
      </c>
      <c r="BM219" s="40">
        <f t="shared" si="372"/>
        <v>277.50299999999993</v>
      </c>
      <c r="BN219" s="40">
        <f t="shared" si="372"/>
        <v>276.14199999999994</v>
      </c>
      <c r="BO219" s="40">
        <f t="shared" si="372"/>
        <v>274.78099999999989</v>
      </c>
      <c r="BP219" s="40">
        <f t="shared" si="372"/>
        <v>273.4199999999999</v>
      </c>
      <c r="BQ219" s="40">
        <f t="shared" si="372"/>
        <v>272.05899999999991</v>
      </c>
      <c r="BR219" s="40">
        <f t="shared" si="372"/>
        <v>270.69799999999987</v>
      </c>
      <c r="BS219" s="40">
        <f t="shared" si="372"/>
        <v>269.33699999999988</v>
      </c>
      <c r="BT219" s="40">
        <f t="shared" si="372"/>
        <v>267.97599999999983</v>
      </c>
      <c r="BU219" s="40">
        <f t="shared" si="372"/>
        <v>266.61499999999984</v>
      </c>
      <c r="BX219" s="221">
        <f t="shared" si="334"/>
        <v>211</v>
      </c>
    </row>
    <row r="220" spans="1:76" outlineLevel="1">
      <c r="A220" s="180"/>
      <c r="B220" s="8" t="s">
        <v>108</v>
      </c>
      <c r="C220" s="19"/>
      <c r="D220" s="19"/>
      <c r="E220" s="19"/>
      <c r="F220" s="19"/>
      <c r="G220" s="19"/>
      <c r="H220" s="19"/>
      <c r="I220" s="19"/>
      <c r="J220" s="40">
        <f>J219-J186</f>
        <v>166.24799999999999</v>
      </c>
      <c r="K220" s="40">
        <f t="shared" ref="K220:O220" si="374">K219-K186</f>
        <v>161.75200000000001</v>
      </c>
      <c r="L220" s="40">
        <f t="shared" si="374"/>
        <v>228.90499999999997</v>
      </c>
      <c r="M220" s="40">
        <f t="shared" si="374"/>
        <v>186.82699999999994</v>
      </c>
      <c r="N220" s="40">
        <f t="shared" si="374"/>
        <v>38.111409657286572</v>
      </c>
      <c r="O220" s="40">
        <f t="shared" si="374"/>
        <v>-293.83814324094641</v>
      </c>
      <c r="P220" s="40">
        <f t="shared" ref="P220" si="375">P219-P186</f>
        <v>-622.41098727016015</v>
      </c>
      <c r="Q220" s="40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40">
        <f>AW219-AW186</f>
        <v>166.24799999999999</v>
      </c>
      <c r="AX220" s="19"/>
      <c r="AY220" s="19"/>
      <c r="AZ220" s="19"/>
      <c r="BA220" s="40">
        <f t="shared" ref="BA220:BU220" si="376">BA219-BA186</f>
        <v>161.75200000000001</v>
      </c>
      <c r="BB220" s="19"/>
      <c r="BC220" s="19"/>
      <c r="BD220" s="40">
        <f t="shared" si="376"/>
        <v>216.10100000000003</v>
      </c>
      <c r="BE220" s="40">
        <f>BE219-BE186</f>
        <v>228.90499999999997</v>
      </c>
      <c r="BF220" s="40">
        <f>BF219-BF186</f>
        <v>66.631999999999991</v>
      </c>
      <c r="BG220" s="40">
        <f>BG219-BG186</f>
        <v>76.177000000000007</v>
      </c>
      <c r="BH220" s="40">
        <f>BH219-BH186</f>
        <v>211.47700000000003</v>
      </c>
      <c r="BI220" s="40">
        <f>BI219-BI186</f>
        <v>186.82699999999994</v>
      </c>
      <c r="BJ220" s="40">
        <f t="shared" si="376"/>
        <v>149.42475659521131</v>
      </c>
      <c r="BK220" s="40">
        <f t="shared" si="376"/>
        <v>151.95043441856171</v>
      </c>
      <c r="BL220" s="40">
        <f t="shared" si="376"/>
        <v>118.6962355831067</v>
      </c>
      <c r="BM220" s="40">
        <f t="shared" si="376"/>
        <v>38.111409657286572</v>
      </c>
      <c r="BN220" s="40">
        <f t="shared" si="376"/>
        <v>-36.679334704552105</v>
      </c>
      <c r="BO220" s="40">
        <f t="shared" si="376"/>
        <v>-122.93920092857189</v>
      </c>
      <c r="BP220" s="40">
        <f t="shared" si="376"/>
        <v>-209.77203967263335</v>
      </c>
      <c r="BQ220" s="40">
        <f t="shared" si="376"/>
        <v>-293.83814324094641</v>
      </c>
      <c r="BR220" s="40">
        <f t="shared" si="376"/>
        <v>-374.68672092923282</v>
      </c>
      <c r="BS220" s="40">
        <f t="shared" si="376"/>
        <v>-456.95775907828147</v>
      </c>
      <c r="BT220" s="40">
        <f t="shared" si="376"/>
        <v>-541.19847660329265</v>
      </c>
      <c r="BU220" s="40">
        <f t="shared" si="376"/>
        <v>-622.41098727016015</v>
      </c>
      <c r="BX220" s="221">
        <f t="shared" si="334"/>
        <v>212</v>
      </c>
    </row>
    <row r="221" spans="1:76" outlineLevel="1">
      <c r="A221" s="180"/>
      <c r="B221" s="66" t="s">
        <v>107</v>
      </c>
      <c r="C221" s="203"/>
      <c r="D221" s="203"/>
      <c r="E221" s="203"/>
      <c r="F221" s="203"/>
      <c r="G221" s="203"/>
      <c r="H221" s="203"/>
      <c r="I221" s="203"/>
      <c r="J221" s="67">
        <f>J219/J218</f>
        <v>0.5983511140935921</v>
      </c>
      <c r="K221" s="67">
        <f t="shared" ref="K221:O221" si="377">K219/K218</f>
        <v>0.72857849079347448</v>
      </c>
      <c r="L221" s="67">
        <f t="shared" si="377"/>
        <v>0.63130997529977706</v>
      </c>
      <c r="M221" s="67">
        <f t="shared" si="377"/>
        <v>0.35544319380935624</v>
      </c>
      <c r="N221" s="67">
        <f t="shared" si="377"/>
        <v>0.29642870688101741</v>
      </c>
      <c r="O221" s="67">
        <f t="shared" si="377"/>
        <v>0.23419164091994576</v>
      </c>
      <c r="P221" s="67">
        <f t="shared" ref="P221" si="378">P219/P218</f>
        <v>0.18717600233784223</v>
      </c>
      <c r="Q221" s="40"/>
      <c r="R221" s="203"/>
      <c r="S221" s="203"/>
      <c r="T221" s="203"/>
      <c r="U221" s="203"/>
      <c r="V221" s="203"/>
      <c r="W221" s="203"/>
      <c r="X221" s="203"/>
      <c r="Y221" s="203"/>
      <c r="Z221" s="203"/>
      <c r="AA221" s="203"/>
      <c r="AB221" s="203"/>
      <c r="AC221" s="203"/>
      <c r="AD221" s="203"/>
      <c r="AE221" s="203"/>
      <c r="AF221" s="203"/>
      <c r="AG221" s="203"/>
      <c r="AH221" s="203"/>
      <c r="AI221" s="203"/>
      <c r="AJ221" s="203"/>
      <c r="AK221" s="203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13">
        <f>AW219/AW218</f>
        <v>0.5983511140935921</v>
      </c>
      <c r="AX221" s="203"/>
      <c r="AY221" s="203"/>
      <c r="AZ221" s="203"/>
      <c r="BA221" s="13">
        <f>BA219/BA218</f>
        <v>0.72857849079347448</v>
      </c>
      <c r="BB221" s="203"/>
      <c r="BC221" s="203"/>
      <c r="BD221" s="13">
        <f t="shared" ref="BD221:BI221" si="379">BD219/BD218</f>
        <v>0.58184173413423868</v>
      </c>
      <c r="BE221" s="13">
        <f t="shared" si="379"/>
        <v>0.63130997529977706</v>
      </c>
      <c r="BF221" s="13">
        <f t="shared" si="379"/>
        <v>0.31183422631651087</v>
      </c>
      <c r="BG221" s="13">
        <f t="shared" si="379"/>
        <v>0.31618112861548725</v>
      </c>
      <c r="BH221" s="13">
        <f t="shared" si="379"/>
        <v>0.37853718260423247</v>
      </c>
      <c r="BI221" s="13">
        <f t="shared" si="379"/>
        <v>0.35544319380935624</v>
      </c>
      <c r="BJ221" s="13">
        <f t="shared" ref="BJ221:BN221" si="380">BJ219/BJ218</f>
        <v>0.34573966552996627</v>
      </c>
      <c r="BK221" s="13">
        <f t="shared" si="380"/>
        <v>0.32976112045515404</v>
      </c>
      <c r="BL221" s="13">
        <f t="shared" si="380"/>
        <v>0.31348888480767817</v>
      </c>
      <c r="BM221" s="13">
        <f t="shared" si="380"/>
        <v>0.29642870688101741</v>
      </c>
      <c r="BN221" s="13">
        <f t="shared" si="380"/>
        <v>0.27929898449762797</v>
      </c>
      <c r="BO221" s="13">
        <f t="shared" ref="BO221:BU221" si="381">BO219/BO218</f>
        <v>0.26308249109223097</v>
      </c>
      <c r="BP221" s="13">
        <f t="shared" si="381"/>
        <v>0.2480817963707703</v>
      </c>
      <c r="BQ221" s="13">
        <f t="shared" si="381"/>
        <v>0.23419164091994576</v>
      </c>
      <c r="BR221" s="13">
        <f t="shared" si="381"/>
        <v>0.22111393203026847</v>
      </c>
      <c r="BS221" s="13">
        <f t="shared" si="381"/>
        <v>0.20896539675750708</v>
      </c>
      <c r="BT221" s="13">
        <f t="shared" si="381"/>
        <v>0.19766101590608587</v>
      </c>
      <c r="BU221" s="13">
        <f t="shared" si="381"/>
        <v>0.18717600233784223</v>
      </c>
      <c r="BX221" s="221">
        <f t="shared" si="334"/>
        <v>213</v>
      </c>
    </row>
    <row r="222" spans="1:76" outlineLevel="1">
      <c r="A222" s="180"/>
      <c r="B222" s="8" t="s">
        <v>106</v>
      </c>
      <c r="C222" s="196"/>
      <c r="D222" s="196"/>
      <c r="E222" s="196"/>
      <c r="F222" s="196"/>
      <c r="G222" s="196"/>
      <c r="H222" s="196"/>
      <c r="I222" s="196"/>
      <c r="J222" s="47">
        <f>J220/(J218-J186)</f>
        <v>0.5313338958349314</v>
      </c>
      <c r="K222" s="47">
        <f t="shared" ref="K222:O222" si="382">K220/(K218-K186)</f>
        <v>0.66863983597341181</v>
      </c>
      <c r="L222" s="47">
        <f t="shared" si="382"/>
        <v>0.58519980468200739</v>
      </c>
      <c r="M222" s="47">
        <f t="shared" si="382"/>
        <v>0.26692622013944445</v>
      </c>
      <c r="N222" s="47">
        <f t="shared" si="382"/>
        <v>5.4697834304453109E-2</v>
      </c>
      <c r="O222" s="47">
        <f t="shared" si="382"/>
        <v>-0.49318520343673183</v>
      </c>
      <c r="P222" s="47">
        <f t="shared" ref="P222" si="383">P220/(P218-P186)</f>
        <v>-1.1625548529335605</v>
      </c>
      <c r="Q222" s="3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6"/>
      <c r="AE222" s="196"/>
      <c r="AF222" s="196"/>
      <c r="AG222" s="196"/>
      <c r="AH222" s="196"/>
      <c r="AI222" s="196"/>
      <c r="AJ222" s="196"/>
      <c r="AK222" s="196"/>
      <c r="AL222" s="196"/>
      <c r="AM222" s="196"/>
      <c r="AN222" s="196"/>
      <c r="AO222" s="196"/>
      <c r="AP222" s="196"/>
      <c r="AQ222" s="196"/>
      <c r="AR222" s="196"/>
      <c r="AS222" s="196"/>
      <c r="AT222" s="196"/>
      <c r="AU222" s="196"/>
      <c r="AV222" s="196"/>
      <c r="AW222" s="13">
        <f>AW220/(AW218-AW186)</f>
        <v>0.5313338958349314</v>
      </c>
      <c r="AX222" s="196"/>
      <c r="AY222" s="196"/>
      <c r="AZ222" s="196"/>
      <c r="BA222" s="13">
        <f>BA220/(BA218-BA186)</f>
        <v>0.66863983597341181</v>
      </c>
      <c r="BB222" s="196"/>
      <c r="BC222" s="196"/>
      <c r="BD222" s="13">
        <f t="shared" ref="BD222:BI222" si="384">BD220/(BD218-BD186)</f>
        <v>0.51917153963319407</v>
      </c>
      <c r="BE222" s="13">
        <f t="shared" si="384"/>
        <v>0.58519980468200739</v>
      </c>
      <c r="BF222" s="13">
        <f t="shared" si="384"/>
        <v>0.16533379650881477</v>
      </c>
      <c r="BG222" s="13">
        <f t="shared" si="384"/>
        <v>0.18840396905482681</v>
      </c>
      <c r="BH222" s="13">
        <f t="shared" si="384"/>
        <v>0.31263693212897126</v>
      </c>
      <c r="BI222" s="13">
        <f t="shared" si="384"/>
        <v>0.26692622013944445</v>
      </c>
      <c r="BJ222" s="13">
        <f t="shared" ref="BJ222:BN222" si="385">BJ220/(BJ218-BJ186)</f>
        <v>0.21900670848895895</v>
      </c>
      <c r="BK222" s="13">
        <f t="shared" si="385"/>
        <v>0.21060139970693617</v>
      </c>
      <c r="BL222" s="13">
        <f t="shared" si="385"/>
        <v>0.16273532483940803</v>
      </c>
      <c r="BM222" s="13">
        <f t="shared" si="385"/>
        <v>5.4697834304453109E-2</v>
      </c>
      <c r="BN222" s="13">
        <f t="shared" si="385"/>
        <v>-5.4269372039073477E-2</v>
      </c>
      <c r="BO222" s="13">
        <f t="shared" ref="BO222:BU222" si="386">BO220/(BO218-BO186)</f>
        <v>-0.19008858925284405</v>
      </c>
      <c r="BP222" s="13">
        <f t="shared" si="386"/>
        <v>-0.33891900953470755</v>
      </c>
      <c r="BQ222" s="13">
        <f t="shared" si="386"/>
        <v>-0.49318520343673183</v>
      </c>
      <c r="BR222" s="13">
        <f t="shared" si="386"/>
        <v>-0.64728163050172971</v>
      </c>
      <c r="BS222" s="13">
        <f t="shared" si="386"/>
        <v>-0.81220702399405631</v>
      </c>
      <c r="BT222" s="13">
        <f t="shared" si="386"/>
        <v>-0.99018908250279525</v>
      </c>
      <c r="BU222" s="13">
        <f t="shared" si="386"/>
        <v>-1.1625548529335605</v>
      </c>
      <c r="BX222" s="221">
        <f t="shared" si="334"/>
        <v>214</v>
      </c>
    </row>
    <row r="223" spans="1:76" outlineLevel="1">
      <c r="A223" s="180"/>
      <c r="B223" s="66" t="s">
        <v>105</v>
      </c>
      <c r="C223" s="204"/>
      <c r="D223" s="204"/>
      <c r="E223" s="204"/>
      <c r="F223" s="204"/>
      <c r="G223" s="204"/>
      <c r="H223" s="204"/>
      <c r="I223" s="204"/>
      <c r="J223" s="67">
        <f>J220/J213</f>
        <v>1.1337152209492636</v>
      </c>
      <c r="K223" s="67">
        <f t="shared" ref="K223:O223" si="387">K220/K213</f>
        <v>2.017864271457086</v>
      </c>
      <c r="L223" s="67">
        <f t="shared" si="387"/>
        <v>1.4107992505485294</v>
      </c>
      <c r="M223" s="67">
        <f t="shared" si="387"/>
        <v>0.36411917527621679</v>
      </c>
      <c r="N223" s="67">
        <f t="shared" si="387"/>
        <v>5.7862804391447482E-2</v>
      </c>
      <c r="O223" s="67">
        <f t="shared" si="387"/>
        <v>-0.33029071162881279</v>
      </c>
      <c r="P223" s="67">
        <f t="shared" ref="P223" si="388">P220/P213</f>
        <v>-0.53758398375723293</v>
      </c>
      <c r="Q223" s="3"/>
      <c r="R223" s="204"/>
      <c r="S223" s="204"/>
      <c r="T223" s="204"/>
      <c r="U223" s="204"/>
      <c r="V223" s="204"/>
      <c r="W223" s="204"/>
      <c r="X223" s="204"/>
      <c r="Y223" s="204"/>
      <c r="Z223" s="204"/>
      <c r="AA223" s="204"/>
      <c r="AB223" s="204"/>
      <c r="AC223" s="204"/>
      <c r="AD223" s="204"/>
      <c r="AE223" s="204"/>
      <c r="AF223" s="204"/>
      <c r="AG223" s="204"/>
      <c r="AH223" s="204"/>
      <c r="AI223" s="204"/>
      <c r="AJ223" s="204"/>
      <c r="AK223" s="204"/>
      <c r="AL223" s="204"/>
      <c r="AM223" s="204"/>
      <c r="AN223" s="204"/>
      <c r="AO223" s="204"/>
      <c r="AP223" s="204"/>
      <c r="AQ223" s="204"/>
      <c r="AR223" s="204"/>
      <c r="AS223" s="204"/>
      <c r="AT223" s="204"/>
      <c r="AU223" s="204"/>
      <c r="AV223" s="204"/>
      <c r="AW223" s="67">
        <f>AW220/AW213</f>
        <v>1.1337152209492636</v>
      </c>
      <c r="AX223" s="204"/>
      <c r="AY223" s="204"/>
      <c r="AZ223" s="204"/>
      <c r="BA223" s="67">
        <f>BA220/BA213</f>
        <v>2.017864271457086</v>
      </c>
      <c r="BB223" s="204"/>
      <c r="BC223" s="204"/>
      <c r="BD223" s="67">
        <f t="shared" ref="BD223:BI223" si="389">BD220/BD213</f>
        <v>1.0797437806346526</v>
      </c>
      <c r="BE223" s="67">
        <f t="shared" si="389"/>
        <v>1.4107992505485294</v>
      </c>
      <c r="BF223" s="67">
        <f t="shared" si="389"/>
        <v>0.1980837319365128</v>
      </c>
      <c r="BG223" s="67">
        <f t="shared" si="389"/>
        <v>0.23214008185256182</v>
      </c>
      <c r="BH223" s="67">
        <f t="shared" si="389"/>
        <v>0.45483521990394732</v>
      </c>
      <c r="BI223" s="67">
        <f t="shared" si="389"/>
        <v>0.36411917527621679</v>
      </c>
      <c r="BJ223" s="67">
        <f t="shared" ref="BJ223:BN223" si="390">BJ220/BJ213</f>
        <v>0.28042072943447666</v>
      </c>
      <c r="BK223" s="67">
        <f t="shared" si="390"/>
        <v>0.26678714609925902</v>
      </c>
      <c r="BL223" s="67">
        <f t="shared" si="390"/>
        <v>0.19436544938217357</v>
      </c>
      <c r="BM223" s="67">
        <f t="shared" si="390"/>
        <v>5.7862804391447482E-2</v>
      </c>
      <c r="BN223" s="67">
        <f t="shared" si="390"/>
        <v>-5.1475812044231649E-2</v>
      </c>
      <c r="BO223" s="67">
        <f t="shared" ref="BO223:BU223" si="391">BO220/BO213</f>
        <v>-0.15972641950309313</v>
      </c>
      <c r="BP223" s="67">
        <f t="shared" si="391"/>
        <v>-0.25312883536733599</v>
      </c>
      <c r="BQ223" s="67">
        <f t="shared" si="391"/>
        <v>-0.33029071162881279</v>
      </c>
      <c r="BR223" s="67">
        <f t="shared" si="391"/>
        <v>-0.39293926340001767</v>
      </c>
      <c r="BS223" s="67">
        <f t="shared" si="391"/>
        <v>-0.44818666589426054</v>
      </c>
      <c r="BT223" s="67">
        <f t="shared" si="391"/>
        <v>-0.49753517955066195</v>
      </c>
      <c r="BU223" s="67">
        <f t="shared" si="391"/>
        <v>-0.53758398375723293</v>
      </c>
      <c r="BX223" s="221">
        <f t="shared" si="334"/>
        <v>215</v>
      </c>
    </row>
    <row r="224" spans="1:76" outlineLevel="1">
      <c r="A224" s="180"/>
      <c r="B224" s="66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3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W224" s="77"/>
      <c r="AX224" s="77"/>
      <c r="AY224" s="77"/>
      <c r="AZ224" s="77"/>
      <c r="BA224" s="77"/>
      <c r="BB224" s="77"/>
      <c r="BC224" s="77"/>
      <c r="BD224" s="77"/>
      <c r="BE224" s="77"/>
      <c r="BF224" s="77"/>
      <c r="BG224" s="77"/>
      <c r="BH224" s="77"/>
      <c r="BI224" s="77"/>
      <c r="BJ224" s="77"/>
      <c r="BK224" s="77"/>
      <c r="BL224" s="77"/>
      <c r="BM224" s="77"/>
      <c r="BN224" s="77"/>
      <c r="BO224" s="77"/>
      <c r="BP224" s="77"/>
      <c r="BQ224" s="77"/>
      <c r="BR224" s="77"/>
      <c r="BS224" s="77"/>
      <c r="BT224" s="77"/>
      <c r="BU224" s="77"/>
      <c r="BX224" s="221">
        <f t="shared" si="334"/>
        <v>216</v>
      </c>
    </row>
    <row r="225" spans="1:76" outlineLevel="1">
      <c r="A225" s="180"/>
      <c r="B225" s="66" t="s">
        <v>104</v>
      </c>
      <c r="C225" s="205"/>
      <c r="D225" s="205"/>
      <c r="E225" s="205"/>
      <c r="F225" s="205"/>
      <c r="G225" s="205"/>
      <c r="H225" s="205"/>
      <c r="I225" s="205"/>
      <c r="J225" s="78">
        <f t="shared" ref="J225:P225" si="392">J220/SUM(G27:J27)</f>
        <v>2.8344844453029578</v>
      </c>
      <c r="K225" s="78">
        <f t="shared" si="392"/>
        <v>1.657863934875293</v>
      </c>
      <c r="L225" s="78">
        <f t="shared" si="392"/>
        <v>2.5810600856022758</v>
      </c>
      <c r="M225" s="78">
        <f t="shared" si="392"/>
        <v>0.67313782851268167</v>
      </c>
      <c r="N225" s="78">
        <f t="shared" si="392"/>
        <v>5.8205305032728936E-2</v>
      </c>
      <c r="O225" s="78">
        <f t="shared" si="392"/>
        <v>-0.25207404078573425</v>
      </c>
      <c r="P225" s="78">
        <f t="shared" si="392"/>
        <v>-0.35898690781284398</v>
      </c>
      <c r="Q225" s="3"/>
      <c r="R225" s="205"/>
      <c r="S225" s="205"/>
      <c r="T225" s="205"/>
      <c r="U225" s="205"/>
      <c r="V225" s="205"/>
      <c r="W225" s="205"/>
      <c r="X225" s="205"/>
      <c r="Y225" s="205"/>
      <c r="Z225" s="205"/>
      <c r="AA225" s="205"/>
      <c r="AB225" s="205"/>
      <c r="AC225" s="205"/>
      <c r="AD225" s="205"/>
      <c r="AE225" s="205"/>
      <c r="AF225" s="205"/>
      <c r="AG225" s="205"/>
      <c r="AH225" s="205"/>
      <c r="AI225" s="205"/>
      <c r="AJ225" s="205"/>
      <c r="AK225" s="205"/>
      <c r="AL225" s="205"/>
      <c r="AM225" s="205"/>
      <c r="AN225" s="205"/>
      <c r="AO225" s="205"/>
      <c r="AP225" s="205"/>
      <c r="AQ225" s="205"/>
      <c r="AR225" s="205"/>
      <c r="AS225" s="205"/>
      <c r="AT225" s="205"/>
      <c r="AU225" s="205"/>
      <c r="AV225" s="205"/>
      <c r="AW225" s="205"/>
      <c r="AX225" s="205"/>
      <c r="AY225" s="205"/>
      <c r="AZ225" s="205"/>
      <c r="BA225" s="205"/>
      <c r="BB225" s="205"/>
      <c r="BC225" s="205"/>
      <c r="BD225" s="78">
        <f t="shared" ref="BD225:BU225" si="393">BD220/SUM(BA27:BD27)</f>
        <v>-22.437871487074965</v>
      </c>
      <c r="BE225" s="78">
        <f t="shared" si="393"/>
        <v>-25.777349494095688</v>
      </c>
      <c r="BF225" s="78">
        <f t="shared" si="393"/>
        <v>-18.092226213657607</v>
      </c>
      <c r="BG225" s="78">
        <f t="shared" si="393"/>
        <v>3.8040887568927251</v>
      </c>
      <c r="BH225" s="78">
        <f t="shared" si="393"/>
        <v>2.129978043228653</v>
      </c>
      <c r="BI225" s="78">
        <f t="shared" si="393"/>
        <v>0.9892354124748487</v>
      </c>
      <c r="BJ225" s="78">
        <f t="shared" si="393"/>
        <v>0.55901056586763498</v>
      </c>
      <c r="BK225" s="78">
        <f t="shared" si="393"/>
        <v>0.4389822761496841</v>
      </c>
      <c r="BL225" s="78">
        <f t="shared" si="393"/>
        <v>0.29951671601112012</v>
      </c>
      <c r="BM225" s="78">
        <f t="shared" si="393"/>
        <v>8.7435346007690332E-2</v>
      </c>
      <c r="BN225" s="78">
        <f t="shared" si="393"/>
        <v>-7.5123304851464373E-2</v>
      </c>
      <c r="BO225" s="78">
        <f t="shared" si="393"/>
        <v>-0.23602386707503498</v>
      </c>
      <c r="BP225" s="78">
        <f t="shared" si="393"/>
        <v>-0.3874441073727436</v>
      </c>
      <c r="BQ225" s="78">
        <f t="shared" si="393"/>
        <v>-0.53442517104971321</v>
      </c>
      <c r="BR225" s="78">
        <f t="shared" si="393"/>
        <v>-0.67826932701905707</v>
      </c>
      <c r="BS225" s="78">
        <f t="shared" si="393"/>
        <v>-0.82340873303978757</v>
      </c>
      <c r="BT225" s="78">
        <f t="shared" si="393"/>
        <v>-0.97121846586996663</v>
      </c>
      <c r="BU225" s="78">
        <f t="shared" si="393"/>
        <v>-1.1129654001993099</v>
      </c>
      <c r="BX225" s="221">
        <f t="shared" si="334"/>
        <v>217</v>
      </c>
    </row>
    <row r="226" spans="1:76" outlineLevel="1">
      <c r="A226" s="180"/>
      <c r="B226" s="66" t="s">
        <v>103</v>
      </c>
      <c r="C226" s="205"/>
      <c r="D226" s="205"/>
      <c r="E226" s="205"/>
      <c r="F226" s="205"/>
      <c r="G226" s="205"/>
      <c r="H226" s="205"/>
      <c r="I226" s="205"/>
      <c r="J226" s="78">
        <f t="shared" ref="J226:P226" si="394">J220/SUM(G29:J29)</f>
        <v>-17.313846330434021</v>
      </c>
      <c r="K226" s="78">
        <f t="shared" si="394"/>
        <v>-4.0202009547964082</v>
      </c>
      <c r="L226" s="78">
        <f t="shared" si="394"/>
        <v>-1.5250806937947181</v>
      </c>
      <c r="M226" s="78">
        <f t="shared" si="394"/>
        <v>-1.550255317017019</v>
      </c>
      <c r="N226" s="78">
        <f t="shared" si="394"/>
        <v>0.42105437850064725</v>
      </c>
      <c r="O226" s="78">
        <f t="shared" si="394"/>
        <v>-0.68095744509441547</v>
      </c>
      <c r="P226" s="78">
        <f t="shared" si="394"/>
        <v>-0.68661400370855585</v>
      </c>
      <c r="Q226" s="3"/>
      <c r="R226" s="205"/>
      <c r="S226" s="205"/>
      <c r="T226" s="205"/>
      <c r="U226" s="205"/>
      <c r="V226" s="205"/>
      <c r="W226" s="205"/>
      <c r="X226" s="205"/>
      <c r="Y226" s="205"/>
      <c r="Z226" s="205"/>
      <c r="AA226" s="205"/>
      <c r="AB226" s="205"/>
      <c r="AC226" s="205"/>
      <c r="AD226" s="205"/>
      <c r="AE226" s="205"/>
      <c r="AF226" s="205"/>
      <c r="AG226" s="205"/>
      <c r="AH226" s="205"/>
      <c r="AI226" s="205"/>
      <c r="AJ226" s="205"/>
      <c r="AK226" s="205"/>
      <c r="AL226" s="205"/>
      <c r="AM226" s="205"/>
      <c r="AN226" s="205"/>
      <c r="AO226" s="205"/>
      <c r="AP226" s="205"/>
      <c r="AQ226" s="205"/>
      <c r="AR226" s="205"/>
      <c r="AS226" s="205"/>
      <c r="AT226" s="205"/>
      <c r="AU226" s="205"/>
      <c r="AV226" s="205"/>
      <c r="AW226" s="205"/>
      <c r="AX226" s="205"/>
      <c r="AY226" s="205"/>
      <c r="AZ226" s="205"/>
      <c r="BA226" s="205"/>
      <c r="BB226" s="205"/>
      <c r="BC226" s="205"/>
      <c r="BD226" s="78">
        <f t="shared" ref="BD226:BU226" si="395">BD220/SUM(BA29:BD29)</f>
        <v>-2.6490142482934029</v>
      </c>
      <c r="BE226" s="78">
        <f t="shared" si="395"/>
        <v>-2.0836274102095409</v>
      </c>
      <c r="BF226" s="78">
        <f t="shared" si="395"/>
        <v>-0.55037413489088183</v>
      </c>
      <c r="BG226" s="78">
        <f t="shared" si="395"/>
        <v>-0.74409964848278143</v>
      </c>
      <c r="BH226" s="78">
        <f t="shared" si="395"/>
        <v>-5.4138804976703723</v>
      </c>
      <c r="BI226" s="78">
        <f t="shared" si="395"/>
        <v>6.3159905341446887</v>
      </c>
      <c r="BJ226" s="78">
        <f t="shared" si="395"/>
        <v>1.7756047890242379</v>
      </c>
      <c r="BK226" s="78">
        <f t="shared" si="395"/>
        <v>1.0749333185367069</v>
      </c>
      <c r="BL226" s="78">
        <f t="shared" si="395"/>
        <v>0.6719498438092254</v>
      </c>
      <c r="BM226" s="78">
        <f t="shared" si="395"/>
        <v>0.18920809499935107</v>
      </c>
      <c r="BN226" s="78">
        <f t="shared" si="395"/>
        <v>-0.14968384658135767</v>
      </c>
      <c r="BO226" s="78">
        <f t="shared" si="395"/>
        <v>-0.45348937677325235</v>
      </c>
      <c r="BP226" s="78">
        <f t="shared" si="395"/>
        <v>-0.7137525672093068</v>
      </c>
      <c r="BQ226" s="78">
        <f t="shared" si="395"/>
        <v>-0.9467644416009473</v>
      </c>
      <c r="BR226" s="78">
        <f t="shared" si="395"/>
        <v>-1.1598492594655412</v>
      </c>
      <c r="BS226" s="78">
        <f t="shared" si="395"/>
        <v>-1.3565083200554053</v>
      </c>
      <c r="BT226" s="78">
        <f t="shared" si="395"/>
        <v>-1.5417756838236953</v>
      </c>
      <c r="BU226" s="78">
        <f t="shared" si="395"/>
        <v>-1.7046422421996363</v>
      </c>
      <c r="BX226" s="221">
        <f t="shared" si="334"/>
        <v>218</v>
      </c>
    </row>
    <row r="227" spans="1:76" outlineLevel="1">
      <c r="A227" s="180"/>
      <c r="B227" s="66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3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W227" s="77"/>
      <c r="AX227" s="77"/>
      <c r="AY227" s="77"/>
      <c r="AZ227" s="77"/>
      <c r="BA227" s="77"/>
      <c r="BB227" s="77"/>
      <c r="BC227" s="77"/>
      <c r="BD227" s="77"/>
      <c r="BE227" s="77"/>
      <c r="BF227" s="77"/>
      <c r="BG227" s="77"/>
      <c r="BH227" s="77"/>
      <c r="BI227" s="77"/>
      <c r="BJ227" s="77"/>
      <c r="BK227" s="77"/>
      <c r="BL227" s="77"/>
      <c r="BM227" s="77"/>
      <c r="BN227" s="77"/>
      <c r="BO227" s="77"/>
      <c r="BP227" s="77"/>
      <c r="BQ227" s="77"/>
      <c r="BR227" s="77"/>
      <c r="BS227" s="77"/>
      <c r="BT227" s="77"/>
      <c r="BU227" s="77"/>
      <c r="BX227" s="221">
        <f t="shared" si="334"/>
        <v>219</v>
      </c>
    </row>
    <row r="228" spans="1:76" outlineLevel="1">
      <c r="A228" s="180"/>
      <c r="B228" s="8" t="s">
        <v>102</v>
      </c>
      <c r="C228" s="206"/>
      <c r="D228" s="206"/>
      <c r="E228" s="206"/>
      <c r="F228" s="206"/>
      <c r="G228" s="206"/>
      <c r="H228" s="206"/>
      <c r="I228" s="206"/>
      <c r="J228" s="76">
        <f t="shared" ref="J228:P228" si="396">IFERROR(J27/-J30,"NM")</f>
        <v>5.6002985342408591</v>
      </c>
      <c r="K228" s="76">
        <f t="shared" si="396"/>
        <v>1.6594501748512958</v>
      </c>
      <c r="L228" s="76">
        <f t="shared" si="396"/>
        <v>-0.23186327760257847</v>
      </c>
      <c r="M228" s="76">
        <f t="shared" si="396"/>
        <v>6.8370560764580217</v>
      </c>
      <c r="N228" s="76">
        <f t="shared" si="396"/>
        <v>14.434417838698609</v>
      </c>
      <c r="O228" s="76">
        <f t="shared" si="396"/>
        <v>18.567434212518556</v>
      </c>
      <c r="P228" s="76">
        <f t="shared" si="396"/>
        <v>19.266162149236617</v>
      </c>
      <c r="Q228" s="3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  <c r="AD228" s="206"/>
      <c r="AE228" s="206"/>
      <c r="AF228" s="206"/>
      <c r="AG228" s="206"/>
      <c r="AH228" s="206"/>
      <c r="AI228" s="206"/>
      <c r="AJ228" s="206"/>
      <c r="AK228" s="206"/>
      <c r="AL228" s="206"/>
      <c r="AM228" s="206"/>
      <c r="AN228" s="206"/>
      <c r="AO228" s="206"/>
      <c r="AP228" s="206"/>
      <c r="AQ228" s="206"/>
      <c r="AR228" s="206"/>
      <c r="AS228" s="206"/>
      <c r="AT228" s="206"/>
      <c r="AU228" s="206"/>
      <c r="AV228" s="206"/>
      <c r="AW228" s="206"/>
      <c r="AX228" s="206"/>
      <c r="AY228" s="206"/>
      <c r="AZ228" s="206"/>
      <c r="BA228" s="206"/>
      <c r="BB228" s="206"/>
      <c r="BC228" s="206"/>
      <c r="BD228" s="76">
        <f t="shared" ref="BD228:BU228" si="397">IFERROR(BD27/-BD30,"NM")</f>
        <v>-1.1974288489281899</v>
      </c>
      <c r="BE228" s="76">
        <f t="shared" si="397"/>
        <v>7.5927610959458131E-2</v>
      </c>
      <c r="BF228" s="76">
        <f t="shared" si="397"/>
        <v>0.55906859947494525</v>
      </c>
      <c r="BG228" s="76">
        <f t="shared" si="397"/>
        <v>6.0485169004368862</v>
      </c>
      <c r="BH228" s="76">
        <f t="shared" si="397"/>
        <v>9.3581653926337722</v>
      </c>
      <c r="BI228" s="76">
        <f t="shared" si="397"/>
        <v>12.342853238589779</v>
      </c>
      <c r="BJ228" s="76">
        <f t="shared" si="397"/>
        <v>10.959758771488229</v>
      </c>
      <c r="BK228" s="76">
        <f t="shared" si="397"/>
        <v>13.894100192282954</v>
      </c>
      <c r="BL228" s="76">
        <f t="shared" si="397"/>
        <v>15.599690131710224</v>
      </c>
      <c r="BM228" s="76">
        <f t="shared" si="397"/>
        <v>17.334583566667774</v>
      </c>
      <c r="BN228" s="76">
        <f t="shared" si="397"/>
        <v>18.197396254163532</v>
      </c>
      <c r="BO228" s="76">
        <f t="shared" si="397"/>
        <v>18.563605867205762</v>
      </c>
      <c r="BP228" s="76">
        <f t="shared" si="397"/>
        <v>18.691404531545182</v>
      </c>
      <c r="BQ228" s="76">
        <f t="shared" si="397"/>
        <v>18.822277026710285</v>
      </c>
      <c r="BR228" s="76">
        <f t="shared" si="397"/>
        <v>18.916437186945206</v>
      </c>
      <c r="BS228" s="76">
        <f t="shared" si="397"/>
        <v>19.286457932065584</v>
      </c>
      <c r="BT228" s="76">
        <f t="shared" si="397"/>
        <v>19.383915278236149</v>
      </c>
      <c r="BU228" s="76">
        <f t="shared" si="397"/>
        <v>19.48236255968553</v>
      </c>
      <c r="BX228" s="221">
        <f t="shared" si="334"/>
        <v>220</v>
      </c>
    </row>
    <row r="229" spans="1:76" outlineLevel="1">
      <c r="A229" s="180"/>
      <c r="B229" s="8" t="s">
        <v>101</v>
      </c>
      <c r="C229" s="206"/>
      <c r="D229" s="206"/>
      <c r="E229" s="206"/>
      <c r="F229" s="206"/>
      <c r="G229" s="206"/>
      <c r="H229" s="206"/>
      <c r="I229" s="206"/>
      <c r="J229" s="76">
        <f t="shared" ref="J229:P229" si="398">IFERROR((J27+J170)/-J30,"NM")</f>
        <v>-6.8588802295490297</v>
      </c>
      <c r="K229" s="76">
        <f t="shared" si="398"/>
        <v>0.54705418842821052</v>
      </c>
      <c r="L229" s="76">
        <f t="shared" si="398"/>
        <v>-0.83569437115855627</v>
      </c>
      <c r="M229" s="76">
        <f t="shared" si="398"/>
        <v>1.7203055424827112</v>
      </c>
      <c r="N229" s="76">
        <f t="shared" si="398"/>
        <v>6.8178532512450678</v>
      </c>
      <c r="O229" s="76">
        <f t="shared" si="398"/>
        <v>14.295533471229804</v>
      </c>
      <c r="P229" s="76">
        <f t="shared" si="398"/>
        <v>14.925358226321197</v>
      </c>
      <c r="Q229" s="3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  <c r="AD229" s="206"/>
      <c r="AE229" s="206"/>
      <c r="AF229" s="206"/>
      <c r="AG229" s="206"/>
      <c r="AH229" s="206"/>
      <c r="AI229" s="206"/>
      <c r="AJ229" s="206"/>
      <c r="AK229" s="206"/>
      <c r="AL229" s="206"/>
      <c r="AM229" s="206"/>
      <c r="AN229" s="206"/>
      <c r="AO229" s="206"/>
      <c r="AP229" s="206"/>
      <c r="AQ229" s="206"/>
      <c r="AR229" s="206"/>
      <c r="AS229" s="206"/>
      <c r="AT229" s="206"/>
      <c r="AU229" s="206"/>
      <c r="AV229" s="206"/>
      <c r="AW229" s="206"/>
      <c r="AX229" s="206"/>
      <c r="AY229" s="206"/>
      <c r="AZ229" s="206"/>
      <c r="BA229" s="206"/>
      <c r="BB229" s="206"/>
      <c r="BC229" s="206"/>
      <c r="BD229" s="76">
        <f t="shared" ref="BD229:BU229" si="399">IFERROR((BD27+BD170)/-BD30,"NM")</f>
        <v>-2.7637571460908519</v>
      </c>
      <c r="BE229" s="76">
        <f t="shared" si="399"/>
        <v>-0.68456172277828342</v>
      </c>
      <c r="BF229" s="76">
        <f t="shared" si="399"/>
        <v>-0.5903435680858361</v>
      </c>
      <c r="BG229" s="76">
        <f t="shared" si="399"/>
        <v>1.940676017475286</v>
      </c>
      <c r="BH229" s="76">
        <f t="shared" si="399"/>
        <v>1.5175816539263363</v>
      </c>
      <c r="BI229" s="76">
        <f t="shared" si="399"/>
        <v>4.5549330418147047</v>
      </c>
      <c r="BJ229" s="76">
        <f t="shared" si="399"/>
        <v>6.2255333380292042</v>
      </c>
      <c r="BK229" s="76">
        <f t="shared" si="399"/>
        <v>2.0453786346517768</v>
      </c>
      <c r="BL229" s="76">
        <f t="shared" si="399"/>
        <v>6.1941805778564163</v>
      </c>
      <c r="BM229" s="76">
        <f t="shared" si="399"/>
        <v>12.864621047637076</v>
      </c>
      <c r="BN229" s="76">
        <f t="shared" si="399"/>
        <v>13.906640210378043</v>
      </c>
      <c r="BO229" s="76">
        <f t="shared" si="399"/>
        <v>14.319075794794417</v>
      </c>
      <c r="BP229" s="76">
        <f t="shared" si="399"/>
        <v>14.425851151741576</v>
      </c>
      <c r="BQ229" s="76">
        <f t="shared" si="399"/>
        <v>14.535491044500445</v>
      </c>
      <c r="BR229" s="76">
        <f t="shared" si="399"/>
        <v>14.608206166262875</v>
      </c>
      <c r="BS229" s="76">
        <f t="shared" si="399"/>
        <v>14.956566232622608</v>
      </c>
      <c r="BT229" s="76">
        <f t="shared" si="399"/>
        <v>15.03214399075684</v>
      </c>
      <c r="BU229" s="76">
        <f t="shared" si="399"/>
        <v>15.108489439496354</v>
      </c>
      <c r="BX229" s="221">
        <f t="shared" si="334"/>
        <v>221</v>
      </c>
    </row>
    <row r="230" spans="1:76" outlineLevel="1">
      <c r="A230" s="180"/>
      <c r="B230" s="8" t="s">
        <v>100</v>
      </c>
      <c r="C230" s="206"/>
      <c r="D230" s="206"/>
      <c r="E230" s="206"/>
      <c r="F230" s="206"/>
      <c r="G230" s="206"/>
      <c r="H230" s="206"/>
      <c r="I230" s="206"/>
      <c r="J230" s="76">
        <f t="shared" ref="J230:P230" si="400">IFERROR(J29/-J30,"NM")</f>
        <v>-0.91683608491174262</v>
      </c>
      <c r="K230" s="76">
        <f t="shared" si="400"/>
        <v>-1.3062861371052166</v>
      </c>
      <c r="L230" s="76">
        <f t="shared" si="400"/>
        <v>-2.8684690517711759</v>
      </c>
      <c r="M230" s="76">
        <f t="shared" si="400"/>
        <v>1.0708467581363332</v>
      </c>
      <c r="N230" s="76">
        <f t="shared" si="400"/>
        <v>6.6703188262136424</v>
      </c>
      <c r="O230" s="76">
        <f t="shared" si="400"/>
        <v>10.480858563086953</v>
      </c>
      <c r="P230" s="76">
        <f t="shared" si="400"/>
        <v>12.578927903992842</v>
      </c>
      <c r="Q230" s="3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  <c r="AD230" s="206"/>
      <c r="AE230" s="206"/>
      <c r="AF230" s="206"/>
      <c r="AG230" s="206"/>
      <c r="AH230" s="206"/>
      <c r="AI230" s="206"/>
      <c r="AJ230" s="206"/>
      <c r="AK230" s="206"/>
      <c r="AL230" s="206"/>
      <c r="AM230" s="206"/>
      <c r="AN230" s="206"/>
      <c r="AO230" s="206"/>
      <c r="AP230" s="206"/>
      <c r="AQ230" s="206"/>
      <c r="AR230" s="206"/>
      <c r="AS230" s="206"/>
      <c r="AT230" s="206"/>
      <c r="AU230" s="206"/>
      <c r="AV230" s="206"/>
      <c r="AW230" s="206"/>
      <c r="AX230" s="206"/>
      <c r="AY230" s="206"/>
      <c r="AZ230" s="206"/>
      <c r="BA230" s="206"/>
      <c r="BB230" s="206"/>
      <c r="BC230" s="206"/>
      <c r="BD230" s="76">
        <f t="shared" ref="BD230:BU230" si="401">IFERROR(BD29/-BD30,"NM")</f>
        <v>-4.2344998096926432</v>
      </c>
      <c r="BE230" s="76">
        <f t="shared" si="401"/>
        <v>-2.8592659993933878</v>
      </c>
      <c r="BF230" s="76">
        <f t="shared" si="401"/>
        <v>-2.9077730852642416</v>
      </c>
      <c r="BG230" s="76">
        <f t="shared" si="401"/>
        <v>-1.4794205564497538</v>
      </c>
      <c r="BH230" s="76">
        <f t="shared" si="401"/>
        <v>2.9364836692147316</v>
      </c>
      <c r="BI230" s="76">
        <f t="shared" si="401"/>
        <v>5.5153047280677789</v>
      </c>
      <c r="BJ230" s="76">
        <f t="shared" si="401"/>
        <v>3.8267385785145764</v>
      </c>
      <c r="BK230" s="76">
        <f t="shared" si="401"/>
        <v>6.7088062832180686</v>
      </c>
      <c r="BL230" s="76">
        <f t="shared" si="401"/>
        <v>7.4909210474785075</v>
      </c>
      <c r="BM230" s="76">
        <f t="shared" si="401"/>
        <v>8.6920631669091506</v>
      </c>
      <c r="BN230" s="76">
        <f t="shared" si="401"/>
        <v>9.7505784032416276</v>
      </c>
      <c r="BO230" s="76">
        <f t="shared" si="401"/>
        <v>10.351323197918605</v>
      </c>
      <c r="BP230" s="76">
        <f t="shared" si="401"/>
        <v>10.727339049350361</v>
      </c>
      <c r="BQ230" s="76">
        <f t="shared" si="401"/>
        <v>11.105161596917425</v>
      </c>
      <c r="BR230" s="76">
        <f t="shared" si="401"/>
        <v>11.680940333268683</v>
      </c>
      <c r="BS230" s="76">
        <f t="shared" si="401"/>
        <v>12.458526368650233</v>
      </c>
      <c r="BT230" s="76">
        <f t="shared" si="401"/>
        <v>12.900338660078338</v>
      </c>
      <c r="BU230" s="76">
        <f t="shared" si="401"/>
        <v>13.289178995530959</v>
      </c>
      <c r="BX230" s="221">
        <f t="shared" si="334"/>
        <v>222</v>
      </c>
    </row>
    <row r="231" spans="1:76" outlineLevel="1">
      <c r="A231" s="180"/>
      <c r="B231" s="66" t="s">
        <v>99</v>
      </c>
      <c r="C231" s="207"/>
      <c r="D231" s="207"/>
      <c r="E231" s="207"/>
      <c r="F231" s="207"/>
      <c r="G231" s="207"/>
      <c r="H231" s="207"/>
      <c r="I231" s="207"/>
      <c r="J231" s="75">
        <f>IFERROR(+J254,"NM")</f>
        <v>0</v>
      </c>
      <c r="K231" s="75">
        <f t="shared" ref="K231:O231" si="402">IFERROR(+K254,"NM")</f>
        <v>0</v>
      </c>
      <c r="L231" s="75">
        <f t="shared" si="402"/>
        <v>0.22901791461591026</v>
      </c>
      <c r="M231" s="75">
        <f t="shared" si="402"/>
        <v>0.88736815670517333</v>
      </c>
      <c r="N231" s="75">
        <f t="shared" si="402"/>
        <v>0.98099786919329801</v>
      </c>
      <c r="O231" s="75">
        <f t="shared" si="402"/>
        <v>0.52827067061309452</v>
      </c>
      <c r="P231" s="75">
        <f t="shared" ref="P231" si="403">IFERROR(+P254,"NM")</f>
        <v>0.64911797070706334</v>
      </c>
      <c r="Q231" s="3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  <c r="AC231" s="207"/>
      <c r="AD231" s="207"/>
      <c r="AE231" s="207"/>
      <c r="AF231" s="207"/>
      <c r="AG231" s="207"/>
      <c r="AH231" s="207"/>
      <c r="AI231" s="207"/>
      <c r="AJ231" s="207"/>
      <c r="AK231" s="207"/>
      <c r="AL231" s="207"/>
      <c r="AM231" s="207"/>
      <c r="AN231" s="207"/>
      <c r="AO231" s="207"/>
      <c r="AP231" s="207"/>
      <c r="AQ231" s="207"/>
      <c r="AR231" s="207"/>
      <c r="AS231" s="207"/>
      <c r="AT231" s="207"/>
      <c r="AU231" s="207"/>
      <c r="AV231" s="207"/>
      <c r="AW231" s="207"/>
      <c r="AX231" s="207"/>
      <c r="AY231" s="207"/>
      <c r="AZ231" s="207"/>
      <c r="BA231" s="207"/>
      <c r="BB231" s="207"/>
      <c r="BC231" s="207"/>
      <c r="BD231" s="75">
        <f t="shared" ref="BD231:BU231" si="404">IFERROR(+BD254,"NM")</f>
        <v>0.21688187137754178</v>
      </c>
      <c r="BE231" s="75">
        <f>IFERROR(+BE254,"NM")</f>
        <v>0.25909341416368153</v>
      </c>
      <c r="BF231" s="75">
        <f>IFERROR(+BF254,"NM")</f>
        <v>0.33154446383300956</v>
      </c>
      <c r="BG231" s="75">
        <f>IFERROR(+BG254,"NM")</f>
        <v>0.54567946485842578</v>
      </c>
      <c r="BH231" s="75">
        <f>IFERROR(+BH254,"NM")</f>
        <v>1.2209548956800278</v>
      </c>
      <c r="BI231" s="75">
        <f>IFERROR(+BI254,"NM")</f>
        <v>1.1406612761188055</v>
      </c>
      <c r="BJ231" s="75">
        <f t="shared" si="404"/>
        <v>0.66370559810309393</v>
      </c>
      <c r="BK231" s="75">
        <f t="shared" si="404"/>
        <v>1.6490239240851321</v>
      </c>
      <c r="BL231" s="75">
        <f t="shared" si="404"/>
        <v>1.1599182879857473</v>
      </c>
      <c r="BM231" s="75">
        <f t="shared" si="404"/>
        <v>0.51720589738562139</v>
      </c>
      <c r="BN231" s="75">
        <f t="shared" si="404"/>
        <v>0.50797307572072081</v>
      </c>
      <c r="BO231" s="75">
        <f t="shared" si="404"/>
        <v>0.51685143380236087</v>
      </c>
      <c r="BP231" s="75">
        <f t="shared" si="404"/>
        <v>0.53559998839035905</v>
      </c>
      <c r="BQ231" s="75">
        <f t="shared" si="404"/>
        <v>0.55549071686295926</v>
      </c>
      <c r="BR231" s="75">
        <f t="shared" si="404"/>
        <v>0.59542987963476479</v>
      </c>
      <c r="BS231" s="75">
        <f t="shared" si="404"/>
        <v>0.63414398038827891</v>
      </c>
      <c r="BT231" s="75">
        <f t="shared" si="404"/>
        <v>0.67119917659209927</v>
      </c>
      <c r="BU231" s="75">
        <f t="shared" si="404"/>
        <v>0.70623986434128083</v>
      </c>
      <c r="BX231" s="221">
        <f t="shared" si="334"/>
        <v>223</v>
      </c>
    </row>
    <row r="232" spans="1:76" outlineLevel="1">
      <c r="A232" s="180"/>
      <c r="B232" s="66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3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  <c r="BE232" s="74"/>
      <c r="BF232" s="74"/>
      <c r="BG232" s="74"/>
      <c r="BH232" s="74"/>
      <c r="BI232" s="74"/>
      <c r="BJ232" s="74"/>
      <c r="BK232" s="74"/>
      <c r="BL232" s="74"/>
      <c r="BM232" s="74"/>
      <c r="BN232" s="74"/>
      <c r="BO232" s="74"/>
      <c r="BP232" s="74"/>
      <c r="BQ232" s="74"/>
      <c r="BR232" s="74"/>
      <c r="BS232" s="74"/>
      <c r="BT232" s="74"/>
      <c r="BU232" s="74"/>
      <c r="BX232" s="221">
        <f t="shared" si="334"/>
        <v>224</v>
      </c>
    </row>
    <row r="233" spans="1:76" outlineLevel="1">
      <c r="A233" s="180" t="s">
        <v>0</v>
      </c>
      <c r="B233" s="52" t="s">
        <v>361</v>
      </c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47"/>
      <c r="BK233" s="47"/>
      <c r="BL233" s="47"/>
      <c r="BM233" s="47"/>
      <c r="BN233" s="47"/>
      <c r="BO233" s="47"/>
      <c r="BP233" s="47"/>
      <c r="BQ233" s="47"/>
      <c r="BR233" s="47"/>
      <c r="BS233" s="47"/>
      <c r="BT233" s="47"/>
      <c r="BU233" s="47"/>
      <c r="BX233" s="221">
        <f t="shared" si="334"/>
        <v>225</v>
      </c>
    </row>
    <row r="234" spans="1:76" hidden="1" outlineLevel="2">
      <c r="A234" s="180"/>
      <c r="B234" s="8" t="s">
        <v>98</v>
      </c>
      <c r="C234" s="98"/>
      <c r="D234" s="98"/>
      <c r="E234" s="98"/>
      <c r="F234" s="98"/>
      <c r="G234" s="98"/>
      <c r="H234" s="98"/>
      <c r="I234" s="98"/>
      <c r="J234" s="61">
        <f>J190-J205</f>
        <v>65.512999999999991</v>
      </c>
      <c r="K234" s="61">
        <f t="shared" ref="K234:O234" si="405">K190-K205</f>
        <v>43.252000000000002</v>
      </c>
      <c r="L234" s="61">
        <f t="shared" si="405"/>
        <v>46.177999999999997</v>
      </c>
      <c r="M234" s="61">
        <f t="shared" si="405"/>
        <v>133.94000000000003</v>
      </c>
      <c r="N234" s="61">
        <f t="shared" si="405"/>
        <v>300.17169997026923</v>
      </c>
      <c r="O234" s="61">
        <f t="shared" si="405"/>
        <v>641.51590377498258</v>
      </c>
      <c r="P234" s="61">
        <f t="shared" ref="P234" si="406">P190-P205</f>
        <v>974.93958701438578</v>
      </c>
      <c r="Q234" s="61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  <c r="BA234" s="98"/>
      <c r="BB234" s="98"/>
      <c r="BC234" s="98"/>
      <c r="BD234" s="61">
        <f t="shared" ref="BD234:BU234" si="407">BD190-BD205</f>
        <v>74.63000000000001</v>
      </c>
      <c r="BE234" s="61">
        <f>BE190-BE205</f>
        <v>46.177999999999997</v>
      </c>
      <c r="BF234" s="61">
        <f>BF190-BF205</f>
        <v>109.98000000000002</v>
      </c>
      <c r="BG234" s="61">
        <f>BG190-BG205</f>
        <v>102.33099999999999</v>
      </c>
      <c r="BH234" s="61">
        <f>BH190-BH205</f>
        <v>104.68799999999993</v>
      </c>
      <c r="BI234" s="61">
        <f>BI190-BI205</f>
        <v>133.94000000000003</v>
      </c>
      <c r="BJ234" s="61">
        <f t="shared" si="407"/>
        <v>170.55700387499999</v>
      </c>
      <c r="BK234" s="61">
        <f t="shared" si="407"/>
        <v>176.35703605833334</v>
      </c>
      <c r="BL234" s="61">
        <f t="shared" si="407"/>
        <v>213.36365346738455</v>
      </c>
      <c r="BM234" s="61">
        <f t="shared" si="407"/>
        <v>300.17169997026923</v>
      </c>
      <c r="BN234" s="61">
        <f t="shared" si="407"/>
        <v>384.42064998916806</v>
      </c>
      <c r="BO234" s="61">
        <f t="shared" si="407"/>
        <v>470.3479157223602</v>
      </c>
      <c r="BP234" s="61">
        <f t="shared" si="407"/>
        <v>556.0408773533386</v>
      </c>
      <c r="BQ234" s="61">
        <f t="shared" si="407"/>
        <v>641.51590377498258</v>
      </c>
      <c r="BR234" s="61">
        <f t="shared" si="407"/>
        <v>728.07165420578031</v>
      </c>
      <c r="BS234" s="61">
        <f t="shared" si="407"/>
        <v>810.90540215737622</v>
      </c>
      <c r="BT234" s="61">
        <f t="shared" si="407"/>
        <v>893.1643665449709</v>
      </c>
      <c r="BU234" s="61">
        <f t="shared" si="407"/>
        <v>974.93958701438578</v>
      </c>
      <c r="BX234" s="221">
        <f t="shared" si="334"/>
        <v>226</v>
      </c>
    </row>
    <row r="235" spans="1:76" hidden="1" outlineLevel="2">
      <c r="A235" s="180"/>
      <c r="B235" s="8" t="s">
        <v>97</v>
      </c>
      <c r="C235" s="98"/>
      <c r="D235" s="98"/>
      <c r="E235" s="98"/>
      <c r="F235" s="98"/>
      <c r="G235" s="98"/>
      <c r="H235" s="98"/>
      <c r="I235" s="98"/>
      <c r="J235" s="61">
        <f>SUM(J187:J189)-SUM(J201:J202,J204)</f>
        <v>18.102999999999994</v>
      </c>
      <c r="K235" s="61">
        <f t="shared" ref="K235:O235" si="408">SUM(K187:K189)-SUM(K201:K202,K204)</f>
        <v>-5.5100000000000016</v>
      </c>
      <c r="L235" s="61">
        <f t="shared" si="408"/>
        <v>2.4029999999999916</v>
      </c>
      <c r="M235" s="61">
        <f t="shared" si="408"/>
        <v>42.255999999999972</v>
      </c>
      <c r="N235" s="61">
        <f t="shared" si="408"/>
        <v>66.22410962755589</v>
      </c>
      <c r="O235" s="61">
        <f t="shared" si="408"/>
        <v>78.218760534036221</v>
      </c>
      <c r="P235" s="61">
        <f t="shared" ref="P235" si="409">SUM(P187:P189)-SUM(P201:P202,P204)</f>
        <v>85.913599744225849</v>
      </c>
      <c r="Q235" s="3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  <c r="BA235" s="98"/>
      <c r="BB235" s="98"/>
      <c r="BC235" s="98"/>
      <c r="BD235" s="61">
        <f t="shared" ref="BD235:BI235" si="410">SUM(BD187:BD189)-SUM(BD201:BD202,BD204)</f>
        <v>15.744000000000014</v>
      </c>
      <c r="BE235" s="61">
        <f t="shared" si="410"/>
        <v>2.4029999999999916</v>
      </c>
      <c r="BF235" s="61">
        <f t="shared" si="410"/>
        <v>27.150000000000006</v>
      </c>
      <c r="BG235" s="61">
        <f t="shared" si="410"/>
        <v>29.763000000000005</v>
      </c>
      <c r="BH235" s="61">
        <f t="shared" si="410"/>
        <v>36.930000000000007</v>
      </c>
      <c r="BI235" s="61">
        <f t="shared" si="410"/>
        <v>42.255999999999972</v>
      </c>
      <c r="BJ235" s="61">
        <f t="shared" ref="BJ235:BU235" si="411">SUM(BJ187:BJ189)-SUM(BJ201:BJ202,BJ204)</f>
        <v>43.839760470211331</v>
      </c>
      <c r="BK235" s="61">
        <f t="shared" si="411"/>
        <v>53.526470476895156</v>
      </c>
      <c r="BL235" s="61">
        <f t="shared" si="411"/>
        <v>58.639889050491377</v>
      </c>
      <c r="BM235" s="61">
        <f t="shared" si="411"/>
        <v>66.22410962755589</v>
      </c>
      <c r="BN235" s="61">
        <f t="shared" si="411"/>
        <v>76.332315284616129</v>
      </c>
      <c r="BO235" s="61">
        <f t="shared" si="411"/>
        <v>76.649714793788405</v>
      </c>
      <c r="BP235" s="61">
        <f t="shared" si="411"/>
        <v>76.159837680705209</v>
      </c>
      <c r="BQ235" s="61">
        <f t="shared" si="411"/>
        <v>78.218760534036221</v>
      </c>
      <c r="BR235" s="61">
        <f t="shared" si="411"/>
        <v>82.686933276547563</v>
      </c>
      <c r="BS235" s="61">
        <f t="shared" si="411"/>
        <v>84.610643079094928</v>
      </c>
      <c r="BT235" s="61">
        <f t="shared" si="411"/>
        <v>83.989889941678427</v>
      </c>
      <c r="BU235" s="61">
        <f t="shared" si="411"/>
        <v>85.913599744225849</v>
      </c>
      <c r="BX235" s="221">
        <f t="shared" si="334"/>
        <v>227</v>
      </c>
    </row>
    <row r="236" spans="1:76" hidden="1" outlineLevel="2">
      <c r="A236" s="180"/>
      <c r="B236" s="8" t="s">
        <v>96</v>
      </c>
      <c r="C236" s="208"/>
      <c r="D236" s="208"/>
      <c r="E236" s="208"/>
      <c r="F236" s="208"/>
      <c r="G236" s="208"/>
      <c r="H236" s="208"/>
      <c r="I236" s="208"/>
      <c r="J236" s="73">
        <f>J190/J205</f>
        <v>2.11989948546129</v>
      </c>
      <c r="K236" s="73">
        <f t="shared" ref="K236:O236" si="412">K190/K205</f>
        <v>2.3371668830767329</v>
      </c>
      <c r="L236" s="73">
        <f t="shared" si="412"/>
        <v>1.4632066765638165</v>
      </c>
      <c r="M236" s="73">
        <f t="shared" si="412"/>
        <v>1.5531190895050258</v>
      </c>
      <c r="N236" s="73">
        <f t="shared" si="412"/>
        <v>2.0802377994606345</v>
      </c>
      <c r="O236" s="73">
        <f t="shared" si="412"/>
        <v>3.3029356254280531</v>
      </c>
      <c r="P236" s="73">
        <f t="shared" ref="P236" si="413">P190/P205</f>
        <v>4.634178800558213</v>
      </c>
      <c r="Q236" s="3"/>
      <c r="R236" s="208"/>
      <c r="S236" s="208"/>
      <c r="T236" s="208"/>
      <c r="U236" s="208"/>
      <c r="V236" s="208"/>
      <c r="W236" s="208"/>
      <c r="X236" s="208"/>
      <c r="Y236" s="208"/>
      <c r="Z236" s="208"/>
      <c r="AA236" s="208"/>
      <c r="AB236" s="208"/>
      <c r="AC236" s="208"/>
      <c r="AD236" s="208"/>
      <c r="AE236" s="208"/>
      <c r="AF236" s="208"/>
      <c r="AG236" s="208"/>
      <c r="AH236" s="208"/>
      <c r="AI236" s="208"/>
      <c r="AJ236" s="208"/>
      <c r="AK236" s="208"/>
      <c r="AL236" s="208"/>
      <c r="AM236" s="208"/>
      <c r="AN236" s="208"/>
      <c r="AO236" s="208"/>
      <c r="AP236" s="208"/>
      <c r="AQ236" s="208"/>
      <c r="AR236" s="208"/>
      <c r="AS236" s="208"/>
      <c r="AT236" s="208"/>
      <c r="AU236" s="208"/>
      <c r="AV236" s="208"/>
      <c r="AW236" s="208"/>
      <c r="AX236" s="208"/>
      <c r="AY236" s="208"/>
      <c r="AZ236" s="208"/>
      <c r="BA236" s="208"/>
      <c r="BB236" s="208"/>
      <c r="BC236" s="208"/>
      <c r="BD236" s="73">
        <f t="shared" ref="BD236:BU236" si="414">BD190/BD205</f>
        <v>2.0876471959892737</v>
      </c>
      <c r="BE236" s="73">
        <f>BE190/BE205</f>
        <v>1.4632066765638165</v>
      </c>
      <c r="BF236" s="73">
        <f>BF190/BF205</f>
        <v>1.8265941135796533</v>
      </c>
      <c r="BG236" s="73">
        <f>BG190/BG205</f>
        <v>1.6509688418427715</v>
      </c>
      <c r="BH236" s="73">
        <f>BH190/BH205</f>
        <v>1.4119126031375047</v>
      </c>
      <c r="BI236" s="73">
        <f>BI190/BI205</f>
        <v>1.5531190895050258</v>
      </c>
      <c r="BJ236" s="73">
        <f t="shared" si="414"/>
        <v>1.6887639628109656</v>
      </c>
      <c r="BK236" s="73">
        <f t="shared" si="414"/>
        <v>1.6733560385289423</v>
      </c>
      <c r="BL236" s="73">
        <f t="shared" si="414"/>
        <v>1.7841377332989967</v>
      </c>
      <c r="BM236" s="73">
        <f t="shared" si="414"/>
        <v>2.0802377994606345</v>
      </c>
      <c r="BN236" s="73">
        <f t="shared" si="414"/>
        <v>2.3316900834847067</v>
      </c>
      <c r="BO236" s="73">
        <f t="shared" si="414"/>
        <v>2.6551593007632297</v>
      </c>
      <c r="BP236" s="73">
        <f t="shared" si="414"/>
        <v>2.9806617372636617</v>
      </c>
      <c r="BQ236" s="73">
        <f t="shared" si="414"/>
        <v>3.3029356254280531</v>
      </c>
      <c r="BR236" s="73">
        <f t="shared" si="414"/>
        <v>3.6446987035067613</v>
      </c>
      <c r="BS236" s="73">
        <f t="shared" si="414"/>
        <v>3.9663179300196889</v>
      </c>
      <c r="BT236" s="73">
        <f t="shared" si="414"/>
        <v>4.305649809547492</v>
      </c>
      <c r="BU236" s="73">
        <f t="shared" si="414"/>
        <v>4.634178800558213</v>
      </c>
      <c r="BX236" s="221">
        <f t="shared" si="334"/>
        <v>228</v>
      </c>
    </row>
    <row r="237" spans="1:76" hidden="1" outlineLevel="2">
      <c r="A237" s="180"/>
      <c r="B237" s="8" t="s">
        <v>95</v>
      </c>
      <c r="C237" s="208"/>
      <c r="D237" s="208"/>
      <c r="E237" s="208"/>
      <c r="F237" s="208"/>
      <c r="G237" s="208"/>
      <c r="H237" s="208"/>
      <c r="I237" s="208"/>
      <c r="J237" s="73">
        <f t="shared" ref="J237:P237" si="415">(J13)/AVERAGE(I187:J187)</f>
        <v>7.4266684177939561</v>
      </c>
      <c r="K237" s="73">
        <f t="shared" si="415"/>
        <v>10.622626560002322</v>
      </c>
      <c r="L237" s="73">
        <f t="shared" si="415"/>
        <v>10.268222360682156</v>
      </c>
      <c r="M237" s="73">
        <f t="shared" si="415"/>
        <v>10.135434364679012</v>
      </c>
      <c r="N237" s="73">
        <f t="shared" si="415"/>
        <v>8.5143921174702086</v>
      </c>
      <c r="O237" s="73">
        <f t="shared" si="415"/>
        <v>8.6019910487775419</v>
      </c>
      <c r="P237" s="73">
        <f t="shared" si="415"/>
        <v>8.427765967279786</v>
      </c>
      <c r="Q237" s="3"/>
      <c r="R237" s="208"/>
      <c r="S237" s="208"/>
      <c r="T237" s="208"/>
      <c r="U237" s="208"/>
      <c r="V237" s="208"/>
      <c r="W237" s="208"/>
      <c r="X237" s="208"/>
      <c r="Y237" s="208"/>
      <c r="Z237" s="208"/>
      <c r="AA237" s="208"/>
      <c r="AB237" s="208"/>
      <c r="AC237" s="208"/>
      <c r="AD237" s="208"/>
      <c r="AE237" s="208"/>
      <c r="AF237" s="208"/>
      <c r="AG237" s="208"/>
      <c r="AH237" s="208"/>
      <c r="AI237" s="208"/>
      <c r="AJ237" s="208"/>
      <c r="AK237" s="208"/>
      <c r="AL237" s="208"/>
      <c r="AM237" s="208"/>
      <c r="AN237" s="208"/>
      <c r="AO237" s="208"/>
      <c r="AP237" s="208"/>
      <c r="AQ237" s="208"/>
      <c r="AR237" s="208"/>
      <c r="AS237" s="208"/>
      <c r="AT237" s="208"/>
      <c r="AU237" s="208"/>
      <c r="AV237" s="208"/>
      <c r="AW237" s="208"/>
      <c r="AX237" s="208"/>
      <c r="AY237" s="208"/>
      <c r="AZ237" s="208"/>
      <c r="BA237" s="208"/>
      <c r="BB237" s="208"/>
      <c r="BC237" s="208"/>
      <c r="BD237" s="73">
        <f t="shared" ref="BD237:BU237" si="416">(4*BD13)/AVERAGE(BC187:BD187)</f>
        <v>8.4217301794312309</v>
      </c>
      <c r="BE237" s="73">
        <f t="shared" si="416"/>
        <v>9.9257701470467428</v>
      </c>
      <c r="BF237" s="73">
        <f t="shared" si="416"/>
        <v>9.969612055545177</v>
      </c>
      <c r="BG237" s="73">
        <f t="shared" si="416"/>
        <v>9.6061358265083161</v>
      </c>
      <c r="BH237" s="73">
        <f t="shared" si="416"/>
        <v>10.552687215173432</v>
      </c>
      <c r="BI237" s="73">
        <f t="shared" si="416"/>
        <v>8.7752852243298118</v>
      </c>
      <c r="BJ237" s="73">
        <f t="shared" si="416"/>
        <v>8.3253487744526797</v>
      </c>
      <c r="BK237" s="73">
        <f t="shared" si="416"/>
        <v>8.6945976739673014</v>
      </c>
      <c r="BL237" s="73">
        <f t="shared" si="416"/>
        <v>8.6413368485850484</v>
      </c>
      <c r="BM237" s="73">
        <f t="shared" si="416"/>
        <v>8.6087740365851317</v>
      </c>
      <c r="BN237" s="73">
        <f t="shared" si="416"/>
        <v>8.5063053912644584</v>
      </c>
      <c r="BO237" s="73">
        <f t="shared" si="416"/>
        <v>8.2966870353666753</v>
      </c>
      <c r="BP237" s="73">
        <f t="shared" si="416"/>
        <v>8.3886897918480834</v>
      </c>
      <c r="BQ237" s="73">
        <f t="shared" si="416"/>
        <v>8.4350797899184329</v>
      </c>
      <c r="BR237" s="73">
        <f t="shared" si="416"/>
        <v>8.381712601338366</v>
      </c>
      <c r="BS237" s="73">
        <f t="shared" si="416"/>
        <v>8.336159815461528</v>
      </c>
      <c r="BT237" s="73">
        <f t="shared" si="416"/>
        <v>8.381712601338366</v>
      </c>
      <c r="BU237" s="73">
        <f t="shared" si="416"/>
        <v>8.427765967279786</v>
      </c>
      <c r="BX237" s="221">
        <f t="shared" si="334"/>
        <v>229</v>
      </c>
    </row>
    <row r="238" spans="1:76" hidden="1" outlineLevel="2">
      <c r="A238" s="180"/>
      <c r="B238" s="8" t="s">
        <v>94</v>
      </c>
      <c r="C238" s="209"/>
      <c r="D238" s="209"/>
      <c r="E238" s="209"/>
      <c r="F238" s="209"/>
      <c r="G238" s="209"/>
      <c r="H238" s="209"/>
      <c r="I238" s="209"/>
      <c r="J238" s="72">
        <f t="shared" ref="J238:P238" si="417">J187/(J13/J6)</f>
        <v>49.147205646811535</v>
      </c>
      <c r="K238" s="72">
        <f t="shared" si="417"/>
        <v>15.590595912706423</v>
      </c>
      <c r="L238" s="72">
        <f t="shared" si="417"/>
        <v>57.677259803599462</v>
      </c>
      <c r="M238" s="72">
        <f t="shared" si="417"/>
        <v>56.337228718854583</v>
      </c>
      <c r="N238" s="72">
        <f t="shared" si="417"/>
        <v>47.126459362729939</v>
      </c>
      <c r="O238" s="72">
        <f t="shared" si="417"/>
        <v>43.418621993515842</v>
      </c>
      <c r="P238" s="72">
        <f t="shared" si="417"/>
        <v>43.427878920815964</v>
      </c>
      <c r="Q238" s="3"/>
      <c r="R238" s="209"/>
      <c r="S238" s="209"/>
      <c r="T238" s="209"/>
      <c r="U238" s="209"/>
      <c r="V238" s="209"/>
      <c r="W238" s="209"/>
      <c r="X238" s="209"/>
      <c r="Y238" s="209"/>
      <c r="Z238" s="209"/>
      <c r="AA238" s="209"/>
      <c r="AB238" s="209"/>
      <c r="AC238" s="209"/>
      <c r="AD238" s="209"/>
      <c r="AE238" s="209"/>
      <c r="AF238" s="209"/>
      <c r="AG238" s="209"/>
      <c r="AH238" s="209"/>
      <c r="AI238" s="209"/>
      <c r="AJ238" s="209"/>
      <c r="AK238" s="209"/>
      <c r="AL238" s="209"/>
      <c r="AM238" s="209"/>
      <c r="AN238" s="209"/>
      <c r="AO238" s="209"/>
      <c r="AP238" s="209"/>
      <c r="AQ238" s="209"/>
      <c r="AR238" s="209"/>
      <c r="AS238" s="209"/>
      <c r="AT238" s="209"/>
      <c r="AU238" s="209"/>
      <c r="AV238" s="209"/>
      <c r="AW238" s="209"/>
      <c r="AX238" s="209"/>
      <c r="AY238" s="209"/>
      <c r="AZ238" s="209"/>
      <c r="BA238" s="209"/>
      <c r="BB238" s="209"/>
      <c r="BC238" s="209"/>
      <c r="BD238" s="72">
        <f t="shared" ref="BD238:BI238" si="418">BD187/(BD13/BD6)</f>
        <v>43.696484232988482</v>
      </c>
      <c r="BE238" s="72">
        <f t="shared" si="418"/>
        <v>40.37186575119344</v>
      </c>
      <c r="BF238" s="72">
        <f t="shared" si="418"/>
        <v>47.381419345167458</v>
      </c>
      <c r="BG238" s="72">
        <f t="shared" si="418"/>
        <v>40.180007798573968</v>
      </c>
      <c r="BH238" s="72">
        <f t="shared" si="418"/>
        <v>42.244264637483191</v>
      </c>
      <c r="BI238" s="72">
        <f t="shared" si="418"/>
        <v>43.665189734590918</v>
      </c>
      <c r="BJ238" s="240">
        <f t="shared" ref="BJ238:BU238" si="419">BI238</f>
        <v>43.665189734590918</v>
      </c>
      <c r="BK238" s="240">
        <f t="shared" si="419"/>
        <v>43.665189734590918</v>
      </c>
      <c r="BL238" s="240">
        <f t="shared" si="419"/>
        <v>43.665189734590918</v>
      </c>
      <c r="BM238" s="240">
        <f t="shared" si="419"/>
        <v>43.665189734590918</v>
      </c>
      <c r="BN238" s="240">
        <f t="shared" si="419"/>
        <v>43.665189734590918</v>
      </c>
      <c r="BO238" s="240">
        <f t="shared" si="419"/>
        <v>43.665189734590918</v>
      </c>
      <c r="BP238" s="240">
        <f t="shared" si="419"/>
        <v>43.665189734590918</v>
      </c>
      <c r="BQ238" s="240">
        <f t="shared" si="419"/>
        <v>43.665189734590918</v>
      </c>
      <c r="BR238" s="240">
        <f t="shared" si="419"/>
        <v>43.665189734590918</v>
      </c>
      <c r="BS238" s="240">
        <f t="shared" si="419"/>
        <v>43.665189734590918</v>
      </c>
      <c r="BT238" s="240">
        <f t="shared" si="419"/>
        <v>43.665189734590918</v>
      </c>
      <c r="BU238" s="240">
        <f t="shared" si="419"/>
        <v>43.665189734590918</v>
      </c>
      <c r="BX238" s="221">
        <f t="shared" si="334"/>
        <v>230</v>
      </c>
    </row>
    <row r="239" spans="1:76" hidden="1" outlineLevel="2">
      <c r="A239" s="180"/>
      <c r="B239" s="8" t="s">
        <v>93</v>
      </c>
      <c r="C239" s="208"/>
      <c r="D239" s="208"/>
      <c r="E239" s="208"/>
      <c r="F239" s="208"/>
      <c r="G239" s="208"/>
      <c r="H239" s="208"/>
      <c r="I239" s="208"/>
      <c r="J239" s="73">
        <f t="shared" ref="J239:P239" si="420">(-J19)/AVERAGE(I188:J188)</f>
        <v>19.560530166022698</v>
      </c>
      <c r="K239" s="73">
        <f t="shared" si="420"/>
        <v>28.816134724943485</v>
      </c>
      <c r="L239" s="73">
        <f t="shared" si="420"/>
        <v>39.179468681771958</v>
      </c>
      <c r="M239" s="73">
        <f t="shared" si="420"/>
        <v>51.875040544923785</v>
      </c>
      <c r="N239" s="73">
        <f t="shared" si="420"/>
        <v>47.363353237169534</v>
      </c>
      <c r="O239" s="73">
        <f t="shared" si="420"/>
        <v>47.457541186839862</v>
      </c>
      <c r="P239" s="73">
        <f t="shared" si="420"/>
        <v>46.557047582019926</v>
      </c>
      <c r="Q239" s="3"/>
      <c r="R239" s="208"/>
      <c r="S239" s="208"/>
      <c r="T239" s="208"/>
      <c r="U239" s="208"/>
      <c r="V239" s="208"/>
      <c r="W239" s="208"/>
      <c r="X239" s="208"/>
      <c r="Y239" s="208"/>
      <c r="Z239" s="208"/>
      <c r="AA239" s="208"/>
      <c r="AB239" s="208"/>
      <c r="AC239" s="208"/>
      <c r="AD239" s="208"/>
      <c r="AE239" s="208"/>
      <c r="AF239" s="208"/>
      <c r="AG239" s="208"/>
      <c r="AH239" s="208"/>
      <c r="AI239" s="208"/>
      <c r="AJ239" s="208"/>
      <c r="AK239" s="208"/>
      <c r="AL239" s="208"/>
      <c r="AM239" s="208"/>
      <c r="AN239" s="208"/>
      <c r="AO239" s="208"/>
      <c r="AP239" s="208"/>
      <c r="AQ239" s="208"/>
      <c r="AR239" s="208"/>
      <c r="AS239" s="208"/>
      <c r="AT239" s="208"/>
      <c r="AU239" s="208"/>
      <c r="AV239" s="208"/>
      <c r="AW239" s="208"/>
      <c r="AX239" s="208"/>
      <c r="AY239" s="208"/>
      <c r="AZ239" s="208"/>
      <c r="BA239" s="208"/>
      <c r="BB239" s="208"/>
      <c r="BC239" s="208"/>
      <c r="BD239" s="73">
        <f t="shared" ref="BD239:BU239" si="421">(4*-BD19)/AVERAGE(BC188:BD188)</f>
        <v>35.305204401501996</v>
      </c>
      <c r="BE239" s="73">
        <f t="shared" si="421"/>
        <v>38.490159072526289</v>
      </c>
      <c r="BF239" s="73">
        <f t="shared" si="421"/>
        <v>48.158088235294123</v>
      </c>
      <c r="BG239" s="73">
        <f t="shared" si="421"/>
        <v>43.158637262121623</v>
      </c>
      <c r="BH239" s="73">
        <f t="shared" si="421"/>
        <v>44.554763744598034</v>
      </c>
      <c r="BI239" s="73">
        <f t="shared" si="421"/>
        <v>42.7566810404021</v>
      </c>
      <c r="BJ239" s="73">
        <f t="shared" si="421"/>
        <v>46.438433641582535</v>
      </c>
      <c r="BK239" s="73">
        <f t="shared" si="421"/>
        <v>47.435012092173494</v>
      </c>
      <c r="BL239" s="73">
        <f t="shared" si="421"/>
        <v>47.51358820286498</v>
      </c>
      <c r="BM239" s="73">
        <f t="shared" si="421"/>
        <v>47.238629628142931</v>
      </c>
      <c r="BN239" s="73">
        <f t="shared" si="421"/>
        <v>46.971988911933401</v>
      </c>
      <c r="BO239" s="73">
        <f t="shared" si="421"/>
        <v>45.746492121723563</v>
      </c>
      <c r="BP239" s="73">
        <f t="shared" si="421"/>
        <v>46.341181198691253</v>
      </c>
      <c r="BQ239" s="73">
        <f t="shared" si="421"/>
        <v>46.597450933265804</v>
      </c>
      <c r="BR239" s="73">
        <f t="shared" si="421"/>
        <v>46.302637485943315</v>
      </c>
      <c r="BS239" s="73">
        <f t="shared" si="421"/>
        <v>46.050992716997975</v>
      </c>
      <c r="BT239" s="73">
        <f t="shared" si="421"/>
        <v>46.302637485943315</v>
      </c>
      <c r="BU239" s="73">
        <f t="shared" si="421"/>
        <v>46.557047582019926</v>
      </c>
      <c r="BX239" s="221">
        <f t="shared" si="334"/>
        <v>231</v>
      </c>
    </row>
    <row r="240" spans="1:76" hidden="1" outlineLevel="2">
      <c r="A240" s="180"/>
      <c r="B240" s="8" t="s">
        <v>92</v>
      </c>
      <c r="C240" s="209"/>
      <c r="D240" s="209"/>
      <c r="E240" s="209"/>
      <c r="F240" s="209"/>
      <c r="G240" s="209"/>
      <c r="H240" s="209"/>
      <c r="I240" s="209"/>
      <c r="J240" s="72">
        <f t="shared" ref="J240:P240" si="422">J188/(-J19/J6)</f>
        <v>18.660025924758283</v>
      </c>
      <c r="K240" s="72">
        <f t="shared" si="422"/>
        <v>5.5696393723498936</v>
      </c>
      <c r="L240" s="72">
        <f t="shared" si="422"/>
        <v>14.441150032753477</v>
      </c>
      <c r="M240" s="72">
        <f t="shared" si="422"/>
        <v>9.5388980855776619</v>
      </c>
      <c r="N240" s="72">
        <f t="shared" si="422"/>
        <v>8.3588756785401515</v>
      </c>
      <c r="O240" s="72">
        <f t="shared" si="422"/>
        <v>7.8522816692520143</v>
      </c>
      <c r="P240" s="72">
        <f t="shared" si="422"/>
        <v>7.8613232369431261</v>
      </c>
      <c r="Q240" s="3"/>
      <c r="R240" s="209"/>
      <c r="S240" s="209"/>
      <c r="T240" s="209"/>
      <c r="U240" s="209"/>
      <c r="V240" s="209"/>
      <c r="W240" s="209"/>
      <c r="X240" s="209"/>
      <c r="Y240" s="209"/>
      <c r="Z240" s="209"/>
      <c r="AA240" s="209"/>
      <c r="AB240" s="209"/>
      <c r="AC240" s="209"/>
      <c r="AD240" s="209"/>
      <c r="AE240" s="209"/>
      <c r="AF240" s="209"/>
      <c r="AG240" s="209"/>
      <c r="AH240" s="209"/>
      <c r="AI240" s="209"/>
      <c r="AJ240" s="209"/>
      <c r="AK240" s="209"/>
      <c r="AL240" s="209"/>
      <c r="AM240" s="209"/>
      <c r="AN240" s="209"/>
      <c r="AO240" s="209"/>
      <c r="AP240" s="209"/>
      <c r="AQ240" s="209"/>
      <c r="AR240" s="209"/>
      <c r="AS240" s="209"/>
      <c r="AT240" s="209"/>
      <c r="AU240" s="209"/>
      <c r="AV240" s="209"/>
      <c r="AW240" s="209"/>
      <c r="AX240" s="209"/>
      <c r="AY240" s="209"/>
      <c r="AZ240" s="209"/>
      <c r="BA240" s="209"/>
      <c r="BB240" s="209"/>
      <c r="BC240" s="209"/>
      <c r="BD240" s="72">
        <f t="shared" ref="BD240:BI240" si="423">BD188/(-BD19/BD6)</f>
        <v>10.423392421553126</v>
      </c>
      <c r="BE240" s="72">
        <f t="shared" si="423"/>
        <v>10.240767722050993</v>
      </c>
      <c r="BF240" s="72">
        <f t="shared" si="423"/>
        <v>8.5282217322382028</v>
      </c>
      <c r="BG240" s="72">
        <f t="shared" si="423"/>
        <v>9.9703682682912795</v>
      </c>
      <c r="BH240" s="72">
        <f t="shared" si="423"/>
        <v>9.309044005991824</v>
      </c>
      <c r="BI240" s="72">
        <f t="shared" si="423"/>
        <v>7.9042812874182244</v>
      </c>
      <c r="BJ240" s="240">
        <f t="shared" ref="BJ240:BU240" si="424">BI240</f>
        <v>7.9042812874182244</v>
      </c>
      <c r="BK240" s="240">
        <f t="shared" si="424"/>
        <v>7.9042812874182244</v>
      </c>
      <c r="BL240" s="240">
        <f t="shared" si="424"/>
        <v>7.9042812874182244</v>
      </c>
      <c r="BM240" s="240">
        <f t="shared" si="424"/>
        <v>7.9042812874182244</v>
      </c>
      <c r="BN240" s="240">
        <f t="shared" si="424"/>
        <v>7.9042812874182244</v>
      </c>
      <c r="BO240" s="240">
        <f t="shared" si="424"/>
        <v>7.9042812874182244</v>
      </c>
      <c r="BP240" s="240">
        <f t="shared" si="424"/>
        <v>7.9042812874182244</v>
      </c>
      <c r="BQ240" s="240">
        <f t="shared" si="424"/>
        <v>7.9042812874182244</v>
      </c>
      <c r="BR240" s="240">
        <f t="shared" si="424"/>
        <v>7.9042812874182244</v>
      </c>
      <c r="BS240" s="240">
        <f t="shared" si="424"/>
        <v>7.9042812874182244</v>
      </c>
      <c r="BT240" s="240">
        <f t="shared" si="424"/>
        <v>7.9042812874182244</v>
      </c>
      <c r="BU240" s="240">
        <f t="shared" si="424"/>
        <v>7.9042812874182244</v>
      </c>
      <c r="BX240" s="221">
        <f t="shared" si="334"/>
        <v>232</v>
      </c>
    </row>
    <row r="241" spans="1:76" hidden="1" outlineLevel="2">
      <c r="A241" s="180"/>
      <c r="B241" s="8" t="s">
        <v>91</v>
      </c>
      <c r="C241" s="208"/>
      <c r="D241" s="208"/>
      <c r="E241" s="208"/>
      <c r="F241" s="208"/>
      <c r="G241" s="208"/>
      <c r="H241" s="208"/>
      <c r="I241" s="208"/>
      <c r="J241" s="73">
        <f t="shared" ref="J241:P241" si="425">(-J19)/AVERAGE(I201:J201)</f>
        <v>14.567063288822947</v>
      </c>
      <c r="K241" s="73">
        <f t="shared" si="425"/>
        <v>17.579133791518217</v>
      </c>
      <c r="L241" s="73">
        <f t="shared" si="425"/>
        <v>13.194815329891389</v>
      </c>
      <c r="M241" s="73">
        <f t="shared" si="425"/>
        <v>18.169819359236541</v>
      </c>
      <c r="N241" s="73">
        <f t="shared" si="425"/>
        <v>17.149136334205807</v>
      </c>
      <c r="O241" s="73">
        <f t="shared" si="425"/>
        <v>17.183239535933257</v>
      </c>
      <c r="P241" s="73">
        <f t="shared" si="425"/>
        <v>16.857192359336423</v>
      </c>
      <c r="Q241" s="3"/>
      <c r="R241" s="208"/>
      <c r="S241" s="208"/>
      <c r="T241" s="208"/>
      <c r="U241" s="208"/>
      <c r="V241" s="208"/>
      <c r="W241" s="208"/>
      <c r="X241" s="208"/>
      <c r="Y241" s="208"/>
      <c r="Z241" s="208"/>
      <c r="AA241" s="208"/>
      <c r="AB241" s="208"/>
      <c r="AC241" s="208"/>
      <c r="AD241" s="208"/>
      <c r="AE241" s="208"/>
      <c r="AF241" s="208"/>
      <c r="AG241" s="208"/>
      <c r="AH241" s="208"/>
      <c r="AI241" s="208"/>
      <c r="AJ241" s="208"/>
      <c r="AK241" s="208"/>
      <c r="AL241" s="208"/>
      <c r="AM241" s="208"/>
      <c r="AN241" s="208"/>
      <c r="AO241" s="208"/>
      <c r="AP241" s="208"/>
      <c r="AQ241" s="208"/>
      <c r="AR241" s="208"/>
      <c r="AS241" s="208"/>
      <c r="AT241" s="208"/>
      <c r="AU241" s="208"/>
      <c r="AV241" s="208"/>
      <c r="AW241" s="208"/>
      <c r="AX241" s="208"/>
      <c r="AY241" s="208"/>
      <c r="AZ241" s="208"/>
      <c r="BA241" s="208"/>
      <c r="BB241" s="208"/>
      <c r="BC241" s="208"/>
      <c r="BD241" s="73">
        <f t="shared" ref="BD241:BU241" si="426">(4*-BD19)/AVERAGE(BC201:BD201)</f>
        <v>17.511554198715054</v>
      </c>
      <c r="BE241" s="73">
        <f t="shared" si="426"/>
        <v>14.974563381759062</v>
      </c>
      <c r="BF241" s="73">
        <f t="shared" si="426"/>
        <v>15.155075755642326</v>
      </c>
      <c r="BG241" s="73">
        <f t="shared" si="426"/>
        <v>14.614675888861182</v>
      </c>
      <c r="BH241" s="73">
        <f t="shared" si="426"/>
        <v>16.080859415349654</v>
      </c>
      <c r="BI241" s="73">
        <f t="shared" si="426"/>
        <v>15.363938276905161</v>
      </c>
      <c r="BJ241" s="73">
        <f t="shared" si="426"/>
        <v>16.814245091107498</v>
      </c>
      <c r="BK241" s="73">
        <f t="shared" si="426"/>
        <v>17.175082290098381</v>
      </c>
      <c r="BL241" s="73">
        <f t="shared" si="426"/>
        <v>17.203532818677139</v>
      </c>
      <c r="BM241" s="73">
        <f t="shared" si="426"/>
        <v>17.103976901245453</v>
      </c>
      <c r="BN241" s="73">
        <f t="shared" si="426"/>
        <v>17.00743268125262</v>
      </c>
      <c r="BO241" s="73">
        <f t="shared" si="426"/>
        <v>16.563709631763231</v>
      </c>
      <c r="BP241" s="73">
        <f t="shared" si="426"/>
        <v>16.779032309748334</v>
      </c>
      <c r="BQ241" s="73">
        <f t="shared" si="426"/>
        <v>16.871821445571193</v>
      </c>
      <c r="BR241" s="73">
        <f t="shared" si="426"/>
        <v>16.765076554094151</v>
      </c>
      <c r="BS241" s="73">
        <f t="shared" si="426"/>
        <v>16.673962007604509</v>
      </c>
      <c r="BT241" s="73">
        <f t="shared" si="426"/>
        <v>16.765076554094151</v>
      </c>
      <c r="BU241" s="73">
        <f t="shared" si="426"/>
        <v>16.857192359336423</v>
      </c>
      <c r="BX241" s="221">
        <f t="shared" si="334"/>
        <v>233</v>
      </c>
    </row>
    <row r="242" spans="1:76" hidden="1" outlineLevel="2">
      <c r="A242" s="180"/>
      <c r="B242" s="8" t="s">
        <v>90</v>
      </c>
      <c r="C242" s="209"/>
      <c r="D242" s="209"/>
      <c r="E242" s="209"/>
      <c r="F242" s="209"/>
      <c r="G242" s="209"/>
      <c r="H242" s="209"/>
      <c r="I242" s="209"/>
      <c r="J242" s="72">
        <f t="shared" ref="J242:P242" si="427">J201/(-J19/J6)</f>
        <v>25.056525997251494</v>
      </c>
      <c r="K242" s="72">
        <f t="shared" si="427"/>
        <v>14.988391130132682</v>
      </c>
      <c r="L242" s="72">
        <f t="shared" si="427"/>
        <v>44.060456748349353</v>
      </c>
      <c r="M242" s="72">
        <f t="shared" si="427"/>
        <v>26.345011825430692</v>
      </c>
      <c r="N242" s="72">
        <f t="shared" si="427"/>
        <v>23.08596618003487</v>
      </c>
      <c r="O242" s="72">
        <f t="shared" si="427"/>
        <v>21.686829188984809</v>
      </c>
      <c r="P242" s="72">
        <f t="shared" si="427"/>
        <v>21.711800648539757</v>
      </c>
      <c r="Q242" s="3"/>
      <c r="R242" s="209"/>
      <c r="S242" s="209"/>
      <c r="T242" s="209"/>
      <c r="U242" s="209"/>
      <c r="V242" s="209"/>
      <c r="W242" s="209"/>
      <c r="X242" s="209"/>
      <c r="Y242" s="209"/>
      <c r="Z242" s="209"/>
      <c r="AA242" s="209"/>
      <c r="AB242" s="209"/>
      <c r="AC242" s="209"/>
      <c r="AD242" s="209"/>
      <c r="AE242" s="209"/>
      <c r="AF242" s="209"/>
      <c r="AG242" s="209"/>
      <c r="AH242" s="209"/>
      <c r="AI242" s="209"/>
      <c r="AJ242" s="209"/>
      <c r="AK242" s="209"/>
      <c r="AL242" s="209"/>
      <c r="AM242" s="209"/>
      <c r="AN242" s="209"/>
      <c r="AO242" s="209"/>
      <c r="AP242" s="209"/>
      <c r="AQ242" s="209"/>
      <c r="AR242" s="209"/>
      <c r="AS242" s="209"/>
      <c r="AT242" s="209"/>
      <c r="AU242" s="209"/>
      <c r="AV242" s="209"/>
      <c r="AW242" s="209"/>
      <c r="AX242" s="209"/>
      <c r="AY242" s="209"/>
      <c r="AZ242" s="209"/>
      <c r="BA242" s="209"/>
      <c r="BB242" s="209"/>
      <c r="BC242" s="209"/>
      <c r="BD242" s="72">
        <f t="shared" ref="BD242:BI242" si="428">BD201/(-BD19/BD6)</f>
        <v>21.014696686773966</v>
      </c>
      <c r="BE242" s="72">
        <f t="shared" si="428"/>
        <v>31.244942560941439</v>
      </c>
      <c r="BF242" s="72">
        <f t="shared" si="428"/>
        <v>27.91344646874705</v>
      </c>
      <c r="BG242" s="72">
        <f t="shared" si="428"/>
        <v>27.236518621759867</v>
      </c>
      <c r="BH242" s="72">
        <f t="shared" si="428"/>
        <v>26.072934786239358</v>
      </c>
      <c r="BI242" s="72">
        <f t="shared" si="428"/>
        <v>21.830444367930681</v>
      </c>
      <c r="BJ242" s="240">
        <f t="shared" ref="BJ242:BU242" si="429">BI242</f>
        <v>21.830444367930681</v>
      </c>
      <c r="BK242" s="240">
        <f t="shared" si="429"/>
        <v>21.830444367930681</v>
      </c>
      <c r="BL242" s="240">
        <f t="shared" si="429"/>
        <v>21.830444367930681</v>
      </c>
      <c r="BM242" s="240">
        <f t="shared" si="429"/>
        <v>21.830444367930681</v>
      </c>
      <c r="BN242" s="240">
        <f t="shared" si="429"/>
        <v>21.830444367930681</v>
      </c>
      <c r="BO242" s="240">
        <f t="shared" si="429"/>
        <v>21.830444367930681</v>
      </c>
      <c r="BP242" s="240">
        <f t="shared" si="429"/>
        <v>21.830444367930681</v>
      </c>
      <c r="BQ242" s="240">
        <f t="shared" si="429"/>
        <v>21.830444367930681</v>
      </c>
      <c r="BR242" s="240">
        <f t="shared" si="429"/>
        <v>21.830444367930681</v>
      </c>
      <c r="BS242" s="240">
        <f t="shared" si="429"/>
        <v>21.830444367930681</v>
      </c>
      <c r="BT242" s="240">
        <f t="shared" si="429"/>
        <v>21.830444367930681</v>
      </c>
      <c r="BU242" s="240">
        <f t="shared" si="429"/>
        <v>21.830444367930681</v>
      </c>
      <c r="BX242" s="221">
        <f t="shared" si="334"/>
        <v>234</v>
      </c>
    </row>
    <row r="243" spans="1:76" hidden="1" outlineLevel="2">
      <c r="A243" s="180"/>
      <c r="B243" s="8" t="s">
        <v>89</v>
      </c>
      <c r="C243" s="209"/>
      <c r="D243" s="209"/>
      <c r="E243" s="209"/>
      <c r="F243" s="209"/>
      <c r="G243" s="209"/>
      <c r="H243" s="209"/>
      <c r="I243" s="209"/>
      <c r="J243" s="72">
        <f>J238+J240-J242</f>
        <v>42.750705574318317</v>
      </c>
      <c r="K243" s="72">
        <f t="shared" ref="K243:O243" si="430">K238+K240-K242</f>
        <v>6.1718441549236349</v>
      </c>
      <c r="L243" s="72">
        <f t="shared" si="430"/>
        <v>28.057953088003586</v>
      </c>
      <c r="M243" s="72">
        <f t="shared" si="430"/>
        <v>39.531114979001558</v>
      </c>
      <c r="N243" s="72">
        <f t="shared" si="430"/>
        <v>32.399368861235217</v>
      </c>
      <c r="O243" s="72">
        <f t="shared" si="430"/>
        <v>29.584074473783048</v>
      </c>
      <c r="P243" s="72">
        <f t="shared" ref="P243" si="431">P238+P240-P242</f>
        <v>29.577401509219335</v>
      </c>
      <c r="Q243" s="3"/>
      <c r="R243" s="209"/>
      <c r="S243" s="209"/>
      <c r="T243" s="209"/>
      <c r="U243" s="209"/>
      <c r="V243" s="209"/>
      <c r="W243" s="209"/>
      <c r="X243" s="209"/>
      <c r="Y243" s="209"/>
      <c r="Z243" s="209"/>
      <c r="AA243" s="209"/>
      <c r="AB243" s="209"/>
      <c r="AC243" s="209"/>
      <c r="AD243" s="209"/>
      <c r="AE243" s="209"/>
      <c r="AF243" s="209"/>
      <c r="AG243" s="209"/>
      <c r="AH243" s="209"/>
      <c r="AI243" s="209"/>
      <c r="AJ243" s="209"/>
      <c r="AK243" s="209"/>
      <c r="AL243" s="209"/>
      <c r="AM243" s="209"/>
      <c r="AN243" s="209"/>
      <c r="AO243" s="209"/>
      <c r="AP243" s="209"/>
      <c r="AQ243" s="209"/>
      <c r="AR243" s="209"/>
      <c r="AS243" s="209"/>
      <c r="AT243" s="209"/>
      <c r="AU243" s="209"/>
      <c r="AV243" s="209"/>
      <c r="AW243" s="209"/>
      <c r="AX243" s="209"/>
      <c r="AY243" s="209"/>
      <c r="AZ243" s="209"/>
      <c r="BA243" s="209"/>
      <c r="BB243" s="209"/>
      <c r="BC243" s="209"/>
      <c r="BD243" s="72">
        <f t="shared" ref="BD243:BU243" si="432">BD238+BD240-BD242</f>
        <v>33.10517996776764</v>
      </c>
      <c r="BE243" s="72">
        <f>BE238+BE240-BE242</f>
        <v>19.36769091230299</v>
      </c>
      <c r="BF243" s="72">
        <f>BF238+BF240-BF242</f>
        <v>27.996194608658609</v>
      </c>
      <c r="BG243" s="72">
        <f>BG238+BG240-BG242</f>
        <v>22.913857445105382</v>
      </c>
      <c r="BH243" s="72">
        <f>BH238+BH240-BH242</f>
        <v>25.480373857235655</v>
      </c>
      <c r="BI243" s="72">
        <f>BI238+BI240-BI242</f>
        <v>29.739026654078458</v>
      </c>
      <c r="BJ243" s="72">
        <f t="shared" si="432"/>
        <v>29.739026654078458</v>
      </c>
      <c r="BK243" s="72">
        <f t="shared" si="432"/>
        <v>29.739026654078458</v>
      </c>
      <c r="BL243" s="72">
        <f t="shared" si="432"/>
        <v>29.739026654078458</v>
      </c>
      <c r="BM243" s="72">
        <f t="shared" si="432"/>
        <v>29.739026654078458</v>
      </c>
      <c r="BN243" s="72">
        <f t="shared" si="432"/>
        <v>29.739026654078458</v>
      </c>
      <c r="BO243" s="72">
        <f t="shared" si="432"/>
        <v>29.739026654078458</v>
      </c>
      <c r="BP243" s="72">
        <f t="shared" si="432"/>
        <v>29.739026654078458</v>
      </c>
      <c r="BQ243" s="72">
        <f t="shared" si="432"/>
        <v>29.739026654078458</v>
      </c>
      <c r="BR243" s="72">
        <f t="shared" si="432"/>
        <v>29.739026654078458</v>
      </c>
      <c r="BS243" s="72">
        <f t="shared" si="432"/>
        <v>29.739026654078458</v>
      </c>
      <c r="BT243" s="72">
        <f t="shared" si="432"/>
        <v>29.739026654078458</v>
      </c>
      <c r="BU243" s="72">
        <f t="shared" si="432"/>
        <v>29.739026654078458</v>
      </c>
      <c r="BX243" s="221">
        <f t="shared" si="334"/>
        <v>235</v>
      </c>
    </row>
    <row r="244" spans="1:76" hidden="1" outlineLevel="2">
      <c r="A244" s="180"/>
      <c r="B244" s="8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3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X244" s="221">
        <f t="shared" si="334"/>
        <v>236</v>
      </c>
    </row>
    <row r="245" spans="1:76" hidden="1" outlineLevel="2">
      <c r="A245" s="180"/>
      <c r="B245" s="8" t="s">
        <v>88</v>
      </c>
      <c r="C245" s="196"/>
      <c r="D245" s="196"/>
      <c r="E245" s="196"/>
      <c r="F245" s="196"/>
      <c r="G245" s="196"/>
      <c r="H245" s="196"/>
      <c r="I245" s="196"/>
      <c r="J245" s="13">
        <f t="shared" ref="J245:P245" si="433">J189/(J13)</f>
        <v>4.9060970002576827E-3</v>
      </c>
      <c r="K245" s="13">
        <f t="shared" si="433"/>
        <v>5.1016419375916342E-3</v>
      </c>
      <c r="L245" s="13">
        <f t="shared" si="433"/>
        <v>3.5147455501043236E-2</v>
      </c>
      <c r="M245" s="13">
        <f t="shared" si="433"/>
        <v>5.5243531306072768E-3</v>
      </c>
      <c r="N245" s="13">
        <f t="shared" si="433"/>
        <v>3.7861158602284792E-3</v>
      </c>
      <c r="O245" s="13">
        <f t="shared" si="433"/>
        <v>3.3297065626519086E-3</v>
      </c>
      <c r="P245" s="13">
        <f t="shared" si="433"/>
        <v>3.3213169634730001E-3</v>
      </c>
      <c r="Q245" s="3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  <c r="AI245" s="196"/>
      <c r="AJ245" s="196"/>
      <c r="AK245" s="196"/>
      <c r="AL245" s="196"/>
      <c r="AM245" s="196"/>
      <c r="AN245" s="196"/>
      <c r="AO245" s="196"/>
      <c r="AP245" s="196"/>
      <c r="AQ245" s="196"/>
      <c r="AR245" s="196"/>
      <c r="AS245" s="196"/>
      <c r="AT245" s="196"/>
      <c r="AU245" s="196"/>
      <c r="AV245" s="196"/>
      <c r="AW245" s="196"/>
      <c r="AX245" s="196"/>
      <c r="AY245" s="196"/>
      <c r="AZ245" s="196"/>
      <c r="BA245" s="196"/>
      <c r="BB245" s="196"/>
      <c r="BC245" s="196"/>
      <c r="BD245" s="13">
        <f t="shared" ref="BD245:BU245" si="434">BD189/(BD13*4)</f>
        <v>2.4900954860002034E-2</v>
      </c>
      <c r="BE245" s="13">
        <f t="shared" si="434"/>
        <v>2.44681625869843E-2</v>
      </c>
      <c r="BF245" s="13">
        <f t="shared" si="434"/>
        <v>1.0101893376305938E-2</v>
      </c>
      <c r="BG245" s="13">
        <f t="shared" si="434"/>
        <v>8.3548413052089519E-3</v>
      </c>
      <c r="BH245" s="13">
        <f t="shared" si="434"/>
        <v>1.4960653841802465E-2</v>
      </c>
      <c r="BI245" s="13">
        <f t="shared" si="434"/>
        <v>4.2468444036770428E-3</v>
      </c>
      <c r="BJ245" s="13">
        <f t="shared" si="434"/>
        <v>4.256958170276528E-3</v>
      </c>
      <c r="BK245" s="13">
        <f t="shared" si="434"/>
        <v>3.8630462276625778E-3</v>
      </c>
      <c r="BL245" s="13">
        <f t="shared" si="434"/>
        <v>3.6321815540603145E-3</v>
      </c>
      <c r="BM245" s="13">
        <f t="shared" si="434"/>
        <v>3.4794410668148742E-3</v>
      </c>
      <c r="BN245" s="13">
        <f t="shared" si="434"/>
        <v>3.337868217659812E-3</v>
      </c>
      <c r="BO245" s="13">
        <f t="shared" si="434"/>
        <v>3.3326001820342052E-3</v>
      </c>
      <c r="BP245" s="13">
        <f t="shared" si="434"/>
        <v>3.3270866116534804E-3</v>
      </c>
      <c r="BQ245" s="13">
        <f t="shared" si="434"/>
        <v>3.3213169634730001E-3</v>
      </c>
      <c r="BR245" s="13">
        <f t="shared" si="434"/>
        <v>3.3213169634730001E-3</v>
      </c>
      <c r="BS245" s="13">
        <f t="shared" si="434"/>
        <v>3.3213169634730001E-3</v>
      </c>
      <c r="BT245" s="13">
        <f t="shared" si="434"/>
        <v>3.3213169634730001E-3</v>
      </c>
      <c r="BU245" s="13">
        <f t="shared" si="434"/>
        <v>3.3213169634730001E-3</v>
      </c>
      <c r="BX245" s="221">
        <f t="shared" si="334"/>
        <v>237</v>
      </c>
    </row>
    <row r="246" spans="1:76" hidden="1" outlineLevel="2">
      <c r="A246" s="180"/>
      <c r="B246" s="8" t="s">
        <v>87</v>
      </c>
      <c r="C246" s="196"/>
      <c r="D246" s="196"/>
      <c r="E246" s="196"/>
      <c r="F246" s="196"/>
      <c r="G246" s="196"/>
      <c r="H246" s="196"/>
      <c r="I246" s="196"/>
      <c r="J246" s="13">
        <f t="shared" ref="J246:P246" si="435">J202/(-J19)</f>
        <v>8.4626380834314285E-2</v>
      </c>
      <c r="K246" s="13">
        <f t="shared" si="435"/>
        <v>4.584323611522044E-2</v>
      </c>
      <c r="L246" s="13">
        <f t="shared" si="435"/>
        <v>0.10649905748018727</v>
      </c>
      <c r="M246" s="13">
        <f t="shared" si="435"/>
        <v>0.10565119590822902</v>
      </c>
      <c r="N246" s="13">
        <f t="shared" si="435"/>
        <v>8.8316653283148763E-2</v>
      </c>
      <c r="O246" s="13">
        <f t="shared" si="435"/>
        <v>7.89578307955833E-2</v>
      </c>
      <c r="P246" s="13">
        <f t="shared" si="435"/>
        <v>7.4832767188616117E-2</v>
      </c>
      <c r="Q246" s="3"/>
      <c r="R246" s="196"/>
      <c r="S246" s="196"/>
      <c r="T246" s="196"/>
      <c r="U246" s="196"/>
      <c r="V246" s="196"/>
      <c r="W246" s="196"/>
      <c r="X246" s="196"/>
      <c r="Y246" s="196"/>
      <c r="Z246" s="196"/>
      <c r="AA246" s="196"/>
      <c r="AB246" s="196"/>
      <c r="AC246" s="196"/>
      <c r="AD246" s="196"/>
      <c r="AE246" s="196"/>
      <c r="AF246" s="196"/>
      <c r="AG246" s="196"/>
      <c r="AH246" s="196"/>
      <c r="AI246" s="196"/>
      <c r="AJ246" s="196"/>
      <c r="AK246" s="196"/>
      <c r="AL246" s="196"/>
      <c r="AM246" s="196"/>
      <c r="AN246" s="196"/>
      <c r="AO246" s="196"/>
      <c r="AP246" s="196"/>
      <c r="AQ246" s="196"/>
      <c r="AR246" s="196"/>
      <c r="AS246" s="196"/>
      <c r="AT246" s="196"/>
      <c r="AU246" s="196"/>
      <c r="AV246" s="196"/>
      <c r="AW246" s="196"/>
      <c r="AX246" s="196"/>
      <c r="AY246" s="196"/>
      <c r="AZ246" s="196"/>
      <c r="BA246" s="196"/>
      <c r="BB246" s="196"/>
      <c r="BC246" s="196"/>
      <c r="BD246" s="13">
        <f t="shared" ref="BD246:BI246" si="436">BD202/(-BD19*4)</f>
        <v>6.7677746625178115E-2</v>
      </c>
      <c r="BE246" s="13">
        <f t="shared" si="436"/>
        <v>7.511207621182403E-2</v>
      </c>
      <c r="BF246" s="13">
        <f t="shared" si="436"/>
        <v>5.9113178823709048E-2</v>
      </c>
      <c r="BG246" s="13">
        <f t="shared" si="436"/>
        <v>5.8248678084947401E-2</v>
      </c>
      <c r="BH246" s="13">
        <f t="shared" si="436"/>
        <v>7.9693574205351017E-2</v>
      </c>
      <c r="BI246" s="13">
        <f t="shared" si="436"/>
        <v>8.6832767188616128E-2</v>
      </c>
      <c r="BJ246" s="71">
        <f t="shared" ref="BJ246:BU246" si="437">MAX(BI246-0.1%,5%)</f>
        <v>8.5832767188616127E-2</v>
      </c>
      <c r="BK246" s="71">
        <f t="shared" si="437"/>
        <v>8.4832767188616126E-2</v>
      </c>
      <c r="BL246" s="71">
        <f t="shared" si="437"/>
        <v>8.3832767188616125E-2</v>
      </c>
      <c r="BM246" s="71">
        <f t="shared" si="437"/>
        <v>8.2832767188616124E-2</v>
      </c>
      <c r="BN246" s="71">
        <f t="shared" si="437"/>
        <v>8.1832767188616123E-2</v>
      </c>
      <c r="BO246" s="71">
        <f t="shared" si="437"/>
        <v>8.0832767188616123E-2</v>
      </c>
      <c r="BP246" s="71">
        <f t="shared" si="437"/>
        <v>7.9832767188616122E-2</v>
      </c>
      <c r="BQ246" s="71">
        <f t="shared" si="437"/>
        <v>7.8832767188616121E-2</v>
      </c>
      <c r="BR246" s="71">
        <f t="shared" si="437"/>
        <v>7.783276718861612E-2</v>
      </c>
      <c r="BS246" s="71">
        <f t="shared" si="437"/>
        <v>7.6832767188616119E-2</v>
      </c>
      <c r="BT246" s="71">
        <f t="shared" si="437"/>
        <v>7.5832767188616118E-2</v>
      </c>
      <c r="BU246" s="71">
        <f t="shared" si="437"/>
        <v>7.4832767188616117E-2</v>
      </c>
      <c r="BX246" s="221">
        <f t="shared" si="334"/>
        <v>238</v>
      </c>
    </row>
    <row r="247" spans="1:76" hidden="1" outlineLevel="2">
      <c r="A247" s="180"/>
      <c r="B247" s="8" t="s">
        <v>86</v>
      </c>
      <c r="C247" s="196"/>
      <c r="D247" s="196"/>
      <c r="E247" s="196"/>
      <c r="F247" s="196"/>
      <c r="G247" s="196"/>
      <c r="H247" s="196"/>
      <c r="I247" s="196"/>
      <c r="J247" s="13">
        <f t="shared" ref="J247:P247" si="438">J204/(J13)</f>
        <v>1.020882491145278E-2</v>
      </c>
      <c r="K247" s="13">
        <f t="shared" si="438"/>
        <v>3.0041788711728037E-3</v>
      </c>
      <c r="L247" s="13">
        <f t="shared" si="438"/>
        <v>7.539749789866601E-3</v>
      </c>
      <c r="M247" s="13">
        <f t="shared" si="438"/>
        <v>6.611196169332219E-3</v>
      </c>
      <c r="N247" s="13">
        <f t="shared" si="438"/>
        <v>4.5309838238090554E-3</v>
      </c>
      <c r="O247" s="13">
        <f t="shared" si="438"/>
        <v>3.9847820643545253E-3</v>
      </c>
      <c r="P247" s="13">
        <f t="shared" si="438"/>
        <v>3.9747419230669366E-3</v>
      </c>
      <c r="Q247" s="3"/>
      <c r="R247" s="196"/>
      <c r="S247" s="196"/>
      <c r="T247" s="196"/>
      <c r="U247" s="196"/>
      <c r="V247" s="196"/>
      <c r="W247" s="196"/>
      <c r="X247" s="196"/>
      <c r="Y247" s="196"/>
      <c r="Z247" s="196"/>
      <c r="AA247" s="196"/>
      <c r="AB247" s="196"/>
      <c r="AC247" s="196"/>
      <c r="AD247" s="196"/>
      <c r="AE247" s="196"/>
      <c r="AF247" s="196"/>
      <c r="AG247" s="196"/>
      <c r="AH247" s="196"/>
      <c r="AI247" s="196"/>
      <c r="AJ247" s="196"/>
      <c r="AK247" s="196"/>
      <c r="AL247" s="196"/>
      <c r="AM247" s="196"/>
      <c r="AN247" s="196"/>
      <c r="AO247" s="196"/>
      <c r="AP247" s="196"/>
      <c r="AQ247" s="196"/>
      <c r="AR247" s="196"/>
      <c r="AS247" s="196"/>
      <c r="AT247" s="196"/>
      <c r="AU247" s="196"/>
      <c r="AV247" s="196"/>
      <c r="AW247" s="196"/>
      <c r="AX247" s="196"/>
      <c r="AY247" s="196"/>
      <c r="AZ247" s="196"/>
      <c r="BA247" s="196"/>
      <c r="BB247" s="196"/>
      <c r="BC247" s="196"/>
      <c r="BD247" s="13">
        <f t="shared" ref="BD247:BU247" si="439">BD204/(BD13*4)</f>
        <v>9.4366246511332855E-3</v>
      </c>
      <c r="BE247" s="13">
        <f t="shared" si="439"/>
        <v>5.2488528996974164E-3</v>
      </c>
      <c r="BF247" s="13">
        <f t="shared" si="439"/>
        <v>8.7100723288903344E-3</v>
      </c>
      <c r="BG247" s="13">
        <f t="shared" si="439"/>
        <v>4.6659920281243803E-3</v>
      </c>
      <c r="BH247" s="13">
        <f t="shared" si="439"/>
        <v>8.2835395619544859E-3</v>
      </c>
      <c r="BI247" s="13">
        <f t="shared" si="439"/>
        <v>5.0823545833416413E-3</v>
      </c>
      <c r="BJ247" s="13">
        <f t="shared" si="439"/>
        <v>5.0944580990690451E-3</v>
      </c>
      <c r="BK247" s="13">
        <f t="shared" si="439"/>
        <v>4.6230492183378302E-3</v>
      </c>
      <c r="BL247" s="13">
        <f t="shared" si="439"/>
        <v>4.3467649892763114E-3</v>
      </c>
      <c r="BM247" s="13">
        <f t="shared" si="439"/>
        <v>4.1639748416689324E-3</v>
      </c>
      <c r="BN247" s="13">
        <f t="shared" si="439"/>
        <v>3.9945494164857114E-3</v>
      </c>
      <c r="BO247" s="13">
        <f t="shared" si="439"/>
        <v>3.9882449648830521E-3</v>
      </c>
      <c r="BP247" s="13">
        <f t="shared" si="439"/>
        <v>3.9816466728262974E-3</v>
      </c>
      <c r="BQ247" s="13">
        <f t="shared" si="439"/>
        <v>3.9747419230669366E-3</v>
      </c>
      <c r="BR247" s="13">
        <f t="shared" si="439"/>
        <v>3.9747419230669366E-3</v>
      </c>
      <c r="BS247" s="13">
        <f t="shared" si="439"/>
        <v>3.9747419230669366E-3</v>
      </c>
      <c r="BT247" s="13">
        <f t="shared" si="439"/>
        <v>3.9747419230669366E-3</v>
      </c>
      <c r="BU247" s="13">
        <f t="shared" si="439"/>
        <v>3.9747419230669366E-3</v>
      </c>
      <c r="BX247" s="221">
        <f t="shared" si="334"/>
        <v>239</v>
      </c>
    </row>
    <row r="248" spans="1:76" hidden="1" outlineLevel="2">
      <c r="A248" s="180"/>
      <c r="B248" s="8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47"/>
      <c r="BK248" s="47"/>
      <c r="BL248" s="47"/>
      <c r="BM248" s="47"/>
      <c r="BN248" s="47"/>
      <c r="BO248" s="47"/>
      <c r="BP248" s="47"/>
      <c r="BQ248" s="47"/>
      <c r="BR248" s="47"/>
      <c r="BS248" s="47"/>
      <c r="BT248" s="47"/>
      <c r="BU248" s="47"/>
      <c r="BX248" s="221">
        <f t="shared" si="334"/>
        <v>240</v>
      </c>
    </row>
    <row r="249" spans="1:76" outlineLevel="1" collapsed="1">
      <c r="A249" s="180" t="s">
        <v>0</v>
      </c>
      <c r="B249" s="70" t="s">
        <v>362</v>
      </c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X249" s="221">
        <f t="shared" si="334"/>
        <v>241</v>
      </c>
    </row>
    <row r="250" spans="1:76" hidden="1" outlineLevel="2">
      <c r="A250" s="180"/>
      <c r="B250" s="66" t="s">
        <v>85</v>
      </c>
      <c r="C250" s="196"/>
      <c r="D250" s="196"/>
      <c r="E250" s="196"/>
      <c r="F250" s="196"/>
      <c r="G250" s="196"/>
      <c r="H250" s="196"/>
      <c r="I250" s="196"/>
      <c r="J250" s="196"/>
      <c r="K250" s="196"/>
      <c r="L250" s="53">
        <f>L158</f>
        <v>100.979</v>
      </c>
      <c r="M250" s="53">
        <f>M158</f>
        <v>159.28</v>
      </c>
      <c r="N250" s="53">
        <f>N158</f>
        <v>234.45514737879648</v>
      </c>
      <c r="O250" s="53">
        <f>O158</f>
        <v>239.46057776250959</v>
      </c>
      <c r="P250" s="53">
        <f>P158</f>
        <v>194.10955432762438</v>
      </c>
      <c r="Q250" s="3"/>
      <c r="R250" s="196"/>
      <c r="S250" s="196"/>
      <c r="T250" s="196"/>
      <c r="U250" s="196"/>
      <c r="V250" s="196"/>
      <c r="W250" s="196"/>
      <c r="X250" s="196"/>
      <c r="Y250" s="196"/>
      <c r="Z250" s="196"/>
      <c r="AA250" s="196"/>
      <c r="AB250" s="196"/>
      <c r="AC250" s="196"/>
      <c r="AD250" s="196"/>
      <c r="AE250" s="196"/>
      <c r="AF250" s="196"/>
      <c r="AG250" s="196"/>
      <c r="AH250" s="196"/>
      <c r="AI250" s="196"/>
      <c r="AJ250" s="196"/>
      <c r="AK250" s="196"/>
      <c r="AL250" s="196"/>
      <c r="AM250" s="196"/>
      <c r="AN250" s="196"/>
      <c r="AO250" s="196"/>
      <c r="AP250" s="196"/>
      <c r="AQ250" s="196"/>
      <c r="AR250" s="196"/>
      <c r="AS250" s="196"/>
      <c r="AT250" s="196"/>
      <c r="AU250" s="196"/>
      <c r="AV250" s="196"/>
      <c r="AW250" s="196"/>
      <c r="AX250" s="196"/>
      <c r="AY250" s="196"/>
      <c r="AZ250" s="196"/>
      <c r="BA250" s="196"/>
      <c r="BB250" s="196"/>
      <c r="BC250" s="196"/>
      <c r="BD250" s="53">
        <f t="shared" ref="BD250:BU250" si="440">BD158</f>
        <v>71.947000000000003</v>
      </c>
      <c r="BE250" s="53">
        <f>BE158</f>
        <v>29.032</v>
      </c>
      <c r="BF250" s="53">
        <f>BF158</f>
        <v>30.373000000000001</v>
      </c>
      <c r="BG250" s="53">
        <f>BG158</f>
        <v>32.738999999999997</v>
      </c>
      <c r="BH250" s="53">
        <f>BH158</f>
        <v>46.204000000000001</v>
      </c>
      <c r="BI250" s="53">
        <f>BI158</f>
        <v>49.963999999999999</v>
      </c>
      <c r="BJ250" s="53">
        <f t="shared" si="440"/>
        <v>54.240916609547853</v>
      </c>
      <c r="BK250" s="53">
        <f t="shared" si="440"/>
        <v>54.37560083696976</v>
      </c>
      <c r="BL250" s="53">
        <f t="shared" si="440"/>
        <v>61.067520071899864</v>
      </c>
      <c r="BM250" s="53">
        <f t="shared" si="440"/>
        <v>64.771109860379013</v>
      </c>
      <c r="BN250" s="53">
        <f t="shared" si="440"/>
        <v>62.99546477851775</v>
      </c>
      <c r="BO250" s="53">
        <f t="shared" si="440"/>
        <v>60.945946823174154</v>
      </c>
      <c r="BP250" s="53">
        <f t="shared" si="440"/>
        <v>58.812547951442426</v>
      </c>
      <c r="BQ250" s="53">
        <f t="shared" si="440"/>
        <v>56.706618209375257</v>
      </c>
      <c r="BR250" s="53">
        <f t="shared" si="440"/>
        <v>52.902954785073973</v>
      </c>
      <c r="BS250" s="53">
        <f t="shared" si="440"/>
        <v>49.673261868247842</v>
      </c>
      <c r="BT250" s="53">
        <f t="shared" si="440"/>
        <v>46.930927656878161</v>
      </c>
      <c r="BU250" s="53">
        <f t="shared" si="440"/>
        <v>44.602410017424411</v>
      </c>
      <c r="BX250" s="221">
        <f t="shared" si="334"/>
        <v>242</v>
      </c>
    </row>
    <row r="251" spans="1:76" hidden="1" outlineLevel="2">
      <c r="A251" s="180"/>
      <c r="B251" s="66" t="s">
        <v>84</v>
      </c>
      <c r="C251" s="196"/>
      <c r="D251" s="196"/>
      <c r="E251" s="196"/>
      <c r="F251" s="196"/>
      <c r="G251" s="196"/>
      <c r="H251" s="196"/>
      <c r="I251" s="196"/>
      <c r="J251" s="196"/>
      <c r="K251" s="196"/>
      <c r="L251" s="69">
        <f>-L170</f>
        <v>23.126000000000001</v>
      </c>
      <c r="M251" s="69">
        <f>-M170</f>
        <v>141.34</v>
      </c>
      <c r="N251" s="69">
        <f>-N170</f>
        <v>230</v>
      </c>
      <c r="O251" s="69">
        <f>-O170</f>
        <v>126.5</v>
      </c>
      <c r="P251" s="69">
        <f>-P170</f>
        <v>126</v>
      </c>
      <c r="Q251" s="3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6"/>
      <c r="AC251" s="196"/>
      <c r="AD251" s="196"/>
      <c r="AE251" s="196"/>
      <c r="AF251" s="196"/>
      <c r="AG251" s="196"/>
      <c r="AH251" s="196"/>
      <c r="AI251" s="196"/>
      <c r="AJ251" s="196"/>
      <c r="AK251" s="196"/>
      <c r="AL251" s="196"/>
      <c r="AM251" s="196"/>
      <c r="AN251" s="196"/>
      <c r="AO251" s="196"/>
      <c r="AP251" s="196"/>
      <c r="AQ251" s="196"/>
      <c r="AR251" s="196"/>
      <c r="AS251" s="196"/>
      <c r="AT251" s="196"/>
      <c r="AU251" s="196"/>
      <c r="AV251" s="196"/>
      <c r="AW251" s="196"/>
      <c r="AX251" s="196"/>
      <c r="AY251" s="196"/>
      <c r="AZ251" s="196"/>
      <c r="BA251" s="196"/>
      <c r="BB251" s="196"/>
      <c r="BC251" s="196"/>
      <c r="BD251" s="69">
        <f t="shared" ref="BD251:BU251" si="441">-BD170</f>
        <v>15.603999999999999</v>
      </c>
      <c r="BE251" s="69">
        <f>-BE170</f>
        <v>7.522000000000002</v>
      </c>
      <c r="BF251" s="69">
        <f>-BF170</f>
        <v>10.07</v>
      </c>
      <c r="BG251" s="69">
        <f>-BG170</f>
        <v>17.864999999999998</v>
      </c>
      <c r="BH251" s="69">
        <f>-BH170</f>
        <v>56.413000000000004</v>
      </c>
      <c r="BI251" s="69">
        <f>-BI170</f>
        <v>56.991999999999997</v>
      </c>
      <c r="BJ251" s="69">
        <f t="shared" si="441"/>
        <v>36</v>
      </c>
      <c r="BK251" s="69">
        <f t="shared" si="441"/>
        <v>89.666666666666671</v>
      </c>
      <c r="BL251" s="69">
        <f t="shared" si="441"/>
        <v>70.833333333333343</v>
      </c>
      <c r="BM251" s="69">
        <f t="shared" si="441"/>
        <v>33.5</v>
      </c>
      <c r="BN251" s="69">
        <f t="shared" si="441"/>
        <v>32</v>
      </c>
      <c r="BO251" s="69">
        <f t="shared" si="441"/>
        <v>31.5</v>
      </c>
      <c r="BP251" s="69">
        <f t="shared" si="441"/>
        <v>31.5</v>
      </c>
      <c r="BQ251" s="69">
        <f t="shared" si="441"/>
        <v>31.5</v>
      </c>
      <c r="BR251" s="69">
        <f t="shared" si="441"/>
        <v>31.5</v>
      </c>
      <c r="BS251" s="69">
        <f t="shared" si="441"/>
        <v>31.5</v>
      </c>
      <c r="BT251" s="69">
        <f t="shared" si="441"/>
        <v>31.5</v>
      </c>
      <c r="BU251" s="69">
        <f t="shared" si="441"/>
        <v>31.5</v>
      </c>
      <c r="BX251" s="221">
        <f t="shared" si="334"/>
        <v>243</v>
      </c>
    </row>
    <row r="252" spans="1:76" hidden="1" outlineLevel="2">
      <c r="A252" s="180"/>
      <c r="B252" s="68" t="s">
        <v>83</v>
      </c>
      <c r="C252" s="196"/>
      <c r="D252" s="196"/>
      <c r="E252" s="196"/>
      <c r="F252" s="196"/>
      <c r="G252" s="196"/>
      <c r="H252" s="196"/>
      <c r="I252" s="196"/>
      <c r="J252" s="196"/>
      <c r="K252" s="196"/>
      <c r="L252" s="67">
        <f>L250/L13</f>
        <v>0.24009977736705757</v>
      </c>
      <c r="M252" s="67">
        <f>M250/M13</f>
        <v>0.10328899714087651</v>
      </c>
      <c r="N252" s="67">
        <f>N250/N13</f>
        <v>0.10419936048868024</v>
      </c>
      <c r="O252" s="67">
        <f>O250/O13</f>
        <v>9.3594724412753363E-2</v>
      </c>
      <c r="P252" s="67">
        <f>P250/P13</f>
        <v>7.5677820819406355E-2</v>
      </c>
      <c r="Q252" s="3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6"/>
      <c r="AC252" s="196"/>
      <c r="AD252" s="196"/>
      <c r="AE252" s="196"/>
      <c r="AF252" s="196"/>
      <c r="AG252" s="196"/>
      <c r="AH252" s="196"/>
      <c r="AI252" s="196"/>
      <c r="AJ252" s="196"/>
      <c r="AK252" s="196"/>
      <c r="AL252" s="196"/>
      <c r="AM252" s="196"/>
      <c r="AN252" s="196"/>
      <c r="AO252" s="196"/>
      <c r="AP252" s="196"/>
      <c r="AQ252" s="196"/>
      <c r="AR252" s="196"/>
      <c r="AS252" s="196"/>
      <c r="AT252" s="196"/>
      <c r="AU252" s="196"/>
      <c r="AV252" s="196"/>
      <c r="AW252" s="196"/>
      <c r="AX252" s="196"/>
      <c r="AY252" s="196"/>
      <c r="AZ252" s="196"/>
      <c r="BA252" s="196"/>
      <c r="BB252" s="196"/>
      <c r="BC252" s="196"/>
      <c r="BD252" s="67">
        <f t="shared" ref="BD252:BU252" si="442">BD250/BD13</f>
        <v>0.61623492968013294</v>
      </c>
      <c r="BE252" s="67">
        <f t="shared" si="442"/>
        <v>0.19222289168592294</v>
      </c>
      <c r="BF252" s="67">
        <f t="shared" si="442"/>
        <v>0.12647353978505371</v>
      </c>
      <c r="BG252" s="67">
        <f t="shared" si="442"/>
        <v>0.1013164735591206</v>
      </c>
      <c r="BH252" s="67">
        <f t="shared" si="442"/>
        <v>9.6802443735831828E-2</v>
      </c>
      <c r="BI252" s="67">
        <f t="shared" si="442"/>
        <v>9.9631099324014427E-2</v>
      </c>
      <c r="BJ252" s="67">
        <f t="shared" si="442"/>
        <v>0.10841709737025591</v>
      </c>
      <c r="BK252" s="67">
        <f t="shared" si="442"/>
        <v>9.8629162901815767E-2</v>
      </c>
      <c r="BL252" s="67">
        <f t="shared" si="442"/>
        <v>0.10414758537732724</v>
      </c>
      <c r="BM252" s="67">
        <f t="shared" si="442"/>
        <v>0.10581864518905063</v>
      </c>
      <c r="BN252" s="67">
        <f t="shared" si="442"/>
        <v>9.8730160695350386E-2</v>
      </c>
      <c r="BO252" s="67">
        <f t="shared" si="442"/>
        <v>9.5367284177559422E-2</v>
      </c>
      <c r="BP252" s="67">
        <f t="shared" si="442"/>
        <v>9.1876718340872132E-2</v>
      </c>
      <c r="BQ252" s="67">
        <f t="shared" si="442"/>
        <v>8.8433221270095064E-2</v>
      </c>
      <c r="BR252" s="67">
        <f t="shared" si="442"/>
        <v>8.2501458455457824E-2</v>
      </c>
      <c r="BS252" s="67">
        <f t="shared" si="442"/>
        <v>7.746479505765845E-2</v>
      </c>
      <c r="BT252" s="67">
        <f t="shared" si="442"/>
        <v>7.3188161116710226E-2</v>
      </c>
      <c r="BU252" s="67">
        <f t="shared" si="442"/>
        <v>6.9556868647798933E-2</v>
      </c>
      <c r="BX252" s="221">
        <f t="shared" si="334"/>
        <v>244</v>
      </c>
    </row>
    <row r="253" spans="1:76" hidden="1" outlineLevel="2">
      <c r="A253" s="180"/>
      <c r="B253" s="68" t="s">
        <v>82</v>
      </c>
      <c r="C253" s="196"/>
      <c r="D253" s="196"/>
      <c r="E253" s="196"/>
      <c r="F253" s="196"/>
      <c r="G253" s="196"/>
      <c r="H253" s="196"/>
      <c r="I253" s="196"/>
      <c r="J253" s="196"/>
      <c r="K253" s="196"/>
      <c r="L253" s="67">
        <f>L251/L13</f>
        <v>5.4987150312347854E-2</v>
      </c>
      <c r="M253" s="67">
        <f>M251/M13</f>
        <v>9.1655367000825508E-2</v>
      </c>
      <c r="N253" s="67">
        <f>N251/N13</f>
        <v>0.10221935061069964</v>
      </c>
      <c r="O253" s="67">
        <f>O251/O13</f>
        <v>4.9443347831372983E-2</v>
      </c>
      <c r="P253" s="67">
        <f>P251/P13</f>
        <v>4.9123833477825805E-2</v>
      </c>
      <c r="Q253" s="3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6"/>
      <c r="AC253" s="196"/>
      <c r="AD253" s="196"/>
      <c r="AE253" s="196"/>
      <c r="AF253" s="196"/>
      <c r="AG253" s="196"/>
      <c r="AH253" s="196"/>
      <c r="AI253" s="196"/>
      <c r="AJ253" s="196"/>
      <c r="AK253" s="196"/>
      <c r="AL253" s="196"/>
      <c r="AM253" s="196"/>
      <c r="AN253" s="196"/>
      <c r="AO253" s="196"/>
      <c r="AP253" s="196"/>
      <c r="AQ253" s="196"/>
      <c r="AR253" s="196"/>
      <c r="AS253" s="196"/>
      <c r="AT253" s="196"/>
      <c r="AU253" s="196"/>
      <c r="AV253" s="196"/>
      <c r="AW253" s="196"/>
      <c r="AX253" s="196"/>
      <c r="AY253" s="196"/>
      <c r="AZ253" s="196"/>
      <c r="BA253" s="196"/>
      <c r="BB253" s="196"/>
      <c r="BC253" s="196"/>
      <c r="BD253" s="67">
        <f t="shared" ref="BD253:BU253" si="443">BD251/BD13</f>
        <v>0.13365018475723511</v>
      </c>
      <c r="BE253" s="67">
        <f t="shared" si="443"/>
        <v>4.980368528732132E-2</v>
      </c>
      <c r="BF253" s="67">
        <f t="shared" si="443"/>
        <v>4.1931601937098432E-2</v>
      </c>
      <c r="BG253" s="67">
        <f t="shared" si="443"/>
        <v>5.5286319073083769E-2</v>
      </c>
      <c r="BH253" s="67">
        <f t="shared" si="443"/>
        <v>0.11819141759305431</v>
      </c>
      <c r="BI253" s="67">
        <f t="shared" si="443"/>
        <v>0.11364533689604976</v>
      </c>
      <c r="BJ253" s="67">
        <f t="shared" si="443"/>
        <v>7.1957034454727078E-2</v>
      </c>
      <c r="BK253" s="67">
        <f t="shared" si="443"/>
        <v>0.16264184923758399</v>
      </c>
      <c r="BL253" s="67">
        <f t="shared" si="443"/>
        <v>0.12080268892871886</v>
      </c>
      <c r="BM253" s="67">
        <f t="shared" si="443"/>
        <v>5.4730027345133596E-2</v>
      </c>
      <c r="BN253" s="67">
        <f t="shared" si="443"/>
        <v>5.015226339481816E-2</v>
      </c>
      <c r="BO253" s="67">
        <f t="shared" si="443"/>
        <v>4.9290717565008788E-2</v>
      </c>
      <c r="BP253" s="67">
        <f t="shared" si="443"/>
        <v>4.9209169276715405E-2</v>
      </c>
      <c r="BQ253" s="67">
        <f t="shared" si="443"/>
        <v>4.9123833477825805E-2</v>
      </c>
      <c r="BR253" s="67">
        <f t="shared" si="443"/>
        <v>4.9123833477825805E-2</v>
      </c>
      <c r="BS253" s="67">
        <f t="shared" si="443"/>
        <v>4.9123833477825805E-2</v>
      </c>
      <c r="BT253" s="67">
        <f t="shared" si="443"/>
        <v>4.9123833477825805E-2</v>
      </c>
      <c r="BU253" s="67">
        <f t="shared" si="443"/>
        <v>4.9123833477825805E-2</v>
      </c>
      <c r="BX253" s="221">
        <f t="shared" si="334"/>
        <v>245</v>
      </c>
    </row>
    <row r="254" spans="1:76" hidden="1" outlineLevel="2">
      <c r="A254" s="180"/>
      <c r="B254" s="66" t="s">
        <v>81</v>
      </c>
      <c r="C254" s="196"/>
      <c r="D254" s="196"/>
      <c r="E254" s="196"/>
      <c r="F254" s="196"/>
      <c r="G254" s="196"/>
      <c r="H254" s="196"/>
      <c r="I254" s="196"/>
      <c r="J254" s="196"/>
      <c r="K254" s="196"/>
      <c r="L254" s="67">
        <f>L251/L250</f>
        <v>0.22901791461591026</v>
      </c>
      <c r="M254" s="67">
        <f>M251/M250</f>
        <v>0.88736815670517333</v>
      </c>
      <c r="N254" s="67">
        <f>N251/N250</f>
        <v>0.98099786919329801</v>
      </c>
      <c r="O254" s="67">
        <f>O251/O250</f>
        <v>0.52827067061309452</v>
      </c>
      <c r="P254" s="67">
        <f>P251/P250</f>
        <v>0.64911797070706334</v>
      </c>
      <c r="Q254" s="3"/>
      <c r="R254" s="196"/>
      <c r="S254" s="196"/>
      <c r="T254" s="196"/>
      <c r="U254" s="196"/>
      <c r="V254" s="196"/>
      <c r="W254" s="196"/>
      <c r="X254" s="196"/>
      <c r="Y254" s="196"/>
      <c r="Z254" s="196"/>
      <c r="AA254" s="196"/>
      <c r="AB254" s="196"/>
      <c r="AC254" s="196"/>
      <c r="AD254" s="196"/>
      <c r="AE254" s="196"/>
      <c r="AF254" s="196"/>
      <c r="AG254" s="196"/>
      <c r="AH254" s="196"/>
      <c r="AI254" s="196"/>
      <c r="AJ254" s="196"/>
      <c r="AK254" s="196"/>
      <c r="AL254" s="196"/>
      <c r="AM254" s="196"/>
      <c r="AN254" s="196"/>
      <c r="AO254" s="196"/>
      <c r="AP254" s="196"/>
      <c r="AQ254" s="196"/>
      <c r="AR254" s="196"/>
      <c r="AS254" s="196"/>
      <c r="AT254" s="196"/>
      <c r="AU254" s="196"/>
      <c r="AV254" s="196"/>
      <c r="AW254" s="196"/>
      <c r="AX254" s="196"/>
      <c r="AY254" s="196"/>
      <c r="AZ254" s="196"/>
      <c r="BA254" s="196"/>
      <c r="BB254" s="196"/>
      <c r="BC254" s="196"/>
      <c r="BD254" s="67">
        <f t="shared" ref="BD254:BU254" si="444">BD251/BD250</f>
        <v>0.21688187137754178</v>
      </c>
      <c r="BE254" s="67">
        <f>BE251/BE250</f>
        <v>0.25909341416368153</v>
      </c>
      <c r="BF254" s="67">
        <f>BF251/BF250</f>
        <v>0.33154446383300956</v>
      </c>
      <c r="BG254" s="67">
        <f>BG251/BG250</f>
        <v>0.54567946485842578</v>
      </c>
      <c r="BH254" s="67">
        <f>BH251/BH250</f>
        <v>1.2209548956800278</v>
      </c>
      <c r="BI254" s="67">
        <f>BI251/BI250</f>
        <v>1.1406612761188055</v>
      </c>
      <c r="BJ254" s="67">
        <f t="shared" si="444"/>
        <v>0.66370559810309393</v>
      </c>
      <c r="BK254" s="67">
        <f t="shared" si="444"/>
        <v>1.6490239240851321</v>
      </c>
      <c r="BL254" s="67">
        <f t="shared" si="444"/>
        <v>1.1599182879857473</v>
      </c>
      <c r="BM254" s="67">
        <f t="shared" si="444"/>
        <v>0.51720589738562139</v>
      </c>
      <c r="BN254" s="67">
        <f t="shared" si="444"/>
        <v>0.50797307572072081</v>
      </c>
      <c r="BO254" s="67">
        <f t="shared" si="444"/>
        <v>0.51685143380236087</v>
      </c>
      <c r="BP254" s="67">
        <f t="shared" si="444"/>
        <v>0.53559998839035905</v>
      </c>
      <c r="BQ254" s="67">
        <f t="shared" si="444"/>
        <v>0.55549071686295926</v>
      </c>
      <c r="BR254" s="67">
        <f t="shared" si="444"/>
        <v>0.59542987963476479</v>
      </c>
      <c r="BS254" s="67">
        <f t="shared" si="444"/>
        <v>0.63414398038827891</v>
      </c>
      <c r="BT254" s="67">
        <f t="shared" si="444"/>
        <v>0.67119917659209927</v>
      </c>
      <c r="BU254" s="67">
        <f t="shared" si="444"/>
        <v>0.70623986434128083</v>
      </c>
      <c r="BX254" s="221">
        <f t="shared" si="334"/>
        <v>246</v>
      </c>
    </row>
    <row r="255" spans="1:76" hidden="1" outlineLevel="2">
      <c r="A255" s="180"/>
      <c r="B255" s="66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X255" s="221">
        <f t="shared" si="334"/>
        <v>247</v>
      </c>
    </row>
    <row r="256" spans="1:76" hidden="1" outlineLevel="2">
      <c r="A256" s="180"/>
      <c r="B256" s="66" t="s">
        <v>80</v>
      </c>
      <c r="C256" s="196"/>
      <c r="D256" s="196"/>
      <c r="E256" s="196"/>
      <c r="F256" s="196"/>
      <c r="G256" s="196"/>
      <c r="H256" s="196"/>
      <c r="I256" s="196"/>
      <c r="J256" s="196"/>
      <c r="K256" s="196"/>
      <c r="L256" s="16">
        <f>L191/L250</f>
        <v>5.501153705225839</v>
      </c>
      <c r="M256" s="16">
        <f>M191/M250</f>
        <v>5.2776054746358607</v>
      </c>
      <c r="N256" s="16">
        <f>N191/N250</f>
        <v>4.5664043292266134</v>
      </c>
      <c r="O256" s="16">
        <f>O191/O250</f>
        <v>4.9992237185164887</v>
      </c>
      <c r="P256" s="16">
        <f>P191/P250</f>
        <v>6.8163414448255359</v>
      </c>
      <c r="Q256" s="3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  <c r="AD256" s="196"/>
      <c r="AE256" s="196"/>
      <c r="AF256" s="196"/>
      <c r="AG256" s="196"/>
      <c r="AH256" s="196"/>
      <c r="AI256" s="196"/>
      <c r="AJ256" s="196"/>
      <c r="AK256" s="196"/>
      <c r="AL256" s="196"/>
      <c r="AM256" s="196"/>
      <c r="AN256" s="196"/>
      <c r="AO256" s="196"/>
      <c r="AP256" s="196"/>
      <c r="AQ256" s="196"/>
      <c r="AR256" s="196"/>
      <c r="AS256" s="196"/>
      <c r="AT256" s="196"/>
      <c r="AU256" s="196"/>
      <c r="AV256" s="196"/>
      <c r="AW256" s="196"/>
      <c r="AX256" s="196"/>
      <c r="AY256" s="196"/>
      <c r="AZ256" s="196"/>
      <c r="BA256" s="196"/>
      <c r="BB256" s="196"/>
      <c r="BC256" s="196"/>
      <c r="BD256" s="16">
        <f t="shared" ref="BD256:BI256" si="445">BD191/(BD250*4)</f>
        <v>1.8821493599455157</v>
      </c>
      <c r="BE256" s="16">
        <f t="shared" si="445"/>
        <v>4.7835233535409198</v>
      </c>
      <c r="BF256" s="16">
        <f t="shared" si="445"/>
        <v>4.7372666513021437</v>
      </c>
      <c r="BG256" s="16">
        <f t="shared" si="445"/>
        <v>4.6346788234216083</v>
      </c>
      <c r="BH256" s="16">
        <f t="shared" si="445"/>
        <v>4.3504242056964761</v>
      </c>
      <c r="BI256" s="16">
        <f t="shared" si="445"/>
        <v>4.206113401649187</v>
      </c>
      <c r="BJ256" s="16">
        <f t="shared" ref="BJ256:BQ256" si="446">BJ191/(BJ250*4)</f>
        <v>4.0403861825856939</v>
      </c>
      <c r="BK256" s="16">
        <f t="shared" si="446"/>
        <v>4.4426344343476849</v>
      </c>
      <c r="BL256" s="16">
        <f t="shared" si="446"/>
        <v>4.2457799120502848</v>
      </c>
      <c r="BM256" s="16">
        <f t="shared" si="446"/>
        <v>4.1323091510544909</v>
      </c>
      <c r="BN256" s="16">
        <f t="shared" si="446"/>
        <v>4.3757792877496406</v>
      </c>
      <c r="BO256" s="16">
        <f t="shared" si="446"/>
        <v>4.6521428376954921</v>
      </c>
      <c r="BP256" s="16">
        <f t="shared" si="446"/>
        <v>4.9547972354571836</v>
      </c>
      <c r="BQ256" s="16">
        <f t="shared" si="446"/>
        <v>5.2776776230066282</v>
      </c>
      <c r="BR256" s="16">
        <f>BR191/BR250</f>
        <v>23.223976902451611</v>
      </c>
      <c r="BS256" s="16">
        <f>BS191/BS250</f>
        <v>25.36811460745831</v>
      </c>
      <c r="BT256" s="16">
        <f>BT191/BT250</f>
        <v>27.521659265789125</v>
      </c>
      <c r="BU256" s="16">
        <f>BU191/BU250</f>
        <v>29.664697478972776</v>
      </c>
      <c r="BX256" s="221">
        <f t="shared" si="334"/>
        <v>248</v>
      </c>
    </row>
    <row r="257" spans="1:76" hidden="1" outlineLevel="2">
      <c r="A257" s="180"/>
      <c r="B257" s="66" t="s">
        <v>79</v>
      </c>
      <c r="C257" s="196"/>
      <c r="D257" s="196"/>
      <c r="E257" s="196"/>
      <c r="F257" s="196"/>
      <c r="G257" s="196"/>
      <c r="H257" s="196"/>
      <c r="I257" s="196"/>
      <c r="J257" s="196"/>
      <c r="K257" s="196"/>
      <c r="L257" s="16">
        <f>-L192/L250</f>
        <v>2.5875875181968526</v>
      </c>
      <c r="M257" s="16">
        <f>-M192/M250</f>
        <v>2.339383475640382</v>
      </c>
      <c r="N257" s="16">
        <f>-N192/N250</f>
        <v>2.5892890566313009</v>
      </c>
      <c r="O257" s="16">
        <f>-O192/O250</f>
        <v>3.5351652996547682</v>
      </c>
      <c r="P257" s="16">
        <f>-P192/P250</f>
        <v>5.3611079736574991</v>
      </c>
      <c r="Q257" s="3"/>
      <c r="R257" s="196"/>
      <c r="S257" s="196"/>
      <c r="T257" s="196"/>
      <c r="U257" s="196"/>
      <c r="V257" s="196"/>
      <c r="W257" s="196"/>
      <c r="X257" s="196"/>
      <c r="Y257" s="196"/>
      <c r="Z257" s="196"/>
      <c r="AA257" s="196"/>
      <c r="AB257" s="196"/>
      <c r="AC257" s="196"/>
      <c r="AD257" s="196"/>
      <c r="AE257" s="196"/>
      <c r="AF257" s="196"/>
      <c r="AG257" s="196"/>
      <c r="AH257" s="196"/>
      <c r="AI257" s="196"/>
      <c r="AJ257" s="196"/>
      <c r="AK257" s="196"/>
      <c r="AL257" s="196"/>
      <c r="AM257" s="196"/>
      <c r="AN257" s="196"/>
      <c r="AO257" s="196"/>
      <c r="AP257" s="196"/>
      <c r="AQ257" s="196"/>
      <c r="AR257" s="196"/>
      <c r="AS257" s="196"/>
      <c r="AT257" s="196"/>
      <c r="AU257" s="196"/>
      <c r="AV257" s="196"/>
      <c r="AW257" s="196"/>
      <c r="AX257" s="196"/>
      <c r="AY257" s="196"/>
      <c r="AZ257" s="196"/>
      <c r="BA257" s="196"/>
      <c r="BB257" s="196"/>
      <c r="BC257" s="196"/>
      <c r="BD257" s="16">
        <f t="shared" ref="BD257:BI257" si="447">-BD192/(BD250*4)</f>
        <v>0.81663933173030145</v>
      </c>
      <c r="BE257" s="16">
        <f t="shared" si="447"/>
        <v>2.2500344447506198</v>
      </c>
      <c r="BF257" s="16">
        <f t="shared" si="447"/>
        <v>2.388840417476048</v>
      </c>
      <c r="BG257" s="16">
        <f t="shared" si="447"/>
        <v>2.4540303613427414</v>
      </c>
      <c r="BH257" s="16">
        <f t="shared" si="447"/>
        <v>1.9664206562202406</v>
      </c>
      <c r="BI257" s="16">
        <f t="shared" si="447"/>
        <v>1.8644273877191579</v>
      </c>
      <c r="BJ257" s="16">
        <f t="shared" ref="BJ257:BQ257" si="448">-BJ192/(BJ250*4)</f>
        <v>1.9674165892248652</v>
      </c>
      <c r="BK257" s="16">
        <f t="shared" si="448"/>
        <v>2.2125434479766191</v>
      </c>
      <c r="BL257" s="16">
        <f t="shared" si="448"/>
        <v>2.2200878506279667</v>
      </c>
      <c r="BM257" s="16">
        <f t="shared" si="448"/>
        <v>2.3431439907676621</v>
      </c>
      <c r="BN257" s="16">
        <f t="shared" si="448"/>
        <v>2.6591898897530473</v>
      </c>
      <c r="BO257" s="16">
        <f t="shared" si="448"/>
        <v>2.9986143340320011</v>
      </c>
      <c r="BP257" s="16">
        <f t="shared" si="448"/>
        <v>3.3573877278027355</v>
      </c>
      <c r="BQ257" s="16">
        <f t="shared" si="448"/>
        <v>3.7320719867991952</v>
      </c>
      <c r="BR257" s="16">
        <f>-BR192/BR250</f>
        <v>17.001615194850075</v>
      </c>
      <c r="BS257" s="16">
        <f>-BS192/BS250</f>
        <v>19.107038799103261</v>
      </c>
      <c r="BT257" s="16">
        <f>-BT192/BT250</f>
        <v>21.223528261230253</v>
      </c>
      <c r="BU257" s="16">
        <f>-BU192/BU250</f>
        <v>23.331525786664724</v>
      </c>
      <c r="BX257" s="221">
        <f t="shared" si="334"/>
        <v>249</v>
      </c>
    </row>
    <row r="258" spans="1:76" hidden="1" outlineLevel="2">
      <c r="A258" s="180"/>
      <c r="B258" s="8" t="s">
        <v>78</v>
      </c>
      <c r="C258" s="196"/>
      <c r="D258" s="196"/>
      <c r="E258" s="196"/>
      <c r="F258" s="196"/>
      <c r="G258" s="196"/>
      <c r="H258" s="196"/>
      <c r="I258" s="196"/>
      <c r="J258" s="196"/>
      <c r="K258" s="196"/>
      <c r="L258" s="16">
        <f>L193/L250</f>
        <v>2.9135661870289864</v>
      </c>
      <c r="M258" s="16">
        <f>M193/M250</f>
        <v>2.9382219989954796</v>
      </c>
      <c r="N258" s="16">
        <f>N193/N250</f>
        <v>1.9771152725953127</v>
      </c>
      <c r="O258" s="16">
        <f>O193/O250</f>
        <v>1.4640584188617203</v>
      </c>
      <c r="P258" s="16">
        <f>P193/P250</f>
        <v>1.4552334711680364</v>
      </c>
      <c r="Q258" s="40"/>
      <c r="R258" s="196"/>
      <c r="S258" s="196"/>
      <c r="T258" s="196"/>
      <c r="U258" s="196"/>
      <c r="V258" s="196"/>
      <c r="W258" s="196"/>
      <c r="X258" s="196"/>
      <c r="Y258" s="196"/>
      <c r="Z258" s="196"/>
      <c r="AA258" s="196"/>
      <c r="AB258" s="196"/>
      <c r="AC258" s="196"/>
      <c r="AD258" s="196"/>
      <c r="AE258" s="196"/>
      <c r="AF258" s="196"/>
      <c r="AG258" s="196"/>
      <c r="AH258" s="196"/>
      <c r="AI258" s="196"/>
      <c r="AJ258" s="196"/>
      <c r="AK258" s="196"/>
      <c r="AL258" s="196"/>
      <c r="AM258" s="196"/>
      <c r="AN258" s="196"/>
      <c r="AO258" s="196"/>
      <c r="AP258" s="196"/>
      <c r="AQ258" s="196"/>
      <c r="AR258" s="196"/>
      <c r="AS258" s="196"/>
      <c r="AT258" s="196"/>
      <c r="AU258" s="196"/>
      <c r="AV258" s="196"/>
      <c r="AW258" s="196"/>
      <c r="AX258" s="196"/>
      <c r="AY258" s="196"/>
      <c r="AZ258" s="196"/>
      <c r="BA258" s="196"/>
      <c r="BB258" s="196"/>
      <c r="BC258" s="196"/>
      <c r="BD258" s="16">
        <f t="shared" ref="BD258:BI258" si="449">BD193/(BD250*4)</f>
        <v>1.0655100282152139</v>
      </c>
      <c r="BE258" s="16">
        <f t="shared" si="449"/>
        <v>2.5334889087903005</v>
      </c>
      <c r="BF258" s="16">
        <f t="shared" si="449"/>
        <v>2.3484262338260953</v>
      </c>
      <c r="BG258" s="16">
        <f t="shared" si="449"/>
        <v>2.1806484620788664</v>
      </c>
      <c r="BH258" s="16">
        <f t="shared" si="449"/>
        <v>2.3840035494762355</v>
      </c>
      <c r="BI258" s="16">
        <f t="shared" si="449"/>
        <v>2.3416860139300297</v>
      </c>
      <c r="BJ258" s="16">
        <f t="shared" ref="BJ258:BQ258" si="450">BJ193/(BJ250*4)</f>
        <v>2.0729695933608285</v>
      </c>
      <c r="BK258" s="16">
        <f t="shared" si="450"/>
        <v>2.2300909863710658</v>
      </c>
      <c r="BL258" s="16">
        <f t="shared" si="450"/>
        <v>2.0256920614223182</v>
      </c>
      <c r="BM258" s="16">
        <f t="shared" si="450"/>
        <v>1.7891651602868293</v>
      </c>
      <c r="BN258" s="16">
        <f t="shared" si="450"/>
        <v>1.7165893979965938</v>
      </c>
      <c r="BO258" s="16">
        <f t="shared" si="450"/>
        <v>1.6535285036634912</v>
      </c>
      <c r="BP258" s="16">
        <f t="shared" si="450"/>
        <v>1.5974095076544481</v>
      </c>
      <c r="BQ258" s="16">
        <f t="shared" si="450"/>
        <v>1.5456056362074329</v>
      </c>
      <c r="BR258" s="16">
        <f>BR193/BR250</f>
        <v>6.2223617076015385</v>
      </c>
      <c r="BS258" s="16">
        <f>BS193/BS250</f>
        <v>6.2610758083550513</v>
      </c>
      <c r="BT258" s="16">
        <f>BT193/BT250</f>
        <v>6.298131004558873</v>
      </c>
      <c r="BU258" s="16">
        <f>BU193/BU250</f>
        <v>6.3331716923080519</v>
      </c>
      <c r="BX258" s="221">
        <f t="shared" si="334"/>
        <v>250</v>
      </c>
    </row>
    <row r="259" spans="1:76" hidden="1" outlineLevel="2">
      <c r="A259" s="180"/>
      <c r="B259" s="5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X259" s="221">
        <f t="shared" si="334"/>
        <v>251</v>
      </c>
    </row>
    <row r="260" spans="1:76" outlineLevel="1" collapsed="1">
      <c r="A260" s="180" t="s">
        <v>0</v>
      </c>
      <c r="B260" s="70" t="s">
        <v>77</v>
      </c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X260" s="221">
        <f t="shared" si="334"/>
        <v>252</v>
      </c>
    </row>
    <row r="261" spans="1:76" ht="11.25" hidden="1" customHeight="1" outlineLevel="2">
      <c r="A261" s="180"/>
      <c r="B261" s="8" t="s">
        <v>76</v>
      </c>
      <c r="C261" s="196"/>
      <c r="D261" s="196"/>
      <c r="E261" s="196"/>
      <c r="F261" s="196"/>
      <c r="G261" s="196"/>
      <c r="H261" s="196"/>
      <c r="I261" s="196"/>
      <c r="J261" s="16">
        <f t="shared" ref="J261:P262" si="451">AVERAGEIF($R$5:$BV$5,J$5,$R261:$BV261)</f>
        <v>103.01300000000001</v>
      </c>
      <c r="K261" s="16">
        <f t="shared" si="451"/>
        <v>103.01300000000001</v>
      </c>
      <c r="L261" s="16">
        <f t="shared" si="451"/>
        <v>103.01300000000001</v>
      </c>
      <c r="M261" s="16">
        <f t="shared" si="451"/>
        <v>107.3105</v>
      </c>
      <c r="N261" s="16">
        <f t="shared" si="451"/>
        <v>111.831</v>
      </c>
      <c r="O261" s="16">
        <f t="shared" si="451"/>
        <v>111.831</v>
      </c>
      <c r="P261" s="16">
        <f t="shared" si="451"/>
        <v>111.831</v>
      </c>
      <c r="Q261" s="16"/>
      <c r="R261" s="16">
        <f t="shared" ref="R261:AZ261" si="452">S261</f>
        <v>103.01300000000001</v>
      </c>
      <c r="S261" s="16">
        <f t="shared" si="452"/>
        <v>103.01300000000001</v>
      </c>
      <c r="T261" s="16">
        <f t="shared" si="452"/>
        <v>103.01300000000001</v>
      </c>
      <c r="U261" s="16">
        <f t="shared" si="452"/>
        <v>103.01300000000001</v>
      </c>
      <c r="V261" s="16">
        <f t="shared" si="452"/>
        <v>103.01300000000001</v>
      </c>
      <c r="W261" s="16">
        <f t="shared" si="452"/>
        <v>103.01300000000001</v>
      </c>
      <c r="X261" s="16">
        <f t="shared" si="452"/>
        <v>103.01300000000001</v>
      </c>
      <c r="Y261" s="16">
        <f t="shared" si="452"/>
        <v>103.01300000000001</v>
      </c>
      <c r="Z261" s="16">
        <f t="shared" si="452"/>
        <v>103.01300000000001</v>
      </c>
      <c r="AA261" s="16">
        <f t="shared" si="452"/>
        <v>103.01300000000001</v>
      </c>
      <c r="AB261" s="16">
        <f t="shared" si="452"/>
        <v>103.01300000000001</v>
      </c>
      <c r="AC261" s="16">
        <f t="shared" si="452"/>
        <v>103.01300000000001</v>
      </c>
      <c r="AD261" s="16">
        <f t="shared" si="452"/>
        <v>103.01300000000001</v>
      </c>
      <c r="AE261" s="16">
        <f t="shared" si="452"/>
        <v>103.01300000000001</v>
      </c>
      <c r="AF261" s="16">
        <f t="shared" si="452"/>
        <v>103.01300000000001</v>
      </c>
      <c r="AG261" s="16">
        <f t="shared" si="452"/>
        <v>103.01300000000001</v>
      </c>
      <c r="AH261" s="16">
        <f t="shared" si="452"/>
        <v>103.01300000000001</v>
      </c>
      <c r="AI261" s="16">
        <f t="shared" si="452"/>
        <v>103.01300000000001</v>
      </c>
      <c r="AJ261" s="16">
        <f t="shared" si="452"/>
        <v>103.01300000000001</v>
      </c>
      <c r="AK261" s="16">
        <f t="shared" si="452"/>
        <v>103.01300000000001</v>
      </c>
      <c r="AL261" s="16">
        <f t="shared" si="452"/>
        <v>103.01300000000001</v>
      </c>
      <c r="AM261" s="16">
        <f t="shared" si="452"/>
        <v>103.01300000000001</v>
      </c>
      <c r="AN261" s="16">
        <f t="shared" si="452"/>
        <v>103.01300000000001</v>
      </c>
      <c r="AO261" s="16">
        <f t="shared" si="452"/>
        <v>103.01300000000001</v>
      </c>
      <c r="AP261" s="16">
        <f t="shared" si="452"/>
        <v>103.01300000000001</v>
      </c>
      <c r="AQ261" s="16">
        <f t="shared" si="452"/>
        <v>103.01300000000001</v>
      </c>
      <c r="AR261" s="16">
        <f t="shared" si="452"/>
        <v>103.01300000000001</v>
      </c>
      <c r="AS261" s="16">
        <f t="shared" si="452"/>
        <v>103.01300000000001</v>
      </c>
      <c r="AT261" s="16">
        <f t="shared" si="452"/>
        <v>103.01300000000001</v>
      </c>
      <c r="AU261" s="16">
        <f t="shared" si="452"/>
        <v>103.01300000000001</v>
      </c>
      <c r="AV261" s="16">
        <f t="shared" si="452"/>
        <v>103.01300000000001</v>
      </c>
      <c r="AW261" s="16">
        <f t="shared" si="452"/>
        <v>103.01300000000001</v>
      </c>
      <c r="AX261" s="16">
        <f t="shared" si="452"/>
        <v>103.01300000000001</v>
      </c>
      <c r="AY261" s="16">
        <f t="shared" si="452"/>
        <v>103.01300000000001</v>
      </c>
      <c r="AZ261" s="16">
        <f t="shared" si="452"/>
        <v>103.01300000000001</v>
      </c>
      <c r="BA261" s="16">
        <f t="shared" ref="BA261:BC263" si="453">BB261</f>
        <v>103.01300000000001</v>
      </c>
      <c r="BB261" s="16">
        <f t="shared" si="453"/>
        <v>103.01300000000001</v>
      </c>
      <c r="BC261" s="16">
        <f t="shared" si="453"/>
        <v>103.01300000000001</v>
      </c>
      <c r="BD261" s="16">
        <f t="shared" ref="BD261:BE263" si="454">BE261</f>
        <v>103.01300000000001</v>
      </c>
      <c r="BE261" s="16">
        <f t="shared" si="454"/>
        <v>103.01300000000001</v>
      </c>
      <c r="BF261" s="233">
        <v>103.01300000000001</v>
      </c>
      <c r="BG261" s="65">
        <v>103.01300000000001</v>
      </c>
      <c r="BH261" s="65">
        <v>111.509</v>
      </c>
      <c r="BI261" s="65">
        <v>111.70699999999999</v>
      </c>
      <c r="BJ261" s="16">
        <f t="shared" ref="BJ261:BU261" si="455">AVERAGE(BI263:BJ263)</f>
        <v>111.831</v>
      </c>
      <c r="BK261" s="16">
        <f t="shared" si="455"/>
        <v>111.831</v>
      </c>
      <c r="BL261" s="16">
        <f t="shared" si="455"/>
        <v>111.831</v>
      </c>
      <c r="BM261" s="16">
        <f t="shared" si="455"/>
        <v>111.831</v>
      </c>
      <c r="BN261" s="16">
        <f t="shared" si="455"/>
        <v>111.831</v>
      </c>
      <c r="BO261" s="16">
        <f t="shared" si="455"/>
        <v>111.831</v>
      </c>
      <c r="BP261" s="16">
        <f t="shared" si="455"/>
        <v>111.831</v>
      </c>
      <c r="BQ261" s="16">
        <f t="shared" si="455"/>
        <v>111.831</v>
      </c>
      <c r="BR261" s="16">
        <f t="shared" si="455"/>
        <v>111.831</v>
      </c>
      <c r="BS261" s="16">
        <f t="shared" si="455"/>
        <v>111.831</v>
      </c>
      <c r="BT261" s="16">
        <f t="shared" si="455"/>
        <v>111.831</v>
      </c>
      <c r="BU261" s="16">
        <f t="shared" si="455"/>
        <v>111.831</v>
      </c>
      <c r="BX261" s="221">
        <f t="shared" si="334"/>
        <v>253</v>
      </c>
    </row>
    <row r="262" spans="1:76" ht="11.25" hidden="1" customHeight="1" outlineLevel="2">
      <c r="A262" s="180"/>
      <c r="B262" s="8" t="s">
        <v>75</v>
      </c>
      <c r="C262" s="196"/>
      <c r="D262" s="196"/>
      <c r="E262" s="196"/>
      <c r="F262" s="196"/>
      <c r="G262" s="196"/>
      <c r="H262" s="196"/>
      <c r="I262" s="196"/>
      <c r="J262" s="16">
        <f t="shared" si="451"/>
        <v>103.01300000000001</v>
      </c>
      <c r="K262" s="16">
        <f t="shared" si="451"/>
        <v>103.01300000000001</v>
      </c>
      <c r="L262" s="16">
        <f t="shared" si="451"/>
        <v>103.01300000000001</v>
      </c>
      <c r="M262" s="16">
        <f t="shared" si="451"/>
        <v>107.51163375</v>
      </c>
      <c r="N262" s="16">
        <f t="shared" si="451"/>
        <v>112.39015499999999</v>
      </c>
      <c r="O262" s="16">
        <f t="shared" si="451"/>
        <v>112.39015499999999</v>
      </c>
      <c r="P262" s="16">
        <f t="shared" si="451"/>
        <v>112.39015499999999</v>
      </c>
      <c r="Q262" s="16"/>
      <c r="R262" s="16">
        <f t="shared" ref="R262:AZ262" si="456">S262</f>
        <v>103.01300000000001</v>
      </c>
      <c r="S262" s="16">
        <f t="shared" si="456"/>
        <v>103.01300000000001</v>
      </c>
      <c r="T262" s="16">
        <f t="shared" si="456"/>
        <v>103.01300000000001</v>
      </c>
      <c r="U262" s="16">
        <f t="shared" si="456"/>
        <v>103.01300000000001</v>
      </c>
      <c r="V262" s="16">
        <f t="shared" si="456"/>
        <v>103.01300000000001</v>
      </c>
      <c r="W262" s="16">
        <f t="shared" si="456"/>
        <v>103.01300000000001</v>
      </c>
      <c r="X262" s="16">
        <f t="shared" si="456"/>
        <v>103.01300000000001</v>
      </c>
      <c r="Y262" s="16">
        <f t="shared" si="456"/>
        <v>103.01300000000001</v>
      </c>
      <c r="Z262" s="16">
        <f t="shared" si="456"/>
        <v>103.01300000000001</v>
      </c>
      <c r="AA262" s="16">
        <f t="shared" si="456"/>
        <v>103.01300000000001</v>
      </c>
      <c r="AB262" s="16">
        <f t="shared" si="456"/>
        <v>103.01300000000001</v>
      </c>
      <c r="AC262" s="16">
        <f t="shared" si="456"/>
        <v>103.01300000000001</v>
      </c>
      <c r="AD262" s="16">
        <f t="shared" si="456"/>
        <v>103.01300000000001</v>
      </c>
      <c r="AE262" s="16">
        <f t="shared" si="456"/>
        <v>103.01300000000001</v>
      </c>
      <c r="AF262" s="16">
        <f t="shared" si="456"/>
        <v>103.01300000000001</v>
      </c>
      <c r="AG262" s="16">
        <f t="shared" si="456"/>
        <v>103.01300000000001</v>
      </c>
      <c r="AH262" s="16">
        <f t="shared" si="456"/>
        <v>103.01300000000001</v>
      </c>
      <c r="AI262" s="16">
        <f t="shared" si="456"/>
        <v>103.01300000000001</v>
      </c>
      <c r="AJ262" s="16">
        <f t="shared" si="456"/>
        <v>103.01300000000001</v>
      </c>
      <c r="AK262" s="16">
        <f t="shared" si="456"/>
        <v>103.01300000000001</v>
      </c>
      <c r="AL262" s="16">
        <f t="shared" si="456"/>
        <v>103.01300000000001</v>
      </c>
      <c r="AM262" s="16">
        <f t="shared" si="456"/>
        <v>103.01300000000001</v>
      </c>
      <c r="AN262" s="16">
        <f t="shared" si="456"/>
        <v>103.01300000000001</v>
      </c>
      <c r="AO262" s="16">
        <f t="shared" si="456"/>
        <v>103.01300000000001</v>
      </c>
      <c r="AP262" s="16">
        <f t="shared" si="456"/>
        <v>103.01300000000001</v>
      </c>
      <c r="AQ262" s="16">
        <f t="shared" si="456"/>
        <v>103.01300000000001</v>
      </c>
      <c r="AR262" s="16">
        <f t="shared" si="456"/>
        <v>103.01300000000001</v>
      </c>
      <c r="AS262" s="16">
        <f t="shared" si="456"/>
        <v>103.01300000000001</v>
      </c>
      <c r="AT262" s="16">
        <f t="shared" si="456"/>
        <v>103.01300000000001</v>
      </c>
      <c r="AU262" s="16">
        <f t="shared" si="456"/>
        <v>103.01300000000001</v>
      </c>
      <c r="AV262" s="16">
        <f t="shared" si="456"/>
        <v>103.01300000000001</v>
      </c>
      <c r="AW262" s="16">
        <f t="shared" si="456"/>
        <v>103.01300000000001</v>
      </c>
      <c r="AX262" s="16">
        <f t="shared" si="456"/>
        <v>103.01300000000001</v>
      </c>
      <c r="AY262" s="16">
        <f t="shared" si="456"/>
        <v>103.01300000000001</v>
      </c>
      <c r="AZ262" s="16">
        <f t="shared" si="456"/>
        <v>103.01300000000001</v>
      </c>
      <c r="BA262" s="16">
        <f t="shared" si="453"/>
        <v>103.01300000000001</v>
      </c>
      <c r="BB262" s="16">
        <f t="shared" si="453"/>
        <v>103.01300000000001</v>
      </c>
      <c r="BC262" s="16">
        <f t="shared" si="453"/>
        <v>103.01300000000001</v>
      </c>
      <c r="BD262" s="16">
        <f t="shared" si="454"/>
        <v>103.01300000000001</v>
      </c>
      <c r="BE262" s="16">
        <f t="shared" si="454"/>
        <v>103.01300000000001</v>
      </c>
      <c r="BF262" s="234">
        <v>103.01300000000001</v>
      </c>
      <c r="BG262" s="65">
        <v>103.01300000000001</v>
      </c>
      <c r="BH262" s="65">
        <v>111.755</v>
      </c>
      <c r="BI262" s="246">
        <f t="shared" ref="BI262:BU262" si="457">BI264*BI261</f>
        <v>112.26553499999999</v>
      </c>
      <c r="BJ262" s="16">
        <f t="shared" si="457"/>
        <v>112.39015499999999</v>
      </c>
      <c r="BK262" s="16">
        <f t="shared" si="457"/>
        <v>112.39015499999999</v>
      </c>
      <c r="BL262" s="16">
        <f t="shared" si="457"/>
        <v>112.39015499999999</v>
      </c>
      <c r="BM262" s="16">
        <f t="shared" si="457"/>
        <v>112.39015499999999</v>
      </c>
      <c r="BN262" s="16">
        <f t="shared" si="457"/>
        <v>112.39015499999999</v>
      </c>
      <c r="BO262" s="16">
        <f t="shared" si="457"/>
        <v>112.39015499999999</v>
      </c>
      <c r="BP262" s="16">
        <f t="shared" si="457"/>
        <v>112.39015499999999</v>
      </c>
      <c r="BQ262" s="16">
        <f t="shared" si="457"/>
        <v>112.39015499999999</v>
      </c>
      <c r="BR262" s="16">
        <f t="shared" si="457"/>
        <v>112.39015499999999</v>
      </c>
      <c r="BS262" s="16">
        <f t="shared" si="457"/>
        <v>112.39015499999999</v>
      </c>
      <c r="BT262" s="16">
        <f t="shared" si="457"/>
        <v>112.39015499999999</v>
      </c>
      <c r="BU262" s="16">
        <f t="shared" si="457"/>
        <v>112.39015499999999</v>
      </c>
      <c r="BX262" s="221">
        <f t="shared" si="334"/>
        <v>254</v>
      </c>
    </row>
    <row r="263" spans="1:76" ht="11.25" hidden="1" customHeight="1" outlineLevel="2">
      <c r="A263" s="180"/>
      <c r="B263" s="8" t="s">
        <v>74</v>
      </c>
      <c r="C263" s="196"/>
      <c r="D263" s="196"/>
      <c r="E263" s="196"/>
      <c r="F263" s="196"/>
      <c r="G263" s="196"/>
      <c r="H263" s="196"/>
      <c r="I263" s="196"/>
      <c r="J263" s="16">
        <f t="shared" ref="J263:P263" si="458">INDEX($R263:$BV263,1,MATCH(J$4,$R$4:$BV$4,0))</f>
        <v>103.128</v>
      </c>
      <c r="K263" s="16">
        <f t="shared" si="458"/>
        <v>103.128</v>
      </c>
      <c r="L263" s="16">
        <f t="shared" si="458"/>
        <v>103.128</v>
      </c>
      <c r="M263" s="16">
        <f t="shared" si="458"/>
        <v>111.831</v>
      </c>
      <c r="N263" s="16">
        <f t="shared" si="458"/>
        <v>111.831</v>
      </c>
      <c r="O263" s="16">
        <f t="shared" si="458"/>
        <v>111.831</v>
      </c>
      <c r="P263" s="16">
        <f t="shared" si="458"/>
        <v>111.831</v>
      </c>
      <c r="Q263" s="16"/>
      <c r="R263" s="16">
        <f t="shared" ref="R263:AZ263" si="459">S263</f>
        <v>103.128</v>
      </c>
      <c r="S263" s="16">
        <f t="shared" si="459"/>
        <v>103.128</v>
      </c>
      <c r="T263" s="16">
        <f t="shared" si="459"/>
        <v>103.128</v>
      </c>
      <c r="U263" s="16">
        <f t="shared" si="459"/>
        <v>103.128</v>
      </c>
      <c r="V263" s="16">
        <f t="shared" si="459"/>
        <v>103.128</v>
      </c>
      <c r="W263" s="16">
        <f t="shared" si="459"/>
        <v>103.128</v>
      </c>
      <c r="X263" s="16">
        <f t="shared" si="459"/>
        <v>103.128</v>
      </c>
      <c r="Y263" s="16">
        <f t="shared" si="459"/>
        <v>103.128</v>
      </c>
      <c r="Z263" s="16">
        <f t="shared" si="459"/>
        <v>103.128</v>
      </c>
      <c r="AA263" s="16">
        <f t="shared" si="459"/>
        <v>103.128</v>
      </c>
      <c r="AB263" s="16">
        <f t="shared" si="459"/>
        <v>103.128</v>
      </c>
      <c r="AC263" s="16">
        <f t="shared" si="459"/>
        <v>103.128</v>
      </c>
      <c r="AD263" s="16">
        <f t="shared" si="459"/>
        <v>103.128</v>
      </c>
      <c r="AE263" s="16">
        <f t="shared" si="459"/>
        <v>103.128</v>
      </c>
      <c r="AF263" s="16">
        <f t="shared" si="459"/>
        <v>103.128</v>
      </c>
      <c r="AG263" s="16">
        <f t="shared" si="459"/>
        <v>103.128</v>
      </c>
      <c r="AH263" s="16">
        <f t="shared" si="459"/>
        <v>103.128</v>
      </c>
      <c r="AI263" s="16">
        <f t="shared" si="459"/>
        <v>103.128</v>
      </c>
      <c r="AJ263" s="16">
        <f t="shared" si="459"/>
        <v>103.128</v>
      </c>
      <c r="AK263" s="16">
        <f t="shared" si="459"/>
        <v>103.128</v>
      </c>
      <c r="AL263" s="16">
        <f t="shared" si="459"/>
        <v>103.128</v>
      </c>
      <c r="AM263" s="16">
        <f t="shared" si="459"/>
        <v>103.128</v>
      </c>
      <c r="AN263" s="16">
        <f t="shared" si="459"/>
        <v>103.128</v>
      </c>
      <c r="AO263" s="16">
        <f t="shared" si="459"/>
        <v>103.128</v>
      </c>
      <c r="AP263" s="16">
        <f t="shared" si="459"/>
        <v>103.128</v>
      </c>
      <c r="AQ263" s="16">
        <f t="shared" si="459"/>
        <v>103.128</v>
      </c>
      <c r="AR263" s="16">
        <f t="shared" si="459"/>
        <v>103.128</v>
      </c>
      <c r="AS263" s="16">
        <f t="shared" si="459"/>
        <v>103.128</v>
      </c>
      <c r="AT263" s="16">
        <f t="shared" si="459"/>
        <v>103.128</v>
      </c>
      <c r="AU263" s="16">
        <f t="shared" si="459"/>
        <v>103.128</v>
      </c>
      <c r="AV263" s="16">
        <f t="shared" si="459"/>
        <v>103.128</v>
      </c>
      <c r="AW263" s="16">
        <f t="shared" si="459"/>
        <v>103.128</v>
      </c>
      <c r="AX263" s="16">
        <f t="shared" si="459"/>
        <v>103.128</v>
      </c>
      <c r="AY263" s="16">
        <f t="shared" si="459"/>
        <v>103.128</v>
      </c>
      <c r="AZ263" s="16">
        <f t="shared" si="459"/>
        <v>103.128</v>
      </c>
      <c r="BA263" s="16">
        <f t="shared" si="453"/>
        <v>103.128</v>
      </c>
      <c r="BB263" s="16">
        <f t="shared" si="453"/>
        <v>103.128</v>
      </c>
      <c r="BC263" s="16">
        <f t="shared" si="453"/>
        <v>103.128</v>
      </c>
      <c r="BD263" s="16">
        <f t="shared" si="454"/>
        <v>103.128</v>
      </c>
      <c r="BE263" s="16">
        <f t="shared" si="454"/>
        <v>103.128</v>
      </c>
      <c r="BF263" s="232">
        <v>103.128</v>
      </c>
      <c r="BG263" s="65">
        <v>103.14700000000001</v>
      </c>
      <c r="BH263" s="248">
        <v>111.831</v>
      </c>
      <c r="BI263" s="248">
        <v>111.831</v>
      </c>
      <c r="BJ263" s="16">
        <f t="shared" ref="BJ263:BU263" si="460">BI263</f>
        <v>111.831</v>
      </c>
      <c r="BK263" s="16">
        <f t="shared" si="460"/>
        <v>111.831</v>
      </c>
      <c r="BL263" s="16">
        <f t="shared" si="460"/>
        <v>111.831</v>
      </c>
      <c r="BM263" s="16">
        <f t="shared" si="460"/>
        <v>111.831</v>
      </c>
      <c r="BN263" s="16">
        <f t="shared" si="460"/>
        <v>111.831</v>
      </c>
      <c r="BO263" s="16">
        <f t="shared" si="460"/>
        <v>111.831</v>
      </c>
      <c r="BP263" s="16">
        <f t="shared" si="460"/>
        <v>111.831</v>
      </c>
      <c r="BQ263" s="16">
        <f t="shared" si="460"/>
        <v>111.831</v>
      </c>
      <c r="BR263" s="16">
        <f t="shared" si="460"/>
        <v>111.831</v>
      </c>
      <c r="BS263" s="16">
        <f t="shared" si="460"/>
        <v>111.831</v>
      </c>
      <c r="BT263" s="16">
        <f t="shared" si="460"/>
        <v>111.831</v>
      </c>
      <c r="BU263" s="16">
        <f t="shared" si="460"/>
        <v>111.831</v>
      </c>
      <c r="BX263" s="221">
        <f t="shared" si="334"/>
        <v>255</v>
      </c>
    </row>
    <row r="264" spans="1:76" ht="11.25" hidden="1" customHeight="1" outlineLevel="2">
      <c r="A264" s="180"/>
      <c r="B264" s="66" t="s">
        <v>73</v>
      </c>
      <c r="C264" s="196"/>
      <c r="D264" s="196"/>
      <c r="E264" s="196"/>
      <c r="F264" s="196"/>
      <c r="G264" s="196"/>
      <c r="H264" s="196"/>
      <c r="I264" s="196"/>
      <c r="J264" s="64">
        <f t="shared" ref="J264:O264" si="461">+J262/J261</f>
        <v>1</v>
      </c>
      <c r="K264" s="64">
        <f t="shared" si="461"/>
        <v>1</v>
      </c>
      <c r="L264" s="64">
        <f t="shared" si="461"/>
        <v>1</v>
      </c>
      <c r="M264" s="64">
        <f t="shared" si="461"/>
        <v>1.0018743156541066</v>
      </c>
      <c r="N264" s="64">
        <f t="shared" si="461"/>
        <v>1.0049999999999999</v>
      </c>
      <c r="O264" s="64">
        <f t="shared" si="461"/>
        <v>1.0049999999999999</v>
      </c>
      <c r="P264" s="64">
        <f t="shared" ref="P264" si="462">+P262/P261</f>
        <v>1.0049999999999999</v>
      </c>
      <c r="Q264" s="3"/>
      <c r="R264" s="64">
        <f t="shared" ref="R264:AW264" si="463">+R262/R261</f>
        <v>1</v>
      </c>
      <c r="S264" s="64">
        <f t="shared" si="463"/>
        <v>1</v>
      </c>
      <c r="T264" s="64">
        <f t="shared" si="463"/>
        <v>1</v>
      </c>
      <c r="U264" s="64">
        <f t="shared" si="463"/>
        <v>1</v>
      </c>
      <c r="V264" s="64">
        <f t="shared" si="463"/>
        <v>1</v>
      </c>
      <c r="W264" s="64">
        <f t="shared" si="463"/>
        <v>1</v>
      </c>
      <c r="X264" s="64">
        <f t="shared" si="463"/>
        <v>1</v>
      </c>
      <c r="Y264" s="64">
        <f t="shared" si="463"/>
        <v>1</v>
      </c>
      <c r="Z264" s="64">
        <f t="shared" si="463"/>
        <v>1</v>
      </c>
      <c r="AA264" s="64">
        <f t="shared" si="463"/>
        <v>1</v>
      </c>
      <c r="AB264" s="64">
        <f t="shared" si="463"/>
        <v>1</v>
      </c>
      <c r="AC264" s="64">
        <f t="shared" si="463"/>
        <v>1</v>
      </c>
      <c r="AD264" s="64">
        <f t="shared" si="463"/>
        <v>1</v>
      </c>
      <c r="AE264" s="64">
        <f t="shared" si="463"/>
        <v>1</v>
      </c>
      <c r="AF264" s="64">
        <f t="shared" si="463"/>
        <v>1</v>
      </c>
      <c r="AG264" s="64">
        <f t="shared" si="463"/>
        <v>1</v>
      </c>
      <c r="AH264" s="64">
        <f t="shared" si="463"/>
        <v>1</v>
      </c>
      <c r="AI264" s="64">
        <f t="shared" si="463"/>
        <v>1</v>
      </c>
      <c r="AJ264" s="64">
        <f t="shared" si="463"/>
        <v>1</v>
      </c>
      <c r="AK264" s="64">
        <f t="shared" si="463"/>
        <v>1</v>
      </c>
      <c r="AL264" s="64">
        <f t="shared" si="463"/>
        <v>1</v>
      </c>
      <c r="AM264" s="64">
        <f t="shared" si="463"/>
        <v>1</v>
      </c>
      <c r="AN264" s="64">
        <f t="shared" si="463"/>
        <v>1</v>
      </c>
      <c r="AO264" s="64">
        <f t="shared" si="463"/>
        <v>1</v>
      </c>
      <c r="AP264" s="64">
        <f t="shared" si="463"/>
        <v>1</v>
      </c>
      <c r="AQ264" s="64">
        <f t="shared" si="463"/>
        <v>1</v>
      </c>
      <c r="AR264" s="64">
        <f t="shared" si="463"/>
        <v>1</v>
      </c>
      <c r="AS264" s="64">
        <f t="shared" si="463"/>
        <v>1</v>
      </c>
      <c r="AT264" s="64">
        <f t="shared" si="463"/>
        <v>1</v>
      </c>
      <c r="AU264" s="64">
        <f t="shared" si="463"/>
        <v>1</v>
      </c>
      <c r="AV264" s="64">
        <f t="shared" si="463"/>
        <v>1</v>
      </c>
      <c r="AW264" s="64">
        <f t="shared" si="463"/>
        <v>1</v>
      </c>
      <c r="AX264" s="64">
        <f t="shared" ref="AX264:BF264" si="464">+AX262/AX261</f>
        <v>1</v>
      </c>
      <c r="AY264" s="64">
        <f t="shared" si="464"/>
        <v>1</v>
      </c>
      <c r="AZ264" s="64">
        <f t="shared" si="464"/>
        <v>1</v>
      </c>
      <c r="BA264" s="64">
        <f t="shared" si="464"/>
        <v>1</v>
      </c>
      <c r="BB264" s="64">
        <f t="shared" si="464"/>
        <v>1</v>
      </c>
      <c r="BC264" s="64">
        <f t="shared" si="464"/>
        <v>1</v>
      </c>
      <c r="BD264" s="64">
        <f t="shared" si="464"/>
        <v>1</v>
      </c>
      <c r="BE264" s="64">
        <f t="shared" si="464"/>
        <v>1</v>
      </c>
      <c r="BF264" s="64">
        <f t="shared" si="464"/>
        <v>1</v>
      </c>
      <c r="BG264" s="64">
        <f t="shared" ref="BG264:BH264" si="465">+BG262/BG261</f>
        <v>1</v>
      </c>
      <c r="BH264" s="64">
        <f t="shared" si="465"/>
        <v>1.0022060999560574</v>
      </c>
      <c r="BI264" s="247">
        <f t="shared" ref="BI264:BU264" si="466">IF(BI41&gt;0,1.005,1)</f>
        <v>1.0049999999999999</v>
      </c>
      <c r="BJ264" s="231">
        <f t="shared" si="466"/>
        <v>1.0049999999999999</v>
      </c>
      <c r="BK264" s="231">
        <f t="shared" si="466"/>
        <v>1.0049999999999999</v>
      </c>
      <c r="BL264" s="231">
        <f t="shared" si="466"/>
        <v>1.0049999999999999</v>
      </c>
      <c r="BM264" s="231">
        <f t="shared" si="466"/>
        <v>1.0049999999999999</v>
      </c>
      <c r="BN264" s="231">
        <f t="shared" si="466"/>
        <v>1.0049999999999999</v>
      </c>
      <c r="BO264" s="231">
        <f t="shared" si="466"/>
        <v>1.0049999999999999</v>
      </c>
      <c r="BP264" s="231">
        <f t="shared" si="466"/>
        <v>1.0049999999999999</v>
      </c>
      <c r="BQ264" s="231">
        <f t="shared" si="466"/>
        <v>1.0049999999999999</v>
      </c>
      <c r="BR264" s="231">
        <f t="shared" si="466"/>
        <v>1.0049999999999999</v>
      </c>
      <c r="BS264" s="231">
        <f t="shared" si="466"/>
        <v>1.0049999999999999</v>
      </c>
      <c r="BT264" s="231">
        <f t="shared" si="466"/>
        <v>1.0049999999999999</v>
      </c>
      <c r="BU264" s="231">
        <f t="shared" si="466"/>
        <v>1.0049999999999999</v>
      </c>
      <c r="BX264" s="221">
        <f t="shared" si="334"/>
        <v>256</v>
      </c>
    </row>
    <row r="265" spans="1:76" ht="11.25" hidden="1" customHeight="1" outlineLevel="2" collapsed="1">
      <c r="A265" s="180"/>
      <c r="B265" s="66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X265" s="221">
        <f t="shared" si="334"/>
        <v>257</v>
      </c>
    </row>
    <row r="266" spans="1:76" ht="11.25" hidden="1" customHeight="1" outlineLevel="2">
      <c r="A266" s="180"/>
      <c r="B266" s="210" t="s">
        <v>72</v>
      </c>
      <c r="C266" s="196"/>
      <c r="D266" s="196"/>
      <c r="E266" s="196"/>
      <c r="F266" s="196"/>
      <c r="G266" s="196"/>
      <c r="H266" s="196"/>
      <c r="I266" s="196"/>
      <c r="J266" s="11">
        <f t="shared" ref="J266:P266" si="467">J41/J261</f>
        <v>-0.44252346333372428</v>
      </c>
      <c r="K266" s="11">
        <f t="shared" si="467"/>
        <v>-0.62751453420210968</v>
      </c>
      <c r="L266" s="11">
        <f t="shared" si="467"/>
        <v>-1.8114599182337909</v>
      </c>
      <c r="M266" s="11">
        <f t="shared" si="467"/>
        <v>-0.32841147883944316</v>
      </c>
      <c r="N266" s="11">
        <f t="shared" si="467"/>
        <v>1.1942866559482503</v>
      </c>
      <c r="O266" s="11">
        <f t="shared" si="467"/>
        <v>1.9581656789459434</v>
      </c>
      <c r="P266" s="11">
        <f t="shared" si="467"/>
        <v>2.3442348625316676</v>
      </c>
      <c r="Q266" s="3"/>
      <c r="R266" s="196"/>
      <c r="S266" s="196"/>
      <c r="T266" s="196"/>
      <c r="U266" s="196"/>
      <c r="V266" s="196"/>
      <c r="W266" s="196"/>
      <c r="X266" s="196"/>
      <c r="Y266" s="196"/>
      <c r="Z266" s="196"/>
      <c r="AA266" s="196"/>
      <c r="AB266" s="196"/>
      <c r="AC266" s="196"/>
      <c r="AD266" s="196"/>
      <c r="AE266" s="196"/>
      <c r="AF266" s="196"/>
      <c r="AG266" s="196"/>
      <c r="AH266" s="196"/>
      <c r="AI266" s="196"/>
      <c r="AJ266" s="196"/>
      <c r="AK266" s="196"/>
      <c r="AL266" s="196"/>
      <c r="AM266" s="196"/>
      <c r="AN266" s="196"/>
      <c r="AO266" s="196"/>
      <c r="AP266" s="196"/>
      <c r="AQ266" s="196"/>
      <c r="AR266" s="196"/>
      <c r="AS266" s="196"/>
      <c r="AT266" s="196"/>
      <c r="AU266" s="196"/>
      <c r="AV266" s="196"/>
      <c r="AW266" s="196"/>
      <c r="AX266" s="196"/>
      <c r="AY266" s="196"/>
      <c r="AZ266" s="196"/>
      <c r="BA266" s="196"/>
      <c r="BB266" s="11">
        <f t="shared" ref="BB266:BU266" si="468">BB41/BB261</f>
        <v>-0.47617804808132608</v>
      </c>
      <c r="BC266" s="11">
        <f t="shared" si="468"/>
        <v>-0.44355902479739112</v>
      </c>
      <c r="BD266" s="11">
        <f t="shared" si="468"/>
        <v>-0.52237140427482198</v>
      </c>
      <c r="BE266" s="11">
        <f t="shared" si="468"/>
        <v>-0.36935144108025203</v>
      </c>
      <c r="BF266" s="11">
        <f t="shared" si="468"/>
        <v>-0.69950394610388988</v>
      </c>
      <c r="BG266" s="11">
        <f t="shared" si="468"/>
        <v>-0.10868531156261811</v>
      </c>
      <c r="BH266" s="11">
        <f t="shared" si="468"/>
        <v>3.6454456590947766E-2</v>
      </c>
      <c r="BI266" s="11">
        <f t="shared" si="468"/>
        <v>0.39341312540843459</v>
      </c>
      <c r="BJ266" s="11">
        <f t="shared" si="468"/>
        <v>0.14992415400964557</v>
      </c>
      <c r="BK266" s="11">
        <f t="shared" si="468"/>
        <v>0.30132643408503557</v>
      </c>
      <c r="BL266" s="11">
        <f t="shared" si="468"/>
        <v>0.34095265108045253</v>
      </c>
      <c r="BM266" s="11">
        <f t="shared" si="468"/>
        <v>0.40208341677311632</v>
      </c>
      <c r="BN266" s="11">
        <f t="shared" si="468"/>
        <v>0.45518224142126218</v>
      </c>
      <c r="BO266" s="11">
        <f t="shared" si="468"/>
        <v>0.48404573785460137</v>
      </c>
      <c r="BP266" s="11">
        <f t="shared" si="468"/>
        <v>0.50102756551882632</v>
      </c>
      <c r="BQ266" s="11">
        <f t="shared" si="468"/>
        <v>0.51791013415125309</v>
      </c>
      <c r="BR266" s="11">
        <f t="shared" si="468"/>
        <v>0.54469508137925793</v>
      </c>
      <c r="BS266" s="11">
        <f t="shared" si="468"/>
        <v>0.58142631366390518</v>
      </c>
      <c r="BT266" s="11">
        <f t="shared" si="468"/>
        <v>0.60080869106702528</v>
      </c>
      <c r="BU266" s="11">
        <f t="shared" si="468"/>
        <v>0.6173047764214793</v>
      </c>
      <c r="BX266" s="221">
        <f t="shared" si="334"/>
        <v>258</v>
      </c>
    </row>
    <row r="267" spans="1:76" ht="11.25" hidden="1" customHeight="1" outlineLevel="2">
      <c r="A267" s="180"/>
      <c r="B267" s="210" t="s">
        <v>71</v>
      </c>
      <c r="C267" s="196"/>
      <c r="D267" s="196"/>
      <c r="E267" s="196"/>
      <c r="F267" s="196"/>
      <c r="G267" s="196"/>
      <c r="H267" s="196"/>
      <c r="I267" s="196"/>
      <c r="J267" s="11">
        <f t="shared" ref="J267:P267" si="469">(J41-J39)/J261</f>
        <v>-0.44252346333372428</v>
      </c>
      <c r="K267" s="11">
        <f t="shared" si="469"/>
        <v>-0.62751453420210968</v>
      </c>
      <c r="L267" s="11">
        <f t="shared" si="469"/>
        <v>-1.8114599182337909</v>
      </c>
      <c r="M267" s="11">
        <f t="shared" si="469"/>
        <v>-0.32841147883944316</v>
      </c>
      <c r="N267" s="11">
        <f t="shared" si="469"/>
        <v>1.1942866559482503</v>
      </c>
      <c r="O267" s="11">
        <f t="shared" si="469"/>
        <v>1.9581656789459434</v>
      </c>
      <c r="P267" s="11">
        <f t="shared" si="469"/>
        <v>2.3442348625316676</v>
      </c>
      <c r="Q267" s="3"/>
      <c r="R267" s="196"/>
      <c r="S267" s="196"/>
      <c r="T267" s="196"/>
      <c r="U267" s="196"/>
      <c r="V267" s="196"/>
      <c r="W267" s="196"/>
      <c r="X267" s="196"/>
      <c r="Y267" s="196"/>
      <c r="Z267" s="196"/>
      <c r="AA267" s="196"/>
      <c r="AB267" s="196"/>
      <c r="AC267" s="196"/>
      <c r="AD267" s="196"/>
      <c r="AE267" s="196"/>
      <c r="AF267" s="196"/>
      <c r="AG267" s="196"/>
      <c r="AH267" s="196"/>
      <c r="AI267" s="196"/>
      <c r="AJ267" s="196"/>
      <c r="AK267" s="196"/>
      <c r="AL267" s="196"/>
      <c r="AM267" s="196"/>
      <c r="AN267" s="196"/>
      <c r="AO267" s="196"/>
      <c r="AP267" s="196"/>
      <c r="AQ267" s="196"/>
      <c r="AR267" s="196"/>
      <c r="AS267" s="196"/>
      <c r="AT267" s="196"/>
      <c r="AU267" s="196"/>
      <c r="AV267" s="196"/>
      <c r="AW267" s="196"/>
      <c r="AX267" s="196"/>
      <c r="AY267" s="196"/>
      <c r="AZ267" s="196"/>
      <c r="BA267" s="196"/>
      <c r="BB267" s="11">
        <f t="shared" ref="BB267:BU267" si="470">(BB41-BB39)/BB261</f>
        <v>-0.47617804808132608</v>
      </c>
      <c r="BC267" s="11">
        <f t="shared" si="470"/>
        <v>-0.44355902479739112</v>
      </c>
      <c r="BD267" s="11">
        <f t="shared" si="470"/>
        <v>-0.52237140427482198</v>
      </c>
      <c r="BE267" s="11">
        <f t="shared" si="470"/>
        <v>-0.36935144108025203</v>
      </c>
      <c r="BF267" s="11">
        <f t="shared" si="470"/>
        <v>-0.69950394610388988</v>
      </c>
      <c r="BG267" s="11">
        <f t="shared" si="470"/>
        <v>-0.10868531156261811</v>
      </c>
      <c r="BH267" s="11">
        <f t="shared" si="470"/>
        <v>3.6454456590947766E-2</v>
      </c>
      <c r="BI267" s="11">
        <f t="shared" si="470"/>
        <v>0.39341312540843459</v>
      </c>
      <c r="BJ267" s="11">
        <f t="shared" si="470"/>
        <v>0.14992415400964557</v>
      </c>
      <c r="BK267" s="11">
        <f t="shared" si="470"/>
        <v>0.30132643408503557</v>
      </c>
      <c r="BL267" s="11">
        <f t="shared" si="470"/>
        <v>0.34095265108045253</v>
      </c>
      <c r="BM267" s="11">
        <f t="shared" si="470"/>
        <v>0.40208341677311632</v>
      </c>
      <c r="BN267" s="11">
        <f t="shared" si="470"/>
        <v>0.45518224142126218</v>
      </c>
      <c r="BO267" s="11">
        <f t="shared" si="470"/>
        <v>0.48404573785460137</v>
      </c>
      <c r="BP267" s="11">
        <f t="shared" si="470"/>
        <v>0.50102756551882632</v>
      </c>
      <c r="BQ267" s="11">
        <f t="shared" si="470"/>
        <v>0.51791013415125309</v>
      </c>
      <c r="BR267" s="11">
        <f t="shared" si="470"/>
        <v>0.54469508137925793</v>
      </c>
      <c r="BS267" s="11">
        <f t="shared" si="470"/>
        <v>0.58142631366390518</v>
      </c>
      <c r="BT267" s="11">
        <f t="shared" si="470"/>
        <v>0.60080869106702528</v>
      </c>
      <c r="BU267" s="11">
        <f t="shared" si="470"/>
        <v>0.6173047764214793</v>
      </c>
      <c r="BX267" s="221">
        <f t="shared" ref="BX267:BX330" si="471">+BX266+1</f>
        <v>259</v>
      </c>
    </row>
    <row r="268" spans="1:76" ht="11.25" hidden="1" customHeight="1" outlineLevel="2">
      <c r="A268" s="180"/>
      <c r="B268" s="66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X268" s="221">
        <f t="shared" si="471"/>
        <v>260</v>
      </c>
    </row>
    <row r="269" spans="1:76" ht="11.25" hidden="1" customHeight="1" outlineLevel="2">
      <c r="A269" s="180"/>
      <c r="B269" s="8" t="s">
        <v>70</v>
      </c>
      <c r="C269" s="196"/>
      <c r="D269" s="196"/>
      <c r="E269" s="196"/>
      <c r="F269" s="196"/>
      <c r="G269" s="196"/>
      <c r="H269" s="196"/>
      <c r="I269" s="196"/>
      <c r="J269" s="196"/>
      <c r="K269" s="63">
        <f t="shared" ref="K269:O269" si="472">K213/K$263</f>
        <v>0.77728647893879443</v>
      </c>
      <c r="L269" s="63">
        <f t="shared" si="472"/>
        <v>1.5733069583430299</v>
      </c>
      <c r="M269" s="63">
        <f t="shared" si="472"/>
        <v>4.5881106312203244</v>
      </c>
      <c r="N269" s="63">
        <f t="shared" si="472"/>
        <v>5.889702059548326</v>
      </c>
      <c r="O269" s="63">
        <f t="shared" si="472"/>
        <v>7.9551725108740197</v>
      </c>
      <c r="P269" s="63">
        <f t="shared" ref="P269" si="473">P213/P$263</f>
        <v>10.353059759595562</v>
      </c>
      <c r="Q269" s="3"/>
      <c r="R269" s="196"/>
      <c r="S269" s="196"/>
      <c r="T269" s="196"/>
      <c r="U269" s="196"/>
      <c r="V269" s="196"/>
      <c r="W269" s="196"/>
      <c r="X269" s="196"/>
      <c r="Y269" s="196"/>
      <c r="Z269" s="196"/>
      <c r="AA269" s="196"/>
      <c r="AB269" s="196"/>
      <c r="AC269" s="196"/>
      <c r="AD269" s="196"/>
      <c r="AE269" s="196"/>
      <c r="AF269" s="196"/>
      <c r="AG269" s="196"/>
      <c r="AH269" s="196"/>
      <c r="AI269" s="196"/>
      <c r="AJ269" s="196"/>
      <c r="AK269" s="196"/>
      <c r="AL269" s="196"/>
      <c r="AM269" s="196"/>
      <c r="AN269" s="196"/>
      <c r="AO269" s="196"/>
      <c r="AP269" s="196"/>
      <c r="AQ269" s="196"/>
      <c r="AR269" s="196"/>
      <c r="AS269" s="196"/>
      <c r="AT269" s="196"/>
      <c r="AU269" s="196"/>
      <c r="AV269" s="196"/>
      <c r="AW269" s="196"/>
      <c r="AX269" s="196"/>
      <c r="AY269" s="196"/>
      <c r="AZ269" s="196"/>
      <c r="BA269" s="63">
        <f t="shared" ref="BA269:BF269" si="474">BA213/BA$263</f>
        <v>0.77728647893879443</v>
      </c>
      <c r="BB269" s="63">
        <f t="shared" si="474"/>
        <v>0</v>
      </c>
      <c r="BC269" s="63">
        <f t="shared" si="474"/>
        <v>0</v>
      </c>
      <c r="BD269" s="63">
        <f t="shared" si="474"/>
        <v>1.9407047552556049</v>
      </c>
      <c r="BE269" s="63">
        <f t="shared" si="474"/>
        <v>1.5733069583430299</v>
      </c>
      <c r="BF269" s="63">
        <f t="shared" si="474"/>
        <v>3.2618008688232103</v>
      </c>
      <c r="BG269" s="63">
        <f t="shared" ref="BG269:BH269" si="475">BG213/BG$263</f>
        <v>3.1813916061543228</v>
      </c>
      <c r="BH269" s="63">
        <f t="shared" si="475"/>
        <v>4.1576396526902206</v>
      </c>
      <c r="BI269" s="63">
        <f t="shared" ref="BI269:BU269" si="476">BI213/BI$263</f>
        <v>4.5881106312203244</v>
      </c>
      <c r="BJ269" s="63">
        <f t="shared" si="476"/>
        <v>4.764860978324907</v>
      </c>
      <c r="BK269" s="63">
        <f t="shared" si="476"/>
        <v>5.0930136055048809</v>
      </c>
      <c r="BL269" s="63">
        <f t="shared" si="476"/>
        <v>5.4607924496802713</v>
      </c>
      <c r="BM269" s="63">
        <f t="shared" si="476"/>
        <v>5.889702059548326</v>
      </c>
      <c r="BN269" s="63">
        <f t="shared" si="476"/>
        <v>6.3717104940645255</v>
      </c>
      <c r="BO269" s="63">
        <f t="shared" si="476"/>
        <v>6.882582425014065</v>
      </c>
      <c r="BP269" s="63">
        <f t="shared" si="476"/>
        <v>7.4104361836278292</v>
      </c>
      <c r="BQ269" s="63">
        <f t="shared" si="476"/>
        <v>7.9551725108740197</v>
      </c>
      <c r="BR269" s="63">
        <f t="shared" si="476"/>
        <v>8.5266937853482165</v>
      </c>
      <c r="BS269" s="63">
        <f t="shared" si="476"/>
        <v>9.1170621633770992</v>
      </c>
      <c r="BT269" s="63">
        <f t="shared" si="476"/>
        <v>9.7268129188091041</v>
      </c>
      <c r="BU269" s="63">
        <f t="shared" si="476"/>
        <v>10.353059759595562</v>
      </c>
      <c r="BX269" s="221">
        <f t="shared" si="471"/>
        <v>261</v>
      </c>
    </row>
    <row r="270" spans="1:76" ht="11.25" hidden="1" customHeight="1" outlineLevel="2">
      <c r="A270" s="180"/>
      <c r="B270" s="8" t="s">
        <v>69</v>
      </c>
      <c r="C270" s="196"/>
      <c r="D270" s="196"/>
      <c r="E270" s="196"/>
      <c r="F270" s="196"/>
      <c r="G270" s="196"/>
      <c r="H270" s="196"/>
      <c r="I270" s="196"/>
      <c r="J270" s="196"/>
      <c r="K270" s="63">
        <f>(K213-K194-K195)/K$263</f>
        <v>-0.13903110697385773</v>
      </c>
      <c r="L270" s="63">
        <f t="shared" ref="L270:O270" si="477">(L213-L194-L195)/L$263</f>
        <v>0.65703785586843511</v>
      </c>
      <c r="M270" s="63">
        <f t="shared" si="477"/>
        <v>2.8690255832461493</v>
      </c>
      <c r="N270" s="63">
        <f t="shared" si="477"/>
        <v>4.1706170115741514</v>
      </c>
      <c r="O270" s="63">
        <f t="shared" si="477"/>
        <v>6.2360874628998451</v>
      </c>
      <c r="P270" s="63">
        <f t="shared" ref="P270" si="478">(P213-P194-P195)/P$263</f>
        <v>8.6339747116213879</v>
      </c>
      <c r="Q270" s="3"/>
      <c r="R270" s="196"/>
      <c r="S270" s="196"/>
      <c r="T270" s="196"/>
      <c r="U270" s="196"/>
      <c r="V270" s="196"/>
      <c r="W270" s="196"/>
      <c r="X270" s="196"/>
      <c r="Y270" s="196"/>
      <c r="Z270" s="196"/>
      <c r="AA270" s="196"/>
      <c r="AB270" s="196"/>
      <c r="AC270" s="196"/>
      <c r="AD270" s="196"/>
      <c r="AE270" s="196"/>
      <c r="AF270" s="196"/>
      <c r="AG270" s="196"/>
      <c r="AH270" s="196"/>
      <c r="AI270" s="196"/>
      <c r="AJ270" s="196"/>
      <c r="AK270" s="196"/>
      <c r="AL270" s="196"/>
      <c r="AM270" s="196"/>
      <c r="AN270" s="196"/>
      <c r="AO270" s="196"/>
      <c r="AP270" s="196"/>
      <c r="AQ270" s="196"/>
      <c r="AR270" s="196"/>
      <c r="AS270" s="196"/>
      <c r="AT270" s="196"/>
      <c r="AU270" s="196"/>
      <c r="AV270" s="196"/>
      <c r="AW270" s="196"/>
      <c r="AX270" s="196"/>
      <c r="AY270" s="196"/>
      <c r="AZ270" s="196"/>
      <c r="BA270" s="63">
        <f t="shared" ref="BA270" si="479">(BA213-BA194)/BA$263</f>
        <v>0.30329299511286945</v>
      </c>
      <c r="BB270" s="63">
        <f t="shared" ref="BB270:BG270" si="480">(BB213-BB194-BB195)/BB$263</f>
        <v>0</v>
      </c>
      <c r="BC270" s="63">
        <f t="shared" si="480"/>
        <v>0</v>
      </c>
      <c r="BD270" s="63">
        <f t="shared" si="480"/>
        <v>1.0092118532309364</v>
      </c>
      <c r="BE270" s="63">
        <f t="shared" si="480"/>
        <v>0.65703785586843511</v>
      </c>
      <c r="BF270" s="63">
        <f t="shared" si="480"/>
        <v>2.3587386548754945</v>
      </c>
      <c r="BG270" s="63">
        <f t="shared" si="480"/>
        <v>2.2899841973106336</v>
      </c>
      <c r="BH270" s="63">
        <f t="shared" ref="BH270:BI270" si="481">(BH213-BH194-BH195)/BH$263</f>
        <v>2.331768472069462</v>
      </c>
      <c r="BI270" s="63">
        <f t="shared" si="481"/>
        <v>2.8690255832461493</v>
      </c>
      <c r="BJ270" s="63">
        <f t="shared" ref="BJ270:BU270" si="482">(BJ213-BJ194-BJ195)/BJ$263</f>
        <v>3.0457759303507319</v>
      </c>
      <c r="BK270" s="63">
        <f t="shared" si="482"/>
        <v>3.3739285575307063</v>
      </c>
      <c r="BL270" s="63">
        <f t="shared" si="482"/>
        <v>3.7417074017060963</v>
      </c>
      <c r="BM270" s="63">
        <f t="shared" si="482"/>
        <v>4.1706170115741514</v>
      </c>
      <c r="BN270" s="63">
        <f t="shared" si="482"/>
        <v>4.65262544609035</v>
      </c>
      <c r="BO270" s="63">
        <f t="shared" si="482"/>
        <v>5.1634973770398904</v>
      </c>
      <c r="BP270" s="63">
        <f t="shared" si="482"/>
        <v>5.6913511356536546</v>
      </c>
      <c r="BQ270" s="63">
        <f t="shared" si="482"/>
        <v>6.2360874628998451</v>
      </c>
      <c r="BR270" s="63">
        <f t="shared" si="482"/>
        <v>6.807608737374041</v>
      </c>
      <c r="BS270" s="63">
        <f t="shared" si="482"/>
        <v>7.3979771154029246</v>
      </c>
      <c r="BT270" s="63">
        <f t="shared" si="482"/>
        <v>8.0077278708349304</v>
      </c>
      <c r="BU270" s="63">
        <f t="shared" si="482"/>
        <v>8.6339747116213879</v>
      </c>
      <c r="BX270" s="221">
        <f t="shared" si="471"/>
        <v>262</v>
      </c>
    </row>
    <row r="271" spans="1:76" ht="11.25" hidden="1" customHeight="1" outlineLevel="2">
      <c r="A271" s="180"/>
      <c r="B271" s="8"/>
      <c r="C271" s="196"/>
      <c r="D271" s="196"/>
      <c r="E271" s="196"/>
      <c r="F271" s="196"/>
      <c r="G271" s="196"/>
      <c r="H271" s="196"/>
      <c r="I271" s="196"/>
      <c r="J271" s="196"/>
      <c r="K271" s="63"/>
      <c r="L271" s="63"/>
      <c r="M271" s="63"/>
      <c r="N271" s="63"/>
      <c r="O271" s="63"/>
      <c r="P271" s="63"/>
      <c r="Q271" s="3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6"/>
      <c r="AC271" s="196"/>
      <c r="AD271" s="196"/>
      <c r="AE271" s="196"/>
      <c r="AF271" s="196"/>
      <c r="AG271" s="196"/>
      <c r="AH271" s="196"/>
      <c r="AI271" s="196"/>
      <c r="AJ271" s="196"/>
      <c r="AK271" s="196"/>
      <c r="AL271" s="196"/>
      <c r="AM271" s="196"/>
      <c r="AN271" s="196"/>
      <c r="AO271" s="196"/>
      <c r="AP271" s="196"/>
      <c r="AQ271" s="196"/>
      <c r="AR271" s="196"/>
      <c r="AS271" s="196"/>
      <c r="AT271" s="196"/>
      <c r="AU271" s="196"/>
      <c r="AV271" s="196"/>
      <c r="AW271" s="196"/>
      <c r="AX271" s="196"/>
      <c r="AY271" s="196"/>
      <c r="AZ271" s="196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X271" s="221">
        <f t="shared" si="471"/>
        <v>263</v>
      </c>
    </row>
    <row r="272" spans="1:76" ht="11.25" hidden="1" customHeight="1" outlineLevel="2">
      <c r="A272" s="180"/>
      <c r="B272" s="8" t="s">
        <v>354</v>
      </c>
      <c r="C272" s="196"/>
      <c r="D272" s="196"/>
      <c r="E272" s="196"/>
      <c r="F272" s="196"/>
      <c r="G272" s="196"/>
      <c r="H272" s="196"/>
      <c r="I272" s="196"/>
      <c r="J272" s="196"/>
      <c r="K272" s="22">
        <f>K193*1000/K$82</f>
        <v>480.078125</v>
      </c>
      <c r="L272" s="22">
        <f t="shared" ref="L272:O272" si="483">L193*1000/L$82</f>
        <v>311.57956049774953</v>
      </c>
      <c r="M272" s="22">
        <f t="shared" si="483"/>
        <v>441.82204389898516</v>
      </c>
      <c r="N272" s="22">
        <f t="shared" si="483"/>
        <v>359.5461335049086</v>
      </c>
      <c r="O272" s="22">
        <f t="shared" si="483"/>
        <v>261.77657260309411</v>
      </c>
      <c r="P272" s="22">
        <f t="shared" ref="P272" si="484">P193*1000/P$82</f>
        <v>210.92008253206595</v>
      </c>
      <c r="Q272" s="3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6"/>
      <c r="AC272" s="196"/>
      <c r="AD272" s="196"/>
      <c r="AE272" s="196"/>
      <c r="AF272" s="196"/>
      <c r="AG272" s="196"/>
      <c r="AH272" s="196"/>
      <c r="AI272" s="196"/>
      <c r="AJ272" s="196"/>
      <c r="AK272" s="196"/>
      <c r="AL272" s="196"/>
      <c r="AM272" s="196"/>
      <c r="AN272" s="196"/>
      <c r="AO272" s="196"/>
      <c r="AP272" s="196"/>
      <c r="AQ272" s="196"/>
      <c r="AR272" s="196"/>
      <c r="AS272" s="196"/>
      <c r="AT272" s="196"/>
      <c r="AU272" s="196"/>
      <c r="AV272" s="196"/>
      <c r="AW272" s="196"/>
      <c r="AX272" s="196"/>
      <c r="AY272" s="196"/>
      <c r="AZ272" s="196"/>
      <c r="BA272" s="63"/>
      <c r="BB272" s="63"/>
      <c r="BC272" s="63"/>
      <c r="BD272" s="22">
        <f t="shared" ref="BD272:BG272" si="485">BD193*1000/BD$82</f>
        <v>324.74556526343662</v>
      </c>
      <c r="BE272" s="22">
        <f t="shared" si="485"/>
        <v>311.57956049774953</v>
      </c>
      <c r="BF272" s="22">
        <f t="shared" si="485"/>
        <v>302.1604447974583</v>
      </c>
      <c r="BG272" s="22">
        <f t="shared" si="485"/>
        <v>302.4294413555732</v>
      </c>
      <c r="BH272" s="22">
        <f t="shared" ref="BH272:BI272" si="486">BH193*1000/BH$82</f>
        <v>380.07504852275179</v>
      </c>
      <c r="BI272" s="22">
        <f t="shared" si="486"/>
        <v>393.52533109102376</v>
      </c>
      <c r="BJ272" s="22">
        <f t="shared" ref="BJ272:BU272" si="487">BJ193*1000/BJ$82</f>
        <v>378.18716282569022</v>
      </c>
      <c r="BK272" s="22">
        <f t="shared" si="487"/>
        <v>376.22660401019891</v>
      </c>
      <c r="BL272" s="22">
        <f t="shared" si="487"/>
        <v>369.47243791792607</v>
      </c>
      <c r="BM272" s="22">
        <f t="shared" si="487"/>
        <v>346.12271989636247</v>
      </c>
      <c r="BN272" s="22">
        <f t="shared" si="487"/>
        <v>322.97882235780145</v>
      </c>
      <c r="BO272" s="22">
        <f t="shared" si="487"/>
        <v>300.991929079344</v>
      </c>
      <c r="BP272" s="22">
        <f t="shared" si="487"/>
        <v>280.59801610458771</v>
      </c>
      <c r="BQ272" s="22">
        <f t="shared" si="487"/>
        <v>261.77657260309411</v>
      </c>
      <c r="BR272" s="22">
        <f t="shared" si="487"/>
        <v>245.7952735289303</v>
      </c>
      <c r="BS272" s="22">
        <f t="shared" si="487"/>
        <v>232.22554280781927</v>
      </c>
      <c r="BT272" s="22">
        <f t="shared" si="487"/>
        <v>220.70347623557504</v>
      </c>
      <c r="BU272" s="22">
        <f t="shared" si="487"/>
        <v>210.92008253206595</v>
      </c>
      <c r="BX272" s="221">
        <f t="shared" si="471"/>
        <v>264</v>
      </c>
    </row>
    <row r="273" spans="1:76" ht="11.25" hidden="1" customHeight="1" outlineLevel="2">
      <c r="A273" s="180"/>
      <c r="B273" s="8" t="s">
        <v>355</v>
      </c>
      <c r="C273" s="196"/>
      <c r="D273" s="196"/>
      <c r="E273" s="196"/>
      <c r="F273" s="196"/>
      <c r="G273" s="196"/>
      <c r="H273" s="196"/>
      <c r="I273" s="196"/>
      <c r="J273" s="196"/>
      <c r="K273" s="22">
        <f>K213*1000/K$82</f>
        <v>250.5</v>
      </c>
      <c r="L273" s="22">
        <f t="shared" ref="L273:O273" si="488">L213*1000/L$82</f>
        <v>171.83161239078632</v>
      </c>
      <c r="M273" s="22">
        <f t="shared" si="488"/>
        <v>484.39273070568805</v>
      </c>
      <c r="N273" s="22">
        <f t="shared" si="488"/>
        <v>510.87940354574278</v>
      </c>
      <c r="O273" s="22">
        <f t="shared" si="488"/>
        <v>664.27843723244541</v>
      </c>
      <c r="P273" s="22">
        <f t="shared" ref="P273" si="489">P213*1000/P$82</f>
        <v>864.50851295525956</v>
      </c>
      <c r="Q273" s="3"/>
      <c r="R273" s="196"/>
      <c r="S273" s="196"/>
      <c r="T273" s="196"/>
      <c r="U273" s="196"/>
      <c r="V273" s="196"/>
      <c r="W273" s="196"/>
      <c r="X273" s="196"/>
      <c r="Y273" s="196"/>
      <c r="Z273" s="196"/>
      <c r="AA273" s="196"/>
      <c r="AB273" s="196"/>
      <c r="AC273" s="196"/>
      <c r="AD273" s="196"/>
      <c r="AE273" s="196"/>
      <c r="AF273" s="196"/>
      <c r="AG273" s="196"/>
      <c r="AH273" s="196"/>
      <c r="AI273" s="196"/>
      <c r="AJ273" s="196"/>
      <c r="AK273" s="196"/>
      <c r="AL273" s="196"/>
      <c r="AM273" s="196"/>
      <c r="AN273" s="196"/>
      <c r="AO273" s="196"/>
      <c r="AP273" s="196"/>
      <c r="AQ273" s="196"/>
      <c r="AR273" s="196"/>
      <c r="AS273" s="196"/>
      <c r="AT273" s="196"/>
      <c r="AU273" s="196"/>
      <c r="AV273" s="196"/>
      <c r="AW273" s="196"/>
      <c r="AX273" s="196"/>
      <c r="AY273" s="196"/>
      <c r="AZ273" s="196"/>
      <c r="BA273" s="63"/>
      <c r="BB273" s="63"/>
      <c r="BC273" s="63"/>
      <c r="BD273" s="22">
        <f t="shared" ref="BD273:BG273" si="490">BD213*1000/BD$82</f>
        <v>211.95763833730476</v>
      </c>
      <c r="BE273" s="22">
        <f t="shared" si="490"/>
        <v>171.83161239078632</v>
      </c>
      <c r="BF273" s="22">
        <f t="shared" si="490"/>
        <v>356.24357956049784</v>
      </c>
      <c r="BG273" s="22">
        <f t="shared" si="490"/>
        <v>347.52554937781304</v>
      </c>
      <c r="BH273" s="22">
        <f t="shared" ref="BH273:BI273" si="491">BH213*1000/BH$82</f>
        <v>401.08087125296532</v>
      </c>
      <c r="BI273" s="22">
        <f t="shared" si="491"/>
        <v>431.44250578095443</v>
      </c>
      <c r="BJ273" s="22">
        <f t="shared" ref="BJ273:BU273" si="492">BJ213*1000/BJ$82</f>
        <v>448.06320627879143</v>
      </c>
      <c r="BK273" s="22">
        <f t="shared" si="492"/>
        <v>441.77374792880852</v>
      </c>
      <c r="BL273" s="22">
        <f t="shared" si="492"/>
        <v>455.99095048735813</v>
      </c>
      <c r="BM273" s="22">
        <f t="shared" si="492"/>
        <v>491.80606385764338</v>
      </c>
      <c r="BN273" s="22">
        <f t="shared" si="492"/>
        <v>532.05507281070004</v>
      </c>
      <c r="BO273" s="22">
        <f t="shared" si="492"/>
        <v>574.71426184188761</v>
      </c>
      <c r="BP273" s="22">
        <f t="shared" si="492"/>
        <v>618.79147944841054</v>
      </c>
      <c r="BQ273" s="22">
        <f t="shared" si="492"/>
        <v>664.27843723244541</v>
      </c>
      <c r="BR273" s="22">
        <f t="shared" si="492"/>
        <v>712.00201060987592</v>
      </c>
      <c r="BS273" s="22">
        <f t="shared" si="492"/>
        <v>761.29936814831024</v>
      </c>
      <c r="BT273" s="22">
        <f t="shared" si="492"/>
        <v>812.21520666293895</v>
      </c>
      <c r="BU273" s="22">
        <f t="shared" si="492"/>
        <v>864.50851295525956</v>
      </c>
      <c r="BX273" s="221">
        <f t="shared" si="471"/>
        <v>265</v>
      </c>
    </row>
    <row r="274" spans="1:76" ht="11.25" hidden="1" customHeight="1" outlineLevel="2">
      <c r="A274" s="180"/>
      <c r="B274" s="5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X274" s="221">
        <f t="shared" si="471"/>
        <v>266</v>
      </c>
    </row>
    <row r="275" spans="1:76" outlineLevel="1" collapsed="1">
      <c r="A275" s="184" t="s">
        <v>0</v>
      </c>
      <c r="B275" s="54" t="s">
        <v>363</v>
      </c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X275" s="221">
        <f t="shared" si="471"/>
        <v>267</v>
      </c>
    </row>
    <row r="276" spans="1:76" hidden="1" outlineLevel="2">
      <c r="A276" s="180"/>
      <c r="B276" s="8" t="s">
        <v>68</v>
      </c>
      <c r="C276" s="196"/>
      <c r="D276" s="196"/>
      <c r="E276" s="196"/>
      <c r="F276" s="196"/>
      <c r="G276" s="196"/>
      <c r="H276" s="196"/>
      <c r="I276" s="196"/>
      <c r="J276" s="196"/>
      <c r="K276" s="61">
        <f t="shared" ref="K276:O276" si="493">SUM(K187:K189,K193:K197)-SUM(K201:K202,K204,K207:K208)</f>
        <v>241.91199999999998</v>
      </c>
      <c r="L276" s="61">
        <f t="shared" si="493"/>
        <v>391.15699999999998</v>
      </c>
      <c r="M276" s="61">
        <f t="shared" si="493"/>
        <v>699.91999999999985</v>
      </c>
      <c r="N276" s="61">
        <f t="shared" si="493"/>
        <v>696.76268067863521</v>
      </c>
      <c r="O276" s="61">
        <f t="shared" si="493"/>
        <v>595.79675382260587</v>
      </c>
      <c r="P276" s="61">
        <f t="shared" ref="P276" si="494">SUM(P187:P189,P193:P197)-SUM(P201:P202,P204,P207:P208)</f>
        <v>535.382038705171</v>
      </c>
      <c r="Q276" s="3"/>
      <c r="R276" s="196"/>
      <c r="S276" s="196"/>
      <c r="T276" s="196"/>
      <c r="U276" s="196"/>
      <c r="V276" s="196"/>
      <c r="W276" s="196"/>
      <c r="X276" s="196"/>
      <c r="Y276" s="196"/>
      <c r="Z276" s="196"/>
      <c r="AA276" s="196"/>
      <c r="AB276" s="196"/>
      <c r="AC276" s="196"/>
      <c r="AD276" s="196"/>
      <c r="AE276" s="196"/>
      <c r="AF276" s="196"/>
      <c r="AG276" s="196"/>
      <c r="AH276" s="196"/>
      <c r="AI276" s="196"/>
      <c r="AJ276" s="196"/>
      <c r="AK276" s="196"/>
      <c r="AL276" s="196"/>
      <c r="AM276" s="196"/>
      <c r="AN276" s="196"/>
      <c r="AO276" s="196"/>
      <c r="AP276" s="196"/>
      <c r="AQ276" s="196"/>
      <c r="AR276" s="196"/>
      <c r="AS276" s="196"/>
      <c r="AT276" s="196"/>
      <c r="AU276" s="196"/>
      <c r="AV276" s="196"/>
      <c r="AW276" s="196"/>
      <c r="AX276" s="196"/>
      <c r="AY276" s="196"/>
      <c r="AZ276" s="196"/>
      <c r="BA276" s="196"/>
      <c r="BB276" s="196"/>
      <c r="BC276" s="196"/>
      <c r="BD276" s="61">
        <f t="shared" ref="BD276:BU276" si="495">SUM(BD187:BD189,BD193:BD197)-SUM(BD201:BD202,BD204,BD207:BD208)</f>
        <v>416.24200000000002</v>
      </c>
      <c r="BE276" s="61">
        <f>SUM(BE187:BE189,BE193:BE197)-SUM(BE201:BE202,BE204,BE207:BE208)</f>
        <v>391.15699999999998</v>
      </c>
      <c r="BF276" s="61">
        <f>SUM(BF187:BF189,BF193:BF197)-SUM(BF201:BF202,BF204,BF207:BF208)</f>
        <v>403.0150000000001</v>
      </c>
      <c r="BG276" s="61">
        <f>SUM(BG187:BG189,BG193:BG197)-SUM(BG201:BG202,BG204,BG207:BG208)</f>
        <v>404.32800000000009</v>
      </c>
      <c r="BH276" s="61">
        <f>SUM(BH187:BH189,BH193:BH197)-SUM(BH201:BH202,BH204,BH207:BH208)</f>
        <v>676.43</v>
      </c>
      <c r="BI276" s="61">
        <f>SUM(BI187:BI189,BI193:BI197)-SUM(BI201:BI202,BI204,BI207:BI208)</f>
        <v>699.91999999999985</v>
      </c>
      <c r="BJ276" s="61">
        <f t="shared" si="495"/>
        <v>682.28392466226376</v>
      </c>
      <c r="BK276" s="61">
        <f t="shared" si="495"/>
        <v>721.50723893577799</v>
      </c>
      <c r="BL276" s="61">
        <f t="shared" si="495"/>
        <v>729.38211602330102</v>
      </c>
      <c r="BM276" s="61">
        <f t="shared" si="495"/>
        <v>696.76268067863521</v>
      </c>
      <c r="BN276" s="61">
        <f t="shared" si="495"/>
        <v>675.87542155717767</v>
      </c>
      <c r="BO276" s="61">
        <f t="shared" si="495"/>
        <v>646.74687424317585</v>
      </c>
      <c r="BP276" s="61">
        <f t="shared" si="495"/>
        <v>618.94444917865007</v>
      </c>
      <c r="BQ276" s="61">
        <f t="shared" si="495"/>
        <v>595.79675382260587</v>
      </c>
      <c r="BR276" s="61">
        <f t="shared" si="495"/>
        <v>578.8619717800434</v>
      </c>
      <c r="BS276" s="61">
        <f t="shared" si="495"/>
        <v>562.61241971434288</v>
      </c>
      <c r="BT276" s="61">
        <f t="shared" si="495"/>
        <v>546.56073892004815</v>
      </c>
      <c r="BU276" s="61">
        <f t="shared" si="495"/>
        <v>535.382038705171</v>
      </c>
      <c r="BX276" s="221">
        <f t="shared" si="471"/>
        <v>268</v>
      </c>
    </row>
    <row r="277" spans="1:76" hidden="1" outlineLevel="2">
      <c r="A277" s="184"/>
      <c r="B277" s="56" t="s">
        <v>67</v>
      </c>
      <c r="C277" s="196"/>
      <c r="D277" s="196"/>
      <c r="E277" s="196"/>
      <c r="F277" s="196"/>
      <c r="G277" s="196"/>
      <c r="H277" s="196"/>
      <c r="I277" s="196"/>
      <c r="J277" s="196"/>
      <c r="K277" s="61">
        <f t="shared" ref="K277:O277" si="496">SUM(K203,K206,K210:K212)-K186</f>
        <v>241.91200000000001</v>
      </c>
      <c r="L277" s="61">
        <f t="shared" si="496"/>
        <v>391.15699999999998</v>
      </c>
      <c r="M277" s="61">
        <f t="shared" si="496"/>
        <v>699.92</v>
      </c>
      <c r="N277" s="61">
        <f t="shared" si="496"/>
        <v>696.76268067863543</v>
      </c>
      <c r="O277" s="61">
        <f t="shared" si="496"/>
        <v>595.79675382260609</v>
      </c>
      <c r="P277" s="61">
        <f t="shared" ref="P277" si="497">SUM(P203,P206,P210:P212)-P186</f>
        <v>535.38203870517123</v>
      </c>
      <c r="Q277" s="3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6"/>
      <c r="AC277" s="196"/>
      <c r="AD277" s="196"/>
      <c r="AE277" s="196"/>
      <c r="AF277" s="196"/>
      <c r="AG277" s="196"/>
      <c r="AH277" s="196"/>
      <c r="AI277" s="196"/>
      <c r="AJ277" s="196"/>
      <c r="AK277" s="196"/>
      <c r="AL277" s="196"/>
      <c r="AM277" s="196"/>
      <c r="AN277" s="196"/>
      <c r="AO277" s="196"/>
      <c r="AP277" s="196"/>
      <c r="AQ277" s="196"/>
      <c r="AR277" s="196"/>
      <c r="AS277" s="196"/>
      <c r="AT277" s="196"/>
      <c r="AU277" s="196"/>
      <c r="AV277" s="196"/>
      <c r="AW277" s="196"/>
      <c r="AX277" s="196"/>
      <c r="AY277" s="196"/>
      <c r="AZ277" s="196"/>
      <c r="BA277" s="196"/>
      <c r="BB277" s="196"/>
      <c r="BC277" s="196"/>
      <c r="BD277" s="61">
        <f t="shared" ref="BD277:BU277" si="498">SUM(BD203,BD206,BD210:BD212)-BD186</f>
        <v>416.24199999999996</v>
      </c>
      <c r="BE277" s="61">
        <f>SUM(BE203,BE206,BE210:BE212)-BE186</f>
        <v>391.15699999999998</v>
      </c>
      <c r="BF277" s="61">
        <f>SUM(BF203,BF206,BF210:BF212)-BF186</f>
        <v>403.01499999999999</v>
      </c>
      <c r="BG277" s="61">
        <f>SUM(BG203,BG206,BG210:BG212)-BG186</f>
        <v>404.32799999999992</v>
      </c>
      <c r="BH277" s="61">
        <f>SUM(BH203,BH206,BH210:BH212)-BH186</f>
        <v>676.43000000000006</v>
      </c>
      <c r="BI277" s="61">
        <f>SUM(BI203,BI206,BI210:BI212)-BI186</f>
        <v>699.92</v>
      </c>
      <c r="BJ277" s="61">
        <f t="shared" si="498"/>
        <v>682.2839246622641</v>
      </c>
      <c r="BK277" s="61">
        <f t="shared" si="498"/>
        <v>721.5072389357781</v>
      </c>
      <c r="BL277" s="61">
        <f t="shared" si="498"/>
        <v>729.38211602330114</v>
      </c>
      <c r="BM277" s="61">
        <f t="shared" si="498"/>
        <v>696.76268067863543</v>
      </c>
      <c r="BN277" s="61">
        <f t="shared" si="498"/>
        <v>675.87542155717779</v>
      </c>
      <c r="BO277" s="61">
        <f t="shared" si="498"/>
        <v>646.74687424317585</v>
      </c>
      <c r="BP277" s="61">
        <f t="shared" si="498"/>
        <v>618.9444491786503</v>
      </c>
      <c r="BQ277" s="61">
        <f t="shared" si="498"/>
        <v>595.79675382260609</v>
      </c>
      <c r="BR277" s="61">
        <f t="shared" si="498"/>
        <v>578.86197178004329</v>
      </c>
      <c r="BS277" s="61">
        <f t="shared" si="498"/>
        <v>562.61241971434299</v>
      </c>
      <c r="BT277" s="61">
        <f t="shared" si="498"/>
        <v>546.56073892004827</v>
      </c>
      <c r="BU277" s="61">
        <f t="shared" si="498"/>
        <v>535.38203870517123</v>
      </c>
      <c r="BX277" s="221">
        <f t="shared" si="471"/>
        <v>269</v>
      </c>
    </row>
    <row r="278" spans="1:76" hidden="1" outlineLevel="2">
      <c r="A278" s="180"/>
      <c r="B278" s="8" t="s">
        <v>66</v>
      </c>
      <c r="C278" s="196"/>
      <c r="D278" s="196"/>
      <c r="E278" s="196"/>
      <c r="F278" s="196"/>
      <c r="G278" s="196"/>
      <c r="H278" s="196"/>
      <c r="I278" s="196"/>
      <c r="J278" s="196"/>
      <c r="K278" s="61">
        <f t="shared" ref="K278:P278" si="499">K29</f>
        <v>-30.632778784196731</v>
      </c>
      <c r="L278" s="61">
        <f t="shared" si="499"/>
        <v>-109.85889265921108</v>
      </c>
      <c r="M278" s="61">
        <f t="shared" si="499"/>
        <v>29.579999999999927</v>
      </c>
      <c r="N278" s="61">
        <f t="shared" si="499"/>
        <v>201.42589384147277</v>
      </c>
      <c r="O278" s="61">
        <f t="shared" si="499"/>
        <v>310.36034976564588</v>
      </c>
      <c r="P278" s="61">
        <f t="shared" si="499"/>
        <v>365.12704652151143</v>
      </c>
      <c r="Q278" s="3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6"/>
      <c r="AC278" s="196"/>
      <c r="AD278" s="196"/>
      <c r="AE278" s="196"/>
      <c r="AF278" s="196"/>
      <c r="AG278" s="196"/>
      <c r="AH278" s="196"/>
      <c r="AI278" s="196"/>
      <c r="AJ278" s="196"/>
      <c r="AK278" s="196"/>
      <c r="AL278" s="196"/>
      <c r="AM278" s="196"/>
      <c r="AN278" s="196"/>
      <c r="AO278" s="196"/>
      <c r="AP278" s="196"/>
      <c r="AQ278" s="196"/>
      <c r="AR278" s="196"/>
      <c r="AS278" s="196"/>
      <c r="AT278" s="196"/>
      <c r="AU278" s="196"/>
      <c r="AV278" s="196"/>
      <c r="AW278" s="196"/>
      <c r="AX278" s="196"/>
      <c r="AY278" s="196"/>
      <c r="AZ278" s="196"/>
      <c r="BA278" s="196"/>
      <c r="BB278" s="196"/>
      <c r="BC278" s="196"/>
      <c r="BD278" s="61">
        <f t="shared" ref="BD278:BU278" si="500">BD29</f>
        <v>-42.1847291848946</v>
      </c>
      <c r="BE278" s="61">
        <f t="shared" si="500"/>
        <v>-28.280999999999999</v>
      </c>
      <c r="BF278" s="61">
        <f t="shared" si="500"/>
        <v>-25.475000000000009</v>
      </c>
      <c r="BG278" s="61">
        <f t="shared" si="500"/>
        <v>-6.4339999999999797</v>
      </c>
      <c r="BH278" s="61">
        <f t="shared" si="500"/>
        <v>21.127999999999993</v>
      </c>
      <c r="BI278" s="61">
        <f t="shared" si="500"/>
        <v>40.361000000000004</v>
      </c>
      <c r="BJ278" s="61">
        <f t="shared" si="500"/>
        <v>29.099287890452146</v>
      </c>
      <c r="BK278" s="61">
        <f t="shared" si="500"/>
        <v>50.769721763030269</v>
      </c>
      <c r="BL278" s="61">
        <f t="shared" si="500"/>
        <v>56.414477545484729</v>
      </c>
      <c r="BM278" s="61">
        <f t="shared" si="500"/>
        <v>65.142406642505605</v>
      </c>
      <c r="BN278" s="61">
        <f t="shared" si="500"/>
        <v>72.718771638309192</v>
      </c>
      <c r="BO278" s="61">
        <f t="shared" si="500"/>
        <v>76.820443057715295</v>
      </c>
      <c r="BP278" s="61">
        <f t="shared" si="500"/>
        <v>79.218603066712646</v>
      </c>
      <c r="BQ278" s="61">
        <f t="shared" si="500"/>
        <v>81.602532002908703</v>
      </c>
      <c r="BR278" s="61">
        <f t="shared" si="500"/>
        <v>85.40619542720998</v>
      </c>
      <c r="BS278" s="61">
        <f t="shared" si="500"/>
        <v>90.635888344036118</v>
      </c>
      <c r="BT278" s="61">
        <f t="shared" si="500"/>
        <v>93.378222555405785</v>
      </c>
      <c r="BU278" s="61">
        <f t="shared" si="500"/>
        <v>95.706740194859549</v>
      </c>
      <c r="BX278" s="221">
        <f t="shared" si="471"/>
        <v>270</v>
      </c>
    </row>
    <row r="279" spans="1:76" hidden="1" outlineLevel="2">
      <c r="A279" s="180"/>
      <c r="B279" s="8" t="s">
        <v>65</v>
      </c>
      <c r="C279" s="196"/>
      <c r="D279" s="196"/>
      <c r="E279" s="196"/>
      <c r="F279" s="196"/>
      <c r="G279" s="196"/>
      <c r="H279" s="196"/>
      <c r="I279" s="196"/>
      <c r="J279" s="196"/>
      <c r="K279" s="61">
        <f t="shared" ref="K279:P279" si="501">K278*(1-K428)</f>
        <v>-19.911306209727876</v>
      </c>
      <c r="L279" s="61">
        <f t="shared" si="501"/>
        <v>-71.4082802284872</v>
      </c>
      <c r="M279" s="61">
        <f t="shared" si="501"/>
        <v>19.226999999999954</v>
      </c>
      <c r="N279" s="61">
        <f t="shared" si="501"/>
        <v>153.08367931951932</v>
      </c>
      <c r="O279" s="61">
        <f t="shared" si="501"/>
        <v>235.87386582189086</v>
      </c>
      <c r="P279" s="61">
        <f t="shared" si="501"/>
        <v>277.49655535634867</v>
      </c>
      <c r="Q279" s="3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6"/>
      <c r="AC279" s="196"/>
      <c r="AD279" s="196"/>
      <c r="AE279" s="196"/>
      <c r="AF279" s="196"/>
      <c r="AG279" s="196"/>
      <c r="AH279" s="196"/>
      <c r="AI279" s="196"/>
      <c r="AJ279" s="196"/>
      <c r="AK279" s="196"/>
      <c r="AL279" s="196"/>
      <c r="AM279" s="196"/>
      <c r="AN279" s="196"/>
      <c r="AO279" s="196"/>
      <c r="AP279" s="196"/>
      <c r="AQ279" s="196"/>
      <c r="AR279" s="196"/>
      <c r="AS279" s="196"/>
      <c r="AT279" s="196"/>
      <c r="AU279" s="196"/>
      <c r="AV279" s="196"/>
      <c r="AW279" s="196"/>
      <c r="AX279" s="196"/>
      <c r="AY279" s="196"/>
      <c r="AZ279" s="196"/>
      <c r="BA279" s="196"/>
      <c r="BB279" s="196"/>
      <c r="BC279" s="196"/>
      <c r="BD279" s="61">
        <f t="shared" ref="BD279:BU279" si="502">BD278*(1-BD428)</f>
        <v>-27.420073970181491</v>
      </c>
      <c r="BE279" s="61">
        <f t="shared" si="502"/>
        <v>-18.382649999999998</v>
      </c>
      <c r="BF279" s="61">
        <f t="shared" si="502"/>
        <v>-16.558750000000007</v>
      </c>
      <c r="BG279" s="61">
        <f t="shared" si="502"/>
        <v>-4.1820999999999868</v>
      </c>
      <c r="BH279" s="61">
        <f t="shared" si="502"/>
        <v>13.733199999999997</v>
      </c>
      <c r="BI279" s="61">
        <f t="shared" ref="BI279" si="503">BI278*(1-BI428)</f>
        <v>26.234650000000002</v>
      </c>
      <c r="BJ279" s="61">
        <f t="shared" si="502"/>
        <v>22.115458796743631</v>
      </c>
      <c r="BK279" s="61">
        <f t="shared" si="502"/>
        <v>38.584988539903001</v>
      </c>
      <c r="BL279" s="61">
        <f t="shared" si="502"/>
        <v>42.875002934568393</v>
      </c>
      <c r="BM279" s="61">
        <f t="shared" si="502"/>
        <v>49.508229048304258</v>
      </c>
      <c r="BN279" s="61">
        <f t="shared" si="502"/>
        <v>55.266266445114987</v>
      </c>
      <c r="BO279" s="61">
        <f t="shared" si="502"/>
        <v>58.383536723863628</v>
      </c>
      <c r="BP279" s="61">
        <f t="shared" si="502"/>
        <v>60.206138330701613</v>
      </c>
      <c r="BQ279" s="61">
        <f t="shared" si="502"/>
        <v>62.017924322210618</v>
      </c>
      <c r="BR279" s="61">
        <f t="shared" si="502"/>
        <v>64.908708524679582</v>
      </c>
      <c r="BS279" s="61">
        <f t="shared" si="502"/>
        <v>68.88327514146745</v>
      </c>
      <c r="BT279" s="61">
        <f t="shared" si="502"/>
        <v>70.967449142108393</v>
      </c>
      <c r="BU279" s="61">
        <f t="shared" si="502"/>
        <v>72.737122548093254</v>
      </c>
      <c r="BX279" s="221">
        <f t="shared" si="471"/>
        <v>271</v>
      </c>
    </row>
    <row r="280" spans="1:76" hidden="1" outlineLevel="2">
      <c r="A280" s="180"/>
      <c r="B280" s="8" t="s">
        <v>64</v>
      </c>
      <c r="C280" s="196"/>
      <c r="D280" s="196"/>
      <c r="E280" s="196"/>
      <c r="F280" s="196"/>
      <c r="G280" s="196"/>
      <c r="H280" s="196"/>
      <c r="I280" s="196"/>
      <c r="J280" s="196"/>
      <c r="K280" s="13">
        <f t="shared" ref="K280:P280" si="504">K279/K13</f>
        <v>-5.4379204920651202E-2</v>
      </c>
      <c r="L280" s="13">
        <f t="shared" si="504"/>
        <v>-0.16978888863054928</v>
      </c>
      <c r="M280" s="13">
        <f t="shared" si="504"/>
        <v>1.2468216650098115E-2</v>
      </c>
      <c r="N280" s="13">
        <f t="shared" si="504"/>
        <v>6.8035279517990668E-2</v>
      </c>
      <c r="O280" s="13">
        <f t="shared" si="504"/>
        <v>9.2192834720650985E-2</v>
      </c>
      <c r="P280" s="13">
        <f t="shared" si="504"/>
        <v>0.10818805219044081</v>
      </c>
      <c r="Q280" s="3"/>
      <c r="R280" s="196"/>
      <c r="S280" s="196"/>
      <c r="T280" s="196"/>
      <c r="U280" s="196"/>
      <c r="V280" s="196"/>
      <c r="W280" s="196"/>
      <c r="X280" s="196"/>
      <c r="Y280" s="196"/>
      <c r="Z280" s="196"/>
      <c r="AA280" s="196"/>
      <c r="AB280" s="196"/>
      <c r="AC280" s="196"/>
      <c r="AD280" s="196"/>
      <c r="AE280" s="196"/>
      <c r="AF280" s="196"/>
      <c r="AG280" s="196"/>
      <c r="AH280" s="196"/>
      <c r="AI280" s="196"/>
      <c r="AJ280" s="196"/>
      <c r="AK280" s="196"/>
      <c r="AL280" s="196"/>
      <c r="AM280" s="196"/>
      <c r="AN280" s="196"/>
      <c r="AO280" s="196"/>
      <c r="AP280" s="196"/>
      <c r="AQ280" s="196"/>
      <c r="AR280" s="196"/>
      <c r="AS280" s="196"/>
      <c r="AT280" s="196"/>
      <c r="AU280" s="196"/>
      <c r="AV280" s="196"/>
      <c r="AW280" s="196"/>
      <c r="AX280" s="196"/>
      <c r="AY280" s="196"/>
      <c r="AZ280" s="196"/>
      <c r="BA280" s="196"/>
      <c r="BB280" s="196"/>
      <c r="BC280" s="196"/>
      <c r="BD280" s="13">
        <f t="shared" ref="BD280:BU280" si="505">BD279/BD13</f>
        <v>-0.23485631582746794</v>
      </c>
      <c r="BE280" s="13">
        <f t="shared" si="505"/>
        <v>-0.12171280448643672</v>
      </c>
      <c r="BF280" s="13">
        <f t="shared" si="505"/>
        <v>-6.8950835509029695E-2</v>
      </c>
      <c r="BG280" s="13">
        <f t="shared" si="505"/>
        <v>-1.2942228659140383E-2</v>
      </c>
      <c r="BH280" s="13">
        <f t="shared" si="505"/>
        <v>2.8772559092566128E-2</v>
      </c>
      <c r="BI280" s="13">
        <f t="shared" si="505"/>
        <v>5.231340604997109E-2</v>
      </c>
      <c r="BJ280" s="13">
        <f t="shared" si="505"/>
        <v>4.4204523072760515E-2</v>
      </c>
      <c r="BK280" s="13">
        <f t="shared" si="505"/>
        <v>6.9987366791161451E-2</v>
      </c>
      <c r="BL280" s="13">
        <f t="shared" si="505"/>
        <v>7.3121162009259846E-2</v>
      </c>
      <c r="BM280" s="13">
        <f t="shared" si="505"/>
        <v>8.0883185958890436E-2</v>
      </c>
      <c r="BN280" s="13">
        <f t="shared" si="505"/>
        <v>8.6616510987612735E-2</v>
      </c>
      <c r="BO280" s="13">
        <f t="shared" si="505"/>
        <v>9.13576640984851E-2</v>
      </c>
      <c r="BP280" s="13">
        <f t="shared" si="505"/>
        <v>9.4053779448026648E-2</v>
      </c>
      <c r="BQ280" s="13">
        <f t="shared" si="505"/>
        <v>9.6716132922053236E-2</v>
      </c>
      <c r="BR280" s="13">
        <f t="shared" si="505"/>
        <v>0.10122427266117752</v>
      </c>
      <c r="BS280" s="13">
        <f t="shared" si="505"/>
        <v>0.1074225567446573</v>
      </c>
      <c r="BT280" s="13">
        <f t="shared" si="505"/>
        <v>0.11067279853977792</v>
      </c>
      <c r="BU280" s="13">
        <f t="shared" si="505"/>
        <v>0.11343258081615053</v>
      </c>
      <c r="BX280" s="221">
        <f t="shared" si="471"/>
        <v>272</v>
      </c>
    </row>
    <row r="281" spans="1:76" hidden="1" outlineLevel="2">
      <c r="A281" s="184"/>
      <c r="B281" s="56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X281" s="221">
        <f t="shared" si="471"/>
        <v>273</v>
      </c>
    </row>
    <row r="282" spans="1:76" hidden="1" outlineLevel="2">
      <c r="A282" s="184"/>
      <c r="B282" s="56" t="s">
        <v>63</v>
      </c>
      <c r="C282" s="196"/>
      <c r="D282" s="196"/>
      <c r="E282" s="196"/>
      <c r="F282" s="196"/>
      <c r="G282" s="196"/>
      <c r="H282" s="196"/>
      <c r="I282" s="196"/>
      <c r="J282" s="196"/>
      <c r="K282" s="62">
        <f t="shared" ref="K282:P282" si="506">K13/AVERAGE(K276:K276)</f>
        <v>1.5135943078888192</v>
      </c>
      <c r="L282" s="62">
        <f t="shared" si="506"/>
        <v>1.0751973902039336</v>
      </c>
      <c r="M282" s="62">
        <f t="shared" si="506"/>
        <v>2.2032246542462004</v>
      </c>
      <c r="N282" s="62">
        <f t="shared" si="506"/>
        <v>3.2293107407112904</v>
      </c>
      <c r="O282" s="62">
        <f t="shared" si="506"/>
        <v>4.2942223060087228</v>
      </c>
      <c r="P282" s="62">
        <f t="shared" si="506"/>
        <v>4.7908712245930074</v>
      </c>
      <c r="Q282" s="3"/>
      <c r="R282" s="196"/>
      <c r="S282" s="196"/>
      <c r="T282" s="196"/>
      <c r="U282" s="196"/>
      <c r="V282" s="196"/>
      <c r="W282" s="196"/>
      <c r="X282" s="196"/>
      <c r="Y282" s="196"/>
      <c r="Z282" s="196"/>
      <c r="AA282" s="196"/>
      <c r="AB282" s="196"/>
      <c r="AC282" s="196"/>
      <c r="AD282" s="196"/>
      <c r="AE282" s="196"/>
      <c r="AF282" s="196"/>
      <c r="AG282" s="196"/>
      <c r="AH282" s="196"/>
      <c r="AI282" s="196"/>
      <c r="AJ282" s="196"/>
      <c r="AK282" s="196"/>
      <c r="AL282" s="196"/>
      <c r="AM282" s="196"/>
      <c r="AN282" s="196"/>
      <c r="AO282" s="196"/>
      <c r="AP282" s="196"/>
      <c r="AQ282" s="196"/>
      <c r="AR282" s="196"/>
      <c r="AS282" s="196"/>
      <c r="AT282" s="196"/>
      <c r="AU282" s="196"/>
      <c r="AV282" s="196"/>
      <c r="AW282" s="196"/>
      <c r="AX282" s="196"/>
      <c r="AY282" s="196"/>
      <c r="AZ282" s="196"/>
      <c r="BA282" s="196"/>
      <c r="BB282" s="196"/>
      <c r="BC282" s="196"/>
      <c r="BD282" s="62">
        <f t="shared" ref="BD282:BU282" si="507">4*BD13/AVERAGE(BD276:BD276)</f>
        <v>1.1219679985200917</v>
      </c>
      <c r="BE282" s="62">
        <f t="shared" si="507"/>
        <v>1.5444744693307293</v>
      </c>
      <c r="BF282" s="62">
        <f t="shared" si="507"/>
        <v>2.3835638872002276</v>
      </c>
      <c r="BG282" s="62">
        <f t="shared" si="507"/>
        <v>3.1967709384460137</v>
      </c>
      <c r="BH282" s="62">
        <f t="shared" si="507"/>
        <v>2.8224768268704818</v>
      </c>
      <c r="BI282" s="62">
        <f t="shared" si="507"/>
        <v>2.8659846839638821</v>
      </c>
      <c r="BJ282" s="62">
        <f t="shared" si="507"/>
        <v>2.9330812696350832</v>
      </c>
      <c r="BK282" s="62">
        <f t="shared" si="507"/>
        <v>3.0564550998168043</v>
      </c>
      <c r="BL282" s="62">
        <f t="shared" si="507"/>
        <v>3.2156291669319592</v>
      </c>
      <c r="BM282" s="62">
        <f t="shared" si="507"/>
        <v>3.5139392730699512</v>
      </c>
      <c r="BN282" s="62">
        <f t="shared" si="507"/>
        <v>3.7761807890410437</v>
      </c>
      <c r="BO282" s="62">
        <f t="shared" si="507"/>
        <v>3.9524926055275844</v>
      </c>
      <c r="BP282" s="62">
        <f t="shared" si="507"/>
        <v>4.1368791976215418</v>
      </c>
      <c r="BQ282" s="62">
        <f t="shared" si="507"/>
        <v>4.3050694501773625</v>
      </c>
      <c r="BR282" s="62">
        <f t="shared" si="507"/>
        <v>4.4310155588717342</v>
      </c>
      <c r="BS282" s="62">
        <f t="shared" si="507"/>
        <v>4.5589935691409949</v>
      </c>
      <c r="BT282" s="62">
        <f t="shared" si="507"/>
        <v>4.6928844696467449</v>
      </c>
      <c r="BU282" s="62">
        <f t="shared" si="507"/>
        <v>4.7908712245930074</v>
      </c>
      <c r="BX282" s="221">
        <f t="shared" si="471"/>
        <v>274</v>
      </c>
    </row>
    <row r="283" spans="1:76" hidden="1" outlineLevel="2">
      <c r="A283" s="180"/>
      <c r="B283" s="8" t="s">
        <v>62</v>
      </c>
      <c r="C283" s="196"/>
      <c r="D283" s="196"/>
      <c r="E283" s="196"/>
      <c r="F283" s="196"/>
      <c r="G283" s="196"/>
      <c r="H283" s="196"/>
      <c r="I283" s="196"/>
      <c r="J283" s="196"/>
      <c r="K283" s="7">
        <f t="shared" ref="K283:P283" si="508">(K279)/AVERAGE(J276:K276)</f>
        <v>-8.2308055035417327E-2</v>
      </c>
      <c r="L283" s="7">
        <f t="shared" si="508"/>
        <v>-0.22559398810710113</v>
      </c>
      <c r="M283" s="7">
        <f t="shared" si="508"/>
        <v>3.5244075349402396E-2</v>
      </c>
      <c r="N283" s="7">
        <f t="shared" si="508"/>
        <v>0.2192103925068182</v>
      </c>
      <c r="O283" s="7">
        <f t="shared" si="508"/>
        <v>0.36497179089162324</v>
      </c>
      <c r="P283" s="7">
        <f t="shared" si="508"/>
        <v>0.49063252810149299</v>
      </c>
      <c r="Q283" s="7"/>
      <c r="R283" s="196"/>
      <c r="S283" s="196"/>
      <c r="T283" s="196"/>
      <c r="U283" s="196"/>
      <c r="V283" s="196"/>
      <c r="W283" s="196"/>
      <c r="X283" s="196"/>
      <c r="Y283" s="196"/>
      <c r="Z283" s="196"/>
      <c r="AA283" s="196"/>
      <c r="AB283" s="196"/>
      <c r="AC283" s="196"/>
      <c r="AD283" s="196"/>
      <c r="AE283" s="196"/>
      <c r="AF283" s="196"/>
      <c r="AG283" s="196"/>
      <c r="AH283" s="196"/>
      <c r="AI283" s="196"/>
      <c r="AJ283" s="196"/>
      <c r="AK283" s="196"/>
      <c r="AL283" s="196"/>
      <c r="AM283" s="196"/>
      <c r="AN283" s="196"/>
      <c r="AO283" s="196"/>
      <c r="AP283" s="196"/>
      <c r="AQ283" s="196"/>
      <c r="AR283" s="196"/>
      <c r="AS283" s="196"/>
      <c r="AT283" s="196"/>
      <c r="AU283" s="196"/>
      <c r="AV283" s="196"/>
      <c r="AW283" s="196"/>
      <c r="AX283" s="196"/>
      <c r="AY283" s="196"/>
      <c r="AZ283" s="196"/>
      <c r="BA283" s="196"/>
      <c r="BB283" s="196"/>
      <c r="BC283" s="196"/>
      <c r="BD283" s="7">
        <f t="shared" ref="BD283:BU283" si="509">(BD279*4)/AVERAGE(BC276:BD276)</f>
        <v>-0.26350127060874673</v>
      </c>
      <c r="BE283" s="7">
        <f t="shared" si="509"/>
        <v>-0.18214191496397689</v>
      </c>
      <c r="BF283" s="7">
        <f t="shared" si="509"/>
        <v>-0.16680265735885935</v>
      </c>
      <c r="BG283" s="7">
        <f t="shared" si="509"/>
        <v>-4.1440626846334067E-2</v>
      </c>
      <c r="BH283" s="7">
        <f t="shared" si="509"/>
        <v>0.10165605991350513</v>
      </c>
      <c r="BI283" s="7">
        <f t="shared" si="509"/>
        <v>0.15248824790205981</v>
      </c>
      <c r="BJ283" s="7">
        <f t="shared" si="509"/>
        <v>0.12800113443259084</v>
      </c>
      <c r="BK283" s="7">
        <f t="shared" si="509"/>
        <v>0.21989019187729458</v>
      </c>
      <c r="BL283" s="7">
        <f t="shared" si="509"/>
        <v>0.23640674066853373</v>
      </c>
      <c r="BM283" s="7">
        <f t="shared" si="509"/>
        <v>0.27771782591947547</v>
      </c>
      <c r="BN283" s="7">
        <f t="shared" si="509"/>
        <v>0.3221024761302772</v>
      </c>
      <c r="BO283" s="7">
        <f t="shared" si="509"/>
        <v>0.35313807673888764</v>
      </c>
      <c r="BP283" s="7">
        <f t="shared" si="509"/>
        <v>0.38054231528068261</v>
      </c>
      <c r="BQ283" s="7">
        <f t="shared" si="509"/>
        <v>0.40843547033052435</v>
      </c>
      <c r="BR283" s="7">
        <f t="shared" si="509"/>
        <v>0.44206002720579934</v>
      </c>
      <c r="BS283" s="7">
        <f t="shared" si="509"/>
        <v>0.48276702941210897</v>
      </c>
      <c r="BT283" s="7">
        <f t="shared" si="509"/>
        <v>0.51185839534366806</v>
      </c>
      <c r="BU283" s="7">
        <f t="shared" si="509"/>
        <v>0.53782602224302933</v>
      </c>
      <c r="BX283" s="221">
        <f t="shared" si="471"/>
        <v>275</v>
      </c>
    </row>
    <row r="284" spans="1:76" hidden="1" outlineLevel="2">
      <c r="A284" s="184"/>
      <c r="B284" s="56" t="s">
        <v>61</v>
      </c>
      <c r="C284" s="196"/>
      <c r="D284" s="196"/>
      <c r="E284" s="196"/>
      <c r="F284" s="196"/>
      <c r="G284" s="196"/>
      <c r="H284" s="196"/>
      <c r="I284" s="196"/>
      <c r="J284" s="196"/>
      <c r="K284" s="62">
        <f t="shared" ref="K284:P284" si="510">(K34)/AVERAGE(J213:K213)</f>
        <v>-0.45774272889504353</v>
      </c>
      <c r="L284" s="62">
        <f t="shared" si="510"/>
        <v>-1.2117226775837093</v>
      </c>
      <c r="M284" s="62">
        <f t="shared" si="510"/>
        <v>-8.9435769865793037E-4</v>
      </c>
      <c r="N284" s="62">
        <f t="shared" si="510"/>
        <v>0.22796487992202075</v>
      </c>
      <c r="O284" s="62">
        <f t="shared" si="510"/>
        <v>0.28287228880054904</v>
      </c>
      <c r="P284" s="62">
        <f t="shared" si="510"/>
        <v>0.25608533122149879</v>
      </c>
      <c r="Q284" s="3"/>
      <c r="R284" s="196"/>
      <c r="S284" s="196"/>
      <c r="T284" s="196"/>
      <c r="U284" s="196"/>
      <c r="V284" s="196"/>
      <c r="W284" s="196"/>
      <c r="X284" s="196"/>
      <c r="Y284" s="196"/>
      <c r="Z284" s="196"/>
      <c r="AA284" s="196"/>
      <c r="AB284" s="196"/>
      <c r="AC284" s="196"/>
      <c r="AD284" s="196"/>
      <c r="AE284" s="196"/>
      <c r="AF284" s="196"/>
      <c r="AG284" s="196"/>
      <c r="AH284" s="196"/>
      <c r="AI284" s="196"/>
      <c r="AJ284" s="196"/>
      <c r="AK284" s="196"/>
      <c r="AL284" s="196"/>
      <c r="AM284" s="196"/>
      <c r="AN284" s="196"/>
      <c r="AO284" s="196"/>
      <c r="AP284" s="196"/>
      <c r="AQ284" s="196"/>
      <c r="AR284" s="196"/>
      <c r="AS284" s="196"/>
      <c r="AT284" s="196"/>
      <c r="AU284" s="196"/>
      <c r="AV284" s="196"/>
      <c r="AW284" s="196"/>
      <c r="AX284" s="196"/>
      <c r="AY284" s="196"/>
      <c r="AZ284" s="196"/>
      <c r="BA284" s="196"/>
      <c r="BB284" s="196"/>
      <c r="BC284" s="196"/>
      <c r="BD284" s="62">
        <f t="shared" ref="BD284:BU284" si="511">(4*BD34)/AVERAGE(BC213:BD213)</f>
        <v>-2.1031939743615644</v>
      </c>
      <c r="BE284" s="62">
        <f t="shared" si="511"/>
        <v>-0.83429867574704797</v>
      </c>
      <c r="BF284" s="62">
        <f t="shared" si="511"/>
        <v>-0.55136121612000777</v>
      </c>
      <c r="BG284" s="62">
        <f t="shared" si="511"/>
        <v>-0.13135219567396075</v>
      </c>
      <c r="BH284" s="62">
        <f t="shared" si="511"/>
        <v>0.13284512497730427</v>
      </c>
      <c r="BI284" s="62">
        <f t="shared" si="511"/>
        <v>0.26015136302382508</v>
      </c>
      <c r="BJ284" s="62">
        <f t="shared" si="511"/>
        <v>0.12823659497192494</v>
      </c>
      <c r="BK284" s="62">
        <f t="shared" si="511"/>
        <v>0.24453663436076714</v>
      </c>
      <c r="BL284" s="62">
        <f t="shared" si="511"/>
        <v>0.25844905566589627</v>
      </c>
      <c r="BM284" s="62">
        <f t="shared" si="511"/>
        <v>0.28339446634414012</v>
      </c>
      <c r="BN284" s="62">
        <f t="shared" si="511"/>
        <v>0.29698518954874692</v>
      </c>
      <c r="BO284" s="62">
        <f t="shared" si="511"/>
        <v>0.29215937255036983</v>
      </c>
      <c r="BP284" s="62">
        <f t="shared" si="511"/>
        <v>0.2804320510523331</v>
      </c>
      <c r="BQ284" s="62">
        <f t="shared" si="511"/>
        <v>0.26964640032077491</v>
      </c>
      <c r="BR284" s="62">
        <f t="shared" si="511"/>
        <v>0.26438514745340752</v>
      </c>
      <c r="BS284" s="62">
        <f t="shared" si="511"/>
        <v>0.2636292704812257</v>
      </c>
      <c r="BT284" s="62">
        <f t="shared" si="511"/>
        <v>0.25506799995081325</v>
      </c>
      <c r="BU284" s="62">
        <f t="shared" si="511"/>
        <v>0.24593971737096637</v>
      </c>
      <c r="BX284" s="221">
        <f t="shared" si="471"/>
        <v>276</v>
      </c>
    </row>
    <row r="285" spans="1:76" hidden="1" outlineLevel="2">
      <c r="A285" s="184"/>
      <c r="B285" s="56" t="s">
        <v>60</v>
      </c>
      <c r="C285" s="196"/>
      <c r="D285" s="196"/>
      <c r="E285" s="196"/>
      <c r="F285" s="196"/>
      <c r="G285" s="196"/>
      <c r="H285" s="196"/>
      <c r="I285" s="196"/>
      <c r="J285" s="196"/>
      <c r="K285" s="62">
        <f t="shared" ref="K285:P285" si="512">(K41)/AVERAGE(J213:K213)</f>
        <v>-0.57003663766985835</v>
      </c>
      <c r="L285" s="62">
        <f t="shared" si="512"/>
        <v>-1.5395600923800599</v>
      </c>
      <c r="M285" s="62">
        <f t="shared" si="512"/>
        <v>-0.10436739740428985</v>
      </c>
      <c r="N285" s="62">
        <f t="shared" si="512"/>
        <v>0.22796487992202075</v>
      </c>
      <c r="O285" s="62">
        <f t="shared" si="512"/>
        <v>0.28287228880054904</v>
      </c>
      <c r="P285" s="62">
        <f t="shared" si="512"/>
        <v>0.25608533122149879</v>
      </c>
      <c r="Q285" s="3"/>
      <c r="R285" s="196"/>
      <c r="S285" s="196"/>
      <c r="T285" s="196"/>
      <c r="U285" s="196"/>
      <c r="V285" s="196"/>
      <c r="W285" s="196"/>
      <c r="X285" s="196"/>
      <c r="Y285" s="196"/>
      <c r="Z285" s="196"/>
      <c r="AA285" s="196"/>
      <c r="AB285" s="196"/>
      <c r="AC285" s="196"/>
      <c r="AD285" s="196"/>
      <c r="AE285" s="196"/>
      <c r="AF285" s="196"/>
      <c r="AG285" s="196"/>
      <c r="AH285" s="196"/>
      <c r="AI285" s="196"/>
      <c r="AJ285" s="196"/>
      <c r="AK285" s="196"/>
      <c r="AL285" s="196"/>
      <c r="AM285" s="196"/>
      <c r="AN285" s="196"/>
      <c r="AO285" s="196"/>
      <c r="AP285" s="196"/>
      <c r="AQ285" s="196"/>
      <c r="AR285" s="196"/>
      <c r="AS285" s="196"/>
      <c r="AT285" s="196"/>
      <c r="AU285" s="196"/>
      <c r="AV285" s="196"/>
      <c r="AW285" s="196"/>
      <c r="AX285" s="196"/>
      <c r="AY285" s="196"/>
      <c r="AZ285" s="196"/>
      <c r="BA285" s="196"/>
      <c r="BB285" s="196"/>
      <c r="BC285" s="196"/>
      <c r="BD285" s="62">
        <f t="shared" ref="BD285:BU285" si="513">(4*BD41)/AVERAGE(BC213:BD213)</f>
        <v>-2.1509254163239806</v>
      </c>
      <c r="BE285" s="62">
        <f t="shared" si="513"/>
        <v>-0.83992792355260726</v>
      </c>
      <c r="BF285" s="62">
        <f t="shared" si="513"/>
        <v>-1.1560841096192607</v>
      </c>
      <c r="BG285" s="62">
        <f t="shared" si="513"/>
        <v>-0.13478317136519702</v>
      </c>
      <c r="BH285" s="62">
        <f t="shared" si="513"/>
        <v>4.1003449736730556E-2</v>
      </c>
      <c r="BI285" s="62">
        <f t="shared" si="513"/>
        <v>0.35946775509536361</v>
      </c>
      <c r="BJ285" s="62">
        <f t="shared" si="513"/>
        <v>0.12823659497192494</v>
      </c>
      <c r="BK285" s="62">
        <f t="shared" si="513"/>
        <v>0.24453663436076714</v>
      </c>
      <c r="BL285" s="62">
        <f t="shared" si="513"/>
        <v>0.25844905566589627</v>
      </c>
      <c r="BM285" s="62">
        <f t="shared" si="513"/>
        <v>0.28339446634414012</v>
      </c>
      <c r="BN285" s="62">
        <f t="shared" si="513"/>
        <v>0.29698518954874692</v>
      </c>
      <c r="BO285" s="62">
        <f t="shared" si="513"/>
        <v>0.29215937255036983</v>
      </c>
      <c r="BP285" s="62">
        <f t="shared" si="513"/>
        <v>0.2804320510523331</v>
      </c>
      <c r="BQ285" s="62">
        <f t="shared" si="513"/>
        <v>0.26964640032077491</v>
      </c>
      <c r="BR285" s="62">
        <f t="shared" si="513"/>
        <v>0.26438514745340752</v>
      </c>
      <c r="BS285" s="62">
        <f t="shared" si="513"/>
        <v>0.2636292704812257</v>
      </c>
      <c r="BT285" s="62">
        <f t="shared" si="513"/>
        <v>0.25506799995081325</v>
      </c>
      <c r="BU285" s="62">
        <f t="shared" si="513"/>
        <v>0.24593971737096637</v>
      </c>
      <c r="BX285" s="221">
        <f t="shared" si="471"/>
        <v>277</v>
      </c>
    </row>
    <row r="286" spans="1:76" ht="12.75" hidden="1" customHeight="1" outlineLevel="2">
      <c r="A286" s="180"/>
      <c r="B286" s="8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2"/>
      <c r="BB286" s="12"/>
      <c r="BC286" s="12"/>
      <c r="BD286" s="12"/>
      <c r="BE286" s="12"/>
      <c r="BF286" s="12"/>
      <c r="BG286" s="12"/>
      <c r="BH286" s="12"/>
      <c r="BI286" s="12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X286" s="221">
        <f t="shared" si="471"/>
        <v>278</v>
      </c>
    </row>
    <row r="287" spans="1:76" outlineLevel="1" collapsed="1">
      <c r="A287" s="184" t="s">
        <v>0</v>
      </c>
      <c r="B287" s="54" t="s">
        <v>294</v>
      </c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X287" s="221">
        <f t="shared" si="471"/>
        <v>279</v>
      </c>
    </row>
    <row r="288" spans="1:76" ht="12.75" hidden="1" customHeight="1" outlineLevel="2">
      <c r="A288" s="180"/>
      <c r="B288" s="8" t="s">
        <v>59</v>
      </c>
      <c r="C288" s="196"/>
      <c r="D288" s="196"/>
      <c r="E288" s="196"/>
      <c r="F288" s="196"/>
      <c r="G288" s="196"/>
      <c r="H288" s="196"/>
      <c r="I288" s="196"/>
      <c r="J288" s="196"/>
      <c r="K288" s="40">
        <f t="shared" ref="K288:P290" si="514">INDEX($R288:$BV288,1,MATCH(K$4,$R$4:$BV$4,0))</f>
        <v>0</v>
      </c>
      <c r="L288" s="40">
        <f t="shared" si="514"/>
        <v>391.15699999999998</v>
      </c>
      <c r="M288" s="40">
        <f t="shared" si="514"/>
        <v>699.91999999999985</v>
      </c>
      <c r="N288" s="40">
        <f t="shared" si="514"/>
        <v>696.76268067863521</v>
      </c>
      <c r="O288" s="40">
        <f t="shared" si="514"/>
        <v>595.79675382260587</v>
      </c>
      <c r="P288" s="40">
        <f t="shared" si="514"/>
        <v>535.382038705171</v>
      </c>
      <c r="Q288" s="3"/>
      <c r="R288" s="196"/>
      <c r="S288" s="196"/>
      <c r="T288" s="196"/>
      <c r="U288" s="196"/>
      <c r="V288" s="196"/>
      <c r="W288" s="196"/>
      <c r="X288" s="196"/>
      <c r="Y288" s="196"/>
      <c r="Z288" s="196"/>
      <c r="AA288" s="196"/>
      <c r="AB288" s="196"/>
      <c r="AC288" s="196"/>
      <c r="AD288" s="196"/>
      <c r="AE288" s="196"/>
      <c r="AF288" s="196"/>
      <c r="AG288" s="196"/>
      <c r="AH288" s="196"/>
      <c r="AI288" s="196"/>
      <c r="AJ288" s="196"/>
      <c r="AK288" s="196"/>
      <c r="AL288" s="196"/>
      <c r="AM288" s="196"/>
      <c r="AN288" s="196"/>
      <c r="AO288" s="196"/>
      <c r="AP288" s="196"/>
      <c r="AQ288" s="196"/>
      <c r="AR288" s="196"/>
      <c r="AS288" s="196"/>
      <c r="AT288" s="196"/>
      <c r="AU288" s="196"/>
      <c r="AV288" s="196"/>
      <c r="AW288" s="196"/>
      <c r="AX288" s="196"/>
      <c r="AY288" s="196"/>
      <c r="AZ288" s="196"/>
      <c r="BA288" s="196"/>
      <c r="BB288" s="196"/>
      <c r="BC288" s="196"/>
      <c r="BD288" s="61">
        <f t="shared" ref="BD288:BU288" si="515">BD276</f>
        <v>416.24200000000002</v>
      </c>
      <c r="BE288" s="61">
        <f>BE276</f>
        <v>391.15699999999998</v>
      </c>
      <c r="BF288" s="61">
        <f>BF276</f>
        <v>403.0150000000001</v>
      </c>
      <c r="BG288" s="61">
        <f>BG276</f>
        <v>404.32800000000009</v>
      </c>
      <c r="BH288" s="61">
        <f>BH276</f>
        <v>676.43</v>
      </c>
      <c r="BI288" s="61">
        <f>BI276</f>
        <v>699.91999999999985</v>
      </c>
      <c r="BJ288" s="61">
        <f t="shared" si="515"/>
        <v>682.28392466226376</v>
      </c>
      <c r="BK288" s="61">
        <f t="shared" si="515"/>
        <v>721.50723893577799</v>
      </c>
      <c r="BL288" s="61">
        <f t="shared" si="515"/>
        <v>729.38211602330102</v>
      </c>
      <c r="BM288" s="61">
        <f t="shared" si="515"/>
        <v>696.76268067863521</v>
      </c>
      <c r="BN288" s="61">
        <f t="shared" si="515"/>
        <v>675.87542155717767</v>
      </c>
      <c r="BO288" s="61">
        <f t="shared" si="515"/>
        <v>646.74687424317585</v>
      </c>
      <c r="BP288" s="61">
        <f t="shared" si="515"/>
        <v>618.94444917865007</v>
      </c>
      <c r="BQ288" s="61">
        <f t="shared" si="515"/>
        <v>595.79675382260587</v>
      </c>
      <c r="BR288" s="61">
        <f t="shared" si="515"/>
        <v>578.8619717800434</v>
      </c>
      <c r="BS288" s="61">
        <f t="shared" si="515"/>
        <v>562.61241971434288</v>
      </c>
      <c r="BT288" s="61">
        <f t="shared" si="515"/>
        <v>546.56073892004815</v>
      </c>
      <c r="BU288" s="61">
        <f t="shared" si="515"/>
        <v>535.382038705171</v>
      </c>
      <c r="BX288" s="221">
        <f t="shared" si="471"/>
        <v>280</v>
      </c>
    </row>
    <row r="289" spans="1:76" ht="11.25" hidden="1" customHeight="1" outlineLevel="2">
      <c r="A289" s="184"/>
      <c r="B289" s="56" t="s">
        <v>58</v>
      </c>
      <c r="C289" s="196"/>
      <c r="D289" s="196"/>
      <c r="E289" s="196"/>
      <c r="F289" s="196"/>
      <c r="G289" s="196"/>
      <c r="H289" s="196"/>
      <c r="I289" s="196"/>
      <c r="J289" s="196"/>
      <c r="K289" s="40">
        <f t="shared" si="514"/>
        <v>0</v>
      </c>
      <c r="L289" s="40">
        <f t="shared" si="514"/>
        <v>48.92</v>
      </c>
      <c r="M289" s="40">
        <f t="shared" si="514"/>
        <v>96.12</v>
      </c>
      <c r="N289" s="40">
        <f t="shared" si="514"/>
        <v>10</v>
      </c>
      <c r="O289" s="40">
        <f t="shared" si="514"/>
        <v>10</v>
      </c>
      <c r="P289" s="40">
        <f t="shared" si="514"/>
        <v>10</v>
      </c>
      <c r="Q289" s="3"/>
      <c r="R289" s="196"/>
      <c r="S289" s="196"/>
      <c r="T289" s="196"/>
      <c r="U289" s="196"/>
      <c r="V289" s="196"/>
      <c r="W289" s="196"/>
      <c r="X289" s="196"/>
      <c r="Y289" s="196"/>
      <c r="Z289" s="196"/>
      <c r="AA289" s="196"/>
      <c r="AB289" s="196"/>
      <c r="AC289" s="196"/>
      <c r="AD289" s="196"/>
      <c r="AE289" s="196"/>
      <c r="AF289" s="196"/>
      <c r="AG289" s="196"/>
      <c r="AH289" s="196"/>
      <c r="AI289" s="196"/>
      <c r="AJ289" s="196"/>
      <c r="AK289" s="196"/>
      <c r="AL289" s="196"/>
      <c r="AM289" s="196"/>
      <c r="AN289" s="196"/>
      <c r="AO289" s="196"/>
      <c r="AP289" s="196"/>
      <c r="AQ289" s="196"/>
      <c r="AR289" s="196"/>
      <c r="AS289" s="196"/>
      <c r="AT289" s="196"/>
      <c r="AU289" s="196"/>
      <c r="AV289" s="196"/>
      <c r="AW289" s="196"/>
      <c r="AX289" s="196"/>
      <c r="AY289" s="196"/>
      <c r="AZ289" s="196"/>
      <c r="BA289" s="196"/>
      <c r="BB289" s="196"/>
      <c r="BC289" s="196"/>
      <c r="BD289" s="40">
        <f t="shared" ref="BD289:BI289" si="516">BD186</f>
        <v>62.383000000000003</v>
      </c>
      <c r="BE289" s="40">
        <f t="shared" si="516"/>
        <v>48.92</v>
      </c>
      <c r="BF289" s="40">
        <f t="shared" si="516"/>
        <v>85.796000000000006</v>
      </c>
      <c r="BG289" s="40">
        <f t="shared" si="516"/>
        <v>75.552000000000007</v>
      </c>
      <c r="BH289" s="40">
        <f t="shared" si="516"/>
        <v>71.728999999999999</v>
      </c>
      <c r="BI289" s="40">
        <f t="shared" si="516"/>
        <v>96.12</v>
      </c>
      <c r="BJ289" s="59">
        <v>10</v>
      </c>
      <c r="BK289" s="59">
        <v>10</v>
      </c>
      <c r="BL289" s="59">
        <v>10</v>
      </c>
      <c r="BM289" s="59">
        <v>10</v>
      </c>
      <c r="BN289" s="59">
        <v>10</v>
      </c>
      <c r="BO289" s="59">
        <v>10</v>
      </c>
      <c r="BP289" s="59">
        <v>10</v>
      </c>
      <c r="BQ289" s="59">
        <v>10</v>
      </c>
      <c r="BR289" s="59">
        <v>10</v>
      </c>
      <c r="BS289" s="59">
        <v>10</v>
      </c>
      <c r="BT289" s="59">
        <v>10</v>
      </c>
      <c r="BU289" s="59">
        <v>10</v>
      </c>
      <c r="BX289" s="221">
        <f t="shared" si="471"/>
        <v>281</v>
      </c>
    </row>
    <row r="290" spans="1:76" ht="11.25" hidden="1" customHeight="1" outlineLevel="2">
      <c r="A290" s="184"/>
      <c r="B290" s="56" t="s">
        <v>57</v>
      </c>
      <c r="C290" s="196"/>
      <c r="D290" s="196"/>
      <c r="E290" s="196"/>
      <c r="F290" s="196"/>
      <c r="G290" s="196"/>
      <c r="H290" s="196"/>
      <c r="I290" s="196"/>
      <c r="J290" s="196"/>
      <c r="K290" s="40">
        <f t="shared" si="514"/>
        <v>0</v>
      </c>
      <c r="L290" s="40">
        <f t="shared" si="514"/>
        <v>440.077</v>
      </c>
      <c r="M290" s="40">
        <f t="shared" si="514"/>
        <v>796.03999999999985</v>
      </c>
      <c r="N290" s="40">
        <f t="shared" si="514"/>
        <v>706.76268067863521</v>
      </c>
      <c r="O290" s="40">
        <f t="shared" si="514"/>
        <v>605.79675382260587</v>
      </c>
      <c r="P290" s="40">
        <f t="shared" si="514"/>
        <v>545.382038705171</v>
      </c>
      <c r="Q290" s="3"/>
      <c r="R290" s="196"/>
      <c r="S290" s="196"/>
      <c r="T290" s="196"/>
      <c r="U290" s="196"/>
      <c r="V290" s="196"/>
      <c r="W290" s="196"/>
      <c r="X290" s="196"/>
      <c r="Y290" s="196"/>
      <c r="Z290" s="196"/>
      <c r="AA290" s="196"/>
      <c r="AB290" s="196"/>
      <c r="AC290" s="196"/>
      <c r="AD290" s="196"/>
      <c r="AE290" s="196"/>
      <c r="AF290" s="196"/>
      <c r="AG290" s="196"/>
      <c r="AH290" s="196"/>
      <c r="AI290" s="196"/>
      <c r="AJ290" s="196"/>
      <c r="AK290" s="196"/>
      <c r="AL290" s="196"/>
      <c r="AM290" s="196"/>
      <c r="AN290" s="196"/>
      <c r="AO290" s="196"/>
      <c r="AP290" s="196"/>
      <c r="AQ290" s="196"/>
      <c r="AR290" s="196"/>
      <c r="AS290" s="196"/>
      <c r="AT290" s="196"/>
      <c r="AU290" s="196"/>
      <c r="AV290" s="196"/>
      <c r="AW290" s="196"/>
      <c r="AX290" s="196"/>
      <c r="AY290" s="196"/>
      <c r="AZ290" s="196"/>
      <c r="BA290" s="196"/>
      <c r="BB290" s="196"/>
      <c r="BC290" s="196"/>
      <c r="BD290" s="61">
        <f t="shared" ref="BD290:BU290" si="517">+BD288+BD289</f>
        <v>478.625</v>
      </c>
      <c r="BE290" s="61">
        <f>+BE288+BE289</f>
        <v>440.077</v>
      </c>
      <c r="BF290" s="61">
        <f>+BF288+BF289</f>
        <v>488.81100000000009</v>
      </c>
      <c r="BG290" s="61">
        <f>+BG288+BG289</f>
        <v>479.88000000000011</v>
      </c>
      <c r="BH290" s="61">
        <f>+BH288+BH289</f>
        <v>748.15899999999999</v>
      </c>
      <c r="BI290" s="61">
        <f>+BI288+BI289</f>
        <v>796.03999999999985</v>
      </c>
      <c r="BJ290" s="61">
        <f t="shared" si="517"/>
        <v>692.28392466226376</v>
      </c>
      <c r="BK290" s="61">
        <f t="shared" si="517"/>
        <v>731.50723893577799</v>
      </c>
      <c r="BL290" s="61">
        <f t="shared" si="517"/>
        <v>739.38211602330102</v>
      </c>
      <c r="BM290" s="61">
        <f t="shared" si="517"/>
        <v>706.76268067863521</v>
      </c>
      <c r="BN290" s="61">
        <f t="shared" si="517"/>
        <v>685.87542155717767</v>
      </c>
      <c r="BO290" s="61">
        <f t="shared" si="517"/>
        <v>656.74687424317585</v>
      </c>
      <c r="BP290" s="61">
        <f t="shared" si="517"/>
        <v>628.94444917865007</v>
      </c>
      <c r="BQ290" s="61">
        <f t="shared" si="517"/>
        <v>605.79675382260587</v>
      </c>
      <c r="BR290" s="61">
        <f t="shared" si="517"/>
        <v>588.8619717800434</v>
      </c>
      <c r="BS290" s="61">
        <f t="shared" si="517"/>
        <v>572.61241971434288</v>
      </c>
      <c r="BT290" s="61">
        <f t="shared" si="517"/>
        <v>556.56073892004815</v>
      </c>
      <c r="BU290" s="61">
        <f t="shared" si="517"/>
        <v>545.382038705171</v>
      </c>
      <c r="BX290" s="221">
        <f t="shared" si="471"/>
        <v>282</v>
      </c>
    </row>
    <row r="291" spans="1:76" ht="11.25" hidden="1" customHeight="1" outlineLevel="2">
      <c r="A291" s="184"/>
      <c r="B291" s="56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3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X291" s="221">
        <f t="shared" si="471"/>
        <v>283</v>
      </c>
    </row>
    <row r="292" spans="1:76" ht="11.25" hidden="1" customHeight="1" outlineLevel="2">
      <c r="A292" s="184"/>
      <c r="B292" s="56" t="s">
        <v>56</v>
      </c>
      <c r="C292" s="196"/>
      <c r="D292" s="196"/>
      <c r="E292" s="196"/>
      <c r="F292" s="196"/>
      <c r="G292" s="196"/>
      <c r="H292" s="196"/>
      <c r="I292" s="196"/>
      <c r="J292" s="196"/>
      <c r="K292" s="40">
        <f t="shared" ref="K292:P294" si="518">INDEX($R292:$BV292,1,MATCH(K$4,$R$4:$BV$4,0))</f>
        <v>0</v>
      </c>
      <c r="L292" s="40">
        <f t="shared" si="518"/>
        <v>162.25199999999998</v>
      </c>
      <c r="M292" s="40">
        <f t="shared" si="518"/>
        <v>513.09300000000007</v>
      </c>
      <c r="N292" s="40">
        <f t="shared" si="518"/>
        <v>658.65127102134886</v>
      </c>
      <c r="O292" s="40">
        <f t="shared" si="518"/>
        <v>889.63489706355256</v>
      </c>
      <c r="P292" s="40">
        <f t="shared" si="518"/>
        <v>1157.7930259753314</v>
      </c>
      <c r="Q292" s="3"/>
      <c r="R292" s="196"/>
      <c r="S292" s="196"/>
      <c r="T292" s="196"/>
      <c r="U292" s="196"/>
      <c r="V292" s="196"/>
      <c r="W292" s="196"/>
      <c r="X292" s="196"/>
      <c r="Y292" s="196"/>
      <c r="Z292" s="196"/>
      <c r="AA292" s="196"/>
      <c r="AB292" s="196"/>
      <c r="AC292" s="196"/>
      <c r="AD292" s="196"/>
      <c r="AE292" s="196"/>
      <c r="AF292" s="196"/>
      <c r="AG292" s="196"/>
      <c r="AH292" s="196"/>
      <c r="AI292" s="196"/>
      <c r="AJ292" s="196"/>
      <c r="AK292" s="196"/>
      <c r="AL292" s="196"/>
      <c r="AM292" s="196"/>
      <c r="AN292" s="196"/>
      <c r="AO292" s="196"/>
      <c r="AP292" s="196"/>
      <c r="AQ292" s="196"/>
      <c r="AR292" s="196"/>
      <c r="AS292" s="196"/>
      <c r="AT292" s="196"/>
      <c r="AU292" s="196"/>
      <c r="AV292" s="196"/>
      <c r="AW292" s="196"/>
      <c r="AX292" s="196"/>
      <c r="AY292" s="196"/>
      <c r="AZ292" s="196"/>
      <c r="BA292" s="196"/>
      <c r="BB292" s="196"/>
      <c r="BC292" s="196"/>
      <c r="BD292" s="40">
        <f t="shared" ref="BD292:BU292" si="519">BD213</f>
        <v>200.14100000000002</v>
      </c>
      <c r="BE292" s="40">
        <f>BE213</f>
        <v>162.25199999999998</v>
      </c>
      <c r="BF292" s="40">
        <f>BF213</f>
        <v>336.38300000000004</v>
      </c>
      <c r="BG292" s="40">
        <f>BG213</f>
        <v>328.15099999999995</v>
      </c>
      <c r="BH292" s="40">
        <f>BH213</f>
        <v>464.95300000000003</v>
      </c>
      <c r="BI292" s="40">
        <f>BI213</f>
        <v>513.09300000000007</v>
      </c>
      <c r="BJ292" s="40">
        <f t="shared" si="519"/>
        <v>532.85916806705268</v>
      </c>
      <c r="BK292" s="40">
        <f t="shared" si="519"/>
        <v>569.55680451721639</v>
      </c>
      <c r="BL292" s="40">
        <f t="shared" si="519"/>
        <v>610.68588044019441</v>
      </c>
      <c r="BM292" s="40">
        <f t="shared" si="519"/>
        <v>658.65127102134886</v>
      </c>
      <c r="BN292" s="40">
        <f t="shared" si="519"/>
        <v>712.55475626172995</v>
      </c>
      <c r="BO292" s="40">
        <f t="shared" si="519"/>
        <v>769.68607517174792</v>
      </c>
      <c r="BP292" s="40">
        <f t="shared" si="519"/>
        <v>828.71648885128377</v>
      </c>
      <c r="BQ292" s="40">
        <f t="shared" si="519"/>
        <v>889.63489706355256</v>
      </c>
      <c r="BR292" s="40">
        <f t="shared" si="519"/>
        <v>953.54869270927634</v>
      </c>
      <c r="BS292" s="40">
        <f t="shared" si="519"/>
        <v>1019.5701787926245</v>
      </c>
      <c r="BT292" s="40">
        <f t="shared" si="519"/>
        <v>1087.759215523341</v>
      </c>
      <c r="BU292" s="40">
        <f t="shared" si="519"/>
        <v>1157.7930259753314</v>
      </c>
      <c r="BX292" s="221">
        <f t="shared" si="471"/>
        <v>284</v>
      </c>
    </row>
    <row r="293" spans="1:76" ht="11.25" hidden="1" customHeight="1" outlineLevel="2">
      <c r="A293" s="184"/>
      <c r="B293" s="56" t="s">
        <v>55</v>
      </c>
      <c r="C293" s="196"/>
      <c r="D293" s="196"/>
      <c r="E293" s="196"/>
      <c r="F293" s="196"/>
      <c r="G293" s="196"/>
      <c r="H293" s="196"/>
      <c r="I293" s="196"/>
      <c r="J293" s="196"/>
      <c r="K293" s="40">
        <f t="shared" si="518"/>
        <v>0</v>
      </c>
      <c r="L293" s="40">
        <f t="shared" si="518"/>
        <v>277.23399999999998</v>
      </c>
      <c r="M293" s="40">
        <f t="shared" si="518"/>
        <v>282.947</v>
      </c>
      <c r="N293" s="40">
        <f t="shared" si="518"/>
        <v>277.50299999999993</v>
      </c>
      <c r="O293" s="40">
        <f t="shared" si="518"/>
        <v>272.05899999999991</v>
      </c>
      <c r="P293" s="40">
        <f t="shared" si="518"/>
        <v>266.61499999999984</v>
      </c>
      <c r="Q293" s="3"/>
      <c r="R293" s="196"/>
      <c r="S293" s="196"/>
      <c r="T293" s="196"/>
      <c r="U293" s="196"/>
      <c r="V293" s="196"/>
      <c r="W293" s="196"/>
      <c r="X293" s="196"/>
      <c r="Y293" s="196"/>
      <c r="Z293" s="196"/>
      <c r="AA293" s="196"/>
      <c r="AB293" s="196"/>
      <c r="AC293" s="196"/>
      <c r="AD293" s="196"/>
      <c r="AE293" s="196"/>
      <c r="AF293" s="196"/>
      <c r="AG293" s="196"/>
      <c r="AH293" s="196"/>
      <c r="AI293" s="196"/>
      <c r="AJ293" s="196"/>
      <c r="AK293" s="196"/>
      <c r="AL293" s="196"/>
      <c r="AM293" s="196"/>
      <c r="AN293" s="196"/>
      <c r="AO293" s="196"/>
      <c r="AP293" s="196"/>
      <c r="AQ293" s="196"/>
      <c r="AR293" s="196"/>
      <c r="AS293" s="196"/>
      <c r="AT293" s="196"/>
      <c r="AU293" s="196"/>
      <c r="AV293" s="196"/>
      <c r="AW293" s="196"/>
      <c r="AX293" s="196"/>
      <c r="AY293" s="196"/>
      <c r="AZ293" s="196"/>
      <c r="BA293" s="196"/>
      <c r="BB293" s="196"/>
      <c r="BC293" s="196"/>
      <c r="BD293" s="40">
        <f t="shared" ref="BD293:BU293" si="520">BD301</f>
        <v>278.48399999999998</v>
      </c>
      <c r="BE293" s="40">
        <f>BE301</f>
        <v>277.23399999999998</v>
      </c>
      <c r="BF293" s="40">
        <f>BF301</f>
        <v>152.428</v>
      </c>
      <c r="BG293" s="40">
        <f>BG301</f>
        <v>151.72899999999998</v>
      </c>
      <c r="BH293" s="40">
        <f>BH301</f>
        <v>283.20600000000002</v>
      </c>
      <c r="BI293" s="40">
        <f>BI301</f>
        <v>282.947</v>
      </c>
      <c r="BJ293" s="40">
        <f t="shared" si="520"/>
        <v>281.58599999999996</v>
      </c>
      <c r="BK293" s="40">
        <f t="shared" si="520"/>
        <v>280.22499999999997</v>
      </c>
      <c r="BL293" s="40">
        <f t="shared" si="520"/>
        <v>278.86399999999998</v>
      </c>
      <c r="BM293" s="40">
        <f t="shared" si="520"/>
        <v>277.50299999999993</v>
      </c>
      <c r="BN293" s="40">
        <f t="shared" si="520"/>
        <v>276.14199999999994</v>
      </c>
      <c r="BO293" s="40">
        <f t="shared" si="520"/>
        <v>274.78099999999989</v>
      </c>
      <c r="BP293" s="40">
        <f t="shared" si="520"/>
        <v>273.4199999999999</v>
      </c>
      <c r="BQ293" s="40">
        <f t="shared" si="520"/>
        <v>272.05899999999991</v>
      </c>
      <c r="BR293" s="40">
        <f t="shared" si="520"/>
        <v>270.69799999999987</v>
      </c>
      <c r="BS293" s="40">
        <f t="shared" si="520"/>
        <v>269.33699999999988</v>
      </c>
      <c r="BT293" s="40">
        <f t="shared" si="520"/>
        <v>267.97599999999983</v>
      </c>
      <c r="BU293" s="40">
        <f t="shared" si="520"/>
        <v>266.61499999999984</v>
      </c>
      <c r="BX293" s="221">
        <f t="shared" si="471"/>
        <v>285</v>
      </c>
    </row>
    <row r="294" spans="1:76" ht="11.25" hidden="1" customHeight="1" outlineLevel="2">
      <c r="A294" s="184"/>
      <c r="B294" s="56" t="s">
        <v>54</v>
      </c>
      <c r="C294" s="196"/>
      <c r="D294" s="196"/>
      <c r="E294" s="196"/>
      <c r="F294" s="196"/>
      <c r="G294" s="196"/>
      <c r="H294" s="196"/>
      <c r="I294" s="196"/>
      <c r="J294" s="196"/>
      <c r="K294" s="40">
        <f t="shared" si="518"/>
        <v>0</v>
      </c>
      <c r="L294" s="40">
        <f t="shared" si="518"/>
        <v>0.59100000000006503</v>
      </c>
      <c r="M294" s="40">
        <f t="shared" si="518"/>
        <v>0</v>
      </c>
      <c r="N294" s="40">
        <f t="shared" si="518"/>
        <v>0</v>
      </c>
      <c r="O294" s="40">
        <f t="shared" si="518"/>
        <v>0</v>
      </c>
      <c r="P294" s="40">
        <f t="shared" si="518"/>
        <v>0</v>
      </c>
      <c r="Q294" s="3"/>
      <c r="R294" s="196"/>
      <c r="S294" s="196"/>
      <c r="T294" s="196"/>
      <c r="U294" s="196"/>
      <c r="V294" s="196"/>
      <c r="W294" s="196"/>
      <c r="X294" s="196"/>
      <c r="Y294" s="196"/>
      <c r="Z294" s="196"/>
      <c r="AA294" s="196"/>
      <c r="AB294" s="196"/>
      <c r="AC294" s="196"/>
      <c r="AD294" s="196"/>
      <c r="AE294" s="196"/>
      <c r="AF294" s="196"/>
      <c r="AG294" s="196"/>
      <c r="AH294" s="196"/>
      <c r="AI294" s="196"/>
      <c r="AJ294" s="196"/>
      <c r="AK294" s="196"/>
      <c r="AL294" s="196"/>
      <c r="AM294" s="196"/>
      <c r="AN294" s="196"/>
      <c r="AO294" s="196"/>
      <c r="AP294" s="196"/>
      <c r="AQ294" s="196"/>
      <c r="AR294" s="196"/>
      <c r="AS294" s="196"/>
      <c r="AT294" s="196"/>
      <c r="AU294" s="196"/>
      <c r="AV294" s="196"/>
      <c r="AW294" s="196"/>
      <c r="AX294" s="196"/>
      <c r="AY294" s="196"/>
      <c r="AZ294" s="196"/>
      <c r="BA294" s="196"/>
      <c r="BB294" s="196"/>
      <c r="BC294" s="196"/>
      <c r="BD294" s="40">
        <f t="shared" ref="BD294:BU294" si="521">MAX(BD290-BD292-BD293,0)</f>
        <v>0</v>
      </c>
      <c r="BE294" s="40">
        <f>MAX(BE290-BE292-BE293,0)</f>
        <v>0.59100000000006503</v>
      </c>
      <c r="BF294" s="40">
        <f>MAX(BF290-BF292-BF293,0)</f>
        <v>5.6843418860808015E-14</v>
      </c>
      <c r="BG294" s="40">
        <f>MAX(BG290-BG292-BG293,0)</f>
        <v>1.7053025658242404E-13</v>
      </c>
      <c r="BH294" s="40">
        <f>MAX(BH290-BH292-BH293,0)</f>
        <v>0</v>
      </c>
      <c r="BI294" s="40">
        <f>MAX(BI290-BI292-BI293,0)</f>
        <v>0</v>
      </c>
      <c r="BJ294" s="40">
        <f t="shared" si="521"/>
        <v>0</v>
      </c>
      <c r="BK294" s="40">
        <f t="shared" si="521"/>
        <v>0</v>
      </c>
      <c r="BL294" s="40">
        <f t="shared" si="521"/>
        <v>0</v>
      </c>
      <c r="BM294" s="40">
        <f t="shared" si="521"/>
        <v>0</v>
      </c>
      <c r="BN294" s="40">
        <f t="shared" si="521"/>
        <v>0</v>
      </c>
      <c r="BO294" s="40">
        <f t="shared" si="521"/>
        <v>0</v>
      </c>
      <c r="BP294" s="40">
        <f t="shared" si="521"/>
        <v>0</v>
      </c>
      <c r="BQ294" s="40">
        <f t="shared" si="521"/>
        <v>0</v>
      </c>
      <c r="BR294" s="40">
        <f t="shared" si="521"/>
        <v>0</v>
      </c>
      <c r="BS294" s="40">
        <f t="shared" si="521"/>
        <v>0</v>
      </c>
      <c r="BT294" s="40">
        <f t="shared" si="521"/>
        <v>0</v>
      </c>
      <c r="BU294" s="40">
        <f t="shared" si="521"/>
        <v>0</v>
      </c>
      <c r="BX294" s="221">
        <f t="shared" si="471"/>
        <v>286</v>
      </c>
    </row>
    <row r="295" spans="1:76" ht="11.25" hidden="1" customHeight="1" outlineLevel="2">
      <c r="A295" s="184"/>
      <c r="B295" s="56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3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X295" s="221">
        <f t="shared" si="471"/>
        <v>287</v>
      </c>
    </row>
    <row r="296" spans="1:76" outlineLevel="1" collapsed="1">
      <c r="A296" s="184" t="s">
        <v>0</v>
      </c>
      <c r="B296" s="54" t="s">
        <v>53</v>
      </c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3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X296" s="221">
        <f t="shared" si="471"/>
        <v>288</v>
      </c>
    </row>
    <row r="297" spans="1:76" hidden="1" outlineLevel="2">
      <c r="A297" s="184"/>
      <c r="B297" s="56" t="s">
        <v>296</v>
      </c>
      <c r="C297" s="196"/>
      <c r="D297" s="196"/>
      <c r="E297" s="196"/>
      <c r="F297" s="196"/>
      <c r="G297" s="196"/>
      <c r="H297" s="196"/>
      <c r="I297" s="196"/>
      <c r="J297" s="196"/>
      <c r="K297" s="196"/>
      <c r="L297" s="40">
        <f t="shared" ref="L297:P301" si="522">INDEX($R297:$BV297,1,MATCH(L$4,$R$4:$BV$4,0))</f>
        <v>188.75</v>
      </c>
      <c r="M297" s="40">
        <f t="shared" si="522"/>
        <v>0</v>
      </c>
      <c r="N297" s="40">
        <f t="shared" si="522"/>
        <v>0</v>
      </c>
      <c r="O297" s="40">
        <f t="shared" si="522"/>
        <v>0</v>
      </c>
      <c r="P297" s="40">
        <f t="shared" si="522"/>
        <v>0</v>
      </c>
      <c r="Q297" s="3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59">
        <v>190</v>
      </c>
      <c r="BE297" s="60">
        <f>+BD297-1.25</f>
        <v>188.75</v>
      </c>
      <c r="BF297" s="235">
        <v>0</v>
      </c>
      <c r="BG297" s="59">
        <v>0</v>
      </c>
      <c r="BH297" s="59">
        <v>0</v>
      </c>
      <c r="BI297" s="59">
        <v>0</v>
      </c>
      <c r="BJ297" s="59">
        <v>0</v>
      </c>
      <c r="BK297" s="59">
        <v>0</v>
      </c>
      <c r="BL297" s="59">
        <v>0</v>
      </c>
      <c r="BM297" s="59">
        <v>0</v>
      </c>
      <c r="BN297" s="59">
        <v>0</v>
      </c>
      <c r="BO297" s="59">
        <v>0</v>
      </c>
      <c r="BP297" s="59">
        <v>0</v>
      </c>
      <c r="BQ297" s="59">
        <v>0</v>
      </c>
      <c r="BR297" s="59">
        <v>0</v>
      </c>
      <c r="BS297" s="59">
        <v>0</v>
      </c>
      <c r="BT297" s="59">
        <v>0</v>
      </c>
      <c r="BU297" s="59">
        <v>0</v>
      </c>
      <c r="BX297" s="221">
        <f t="shared" si="471"/>
        <v>289</v>
      </c>
    </row>
    <row r="298" spans="1:76" hidden="1" outlineLevel="2">
      <c r="A298" s="184"/>
      <c r="B298" s="56" t="s">
        <v>332</v>
      </c>
      <c r="C298" s="196"/>
      <c r="D298" s="196"/>
      <c r="E298" s="196"/>
      <c r="F298" s="196"/>
      <c r="G298" s="196"/>
      <c r="H298" s="196"/>
      <c r="I298" s="196"/>
      <c r="J298" s="196"/>
      <c r="K298" s="196"/>
      <c r="L298" s="40">
        <f>INDEX($R298:$BV298,1,MATCH(L$4,$R$4:$BV$4,0))</f>
        <v>98.75</v>
      </c>
      <c r="M298" s="40">
        <f>INDEX($R298:$BV298,1,MATCH(M$4,$R$4:$BV$4,0))</f>
        <v>283.202</v>
      </c>
      <c r="N298" s="40">
        <f>INDEX($R298:$BV298,1,MATCH(N$4,$R$4:$BV$4,0))</f>
        <v>280.35799999999995</v>
      </c>
      <c r="O298" s="40">
        <f>INDEX($R298:$BV298,1,MATCH(O$4,$R$4:$BV$4,0))</f>
        <v>277.5139999999999</v>
      </c>
      <c r="P298" s="40">
        <f>INDEX($R298:$BV298,1,MATCH(P$4,$R$4:$BV$4,0))</f>
        <v>274.66999999999985</v>
      </c>
      <c r="Q298" s="3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59">
        <v>98.75</v>
      </c>
      <c r="BE298" s="60">
        <v>98.75</v>
      </c>
      <c r="BF298" s="235">
        <v>150</v>
      </c>
      <c r="BG298" s="151">
        <v>149.625</v>
      </c>
      <c r="BH298" s="151">
        <v>283.91300000000001</v>
      </c>
      <c r="BI298" s="151">
        <v>283.202</v>
      </c>
      <c r="BJ298" s="151">
        <f>+BI298+(BI298-BH298)</f>
        <v>282.49099999999999</v>
      </c>
      <c r="BK298" s="151">
        <f t="shared" ref="BK298:BU298" si="523">+BJ298+(BJ298-BI298)</f>
        <v>281.77999999999997</v>
      </c>
      <c r="BL298" s="151">
        <f t="shared" si="523"/>
        <v>281.06899999999996</v>
      </c>
      <c r="BM298" s="151">
        <f t="shared" si="523"/>
        <v>280.35799999999995</v>
      </c>
      <c r="BN298" s="151">
        <f t="shared" si="523"/>
        <v>279.64699999999993</v>
      </c>
      <c r="BO298" s="151">
        <f t="shared" si="523"/>
        <v>278.93599999999992</v>
      </c>
      <c r="BP298" s="151">
        <f t="shared" si="523"/>
        <v>278.22499999999991</v>
      </c>
      <c r="BQ298" s="151">
        <f t="shared" si="523"/>
        <v>277.5139999999999</v>
      </c>
      <c r="BR298" s="151">
        <f t="shared" si="523"/>
        <v>276.80299999999988</v>
      </c>
      <c r="BS298" s="151">
        <f t="shared" si="523"/>
        <v>276.09199999999987</v>
      </c>
      <c r="BT298" s="151">
        <f t="shared" si="523"/>
        <v>275.38099999999986</v>
      </c>
      <c r="BU298" s="151">
        <f t="shared" si="523"/>
        <v>274.66999999999985</v>
      </c>
      <c r="BX298" s="221">
        <f t="shared" si="471"/>
        <v>290</v>
      </c>
    </row>
    <row r="299" spans="1:76" hidden="1" outlineLevel="2">
      <c r="A299" s="184"/>
      <c r="B299" s="56" t="s">
        <v>43</v>
      </c>
      <c r="C299" s="196"/>
      <c r="D299" s="196"/>
      <c r="E299" s="196"/>
      <c r="F299" s="196"/>
      <c r="G299" s="196"/>
      <c r="H299" s="196"/>
      <c r="I299" s="196"/>
      <c r="J299" s="196"/>
      <c r="K299" s="196"/>
      <c r="L299" s="40">
        <f t="shared" si="522"/>
        <v>8.8710000000000004</v>
      </c>
      <c r="M299" s="40">
        <f t="shared" si="522"/>
        <v>7.9180000000000001</v>
      </c>
      <c r="N299" s="40">
        <f t="shared" si="522"/>
        <v>5.3179999999999987</v>
      </c>
      <c r="O299" s="40">
        <f t="shared" si="522"/>
        <v>2.7179999999999982</v>
      </c>
      <c r="P299" s="40">
        <f t="shared" si="522"/>
        <v>0.11799999999999833</v>
      </c>
      <c r="Q299" s="3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59">
        <v>8.8710000000000004</v>
      </c>
      <c r="BE299" s="60">
        <v>8.8710000000000004</v>
      </c>
      <c r="BF299" s="59">
        <v>7.4050000000000002</v>
      </c>
      <c r="BG299" s="59">
        <v>6.89</v>
      </c>
      <c r="BH299" s="59">
        <v>7.67</v>
      </c>
      <c r="BI299" s="59">
        <v>7.9180000000000001</v>
      </c>
      <c r="BJ299" s="59">
        <f t="shared" ref="BJ299:BU299" si="524">MAX(BI299-2.6/4,0)</f>
        <v>7.2679999999999998</v>
      </c>
      <c r="BK299" s="59">
        <f t="shared" si="524"/>
        <v>6.6179999999999994</v>
      </c>
      <c r="BL299" s="59">
        <f t="shared" si="524"/>
        <v>5.9679999999999991</v>
      </c>
      <c r="BM299" s="59">
        <f t="shared" si="524"/>
        <v>5.3179999999999987</v>
      </c>
      <c r="BN299" s="59">
        <f t="shared" si="524"/>
        <v>4.6679999999999984</v>
      </c>
      <c r="BO299" s="59">
        <f t="shared" si="524"/>
        <v>4.017999999999998</v>
      </c>
      <c r="BP299" s="59">
        <f t="shared" si="524"/>
        <v>3.3679999999999981</v>
      </c>
      <c r="BQ299" s="59">
        <f t="shared" si="524"/>
        <v>2.7179999999999982</v>
      </c>
      <c r="BR299" s="59">
        <f t="shared" si="524"/>
        <v>2.0679999999999983</v>
      </c>
      <c r="BS299" s="59">
        <f t="shared" si="524"/>
        <v>1.4179999999999984</v>
      </c>
      <c r="BT299" s="59">
        <f t="shared" si="524"/>
        <v>0.76799999999999835</v>
      </c>
      <c r="BU299" s="59">
        <f t="shared" si="524"/>
        <v>0.11799999999999833</v>
      </c>
      <c r="BX299" s="221">
        <f t="shared" si="471"/>
        <v>291</v>
      </c>
    </row>
    <row r="300" spans="1:76" hidden="1" outlineLevel="2">
      <c r="A300" s="184"/>
      <c r="B300" s="56" t="s">
        <v>42</v>
      </c>
      <c r="C300" s="196"/>
      <c r="D300" s="196"/>
      <c r="E300" s="196"/>
      <c r="F300" s="196"/>
      <c r="G300" s="196"/>
      <c r="H300" s="196"/>
      <c r="I300" s="196"/>
      <c r="J300" s="196"/>
      <c r="K300" s="196"/>
      <c r="L300" s="40">
        <f t="shared" si="522"/>
        <v>-19.137</v>
      </c>
      <c r="M300" s="40">
        <f t="shared" si="522"/>
        <v>-8.173</v>
      </c>
      <c r="N300" s="40">
        <f t="shared" si="522"/>
        <v>-8.173</v>
      </c>
      <c r="O300" s="40">
        <f t="shared" si="522"/>
        <v>-8.173</v>
      </c>
      <c r="P300" s="40">
        <f t="shared" si="522"/>
        <v>-8.173</v>
      </c>
      <c r="Q300" s="3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59">
        <v>-19.137</v>
      </c>
      <c r="BE300" s="60">
        <f>BD300</f>
        <v>-19.137</v>
      </c>
      <c r="BF300" s="59">
        <v>-4.9770000000000003</v>
      </c>
      <c r="BG300" s="59">
        <v>-4.7859999999999996</v>
      </c>
      <c r="BH300" s="59">
        <v>-8.3770000000000007</v>
      </c>
      <c r="BI300" s="59">
        <v>-8.173</v>
      </c>
      <c r="BJ300" s="59">
        <f t="shared" ref="BJ300:BU300" si="525">BI300</f>
        <v>-8.173</v>
      </c>
      <c r="BK300" s="59">
        <f t="shared" si="525"/>
        <v>-8.173</v>
      </c>
      <c r="BL300" s="59">
        <f t="shared" si="525"/>
        <v>-8.173</v>
      </c>
      <c r="BM300" s="59">
        <f t="shared" si="525"/>
        <v>-8.173</v>
      </c>
      <c r="BN300" s="59">
        <f t="shared" si="525"/>
        <v>-8.173</v>
      </c>
      <c r="BO300" s="59">
        <f t="shared" si="525"/>
        <v>-8.173</v>
      </c>
      <c r="BP300" s="59">
        <f t="shared" si="525"/>
        <v>-8.173</v>
      </c>
      <c r="BQ300" s="59">
        <f t="shared" si="525"/>
        <v>-8.173</v>
      </c>
      <c r="BR300" s="59">
        <f t="shared" si="525"/>
        <v>-8.173</v>
      </c>
      <c r="BS300" s="59">
        <f t="shared" si="525"/>
        <v>-8.173</v>
      </c>
      <c r="BT300" s="59">
        <f t="shared" si="525"/>
        <v>-8.173</v>
      </c>
      <c r="BU300" s="59">
        <f t="shared" si="525"/>
        <v>-8.173</v>
      </c>
      <c r="BX300" s="221">
        <f t="shared" si="471"/>
        <v>292</v>
      </c>
    </row>
    <row r="301" spans="1:76" hidden="1" outlineLevel="2">
      <c r="A301" s="184"/>
      <c r="B301" s="56" t="s">
        <v>41</v>
      </c>
      <c r="C301" s="196"/>
      <c r="D301" s="196"/>
      <c r="E301" s="196"/>
      <c r="F301" s="196"/>
      <c r="G301" s="196"/>
      <c r="H301" s="196"/>
      <c r="I301" s="196"/>
      <c r="J301" s="196"/>
      <c r="K301" s="196"/>
      <c r="L301" s="40">
        <f t="shared" si="522"/>
        <v>277.23399999999998</v>
      </c>
      <c r="M301" s="40">
        <f t="shared" si="522"/>
        <v>282.947</v>
      </c>
      <c r="N301" s="40">
        <f t="shared" si="522"/>
        <v>277.50299999999993</v>
      </c>
      <c r="O301" s="40">
        <f t="shared" si="522"/>
        <v>272.05899999999991</v>
      </c>
      <c r="P301" s="40">
        <f t="shared" si="522"/>
        <v>266.61499999999984</v>
      </c>
      <c r="Q301" s="3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40">
        <f t="shared" ref="BD301:BU301" si="526">SUM(BD297:BD300)</f>
        <v>278.48399999999998</v>
      </c>
      <c r="BE301" s="40">
        <f t="shared" si="526"/>
        <v>277.23399999999998</v>
      </c>
      <c r="BF301" s="40">
        <f t="shared" si="526"/>
        <v>152.428</v>
      </c>
      <c r="BG301" s="40">
        <f t="shared" si="526"/>
        <v>151.72899999999998</v>
      </c>
      <c r="BH301" s="40">
        <f t="shared" si="526"/>
        <v>283.20600000000002</v>
      </c>
      <c r="BI301" s="40">
        <f t="shared" si="526"/>
        <v>282.947</v>
      </c>
      <c r="BJ301" s="40">
        <f t="shared" si="526"/>
        <v>281.58599999999996</v>
      </c>
      <c r="BK301" s="40">
        <f t="shared" si="526"/>
        <v>280.22499999999997</v>
      </c>
      <c r="BL301" s="40">
        <f t="shared" si="526"/>
        <v>278.86399999999998</v>
      </c>
      <c r="BM301" s="40">
        <f t="shared" si="526"/>
        <v>277.50299999999993</v>
      </c>
      <c r="BN301" s="40">
        <f t="shared" si="526"/>
        <v>276.14199999999994</v>
      </c>
      <c r="BO301" s="40">
        <f t="shared" si="526"/>
        <v>274.78099999999989</v>
      </c>
      <c r="BP301" s="40">
        <f t="shared" si="526"/>
        <v>273.4199999999999</v>
      </c>
      <c r="BQ301" s="40">
        <f t="shared" si="526"/>
        <v>272.05899999999991</v>
      </c>
      <c r="BR301" s="40">
        <f t="shared" si="526"/>
        <v>270.69799999999987</v>
      </c>
      <c r="BS301" s="40">
        <f t="shared" si="526"/>
        <v>269.33699999999988</v>
      </c>
      <c r="BT301" s="40">
        <f t="shared" si="526"/>
        <v>267.97599999999983</v>
      </c>
      <c r="BU301" s="40">
        <f t="shared" si="526"/>
        <v>266.61499999999984</v>
      </c>
      <c r="BX301" s="221">
        <f t="shared" si="471"/>
        <v>293</v>
      </c>
    </row>
    <row r="302" spans="1:76" hidden="1" outlineLevel="2">
      <c r="A302" s="184"/>
      <c r="B302" s="56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3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  <c r="BK302" s="59"/>
      <c r="BL302" s="59"/>
      <c r="BM302" s="59"/>
      <c r="BN302" s="59"/>
      <c r="BO302" s="59"/>
      <c r="BP302" s="59"/>
      <c r="BQ302" s="59"/>
      <c r="BR302" s="59"/>
      <c r="BS302" s="59"/>
      <c r="BT302" s="59"/>
      <c r="BU302" s="59"/>
      <c r="BX302" s="221">
        <f t="shared" si="471"/>
        <v>294</v>
      </c>
    </row>
    <row r="303" spans="1:76" hidden="1" outlineLevel="2">
      <c r="A303" s="184"/>
      <c r="B303" s="56" t="s">
        <v>52</v>
      </c>
      <c r="C303" s="196"/>
      <c r="D303" s="196"/>
      <c r="E303" s="196"/>
      <c r="F303" s="196"/>
      <c r="G303" s="196"/>
      <c r="H303" s="196"/>
      <c r="I303" s="196"/>
      <c r="J303" s="196"/>
      <c r="K303" s="196"/>
      <c r="L303" s="40">
        <f t="shared" ref="L303:P313" si="527">INDEX($R303:$BV303,1,MATCH(L$4,$R$4:$BV$4,0))</f>
        <v>100</v>
      </c>
      <c r="M303" s="40">
        <f t="shared" si="527"/>
        <v>300</v>
      </c>
      <c r="N303" s="40">
        <f t="shared" si="527"/>
        <v>300</v>
      </c>
      <c r="O303" s="40">
        <f t="shared" si="527"/>
        <v>300</v>
      </c>
      <c r="P303" s="40">
        <f t="shared" si="527"/>
        <v>300</v>
      </c>
      <c r="Q303" s="3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59">
        <v>100</v>
      </c>
      <c r="BE303" s="59">
        <v>100</v>
      </c>
      <c r="BF303" s="235">
        <v>300</v>
      </c>
      <c r="BG303" s="59">
        <f t="shared" ref="BG303:BU303" si="528">BF303</f>
        <v>300</v>
      </c>
      <c r="BH303" s="59">
        <f t="shared" si="528"/>
        <v>300</v>
      </c>
      <c r="BI303" s="59">
        <f t="shared" si="528"/>
        <v>300</v>
      </c>
      <c r="BJ303" s="59">
        <f t="shared" si="528"/>
        <v>300</v>
      </c>
      <c r="BK303" s="59">
        <f t="shared" si="528"/>
        <v>300</v>
      </c>
      <c r="BL303" s="59">
        <f t="shared" si="528"/>
        <v>300</v>
      </c>
      <c r="BM303" s="59">
        <f t="shared" si="528"/>
        <v>300</v>
      </c>
      <c r="BN303" s="59">
        <f t="shared" si="528"/>
        <v>300</v>
      </c>
      <c r="BO303" s="59">
        <f t="shared" si="528"/>
        <v>300</v>
      </c>
      <c r="BP303" s="59">
        <f t="shared" si="528"/>
        <v>300</v>
      </c>
      <c r="BQ303" s="59">
        <f t="shared" si="528"/>
        <v>300</v>
      </c>
      <c r="BR303" s="59">
        <f t="shared" si="528"/>
        <v>300</v>
      </c>
      <c r="BS303" s="59">
        <f t="shared" si="528"/>
        <v>300</v>
      </c>
      <c r="BT303" s="59">
        <f t="shared" si="528"/>
        <v>300</v>
      </c>
      <c r="BU303" s="59">
        <f t="shared" si="528"/>
        <v>300</v>
      </c>
      <c r="BX303" s="221">
        <f t="shared" si="471"/>
        <v>295</v>
      </c>
    </row>
    <row r="304" spans="1:76" hidden="1" outlineLevel="2">
      <c r="A304" s="184"/>
      <c r="B304" s="56" t="s">
        <v>51</v>
      </c>
      <c r="C304" s="196"/>
      <c r="D304" s="196"/>
      <c r="E304" s="196"/>
      <c r="F304" s="196"/>
      <c r="G304" s="196"/>
      <c r="H304" s="196"/>
      <c r="I304" s="196"/>
      <c r="J304" s="196"/>
      <c r="K304" s="196"/>
      <c r="L304" s="40">
        <f t="shared" si="527"/>
        <v>0</v>
      </c>
      <c r="M304" s="40">
        <f t="shared" si="527"/>
        <v>0</v>
      </c>
      <c r="N304" s="40">
        <f t="shared" si="527"/>
        <v>0</v>
      </c>
      <c r="O304" s="40">
        <f t="shared" si="527"/>
        <v>0</v>
      </c>
      <c r="P304" s="40">
        <f t="shared" si="527"/>
        <v>0</v>
      </c>
      <c r="Q304" s="3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59">
        <v>0</v>
      </c>
      <c r="BE304" s="59">
        <v>0</v>
      </c>
      <c r="BF304" s="59">
        <v>0</v>
      </c>
      <c r="BG304" s="59">
        <v>0</v>
      </c>
      <c r="BH304" s="59">
        <v>0</v>
      </c>
      <c r="BI304" s="59">
        <v>0</v>
      </c>
      <c r="BJ304" s="59">
        <v>0</v>
      </c>
      <c r="BK304" s="59">
        <v>0</v>
      </c>
      <c r="BL304" s="59">
        <v>0</v>
      </c>
      <c r="BM304" s="59">
        <v>0</v>
      </c>
      <c r="BN304" s="59">
        <v>0</v>
      </c>
      <c r="BO304" s="59">
        <v>0</v>
      </c>
      <c r="BP304" s="59">
        <v>0</v>
      </c>
      <c r="BQ304" s="59">
        <v>0</v>
      </c>
      <c r="BR304" s="59">
        <v>0</v>
      </c>
      <c r="BS304" s="59">
        <v>0</v>
      </c>
      <c r="BT304" s="59">
        <v>0</v>
      </c>
      <c r="BU304" s="59">
        <v>0</v>
      </c>
      <c r="BX304" s="221">
        <f t="shared" si="471"/>
        <v>296</v>
      </c>
    </row>
    <row r="305" spans="1:76" hidden="1" outlineLevel="2">
      <c r="A305" s="184"/>
      <c r="B305" s="56" t="s">
        <v>50</v>
      </c>
      <c r="C305" s="196"/>
      <c r="D305" s="196"/>
      <c r="E305" s="196"/>
      <c r="F305" s="196"/>
      <c r="G305" s="196"/>
      <c r="H305" s="196"/>
      <c r="I305" s="196"/>
      <c r="J305" s="196"/>
      <c r="K305" s="196"/>
      <c r="L305" s="40">
        <f t="shared" si="527"/>
        <v>100</v>
      </c>
      <c r="M305" s="40">
        <f t="shared" si="527"/>
        <v>300</v>
      </c>
      <c r="N305" s="40">
        <f t="shared" si="527"/>
        <v>300</v>
      </c>
      <c r="O305" s="40">
        <f t="shared" si="527"/>
        <v>300</v>
      </c>
      <c r="P305" s="40">
        <f t="shared" si="527"/>
        <v>300</v>
      </c>
      <c r="Q305" s="3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C305" s="19"/>
      <c r="BD305" s="40">
        <f>+BD303+BD304</f>
        <v>100</v>
      </c>
      <c r="BE305" s="40">
        <f t="shared" ref="BE305:BU305" si="529">+BE303+BE304</f>
        <v>100</v>
      </c>
      <c r="BF305" s="40">
        <f t="shared" si="529"/>
        <v>300</v>
      </c>
      <c r="BG305" s="40">
        <f t="shared" ref="BG305" si="530">+BG303+BG304</f>
        <v>300</v>
      </c>
      <c r="BH305" s="40">
        <f t="shared" si="529"/>
        <v>300</v>
      </c>
      <c r="BI305" s="40">
        <f t="shared" ref="BI305" si="531">+BI303+BI304</f>
        <v>300</v>
      </c>
      <c r="BJ305" s="40">
        <f t="shared" si="529"/>
        <v>300</v>
      </c>
      <c r="BK305" s="40">
        <f t="shared" si="529"/>
        <v>300</v>
      </c>
      <c r="BL305" s="40">
        <f t="shared" si="529"/>
        <v>300</v>
      </c>
      <c r="BM305" s="40">
        <f t="shared" si="529"/>
        <v>300</v>
      </c>
      <c r="BN305" s="40">
        <f t="shared" si="529"/>
        <v>300</v>
      </c>
      <c r="BO305" s="40">
        <f t="shared" si="529"/>
        <v>300</v>
      </c>
      <c r="BP305" s="40">
        <f t="shared" si="529"/>
        <v>300</v>
      </c>
      <c r="BQ305" s="40">
        <f t="shared" si="529"/>
        <v>300</v>
      </c>
      <c r="BR305" s="40">
        <f t="shared" si="529"/>
        <v>300</v>
      </c>
      <c r="BS305" s="40">
        <f t="shared" si="529"/>
        <v>300</v>
      </c>
      <c r="BT305" s="40">
        <f t="shared" si="529"/>
        <v>300</v>
      </c>
      <c r="BU305" s="40">
        <f t="shared" si="529"/>
        <v>300</v>
      </c>
      <c r="BX305" s="221">
        <f t="shared" si="471"/>
        <v>297</v>
      </c>
    </row>
    <row r="306" spans="1:76" ht="3" hidden="1" customHeight="1" outlineLevel="2">
      <c r="A306" s="184"/>
      <c r="B306" s="56"/>
      <c r="C306" s="196"/>
      <c r="D306" s="196"/>
      <c r="E306" s="196"/>
      <c r="F306" s="196"/>
      <c r="G306" s="196"/>
      <c r="H306" s="196"/>
      <c r="I306" s="196"/>
      <c r="J306" s="196"/>
      <c r="K306" s="196"/>
      <c r="L306" s="40"/>
      <c r="M306" s="40"/>
      <c r="N306" s="40"/>
      <c r="O306" s="40"/>
      <c r="P306" s="40"/>
      <c r="Q306" s="3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X306" s="221">
        <f t="shared" si="471"/>
        <v>298</v>
      </c>
    </row>
    <row r="307" spans="1:76" hidden="1" outlineLevel="2">
      <c r="A307" s="184"/>
      <c r="B307" s="56" t="s">
        <v>324</v>
      </c>
      <c r="C307" s="196"/>
      <c r="D307" s="196"/>
      <c r="E307" s="196"/>
      <c r="F307" s="196"/>
      <c r="G307" s="196"/>
      <c r="H307" s="196"/>
      <c r="I307" s="196"/>
      <c r="J307" s="196"/>
      <c r="K307" s="196"/>
      <c r="L307" s="40"/>
      <c r="M307" s="40"/>
      <c r="N307" s="40"/>
      <c r="O307" s="40"/>
      <c r="P307" s="40"/>
      <c r="Q307" s="3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9"/>
      <c r="BD307" s="40">
        <f t="shared" ref="BD307:BQ307" si="532">0.85*BD187+0.7*BD188</f>
        <v>56.781750000000002</v>
      </c>
      <c r="BE307" s="40">
        <f t="shared" si="532"/>
        <v>67.459149999999994</v>
      </c>
      <c r="BF307" s="40">
        <f t="shared" si="532"/>
        <v>122.23704999999998</v>
      </c>
      <c r="BG307" s="40">
        <f t="shared" si="532"/>
        <v>142.62615</v>
      </c>
      <c r="BH307" s="40">
        <f t="shared" si="532"/>
        <v>213.8578</v>
      </c>
      <c r="BI307" s="40">
        <f t="shared" ref="BI307" si="533">0.85*BI187+0.7*BI188</f>
        <v>225.72120000000001</v>
      </c>
      <c r="BJ307" s="40">
        <f t="shared" si="532"/>
        <v>230.66247490988917</v>
      </c>
      <c r="BK307" s="40">
        <f t="shared" si="532"/>
        <v>250.71084197229817</v>
      </c>
      <c r="BL307" s="40">
        <f t="shared" si="532"/>
        <v>263.48818007003081</v>
      </c>
      <c r="BM307" s="40">
        <f t="shared" si="532"/>
        <v>274.67273931156427</v>
      </c>
      <c r="BN307" s="40">
        <f t="shared" si="532"/>
        <v>292.66089640805023</v>
      </c>
      <c r="BO307" s="40">
        <f t="shared" si="532"/>
        <v>289.79276805934069</v>
      </c>
      <c r="BP307" s="40">
        <f t="shared" si="532"/>
        <v>287.11786451144036</v>
      </c>
      <c r="BQ307" s="40">
        <f t="shared" si="532"/>
        <v>287.61663324769177</v>
      </c>
      <c r="BR307" s="40"/>
      <c r="BS307" s="40"/>
      <c r="BT307" s="40"/>
      <c r="BU307" s="40"/>
      <c r="BX307" s="221">
        <f t="shared" si="471"/>
        <v>299</v>
      </c>
    </row>
    <row r="308" spans="1:76" hidden="1" outlineLevel="2">
      <c r="A308" s="184"/>
      <c r="B308" s="56" t="s">
        <v>325</v>
      </c>
      <c r="C308" s="196"/>
      <c r="D308" s="196"/>
      <c r="E308" s="196"/>
      <c r="F308" s="196"/>
      <c r="G308" s="196"/>
      <c r="H308" s="196"/>
      <c r="I308" s="196"/>
      <c r="J308" s="196"/>
      <c r="K308" s="196"/>
      <c r="L308" s="40"/>
      <c r="M308" s="40"/>
      <c r="N308" s="40"/>
      <c r="O308" s="40"/>
      <c r="P308" s="40"/>
      <c r="Q308" s="3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40">
        <f>MIN(BD305,BD307)</f>
        <v>56.781750000000002</v>
      </c>
      <c r="BE308" s="40">
        <f>MIN(BE305,BE307)</f>
        <v>67.459149999999994</v>
      </c>
      <c r="BF308" s="40">
        <f t="shared" ref="BF308:BQ308" si="534">MIN(BF305,BF307)</f>
        <v>122.23704999999998</v>
      </c>
      <c r="BG308" s="40">
        <f t="shared" ref="BG308" si="535">MIN(BG305,BG307)</f>
        <v>142.62615</v>
      </c>
      <c r="BH308" s="40">
        <f t="shared" si="534"/>
        <v>213.8578</v>
      </c>
      <c r="BI308" s="40">
        <f t="shared" ref="BI308" si="536">MIN(BI305,BI307)</f>
        <v>225.72120000000001</v>
      </c>
      <c r="BJ308" s="40">
        <f t="shared" si="534"/>
        <v>230.66247490988917</v>
      </c>
      <c r="BK308" s="40">
        <f t="shared" si="534"/>
        <v>250.71084197229817</v>
      </c>
      <c r="BL308" s="40">
        <f t="shared" si="534"/>
        <v>263.48818007003081</v>
      </c>
      <c r="BM308" s="40">
        <f t="shared" si="534"/>
        <v>274.67273931156427</v>
      </c>
      <c r="BN308" s="40">
        <f t="shared" si="534"/>
        <v>292.66089640805023</v>
      </c>
      <c r="BO308" s="40">
        <f t="shared" si="534"/>
        <v>289.79276805934069</v>
      </c>
      <c r="BP308" s="40">
        <f t="shared" si="534"/>
        <v>287.11786451144036</v>
      </c>
      <c r="BQ308" s="40">
        <f t="shared" si="534"/>
        <v>287.61663324769177</v>
      </c>
      <c r="BR308" s="40"/>
      <c r="BS308" s="40"/>
      <c r="BT308" s="40"/>
      <c r="BU308" s="40"/>
      <c r="BX308" s="221">
        <f t="shared" si="471"/>
        <v>300</v>
      </c>
    </row>
    <row r="309" spans="1:76" ht="3" hidden="1" customHeight="1" outlineLevel="2">
      <c r="A309" s="184"/>
      <c r="B309" s="56"/>
      <c r="C309" s="196"/>
      <c r="D309" s="196"/>
      <c r="E309" s="196"/>
      <c r="F309" s="196"/>
      <c r="G309" s="196"/>
      <c r="H309" s="196"/>
      <c r="I309" s="196"/>
      <c r="J309" s="196"/>
      <c r="K309" s="196"/>
      <c r="L309" s="40"/>
      <c r="M309" s="40"/>
      <c r="N309" s="40"/>
      <c r="O309" s="40"/>
      <c r="P309" s="40"/>
      <c r="Q309" s="3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X309" s="221">
        <f t="shared" si="471"/>
        <v>301</v>
      </c>
    </row>
    <row r="310" spans="1:76" hidden="1" outlineLevel="2">
      <c r="A310" s="184"/>
      <c r="B310" s="56" t="s">
        <v>49</v>
      </c>
      <c r="C310" s="196"/>
      <c r="D310" s="196"/>
      <c r="E310" s="196"/>
      <c r="F310" s="196"/>
      <c r="G310" s="196"/>
      <c r="H310" s="196"/>
      <c r="I310" s="196"/>
      <c r="J310" s="196"/>
      <c r="K310" s="196"/>
      <c r="L310" s="40">
        <f t="shared" si="527"/>
        <v>0.59100000000006503</v>
      </c>
      <c r="M310" s="40">
        <f t="shared" si="527"/>
        <v>0</v>
      </c>
      <c r="N310" s="40">
        <f t="shared" si="527"/>
        <v>0</v>
      </c>
      <c r="O310" s="40">
        <f t="shared" si="527"/>
        <v>0</v>
      </c>
      <c r="P310" s="40">
        <f t="shared" si="527"/>
        <v>0</v>
      </c>
      <c r="Q310" s="3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40">
        <f>MIN(BD294,BD308)</f>
        <v>0</v>
      </c>
      <c r="BE310" s="40">
        <f>MIN(BE294,BE308)</f>
        <v>0.59100000000006503</v>
      </c>
      <c r="BF310" s="59">
        <v>0</v>
      </c>
      <c r="BG310" s="59">
        <v>0</v>
      </c>
      <c r="BH310" s="59">
        <f t="shared" ref="BH310:BQ310" si="537">MIN(BH294,BH308)</f>
        <v>0</v>
      </c>
      <c r="BI310" s="59">
        <f t="shared" ref="BI310" si="538">MIN(BI294,BI308)</f>
        <v>0</v>
      </c>
      <c r="BJ310" s="40">
        <f t="shared" si="537"/>
        <v>0</v>
      </c>
      <c r="BK310" s="40">
        <f t="shared" si="537"/>
        <v>0</v>
      </c>
      <c r="BL310" s="40">
        <f t="shared" si="537"/>
        <v>0</v>
      </c>
      <c r="BM310" s="40">
        <f t="shared" si="537"/>
        <v>0</v>
      </c>
      <c r="BN310" s="40">
        <f t="shared" si="537"/>
        <v>0</v>
      </c>
      <c r="BO310" s="40">
        <f t="shared" si="537"/>
        <v>0</v>
      </c>
      <c r="BP310" s="40">
        <f t="shared" si="537"/>
        <v>0</v>
      </c>
      <c r="BQ310" s="40">
        <f t="shared" si="537"/>
        <v>0</v>
      </c>
      <c r="BR310" s="40">
        <f>MIN(BR294,BR305)</f>
        <v>0</v>
      </c>
      <c r="BS310" s="40">
        <f>MIN(BS294,BS305)</f>
        <v>0</v>
      </c>
      <c r="BT310" s="40">
        <f>MIN(BT294,BT305)</f>
        <v>0</v>
      </c>
      <c r="BU310" s="40">
        <f>MIN(BU294,BU305)</f>
        <v>0</v>
      </c>
      <c r="BX310" s="221">
        <f t="shared" si="471"/>
        <v>302</v>
      </c>
    </row>
    <row r="311" spans="1:76" hidden="1" outlineLevel="2">
      <c r="A311" s="184"/>
      <c r="B311" s="56" t="s">
        <v>326</v>
      </c>
      <c r="C311" s="196"/>
      <c r="D311" s="196"/>
      <c r="E311" s="196"/>
      <c r="F311" s="196"/>
      <c r="G311" s="196"/>
      <c r="H311" s="196"/>
      <c r="I311" s="196"/>
      <c r="J311" s="196"/>
      <c r="K311" s="196"/>
      <c r="L311" s="40">
        <f t="shared" si="527"/>
        <v>66.868149999999929</v>
      </c>
      <c r="M311" s="40">
        <f t="shared" si="527"/>
        <v>225.72120000000001</v>
      </c>
      <c r="N311" s="40">
        <f t="shared" si="527"/>
        <v>274.67273931156427</v>
      </c>
      <c r="O311" s="40">
        <f t="shared" si="527"/>
        <v>287.61663324769177</v>
      </c>
      <c r="P311" s="40">
        <f t="shared" si="527"/>
        <v>300</v>
      </c>
      <c r="Q311" s="3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57"/>
      <c r="AU311" s="57"/>
      <c r="AV311" s="57"/>
      <c r="AW311" s="57"/>
      <c r="AX311" s="57"/>
      <c r="AY311" s="57"/>
      <c r="AZ311" s="57"/>
      <c r="BA311" s="57"/>
      <c r="BB311" s="57"/>
      <c r="BC311" s="57"/>
      <c r="BD311" s="16">
        <f>+BD308-BD310</f>
        <v>56.781750000000002</v>
      </c>
      <c r="BE311" s="16">
        <f t="shared" ref="BE311:BQ311" si="539">+BE308-BE310</f>
        <v>66.868149999999929</v>
      </c>
      <c r="BF311" s="16">
        <f t="shared" ref="BF311:BG311" si="540">+BF308-BF310</f>
        <v>122.23704999999998</v>
      </c>
      <c r="BG311" s="16">
        <f t="shared" si="540"/>
        <v>142.62615</v>
      </c>
      <c r="BH311" s="16">
        <f t="shared" ref="BH311:BI311" si="541">+BH308-BH310</f>
        <v>213.8578</v>
      </c>
      <c r="BI311" s="16">
        <f t="shared" si="541"/>
        <v>225.72120000000001</v>
      </c>
      <c r="BJ311" s="16">
        <f t="shared" si="539"/>
        <v>230.66247490988917</v>
      </c>
      <c r="BK311" s="16">
        <f t="shared" si="539"/>
        <v>250.71084197229817</v>
      </c>
      <c r="BL311" s="16">
        <f t="shared" si="539"/>
        <v>263.48818007003081</v>
      </c>
      <c r="BM311" s="16">
        <f t="shared" si="539"/>
        <v>274.67273931156427</v>
      </c>
      <c r="BN311" s="16">
        <f t="shared" si="539"/>
        <v>292.66089640805023</v>
      </c>
      <c r="BO311" s="16">
        <f t="shared" si="539"/>
        <v>289.79276805934069</v>
      </c>
      <c r="BP311" s="16">
        <f t="shared" si="539"/>
        <v>287.11786451144036</v>
      </c>
      <c r="BQ311" s="16">
        <f t="shared" si="539"/>
        <v>287.61663324769177</v>
      </c>
      <c r="BR311" s="55">
        <f>+BR305-BR294</f>
        <v>300</v>
      </c>
      <c r="BS311" s="55">
        <f>+BS305-BS294</f>
        <v>300</v>
      </c>
      <c r="BT311" s="55">
        <f>+BT305-BT294</f>
        <v>300</v>
      </c>
      <c r="BU311" s="55">
        <f>+BU305-BU294</f>
        <v>300</v>
      </c>
      <c r="BX311" s="221">
        <f t="shared" si="471"/>
        <v>303</v>
      </c>
    </row>
    <row r="312" spans="1:76" hidden="1" outlineLevel="2">
      <c r="A312" s="184"/>
      <c r="B312" s="56" t="s">
        <v>48</v>
      </c>
      <c r="C312" s="196"/>
      <c r="D312" s="196"/>
      <c r="E312" s="196"/>
      <c r="F312" s="196"/>
      <c r="G312" s="196"/>
      <c r="H312" s="196"/>
      <c r="I312" s="196"/>
      <c r="J312" s="196"/>
      <c r="K312" s="196"/>
      <c r="L312" s="40">
        <f t="shared" si="527"/>
        <v>115.78814999999993</v>
      </c>
      <c r="M312" s="40">
        <f t="shared" si="527"/>
        <v>321.84120000000001</v>
      </c>
      <c r="N312" s="40">
        <f t="shared" si="527"/>
        <v>514.06432965427757</v>
      </c>
      <c r="O312" s="40">
        <f t="shared" si="527"/>
        <v>853.51377648863809</v>
      </c>
      <c r="P312" s="40">
        <f t="shared" si="527"/>
        <v>1189.0259872701599</v>
      </c>
      <c r="Q312" s="3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57"/>
      <c r="AU312" s="57"/>
      <c r="AV312" s="57"/>
      <c r="AW312" s="57"/>
      <c r="AX312" s="57"/>
      <c r="AY312" s="57"/>
      <c r="AZ312" s="57"/>
      <c r="BA312" s="57"/>
      <c r="BB312" s="57"/>
      <c r="BC312" s="57"/>
      <c r="BD312" s="55">
        <f t="shared" ref="BD312:BU312" si="542">+BD311+BD186</f>
        <v>119.16475</v>
      </c>
      <c r="BE312" s="55">
        <f t="shared" si="542"/>
        <v>115.78814999999993</v>
      </c>
      <c r="BF312" s="55">
        <f t="shared" si="542"/>
        <v>208.03305</v>
      </c>
      <c r="BG312" s="55">
        <f t="shared" si="542"/>
        <v>218.17815000000002</v>
      </c>
      <c r="BH312" s="55">
        <f t="shared" si="542"/>
        <v>285.58679999999998</v>
      </c>
      <c r="BI312" s="55">
        <f t="shared" si="542"/>
        <v>321.84120000000001</v>
      </c>
      <c r="BJ312" s="55">
        <f t="shared" si="542"/>
        <v>362.82371831467782</v>
      </c>
      <c r="BK312" s="55">
        <f t="shared" si="542"/>
        <v>378.98540755373642</v>
      </c>
      <c r="BL312" s="55">
        <f t="shared" si="542"/>
        <v>423.65594448692411</v>
      </c>
      <c r="BM312" s="55">
        <f t="shared" si="542"/>
        <v>514.06432965427757</v>
      </c>
      <c r="BN312" s="55">
        <f t="shared" si="542"/>
        <v>605.48223111260222</v>
      </c>
      <c r="BO312" s="55">
        <f t="shared" si="542"/>
        <v>687.51296898791247</v>
      </c>
      <c r="BP312" s="55">
        <f t="shared" si="542"/>
        <v>770.30990418407362</v>
      </c>
      <c r="BQ312" s="55">
        <f t="shared" si="542"/>
        <v>853.51377648863809</v>
      </c>
      <c r="BR312" s="55">
        <f t="shared" si="542"/>
        <v>945.38472092923269</v>
      </c>
      <c r="BS312" s="55">
        <f t="shared" si="542"/>
        <v>1026.2947590782815</v>
      </c>
      <c r="BT312" s="55">
        <f t="shared" si="542"/>
        <v>1109.1744766032925</v>
      </c>
      <c r="BU312" s="55">
        <f t="shared" si="542"/>
        <v>1189.0259872701599</v>
      </c>
      <c r="BX312" s="221">
        <f t="shared" si="471"/>
        <v>304</v>
      </c>
    </row>
    <row r="313" spans="1:76" hidden="1" outlineLevel="2">
      <c r="A313" s="184"/>
      <c r="B313" s="56" t="s">
        <v>328</v>
      </c>
      <c r="C313" s="196"/>
      <c r="D313" s="196"/>
      <c r="E313" s="196"/>
      <c r="F313" s="196"/>
      <c r="G313" s="196"/>
      <c r="H313" s="196"/>
      <c r="I313" s="196"/>
      <c r="J313" s="196"/>
      <c r="K313" s="196"/>
      <c r="L313" s="40">
        <f t="shared" si="527"/>
        <v>17.5</v>
      </c>
      <c r="M313" s="40">
        <f t="shared" si="527"/>
        <v>17.5</v>
      </c>
      <c r="N313" s="40">
        <f t="shared" si="527"/>
        <v>17.5</v>
      </c>
      <c r="O313" s="40">
        <f t="shared" si="527"/>
        <v>17.5</v>
      </c>
      <c r="P313" s="40">
        <f t="shared" si="527"/>
        <v>17.5</v>
      </c>
      <c r="Q313" s="3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57"/>
      <c r="AU313" s="57"/>
      <c r="AV313" s="57"/>
      <c r="AW313" s="57"/>
      <c r="AX313" s="57"/>
      <c r="AY313" s="57"/>
      <c r="AZ313" s="57"/>
      <c r="BA313" s="57"/>
      <c r="BB313" s="57"/>
      <c r="BC313" s="57"/>
      <c r="BD313" s="224">
        <v>17.5</v>
      </c>
      <c r="BE313" s="224">
        <f t="shared" ref="BE313:BQ313" si="543">BD313</f>
        <v>17.5</v>
      </c>
      <c r="BF313" s="224">
        <f t="shared" si="543"/>
        <v>17.5</v>
      </c>
      <c r="BG313" s="224">
        <f t="shared" si="543"/>
        <v>17.5</v>
      </c>
      <c r="BH313" s="224">
        <f t="shared" si="543"/>
        <v>17.5</v>
      </c>
      <c r="BI313" s="224">
        <f t="shared" si="543"/>
        <v>17.5</v>
      </c>
      <c r="BJ313" s="224">
        <f t="shared" si="543"/>
        <v>17.5</v>
      </c>
      <c r="BK313" s="224">
        <f t="shared" si="543"/>
        <v>17.5</v>
      </c>
      <c r="BL313" s="224">
        <f t="shared" si="543"/>
        <v>17.5</v>
      </c>
      <c r="BM313" s="224">
        <f t="shared" si="543"/>
        <v>17.5</v>
      </c>
      <c r="BN313" s="224">
        <f t="shared" si="543"/>
        <v>17.5</v>
      </c>
      <c r="BO313" s="224">
        <f t="shared" si="543"/>
        <v>17.5</v>
      </c>
      <c r="BP313" s="224">
        <f t="shared" si="543"/>
        <v>17.5</v>
      </c>
      <c r="BQ313" s="224">
        <f t="shared" si="543"/>
        <v>17.5</v>
      </c>
      <c r="BR313" s="224">
        <f>BQ313</f>
        <v>17.5</v>
      </c>
      <c r="BS313" s="224">
        <f>BR313</f>
        <v>17.5</v>
      </c>
      <c r="BT313" s="224">
        <f>BS313</f>
        <v>17.5</v>
      </c>
      <c r="BU313" s="224">
        <f>BT313</f>
        <v>17.5</v>
      </c>
      <c r="BX313" s="221">
        <f t="shared" si="471"/>
        <v>305</v>
      </c>
    </row>
    <row r="314" spans="1:76" hidden="1" outlineLevel="2">
      <c r="A314" s="184"/>
      <c r="B314" s="56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55"/>
      <c r="AU314" s="55"/>
      <c r="AV314" s="55"/>
      <c r="AW314" s="55"/>
      <c r="AX314" s="55"/>
      <c r="AY314" s="55"/>
      <c r="AZ314" s="55"/>
      <c r="BA314" s="55"/>
      <c r="BB314" s="55"/>
      <c r="BC314" s="55"/>
      <c r="BD314" s="55"/>
      <c r="BE314" s="55"/>
      <c r="BF314" s="55"/>
      <c r="BG314" s="55"/>
      <c r="BH314" s="55"/>
      <c r="BI314" s="55"/>
      <c r="BJ314" s="55"/>
      <c r="BK314" s="55"/>
      <c r="BL314" s="55"/>
      <c r="BM314" s="55"/>
      <c r="BN314" s="55"/>
      <c r="BO314" s="55"/>
      <c r="BP314" s="55"/>
      <c r="BQ314" s="55"/>
      <c r="BR314" s="55"/>
      <c r="BS314" s="55"/>
      <c r="BT314" s="55"/>
      <c r="BU314" s="55"/>
      <c r="BX314" s="221">
        <f t="shared" si="471"/>
        <v>306</v>
      </c>
    </row>
    <row r="315" spans="1:76" hidden="1" outlineLevel="2">
      <c r="A315" s="184"/>
      <c r="B315" s="56" t="s">
        <v>47</v>
      </c>
      <c r="C315" s="196"/>
      <c r="D315" s="196"/>
      <c r="E315" s="196"/>
      <c r="F315" s="196"/>
      <c r="G315" s="196"/>
      <c r="H315" s="196"/>
      <c r="I315" s="196"/>
      <c r="J315" s="196"/>
      <c r="K315" s="196"/>
      <c r="L315" s="40">
        <f t="shared" ref="L315:P316" si="544">INDEX($R315:$BV315,1,MATCH(L$4,$R$4:$BV$4,0))</f>
        <v>5.1449999999999996</v>
      </c>
      <c r="M315" s="40">
        <f t="shared" si="544"/>
        <v>5.4440000000000524</v>
      </c>
      <c r="N315" s="40">
        <f t="shared" si="544"/>
        <v>5.4440000000000524</v>
      </c>
      <c r="O315" s="40">
        <f t="shared" si="544"/>
        <v>2.5999999999999996</v>
      </c>
      <c r="P315" s="40">
        <f t="shared" si="544"/>
        <v>0</v>
      </c>
      <c r="Q315" s="3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16">
        <f>BD203</f>
        <v>3.4969999999999999</v>
      </c>
      <c r="BE315" s="16">
        <f>BE203</f>
        <v>5.1449999999999996</v>
      </c>
      <c r="BF315" s="16">
        <f>BF203</f>
        <v>2.9660000000000002</v>
      </c>
      <c r="BG315" s="16">
        <f t="shared" ref="BG315:BQ315" si="545">-SUM(BH323:BK323)</f>
        <v>-128.49599999999998</v>
      </c>
      <c r="BH315" s="16">
        <f t="shared" si="545"/>
        <v>4.3420000000000538</v>
      </c>
      <c r="BI315" s="16">
        <f t="shared" si="545"/>
        <v>5.4440000000000524</v>
      </c>
      <c r="BJ315" s="16">
        <f t="shared" si="545"/>
        <v>5.4440000000000524</v>
      </c>
      <c r="BK315" s="16">
        <f t="shared" si="545"/>
        <v>5.4440000000000524</v>
      </c>
      <c r="BL315" s="16">
        <f t="shared" si="545"/>
        <v>5.4440000000000524</v>
      </c>
      <c r="BM315" s="16">
        <f t="shared" si="545"/>
        <v>5.4440000000000524</v>
      </c>
      <c r="BN315" s="16">
        <f t="shared" si="545"/>
        <v>4.7330000000000378</v>
      </c>
      <c r="BO315" s="16">
        <f t="shared" si="545"/>
        <v>4.0220000000000251</v>
      </c>
      <c r="BP315" s="16">
        <f t="shared" si="545"/>
        <v>3.3110000000000124</v>
      </c>
      <c r="BQ315" s="16">
        <f t="shared" si="545"/>
        <v>2.5999999999999996</v>
      </c>
      <c r="BR315" s="228">
        <v>0</v>
      </c>
      <c r="BS315" s="228">
        <v>0</v>
      </c>
      <c r="BT315" s="228">
        <v>0</v>
      </c>
      <c r="BU315" s="228">
        <v>0</v>
      </c>
      <c r="BX315" s="221">
        <f t="shared" si="471"/>
        <v>307</v>
      </c>
    </row>
    <row r="316" spans="1:76" hidden="1" outlineLevel="2">
      <c r="A316" s="184"/>
      <c r="B316" s="56" t="s">
        <v>46</v>
      </c>
      <c r="C316" s="196"/>
      <c r="D316" s="196"/>
      <c r="E316" s="196"/>
      <c r="F316" s="196"/>
      <c r="G316" s="196"/>
      <c r="H316" s="196"/>
      <c r="I316" s="196"/>
      <c r="J316" s="196"/>
      <c r="K316" s="196"/>
      <c r="L316" s="40">
        <f t="shared" si="544"/>
        <v>272.68</v>
      </c>
      <c r="M316" s="40">
        <f t="shared" si="544"/>
        <v>277.50299999999993</v>
      </c>
      <c r="N316" s="40">
        <f t="shared" si="544"/>
        <v>272.05899999999986</v>
      </c>
      <c r="O316" s="40">
        <f t="shared" si="544"/>
        <v>269.45899999999989</v>
      </c>
      <c r="P316" s="40">
        <f t="shared" si="544"/>
        <v>266.61499999999984</v>
      </c>
      <c r="Q316" s="3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57"/>
      <c r="AP316" s="57"/>
      <c r="AQ316" s="57"/>
      <c r="AR316" s="57"/>
      <c r="AS316" s="57"/>
      <c r="AT316" s="57"/>
      <c r="AU316" s="57"/>
      <c r="AV316" s="57"/>
      <c r="AW316" s="57"/>
      <c r="AX316" s="57"/>
      <c r="AY316" s="57"/>
      <c r="AZ316" s="57"/>
      <c r="BA316" s="57"/>
      <c r="BB316" s="57"/>
      <c r="BC316" s="57"/>
      <c r="BD316" s="16">
        <f>BD206</f>
        <v>274.98700000000002</v>
      </c>
      <c r="BE316" s="16">
        <f>BE206</f>
        <v>272.68</v>
      </c>
      <c r="BF316" s="16">
        <f>BF206</f>
        <v>149.46199999999999</v>
      </c>
      <c r="BG316" s="16">
        <f t="shared" ref="BG316:BU316" si="546">BG301+BG310-BG315</f>
        <v>280.22499999999997</v>
      </c>
      <c r="BH316" s="16">
        <f t="shared" si="546"/>
        <v>278.86399999999998</v>
      </c>
      <c r="BI316" s="16">
        <f t="shared" si="546"/>
        <v>277.50299999999993</v>
      </c>
      <c r="BJ316" s="16">
        <f t="shared" si="546"/>
        <v>276.14199999999988</v>
      </c>
      <c r="BK316" s="16">
        <f t="shared" si="546"/>
        <v>274.78099999999989</v>
      </c>
      <c r="BL316" s="16">
        <f t="shared" si="546"/>
        <v>273.4199999999999</v>
      </c>
      <c r="BM316" s="16">
        <f t="shared" si="546"/>
        <v>272.05899999999986</v>
      </c>
      <c r="BN316" s="16">
        <f t="shared" si="546"/>
        <v>271.40899999999988</v>
      </c>
      <c r="BO316" s="16">
        <f t="shared" si="546"/>
        <v>270.75899999999984</v>
      </c>
      <c r="BP316" s="16">
        <f t="shared" si="546"/>
        <v>270.10899999999987</v>
      </c>
      <c r="BQ316" s="16">
        <f t="shared" si="546"/>
        <v>269.45899999999989</v>
      </c>
      <c r="BR316" s="16">
        <f t="shared" si="546"/>
        <v>270.69799999999987</v>
      </c>
      <c r="BS316" s="16">
        <f t="shared" si="546"/>
        <v>269.33699999999988</v>
      </c>
      <c r="BT316" s="16">
        <f t="shared" si="546"/>
        <v>267.97599999999983</v>
      </c>
      <c r="BU316" s="16">
        <f t="shared" si="546"/>
        <v>266.61499999999984</v>
      </c>
      <c r="BX316" s="221">
        <f t="shared" si="471"/>
        <v>308</v>
      </c>
    </row>
    <row r="317" spans="1:76" hidden="1" outlineLevel="2">
      <c r="A317" s="184"/>
      <c r="B317" s="56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55"/>
      <c r="AU317" s="55"/>
      <c r="AV317" s="55"/>
      <c r="AW317" s="55"/>
      <c r="AX317" s="55"/>
      <c r="AY317" s="55"/>
      <c r="AZ317" s="55"/>
      <c r="BA317" s="55"/>
      <c r="BB317" s="55"/>
      <c r="BC317" s="55"/>
      <c r="BD317" s="55"/>
      <c r="BE317" s="55"/>
      <c r="BF317" s="55"/>
      <c r="BG317" s="55"/>
      <c r="BH317" s="55"/>
      <c r="BI317" s="55"/>
      <c r="BJ317" s="55"/>
      <c r="BK317" s="55"/>
      <c r="BL317" s="55"/>
      <c r="BM317" s="55"/>
      <c r="BN317" s="55"/>
      <c r="BO317" s="55"/>
      <c r="BP317" s="55"/>
      <c r="BQ317" s="55"/>
      <c r="BR317" s="55"/>
      <c r="BS317" s="55"/>
      <c r="BT317" s="55"/>
      <c r="BU317" s="55"/>
      <c r="BX317" s="221">
        <f t="shared" si="471"/>
        <v>309</v>
      </c>
    </row>
    <row r="318" spans="1:76" hidden="1" outlineLevel="2">
      <c r="A318" s="184"/>
      <c r="B318" s="56" t="s">
        <v>45</v>
      </c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3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  <c r="AO318" s="57"/>
      <c r="AP318" s="57"/>
      <c r="AQ318" s="57"/>
      <c r="AR318" s="57"/>
      <c r="AS318" s="57"/>
      <c r="AT318" s="57"/>
      <c r="AU318" s="57"/>
      <c r="AV318" s="57"/>
      <c r="AW318" s="57"/>
      <c r="AX318" s="57"/>
      <c r="AY318" s="57"/>
      <c r="AZ318" s="57"/>
      <c r="BA318" s="57"/>
      <c r="BB318" s="57"/>
      <c r="BC318" s="57"/>
      <c r="BD318" s="57"/>
      <c r="BE318" s="57"/>
      <c r="BF318" s="55"/>
      <c r="BG318" s="55"/>
      <c r="BH318" s="55"/>
      <c r="BI318" s="55"/>
      <c r="BJ318" s="55"/>
      <c r="BK318" s="55"/>
      <c r="BL318" s="55"/>
      <c r="BM318" s="55"/>
      <c r="BN318" s="55"/>
      <c r="BO318" s="55"/>
      <c r="BP318" s="55"/>
      <c r="BQ318" s="55"/>
      <c r="BR318" s="55"/>
      <c r="BS318" s="55"/>
      <c r="BT318" s="55"/>
      <c r="BU318" s="55"/>
      <c r="BX318" s="221">
        <f t="shared" si="471"/>
        <v>310</v>
      </c>
    </row>
    <row r="319" spans="1:76" hidden="1" outlineLevel="2">
      <c r="A319" s="184"/>
      <c r="B319" s="58" t="s">
        <v>44</v>
      </c>
      <c r="C319" s="196"/>
      <c r="D319" s="196"/>
      <c r="E319" s="196"/>
      <c r="F319" s="196"/>
      <c r="G319" s="196"/>
      <c r="H319" s="196"/>
      <c r="I319" s="196"/>
      <c r="J319" s="196"/>
      <c r="K319" s="196"/>
      <c r="L319" s="16">
        <f t="shared" ref="L319:P323" si="547">+L297-K297</f>
        <v>188.75</v>
      </c>
      <c r="M319" s="16">
        <f t="shared" si="547"/>
        <v>-188.75</v>
      </c>
      <c r="N319" s="16">
        <f t="shared" si="547"/>
        <v>0</v>
      </c>
      <c r="O319" s="16">
        <f t="shared" si="547"/>
        <v>0</v>
      </c>
      <c r="P319" s="16">
        <f t="shared" si="547"/>
        <v>0</v>
      </c>
      <c r="Q319" s="3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16">
        <f t="shared" ref="BF319:BU319" si="548">+BF297-BE297</f>
        <v>-188.75</v>
      </c>
      <c r="BG319" s="16">
        <f t="shared" si="548"/>
        <v>0</v>
      </c>
      <c r="BH319" s="16">
        <f t="shared" si="548"/>
        <v>0</v>
      </c>
      <c r="BI319" s="16">
        <f t="shared" si="548"/>
        <v>0</v>
      </c>
      <c r="BJ319" s="16">
        <f t="shared" si="548"/>
        <v>0</v>
      </c>
      <c r="BK319" s="16">
        <f t="shared" si="548"/>
        <v>0</v>
      </c>
      <c r="BL319" s="16">
        <f t="shared" si="548"/>
        <v>0</v>
      </c>
      <c r="BM319" s="16">
        <f t="shared" si="548"/>
        <v>0</v>
      </c>
      <c r="BN319" s="16">
        <f t="shared" si="548"/>
        <v>0</v>
      </c>
      <c r="BO319" s="16">
        <f t="shared" si="548"/>
        <v>0</v>
      </c>
      <c r="BP319" s="16">
        <f t="shared" si="548"/>
        <v>0</v>
      </c>
      <c r="BQ319" s="16">
        <f t="shared" si="548"/>
        <v>0</v>
      </c>
      <c r="BR319" s="16">
        <f t="shared" si="548"/>
        <v>0</v>
      </c>
      <c r="BS319" s="16">
        <f t="shared" si="548"/>
        <v>0</v>
      </c>
      <c r="BT319" s="16">
        <f t="shared" si="548"/>
        <v>0</v>
      </c>
      <c r="BU319" s="16">
        <f t="shared" si="548"/>
        <v>0</v>
      </c>
      <c r="BX319" s="221">
        <f t="shared" si="471"/>
        <v>311</v>
      </c>
    </row>
    <row r="320" spans="1:76" hidden="1" outlineLevel="2">
      <c r="A320" s="184"/>
      <c r="B320" s="58" t="s">
        <v>319</v>
      </c>
      <c r="C320" s="196"/>
      <c r="D320" s="196"/>
      <c r="E320" s="196"/>
      <c r="F320" s="196"/>
      <c r="G320" s="196"/>
      <c r="H320" s="196"/>
      <c r="I320" s="196"/>
      <c r="J320" s="196"/>
      <c r="K320" s="196"/>
      <c r="L320" s="16">
        <f t="shared" si="547"/>
        <v>98.75</v>
      </c>
      <c r="M320" s="16">
        <f t="shared" si="547"/>
        <v>184.452</v>
      </c>
      <c r="N320" s="16">
        <f t="shared" si="547"/>
        <v>-2.8440000000000509</v>
      </c>
      <c r="O320" s="16">
        <f t="shared" si="547"/>
        <v>-2.8440000000000509</v>
      </c>
      <c r="P320" s="16">
        <f t="shared" si="547"/>
        <v>-2.8440000000000509</v>
      </c>
      <c r="Q320" s="3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  <c r="AO320" s="57"/>
      <c r="AP320" s="57"/>
      <c r="AQ320" s="57"/>
      <c r="AR320" s="57"/>
      <c r="AS320" s="57"/>
      <c r="AT320" s="57"/>
      <c r="AU320" s="57"/>
      <c r="AV320" s="57"/>
      <c r="AW320" s="57"/>
      <c r="AX320" s="57"/>
      <c r="AY320" s="57"/>
      <c r="AZ320" s="57"/>
      <c r="BA320" s="57"/>
      <c r="BB320" s="57"/>
      <c r="BC320" s="57"/>
      <c r="BD320" s="57"/>
      <c r="BE320" s="57"/>
      <c r="BF320" s="16">
        <f t="shared" ref="BF320:BQ320" si="549">+BF298-BE298</f>
        <v>51.25</v>
      </c>
      <c r="BG320" s="16">
        <f t="shared" si="549"/>
        <v>-0.375</v>
      </c>
      <c r="BH320" s="16">
        <f t="shared" si="549"/>
        <v>134.28800000000001</v>
      </c>
      <c r="BI320" s="16">
        <f t="shared" si="549"/>
        <v>-0.71100000000001273</v>
      </c>
      <c r="BJ320" s="16">
        <f t="shared" si="549"/>
        <v>-0.71100000000001273</v>
      </c>
      <c r="BK320" s="16">
        <f t="shared" si="549"/>
        <v>-0.71100000000001273</v>
      </c>
      <c r="BL320" s="16">
        <f t="shared" si="549"/>
        <v>-0.71100000000001273</v>
      </c>
      <c r="BM320" s="16">
        <f t="shared" si="549"/>
        <v>-0.71100000000001273</v>
      </c>
      <c r="BN320" s="16">
        <f t="shared" si="549"/>
        <v>-0.71100000000001273</v>
      </c>
      <c r="BO320" s="16">
        <f t="shared" si="549"/>
        <v>-0.71100000000001273</v>
      </c>
      <c r="BP320" s="16">
        <f t="shared" si="549"/>
        <v>-0.71100000000001273</v>
      </c>
      <c r="BQ320" s="16">
        <f t="shared" si="549"/>
        <v>-0.71100000000001273</v>
      </c>
      <c r="BR320" s="16"/>
      <c r="BS320" s="16"/>
      <c r="BT320" s="16"/>
      <c r="BU320" s="16"/>
      <c r="BX320" s="221">
        <f t="shared" si="471"/>
        <v>312</v>
      </c>
    </row>
    <row r="321" spans="1:76" hidden="1" outlineLevel="2">
      <c r="A321" s="184"/>
      <c r="B321" s="58" t="s">
        <v>43</v>
      </c>
      <c r="C321" s="196"/>
      <c r="D321" s="196"/>
      <c r="E321" s="196"/>
      <c r="F321" s="196"/>
      <c r="G321" s="196"/>
      <c r="H321" s="196"/>
      <c r="I321" s="196"/>
      <c r="J321" s="196"/>
      <c r="K321" s="196"/>
      <c r="L321" s="16">
        <f t="shared" si="547"/>
        <v>8.8710000000000004</v>
      </c>
      <c r="M321" s="16">
        <f t="shared" si="547"/>
        <v>-0.95300000000000029</v>
      </c>
      <c r="N321" s="16">
        <f t="shared" si="547"/>
        <v>-2.6000000000000014</v>
      </c>
      <c r="O321" s="16">
        <f t="shared" si="547"/>
        <v>-2.6000000000000005</v>
      </c>
      <c r="P321" s="16">
        <f t="shared" si="547"/>
        <v>-2.5999999999999996</v>
      </c>
      <c r="Q321" s="3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57"/>
      <c r="AN321" s="57"/>
      <c r="AO321" s="57"/>
      <c r="AP321" s="57"/>
      <c r="AQ321" s="57"/>
      <c r="AR321" s="57"/>
      <c r="AS321" s="57"/>
      <c r="AT321" s="57"/>
      <c r="AU321" s="57"/>
      <c r="AV321" s="57"/>
      <c r="AW321" s="57"/>
      <c r="AX321" s="57"/>
      <c r="AY321" s="57"/>
      <c r="AZ321" s="57"/>
      <c r="BA321" s="57"/>
      <c r="BB321" s="57"/>
      <c r="BC321" s="57"/>
      <c r="BD321" s="57"/>
      <c r="BE321" s="57"/>
      <c r="BF321" s="16">
        <f t="shared" ref="BF321:BQ321" si="550">+BF299-BE299</f>
        <v>-1.4660000000000002</v>
      </c>
      <c r="BG321" s="16">
        <f t="shared" si="550"/>
        <v>-0.51500000000000057</v>
      </c>
      <c r="BH321" s="16">
        <f t="shared" si="550"/>
        <v>0.78000000000000025</v>
      </c>
      <c r="BI321" s="16">
        <f t="shared" si="550"/>
        <v>0.24800000000000022</v>
      </c>
      <c r="BJ321" s="16">
        <f t="shared" si="550"/>
        <v>-0.65000000000000036</v>
      </c>
      <c r="BK321" s="16">
        <f t="shared" si="550"/>
        <v>-0.65000000000000036</v>
      </c>
      <c r="BL321" s="16">
        <f t="shared" si="550"/>
        <v>-0.65000000000000036</v>
      </c>
      <c r="BM321" s="16">
        <f t="shared" si="550"/>
        <v>-0.65000000000000036</v>
      </c>
      <c r="BN321" s="16">
        <f t="shared" si="550"/>
        <v>-0.65000000000000036</v>
      </c>
      <c r="BO321" s="16">
        <f t="shared" si="550"/>
        <v>-0.65000000000000036</v>
      </c>
      <c r="BP321" s="16">
        <f t="shared" si="550"/>
        <v>-0.64999999999999991</v>
      </c>
      <c r="BQ321" s="16">
        <f t="shared" si="550"/>
        <v>-0.64999999999999991</v>
      </c>
      <c r="BR321" s="16">
        <f t="shared" ref="BR321:BU322" si="551">+BR299-BQ299</f>
        <v>-0.64999999999999991</v>
      </c>
      <c r="BS321" s="16">
        <f t="shared" si="551"/>
        <v>-0.64999999999999991</v>
      </c>
      <c r="BT321" s="16">
        <f t="shared" si="551"/>
        <v>-0.65</v>
      </c>
      <c r="BU321" s="16">
        <f t="shared" si="551"/>
        <v>-0.65</v>
      </c>
      <c r="BX321" s="221">
        <f t="shared" si="471"/>
        <v>313</v>
      </c>
    </row>
    <row r="322" spans="1:76" hidden="1" outlineLevel="2">
      <c r="A322" s="184"/>
      <c r="B322" s="58" t="s">
        <v>42</v>
      </c>
      <c r="C322" s="196"/>
      <c r="D322" s="196"/>
      <c r="E322" s="196"/>
      <c r="F322" s="196"/>
      <c r="G322" s="196"/>
      <c r="H322" s="196"/>
      <c r="I322" s="196"/>
      <c r="J322" s="196"/>
      <c r="K322" s="196"/>
      <c r="L322" s="16">
        <f t="shared" si="547"/>
        <v>-19.137</v>
      </c>
      <c r="M322" s="16">
        <f t="shared" si="547"/>
        <v>10.964</v>
      </c>
      <c r="N322" s="16">
        <f t="shared" si="547"/>
        <v>0</v>
      </c>
      <c r="O322" s="16">
        <f t="shared" si="547"/>
        <v>0</v>
      </c>
      <c r="P322" s="16">
        <f t="shared" si="547"/>
        <v>0</v>
      </c>
      <c r="Q322" s="3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57"/>
      <c r="AN322" s="57"/>
      <c r="AO322" s="57"/>
      <c r="AP322" s="57"/>
      <c r="AQ322" s="57"/>
      <c r="AR322" s="57"/>
      <c r="AS322" s="57"/>
      <c r="AT322" s="57"/>
      <c r="AU322" s="57"/>
      <c r="AV322" s="57"/>
      <c r="AW322" s="57"/>
      <c r="AX322" s="57"/>
      <c r="AY322" s="57"/>
      <c r="AZ322" s="57"/>
      <c r="BA322" s="57"/>
      <c r="BB322" s="57"/>
      <c r="BC322" s="57"/>
      <c r="BD322" s="57"/>
      <c r="BE322" s="57"/>
      <c r="BF322" s="16">
        <f t="shared" ref="BF322:BQ322" si="552">+BF300-BE300</f>
        <v>14.16</v>
      </c>
      <c r="BG322" s="16">
        <f t="shared" si="552"/>
        <v>0.19100000000000072</v>
      </c>
      <c r="BH322" s="16">
        <f t="shared" si="552"/>
        <v>-3.5910000000000011</v>
      </c>
      <c r="BI322" s="16">
        <f t="shared" si="552"/>
        <v>0.20400000000000063</v>
      </c>
      <c r="BJ322" s="16">
        <f t="shared" si="552"/>
        <v>0</v>
      </c>
      <c r="BK322" s="16">
        <f t="shared" si="552"/>
        <v>0</v>
      </c>
      <c r="BL322" s="16">
        <f t="shared" si="552"/>
        <v>0</v>
      </c>
      <c r="BM322" s="16">
        <f t="shared" si="552"/>
        <v>0</v>
      </c>
      <c r="BN322" s="16">
        <f t="shared" si="552"/>
        <v>0</v>
      </c>
      <c r="BO322" s="16">
        <f t="shared" si="552"/>
        <v>0</v>
      </c>
      <c r="BP322" s="16">
        <f t="shared" si="552"/>
        <v>0</v>
      </c>
      <c r="BQ322" s="16">
        <f t="shared" si="552"/>
        <v>0</v>
      </c>
      <c r="BR322" s="16">
        <f t="shared" si="551"/>
        <v>0</v>
      </c>
      <c r="BS322" s="16">
        <f t="shared" si="551"/>
        <v>0</v>
      </c>
      <c r="BT322" s="16">
        <f t="shared" si="551"/>
        <v>0</v>
      </c>
      <c r="BU322" s="16">
        <f t="shared" si="551"/>
        <v>0</v>
      </c>
      <c r="BX322" s="221">
        <f t="shared" si="471"/>
        <v>314</v>
      </c>
    </row>
    <row r="323" spans="1:76" hidden="1" outlineLevel="2">
      <c r="A323" s="184"/>
      <c r="B323" s="58" t="s">
        <v>41</v>
      </c>
      <c r="C323" s="196"/>
      <c r="D323" s="196"/>
      <c r="E323" s="196"/>
      <c r="F323" s="196"/>
      <c r="G323" s="196"/>
      <c r="H323" s="196"/>
      <c r="I323" s="196"/>
      <c r="J323" s="196"/>
      <c r="K323" s="196"/>
      <c r="L323" s="16">
        <f t="shared" si="547"/>
        <v>277.23399999999998</v>
      </c>
      <c r="M323" s="16">
        <f t="shared" si="547"/>
        <v>5.7130000000000223</v>
      </c>
      <c r="N323" s="16">
        <f t="shared" si="547"/>
        <v>-5.4440000000000737</v>
      </c>
      <c r="O323" s="16">
        <f t="shared" si="547"/>
        <v>-5.4440000000000168</v>
      </c>
      <c r="P323" s="16">
        <f t="shared" si="547"/>
        <v>-5.4440000000000737</v>
      </c>
      <c r="Q323" s="3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  <c r="AX323" s="57"/>
      <c r="AY323" s="57"/>
      <c r="AZ323" s="57"/>
      <c r="BA323" s="57"/>
      <c r="BB323" s="57"/>
      <c r="BC323" s="57"/>
      <c r="BD323" s="57"/>
      <c r="BE323" s="57"/>
      <c r="BF323" s="16">
        <f>+BF301-BE301</f>
        <v>-124.80599999999998</v>
      </c>
      <c r="BG323" s="16">
        <f>+BG301-BF301</f>
        <v>-0.69900000000001228</v>
      </c>
      <c r="BH323" s="16">
        <f>+BH301-BG301</f>
        <v>131.47700000000003</v>
      </c>
      <c r="BI323" s="16">
        <f>+BI301-BH301</f>
        <v>-0.25900000000001455</v>
      </c>
      <c r="BJ323" s="16">
        <f t="shared" ref="BJ323:BU323" si="553">SUM(BJ319:BJ322)</f>
        <v>-1.3610000000000131</v>
      </c>
      <c r="BK323" s="16">
        <f t="shared" si="553"/>
        <v>-1.3610000000000131</v>
      </c>
      <c r="BL323" s="16">
        <f t="shared" si="553"/>
        <v>-1.3610000000000131</v>
      </c>
      <c r="BM323" s="16">
        <f t="shared" si="553"/>
        <v>-1.3610000000000131</v>
      </c>
      <c r="BN323" s="16">
        <f t="shared" si="553"/>
        <v>-1.3610000000000131</v>
      </c>
      <c r="BO323" s="16">
        <f t="shared" si="553"/>
        <v>-1.3610000000000131</v>
      </c>
      <c r="BP323" s="16">
        <f t="shared" si="553"/>
        <v>-1.3610000000000126</v>
      </c>
      <c r="BQ323" s="16">
        <f t="shared" si="553"/>
        <v>-1.3610000000000126</v>
      </c>
      <c r="BR323" s="16">
        <f t="shared" si="553"/>
        <v>-0.64999999999999991</v>
      </c>
      <c r="BS323" s="16">
        <f t="shared" si="553"/>
        <v>-0.64999999999999991</v>
      </c>
      <c r="BT323" s="16">
        <f t="shared" si="553"/>
        <v>-0.65</v>
      </c>
      <c r="BU323" s="16">
        <f t="shared" si="553"/>
        <v>-0.65</v>
      </c>
      <c r="BX323" s="221">
        <f t="shared" si="471"/>
        <v>315</v>
      </c>
    </row>
    <row r="324" spans="1:76" hidden="1" outlineLevel="2">
      <c r="A324" s="184"/>
      <c r="B324" s="58" t="s">
        <v>40</v>
      </c>
      <c r="C324" s="196"/>
      <c r="D324" s="196"/>
      <c r="E324" s="196"/>
      <c r="F324" s="196"/>
      <c r="G324" s="196"/>
      <c r="H324" s="196"/>
      <c r="I324" s="196"/>
      <c r="J324" s="196"/>
      <c r="K324" s="196"/>
      <c r="L324" s="16">
        <f>+L310-K310</f>
        <v>0.59100000000006503</v>
      </c>
      <c r="M324" s="16">
        <f>+M310-L310</f>
        <v>-0.59100000000006503</v>
      </c>
      <c r="N324" s="16">
        <f>+N310-M310</f>
        <v>0</v>
      </c>
      <c r="O324" s="16">
        <f>+O310-N310</f>
        <v>0</v>
      </c>
      <c r="P324" s="16">
        <f>+P310-O310</f>
        <v>0</v>
      </c>
      <c r="Q324" s="3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  <c r="AX324" s="57"/>
      <c r="AY324" s="57"/>
      <c r="AZ324" s="57"/>
      <c r="BA324" s="57"/>
      <c r="BB324" s="57"/>
      <c r="BC324" s="57"/>
      <c r="BD324" s="57"/>
      <c r="BE324" s="57"/>
      <c r="BF324" s="16">
        <f t="shared" ref="BF324:BU324" si="554">+BF310-BE310</f>
        <v>-0.59100000000006503</v>
      </c>
      <c r="BG324" s="16">
        <f t="shared" si="554"/>
        <v>0</v>
      </c>
      <c r="BH324" s="16">
        <f t="shared" si="554"/>
        <v>0</v>
      </c>
      <c r="BI324" s="16">
        <f t="shared" si="554"/>
        <v>0</v>
      </c>
      <c r="BJ324" s="16">
        <f t="shared" si="554"/>
        <v>0</v>
      </c>
      <c r="BK324" s="16">
        <f t="shared" si="554"/>
        <v>0</v>
      </c>
      <c r="BL324" s="16">
        <f t="shared" si="554"/>
        <v>0</v>
      </c>
      <c r="BM324" s="16">
        <f t="shared" si="554"/>
        <v>0</v>
      </c>
      <c r="BN324" s="16">
        <f t="shared" si="554"/>
        <v>0</v>
      </c>
      <c r="BO324" s="16">
        <f t="shared" si="554"/>
        <v>0</v>
      </c>
      <c r="BP324" s="16">
        <f t="shared" si="554"/>
        <v>0</v>
      </c>
      <c r="BQ324" s="16">
        <f t="shared" si="554"/>
        <v>0</v>
      </c>
      <c r="BR324" s="16">
        <f t="shared" si="554"/>
        <v>0</v>
      </c>
      <c r="BS324" s="16">
        <f t="shared" si="554"/>
        <v>0</v>
      </c>
      <c r="BT324" s="16">
        <f t="shared" si="554"/>
        <v>0</v>
      </c>
      <c r="BU324" s="16">
        <f t="shared" si="554"/>
        <v>0</v>
      </c>
      <c r="BX324" s="221">
        <f t="shared" si="471"/>
        <v>316</v>
      </c>
    </row>
    <row r="325" spans="1:76" hidden="1" outlineLevel="2">
      <c r="A325" s="184"/>
      <c r="B325" s="58" t="s">
        <v>39</v>
      </c>
      <c r="C325" s="196"/>
      <c r="D325" s="196"/>
      <c r="E325" s="196"/>
      <c r="F325" s="196"/>
      <c r="G325" s="196"/>
      <c r="H325" s="196"/>
      <c r="I325" s="196"/>
      <c r="J325" s="196"/>
      <c r="K325" s="196"/>
      <c r="L325" s="16">
        <f>SUM(L319:L324)</f>
        <v>555.05899999999997</v>
      </c>
      <c r="M325" s="16">
        <f>SUM(M319:M324)</f>
        <v>10.834999999999955</v>
      </c>
      <c r="N325" s="16">
        <f>SUM(N319:N324)</f>
        <v>-10.888000000000126</v>
      </c>
      <c r="O325" s="16">
        <f>SUM(O319:O324)</f>
        <v>-10.888000000000069</v>
      </c>
      <c r="P325" s="16">
        <f>SUM(P319:P324)</f>
        <v>-10.888000000000124</v>
      </c>
      <c r="Q325" s="3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57"/>
      <c r="AN325" s="57"/>
      <c r="AO325" s="57"/>
      <c r="AP325" s="57"/>
      <c r="AQ325" s="57"/>
      <c r="AR325" s="57"/>
      <c r="AS325" s="57"/>
      <c r="AT325" s="57"/>
      <c r="AU325" s="57"/>
      <c r="AV325" s="57"/>
      <c r="AW325" s="57"/>
      <c r="AX325" s="57"/>
      <c r="AY325" s="57"/>
      <c r="AZ325" s="57"/>
      <c r="BA325" s="57"/>
      <c r="BB325" s="57"/>
      <c r="BC325" s="57"/>
      <c r="BD325" s="57"/>
      <c r="BE325" s="57"/>
      <c r="BF325" s="16">
        <f t="shared" ref="BF325:BU325" si="555">SUM(BF319:BF324)</f>
        <v>-250.20300000000006</v>
      </c>
      <c r="BG325" s="16">
        <f t="shared" si="555"/>
        <v>-1.3980000000000121</v>
      </c>
      <c r="BH325" s="16">
        <f t="shared" si="555"/>
        <v>262.95400000000006</v>
      </c>
      <c r="BI325" s="16">
        <f t="shared" ref="BI325" si="556">SUM(BI319:BI324)</f>
        <v>-0.51800000000002644</v>
      </c>
      <c r="BJ325" s="16">
        <f t="shared" si="555"/>
        <v>-2.7220000000000262</v>
      </c>
      <c r="BK325" s="16">
        <f t="shared" si="555"/>
        <v>-2.7220000000000262</v>
      </c>
      <c r="BL325" s="16">
        <f t="shared" si="555"/>
        <v>-2.7220000000000262</v>
      </c>
      <c r="BM325" s="16">
        <f t="shared" si="555"/>
        <v>-2.7220000000000262</v>
      </c>
      <c r="BN325" s="16">
        <f t="shared" si="555"/>
        <v>-2.7220000000000262</v>
      </c>
      <c r="BO325" s="16">
        <f t="shared" si="555"/>
        <v>-2.7220000000000262</v>
      </c>
      <c r="BP325" s="16">
        <f t="shared" si="555"/>
        <v>-2.7220000000000253</v>
      </c>
      <c r="BQ325" s="16">
        <f t="shared" si="555"/>
        <v>-2.7220000000000253</v>
      </c>
      <c r="BR325" s="16">
        <f t="shared" si="555"/>
        <v>-1.2999999999999998</v>
      </c>
      <c r="BS325" s="16">
        <f t="shared" si="555"/>
        <v>-1.2999999999999998</v>
      </c>
      <c r="BT325" s="16">
        <f t="shared" si="555"/>
        <v>-1.3</v>
      </c>
      <c r="BU325" s="16">
        <f t="shared" si="555"/>
        <v>-1.3</v>
      </c>
      <c r="BX325" s="221">
        <f t="shared" si="471"/>
        <v>317</v>
      </c>
    </row>
    <row r="326" spans="1:76" hidden="1" outlineLevel="2">
      <c r="A326" s="184"/>
      <c r="B326" s="56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55"/>
      <c r="AU326" s="55"/>
      <c r="AV326" s="55"/>
      <c r="AW326" s="55"/>
      <c r="AX326" s="55"/>
      <c r="AY326" s="55"/>
      <c r="AZ326" s="55"/>
      <c r="BA326" s="55"/>
      <c r="BB326" s="55"/>
      <c r="BC326" s="55"/>
      <c r="BD326" s="55"/>
      <c r="BE326" s="55"/>
      <c r="BF326" s="55"/>
      <c r="BG326" s="55"/>
      <c r="BH326" s="55"/>
      <c r="BI326" s="55"/>
      <c r="BJ326" s="55"/>
      <c r="BK326" s="55"/>
      <c r="BL326" s="55"/>
      <c r="BM326" s="55"/>
      <c r="BN326" s="55"/>
      <c r="BO326" s="55"/>
      <c r="BP326" s="55"/>
      <c r="BQ326" s="55"/>
      <c r="BR326" s="55"/>
      <c r="BS326" s="55"/>
      <c r="BT326" s="55"/>
      <c r="BU326" s="55"/>
      <c r="BX326" s="221">
        <f t="shared" si="471"/>
        <v>318</v>
      </c>
    </row>
    <row r="327" spans="1:76" ht="11.25" customHeight="1" outlineLevel="1" collapsed="1">
      <c r="A327" s="180" t="s">
        <v>0</v>
      </c>
      <c r="B327" s="52" t="s">
        <v>38</v>
      </c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51"/>
      <c r="AW327" s="51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X327" s="221">
        <f t="shared" si="471"/>
        <v>319</v>
      </c>
    </row>
    <row r="328" spans="1:76" ht="11.25" hidden="1" customHeight="1" outlineLevel="2">
      <c r="A328" s="180"/>
      <c r="B328" s="48" t="s">
        <v>37</v>
      </c>
      <c r="C328" s="40">
        <f t="shared" ref="C328:L332" si="557">SUMIF($R$5:$BV$5,C$5,$R328:$BV328)</f>
        <v>105.634</v>
      </c>
      <c r="D328" s="40">
        <f t="shared" si="557"/>
        <v>165.82599999999999</v>
      </c>
      <c r="E328" s="40">
        <f t="shared" si="557"/>
        <v>157.36599999999999</v>
      </c>
      <c r="F328" s="40">
        <f t="shared" si="557"/>
        <v>361.05499999999995</v>
      </c>
      <c r="G328" s="40">
        <f t="shared" si="557"/>
        <v>738.91600000000005</v>
      </c>
      <c r="H328" s="40">
        <f t="shared" si="557"/>
        <v>797.7829999999999</v>
      </c>
      <c r="I328" s="40">
        <f t="shared" si="557"/>
        <v>768.77300000000002</v>
      </c>
      <c r="J328" s="40">
        <f t="shared" si="557"/>
        <v>1133.895</v>
      </c>
      <c r="K328" s="40">
        <f t="shared" si="557"/>
        <v>496.02499999999998</v>
      </c>
      <c r="L328" s="40">
        <f t="shared" si="557"/>
        <v>60.247</v>
      </c>
      <c r="M328" s="19"/>
      <c r="N328" s="19"/>
      <c r="O328" s="19"/>
      <c r="P328" s="19"/>
      <c r="Q328" s="3"/>
      <c r="R328" s="50">
        <v>12.077</v>
      </c>
      <c r="S328" s="50">
        <v>33.484000000000002</v>
      </c>
      <c r="T328" s="50">
        <v>38.292000000000002</v>
      </c>
      <c r="U328" s="50">
        <v>21.780999999999992</v>
      </c>
      <c r="V328" s="50">
        <v>20.074999999999999</v>
      </c>
      <c r="W328" s="50">
        <v>30.48</v>
      </c>
      <c r="X328" s="50">
        <v>47.64</v>
      </c>
      <c r="Y328" s="50">
        <v>67.631</v>
      </c>
      <c r="Z328" s="50">
        <v>54.09</v>
      </c>
      <c r="AA328" s="50">
        <v>33.521999999999998</v>
      </c>
      <c r="AB328" s="50">
        <v>33.052999999999997</v>
      </c>
      <c r="AC328" s="50">
        <v>36.701000000000001</v>
      </c>
      <c r="AD328" s="50">
        <v>59.276000000000003</v>
      </c>
      <c r="AE328" s="50">
        <v>94.974000000000004</v>
      </c>
      <c r="AF328" s="50">
        <v>99.216999999999999</v>
      </c>
      <c r="AG328" s="50">
        <v>107.58799999999999</v>
      </c>
      <c r="AH328" s="50">
        <v>143.55199999999999</v>
      </c>
      <c r="AI328" s="50">
        <v>172.404</v>
      </c>
      <c r="AJ328" s="50">
        <v>207.28800000000001</v>
      </c>
      <c r="AK328" s="50">
        <v>215.672</v>
      </c>
      <c r="AL328" s="50">
        <v>218.536</v>
      </c>
      <c r="AM328" s="50">
        <v>206.77699999999999</v>
      </c>
      <c r="AN328" s="50">
        <v>198.881</v>
      </c>
      <c r="AO328" s="50">
        <v>173.589</v>
      </c>
      <c r="AP328" s="50">
        <v>210.685</v>
      </c>
      <c r="AQ328" s="50">
        <v>201.53800000000001</v>
      </c>
      <c r="AR328" s="50">
        <v>183.08</v>
      </c>
      <c r="AS328" s="50">
        <v>173.47</v>
      </c>
      <c r="AT328" s="50">
        <v>211.04</v>
      </c>
      <c r="AU328" s="50">
        <v>267.56400000000002</v>
      </c>
      <c r="AV328" s="50">
        <v>314.57400000000001</v>
      </c>
      <c r="AW328" s="50">
        <v>340.71699999999998</v>
      </c>
      <c r="AX328" s="50">
        <v>201.423</v>
      </c>
      <c r="AY328" s="50">
        <v>79.393000000000001</v>
      </c>
      <c r="AZ328" s="50">
        <v>120.621</v>
      </c>
      <c r="BA328" s="50">
        <v>94.587999999999994</v>
      </c>
      <c r="BB328" s="50">
        <v>60.247</v>
      </c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  <c r="BM328" s="18"/>
      <c r="BN328" s="18"/>
      <c r="BO328" s="18"/>
      <c r="BP328" s="18"/>
      <c r="BQ328" s="18"/>
      <c r="BR328" s="18"/>
      <c r="BS328" s="18"/>
      <c r="BT328" s="18"/>
      <c r="BU328" s="18"/>
      <c r="BX328" s="221">
        <f t="shared" si="471"/>
        <v>320</v>
      </c>
    </row>
    <row r="329" spans="1:76" ht="11.25" hidden="1" customHeight="1" outlineLevel="2">
      <c r="A329" s="180"/>
      <c r="B329" s="24" t="s">
        <v>36</v>
      </c>
      <c r="C329" s="40">
        <f t="shared" si="557"/>
        <v>-59.408000000000001</v>
      </c>
      <c r="D329" s="40">
        <f t="shared" si="557"/>
        <v>-126.43799999999999</v>
      </c>
      <c r="E329" s="40">
        <f t="shared" si="557"/>
        <v>-158.61700000000002</v>
      </c>
      <c r="F329" s="40">
        <f t="shared" si="557"/>
        <v>-284.45600000000002</v>
      </c>
      <c r="G329" s="40">
        <f t="shared" si="557"/>
        <v>-535.55099999999993</v>
      </c>
      <c r="H329" s="40">
        <f t="shared" si="557"/>
        <v>-803.67700000000002</v>
      </c>
      <c r="I329" s="40">
        <f t="shared" si="557"/>
        <v>-718.85900000000004</v>
      </c>
      <c r="J329" s="40">
        <f t="shared" si="557"/>
        <v>-1037.152</v>
      </c>
      <c r="K329" s="40">
        <f t="shared" si="557"/>
        <v>-535.04899999999998</v>
      </c>
      <c r="L329" s="40">
        <f t="shared" si="557"/>
        <v>-82.170999999999992</v>
      </c>
      <c r="M329" s="19"/>
      <c r="N329" s="19"/>
      <c r="O329" s="19"/>
      <c r="P329" s="19"/>
      <c r="Q329" s="3"/>
      <c r="R329" s="50">
        <v>-5.71</v>
      </c>
      <c r="S329" s="50">
        <v>-16.222999999999999</v>
      </c>
      <c r="T329" s="50">
        <v>-20.492999999999999</v>
      </c>
      <c r="U329" s="50">
        <v>-16.981999999999999</v>
      </c>
      <c r="V329" s="50">
        <v>-15.896000000000001</v>
      </c>
      <c r="W329" s="50">
        <v>-23.686</v>
      </c>
      <c r="X329" s="50">
        <v>-38.564999999999998</v>
      </c>
      <c r="Y329" s="50">
        <v>-48.290999999999997</v>
      </c>
      <c r="Z329" s="50">
        <v>-46.777000000000001</v>
      </c>
      <c r="AA329" s="50">
        <v>-38.332000000000001</v>
      </c>
      <c r="AB329" s="50">
        <v>-36.796999999999997</v>
      </c>
      <c r="AC329" s="50">
        <v>-36.710999999999999</v>
      </c>
      <c r="AD329" s="50">
        <v>-48.95</v>
      </c>
      <c r="AE329" s="50">
        <v>-76.192999999999998</v>
      </c>
      <c r="AF329" s="50">
        <v>-75.543000000000006</v>
      </c>
      <c r="AG329" s="50">
        <v>-83.77</v>
      </c>
      <c r="AH329" s="50">
        <v>-102.005</v>
      </c>
      <c r="AI329" s="50">
        <v>-118.63500000000001</v>
      </c>
      <c r="AJ329" s="50">
        <v>-150.279</v>
      </c>
      <c r="AK329" s="50">
        <v>-164.63200000000001</v>
      </c>
      <c r="AL329" s="50">
        <v>-192.17</v>
      </c>
      <c r="AM329" s="50">
        <v>-224.084</v>
      </c>
      <c r="AN329" s="50">
        <v>-216.28299999999999</v>
      </c>
      <c r="AO329" s="50">
        <v>-171.14</v>
      </c>
      <c r="AP329" s="50">
        <v>-186.21299999999999</v>
      </c>
      <c r="AQ329" s="50">
        <v>-186.79499999999999</v>
      </c>
      <c r="AR329" s="50">
        <v>-170.86199999999999</v>
      </c>
      <c r="AS329" s="50">
        <v>-174.989</v>
      </c>
      <c r="AT329" s="50">
        <v>-205.20699999999999</v>
      </c>
      <c r="AU329" s="50">
        <v>-246.54</v>
      </c>
      <c r="AV329" s="50">
        <v>-286.45400000000001</v>
      </c>
      <c r="AW329" s="50">
        <v>-298.95100000000002</v>
      </c>
      <c r="AX329" s="50">
        <v>-207.94399999999999</v>
      </c>
      <c r="AY329" s="50">
        <v>-96.266999999999996</v>
      </c>
      <c r="AZ329" s="50">
        <v>-132.18799999999999</v>
      </c>
      <c r="BA329" s="50">
        <v>-98.65</v>
      </c>
      <c r="BB329" s="50">
        <f>-BB328-21.924</f>
        <v>-82.170999999999992</v>
      </c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  <c r="BM329" s="18"/>
      <c r="BN329" s="18"/>
      <c r="BO329" s="18"/>
      <c r="BP329" s="18"/>
      <c r="BQ329" s="18"/>
      <c r="BR329" s="18"/>
      <c r="BS329" s="18"/>
      <c r="BT329" s="18"/>
      <c r="BU329" s="18"/>
      <c r="BX329" s="221">
        <f t="shared" si="471"/>
        <v>321</v>
      </c>
    </row>
    <row r="330" spans="1:76" ht="11.25" hidden="1" customHeight="1" outlineLevel="2">
      <c r="A330" s="180"/>
      <c r="B330" s="24" t="s">
        <v>35</v>
      </c>
      <c r="C330" s="40">
        <f t="shared" si="557"/>
        <v>-4.8360000000000003</v>
      </c>
      <c r="D330" s="40">
        <f t="shared" si="557"/>
        <v>-11.009</v>
      </c>
      <c r="E330" s="40">
        <f t="shared" si="557"/>
        <v>-3.823</v>
      </c>
      <c r="F330" s="40">
        <f t="shared" si="557"/>
        <v>-6.7240000000000002</v>
      </c>
      <c r="G330" s="40">
        <f t="shared" si="557"/>
        <v>-12.539000000000001</v>
      </c>
      <c r="H330" s="40">
        <f t="shared" si="557"/>
        <v>-19.808</v>
      </c>
      <c r="I330" s="40">
        <f t="shared" si="557"/>
        <v>-26.045999999999999</v>
      </c>
      <c r="J330" s="40">
        <f t="shared" si="557"/>
        <v>-31.37</v>
      </c>
      <c r="K330" s="40">
        <f t="shared" si="557"/>
        <v>-20.135999999999999</v>
      </c>
      <c r="L330" s="40">
        <f t="shared" si="557"/>
        <v>-2.464</v>
      </c>
      <c r="M330" s="19"/>
      <c r="N330" s="19"/>
      <c r="O330" s="19"/>
      <c r="P330" s="19"/>
      <c r="Q330" s="3"/>
      <c r="R330" s="50">
        <v>-0.47299999999999998</v>
      </c>
      <c r="S330" s="50">
        <v>-0.97699999999999998</v>
      </c>
      <c r="T330" s="50">
        <v>-1.7090000000000001</v>
      </c>
      <c r="U330" s="50">
        <v>-1.677</v>
      </c>
      <c r="V330" s="50">
        <v>-2.3849999999999998</v>
      </c>
      <c r="W330" s="50">
        <v>-2.3849999999999998</v>
      </c>
      <c r="X330" s="50">
        <v>-2.9649999999999999</v>
      </c>
      <c r="Y330" s="50">
        <v>-3.274</v>
      </c>
      <c r="Z330" s="50">
        <v>-1.228</v>
      </c>
      <c r="AA330" s="50">
        <v>-0.874</v>
      </c>
      <c r="AB330" s="50">
        <v>-0.79</v>
      </c>
      <c r="AC330" s="50">
        <v>-0.93100000000000005</v>
      </c>
      <c r="AD330" s="50">
        <v>-1.0820000000000001</v>
      </c>
      <c r="AE330" s="50">
        <v>-1.516</v>
      </c>
      <c r="AF330" s="50">
        <v>-2.1680000000000001</v>
      </c>
      <c r="AG330" s="50">
        <v>-1.958</v>
      </c>
      <c r="AH330" s="50">
        <v>-2.2330000000000001</v>
      </c>
      <c r="AI330" s="50">
        <v>-4.0129999999999999</v>
      </c>
      <c r="AJ330" s="50">
        <v>-2.4740000000000002</v>
      </c>
      <c r="AK330" s="50">
        <v>-3.819</v>
      </c>
      <c r="AL330" s="50">
        <v>-4.6619999999999999</v>
      </c>
      <c r="AM330" s="50">
        <v>-4.8250000000000002</v>
      </c>
      <c r="AN330" s="50">
        <v>-5.7679999999999998</v>
      </c>
      <c r="AO330" s="50">
        <v>-4.5529999999999999</v>
      </c>
      <c r="AP330" s="50">
        <v>-6.4829999999999997</v>
      </c>
      <c r="AQ330" s="50">
        <v>-6.2460000000000004</v>
      </c>
      <c r="AR330" s="50">
        <v>-6.5410000000000004</v>
      </c>
      <c r="AS330" s="50">
        <v>-6.7759999999999998</v>
      </c>
      <c r="AT330" s="50">
        <v>-6.8680000000000003</v>
      </c>
      <c r="AU330" s="50">
        <v>-9.0709999999999997</v>
      </c>
      <c r="AV330" s="50">
        <v>-8.5540000000000003</v>
      </c>
      <c r="AW330" s="50">
        <v>-6.8769999999999998</v>
      </c>
      <c r="AX330" s="50">
        <v>-7.1929999999999996</v>
      </c>
      <c r="AY330" s="50">
        <v>-7.766</v>
      </c>
      <c r="AZ330" s="50">
        <v>-2.7130000000000001</v>
      </c>
      <c r="BA330" s="50">
        <v>-2.464</v>
      </c>
      <c r="BB330" s="37">
        <f>BA330</f>
        <v>-2.464</v>
      </c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  <c r="BM330" s="18"/>
      <c r="BN330" s="18"/>
      <c r="BO330" s="18"/>
      <c r="BP330" s="18"/>
      <c r="BQ330" s="18"/>
      <c r="BR330" s="18"/>
      <c r="BS330" s="18"/>
      <c r="BT330" s="18"/>
      <c r="BU330" s="18"/>
      <c r="BX330" s="221">
        <f t="shared" si="471"/>
        <v>322</v>
      </c>
    </row>
    <row r="331" spans="1:76" ht="11.25" hidden="1" customHeight="1" outlineLevel="2">
      <c r="A331" s="180"/>
      <c r="B331" s="48" t="s">
        <v>34</v>
      </c>
      <c r="C331" s="40">
        <f t="shared" si="557"/>
        <v>41.39</v>
      </c>
      <c r="D331" s="40">
        <f t="shared" si="557"/>
        <v>28.379000000000005</v>
      </c>
      <c r="E331" s="40">
        <f t="shared" si="557"/>
        <v>-5.0739999999999972</v>
      </c>
      <c r="F331" s="40">
        <f t="shared" si="557"/>
        <v>69.875</v>
      </c>
      <c r="G331" s="40">
        <f t="shared" si="557"/>
        <v>190.82600000000002</v>
      </c>
      <c r="H331" s="40">
        <f t="shared" si="557"/>
        <v>-25.701999999999977</v>
      </c>
      <c r="I331" s="40">
        <f t="shared" si="557"/>
        <v>23.868000000000048</v>
      </c>
      <c r="J331" s="40">
        <f t="shared" si="557"/>
        <v>65.37299999999999</v>
      </c>
      <c r="K331" s="40">
        <f t="shared" si="557"/>
        <v>-59.159999999999982</v>
      </c>
      <c r="L331" s="40">
        <f t="shared" si="557"/>
        <v>-24.387999999999991</v>
      </c>
      <c r="M331" s="19"/>
      <c r="N331" s="19"/>
      <c r="O331" s="19"/>
      <c r="P331" s="19"/>
      <c r="Q331" s="3"/>
      <c r="R331" s="20">
        <f t="shared" ref="R331:BB331" si="558">SUM(R328:R330)</f>
        <v>5.8940000000000001</v>
      </c>
      <c r="S331" s="20">
        <f t="shared" si="558"/>
        <v>16.284000000000002</v>
      </c>
      <c r="T331" s="20">
        <f t="shared" si="558"/>
        <v>16.090000000000003</v>
      </c>
      <c r="U331" s="20">
        <f t="shared" si="558"/>
        <v>3.1219999999999923</v>
      </c>
      <c r="V331" s="20">
        <f t="shared" si="558"/>
        <v>1.7939999999999987</v>
      </c>
      <c r="W331" s="20">
        <f t="shared" si="558"/>
        <v>4.4090000000000007</v>
      </c>
      <c r="X331" s="20">
        <f t="shared" si="558"/>
        <v>6.110000000000003</v>
      </c>
      <c r="Y331" s="20">
        <f t="shared" si="558"/>
        <v>16.066000000000003</v>
      </c>
      <c r="Z331" s="20">
        <f t="shared" si="558"/>
        <v>6.0850000000000026</v>
      </c>
      <c r="AA331" s="20">
        <f t="shared" si="558"/>
        <v>-5.6840000000000019</v>
      </c>
      <c r="AB331" s="20">
        <f t="shared" si="558"/>
        <v>-4.5339999999999998</v>
      </c>
      <c r="AC331" s="20">
        <f t="shared" si="558"/>
        <v>-0.94099999999999806</v>
      </c>
      <c r="AD331" s="20">
        <f t="shared" si="558"/>
        <v>9.2439999999999998</v>
      </c>
      <c r="AE331" s="20">
        <f t="shared" si="558"/>
        <v>17.265000000000008</v>
      </c>
      <c r="AF331" s="20">
        <f t="shared" si="558"/>
        <v>21.505999999999993</v>
      </c>
      <c r="AG331" s="20">
        <f t="shared" si="558"/>
        <v>21.86</v>
      </c>
      <c r="AH331" s="20">
        <f t="shared" si="558"/>
        <v>39.314</v>
      </c>
      <c r="AI331" s="20">
        <f t="shared" si="558"/>
        <v>49.755999999999993</v>
      </c>
      <c r="AJ331" s="20">
        <f t="shared" si="558"/>
        <v>54.535000000000011</v>
      </c>
      <c r="AK331" s="20">
        <f t="shared" si="558"/>
        <v>47.220999999999989</v>
      </c>
      <c r="AL331" s="20">
        <f t="shared" si="558"/>
        <v>21.704000000000015</v>
      </c>
      <c r="AM331" s="20">
        <f t="shared" si="558"/>
        <v>-22.132000000000016</v>
      </c>
      <c r="AN331" s="20">
        <f t="shared" si="558"/>
        <v>-23.169999999999987</v>
      </c>
      <c r="AO331" s="20">
        <f t="shared" si="558"/>
        <v>-2.1039999999999877</v>
      </c>
      <c r="AP331" s="20">
        <f t="shared" si="558"/>
        <v>17.989000000000008</v>
      </c>
      <c r="AQ331" s="20">
        <f t="shared" si="558"/>
        <v>8.497000000000023</v>
      </c>
      <c r="AR331" s="20">
        <f t="shared" si="558"/>
        <v>5.6770000000000174</v>
      </c>
      <c r="AS331" s="20">
        <f t="shared" si="558"/>
        <v>-8.2950000000000053</v>
      </c>
      <c r="AT331" s="20">
        <f t="shared" si="558"/>
        <v>-1.0350000000000019</v>
      </c>
      <c r="AU331" s="20">
        <f t="shared" si="558"/>
        <v>11.95300000000003</v>
      </c>
      <c r="AV331" s="20">
        <f t="shared" si="558"/>
        <v>19.566000000000003</v>
      </c>
      <c r="AW331" s="20">
        <f t="shared" si="558"/>
        <v>34.88899999999996</v>
      </c>
      <c r="AX331" s="20">
        <f t="shared" si="558"/>
        <v>-13.713999999999986</v>
      </c>
      <c r="AY331" s="20">
        <f t="shared" si="558"/>
        <v>-24.639999999999993</v>
      </c>
      <c r="AZ331" s="20">
        <f t="shared" si="558"/>
        <v>-14.279999999999994</v>
      </c>
      <c r="BA331" s="20">
        <f t="shared" si="558"/>
        <v>-6.5260000000000122</v>
      </c>
      <c r="BB331" s="20">
        <f t="shared" si="558"/>
        <v>-24.387999999999991</v>
      </c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  <c r="BM331" s="18"/>
      <c r="BN331" s="18"/>
      <c r="BO331" s="18"/>
      <c r="BP331" s="18"/>
      <c r="BQ331" s="18"/>
      <c r="BR331" s="18"/>
      <c r="BS331" s="18"/>
      <c r="BT331" s="18"/>
      <c r="BU331" s="18"/>
      <c r="BX331" s="221">
        <f t="shared" ref="BX331:BX394" si="559">+BX330+1</f>
        <v>323</v>
      </c>
    </row>
    <row r="332" spans="1:76" ht="11.25" hidden="1" customHeight="1" outlineLevel="2">
      <c r="A332" s="180"/>
      <c r="B332" s="48" t="s">
        <v>33</v>
      </c>
      <c r="C332" s="40">
        <f t="shared" si="557"/>
        <v>41.389000000000003</v>
      </c>
      <c r="D332" s="40">
        <f t="shared" si="557"/>
        <v>28.378999999999998</v>
      </c>
      <c r="E332" s="40">
        <f t="shared" si="557"/>
        <v>-5.0739999999999998</v>
      </c>
      <c r="F332" s="40">
        <f t="shared" si="557"/>
        <v>69.757000000000005</v>
      </c>
      <c r="G332" s="40">
        <f t="shared" si="557"/>
        <v>190.83600000000001</v>
      </c>
      <c r="H332" s="40">
        <f t="shared" si="557"/>
        <v>-25.702000000000002</v>
      </c>
      <c r="I332" s="40">
        <f t="shared" si="557"/>
        <v>23.867999999999995</v>
      </c>
      <c r="J332" s="40">
        <f t="shared" si="557"/>
        <v>65.373000000000005</v>
      </c>
      <c r="K332" s="40">
        <f t="shared" si="557"/>
        <v>-49.352999999999994</v>
      </c>
      <c r="L332" s="40">
        <f t="shared" si="557"/>
        <v>-24.387999999999991</v>
      </c>
      <c r="M332" s="19"/>
      <c r="N332" s="19"/>
      <c r="O332" s="19"/>
      <c r="P332" s="19"/>
      <c r="Q332" s="3"/>
      <c r="R332" s="50">
        <v>5.8940000000000001</v>
      </c>
      <c r="S332" s="50">
        <v>16.283999999999999</v>
      </c>
      <c r="T332" s="50">
        <v>16.09</v>
      </c>
      <c r="U332" s="50">
        <v>3.121</v>
      </c>
      <c r="V332" s="50">
        <v>1.794</v>
      </c>
      <c r="W332" s="50">
        <v>4.4089999999999998</v>
      </c>
      <c r="X332" s="50">
        <v>6.11</v>
      </c>
      <c r="Y332" s="50">
        <v>16.065999999999999</v>
      </c>
      <c r="Z332" s="50">
        <v>6.085</v>
      </c>
      <c r="AA332" s="50">
        <v>-5.6840000000000002</v>
      </c>
      <c r="AB332" s="50">
        <v>-4.5339999999999998</v>
      </c>
      <c r="AC332" s="50">
        <v>-0.94099999999999995</v>
      </c>
      <c r="AD332" s="50">
        <v>9.2439999999999998</v>
      </c>
      <c r="AE332" s="50">
        <v>17.265000000000001</v>
      </c>
      <c r="AF332" s="50">
        <v>21.506</v>
      </c>
      <c r="AG332" s="50">
        <v>21.742000000000001</v>
      </c>
      <c r="AH332" s="50">
        <v>39.314</v>
      </c>
      <c r="AI332" s="50">
        <v>49.756</v>
      </c>
      <c r="AJ332" s="50">
        <v>54.545000000000002</v>
      </c>
      <c r="AK332" s="50">
        <v>47.220999999999997</v>
      </c>
      <c r="AL332" s="50">
        <v>21.704000000000001</v>
      </c>
      <c r="AM332" s="50">
        <v>-22.132000000000001</v>
      </c>
      <c r="AN332" s="50">
        <v>-23.17</v>
      </c>
      <c r="AO332" s="50">
        <v>-2.1040000000000001</v>
      </c>
      <c r="AP332" s="50">
        <v>17.989000000000001</v>
      </c>
      <c r="AQ332" s="50">
        <v>8.4969999999999999</v>
      </c>
      <c r="AR332" s="50">
        <v>5.6769999999999996</v>
      </c>
      <c r="AS332" s="50">
        <v>-8.2949999999999999</v>
      </c>
      <c r="AT332" s="50">
        <v>-1.0349999999999999</v>
      </c>
      <c r="AU332" s="50">
        <v>11.952999999999999</v>
      </c>
      <c r="AV332" s="50">
        <v>19.565999999999999</v>
      </c>
      <c r="AW332" s="50">
        <v>34.889000000000003</v>
      </c>
      <c r="AX332" s="50">
        <v>-6.8570000000000002</v>
      </c>
      <c r="AY332" s="50">
        <v>-22.739000000000001</v>
      </c>
      <c r="AZ332" s="50">
        <v>-13.686</v>
      </c>
      <c r="BA332" s="50">
        <v>-6.0709999999999997</v>
      </c>
      <c r="BB332" s="37">
        <f>+BB331</f>
        <v>-24.387999999999991</v>
      </c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X332" s="221">
        <f t="shared" si="559"/>
        <v>324</v>
      </c>
    </row>
    <row r="333" spans="1:76" ht="11.25" hidden="1" customHeight="1" outlineLevel="2">
      <c r="A333" s="180"/>
      <c r="B333" s="49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3"/>
      <c r="N333" s="3"/>
      <c r="O333" s="3"/>
      <c r="P333" s="3"/>
      <c r="Q333" s="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X333" s="221">
        <f t="shared" si="559"/>
        <v>325</v>
      </c>
    </row>
    <row r="334" spans="1:76" ht="11.25" hidden="1" customHeight="1" outlineLevel="2">
      <c r="A334" s="180"/>
      <c r="B334" s="48" t="s">
        <v>32</v>
      </c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3"/>
      <c r="N334" s="3"/>
      <c r="O334" s="3"/>
      <c r="P334" s="3"/>
      <c r="Q334" s="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  <c r="BM334" s="18"/>
      <c r="BN334" s="18"/>
      <c r="BO334" s="18"/>
      <c r="BP334" s="18"/>
      <c r="BQ334" s="18"/>
      <c r="BR334" s="18"/>
      <c r="BS334" s="18"/>
      <c r="BT334" s="18"/>
      <c r="BU334" s="18"/>
      <c r="BX334" s="221">
        <f t="shared" si="559"/>
        <v>326</v>
      </c>
    </row>
    <row r="335" spans="1:76" ht="11.25" hidden="1" customHeight="1" outlineLevel="2">
      <c r="A335" s="180"/>
      <c r="B335" s="17" t="s">
        <v>31</v>
      </c>
      <c r="C335" s="47"/>
      <c r="D335" s="46">
        <f t="shared" ref="D335:K335" si="560">+D328/C328-1</f>
        <v>0.56981653634246543</v>
      </c>
      <c r="E335" s="46">
        <f t="shared" si="560"/>
        <v>-5.10173314196809E-2</v>
      </c>
      <c r="F335" s="46">
        <f t="shared" si="560"/>
        <v>1.2943647293570404</v>
      </c>
      <c r="G335" s="46">
        <f t="shared" si="560"/>
        <v>1.0465469249837285</v>
      </c>
      <c r="H335" s="46">
        <f t="shared" si="560"/>
        <v>7.9666700951122715E-2</v>
      </c>
      <c r="I335" s="46">
        <f t="shared" si="560"/>
        <v>-3.6363271716744916E-2</v>
      </c>
      <c r="J335" s="46">
        <f t="shared" si="560"/>
        <v>0.47494123753045425</v>
      </c>
      <c r="K335" s="46">
        <f t="shared" si="560"/>
        <v>-0.56254767857694055</v>
      </c>
      <c r="L335" s="19"/>
      <c r="M335" s="19"/>
      <c r="N335" s="19"/>
      <c r="O335" s="19"/>
      <c r="P335" s="19"/>
      <c r="Q335" s="3"/>
      <c r="R335" s="46"/>
      <c r="S335" s="46">
        <f t="shared" ref="S335:BB335" si="561">+S328/R328-1</f>
        <v>1.7725428500455411</v>
      </c>
      <c r="T335" s="46">
        <f t="shared" si="561"/>
        <v>0.14359096882092937</v>
      </c>
      <c r="U335" s="46">
        <f t="shared" si="561"/>
        <v>-0.43118667084508533</v>
      </c>
      <c r="V335" s="46">
        <f t="shared" si="561"/>
        <v>-7.8325145769248095E-2</v>
      </c>
      <c r="W335" s="46">
        <f t="shared" si="561"/>
        <v>0.51830635118306367</v>
      </c>
      <c r="X335" s="46">
        <f t="shared" si="561"/>
        <v>0.56299212598425186</v>
      </c>
      <c r="Y335" s="46">
        <f t="shared" si="561"/>
        <v>0.41962636439966405</v>
      </c>
      <c r="Z335" s="46">
        <f t="shared" si="561"/>
        <v>-0.20021883455811684</v>
      </c>
      <c r="AA335" s="46">
        <f t="shared" si="561"/>
        <v>-0.38025513033832503</v>
      </c>
      <c r="AB335" s="46">
        <f t="shared" si="561"/>
        <v>-1.3990812004057052E-2</v>
      </c>
      <c r="AC335" s="46">
        <f t="shared" si="561"/>
        <v>0.11036819653284136</v>
      </c>
      <c r="AD335" s="46">
        <f t="shared" si="561"/>
        <v>0.61510585542628271</v>
      </c>
      <c r="AE335" s="46">
        <f t="shared" si="561"/>
        <v>0.60223361900263184</v>
      </c>
      <c r="AF335" s="46">
        <f t="shared" si="561"/>
        <v>4.4675384842167265E-2</v>
      </c>
      <c r="AG335" s="46">
        <f t="shared" si="561"/>
        <v>8.4370621970025317E-2</v>
      </c>
      <c r="AH335" s="46">
        <f t="shared" si="561"/>
        <v>0.33427519797746963</v>
      </c>
      <c r="AI335" s="46">
        <f t="shared" si="561"/>
        <v>0.20098640213999119</v>
      </c>
      <c r="AJ335" s="46">
        <f t="shared" si="561"/>
        <v>0.2023386928377533</v>
      </c>
      <c r="AK335" s="46">
        <f t="shared" si="561"/>
        <v>4.044614256493384E-2</v>
      </c>
      <c r="AL335" s="46">
        <f t="shared" si="561"/>
        <v>1.3279424310990828E-2</v>
      </c>
      <c r="AM335" s="46">
        <f t="shared" si="561"/>
        <v>-5.3808068235897122E-2</v>
      </c>
      <c r="AN335" s="46">
        <f t="shared" si="561"/>
        <v>-3.8186065181330497E-2</v>
      </c>
      <c r="AO335" s="46">
        <f t="shared" si="561"/>
        <v>-0.1271715246805879</v>
      </c>
      <c r="AP335" s="46">
        <f t="shared" si="561"/>
        <v>0.21370017685452414</v>
      </c>
      <c r="AQ335" s="46">
        <f t="shared" si="561"/>
        <v>-4.3415525547618405E-2</v>
      </c>
      <c r="AR335" s="46">
        <f t="shared" si="561"/>
        <v>-9.1585705921463978E-2</v>
      </c>
      <c r="AS335" s="46">
        <f t="shared" si="561"/>
        <v>-5.2490714441774111E-2</v>
      </c>
      <c r="AT335" s="46">
        <f t="shared" si="561"/>
        <v>0.21657923560269787</v>
      </c>
      <c r="AU335" s="46">
        <f t="shared" si="561"/>
        <v>0.26783548142532232</v>
      </c>
      <c r="AV335" s="46">
        <f t="shared" si="561"/>
        <v>0.17569628201103282</v>
      </c>
      <c r="AW335" s="46">
        <f t="shared" si="561"/>
        <v>8.3106041821638055E-2</v>
      </c>
      <c r="AX335" s="46">
        <f t="shared" si="561"/>
        <v>-0.40882609320932028</v>
      </c>
      <c r="AY335" s="46">
        <f t="shared" si="561"/>
        <v>-0.6058394522969075</v>
      </c>
      <c r="AZ335" s="46">
        <f t="shared" si="561"/>
        <v>0.51929011373798684</v>
      </c>
      <c r="BA335" s="46">
        <f t="shared" si="561"/>
        <v>-0.21582477346399054</v>
      </c>
      <c r="BB335" s="46">
        <f t="shared" si="561"/>
        <v>-0.36305873895208696</v>
      </c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X335" s="221">
        <f t="shared" si="559"/>
        <v>327</v>
      </c>
    </row>
    <row r="336" spans="1:76" ht="11.25" hidden="1" customHeight="1" outlineLevel="2">
      <c r="A336" s="180"/>
      <c r="B336" s="17" t="s">
        <v>30</v>
      </c>
      <c r="C336" s="46">
        <f t="shared" ref="C336:K336" si="562">-C329/C$328</f>
        <v>0.56239468352992406</v>
      </c>
      <c r="D336" s="46">
        <f t="shared" si="562"/>
        <v>0.76247391844463475</v>
      </c>
      <c r="E336" s="46">
        <f t="shared" si="562"/>
        <v>1.0079496206296152</v>
      </c>
      <c r="F336" s="46">
        <f t="shared" si="562"/>
        <v>0.78784672695295743</v>
      </c>
      <c r="G336" s="46">
        <f t="shared" si="562"/>
        <v>0.72477927125681385</v>
      </c>
      <c r="H336" s="46">
        <f t="shared" si="562"/>
        <v>1.0073879739227336</v>
      </c>
      <c r="I336" s="46">
        <f t="shared" si="562"/>
        <v>0.93507316203872926</v>
      </c>
      <c r="J336" s="46">
        <f t="shared" si="562"/>
        <v>0.9146808125972864</v>
      </c>
      <c r="K336" s="46">
        <f t="shared" si="562"/>
        <v>1.0786734539589737</v>
      </c>
      <c r="L336" s="19"/>
      <c r="M336" s="19"/>
      <c r="N336" s="19"/>
      <c r="O336" s="19"/>
      <c r="P336" s="19"/>
      <c r="Q336" s="3"/>
      <c r="R336" s="46">
        <f t="shared" ref="R336:BB336" si="563">-R329/R$328</f>
        <v>0.47279953630868593</v>
      </c>
      <c r="S336" s="46">
        <f t="shared" si="563"/>
        <v>0.48450005973002025</v>
      </c>
      <c r="T336" s="46">
        <f t="shared" si="563"/>
        <v>0.53517706048260727</v>
      </c>
      <c r="U336" s="46">
        <f t="shared" si="563"/>
        <v>0.77967035489646963</v>
      </c>
      <c r="V336" s="46">
        <f t="shared" si="563"/>
        <v>0.79183063511830643</v>
      </c>
      <c r="W336" s="46">
        <f t="shared" si="563"/>
        <v>0.77709973753280837</v>
      </c>
      <c r="X336" s="46">
        <f t="shared" si="563"/>
        <v>0.80950881612090675</v>
      </c>
      <c r="Y336" s="46">
        <f t="shared" si="563"/>
        <v>0.71403646256894027</v>
      </c>
      <c r="Z336" s="46">
        <f t="shared" si="563"/>
        <v>0.86479940839341829</v>
      </c>
      <c r="AA336" s="46">
        <f t="shared" si="563"/>
        <v>1.1434878587196469</v>
      </c>
      <c r="AB336" s="46">
        <f t="shared" si="563"/>
        <v>1.1132726227573897</v>
      </c>
      <c r="AC336" s="46">
        <f t="shared" si="563"/>
        <v>1.0002724721397236</v>
      </c>
      <c r="AD336" s="46">
        <f t="shared" si="563"/>
        <v>0.82579796207571365</v>
      </c>
      <c r="AE336" s="46">
        <f t="shared" si="563"/>
        <v>0.80225114241792483</v>
      </c>
      <c r="AF336" s="46">
        <f t="shared" si="563"/>
        <v>0.76139169698741149</v>
      </c>
      <c r="AG336" s="46">
        <f t="shared" si="563"/>
        <v>0.77861843328252223</v>
      </c>
      <c r="AH336" s="46">
        <f t="shared" si="563"/>
        <v>0.71057874498439588</v>
      </c>
      <c r="AI336" s="46">
        <f t="shared" si="563"/>
        <v>0.68812208533444708</v>
      </c>
      <c r="AJ336" s="46">
        <f t="shared" si="563"/>
        <v>0.72497684381150862</v>
      </c>
      <c r="AK336" s="46">
        <f t="shared" si="563"/>
        <v>0.76334433769798582</v>
      </c>
      <c r="AL336" s="46">
        <f t="shared" si="563"/>
        <v>0.87935168576344391</v>
      </c>
      <c r="AM336" s="46">
        <f t="shared" si="563"/>
        <v>1.0836988639935776</v>
      </c>
      <c r="AN336" s="46">
        <f t="shared" si="563"/>
        <v>1.087499560038415</v>
      </c>
      <c r="AO336" s="46">
        <f t="shared" si="563"/>
        <v>0.98589196320043315</v>
      </c>
      <c r="AP336" s="46">
        <f t="shared" si="563"/>
        <v>0.88384555141562049</v>
      </c>
      <c r="AQ336" s="46">
        <f t="shared" si="563"/>
        <v>0.92684754239895195</v>
      </c>
      <c r="AR336" s="46">
        <f t="shared" si="563"/>
        <v>0.93326414682106174</v>
      </c>
      <c r="AS336" s="46">
        <f t="shared" si="563"/>
        <v>1.0087565573297976</v>
      </c>
      <c r="AT336" s="46">
        <f t="shared" si="563"/>
        <v>0.97236068991660352</v>
      </c>
      <c r="AU336" s="46">
        <f t="shared" si="563"/>
        <v>0.92142440687087934</v>
      </c>
      <c r="AV336" s="46">
        <f t="shared" si="563"/>
        <v>0.9106092684074335</v>
      </c>
      <c r="AW336" s="46">
        <f t="shared" si="563"/>
        <v>0.87741732875084022</v>
      </c>
      <c r="AX336" s="46">
        <f t="shared" si="563"/>
        <v>1.0323746543344106</v>
      </c>
      <c r="AY336" s="46">
        <f t="shared" si="563"/>
        <v>1.2125376292620256</v>
      </c>
      <c r="AZ336" s="46">
        <f t="shared" si="563"/>
        <v>1.0958954079306256</v>
      </c>
      <c r="BA336" s="46">
        <f t="shared" si="563"/>
        <v>1.042944136676957</v>
      </c>
      <c r="BB336" s="46">
        <f t="shared" si="563"/>
        <v>1.3639019370259098</v>
      </c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  <c r="BM336" s="18"/>
      <c r="BN336" s="18"/>
      <c r="BO336" s="18"/>
      <c r="BP336" s="18"/>
      <c r="BQ336" s="18"/>
      <c r="BR336" s="18"/>
      <c r="BS336" s="18"/>
      <c r="BT336" s="18"/>
      <c r="BU336" s="18"/>
      <c r="BX336" s="221">
        <f t="shared" si="559"/>
        <v>328</v>
      </c>
    </row>
    <row r="337" spans="1:76" ht="11.25" hidden="1" customHeight="1" outlineLevel="2">
      <c r="A337" s="180"/>
      <c r="B337" s="17" t="s">
        <v>29</v>
      </c>
      <c r="C337" s="46">
        <f t="shared" ref="C337:K337" si="564">(1-C336)</f>
        <v>0.43760531647007594</v>
      </c>
      <c r="D337" s="46">
        <f t="shared" si="564"/>
        <v>0.23752608155536525</v>
      </c>
      <c r="E337" s="46">
        <f t="shared" si="564"/>
        <v>-7.9496206296152394E-3</v>
      </c>
      <c r="F337" s="46">
        <f t="shared" si="564"/>
        <v>0.21215327304704257</v>
      </c>
      <c r="G337" s="46">
        <f t="shared" si="564"/>
        <v>0.27522072874318615</v>
      </c>
      <c r="H337" s="46">
        <f t="shared" si="564"/>
        <v>-7.3879739227336039E-3</v>
      </c>
      <c r="I337" s="46">
        <f t="shared" si="564"/>
        <v>6.4926837961270745E-2</v>
      </c>
      <c r="J337" s="46">
        <f t="shared" si="564"/>
        <v>8.5319187402713603E-2</v>
      </c>
      <c r="K337" s="46">
        <f t="shared" si="564"/>
        <v>-7.8673453958973738E-2</v>
      </c>
      <c r="L337" s="19"/>
      <c r="M337" s="19"/>
      <c r="N337" s="19"/>
      <c r="O337" s="19"/>
      <c r="P337" s="19"/>
      <c r="Q337" s="3"/>
      <c r="R337" s="46">
        <f t="shared" ref="R337:BB337" si="565">(1-R336)</f>
        <v>0.52720046369131413</v>
      </c>
      <c r="S337" s="46">
        <f t="shared" si="565"/>
        <v>0.51549994026997981</v>
      </c>
      <c r="T337" s="46">
        <f t="shared" si="565"/>
        <v>0.46482293951739273</v>
      </c>
      <c r="U337" s="46">
        <f t="shared" si="565"/>
        <v>0.22032964510353037</v>
      </c>
      <c r="V337" s="46">
        <f t="shared" si="565"/>
        <v>0.20816936488169357</v>
      </c>
      <c r="W337" s="46">
        <f t="shared" si="565"/>
        <v>0.22290026246719163</v>
      </c>
      <c r="X337" s="46">
        <f t="shared" si="565"/>
        <v>0.19049118387909325</v>
      </c>
      <c r="Y337" s="46">
        <f t="shared" si="565"/>
        <v>0.28596353743105973</v>
      </c>
      <c r="Z337" s="46">
        <f t="shared" si="565"/>
        <v>0.13520059160658171</v>
      </c>
      <c r="AA337" s="46">
        <f t="shared" si="565"/>
        <v>-0.14348785871964687</v>
      </c>
      <c r="AB337" s="46">
        <f t="shared" si="565"/>
        <v>-0.1132726227573897</v>
      </c>
      <c r="AC337" s="46">
        <f t="shared" si="565"/>
        <v>-2.7247213972358963E-4</v>
      </c>
      <c r="AD337" s="46">
        <f t="shared" si="565"/>
        <v>0.17420203792428635</v>
      </c>
      <c r="AE337" s="46">
        <f t="shared" si="565"/>
        <v>0.19774885758207517</v>
      </c>
      <c r="AF337" s="46">
        <f t="shared" si="565"/>
        <v>0.23860830301258851</v>
      </c>
      <c r="AG337" s="46">
        <f t="shared" si="565"/>
        <v>0.22138156671747777</v>
      </c>
      <c r="AH337" s="46">
        <f t="shared" si="565"/>
        <v>0.28942125501560412</v>
      </c>
      <c r="AI337" s="46">
        <f t="shared" si="565"/>
        <v>0.31187791466555292</v>
      </c>
      <c r="AJ337" s="46">
        <f t="shared" si="565"/>
        <v>0.27502315618849138</v>
      </c>
      <c r="AK337" s="46">
        <f t="shared" si="565"/>
        <v>0.23665566230201418</v>
      </c>
      <c r="AL337" s="46">
        <f t="shared" si="565"/>
        <v>0.12064831423655609</v>
      </c>
      <c r="AM337" s="46">
        <f t="shared" si="565"/>
        <v>-8.3698863993577621E-2</v>
      </c>
      <c r="AN337" s="46">
        <f t="shared" si="565"/>
        <v>-8.749956003841497E-2</v>
      </c>
      <c r="AO337" s="46">
        <f t="shared" si="565"/>
        <v>1.4108036799566848E-2</v>
      </c>
      <c r="AP337" s="46">
        <f t="shared" si="565"/>
        <v>0.11615444858437951</v>
      </c>
      <c r="AQ337" s="46">
        <f t="shared" si="565"/>
        <v>7.3152457601048049E-2</v>
      </c>
      <c r="AR337" s="46">
        <f t="shared" si="565"/>
        <v>6.6735853178938265E-2</v>
      </c>
      <c r="AS337" s="46">
        <f t="shared" si="565"/>
        <v>-8.7565573297976318E-3</v>
      </c>
      <c r="AT337" s="46">
        <f t="shared" si="565"/>
        <v>2.7639310083396484E-2</v>
      </c>
      <c r="AU337" s="46">
        <f t="shared" si="565"/>
        <v>7.8575593129120658E-2</v>
      </c>
      <c r="AV337" s="46">
        <f t="shared" si="565"/>
        <v>8.9390731592566497E-2</v>
      </c>
      <c r="AW337" s="46">
        <f t="shared" si="565"/>
        <v>0.12258267124915978</v>
      </c>
      <c r="AX337" s="46">
        <f t="shared" si="565"/>
        <v>-3.2374654334410558E-2</v>
      </c>
      <c r="AY337" s="46">
        <f t="shared" si="565"/>
        <v>-0.21253762926202557</v>
      </c>
      <c r="AZ337" s="46">
        <f t="shared" si="565"/>
        <v>-9.5895407930625565E-2</v>
      </c>
      <c r="BA337" s="46">
        <f t="shared" si="565"/>
        <v>-4.2944136676956957E-2</v>
      </c>
      <c r="BB337" s="46">
        <f t="shared" si="565"/>
        <v>-0.36390193702590978</v>
      </c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X337" s="221">
        <f t="shared" si="559"/>
        <v>329</v>
      </c>
    </row>
    <row r="338" spans="1:76" ht="11.25" hidden="1" customHeight="1" outlineLevel="2">
      <c r="A338" s="180"/>
      <c r="B338" s="17" t="s">
        <v>28</v>
      </c>
      <c r="C338" s="46">
        <f t="shared" ref="C338:K338" si="566">-C330/C$328</f>
        <v>4.578071454266619E-2</v>
      </c>
      <c r="D338" s="46">
        <f t="shared" si="566"/>
        <v>6.6388865437265576E-2</v>
      </c>
      <c r="E338" s="46">
        <f t="shared" si="566"/>
        <v>2.4293684785786005E-2</v>
      </c>
      <c r="F338" s="46">
        <f t="shared" si="566"/>
        <v>1.8623201451302435E-2</v>
      </c>
      <c r="G338" s="46">
        <f t="shared" si="566"/>
        <v>1.6969452549410218E-2</v>
      </c>
      <c r="H338" s="46">
        <f t="shared" si="566"/>
        <v>2.4828806830930219E-2</v>
      </c>
      <c r="I338" s="46">
        <f t="shared" si="566"/>
        <v>3.3879961965365586E-2</v>
      </c>
      <c r="J338" s="46">
        <f t="shared" si="566"/>
        <v>2.7665700968784589E-2</v>
      </c>
      <c r="K338" s="46">
        <f t="shared" si="566"/>
        <v>4.0594728088302001E-2</v>
      </c>
      <c r="L338" s="19"/>
      <c r="M338" s="19"/>
      <c r="N338" s="19"/>
      <c r="O338" s="19"/>
      <c r="P338" s="19"/>
      <c r="Q338" s="3"/>
      <c r="R338" s="46">
        <f t="shared" ref="R338:BB338" si="567">-R330/R$328</f>
        <v>3.9165355634677483E-2</v>
      </c>
      <c r="S338" s="46">
        <f t="shared" si="567"/>
        <v>2.9178114920559071E-2</v>
      </c>
      <c r="T338" s="46">
        <f t="shared" si="567"/>
        <v>4.4630732267836627E-2</v>
      </c>
      <c r="U338" s="46">
        <f t="shared" si="567"/>
        <v>7.6993710114319852E-2</v>
      </c>
      <c r="V338" s="46">
        <f t="shared" si="567"/>
        <v>0.11880448318804483</v>
      </c>
      <c r="W338" s="46">
        <f t="shared" si="567"/>
        <v>7.8248031496062978E-2</v>
      </c>
      <c r="X338" s="46">
        <f t="shared" si="567"/>
        <v>6.2237615449202345E-2</v>
      </c>
      <c r="Y338" s="46">
        <f t="shared" si="567"/>
        <v>4.8409752923954989E-2</v>
      </c>
      <c r="Z338" s="46">
        <f t="shared" si="567"/>
        <v>2.2702902569791086E-2</v>
      </c>
      <c r="AA338" s="46">
        <f t="shared" si="567"/>
        <v>2.6072430045939982E-2</v>
      </c>
      <c r="AB338" s="46">
        <f t="shared" si="567"/>
        <v>2.3901007472846642E-2</v>
      </c>
      <c r="AC338" s="46">
        <f t="shared" si="567"/>
        <v>2.5367156208277706E-2</v>
      </c>
      <c r="AD338" s="46">
        <f t="shared" si="567"/>
        <v>1.8253593359875836E-2</v>
      </c>
      <c r="AE338" s="46">
        <f t="shared" si="567"/>
        <v>1.5962263356286983E-2</v>
      </c>
      <c r="AF338" s="46">
        <f t="shared" si="567"/>
        <v>2.1851094066541017E-2</v>
      </c>
      <c r="AG338" s="46">
        <f t="shared" si="567"/>
        <v>1.8199055656764697E-2</v>
      </c>
      <c r="AH338" s="46">
        <f t="shared" si="567"/>
        <v>1.5555338831921535E-2</v>
      </c>
      <c r="AI338" s="46">
        <f t="shared" si="567"/>
        <v>2.3276722117816291E-2</v>
      </c>
      <c r="AJ338" s="46">
        <f t="shared" si="567"/>
        <v>1.1935085484929182E-2</v>
      </c>
      <c r="AK338" s="46">
        <f t="shared" si="567"/>
        <v>1.7707444638154234E-2</v>
      </c>
      <c r="AL338" s="46">
        <f t="shared" si="567"/>
        <v>2.1332869641615113E-2</v>
      </c>
      <c r="AM338" s="46">
        <f t="shared" si="567"/>
        <v>2.3334316679321204E-2</v>
      </c>
      <c r="AN338" s="46">
        <f t="shared" si="567"/>
        <v>2.9002267687712753E-2</v>
      </c>
      <c r="AO338" s="46">
        <f t="shared" si="567"/>
        <v>2.6228620477103965E-2</v>
      </c>
      <c r="AP338" s="46">
        <f t="shared" si="567"/>
        <v>3.0771056316301587E-2</v>
      </c>
      <c r="AQ338" s="46">
        <f t="shared" si="567"/>
        <v>3.0991674026734414E-2</v>
      </c>
      <c r="AR338" s="46">
        <f t="shared" si="567"/>
        <v>3.572755079746559E-2</v>
      </c>
      <c r="AS338" s="46">
        <f t="shared" si="567"/>
        <v>3.9061509194673431E-2</v>
      </c>
      <c r="AT338" s="46">
        <f t="shared" si="567"/>
        <v>3.2543593631539046E-2</v>
      </c>
      <c r="AU338" s="46">
        <f t="shared" si="567"/>
        <v>3.3902169200639841E-2</v>
      </c>
      <c r="AV338" s="46">
        <f t="shared" si="567"/>
        <v>2.7192329944623523E-2</v>
      </c>
      <c r="AW338" s="46">
        <f t="shared" si="567"/>
        <v>2.0183906291731848E-2</v>
      </c>
      <c r="AX338" s="46">
        <f t="shared" si="567"/>
        <v>3.5710916826777475E-2</v>
      </c>
      <c r="AY338" s="46">
        <f t="shared" si="567"/>
        <v>9.7817187913292108E-2</v>
      </c>
      <c r="AZ338" s="46">
        <f t="shared" si="567"/>
        <v>2.2491937556478558E-2</v>
      </c>
      <c r="BA338" s="46">
        <f t="shared" si="567"/>
        <v>2.6049816044318521E-2</v>
      </c>
      <c r="BB338" s="46">
        <f t="shared" si="567"/>
        <v>4.0898301990140586E-2</v>
      </c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X338" s="221">
        <f t="shared" si="559"/>
        <v>330</v>
      </c>
    </row>
    <row r="339" spans="1:76" ht="11.25" hidden="1" customHeight="1" outlineLevel="2">
      <c r="A339" s="180"/>
      <c r="B339" s="17" t="s">
        <v>27</v>
      </c>
      <c r="C339" s="46">
        <f t="shared" ref="C339:K339" si="568">C331/C$328</f>
        <v>0.39182460192740975</v>
      </c>
      <c r="D339" s="46">
        <f t="shared" si="568"/>
        <v>0.17113721611809973</v>
      </c>
      <c r="E339" s="46">
        <f t="shared" si="568"/>
        <v>-3.2243305415401026E-2</v>
      </c>
      <c r="F339" s="46">
        <f t="shared" si="568"/>
        <v>0.19353007159574029</v>
      </c>
      <c r="G339" s="46">
        <f t="shared" si="568"/>
        <v>0.25825127619377575</v>
      </c>
      <c r="H339" s="46">
        <f t="shared" si="568"/>
        <v>-3.2216780753663563E-2</v>
      </c>
      <c r="I339" s="46">
        <f t="shared" si="568"/>
        <v>3.1046875995905224E-2</v>
      </c>
      <c r="J339" s="46">
        <f t="shared" si="568"/>
        <v>5.7653486433929063E-2</v>
      </c>
      <c r="K339" s="46">
        <f t="shared" si="568"/>
        <v>-0.11926818204727581</v>
      </c>
      <c r="L339" s="19"/>
      <c r="M339" s="19"/>
      <c r="N339" s="19"/>
      <c r="O339" s="19"/>
      <c r="P339" s="19"/>
      <c r="Q339" s="3"/>
      <c r="R339" s="46">
        <f t="shared" ref="R339:BB339" si="569">R331/R$328</f>
        <v>0.48803510805663658</v>
      </c>
      <c r="S339" s="46">
        <f t="shared" si="569"/>
        <v>0.48632182534942064</v>
      </c>
      <c r="T339" s="46">
        <f t="shared" si="569"/>
        <v>0.42019220724955614</v>
      </c>
      <c r="U339" s="46">
        <f t="shared" si="569"/>
        <v>0.14333593498921049</v>
      </c>
      <c r="V339" s="46">
        <f t="shared" si="569"/>
        <v>8.9364881693648757E-2</v>
      </c>
      <c r="W339" s="46">
        <f t="shared" si="569"/>
        <v>0.14465223097112864</v>
      </c>
      <c r="X339" s="46">
        <f t="shared" si="569"/>
        <v>0.12825356842989091</v>
      </c>
      <c r="Y339" s="46">
        <f t="shared" si="569"/>
        <v>0.23755378450710476</v>
      </c>
      <c r="Z339" s="46">
        <f t="shared" si="569"/>
        <v>0.11249768903679058</v>
      </c>
      <c r="AA339" s="46">
        <f t="shared" si="569"/>
        <v>-0.16956028876558685</v>
      </c>
      <c r="AB339" s="46">
        <f t="shared" si="569"/>
        <v>-0.13717363023023629</v>
      </c>
      <c r="AC339" s="46">
        <f t="shared" si="569"/>
        <v>-2.5639628348001365E-2</v>
      </c>
      <c r="AD339" s="46">
        <f t="shared" si="569"/>
        <v>0.15594844456441054</v>
      </c>
      <c r="AE339" s="46">
        <f t="shared" si="569"/>
        <v>0.18178659422578819</v>
      </c>
      <c r="AF339" s="46">
        <f t="shared" si="569"/>
        <v>0.2167572089460475</v>
      </c>
      <c r="AG339" s="46">
        <f t="shared" si="569"/>
        <v>0.20318251106071308</v>
      </c>
      <c r="AH339" s="46">
        <f t="shared" si="569"/>
        <v>0.27386591618368256</v>
      </c>
      <c r="AI339" s="46">
        <f t="shared" si="569"/>
        <v>0.2886011925477367</v>
      </c>
      <c r="AJ339" s="46">
        <f t="shared" si="569"/>
        <v>0.26308807070356222</v>
      </c>
      <c r="AK339" s="46">
        <f t="shared" si="569"/>
        <v>0.21894821766385988</v>
      </c>
      <c r="AL339" s="46">
        <f t="shared" si="569"/>
        <v>9.9315444594940946E-2</v>
      </c>
      <c r="AM339" s="46">
        <f t="shared" si="569"/>
        <v>-0.10703318067289891</v>
      </c>
      <c r="AN339" s="46">
        <f t="shared" si="569"/>
        <v>-0.11650182772612762</v>
      </c>
      <c r="AO339" s="46">
        <f t="shared" si="569"/>
        <v>-1.21205836775371E-2</v>
      </c>
      <c r="AP339" s="46">
        <f t="shared" si="569"/>
        <v>8.5383392268077979E-2</v>
      </c>
      <c r="AQ339" s="46">
        <f t="shared" si="569"/>
        <v>4.2160783574313639E-2</v>
      </c>
      <c r="AR339" s="46">
        <f t="shared" si="569"/>
        <v>3.1008302381472674E-2</v>
      </c>
      <c r="AS339" s="46">
        <f t="shared" si="569"/>
        <v>-4.7818066524471119E-2</v>
      </c>
      <c r="AT339" s="46">
        <f t="shared" si="569"/>
        <v>-4.9042835481425415E-3</v>
      </c>
      <c r="AU339" s="46">
        <f t="shared" si="569"/>
        <v>4.4673423928480768E-2</v>
      </c>
      <c r="AV339" s="46">
        <f t="shared" si="569"/>
        <v>6.2198401647942936E-2</v>
      </c>
      <c r="AW339" s="46">
        <f t="shared" si="569"/>
        <v>0.1023987649574279</v>
      </c>
      <c r="AX339" s="46">
        <f t="shared" si="569"/>
        <v>-6.8085571161188074E-2</v>
      </c>
      <c r="AY339" s="46">
        <f t="shared" si="569"/>
        <v>-0.31035481717531765</v>
      </c>
      <c r="AZ339" s="46">
        <f t="shared" si="569"/>
        <v>-0.1183873454871042</v>
      </c>
      <c r="BA339" s="46">
        <f t="shared" si="569"/>
        <v>-6.8993952721275564E-2</v>
      </c>
      <c r="BB339" s="46">
        <f t="shared" si="569"/>
        <v>-0.40480023901605044</v>
      </c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X339" s="221">
        <f t="shared" si="559"/>
        <v>331</v>
      </c>
    </row>
    <row r="340" spans="1:76" ht="11.25" hidden="1" customHeight="1" outlineLevel="2">
      <c r="A340" s="180"/>
      <c r="B340" s="17" t="s">
        <v>26</v>
      </c>
      <c r="C340" s="46">
        <f t="shared" ref="C340:K340" si="570">C332/C$328</f>
        <v>0.39181513527841416</v>
      </c>
      <c r="D340" s="46">
        <f t="shared" si="570"/>
        <v>0.17113721611809968</v>
      </c>
      <c r="E340" s="46">
        <f t="shared" si="570"/>
        <v>-3.224330541540104E-2</v>
      </c>
      <c r="F340" s="46">
        <f t="shared" si="570"/>
        <v>0.19320325158216897</v>
      </c>
      <c r="G340" s="46">
        <f t="shared" si="570"/>
        <v>0.25826480953180064</v>
      </c>
      <c r="H340" s="46">
        <f t="shared" si="570"/>
        <v>-3.2216780753663597E-2</v>
      </c>
      <c r="I340" s="46">
        <f t="shared" si="570"/>
        <v>3.1046875995905155E-2</v>
      </c>
      <c r="J340" s="46">
        <f t="shared" si="570"/>
        <v>5.765348643392907E-2</v>
      </c>
      <c r="K340" s="46">
        <f t="shared" si="570"/>
        <v>-9.9497001159215753E-2</v>
      </c>
      <c r="L340" s="19"/>
      <c r="M340" s="19"/>
      <c r="N340" s="19"/>
      <c r="O340" s="19"/>
      <c r="P340" s="19"/>
      <c r="Q340" s="3"/>
      <c r="R340" s="46">
        <f t="shared" ref="R340:BB340" si="571">R332/R$328</f>
        <v>0.48803510805663658</v>
      </c>
      <c r="S340" s="46">
        <f t="shared" si="571"/>
        <v>0.48632182534942053</v>
      </c>
      <c r="T340" s="46">
        <f t="shared" si="571"/>
        <v>0.42019220724955603</v>
      </c>
      <c r="U340" s="46">
        <f t="shared" si="571"/>
        <v>0.14329002341490296</v>
      </c>
      <c r="V340" s="46">
        <f t="shared" si="571"/>
        <v>8.9364881693648826E-2</v>
      </c>
      <c r="W340" s="46">
        <f t="shared" si="571"/>
        <v>0.14465223097112859</v>
      </c>
      <c r="X340" s="46">
        <f t="shared" si="571"/>
        <v>0.12825356842989086</v>
      </c>
      <c r="Y340" s="46">
        <f t="shared" si="571"/>
        <v>0.23755378450710471</v>
      </c>
      <c r="Z340" s="46">
        <f t="shared" si="571"/>
        <v>0.11249768903679053</v>
      </c>
      <c r="AA340" s="46">
        <f t="shared" si="571"/>
        <v>-0.16956028876558679</v>
      </c>
      <c r="AB340" s="46">
        <f t="shared" si="571"/>
        <v>-0.13717363023023629</v>
      </c>
      <c r="AC340" s="46">
        <f t="shared" si="571"/>
        <v>-2.5639628348001414E-2</v>
      </c>
      <c r="AD340" s="46">
        <f t="shared" si="571"/>
        <v>0.15594844456441054</v>
      </c>
      <c r="AE340" s="46">
        <f t="shared" si="571"/>
        <v>0.18178659422578811</v>
      </c>
      <c r="AF340" s="46">
        <f t="shared" si="571"/>
        <v>0.21675720894604755</v>
      </c>
      <c r="AG340" s="46">
        <f t="shared" si="571"/>
        <v>0.20208573446852812</v>
      </c>
      <c r="AH340" s="46">
        <f t="shared" si="571"/>
        <v>0.27386591618368256</v>
      </c>
      <c r="AI340" s="46">
        <f t="shared" si="571"/>
        <v>0.2886011925477367</v>
      </c>
      <c r="AJ340" s="46">
        <f t="shared" si="571"/>
        <v>0.26313631276291921</v>
      </c>
      <c r="AK340" s="46">
        <f t="shared" si="571"/>
        <v>0.21894821766385991</v>
      </c>
      <c r="AL340" s="46">
        <f t="shared" si="571"/>
        <v>9.9315444594940877E-2</v>
      </c>
      <c r="AM340" s="46">
        <f t="shared" si="571"/>
        <v>-0.10703318067289884</v>
      </c>
      <c r="AN340" s="46">
        <f t="shared" si="571"/>
        <v>-0.11650182772612769</v>
      </c>
      <c r="AO340" s="46">
        <f t="shared" si="571"/>
        <v>-1.2120583677537171E-2</v>
      </c>
      <c r="AP340" s="46">
        <f t="shared" si="571"/>
        <v>8.5383392268077937E-2</v>
      </c>
      <c r="AQ340" s="46">
        <f t="shared" si="571"/>
        <v>4.2160783574313528E-2</v>
      </c>
      <c r="AR340" s="46">
        <f t="shared" si="571"/>
        <v>3.1008302381472577E-2</v>
      </c>
      <c r="AS340" s="46">
        <f t="shared" si="571"/>
        <v>-4.7818066524471091E-2</v>
      </c>
      <c r="AT340" s="46">
        <f t="shared" si="571"/>
        <v>-4.904283548142532E-3</v>
      </c>
      <c r="AU340" s="46">
        <f t="shared" si="571"/>
        <v>4.4673423928480657E-2</v>
      </c>
      <c r="AV340" s="46">
        <f t="shared" si="571"/>
        <v>6.2198401647942929E-2</v>
      </c>
      <c r="AW340" s="46">
        <f t="shared" si="571"/>
        <v>0.10239876495742803</v>
      </c>
      <c r="AX340" s="46">
        <f t="shared" si="571"/>
        <v>-3.4042785580594072E-2</v>
      </c>
      <c r="AY340" s="46">
        <f t="shared" si="571"/>
        <v>-0.2864106407365889</v>
      </c>
      <c r="AZ340" s="46">
        <f t="shared" si="571"/>
        <v>-0.1134628298554978</v>
      </c>
      <c r="BA340" s="46">
        <f t="shared" si="571"/>
        <v>-6.4183617372182519E-2</v>
      </c>
      <c r="BB340" s="46">
        <f t="shared" si="571"/>
        <v>-0.40480023901605044</v>
      </c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X340" s="221">
        <f t="shared" si="559"/>
        <v>332</v>
      </c>
    </row>
    <row r="341" spans="1:76" ht="11.25" hidden="1" customHeight="1" outlineLevel="2">
      <c r="A341" s="180"/>
      <c r="B341" s="17"/>
      <c r="C341" s="16"/>
      <c r="D341" s="16"/>
      <c r="E341" s="16"/>
      <c r="F341" s="16"/>
      <c r="G341" s="16"/>
      <c r="H341" s="16"/>
      <c r="I341" s="16"/>
      <c r="J341" s="16"/>
      <c r="K341" s="16"/>
      <c r="L341" s="3"/>
      <c r="M341" s="3"/>
      <c r="N341" s="3"/>
      <c r="O341" s="3"/>
      <c r="P341" s="3"/>
      <c r="Q341" s="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X341" s="221">
        <f t="shared" si="559"/>
        <v>333</v>
      </c>
    </row>
    <row r="342" spans="1:76" ht="11.25" hidden="1" customHeight="1" outlineLevel="2">
      <c r="A342" s="180"/>
      <c r="B342" s="44" t="s">
        <v>25</v>
      </c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19"/>
      <c r="N342" s="19"/>
      <c r="O342" s="19"/>
      <c r="P342" s="19"/>
      <c r="Q342" s="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X342" s="221">
        <f t="shared" si="559"/>
        <v>334</v>
      </c>
    </row>
    <row r="343" spans="1:76" ht="11.25" hidden="1" customHeight="1" outlineLevel="2">
      <c r="A343" s="180"/>
      <c r="B343" s="17" t="s">
        <v>23</v>
      </c>
      <c r="C343" s="40">
        <f t="shared" ref="C343:K345" si="572">SUMIF($R$5:$BV$5,C$5,$R343:$BV343)</f>
        <v>105.634</v>
      </c>
      <c r="D343" s="40">
        <f t="shared" si="572"/>
        <v>165.82599999999999</v>
      </c>
      <c r="E343" s="40">
        <f t="shared" si="572"/>
        <v>157.36599999999999</v>
      </c>
      <c r="F343" s="40">
        <f t="shared" si="572"/>
        <v>361.05499999999995</v>
      </c>
      <c r="G343" s="40">
        <f t="shared" si="572"/>
        <v>728.30007999999998</v>
      </c>
      <c r="H343" s="40">
        <f t="shared" si="572"/>
        <v>737.24121000000002</v>
      </c>
      <c r="I343" s="40">
        <f t="shared" si="572"/>
        <v>688.97840000000008</v>
      </c>
      <c r="J343" s="40">
        <f t="shared" si="572"/>
        <v>1042.10834</v>
      </c>
      <c r="K343" s="40">
        <f t="shared" si="572"/>
        <v>451.52045999999996</v>
      </c>
      <c r="L343" s="19"/>
      <c r="M343" s="19"/>
      <c r="N343" s="19"/>
      <c r="O343" s="19"/>
      <c r="P343" s="19"/>
      <c r="Q343" s="3"/>
      <c r="R343" s="45">
        <f t="shared" ref="R343:AI343" si="573">R328</f>
        <v>12.077</v>
      </c>
      <c r="S343" s="45">
        <f t="shared" si="573"/>
        <v>33.484000000000002</v>
      </c>
      <c r="T343" s="45">
        <f t="shared" si="573"/>
        <v>38.292000000000002</v>
      </c>
      <c r="U343" s="45">
        <f t="shared" si="573"/>
        <v>21.780999999999992</v>
      </c>
      <c r="V343" s="45">
        <f t="shared" si="573"/>
        <v>20.074999999999999</v>
      </c>
      <c r="W343" s="45">
        <f t="shared" si="573"/>
        <v>30.48</v>
      </c>
      <c r="X343" s="45">
        <f t="shared" si="573"/>
        <v>47.64</v>
      </c>
      <c r="Y343" s="45">
        <f t="shared" si="573"/>
        <v>67.631</v>
      </c>
      <c r="Z343" s="45">
        <f t="shared" si="573"/>
        <v>54.09</v>
      </c>
      <c r="AA343" s="45">
        <f t="shared" si="573"/>
        <v>33.521999999999998</v>
      </c>
      <c r="AB343" s="45">
        <f t="shared" si="573"/>
        <v>33.052999999999997</v>
      </c>
      <c r="AC343" s="45">
        <f t="shared" si="573"/>
        <v>36.701000000000001</v>
      </c>
      <c r="AD343" s="45">
        <f t="shared" si="573"/>
        <v>59.276000000000003</v>
      </c>
      <c r="AE343" s="45">
        <f t="shared" si="573"/>
        <v>94.974000000000004</v>
      </c>
      <c r="AF343" s="45">
        <f t="shared" si="573"/>
        <v>99.216999999999999</v>
      </c>
      <c r="AG343" s="45">
        <f t="shared" si="573"/>
        <v>107.58799999999999</v>
      </c>
      <c r="AH343" s="45">
        <f t="shared" si="573"/>
        <v>143.55199999999999</v>
      </c>
      <c r="AI343" s="45">
        <f t="shared" si="573"/>
        <v>172.404</v>
      </c>
      <c r="AJ343" s="20">
        <f t="shared" ref="AJ343:BA343" si="574">IFERROR(AJ348*AJ$328,0)</f>
        <v>203.14224000000002</v>
      </c>
      <c r="AK343" s="20">
        <f t="shared" si="574"/>
        <v>209.20184</v>
      </c>
      <c r="AL343" s="20">
        <f t="shared" si="574"/>
        <v>209.79455999999999</v>
      </c>
      <c r="AM343" s="20">
        <f t="shared" si="574"/>
        <v>190.23483999999999</v>
      </c>
      <c r="AN343" s="20">
        <f t="shared" si="574"/>
        <v>180.98170999999999</v>
      </c>
      <c r="AO343" s="20">
        <f t="shared" si="574"/>
        <v>156.23009999999999</v>
      </c>
      <c r="AP343" s="20">
        <f t="shared" si="574"/>
        <v>193.83020000000002</v>
      </c>
      <c r="AQ343" s="20">
        <f t="shared" si="574"/>
        <v>181.38420000000002</v>
      </c>
      <c r="AR343" s="20">
        <f t="shared" si="574"/>
        <v>161.1104</v>
      </c>
      <c r="AS343" s="20">
        <f t="shared" si="574"/>
        <v>152.65360000000001</v>
      </c>
      <c r="AT343" s="20">
        <f t="shared" si="574"/>
        <v>189.93600000000001</v>
      </c>
      <c r="AU343" s="20">
        <f t="shared" si="574"/>
        <v>246.15888000000004</v>
      </c>
      <c r="AV343" s="20">
        <f t="shared" si="574"/>
        <v>292.55382000000003</v>
      </c>
      <c r="AW343" s="20">
        <f t="shared" si="574"/>
        <v>313.45963999999998</v>
      </c>
      <c r="AX343" s="20">
        <f t="shared" si="574"/>
        <v>189.33761999999999</v>
      </c>
      <c r="AY343" s="20">
        <f t="shared" si="574"/>
        <v>69.865840000000006</v>
      </c>
      <c r="AZ343" s="20">
        <f t="shared" si="574"/>
        <v>110.97132000000001</v>
      </c>
      <c r="BA343" s="20">
        <f t="shared" si="574"/>
        <v>81.345679999999987</v>
      </c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  <c r="BM343" s="18"/>
      <c r="BN343" s="18"/>
      <c r="BO343" s="18"/>
      <c r="BP343" s="18"/>
      <c r="BQ343" s="18"/>
      <c r="BR343" s="18"/>
      <c r="BS343" s="18"/>
      <c r="BT343" s="18"/>
      <c r="BU343" s="18"/>
      <c r="BX343" s="221">
        <f t="shared" si="559"/>
        <v>335</v>
      </c>
    </row>
    <row r="344" spans="1:76" ht="11.25" hidden="1" customHeight="1" outlineLevel="2">
      <c r="A344" s="180"/>
      <c r="B344" s="17" t="s">
        <v>22</v>
      </c>
      <c r="C344" s="40">
        <f t="shared" si="572"/>
        <v>0</v>
      </c>
      <c r="D344" s="40">
        <f t="shared" si="572"/>
        <v>0</v>
      </c>
      <c r="E344" s="40">
        <f t="shared" si="572"/>
        <v>0</v>
      </c>
      <c r="F344" s="40">
        <f t="shared" si="572"/>
        <v>0</v>
      </c>
      <c r="G344" s="40">
        <f t="shared" si="572"/>
        <v>6.3863199999999996</v>
      </c>
      <c r="H344" s="40">
        <f t="shared" si="572"/>
        <v>36.725890000000007</v>
      </c>
      <c r="I344" s="40">
        <f t="shared" si="572"/>
        <v>53.538060000000002</v>
      </c>
      <c r="J344" s="40">
        <f t="shared" si="572"/>
        <v>58.073620000000005</v>
      </c>
      <c r="K344" s="40">
        <f t="shared" si="572"/>
        <v>24.266499999999997</v>
      </c>
      <c r="L344" s="19"/>
      <c r="M344" s="19"/>
      <c r="N344" s="19"/>
      <c r="O344" s="19"/>
      <c r="P344" s="19"/>
      <c r="Q344" s="3"/>
      <c r="R344" s="20">
        <f t="shared" ref="R344:AI344" si="575">IFERROR(R349*R$328,0)</f>
        <v>0</v>
      </c>
      <c r="S344" s="20">
        <f t="shared" si="575"/>
        <v>0</v>
      </c>
      <c r="T344" s="20">
        <f t="shared" si="575"/>
        <v>0</v>
      </c>
      <c r="U344" s="20">
        <f t="shared" si="575"/>
        <v>0</v>
      </c>
      <c r="V344" s="20">
        <f t="shared" si="575"/>
        <v>0</v>
      </c>
      <c r="W344" s="20">
        <f t="shared" si="575"/>
        <v>0</v>
      </c>
      <c r="X344" s="20">
        <f t="shared" si="575"/>
        <v>0</v>
      </c>
      <c r="Y344" s="20">
        <f t="shared" si="575"/>
        <v>0</v>
      </c>
      <c r="Z344" s="20">
        <f t="shared" si="575"/>
        <v>0</v>
      </c>
      <c r="AA344" s="20">
        <f t="shared" si="575"/>
        <v>0</v>
      </c>
      <c r="AB344" s="20">
        <f t="shared" si="575"/>
        <v>0</v>
      </c>
      <c r="AC344" s="20">
        <f t="shared" si="575"/>
        <v>0</v>
      </c>
      <c r="AD344" s="20">
        <f t="shared" si="575"/>
        <v>0</v>
      </c>
      <c r="AE344" s="20">
        <f t="shared" si="575"/>
        <v>0</v>
      </c>
      <c r="AF344" s="20">
        <f t="shared" si="575"/>
        <v>0</v>
      </c>
      <c r="AG344" s="20">
        <f t="shared" si="575"/>
        <v>0</v>
      </c>
      <c r="AH344" s="20">
        <f t="shared" si="575"/>
        <v>0</v>
      </c>
      <c r="AI344" s="20">
        <f t="shared" si="575"/>
        <v>0</v>
      </c>
      <c r="AJ344" s="20">
        <f t="shared" ref="AJ344:BA344" si="576">IFERROR(AJ349*AJ$328,0)</f>
        <v>2.0728800000000001</v>
      </c>
      <c r="AK344" s="20">
        <f t="shared" si="576"/>
        <v>4.3134399999999999</v>
      </c>
      <c r="AL344" s="20">
        <f t="shared" si="576"/>
        <v>4.3707200000000004</v>
      </c>
      <c r="AM344" s="20">
        <f t="shared" si="576"/>
        <v>8.2710799999999995</v>
      </c>
      <c r="AN344" s="20">
        <f t="shared" si="576"/>
        <v>11.93286</v>
      </c>
      <c r="AO344" s="20">
        <f t="shared" si="576"/>
        <v>12.151230000000002</v>
      </c>
      <c r="AP344" s="20">
        <f t="shared" si="576"/>
        <v>12.6411</v>
      </c>
      <c r="AQ344" s="20">
        <f t="shared" si="576"/>
        <v>14.107660000000003</v>
      </c>
      <c r="AR344" s="20">
        <f t="shared" si="576"/>
        <v>14.646400000000002</v>
      </c>
      <c r="AS344" s="20">
        <f t="shared" si="576"/>
        <v>12.142900000000001</v>
      </c>
      <c r="AT344" s="20">
        <f t="shared" si="576"/>
        <v>12.6624</v>
      </c>
      <c r="AU344" s="20">
        <f t="shared" si="576"/>
        <v>16.053840000000001</v>
      </c>
      <c r="AV344" s="20">
        <f t="shared" si="576"/>
        <v>15.728700000000002</v>
      </c>
      <c r="AW344" s="20">
        <f t="shared" si="576"/>
        <v>13.628679999999999</v>
      </c>
      <c r="AX344" s="20">
        <f t="shared" si="576"/>
        <v>8.0569199999999999</v>
      </c>
      <c r="AY344" s="20">
        <f t="shared" si="576"/>
        <v>4.7635800000000001</v>
      </c>
      <c r="AZ344" s="20">
        <f t="shared" si="576"/>
        <v>4.82484</v>
      </c>
      <c r="BA344" s="20">
        <f t="shared" si="576"/>
        <v>6.6211600000000006</v>
      </c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  <c r="BM344" s="18"/>
      <c r="BN344" s="18"/>
      <c r="BO344" s="18"/>
      <c r="BP344" s="18"/>
      <c r="BQ344" s="18"/>
      <c r="BR344" s="18"/>
      <c r="BS344" s="18"/>
      <c r="BT344" s="18"/>
      <c r="BU344" s="18"/>
      <c r="BX344" s="221">
        <f t="shared" si="559"/>
        <v>336</v>
      </c>
    </row>
    <row r="345" spans="1:76" ht="11.25" hidden="1" customHeight="1" outlineLevel="2">
      <c r="A345" s="180"/>
      <c r="B345" s="17" t="s">
        <v>21</v>
      </c>
      <c r="C345" s="40">
        <f t="shared" si="572"/>
        <v>0</v>
      </c>
      <c r="D345" s="40">
        <f t="shared" si="572"/>
        <v>0</v>
      </c>
      <c r="E345" s="40">
        <f t="shared" si="572"/>
        <v>0</v>
      </c>
      <c r="F345" s="40">
        <f t="shared" si="572"/>
        <v>0</v>
      </c>
      <c r="G345" s="40">
        <f t="shared" si="572"/>
        <v>4.2295999999999996</v>
      </c>
      <c r="H345" s="40">
        <f t="shared" si="572"/>
        <v>23.815899999999999</v>
      </c>
      <c r="I345" s="40">
        <f t="shared" si="572"/>
        <v>26.256540000000001</v>
      </c>
      <c r="J345" s="40">
        <f t="shared" si="572"/>
        <v>33.713039999999999</v>
      </c>
      <c r="K345" s="40">
        <f t="shared" si="572"/>
        <v>20.238040000000002</v>
      </c>
      <c r="L345" s="19"/>
      <c r="M345" s="19"/>
      <c r="N345" s="19"/>
      <c r="O345" s="19"/>
      <c r="P345" s="19"/>
      <c r="Q345" s="3"/>
      <c r="R345" s="20">
        <f t="shared" ref="R345:AI345" si="577">IFERROR(R350*R$328,0)</f>
        <v>0</v>
      </c>
      <c r="S345" s="20">
        <f t="shared" si="577"/>
        <v>0</v>
      </c>
      <c r="T345" s="20">
        <f t="shared" si="577"/>
        <v>0</v>
      </c>
      <c r="U345" s="20">
        <f t="shared" si="577"/>
        <v>0</v>
      </c>
      <c r="V345" s="20">
        <f t="shared" si="577"/>
        <v>0</v>
      </c>
      <c r="W345" s="20">
        <f t="shared" si="577"/>
        <v>0</v>
      </c>
      <c r="X345" s="20">
        <f t="shared" si="577"/>
        <v>0</v>
      </c>
      <c r="Y345" s="20">
        <f t="shared" si="577"/>
        <v>0</v>
      </c>
      <c r="Z345" s="20">
        <f t="shared" si="577"/>
        <v>0</v>
      </c>
      <c r="AA345" s="20">
        <f t="shared" si="577"/>
        <v>0</v>
      </c>
      <c r="AB345" s="20">
        <f t="shared" si="577"/>
        <v>0</v>
      </c>
      <c r="AC345" s="20">
        <f t="shared" si="577"/>
        <v>0</v>
      </c>
      <c r="AD345" s="20">
        <f t="shared" si="577"/>
        <v>0</v>
      </c>
      <c r="AE345" s="20">
        <f t="shared" si="577"/>
        <v>0</v>
      </c>
      <c r="AF345" s="20">
        <f t="shared" si="577"/>
        <v>0</v>
      </c>
      <c r="AG345" s="20">
        <f t="shared" si="577"/>
        <v>0</v>
      </c>
      <c r="AH345" s="20">
        <f t="shared" si="577"/>
        <v>0</v>
      </c>
      <c r="AI345" s="20">
        <f t="shared" si="577"/>
        <v>0</v>
      </c>
      <c r="AJ345" s="20">
        <f t="shared" ref="AJ345:BA345" si="578">IFERROR(AJ350*AJ$328,0)</f>
        <v>2.0728800000000001</v>
      </c>
      <c r="AK345" s="20">
        <f t="shared" si="578"/>
        <v>2.15672</v>
      </c>
      <c r="AL345" s="20">
        <f t="shared" si="578"/>
        <v>4.3707200000000004</v>
      </c>
      <c r="AM345" s="20">
        <f t="shared" si="578"/>
        <v>8.2710799999999995</v>
      </c>
      <c r="AN345" s="20">
        <f t="shared" si="578"/>
        <v>5.9664299999999999</v>
      </c>
      <c r="AO345" s="20">
        <f t="shared" si="578"/>
        <v>5.2076699999999994</v>
      </c>
      <c r="AP345" s="20">
        <f t="shared" si="578"/>
        <v>4.2137000000000002</v>
      </c>
      <c r="AQ345" s="20">
        <f t="shared" si="578"/>
        <v>6.0461400000000003</v>
      </c>
      <c r="AR345" s="20">
        <f t="shared" si="578"/>
        <v>7.3232000000000008</v>
      </c>
      <c r="AS345" s="20">
        <f t="shared" si="578"/>
        <v>8.6735000000000007</v>
      </c>
      <c r="AT345" s="20">
        <f t="shared" si="578"/>
        <v>8.4415999999999993</v>
      </c>
      <c r="AU345" s="20">
        <f t="shared" si="578"/>
        <v>5.3512800000000009</v>
      </c>
      <c r="AV345" s="20">
        <f t="shared" si="578"/>
        <v>6.29148</v>
      </c>
      <c r="AW345" s="20">
        <f t="shared" si="578"/>
        <v>13.628679999999999</v>
      </c>
      <c r="AX345" s="20">
        <f t="shared" si="578"/>
        <v>4.0284599999999999</v>
      </c>
      <c r="AY345" s="20">
        <f t="shared" si="578"/>
        <v>4.7635800000000001</v>
      </c>
      <c r="AZ345" s="20">
        <f t="shared" si="578"/>
        <v>4.82484</v>
      </c>
      <c r="BA345" s="20">
        <f t="shared" si="578"/>
        <v>6.6211600000000006</v>
      </c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  <c r="BM345" s="18"/>
      <c r="BN345" s="18"/>
      <c r="BO345" s="18"/>
      <c r="BP345" s="18"/>
      <c r="BQ345" s="18"/>
      <c r="BR345" s="18"/>
      <c r="BS345" s="18"/>
      <c r="BT345" s="18"/>
      <c r="BU345" s="18"/>
      <c r="BX345" s="221">
        <f t="shared" si="559"/>
        <v>337</v>
      </c>
    </row>
    <row r="346" spans="1:76" ht="11.25" hidden="1" customHeight="1" outlineLevel="2">
      <c r="A346" s="180"/>
      <c r="B346" s="17"/>
      <c r="C346" s="16"/>
      <c r="D346" s="16"/>
      <c r="E346" s="16"/>
      <c r="F346" s="16"/>
      <c r="G346" s="16"/>
      <c r="H346" s="16"/>
      <c r="I346" s="16"/>
      <c r="J346" s="16"/>
      <c r="K346" s="16"/>
      <c r="L346" s="3"/>
      <c r="M346" s="3"/>
      <c r="N346" s="3"/>
      <c r="O346" s="3"/>
      <c r="P346" s="3"/>
      <c r="Q346" s="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X346" s="221">
        <f t="shared" si="559"/>
        <v>338</v>
      </c>
    </row>
    <row r="347" spans="1:76" ht="11.25" hidden="1" customHeight="1" outlineLevel="2">
      <c r="A347" s="180"/>
      <c r="B347" s="44" t="s">
        <v>24</v>
      </c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19"/>
      <c r="N347" s="19"/>
      <c r="O347" s="19"/>
      <c r="P347" s="19"/>
      <c r="Q347" s="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  <c r="BM347" s="18"/>
      <c r="BN347" s="18"/>
      <c r="BO347" s="18"/>
      <c r="BP347" s="18"/>
      <c r="BQ347" s="18"/>
      <c r="BR347" s="18"/>
      <c r="BS347" s="18"/>
      <c r="BT347" s="18"/>
      <c r="BU347" s="18"/>
      <c r="BX347" s="221">
        <f t="shared" si="559"/>
        <v>339</v>
      </c>
    </row>
    <row r="348" spans="1:76" ht="11.25" hidden="1" customHeight="1" outlineLevel="2">
      <c r="A348" s="180"/>
      <c r="B348" s="43" t="s">
        <v>23</v>
      </c>
      <c r="C348" s="42">
        <f t="shared" ref="C348:K348" si="579">+C343/C$328</f>
        <v>1</v>
      </c>
      <c r="D348" s="42">
        <f t="shared" si="579"/>
        <v>1</v>
      </c>
      <c r="E348" s="42">
        <f t="shared" si="579"/>
        <v>1</v>
      </c>
      <c r="F348" s="42">
        <f t="shared" si="579"/>
        <v>1</v>
      </c>
      <c r="G348" s="42">
        <f t="shared" si="579"/>
        <v>0.98563311661948028</v>
      </c>
      <c r="H348" s="42">
        <f t="shared" si="579"/>
        <v>0.92411245915242635</v>
      </c>
      <c r="I348" s="42">
        <f t="shared" si="579"/>
        <v>0.89620525174531374</v>
      </c>
      <c r="J348" s="42">
        <f t="shared" si="579"/>
        <v>0.91905188752044942</v>
      </c>
      <c r="K348" s="42">
        <f t="shared" si="579"/>
        <v>0.91027762713572902</v>
      </c>
      <c r="L348" s="19"/>
      <c r="M348" s="19"/>
      <c r="N348" s="19"/>
      <c r="O348" s="19"/>
      <c r="P348" s="19"/>
      <c r="Q348" s="3"/>
      <c r="R348" s="41" t="s">
        <v>20</v>
      </c>
      <c r="S348" s="41" t="s">
        <v>20</v>
      </c>
      <c r="T348" s="41" t="s">
        <v>20</v>
      </c>
      <c r="U348" s="41" t="s">
        <v>20</v>
      </c>
      <c r="V348" s="41" t="s">
        <v>20</v>
      </c>
      <c r="W348" s="41" t="s">
        <v>20</v>
      </c>
      <c r="X348" s="41" t="s">
        <v>20</v>
      </c>
      <c r="Y348" s="41" t="s">
        <v>20</v>
      </c>
      <c r="Z348" s="41" t="s">
        <v>20</v>
      </c>
      <c r="AA348" s="41" t="s">
        <v>20</v>
      </c>
      <c r="AB348" s="41" t="s">
        <v>20</v>
      </c>
      <c r="AC348" s="41" t="s">
        <v>20</v>
      </c>
      <c r="AD348" s="41" t="s">
        <v>20</v>
      </c>
      <c r="AE348" s="41" t="s">
        <v>20</v>
      </c>
      <c r="AF348" s="41" t="s">
        <v>20</v>
      </c>
      <c r="AG348" s="41" t="s">
        <v>20</v>
      </c>
      <c r="AH348" s="41" t="s">
        <v>20</v>
      </c>
      <c r="AI348" s="41" t="s">
        <v>20</v>
      </c>
      <c r="AJ348" s="41">
        <v>0.98</v>
      </c>
      <c r="AK348" s="41">
        <v>0.97</v>
      </c>
      <c r="AL348" s="41">
        <v>0.96</v>
      </c>
      <c r="AM348" s="41">
        <v>0.92</v>
      </c>
      <c r="AN348" s="41">
        <v>0.91</v>
      </c>
      <c r="AO348" s="41">
        <v>0.9</v>
      </c>
      <c r="AP348" s="41">
        <v>0.92</v>
      </c>
      <c r="AQ348" s="41">
        <v>0.9</v>
      </c>
      <c r="AR348" s="41">
        <v>0.88</v>
      </c>
      <c r="AS348" s="41">
        <v>0.88</v>
      </c>
      <c r="AT348" s="41">
        <v>0.9</v>
      </c>
      <c r="AU348" s="41">
        <v>0.92</v>
      </c>
      <c r="AV348" s="41">
        <v>0.93</v>
      </c>
      <c r="AW348" s="41">
        <v>0.92</v>
      </c>
      <c r="AX348" s="41">
        <v>0.94</v>
      </c>
      <c r="AY348" s="41">
        <v>0.88</v>
      </c>
      <c r="AZ348" s="41">
        <v>0.92</v>
      </c>
      <c r="BA348" s="41">
        <v>0.86</v>
      </c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  <c r="BM348" s="18"/>
      <c r="BN348" s="18"/>
      <c r="BO348" s="18"/>
      <c r="BP348" s="18"/>
      <c r="BQ348" s="18"/>
      <c r="BR348" s="18"/>
      <c r="BS348" s="18"/>
      <c r="BT348" s="18"/>
      <c r="BU348" s="18"/>
      <c r="BX348" s="221">
        <f t="shared" si="559"/>
        <v>340</v>
      </c>
    </row>
    <row r="349" spans="1:76" ht="11.25" hidden="1" customHeight="1" outlineLevel="2">
      <c r="A349" s="180"/>
      <c r="B349" s="43" t="s">
        <v>22</v>
      </c>
      <c r="C349" s="42">
        <f t="shared" ref="C349:K349" si="580">+C344/C$328</f>
        <v>0</v>
      </c>
      <c r="D349" s="42">
        <f t="shared" si="580"/>
        <v>0</v>
      </c>
      <c r="E349" s="42">
        <f t="shared" si="580"/>
        <v>0</v>
      </c>
      <c r="F349" s="42">
        <f t="shared" si="580"/>
        <v>0</v>
      </c>
      <c r="G349" s="42">
        <f t="shared" si="580"/>
        <v>8.6428227295118776E-3</v>
      </c>
      <c r="H349" s="42">
        <f t="shared" si="580"/>
        <v>4.6034936818658723E-2</v>
      </c>
      <c r="I349" s="42">
        <f t="shared" si="580"/>
        <v>6.9640921312272938E-2</v>
      </c>
      <c r="J349" s="42">
        <f t="shared" si="580"/>
        <v>5.1216047341244124E-2</v>
      </c>
      <c r="K349" s="42">
        <f t="shared" si="580"/>
        <v>4.8921929338238995E-2</v>
      </c>
      <c r="L349" s="19"/>
      <c r="M349" s="19"/>
      <c r="N349" s="19"/>
      <c r="O349" s="19"/>
      <c r="P349" s="19"/>
      <c r="Q349" s="3"/>
      <c r="R349" s="41" t="s">
        <v>20</v>
      </c>
      <c r="S349" s="41" t="s">
        <v>20</v>
      </c>
      <c r="T349" s="41" t="s">
        <v>20</v>
      </c>
      <c r="U349" s="41" t="s">
        <v>20</v>
      </c>
      <c r="V349" s="41" t="s">
        <v>20</v>
      </c>
      <c r="W349" s="41" t="s">
        <v>20</v>
      </c>
      <c r="X349" s="41" t="s">
        <v>20</v>
      </c>
      <c r="Y349" s="41" t="s">
        <v>20</v>
      </c>
      <c r="Z349" s="41" t="s">
        <v>20</v>
      </c>
      <c r="AA349" s="41" t="s">
        <v>20</v>
      </c>
      <c r="AB349" s="41" t="s">
        <v>20</v>
      </c>
      <c r="AC349" s="41" t="s">
        <v>20</v>
      </c>
      <c r="AD349" s="41" t="s">
        <v>20</v>
      </c>
      <c r="AE349" s="41" t="s">
        <v>20</v>
      </c>
      <c r="AF349" s="41" t="s">
        <v>20</v>
      </c>
      <c r="AG349" s="41" t="s">
        <v>20</v>
      </c>
      <c r="AH349" s="41" t="s">
        <v>20</v>
      </c>
      <c r="AI349" s="41" t="s">
        <v>20</v>
      </c>
      <c r="AJ349" s="41">
        <v>0.01</v>
      </c>
      <c r="AK349" s="41">
        <v>0.02</v>
      </c>
      <c r="AL349" s="41">
        <v>0.02</v>
      </c>
      <c r="AM349" s="41">
        <v>0.04</v>
      </c>
      <c r="AN349" s="41">
        <v>0.06</v>
      </c>
      <c r="AO349" s="41">
        <v>7.0000000000000007E-2</v>
      </c>
      <c r="AP349" s="41">
        <v>0.06</v>
      </c>
      <c r="AQ349" s="41">
        <v>7.0000000000000007E-2</v>
      </c>
      <c r="AR349" s="41">
        <v>0.08</v>
      </c>
      <c r="AS349" s="41">
        <v>7.0000000000000007E-2</v>
      </c>
      <c r="AT349" s="41">
        <v>0.06</v>
      </c>
      <c r="AU349" s="41">
        <v>0.06</v>
      </c>
      <c r="AV349" s="41">
        <v>0.05</v>
      </c>
      <c r="AW349" s="41">
        <v>0.04</v>
      </c>
      <c r="AX349" s="41">
        <v>0.04</v>
      </c>
      <c r="AY349" s="41">
        <v>0.06</v>
      </c>
      <c r="AZ349" s="41">
        <v>0.04</v>
      </c>
      <c r="BA349" s="41">
        <v>7.0000000000000007E-2</v>
      </c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X349" s="221">
        <f t="shared" si="559"/>
        <v>341</v>
      </c>
    </row>
    <row r="350" spans="1:76" ht="11.25" hidden="1" customHeight="1" outlineLevel="2">
      <c r="A350" s="180"/>
      <c r="B350" s="43" t="s">
        <v>21</v>
      </c>
      <c r="C350" s="42">
        <f t="shared" ref="C350:K350" si="581">+C345/C$328</f>
        <v>0</v>
      </c>
      <c r="D350" s="42">
        <f t="shared" si="581"/>
        <v>0</v>
      </c>
      <c r="E350" s="42">
        <f t="shared" si="581"/>
        <v>0</v>
      </c>
      <c r="F350" s="42">
        <f t="shared" si="581"/>
        <v>0</v>
      </c>
      <c r="G350" s="42">
        <f t="shared" si="581"/>
        <v>5.7240606510076918E-3</v>
      </c>
      <c r="H350" s="42">
        <f t="shared" si="581"/>
        <v>2.9852604028915132E-2</v>
      </c>
      <c r="I350" s="42">
        <f t="shared" si="581"/>
        <v>3.415382694241343E-2</v>
      </c>
      <c r="J350" s="42">
        <f t="shared" si="581"/>
        <v>2.9732065138306459E-2</v>
      </c>
      <c r="K350" s="42">
        <f t="shared" si="581"/>
        <v>4.080044352603196E-2</v>
      </c>
      <c r="L350" s="19"/>
      <c r="M350" s="19"/>
      <c r="N350" s="19"/>
      <c r="O350" s="19"/>
      <c r="P350" s="19"/>
      <c r="Q350" s="3"/>
      <c r="R350" s="41" t="s">
        <v>20</v>
      </c>
      <c r="S350" s="41" t="s">
        <v>20</v>
      </c>
      <c r="T350" s="41" t="s">
        <v>20</v>
      </c>
      <c r="U350" s="41" t="s">
        <v>20</v>
      </c>
      <c r="V350" s="41" t="s">
        <v>20</v>
      </c>
      <c r="W350" s="41" t="s">
        <v>20</v>
      </c>
      <c r="X350" s="41" t="s">
        <v>20</v>
      </c>
      <c r="Y350" s="41" t="s">
        <v>20</v>
      </c>
      <c r="Z350" s="41" t="s">
        <v>20</v>
      </c>
      <c r="AA350" s="41" t="s">
        <v>20</v>
      </c>
      <c r="AB350" s="41" t="s">
        <v>20</v>
      </c>
      <c r="AC350" s="41" t="s">
        <v>20</v>
      </c>
      <c r="AD350" s="41" t="s">
        <v>20</v>
      </c>
      <c r="AE350" s="41" t="s">
        <v>20</v>
      </c>
      <c r="AF350" s="41" t="s">
        <v>20</v>
      </c>
      <c r="AG350" s="41" t="s">
        <v>20</v>
      </c>
      <c r="AH350" s="41" t="s">
        <v>20</v>
      </c>
      <c r="AI350" s="41" t="s">
        <v>20</v>
      </c>
      <c r="AJ350" s="41">
        <v>0.01</v>
      </c>
      <c r="AK350" s="41">
        <v>0.01</v>
      </c>
      <c r="AL350" s="41">
        <v>0.02</v>
      </c>
      <c r="AM350" s="41">
        <v>0.04</v>
      </c>
      <c r="AN350" s="41">
        <v>0.03</v>
      </c>
      <c r="AO350" s="41">
        <v>0.03</v>
      </c>
      <c r="AP350" s="41">
        <v>0.02</v>
      </c>
      <c r="AQ350" s="41">
        <v>0.03</v>
      </c>
      <c r="AR350" s="41">
        <v>0.04</v>
      </c>
      <c r="AS350" s="41">
        <v>0.05</v>
      </c>
      <c r="AT350" s="41">
        <v>0.04</v>
      </c>
      <c r="AU350" s="41">
        <v>0.02</v>
      </c>
      <c r="AV350" s="41">
        <v>0.02</v>
      </c>
      <c r="AW350" s="41">
        <v>0.04</v>
      </c>
      <c r="AX350" s="41">
        <v>0.02</v>
      </c>
      <c r="AY350" s="41">
        <v>0.06</v>
      </c>
      <c r="AZ350" s="41">
        <v>0.04</v>
      </c>
      <c r="BA350" s="41">
        <v>7.0000000000000007E-2</v>
      </c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  <c r="BM350" s="18"/>
      <c r="BN350" s="18"/>
      <c r="BO350" s="18"/>
      <c r="BP350" s="18"/>
      <c r="BQ350" s="18"/>
      <c r="BR350" s="18"/>
      <c r="BS350" s="18"/>
      <c r="BT350" s="18"/>
      <c r="BU350" s="18"/>
      <c r="BX350" s="221">
        <f t="shared" si="559"/>
        <v>342</v>
      </c>
    </row>
    <row r="351" spans="1:76" ht="11.25" hidden="1" customHeight="1" outlineLevel="2">
      <c r="A351" s="180"/>
      <c r="B351" s="17"/>
      <c r="C351" s="16"/>
      <c r="D351" s="16"/>
      <c r="E351" s="16"/>
      <c r="F351" s="16"/>
      <c r="G351" s="16"/>
      <c r="H351" s="16"/>
      <c r="I351" s="16"/>
      <c r="J351" s="16"/>
      <c r="K351" s="16"/>
      <c r="L351" s="3"/>
      <c r="M351" s="3"/>
      <c r="N351" s="3"/>
      <c r="O351" s="3"/>
      <c r="P351" s="3"/>
      <c r="Q351" s="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X351" s="221">
        <f t="shared" si="559"/>
        <v>343</v>
      </c>
    </row>
    <row r="352" spans="1:76" ht="11.25" hidden="1" customHeight="1" outlineLevel="2">
      <c r="A352" s="180"/>
      <c r="B352" s="17" t="s">
        <v>19</v>
      </c>
      <c r="C352" s="40">
        <f t="shared" ref="C352:K352" si="582">SUMIF($R$5:$BV$5,C$5,$R352:$BV352)</f>
        <v>794</v>
      </c>
      <c r="D352" s="40">
        <f t="shared" si="582"/>
        <v>1648</v>
      </c>
      <c r="E352" s="40">
        <f t="shared" si="582"/>
        <v>1825</v>
      </c>
      <c r="F352" s="40">
        <f t="shared" si="582"/>
        <v>3130</v>
      </c>
      <c r="G352" s="40">
        <f t="shared" si="582"/>
        <v>5065</v>
      </c>
      <c r="H352" s="40">
        <f t="shared" si="582"/>
        <v>7110</v>
      </c>
      <c r="I352" s="40">
        <f t="shared" si="582"/>
        <v>8789</v>
      </c>
      <c r="J352" s="40">
        <f t="shared" si="582"/>
        <v>12750</v>
      </c>
      <c r="K352" s="40">
        <f t="shared" si="582"/>
        <v>7878</v>
      </c>
      <c r="L352" s="19"/>
      <c r="M352" s="19"/>
      <c r="N352" s="19"/>
      <c r="O352" s="19"/>
      <c r="P352" s="19"/>
      <c r="Q352" s="3"/>
      <c r="R352" s="39">
        <v>76</v>
      </c>
      <c r="S352" s="39">
        <v>236</v>
      </c>
      <c r="T352" s="39">
        <v>279</v>
      </c>
      <c r="U352" s="39">
        <v>203</v>
      </c>
      <c r="V352" s="39">
        <v>205</v>
      </c>
      <c r="W352" s="39">
        <v>380</v>
      </c>
      <c r="X352" s="39">
        <v>458</v>
      </c>
      <c r="Y352" s="39">
        <v>605</v>
      </c>
      <c r="Z352" s="39">
        <v>450</v>
      </c>
      <c r="AA352" s="39">
        <v>434</v>
      </c>
      <c r="AB352" s="39">
        <v>474</v>
      </c>
      <c r="AC352" s="39">
        <v>467</v>
      </c>
      <c r="AD352" s="39">
        <v>629</v>
      </c>
      <c r="AE352" s="39">
        <v>872</v>
      </c>
      <c r="AF352" s="39">
        <v>807</v>
      </c>
      <c r="AG352" s="39">
        <v>822</v>
      </c>
      <c r="AH352" s="39">
        <v>947</v>
      </c>
      <c r="AI352" s="39">
        <v>1178</v>
      </c>
      <c r="AJ352" s="39">
        <v>1445</v>
      </c>
      <c r="AK352" s="39">
        <v>1495</v>
      </c>
      <c r="AL352" s="39">
        <v>1680</v>
      </c>
      <c r="AM352" s="39">
        <v>1915</v>
      </c>
      <c r="AN352" s="39">
        <v>1861</v>
      </c>
      <c r="AO352" s="39">
        <v>1654</v>
      </c>
      <c r="AP352" s="39">
        <v>2035</v>
      </c>
      <c r="AQ352" s="39">
        <v>2208</v>
      </c>
      <c r="AR352" s="39">
        <v>2284</v>
      </c>
      <c r="AS352" s="39">
        <v>2262</v>
      </c>
      <c r="AT352" s="39">
        <v>3218</v>
      </c>
      <c r="AU352" s="39">
        <v>3002</v>
      </c>
      <c r="AV352" s="39">
        <v>2996</v>
      </c>
      <c r="AW352" s="39">
        <v>3534</v>
      </c>
      <c r="AX352" s="39">
        <v>2287</v>
      </c>
      <c r="AY352" s="39">
        <v>1558</v>
      </c>
      <c r="AZ352" s="39">
        <v>2288</v>
      </c>
      <c r="BA352" s="39">
        <v>1745</v>
      </c>
      <c r="BB352" s="3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  <c r="BM352" s="18"/>
      <c r="BN352" s="18"/>
      <c r="BO352" s="18"/>
      <c r="BP352" s="18"/>
      <c r="BQ352" s="18"/>
      <c r="BR352" s="18"/>
      <c r="BS352" s="18"/>
      <c r="BT352" s="18"/>
      <c r="BU352" s="18"/>
      <c r="BX352" s="221">
        <f t="shared" si="559"/>
        <v>344</v>
      </c>
    </row>
    <row r="353" spans="1:76" ht="11.25" hidden="1" customHeight="1" outlineLevel="2">
      <c r="A353" s="180"/>
      <c r="B353" s="28" t="s">
        <v>18</v>
      </c>
      <c r="C353" s="29">
        <f t="shared" ref="C353:K353" si="583">IFERROR(C328/C352*1000,0)</f>
        <v>133.04030226700252</v>
      </c>
      <c r="D353" s="29">
        <f t="shared" si="583"/>
        <v>100.62257281553399</v>
      </c>
      <c r="E353" s="29">
        <f t="shared" si="583"/>
        <v>86.227945205479443</v>
      </c>
      <c r="F353" s="29">
        <f t="shared" si="583"/>
        <v>115.35303514376994</v>
      </c>
      <c r="G353" s="29">
        <f t="shared" si="583"/>
        <v>145.88667324777887</v>
      </c>
      <c r="H353" s="29">
        <f t="shared" si="583"/>
        <v>112.20576652601967</v>
      </c>
      <c r="I353" s="29">
        <f t="shared" si="583"/>
        <v>87.469905563772897</v>
      </c>
      <c r="J353" s="29">
        <f t="shared" si="583"/>
        <v>88.932941176470592</v>
      </c>
      <c r="K353" s="29">
        <f t="shared" si="583"/>
        <v>62.963315562325455</v>
      </c>
      <c r="L353" s="19"/>
      <c r="M353" s="19"/>
      <c r="N353" s="19"/>
      <c r="O353" s="19"/>
      <c r="P353" s="19"/>
      <c r="Q353" s="3"/>
      <c r="R353" s="34">
        <v>158.90789473684211</v>
      </c>
      <c r="S353" s="34">
        <v>141.88135593220338</v>
      </c>
      <c r="T353" s="34">
        <v>137.24731182795699</v>
      </c>
      <c r="U353" s="34">
        <v>107.29300000000001</v>
      </c>
      <c r="V353" s="34">
        <v>97.926829268292664</v>
      </c>
      <c r="W353" s="34">
        <v>80.210526315789465</v>
      </c>
      <c r="X353" s="34">
        <v>104.0174672489083</v>
      </c>
      <c r="Y353" s="34">
        <v>111.878</v>
      </c>
      <c r="Z353" s="34">
        <v>120.398</v>
      </c>
      <c r="AA353" s="34">
        <v>77.349000000000004</v>
      </c>
      <c r="AB353" s="34">
        <v>69.796000000000006</v>
      </c>
      <c r="AC353" s="34">
        <v>78.965000000000003</v>
      </c>
      <c r="AD353" s="34">
        <v>94.363</v>
      </c>
      <c r="AE353" s="34">
        <v>109.202</v>
      </c>
      <c r="AF353" s="34">
        <v>123.373</v>
      </c>
      <c r="AG353" s="34">
        <v>131.53800000000001</v>
      </c>
      <c r="AH353" s="34">
        <v>153.96799999999999</v>
      </c>
      <c r="AI353" s="34">
        <v>146.22900000000001</v>
      </c>
      <c r="AJ353" s="34">
        <v>144.36099999999999</v>
      </c>
      <c r="AK353" s="34">
        <v>145.15100000000001</v>
      </c>
      <c r="AL353" s="34">
        <v>130.499</v>
      </c>
      <c r="AM353" s="34">
        <v>108.39400000000001</v>
      </c>
      <c r="AN353" s="34">
        <v>106.962</v>
      </c>
      <c r="AO353" s="34">
        <v>105.077</v>
      </c>
      <c r="AP353" s="34">
        <v>103.696</v>
      </c>
      <c r="AQ353" s="34">
        <v>92.096000000000004</v>
      </c>
      <c r="AR353" s="34">
        <v>80.436999999999998</v>
      </c>
      <c r="AS353" s="34">
        <v>68.533000000000001</v>
      </c>
      <c r="AT353" s="34">
        <v>61.776000000000003</v>
      </c>
      <c r="AU353" s="34">
        <v>86.387</v>
      </c>
      <c r="AV353" s="34">
        <v>101.476</v>
      </c>
      <c r="AW353" s="34">
        <v>97.67</v>
      </c>
      <c r="AX353" s="34">
        <v>88.570999999999998</v>
      </c>
      <c r="AY353" s="34">
        <v>51.003</v>
      </c>
      <c r="AZ353" s="34">
        <v>53.002000000000002</v>
      </c>
      <c r="BA353" s="34">
        <v>51.545000000000002</v>
      </c>
      <c r="BB353" s="35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  <c r="BM353" s="18"/>
      <c r="BN353" s="18"/>
      <c r="BO353" s="18"/>
      <c r="BP353" s="18"/>
      <c r="BQ353" s="18"/>
      <c r="BR353" s="18"/>
      <c r="BS353" s="18"/>
      <c r="BT353" s="18"/>
      <c r="BU353" s="18"/>
      <c r="BX353" s="221">
        <f t="shared" si="559"/>
        <v>345</v>
      </c>
    </row>
    <row r="354" spans="1:76" ht="11.25" hidden="1" customHeight="1" outlineLevel="2">
      <c r="A354" s="180"/>
      <c r="B354" s="28" t="s">
        <v>17</v>
      </c>
      <c r="C354" s="37"/>
      <c r="D354" s="37"/>
      <c r="E354" s="37"/>
      <c r="F354" s="37"/>
      <c r="G354" s="37"/>
      <c r="H354" s="37"/>
      <c r="I354" s="37"/>
      <c r="J354" s="16">
        <f>AVERAGEIF($R$5:$BV$5,J$5,$R354:$BV354)</f>
        <v>525</v>
      </c>
      <c r="K354" s="16">
        <f>AVERAGEIF($R$5:$BV$5,K$5,$R354:$BV354)</f>
        <v>300</v>
      </c>
      <c r="L354" s="19"/>
      <c r="M354" s="19"/>
      <c r="N354" s="19"/>
      <c r="O354" s="19"/>
      <c r="P354" s="19"/>
      <c r="Q354" s="3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>
        <f>AD355</f>
        <v>364.5</v>
      </c>
      <c r="AE354" s="26">
        <f t="shared" ref="AE354:AK354" si="584">AE355</f>
        <v>384.5</v>
      </c>
      <c r="AF354" s="26">
        <f t="shared" si="584"/>
        <v>494.5</v>
      </c>
      <c r="AG354" s="26">
        <f t="shared" si="584"/>
        <v>570</v>
      </c>
      <c r="AH354" s="26">
        <f t="shared" si="584"/>
        <v>570</v>
      </c>
      <c r="AI354" s="26">
        <f t="shared" si="584"/>
        <v>652.5</v>
      </c>
      <c r="AJ354" s="26">
        <f t="shared" si="584"/>
        <v>652.5</v>
      </c>
      <c r="AK354" s="26">
        <f t="shared" si="584"/>
        <v>670</v>
      </c>
      <c r="AL354" s="26"/>
      <c r="AM354" s="26"/>
      <c r="AN354" s="26"/>
      <c r="AO354" s="26"/>
      <c r="AP354" s="26"/>
      <c r="AQ354" s="26"/>
      <c r="AR354" s="36">
        <f>+AR355-120</f>
        <v>550</v>
      </c>
      <c r="AS354" s="36">
        <f>+AS355-175</f>
        <v>495</v>
      </c>
      <c r="AT354" s="36">
        <f>+AT355-175</f>
        <v>495</v>
      </c>
      <c r="AU354" s="36">
        <f>+AU355-175</f>
        <v>495</v>
      </c>
      <c r="AV354" s="36">
        <v>525</v>
      </c>
      <c r="AW354" s="36">
        <v>585</v>
      </c>
      <c r="AX354" s="34">
        <f>AW354-150</f>
        <v>435</v>
      </c>
      <c r="AY354" s="34">
        <v>330</v>
      </c>
      <c r="AZ354" s="34">
        <v>217.5</v>
      </c>
      <c r="BA354" s="36">
        <f>AZ354</f>
        <v>217.5</v>
      </c>
      <c r="BB354" s="35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  <c r="BM354" s="18"/>
      <c r="BN354" s="18"/>
      <c r="BO354" s="18"/>
      <c r="BP354" s="18"/>
      <c r="BQ354" s="18"/>
      <c r="BR354" s="18"/>
      <c r="BS354" s="18"/>
      <c r="BT354" s="18"/>
      <c r="BU354" s="18"/>
      <c r="BX354" s="221">
        <f t="shared" si="559"/>
        <v>346</v>
      </c>
    </row>
    <row r="355" spans="1:76" ht="11.25" hidden="1" customHeight="1" outlineLevel="2">
      <c r="A355" s="180"/>
      <c r="B355" s="28" t="s">
        <v>16</v>
      </c>
      <c r="C355" s="37"/>
      <c r="D355" s="37"/>
      <c r="E355" s="37"/>
      <c r="F355" s="16">
        <f>AVERAGEIF($R$5:$BV$5,F$5,$R355:$BV355)</f>
        <v>453.375</v>
      </c>
      <c r="G355" s="16">
        <f>AVERAGEIF($R$5:$BV$5,G$5,$R355:$BV355)</f>
        <v>636.25</v>
      </c>
      <c r="H355" s="16">
        <f>AVERAGEIF($R$5:$BV$5,H$5,$R355:$BV355)</f>
        <v>670</v>
      </c>
      <c r="I355" s="16">
        <f>AVERAGEIF($R$5:$BV$5,I$5,$R355:$BV355)</f>
        <v>670</v>
      </c>
      <c r="J355" s="16">
        <f>AVERAGEIF($R$5:$BV$5,J$5,$R355:$BV355)</f>
        <v>670</v>
      </c>
      <c r="K355" s="16">
        <f>AVERAGEIF($R$5:$BV$5,K$5,$R355:$BV355)</f>
        <v>645</v>
      </c>
      <c r="L355" s="19"/>
      <c r="M355" s="19"/>
      <c r="N355" s="19"/>
      <c r="O355" s="19"/>
      <c r="P355" s="19"/>
      <c r="Q355" s="3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34">
        <v>364.5</v>
      </c>
      <c r="AE355" s="34">
        <v>384.5</v>
      </c>
      <c r="AF355" s="34">
        <v>494.5</v>
      </c>
      <c r="AG355" s="34">
        <v>570</v>
      </c>
      <c r="AH355" s="34">
        <v>570</v>
      </c>
      <c r="AI355" s="34">
        <v>652.5</v>
      </c>
      <c r="AJ355" s="34">
        <v>652.5</v>
      </c>
      <c r="AK355" s="34">
        <v>670</v>
      </c>
      <c r="AL355" s="34">
        <v>670</v>
      </c>
      <c r="AM355" s="34">
        <v>670</v>
      </c>
      <c r="AN355" s="34">
        <v>670</v>
      </c>
      <c r="AO355" s="34">
        <v>670</v>
      </c>
      <c r="AP355" s="34">
        <v>670</v>
      </c>
      <c r="AQ355" s="34">
        <v>670</v>
      </c>
      <c r="AR355" s="34">
        <v>670</v>
      </c>
      <c r="AS355" s="34">
        <v>670</v>
      </c>
      <c r="AT355" s="34">
        <v>670</v>
      </c>
      <c r="AU355" s="34">
        <v>670</v>
      </c>
      <c r="AV355" s="34">
        <f>AU355</f>
        <v>670</v>
      </c>
      <c r="AW355" s="34">
        <f>AV355</f>
        <v>670</v>
      </c>
      <c r="AX355" s="34">
        <v>645</v>
      </c>
      <c r="AY355" s="34">
        <f>+AY354+315</f>
        <v>645</v>
      </c>
      <c r="AZ355" s="34">
        <f>217.5+427.5</f>
        <v>645</v>
      </c>
      <c r="BA355" s="36">
        <f>AZ355</f>
        <v>645</v>
      </c>
      <c r="BB355" s="35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8"/>
      <c r="BN355" s="18"/>
      <c r="BO355" s="18"/>
      <c r="BP355" s="18"/>
      <c r="BQ355" s="18"/>
      <c r="BR355" s="18"/>
      <c r="BS355" s="18"/>
      <c r="BT355" s="18"/>
      <c r="BU355" s="18"/>
      <c r="BX355" s="221">
        <f t="shared" si="559"/>
        <v>347</v>
      </c>
    </row>
    <row r="356" spans="1:76" ht="11.25" hidden="1" customHeight="1" outlineLevel="2">
      <c r="A356" s="180"/>
      <c r="B356" s="28"/>
      <c r="C356" s="16"/>
      <c r="D356" s="16"/>
      <c r="E356" s="16"/>
      <c r="F356" s="16"/>
      <c r="G356" s="16"/>
      <c r="H356" s="16"/>
      <c r="I356" s="16"/>
      <c r="J356" s="16"/>
      <c r="K356" s="16"/>
      <c r="L356" s="3"/>
      <c r="M356" s="3"/>
      <c r="N356" s="3"/>
      <c r="O356" s="3"/>
      <c r="P356" s="3"/>
      <c r="Q356" s="3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X356" s="221">
        <f t="shared" si="559"/>
        <v>348</v>
      </c>
    </row>
    <row r="357" spans="1:76" ht="11.25" hidden="1" customHeight="1" outlineLevel="2">
      <c r="A357" s="180"/>
      <c r="B357" s="17" t="s">
        <v>15</v>
      </c>
      <c r="C357" s="16"/>
      <c r="D357" s="15">
        <f t="shared" ref="D357:K358" si="585">D352/C352-1</f>
        <v>1.0755667506297231</v>
      </c>
      <c r="E357" s="15">
        <f t="shared" si="585"/>
        <v>0.10740291262135915</v>
      </c>
      <c r="F357" s="15">
        <f t="shared" si="585"/>
        <v>0.71506849315068499</v>
      </c>
      <c r="G357" s="15">
        <f t="shared" si="585"/>
        <v>0.6182108626198084</v>
      </c>
      <c r="H357" s="15">
        <f t="shared" si="585"/>
        <v>0.40375123395853896</v>
      </c>
      <c r="I357" s="15">
        <f t="shared" si="585"/>
        <v>0.23614627285513357</v>
      </c>
      <c r="J357" s="15">
        <f t="shared" si="585"/>
        <v>0.45067698259187616</v>
      </c>
      <c r="K357" s="15">
        <f t="shared" si="585"/>
        <v>-0.38211764705882356</v>
      </c>
      <c r="L357" s="19"/>
      <c r="M357" s="19"/>
      <c r="N357" s="19"/>
      <c r="O357" s="19"/>
      <c r="P357" s="19"/>
      <c r="Q357" s="3"/>
      <c r="R357" s="33" t="s">
        <v>13</v>
      </c>
      <c r="S357" s="15">
        <f t="shared" ref="S357:BA357" si="586">S352/R352-1</f>
        <v>2.1052631578947367</v>
      </c>
      <c r="T357" s="15">
        <f t="shared" si="586"/>
        <v>0.18220338983050843</v>
      </c>
      <c r="U357" s="15">
        <f t="shared" si="586"/>
        <v>-0.27240143369175629</v>
      </c>
      <c r="V357" s="15">
        <f t="shared" si="586"/>
        <v>9.8522167487684609E-3</v>
      </c>
      <c r="W357" s="15">
        <f t="shared" si="586"/>
        <v>0.85365853658536595</v>
      </c>
      <c r="X357" s="15">
        <f t="shared" si="586"/>
        <v>0.20526315789473681</v>
      </c>
      <c r="Y357" s="15">
        <f t="shared" si="586"/>
        <v>0.32096069868995625</v>
      </c>
      <c r="Z357" s="15">
        <f t="shared" si="586"/>
        <v>-0.25619834710743805</v>
      </c>
      <c r="AA357" s="15">
        <f t="shared" si="586"/>
        <v>-3.5555555555555562E-2</v>
      </c>
      <c r="AB357" s="15">
        <f t="shared" si="586"/>
        <v>9.2165898617511566E-2</v>
      </c>
      <c r="AC357" s="15">
        <f t="shared" si="586"/>
        <v>-1.4767932489451518E-2</v>
      </c>
      <c r="AD357" s="15">
        <f t="shared" si="586"/>
        <v>0.34689507494646676</v>
      </c>
      <c r="AE357" s="15">
        <f t="shared" si="586"/>
        <v>0.38632750397456284</v>
      </c>
      <c r="AF357" s="15">
        <f t="shared" si="586"/>
        <v>-7.4541284403669694E-2</v>
      </c>
      <c r="AG357" s="15">
        <f t="shared" si="586"/>
        <v>1.8587360594795488E-2</v>
      </c>
      <c r="AH357" s="15">
        <f t="shared" si="586"/>
        <v>0.15206812652068136</v>
      </c>
      <c r="AI357" s="15">
        <f t="shared" si="586"/>
        <v>0.24392819429778245</v>
      </c>
      <c r="AJ357" s="15">
        <f t="shared" si="586"/>
        <v>0.22665534804753817</v>
      </c>
      <c r="AK357" s="15">
        <f t="shared" si="586"/>
        <v>3.460207612456756E-2</v>
      </c>
      <c r="AL357" s="15">
        <f t="shared" si="586"/>
        <v>0.12374581939799323</v>
      </c>
      <c r="AM357" s="15">
        <f t="shared" si="586"/>
        <v>0.13988095238095233</v>
      </c>
      <c r="AN357" s="15">
        <f t="shared" si="586"/>
        <v>-2.8198433420365543E-2</v>
      </c>
      <c r="AO357" s="15">
        <f t="shared" si="586"/>
        <v>-0.11123052122514776</v>
      </c>
      <c r="AP357" s="15">
        <f t="shared" si="586"/>
        <v>0.23035066505441359</v>
      </c>
      <c r="AQ357" s="15">
        <f t="shared" si="586"/>
        <v>8.5012285012284972E-2</v>
      </c>
      <c r="AR357" s="15">
        <f t="shared" si="586"/>
        <v>3.4420289855072506E-2</v>
      </c>
      <c r="AS357" s="15">
        <f t="shared" si="586"/>
        <v>-9.6322241681261467E-3</v>
      </c>
      <c r="AT357" s="15">
        <f t="shared" si="586"/>
        <v>0.42263483642793997</v>
      </c>
      <c r="AU357" s="15">
        <f t="shared" si="586"/>
        <v>-6.7122436295835919E-2</v>
      </c>
      <c r="AV357" s="15">
        <f t="shared" si="586"/>
        <v>-1.9986675549633626E-3</v>
      </c>
      <c r="AW357" s="15">
        <f t="shared" si="586"/>
        <v>0.17957276368491315</v>
      </c>
      <c r="AX357" s="15">
        <f t="shared" si="586"/>
        <v>-0.3528579513299378</v>
      </c>
      <c r="AY357" s="15">
        <f t="shared" si="586"/>
        <v>-0.3187581985133362</v>
      </c>
      <c r="AZ357" s="15">
        <f t="shared" si="586"/>
        <v>0.46854942233632868</v>
      </c>
      <c r="BA357" s="15">
        <f t="shared" si="586"/>
        <v>-0.23732517482517479</v>
      </c>
      <c r="BB357" s="25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  <c r="BM357" s="18"/>
      <c r="BN357" s="18"/>
      <c r="BO357" s="18"/>
      <c r="BP357" s="18"/>
      <c r="BQ357" s="18"/>
      <c r="BR357" s="18"/>
      <c r="BS357" s="18"/>
      <c r="BT357" s="18"/>
      <c r="BU357" s="18"/>
      <c r="BX357" s="221">
        <f t="shared" si="559"/>
        <v>349</v>
      </c>
    </row>
    <row r="358" spans="1:76" ht="11.25" hidden="1" customHeight="1" outlineLevel="2">
      <c r="A358" s="180"/>
      <c r="B358" s="17" t="s">
        <v>14</v>
      </c>
      <c r="C358" s="16"/>
      <c r="D358" s="15">
        <f t="shared" si="585"/>
        <v>-0.24366848916509853</v>
      </c>
      <c r="E358" s="15">
        <f t="shared" si="585"/>
        <v>-0.14305565050938862</v>
      </c>
      <c r="F358" s="15">
        <f t="shared" si="585"/>
        <v>0.33776857222894496</v>
      </c>
      <c r="G358" s="15">
        <f t="shared" si="585"/>
        <v>0.2646973100096881</v>
      </c>
      <c r="H358" s="15">
        <f t="shared" si="585"/>
        <v>-0.23087034594691458</v>
      </c>
      <c r="I358" s="15">
        <f t="shared" si="585"/>
        <v>-0.22045088882763186</v>
      </c>
      <c r="J358" s="15">
        <f t="shared" si="585"/>
        <v>1.6726159737660007E-2</v>
      </c>
      <c r="K358" s="15">
        <f t="shared" si="585"/>
        <v>-0.29201356966945835</v>
      </c>
      <c r="L358" s="19"/>
      <c r="M358" s="19"/>
      <c r="N358" s="19"/>
      <c r="O358" s="19"/>
      <c r="P358" s="19"/>
      <c r="Q358" s="3"/>
      <c r="R358" s="33" t="s">
        <v>13</v>
      </c>
      <c r="S358" s="15">
        <f t="shared" ref="S358:BA358" si="587">S353/R353-1</f>
        <v>-0.10714721778194447</v>
      </c>
      <c r="T358" s="15">
        <f t="shared" si="587"/>
        <v>-3.2661402717780064E-2</v>
      </c>
      <c r="U358" s="15">
        <f t="shared" si="587"/>
        <v>-0.21825062676277029</v>
      </c>
      <c r="V358" s="15">
        <f t="shared" si="587"/>
        <v>-8.7295263733023987E-2</v>
      </c>
      <c r="W358" s="15">
        <f t="shared" si="587"/>
        <v>-0.18091367896703148</v>
      </c>
      <c r="X358" s="15">
        <f t="shared" si="587"/>
        <v>0.29680569404806945</v>
      </c>
      <c r="Y358" s="15">
        <f t="shared" si="587"/>
        <v>7.5569353484466806E-2</v>
      </c>
      <c r="Z358" s="15">
        <f t="shared" si="587"/>
        <v>7.6154382452314096E-2</v>
      </c>
      <c r="AA358" s="15">
        <f t="shared" si="587"/>
        <v>-0.35755577335171673</v>
      </c>
      <c r="AB358" s="15">
        <f t="shared" si="587"/>
        <v>-9.7648321245264902E-2</v>
      </c>
      <c r="AC358" s="15">
        <f t="shared" si="587"/>
        <v>0.131368559802854</v>
      </c>
      <c r="AD358" s="15">
        <f t="shared" si="587"/>
        <v>0.19499778382827837</v>
      </c>
      <c r="AE358" s="15">
        <f t="shared" si="587"/>
        <v>0.15725443235166314</v>
      </c>
      <c r="AF358" s="15">
        <f t="shared" si="587"/>
        <v>0.1297686855552096</v>
      </c>
      <c r="AG358" s="15">
        <f t="shared" si="587"/>
        <v>6.6181417327940473E-2</v>
      </c>
      <c r="AH358" s="15">
        <f t="shared" si="587"/>
        <v>0.17052106615578744</v>
      </c>
      <c r="AI358" s="15">
        <f t="shared" si="587"/>
        <v>-5.0263691156603785E-2</v>
      </c>
      <c r="AJ358" s="15">
        <f t="shared" si="587"/>
        <v>-1.2774483857511343E-2</v>
      </c>
      <c r="AK358" s="15">
        <f t="shared" si="587"/>
        <v>5.4723921280679377E-3</v>
      </c>
      <c r="AL358" s="15">
        <f t="shared" si="587"/>
        <v>-0.10094315574815205</v>
      </c>
      <c r="AM358" s="15">
        <f t="shared" si="587"/>
        <v>-0.16938827117449173</v>
      </c>
      <c r="AN358" s="15">
        <f t="shared" si="587"/>
        <v>-1.3211063342989493E-2</v>
      </c>
      <c r="AO358" s="15">
        <f t="shared" si="587"/>
        <v>-1.7623081094220394E-2</v>
      </c>
      <c r="AP358" s="15">
        <f t="shared" si="587"/>
        <v>-1.3142742940891017E-2</v>
      </c>
      <c r="AQ358" s="15">
        <f t="shared" si="587"/>
        <v>-0.11186545286221261</v>
      </c>
      <c r="AR358" s="15">
        <f t="shared" si="587"/>
        <v>-0.1265961605281446</v>
      </c>
      <c r="AS358" s="15">
        <f t="shared" si="587"/>
        <v>-0.147991595907356</v>
      </c>
      <c r="AT358" s="15">
        <f t="shared" si="587"/>
        <v>-9.8594837523528822E-2</v>
      </c>
      <c r="AU358" s="15">
        <f t="shared" si="587"/>
        <v>0.39839096089096082</v>
      </c>
      <c r="AV358" s="15">
        <f t="shared" si="587"/>
        <v>0.17466748469098348</v>
      </c>
      <c r="AW358" s="15">
        <f t="shared" si="587"/>
        <v>-3.7506405455477121E-2</v>
      </c>
      <c r="AX358" s="15">
        <f t="shared" si="587"/>
        <v>-9.31606429814682E-2</v>
      </c>
      <c r="AY358" s="15">
        <f t="shared" si="587"/>
        <v>-0.42415689108173105</v>
      </c>
      <c r="AZ358" s="15">
        <f t="shared" si="587"/>
        <v>3.919377291531867E-2</v>
      </c>
      <c r="BA358" s="15">
        <f t="shared" si="587"/>
        <v>-2.7489528697030363E-2</v>
      </c>
      <c r="BB358" s="25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X358" s="221">
        <f t="shared" si="559"/>
        <v>350</v>
      </c>
    </row>
    <row r="359" spans="1:76" ht="11.25" hidden="1" customHeight="1" outlineLevel="2">
      <c r="A359" s="180"/>
      <c r="B359" s="17"/>
      <c r="C359" s="16"/>
      <c r="D359" s="16"/>
      <c r="E359" s="16"/>
      <c r="F359" s="16"/>
      <c r="G359" s="16"/>
      <c r="H359" s="16"/>
      <c r="I359" s="16"/>
      <c r="J359" s="16"/>
      <c r="K359" s="16"/>
      <c r="L359" s="3"/>
      <c r="M359" s="3"/>
      <c r="N359" s="3"/>
      <c r="O359" s="3"/>
      <c r="P359" s="3"/>
      <c r="Q359" s="3"/>
      <c r="R359" s="33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X359" s="221">
        <f t="shared" si="559"/>
        <v>351</v>
      </c>
    </row>
    <row r="360" spans="1:76" ht="11.25" hidden="1" customHeight="1" outlineLevel="2">
      <c r="A360" s="180"/>
      <c r="B360" s="28" t="s">
        <v>12</v>
      </c>
      <c r="C360" s="32"/>
      <c r="D360" s="32"/>
      <c r="E360" s="32"/>
      <c r="F360" s="32"/>
      <c r="G360" s="32"/>
      <c r="H360" s="32"/>
      <c r="I360" s="32"/>
      <c r="J360" s="31">
        <f>(J328*1000000)/(J354*1000)</f>
        <v>2159.8000000000002</v>
      </c>
      <c r="K360" s="31">
        <f>(K328*1000000)/(K354*1000)</f>
        <v>1653.4166666666667</v>
      </c>
      <c r="L360" s="19"/>
      <c r="M360" s="19"/>
      <c r="N360" s="19"/>
      <c r="O360" s="19"/>
      <c r="P360" s="19"/>
      <c r="Q360" s="3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31">
        <f t="shared" ref="AV360:BA360" si="588">(AV328*1000000)/(AV354*1000)</f>
        <v>599.18857142857144</v>
      </c>
      <c r="AW360" s="31">
        <f t="shared" si="588"/>
        <v>582.42222222222222</v>
      </c>
      <c r="AX360" s="31">
        <f t="shared" si="588"/>
        <v>463.04137931034484</v>
      </c>
      <c r="AY360" s="31">
        <f t="shared" si="588"/>
        <v>240.58484848484849</v>
      </c>
      <c r="AZ360" s="31">
        <f t="shared" si="588"/>
        <v>554.5793103448276</v>
      </c>
      <c r="BA360" s="31">
        <f t="shared" si="588"/>
        <v>434.88735632183909</v>
      </c>
      <c r="BB360" s="25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8"/>
      <c r="BQ360" s="18"/>
      <c r="BR360" s="18"/>
      <c r="BS360" s="18"/>
      <c r="BT360" s="18"/>
      <c r="BU360" s="18"/>
      <c r="BX360" s="221">
        <f t="shared" si="559"/>
        <v>352</v>
      </c>
    </row>
    <row r="361" spans="1:76" ht="11.25" hidden="1" customHeight="1" outlineLevel="2">
      <c r="A361" s="180"/>
      <c r="B361" s="28" t="s">
        <v>11</v>
      </c>
      <c r="C361" s="27"/>
      <c r="D361" s="27"/>
      <c r="E361" s="27"/>
      <c r="F361" s="29">
        <f t="shared" ref="F361:K361" si="589">(F343*1000000)/(F355*1000)</f>
        <v>796.37165701681818</v>
      </c>
      <c r="G361" s="29">
        <f t="shared" si="589"/>
        <v>1144.6759607072693</v>
      </c>
      <c r="H361" s="29">
        <f t="shared" si="589"/>
        <v>1100.3600149253732</v>
      </c>
      <c r="I361" s="29">
        <f t="shared" si="589"/>
        <v>1028.3259701492539</v>
      </c>
      <c r="J361" s="29">
        <f t="shared" si="589"/>
        <v>1555.3855820895521</v>
      </c>
      <c r="K361" s="29">
        <f t="shared" si="589"/>
        <v>700.0317209302325</v>
      </c>
      <c r="L361" s="19"/>
      <c r="M361" s="19"/>
      <c r="N361" s="19"/>
      <c r="O361" s="19"/>
      <c r="P361" s="19"/>
      <c r="Q361" s="3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30">
        <f t="shared" ref="AD361:AI361" si="590">AD362</f>
        <v>162.62277091906722</v>
      </c>
      <c r="AE361" s="30">
        <f t="shared" si="590"/>
        <v>247.00650195058518</v>
      </c>
      <c r="AF361" s="30">
        <f t="shared" si="590"/>
        <v>200.64105156723963</v>
      </c>
      <c r="AG361" s="30">
        <f t="shared" si="590"/>
        <v>188.75087719298244</v>
      </c>
      <c r="AH361" s="30">
        <f t="shared" si="590"/>
        <v>251.84561403508772</v>
      </c>
      <c r="AI361" s="30">
        <f t="shared" si="590"/>
        <v>264.22068965517241</v>
      </c>
      <c r="AJ361" s="29">
        <f t="shared" ref="AJ361:BA361" si="591">(AJ343*1000000)/(AJ355*1000)</f>
        <v>311.32910344827593</v>
      </c>
      <c r="AK361" s="29">
        <f t="shared" si="591"/>
        <v>312.24155223880598</v>
      </c>
      <c r="AL361" s="29">
        <f t="shared" si="591"/>
        <v>313.12620895522389</v>
      </c>
      <c r="AM361" s="29">
        <f t="shared" si="591"/>
        <v>283.93259701492536</v>
      </c>
      <c r="AN361" s="29">
        <f t="shared" si="591"/>
        <v>270.1219552238806</v>
      </c>
      <c r="AO361" s="29">
        <f t="shared" si="591"/>
        <v>233.17925373134329</v>
      </c>
      <c r="AP361" s="29">
        <f t="shared" si="591"/>
        <v>289.29880597014932</v>
      </c>
      <c r="AQ361" s="29">
        <f t="shared" si="591"/>
        <v>270.7226865671642</v>
      </c>
      <c r="AR361" s="29">
        <f t="shared" si="591"/>
        <v>240.46328358208956</v>
      </c>
      <c r="AS361" s="29">
        <f t="shared" si="591"/>
        <v>227.84119402985075</v>
      </c>
      <c r="AT361" s="29">
        <f t="shared" si="591"/>
        <v>283.48656716417912</v>
      </c>
      <c r="AU361" s="29">
        <f t="shared" si="591"/>
        <v>367.40131343283588</v>
      </c>
      <c r="AV361" s="29">
        <f t="shared" si="591"/>
        <v>436.6474925373135</v>
      </c>
      <c r="AW361" s="29">
        <f t="shared" si="591"/>
        <v>467.85020895522388</v>
      </c>
      <c r="AX361" s="29">
        <f t="shared" si="591"/>
        <v>293.54669767441862</v>
      </c>
      <c r="AY361" s="29">
        <f t="shared" si="591"/>
        <v>108.31913178294573</v>
      </c>
      <c r="AZ361" s="29">
        <f t="shared" si="591"/>
        <v>172.04855813953489</v>
      </c>
      <c r="BA361" s="29">
        <f t="shared" si="591"/>
        <v>126.11733333333331</v>
      </c>
      <c r="BB361" s="25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  <c r="BM361" s="18"/>
      <c r="BN361" s="18"/>
      <c r="BO361" s="18"/>
      <c r="BP361" s="18"/>
      <c r="BQ361" s="18"/>
      <c r="BR361" s="18"/>
      <c r="BS361" s="18"/>
      <c r="BT361" s="18"/>
      <c r="BU361" s="18"/>
      <c r="BX361" s="221">
        <f t="shared" si="559"/>
        <v>353</v>
      </c>
    </row>
    <row r="362" spans="1:76" ht="11.25" hidden="1" customHeight="1" outlineLevel="2">
      <c r="A362" s="180"/>
      <c r="B362" s="28" t="s">
        <v>10</v>
      </c>
      <c r="C362" s="27"/>
      <c r="D362" s="27"/>
      <c r="E362" s="27"/>
      <c r="F362" s="26">
        <f t="shared" ref="F362:K362" si="592">(F328*1000000)/(F355*1000)</f>
        <v>796.37165701681818</v>
      </c>
      <c r="G362" s="26">
        <f t="shared" si="592"/>
        <v>1161.3611001964637</v>
      </c>
      <c r="H362" s="26">
        <f t="shared" si="592"/>
        <v>1190.720895522388</v>
      </c>
      <c r="I362" s="26">
        <f t="shared" si="592"/>
        <v>1147.4223880597015</v>
      </c>
      <c r="J362" s="26">
        <f t="shared" si="592"/>
        <v>1692.3805970149253</v>
      </c>
      <c r="K362" s="26">
        <f t="shared" si="592"/>
        <v>769.03100775193798</v>
      </c>
      <c r="L362" s="19"/>
      <c r="M362" s="19"/>
      <c r="N362" s="19"/>
      <c r="O362" s="19"/>
      <c r="P362" s="19"/>
      <c r="Q362" s="3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6">
        <f t="shared" ref="AD362:BA362" si="593">(AD328*1000000)/(AD355*1000)</f>
        <v>162.62277091906722</v>
      </c>
      <c r="AE362" s="26">
        <f t="shared" si="593"/>
        <v>247.00650195058518</v>
      </c>
      <c r="AF362" s="26">
        <f t="shared" si="593"/>
        <v>200.64105156723963</v>
      </c>
      <c r="AG362" s="26">
        <f t="shared" si="593"/>
        <v>188.75087719298244</v>
      </c>
      <c r="AH362" s="26">
        <f t="shared" si="593"/>
        <v>251.84561403508772</v>
      </c>
      <c r="AI362" s="26">
        <f t="shared" si="593"/>
        <v>264.22068965517241</v>
      </c>
      <c r="AJ362" s="26">
        <f t="shared" si="593"/>
        <v>317.68275862068964</v>
      </c>
      <c r="AK362" s="26">
        <f t="shared" si="593"/>
        <v>321.89850746268655</v>
      </c>
      <c r="AL362" s="26">
        <f t="shared" si="593"/>
        <v>326.17313432835823</v>
      </c>
      <c r="AM362" s="26">
        <f t="shared" si="593"/>
        <v>308.62238805970151</v>
      </c>
      <c r="AN362" s="26">
        <f t="shared" si="593"/>
        <v>296.8373134328358</v>
      </c>
      <c r="AO362" s="26">
        <f t="shared" si="593"/>
        <v>259.08805970149251</v>
      </c>
      <c r="AP362" s="26">
        <f t="shared" si="593"/>
        <v>314.45522388059703</v>
      </c>
      <c r="AQ362" s="26">
        <f t="shared" si="593"/>
        <v>300.80298507462686</v>
      </c>
      <c r="AR362" s="26">
        <f t="shared" si="593"/>
        <v>273.25373134328356</v>
      </c>
      <c r="AS362" s="26">
        <f t="shared" si="593"/>
        <v>258.91044776119401</v>
      </c>
      <c r="AT362" s="26">
        <f t="shared" si="593"/>
        <v>314.9850746268657</v>
      </c>
      <c r="AU362" s="26">
        <f t="shared" si="593"/>
        <v>399.34925373134331</v>
      </c>
      <c r="AV362" s="26">
        <f t="shared" si="593"/>
        <v>469.51343283582088</v>
      </c>
      <c r="AW362" s="26">
        <f t="shared" si="593"/>
        <v>508.53283582089551</v>
      </c>
      <c r="AX362" s="26">
        <f t="shared" si="593"/>
        <v>312.28372093023256</v>
      </c>
      <c r="AY362" s="26">
        <f t="shared" si="593"/>
        <v>123.08992248062016</v>
      </c>
      <c r="AZ362" s="26">
        <f t="shared" si="593"/>
        <v>187.00930232558139</v>
      </c>
      <c r="BA362" s="26">
        <f t="shared" si="593"/>
        <v>146.64806201550388</v>
      </c>
      <c r="BB362" s="25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  <c r="BM362" s="18"/>
      <c r="BN362" s="18"/>
      <c r="BO362" s="18"/>
      <c r="BP362" s="18"/>
      <c r="BQ362" s="18"/>
      <c r="BR362" s="18"/>
      <c r="BS362" s="18"/>
      <c r="BT362" s="18"/>
      <c r="BU362" s="18"/>
      <c r="BX362" s="221">
        <f t="shared" si="559"/>
        <v>354</v>
      </c>
    </row>
    <row r="363" spans="1:76" ht="11.25" hidden="1" customHeight="1" outlineLevel="2">
      <c r="A363" s="180"/>
      <c r="B363" s="28" t="s">
        <v>9</v>
      </c>
      <c r="C363" s="27"/>
      <c r="D363" s="27"/>
      <c r="E363" s="27"/>
      <c r="F363" s="26">
        <f t="shared" ref="F363:K363" si="594">(F328+F329)/(F355)*1000</f>
        <v>168.95285359801474</v>
      </c>
      <c r="G363" s="26">
        <f t="shared" si="594"/>
        <v>319.6306483300591</v>
      </c>
      <c r="H363" s="26">
        <f t="shared" si="594"/>
        <v>-8.7970149253733112</v>
      </c>
      <c r="I363" s="26">
        <f t="shared" si="594"/>
        <v>74.498507462686547</v>
      </c>
      <c r="J363" s="26">
        <f t="shared" si="594"/>
        <v>144.39253731343274</v>
      </c>
      <c r="K363" s="26">
        <f t="shared" si="594"/>
        <v>-60.502325581395354</v>
      </c>
      <c r="L363" s="19"/>
      <c r="M363" s="19"/>
      <c r="N363" s="19"/>
      <c r="O363" s="19"/>
      <c r="P363" s="19"/>
      <c r="Q363" s="3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6">
        <f t="shared" ref="AD363:BA363" si="595">(AD328+AD329)/(AD355)*1000</f>
        <v>28.329218106995889</v>
      </c>
      <c r="AE363" s="26">
        <f t="shared" si="595"/>
        <v>48.845253576072842</v>
      </c>
      <c r="AF363" s="26">
        <f t="shared" si="595"/>
        <v>47.874620829120303</v>
      </c>
      <c r="AG363" s="26">
        <f t="shared" si="595"/>
        <v>41.785964912280697</v>
      </c>
      <c r="AH363" s="26">
        <f t="shared" si="595"/>
        <v>72.889473684210515</v>
      </c>
      <c r="AI363" s="26">
        <f t="shared" si="595"/>
        <v>82.404597701149413</v>
      </c>
      <c r="AJ363" s="26">
        <f t="shared" si="595"/>
        <v>87.370114942528758</v>
      </c>
      <c r="AK363" s="26">
        <f t="shared" si="595"/>
        <v>76.179104477611929</v>
      </c>
      <c r="AL363" s="26">
        <f t="shared" si="595"/>
        <v>39.352238805970167</v>
      </c>
      <c r="AM363" s="26">
        <f t="shared" si="595"/>
        <v>-25.831343283582111</v>
      </c>
      <c r="AN363" s="26">
        <f t="shared" si="595"/>
        <v>-25.973134328358189</v>
      </c>
      <c r="AO363" s="26">
        <f t="shared" si="595"/>
        <v>3.6552238805970334</v>
      </c>
      <c r="AP363" s="26">
        <f t="shared" si="595"/>
        <v>36.525373134328369</v>
      </c>
      <c r="AQ363" s="26">
        <f t="shared" si="595"/>
        <v>22.004477611940334</v>
      </c>
      <c r="AR363" s="26">
        <f t="shared" si="595"/>
        <v>18.235820895522412</v>
      </c>
      <c r="AS363" s="26">
        <f t="shared" si="595"/>
        <v>-2.2671641791044861</v>
      </c>
      <c r="AT363" s="26">
        <f t="shared" si="595"/>
        <v>8.70597014925373</v>
      </c>
      <c r="AU363" s="26">
        <f t="shared" si="595"/>
        <v>31.379104477611982</v>
      </c>
      <c r="AV363" s="26">
        <f t="shared" si="595"/>
        <v>41.97014925373135</v>
      </c>
      <c r="AW363" s="26">
        <f t="shared" si="595"/>
        <v>62.337313432835764</v>
      </c>
      <c r="AX363" s="26">
        <f t="shared" si="595"/>
        <v>-10.110077519379825</v>
      </c>
      <c r="AY363" s="26">
        <f t="shared" si="595"/>
        <v>-26.16124031007751</v>
      </c>
      <c r="AZ363" s="26">
        <f t="shared" si="595"/>
        <v>-17.933333333333323</v>
      </c>
      <c r="BA363" s="26">
        <f t="shared" si="595"/>
        <v>-6.2976744186046698</v>
      </c>
      <c r="BB363" s="25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X363" s="221">
        <f t="shared" si="559"/>
        <v>355</v>
      </c>
    </row>
    <row r="364" spans="1:76" ht="11.25" hidden="1" customHeight="1" outlineLevel="2">
      <c r="A364" s="180"/>
      <c r="B364" s="28" t="s">
        <v>8</v>
      </c>
      <c r="C364" s="27"/>
      <c r="D364" s="27"/>
      <c r="E364" s="27"/>
      <c r="F364" s="26">
        <f t="shared" ref="F364:K364" si="596">(F332*1000000)/(F355*1000)</f>
        <v>153.86159360352909</v>
      </c>
      <c r="G364" s="26">
        <f t="shared" si="596"/>
        <v>299.93870333988212</v>
      </c>
      <c r="H364" s="26">
        <f t="shared" si="596"/>
        <v>-38.361194029850743</v>
      </c>
      <c r="I364" s="26">
        <f t="shared" si="596"/>
        <v>35.623880597014917</v>
      </c>
      <c r="J364" s="26">
        <f t="shared" si="596"/>
        <v>97.571641791044783</v>
      </c>
      <c r="K364" s="26">
        <f t="shared" si="596"/>
        <v>-76.516279069767435</v>
      </c>
      <c r="L364" s="19"/>
      <c r="M364" s="19"/>
      <c r="N364" s="19"/>
      <c r="O364" s="19"/>
      <c r="P364" s="19"/>
      <c r="Q364" s="3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6">
        <f t="shared" ref="AD364:BA364" si="597">(AD332*1000000)/(AD355*1000)</f>
        <v>25.36076817558299</v>
      </c>
      <c r="AE364" s="26">
        <f t="shared" si="597"/>
        <v>44.902470741222366</v>
      </c>
      <c r="AF364" s="26">
        <f t="shared" si="597"/>
        <v>43.490394337714861</v>
      </c>
      <c r="AG364" s="26">
        <f t="shared" si="597"/>
        <v>38.14385964912281</v>
      </c>
      <c r="AH364" s="26">
        <f t="shared" si="597"/>
        <v>68.9719298245614</v>
      </c>
      <c r="AI364" s="26">
        <f t="shared" si="597"/>
        <v>76.254406130268194</v>
      </c>
      <c r="AJ364" s="26">
        <f t="shared" si="597"/>
        <v>83.593869731800766</v>
      </c>
      <c r="AK364" s="26">
        <f t="shared" si="597"/>
        <v>70.479104477611941</v>
      </c>
      <c r="AL364" s="26">
        <f t="shared" si="597"/>
        <v>32.394029850746271</v>
      </c>
      <c r="AM364" s="26">
        <f t="shared" si="597"/>
        <v>-33.032835820895521</v>
      </c>
      <c r="AN364" s="26">
        <f t="shared" si="597"/>
        <v>-34.582089552238806</v>
      </c>
      <c r="AO364" s="26">
        <f t="shared" si="597"/>
        <v>-3.1402985074626866</v>
      </c>
      <c r="AP364" s="26">
        <f t="shared" si="597"/>
        <v>26.849253731343282</v>
      </c>
      <c r="AQ364" s="26">
        <f t="shared" si="597"/>
        <v>12.682089552238805</v>
      </c>
      <c r="AR364" s="26">
        <f t="shared" si="597"/>
        <v>8.4731343283582081</v>
      </c>
      <c r="AS364" s="26">
        <f t="shared" si="597"/>
        <v>-12.380597014925373</v>
      </c>
      <c r="AT364" s="26">
        <f t="shared" si="597"/>
        <v>-1.544776119402985</v>
      </c>
      <c r="AU364" s="26">
        <f t="shared" si="597"/>
        <v>17.840298507462688</v>
      </c>
      <c r="AV364" s="26">
        <f t="shared" si="597"/>
        <v>29.202985074626866</v>
      </c>
      <c r="AW364" s="26">
        <f t="shared" si="597"/>
        <v>52.073134328358208</v>
      </c>
      <c r="AX364" s="26">
        <f t="shared" si="597"/>
        <v>-10.631007751937984</v>
      </c>
      <c r="AY364" s="26">
        <f t="shared" si="597"/>
        <v>-35.25426356589147</v>
      </c>
      <c r="AZ364" s="26">
        <f t="shared" si="597"/>
        <v>-21.218604651162792</v>
      </c>
      <c r="BA364" s="26">
        <f t="shared" si="597"/>
        <v>-9.4124031007751938</v>
      </c>
      <c r="BB364" s="25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  <c r="BM364" s="18"/>
      <c r="BN364" s="18"/>
      <c r="BO364" s="18"/>
      <c r="BP364" s="18"/>
      <c r="BQ364" s="18"/>
      <c r="BR364" s="18"/>
      <c r="BS364" s="18"/>
      <c r="BT364" s="18"/>
      <c r="BU364" s="18"/>
      <c r="BX364" s="221">
        <f t="shared" si="559"/>
        <v>356</v>
      </c>
    </row>
    <row r="365" spans="1:76" ht="11.25" hidden="1" customHeight="1" outlineLevel="2">
      <c r="A365" s="180"/>
      <c r="B365" s="24"/>
      <c r="C365" s="16"/>
      <c r="D365" s="16"/>
      <c r="E365" s="16"/>
      <c r="F365" s="16"/>
      <c r="G365" s="16"/>
      <c r="H365" s="16"/>
      <c r="I365" s="16"/>
      <c r="J365" s="16"/>
      <c r="K365" s="16"/>
      <c r="L365" s="3"/>
      <c r="M365" s="3"/>
      <c r="N365" s="3"/>
      <c r="O365" s="3"/>
      <c r="P365" s="3"/>
      <c r="Q365" s="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X365" s="221">
        <f t="shared" si="559"/>
        <v>357</v>
      </c>
    </row>
    <row r="366" spans="1:76" ht="11.25" hidden="1" customHeight="1" outlineLevel="2">
      <c r="A366" s="180"/>
      <c r="B366" s="28" t="s">
        <v>301</v>
      </c>
      <c r="C366" s="16"/>
      <c r="D366" s="16"/>
      <c r="E366" s="16"/>
      <c r="F366" s="26">
        <f t="shared" ref="F366:K366" si="598">IF(F354="",F367,INT(F354/40))</f>
        <v>11</v>
      </c>
      <c r="G366" s="26">
        <f t="shared" si="598"/>
        <v>15</v>
      </c>
      <c r="H366" s="26">
        <f t="shared" si="598"/>
        <v>16</v>
      </c>
      <c r="I366" s="26">
        <f t="shared" si="598"/>
        <v>16</v>
      </c>
      <c r="J366" s="26">
        <f t="shared" si="598"/>
        <v>13</v>
      </c>
      <c r="K366" s="26">
        <f t="shared" si="598"/>
        <v>7</v>
      </c>
      <c r="L366" s="19"/>
      <c r="M366" s="19"/>
      <c r="N366" s="19"/>
      <c r="O366" s="19"/>
      <c r="P366" s="19"/>
      <c r="Q366" s="3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>
        <f t="shared" ref="AD366:AY366" si="599">IF(AD354="",AD367,INT(AD354/40))</f>
        <v>9</v>
      </c>
      <c r="AE366" s="26">
        <f t="shared" si="599"/>
        <v>9</v>
      </c>
      <c r="AF366" s="26">
        <f t="shared" si="599"/>
        <v>12</v>
      </c>
      <c r="AG366" s="26">
        <f t="shared" si="599"/>
        <v>14</v>
      </c>
      <c r="AH366" s="26">
        <f t="shared" si="599"/>
        <v>14</v>
      </c>
      <c r="AI366" s="26">
        <f t="shared" si="599"/>
        <v>16</v>
      </c>
      <c r="AJ366" s="26">
        <f t="shared" si="599"/>
        <v>16</v>
      </c>
      <c r="AK366" s="26">
        <f t="shared" si="599"/>
        <v>16</v>
      </c>
      <c r="AL366" s="26">
        <f t="shared" si="599"/>
        <v>16</v>
      </c>
      <c r="AM366" s="26">
        <f t="shared" si="599"/>
        <v>16</v>
      </c>
      <c r="AN366" s="26">
        <f t="shared" si="599"/>
        <v>16</v>
      </c>
      <c r="AO366" s="26">
        <f t="shared" si="599"/>
        <v>16</v>
      </c>
      <c r="AP366" s="26">
        <f t="shared" si="599"/>
        <v>16</v>
      </c>
      <c r="AQ366" s="26">
        <f t="shared" si="599"/>
        <v>16</v>
      </c>
      <c r="AR366" s="26">
        <f t="shared" si="599"/>
        <v>13</v>
      </c>
      <c r="AS366" s="26">
        <f t="shared" si="599"/>
        <v>12</v>
      </c>
      <c r="AT366" s="26">
        <f t="shared" si="599"/>
        <v>12</v>
      </c>
      <c r="AU366" s="26">
        <f t="shared" si="599"/>
        <v>12</v>
      </c>
      <c r="AV366" s="26">
        <f t="shared" si="599"/>
        <v>13</v>
      </c>
      <c r="AW366" s="26">
        <f t="shared" si="599"/>
        <v>14</v>
      </c>
      <c r="AX366" s="26">
        <f t="shared" si="599"/>
        <v>10</v>
      </c>
      <c r="AY366" s="26">
        <f t="shared" si="599"/>
        <v>8</v>
      </c>
      <c r="AZ366" s="217">
        <f>AVERAGE(AY366,BA366)</f>
        <v>6.5</v>
      </c>
      <c r="BA366" s="26">
        <f>IF(BA354="",BA367,INT(BA354/40))</f>
        <v>5</v>
      </c>
      <c r="BB366" s="25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  <c r="BM366" s="18"/>
      <c r="BN366" s="18"/>
      <c r="BO366" s="18"/>
      <c r="BP366" s="18"/>
      <c r="BQ366" s="18"/>
      <c r="BR366" s="18"/>
      <c r="BS366" s="18"/>
      <c r="BT366" s="18"/>
      <c r="BU366" s="18"/>
      <c r="BX366" s="221">
        <f t="shared" si="559"/>
        <v>358</v>
      </c>
    </row>
    <row r="367" spans="1:76" ht="11.25" hidden="1" customHeight="1" outlineLevel="2">
      <c r="A367" s="180"/>
      <c r="B367" s="28" t="s">
        <v>302</v>
      </c>
      <c r="C367" s="16"/>
      <c r="D367" s="16"/>
      <c r="E367" s="16"/>
      <c r="F367" s="26">
        <f t="shared" ref="F367:K367" si="600">INT(F355/40)</f>
        <v>11</v>
      </c>
      <c r="G367" s="26">
        <f t="shared" si="600"/>
        <v>15</v>
      </c>
      <c r="H367" s="26">
        <f t="shared" si="600"/>
        <v>16</v>
      </c>
      <c r="I367" s="26">
        <f t="shared" si="600"/>
        <v>16</v>
      </c>
      <c r="J367" s="26">
        <f t="shared" si="600"/>
        <v>16</v>
      </c>
      <c r="K367" s="26">
        <f t="shared" si="600"/>
        <v>16</v>
      </c>
      <c r="L367" s="19"/>
      <c r="M367" s="19"/>
      <c r="N367" s="19"/>
      <c r="O367" s="19"/>
      <c r="P367" s="19"/>
      <c r="Q367" s="3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>
        <f t="shared" ref="AD367:BA367" si="601">INT(AD355/40)</f>
        <v>9</v>
      </c>
      <c r="AE367" s="26">
        <f t="shared" si="601"/>
        <v>9</v>
      </c>
      <c r="AF367" s="26">
        <f t="shared" si="601"/>
        <v>12</v>
      </c>
      <c r="AG367" s="26">
        <f t="shared" si="601"/>
        <v>14</v>
      </c>
      <c r="AH367" s="26">
        <f t="shared" si="601"/>
        <v>14</v>
      </c>
      <c r="AI367" s="26">
        <f t="shared" si="601"/>
        <v>16</v>
      </c>
      <c r="AJ367" s="26">
        <f t="shared" si="601"/>
        <v>16</v>
      </c>
      <c r="AK367" s="26">
        <f t="shared" si="601"/>
        <v>16</v>
      </c>
      <c r="AL367" s="26">
        <f t="shared" si="601"/>
        <v>16</v>
      </c>
      <c r="AM367" s="26">
        <f t="shared" si="601"/>
        <v>16</v>
      </c>
      <c r="AN367" s="26">
        <f t="shared" si="601"/>
        <v>16</v>
      </c>
      <c r="AO367" s="26">
        <f t="shared" si="601"/>
        <v>16</v>
      </c>
      <c r="AP367" s="26">
        <f t="shared" si="601"/>
        <v>16</v>
      </c>
      <c r="AQ367" s="26">
        <f t="shared" si="601"/>
        <v>16</v>
      </c>
      <c r="AR367" s="26">
        <f t="shared" si="601"/>
        <v>16</v>
      </c>
      <c r="AS367" s="26">
        <f t="shared" si="601"/>
        <v>16</v>
      </c>
      <c r="AT367" s="26">
        <f t="shared" si="601"/>
        <v>16</v>
      </c>
      <c r="AU367" s="26">
        <f t="shared" si="601"/>
        <v>16</v>
      </c>
      <c r="AV367" s="26">
        <f t="shared" si="601"/>
        <v>16</v>
      </c>
      <c r="AW367" s="26">
        <f t="shared" si="601"/>
        <v>16</v>
      </c>
      <c r="AX367" s="26">
        <f t="shared" si="601"/>
        <v>16</v>
      </c>
      <c r="AY367" s="26">
        <f t="shared" si="601"/>
        <v>16</v>
      </c>
      <c r="AZ367" s="26">
        <f t="shared" si="601"/>
        <v>16</v>
      </c>
      <c r="BA367" s="26">
        <f t="shared" si="601"/>
        <v>16</v>
      </c>
      <c r="BB367" s="25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  <c r="BM367" s="18"/>
      <c r="BN367" s="18"/>
      <c r="BO367" s="18"/>
      <c r="BP367" s="18"/>
      <c r="BQ367" s="18"/>
      <c r="BR367" s="18"/>
      <c r="BS367" s="18"/>
      <c r="BT367" s="18"/>
      <c r="BU367" s="18"/>
      <c r="BX367" s="221">
        <f t="shared" si="559"/>
        <v>359</v>
      </c>
    </row>
    <row r="368" spans="1:76" ht="11.25" hidden="1" customHeight="1" outlineLevel="2">
      <c r="A368" s="180"/>
      <c r="B368" s="28"/>
      <c r="C368" s="16"/>
      <c r="D368" s="16"/>
      <c r="E368" s="16"/>
      <c r="F368" s="16"/>
      <c r="G368" s="16"/>
      <c r="H368" s="16"/>
      <c r="I368" s="16"/>
      <c r="J368" s="16"/>
      <c r="K368" s="16"/>
      <c r="L368" s="3"/>
      <c r="M368" s="3"/>
      <c r="N368" s="3"/>
      <c r="O368" s="3"/>
      <c r="P368" s="3"/>
      <c r="Q368" s="3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X368" s="221">
        <f t="shared" si="559"/>
        <v>360</v>
      </c>
    </row>
    <row r="369" spans="1:76" ht="11.25" hidden="1" customHeight="1" outlineLevel="2">
      <c r="A369" s="180"/>
      <c r="B369" s="28" t="s">
        <v>303</v>
      </c>
      <c r="C369" s="16"/>
      <c r="D369" s="16"/>
      <c r="E369" s="16"/>
      <c r="F369" s="26">
        <f t="shared" ref="F369:K369" si="602">F343/F366</f>
        <v>32.823181818181816</v>
      </c>
      <c r="G369" s="26">
        <f t="shared" si="602"/>
        <v>48.553338666666669</v>
      </c>
      <c r="H369" s="26">
        <f t="shared" si="602"/>
        <v>46.077575625000001</v>
      </c>
      <c r="I369" s="26">
        <f t="shared" si="602"/>
        <v>43.061150000000005</v>
      </c>
      <c r="J369" s="26">
        <f t="shared" si="602"/>
        <v>80.162180000000006</v>
      </c>
      <c r="K369" s="26">
        <f t="shared" si="602"/>
        <v>64.502922857142849</v>
      </c>
      <c r="L369" s="19"/>
      <c r="M369" s="19"/>
      <c r="N369" s="19"/>
      <c r="O369" s="19"/>
      <c r="P369" s="19"/>
      <c r="Q369" s="3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>
        <f>AD343*4/AD366</f>
        <v>26.344888888888889</v>
      </c>
      <c r="AE369" s="26">
        <f t="shared" ref="AE369:BA369" si="603">AE343*4/AE366</f>
        <v>42.210666666666668</v>
      </c>
      <c r="AF369" s="26">
        <f t="shared" si="603"/>
        <v>33.072333333333333</v>
      </c>
      <c r="AG369" s="26">
        <f t="shared" si="603"/>
        <v>30.739428571428569</v>
      </c>
      <c r="AH369" s="26">
        <f t="shared" si="603"/>
        <v>41.014857142857139</v>
      </c>
      <c r="AI369" s="26">
        <f t="shared" si="603"/>
        <v>43.100999999999999</v>
      </c>
      <c r="AJ369" s="26">
        <f t="shared" si="603"/>
        <v>50.785560000000004</v>
      </c>
      <c r="AK369" s="26">
        <f t="shared" si="603"/>
        <v>52.300460000000001</v>
      </c>
      <c r="AL369" s="26">
        <f t="shared" si="603"/>
        <v>52.448639999999997</v>
      </c>
      <c r="AM369" s="26">
        <f t="shared" si="603"/>
        <v>47.558709999999998</v>
      </c>
      <c r="AN369" s="26">
        <f t="shared" si="603"/>
        <v>45.245427499999998</v>
      </c>
      <c r="AO369" s="26">
        <f t="shared" si="603"/>
        <v>39.057524999999998</v>
      </c>
      <c r="AP369" s="26">
        <f t="shared" si="603"/>
        <v>48.457550000000005</v>
      </c>
      <c r="AQ369" s="26">
        <f t="shared" si="603"/>
        <v>45.346050000000005</v>
      </c>
      <c r="AR369" s="26">
        <f t="shared" si="603"/>
        <v>49.57243076923077</v>
      </c>
      <c r="AS369" s="26">
        <f t="shared" si="603"/>
        <v>50.884533333333337</v>
      </c>
      <c r="AT369" s="26">
        <f t="shared" si="603"/>
        <v>63.312000000000005</v>
      </c>
      <c r="AU369" s="26">
        <f t="shared" si="603"/>
        <v>82.052960000000013</v>
      </c>
      <c r="AV369" s="26">
        <f t="shared" si="603"/>
        <v>90.016560000000013</v>
      </c>
      <c r="AW369" s="26">
        <f t="shared" si="603"/>
        <v>89.559897142857139</v>
      </c>
      <c r="AX369" s="26">
        <f t="shared" si="603"/>
        <v>75.735047999999992</v>
      </c>
      <c r="AY369" s="26">
        <f t="shared" si="603"/>
        <v>34.932920000000003</v>
      </c>
      <c r="AZ369" s="26">
        <f t="shared" si="603"/>
        <v>68.290043076923084</v>
      </c>
      <c r="BA369" s="26">
        <f t="shared" si="603"/>
        <v>65.076543999999984</v>
      </c>
      <c r="BB369" s="25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8"/>
      <c r="BN369" s="18"/>
      <c r="BO369" s="18"/>
      <c r="BP369" s="18"/>
      <c r="BQ369" s="18"/>
      <c r="BR369" s="18"/>
      <c r="BS369" s="18"/>
      <c r="BT369" s="18"/>
      <c r="BU369" s="18"/>
      <c r="BX369" s="221">
        <f t="shared" si="559"/>
        <v>361</v>
      </c>
    </row>
    <row r="370" spans="1:76" ht="11.25" hidden="1" customHeight="1" outlineLevel="2">
      <c r="A370" s="180"/>
      <c r="B370" s="28" t="s">
        <v>304</v>
      </c>
      <c r="C370" s="16"/>
      <c r="D370" s="16"/>
      <c r="E370" s="16"/>
      <c r="F370" s="26">
        <f t="shared" ref="F370:K370" si="604">(F328+F329)/F366</f>
        <v>6.9635454545454483</v>
      </c>
      <c r="G370" s="26">
        <f t="shared" si="604"/>
        <v>13.557666666666675</v>
      </c>
      <c r="H370" s="26">
        <f t="shared" si="604"/>
        <v>-0.36837500000000745</v>
      </c>
      <c r="I370" s="26">
        <f t="shared" si="604"/>
        <v>3.1196249999999992</v>
      </c>
      <c r="J370" s="26">
        <f t="shared" si="604"/>
        <v>7.4417692307692258</v>
      </c>
      <c r="K370" s="26">
        <f t="shared" si="604"/>
        <v>-5.5748571428571427</v>
      </c>
      <c r="L370" s="19"/>
      <c r="M370" s="19"/>
      <c r="N370" s="19"/>
      <c r="O370" s="19"/>
      <c r="P370" s="19"/>
      <c r="Q370" s="3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>
        <f>(AD328+AD329)*4/AD366</f>
        <v>4.5893333333333333</v>
      </c>
      <c r="AE370" s="26">
        <f t="shared" ref="AE370:BA370" si="605">(AE328+AE329)*4/AE366</f>
        <v>8.3471111111111131</v>
      </c>
      <c r="AF370" s="26">
        <f t="shared" si="605"/>
        <v>7.8913333333333311</v>
      </c>
      <c r="AG370" s="26">
        <f t="shared" si="605"/>
        <v>6.8051428571428563</v>
      </c>
      <c r="AH370" s="26">
        <f t="shared" si="605"/>
        <v>11.870571428571427</v>
      </c>
      <c r="AI370" s="26">
        <f t="shared" si="605"/>
        <v>13.442249999999998</v>
      </c>
      <c r="AJ370" s="26">
        <f t="shared" si="605"/>
        <v>14.252250000000004</v>
      </c>
      <c r="AK370" s="26">
        <f t="shared" si="605"/>
        <v>12.759999999999998</v>
      </c>
      <c r="AL370" s="26">
        <f t="shared" si="605"/>
        <v>6.5915000000000035</v>
      </c>
      <c r="AM370" s="26">
        <f t="shared" si="605"/>
        <v>-4.3267500000000041</v>
      </c>
      <c r="AN370" s="26">
        <f t="shared" si="605"/>
        <v>-4.3504999999999967</v>
      </c>
      <c r="AO370" s="26">
        <f t="shared" si="605"/>
        <v>0.61225000000000307</v>
      </c>
      <c r="AP370" s="26">
        <f t="shared" si="605"/>
        <v>6.1180000000000021</v>
      </c>
      <c r="AQ370" s="26">
        <f t="shared" si="605"/>
        <v>3.6857500000000059</v>
      </c>
      <c r="AR370" s="26">
        <f t="shared" si="605"/>
        <v>3.7593846153846209</v>
      </c>
      <c r="AS370" s="26">
        <f t="shared" si="605"/>
        <v>-0.50633333333333519</v>
      </c>
      <c r="AT370" s="26">
        <f t="shared" si="605"/>
        <v>1.9443333333333328</v>
      </c>
      <c r="AU370" s="26">
        <f t="shared" si="605"/>
        <v>7.0080000000000098</v>
      </c>
      <c r="AV370" s="26">
        <f t="shared" si="605"/>
        <v>8.6523076923076943</v>
      </c>
      <c r="AW370" s="26">
        <f t="shared" si="605"/>
        <v>11.933142857142846</v>
      </c>
      <c r="AX370" s="26">
        <f t="shared" si="605"/>
        <v>-2.6083999999999947</v>
      </c>
      <c r="AY370" s="26">
        <f t="shared" si="605"/>
        <v>-8.4369999999999976</v>
      </c>
      <c r="AZ370" s="26">
        <f t="shared" si="605"/>
        <v>-7.1181538461538416</v>
      </c>
      <c r="BA370" s="26">
        <f t="shared" si="605"/>
        <v>-3.2496000000000094</v>
      </c>
      <c r="BB370" s="25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  <c r="BM370" s="18"/>
      <c r="BN370" s="18"/>
      <c r="BO370" s="18"/>
      <c r="BP370" s="18"/>
      <c r="BQ370" s="18"/>
      <c r="BR370" s="18"/>
      <c r="BS370" s="18"/>
      <c r="BT370" s="18"/>
      <c r="BU370" s="18"/>
      <c r="BX370" s="221">
        <f t="shared" si="559"/>
        <v>362</v>
      </c>
    </row>
    <row r="371" spans="1:76" ht="11.25" hidden="1" customHeight="1" outlineLevel="2">
      <c r="A371" s="180"/>
      <c r="B371" s="28"/>
      <c r="C371" s="16"/>
      <c r="D371" s="16"/>
      <c r="E371" s="16"/>
      <c r="F371" s="26"/>
      <c r="G371" s="26"/>
      <c r="H371" s="26"/>
      <c r="I371" s="26"/>
      <c r="J371" s="218"/>
      <c r="K371" s="26"/>
      <c r="L371" s="3"/>
      <c r="M371" s="3"/>
      <c r="N371" s="3"/>
      <c r="O371" s="3"/>
      <c r="P371" s="3"/>
      <c r="Q371" s="3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X371" s="221">
        <f t="shared" si="559"/>
        <v>363</v>
      </c>
    </row>
    <row r="372" spans="1:76" ht="11.25" hidden="1" customHeight="1" outlineLevel="2">
      <c r="A372" s="180"/>
      <c r="B372" s="28" t="s">
        <v>305</v>
      </c>
      <c r="C372" s="16"/>
      <c r="D372" s="16"/>
      <c r="E372" s="16"/>
      <c r="F372" s="26">
        <f t="shared" ref="F372:P372" si="606">F76</f>
        <v>0</v>
      </c>
      <c r="G372" s="26">
        <f t="shared" si="606"/>
        <v>0</v>
      </c>
      <c r="H372" s="26">
        <f t="shared" si="606"/>
        <v>0</v>
      </c>
      <c r="I372" s="26">
        <f t="shared" si="606"/>
        <v>0</v>
      </c>
      <c r="J372" s="26">
        <f t="shared" si="606"/>
        <v>79.277073895862074</v>
      </c>
      <c r="K372" s="26">
        <f t="shared" si="606"/>
        <v>69.144309771428581</v>
      </c>
      <c r="L372" s="26">
        <f t="shared" si="606"/>
        <v>40.412014253114762</v>
      </c>
      <c r="M372" s="26">
        <f t="shared" si="606"/>
        <v>72.297609467455629</v>
      </c>
      <c r="N372" s="26">
        <f t="shared" si="606"/>
        <v>82.567632838964769</v>
      </c>
      <c r="O372" s="26">
        <f t="shared" si="606"/>
        <v>85.225471523076934</v>
      </c>
      <c r="P372" s="26">
        <f t="shared" si="606"/>
        <v>85.225471523076934</v>
      </c>
      <c r="Q372" s="3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5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  <c r="BM372" s="18"/>
      <c r="BN372" s="18"/>
      <c r="BO372" s="18"/>
      <c r="BP372" s="18"/>
      <c r="BQ372" s="18"/>
      <c r="BR372" s="18"/>
      <c r="BS372" s="18"/>
      <c r="BT372" s="18"/>
      <c r="BU372" s="18"/>
      <c r="BX372" s="221">
        <f t="shared" si="559"/>
        <v>364</v>
      </c>
    </row>
    <row r="373" spans="1:76" ht="11.25" hidden="1" customHeight="1" outlineLevel="2">
      <c r="A373" s="180"/>
      <c r="B373" s="28" t="s">
        <v>306</v>
      </c>
      <c r="C373" s="16"/>
      <c r="D373" s="16"/>
      <c r="E373" s="16"/>
      <c r="F373" s="26">
        <f t="shared" ref="F373:P373" si="607">F78</f>
        <v>0</v>
      </c>
      <c r="G373" s="26">
        <f t="shared" si="607"/>
        <v>0</v>
      </c>
      <c r="H373" s="26">
        <f t="shared" si="607"/>
        <v>0</v>
      </c>
      <c r="I373" s="26">
        <f t="shared" si="607"/>
        <v>0</v>
      </c>
      <c r="J373" s="26">
        <f t="shared" si="607"/>
        <v>15.892995620689666</v>
      </c>
      <c r="K373" s="26">
        <f t="shared" si="607"/>
        <v>11.129845196190487</v>
      </c>
      <c r="L373" s="26">
        <f t="shared" si="607"/>
        <v>2.2043321991113638</v>
      </c>
      <c r="M373" s="26">
        <f t="shared" si="607"/>
        <v>12.3192899408284</v>
      </c>
      <c r="N373" s="26">
        <f t="shared" si="607"/>
        <v>19.147926631131561</v>
      </c>
      <c r="O373" s="26">
        <f t="shared" si="607"/>
        <v>21.244298915251992</v>
      </c>
      <c r="P373" s="26">
        <f t="shared" si="607"/>
        <v>21.306367880769233</v>
      </c>
      <c r="Q373" s="3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5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  <c r="BM373" s="18"/>
      <c r="BN373" s="18"/>
      <c r="BO373" s="18"/>
      <c r="BP373" s="18"/>
      <c r="BQ373" s="18"/>
      <c r="BR373" s="18"/>
      <c r="BS373" s="18"/>
      <c r="BT373" s="18"/>
      <c r="BU373" s="18"/>
      <c r="BX373" s="221">
        <f t="shared" si="559"/>
        <v>365</v>
      </c>
    </row>
    <row r="374" spans="1:76" ht="11.25" hidden="1" customHeight="1" outlineLevel="2">
      <c r="A374" s="180"/>
      <c r="B374" s="28"/>
      <c r="C374" s="16"/>
      <c r="D374" s="16"/>
      <c r="E374" s="16"/>
      <c r="F374" s="16"/>
      <c r="G374" s="16"/>
      <c r="H374" s="16"/>
      <c r="I374" s="16"/>
      <c r="J374" s="16"/>
      <c r="K374" s="16"/>
      <c r="L374" s="3"/>
      <c r="M374" s="3"/>
      <c r="N374" s="3"/>
      <c r="O374" s="3"/>
      <c r="P374" s="3"/>
      <c r="Q374" s="3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X374" s="221">
        <f t="shared" si="559"/>
        <v>366</v>
      </c>
    </row>
    <row r="375" spans="1:76" ht="11.25" hidden="1" customHeight="1" outlineLevel="2">
      <c r="A375" s="180"/>
      <c r="B375" s="17" t="s">
        <v>7</v>
      </c>
      <c r="C375" s="22">
        <f t="shared" ref="C375:K375" si="608">AVERAGEIF($R$5:$BV$5,C$5,$R375:$BV375)</f>
        <v>1480.5958333333333</v>
      </c>
      <c r="D375" s="22">
        <f t="shared" si="608"/>
        <v>1646.8916666666669</v>
      </c>
      <c r="E375" s="22">
        <f t="shared" si="608"/>
        <v>1765.4458333333332</v>
      </c>
      <c r="F375" s="22">
        <f t="shared" si="608"/>
        <v>1223.875</v>
      </c>
      <c r="G375" s="22">
        <f t="shared" si="608"/>
        <v>1347.2000000000003</v>
      </c>
      <c r="H375" s="22">
        <f t="shared" si="608"/>
        <v>1749.3458333333331</v>
      </c>
      <c r="I375" s="22">
        <f t="shared" si="608"/>
        <v>1906.9875</v>
      </c>
      <c r="J375" s="22">
        <f t="shared" si="608"/>
        <v>1702.4333333333334</v>
      </c>
      <c r="K375" s="22">
        <f t="shared" si="608"/>
        <v>1750.1</v>
      </c>
      <c r="L375" s="19"/>
      <c r="M375" s="19"/>
      <c r="N375" s="19"/>
      <c r="O375" s="19"/>
      <c r="P375" s="19"/>
      <c r="Q375" s="3"/>
      <c r="R375" s="21">
        <v>1379.2333333333336</v>
      </c>
      <c r="S375" s="21">
        <v>1420.9333333333332</v>
      </c>
      <c r="T375" s="21">
        <v>1516.6</v>
      </c>
      <c r="U375" s="21">
        <v>1605.6166666666666</v>
      </c>
      <c r="V375" s="21">
        <v>1612.9166666666667</v>
      </c>
      <c r="W375" s="21">
        <v>1628.1333333333332</v>
      </c>
      <c r="X375" s="21">
        <v>1654.3</v>
      </c>
      <c r="Y375" s="21">
        <v>1692.2166666666667</v>
      </c>
      <c r="Z375" s="21">
        <v>1706.35</v>
      </c>
      <c r="AA375" s="21">
        <v>1690.9666666666667</v>
      </c>
      <c r="AB375" s="21">
        <v>1776.6833333333332</v>
      </c>
      <c r="AC375" s="21">
        <v>1887.7833333333333</v>
      </c>
      <c r="AD375" s="21">
        <v>1815.5333333333335</v>
      </c>
      <c r="AE375" s="21">
        <v>1265.0166666666667</v>
      </c>
      <c r="AF375" s="21">
        <v>881.46666666666658</v>
      </c>
      <c r="AG375" s="21">
        <v>933.48333333333335</v>
      </c>
      <c r="AH375" s="21">
        <v>1060.3</v>
      </c>
      <c r="AI375" s="21">
        <v>1283.0500000000002</v>
      </c>
      <c r="AJ375" s="21">
        <v>1454.9333333333334</v>
      </c>
      <c r="AK375" s="21">
        <v>1590.5166666666669</v>
      </c>
      <c r="AL375" s="21">
        <v>1648</v>
      </c>
      <c r="AM375" s="21">
        <v>1674.3333333333333</v>
      </c>
      <c r="AN375" s="21">
        <v>1780.8999999999999</v>
      </c>
      <c r="AO375" s="21">
        <v>1894.1499999999996</v>
      </c>
      <c r="AP375" s="21">
        <v>1955.9833333333333</v>
      </c>
      <c r="AQ375" s="21">
        <v>1930.3</v>
      </c>
      <c r="AR375" s="21">
        <v>1903.35</v>
      </c>
      <c r="AS375" s="21">
        <v>1838.3166666666666</v>
      </c>
      <c r="AT375" s="21">
        <v>1744.2999999999997</v>
      </c>
      <c r="AU375" s="21">
        <v>1689.0833333333335</v>
      </c>
      <c r="AV375" s="21">
        <v>1687.6666666666667</v>
      </c>
      <c r="AW375" s="21">
        <v>1688.6833333333332</v>
      </c>
      <c r="AX375" s="21">
        <v>1680.8833333333332</v>
      </c>
      <c r="AY375" s="21">
        <v>1707.4666666666665</v>
      </c>
      <c r="AZ375" s="21">
        <v>1782.15</v>
      </c>
      <c r="BA375" s="21">
        <v>1829.8999999999999</v>
      </c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  <c r="BM375" s="18"/>
      <c r="BN375" s="18"/>
      <c r="BO375" s="18"/>
      <c r="BP375" s="18"/>
      <c r="BQ375" s="18"/>
      <c r="BR375" s="18"/>
      <c r="BS375" s="18"/>
      <c r="BT375" s="18"/>
      <c r="BU375" s="18"/>
      <c r="BX375" s="221">
        <f t="shared" si="559"/>
        <v>367</v>
      </c>
    </row>
    <row r="376" spans="1:76" ht="11.25" hidden="1" customHeight="1" outlineLevel="2">
      <c r="A376" s="180"/>
      <c r="B376" s="17" t="s">
        <v>6</v>
      </c>
      <c r="C376" s="20">
        <f t="shared" ref="C376:K376" si="609">C328/C375*1000</f>
        <v>71.345601292272534</v>
      </c>
      <c r="D376" s="20">
        <f t="shared" si="609"/>
        <v>100.69029029434236</v>
      </c>
      <c r="E376" s="20">
        <f t="shared" si="609"/>
        <v>89.136691156860749</v>
      </c>
      <c r="F376" s="20">
        <f t="shared" si="609"/>
        <v>295.00970278827492</v>
      </c>
      <c r="G376" s="20">
        <f t="shared" si="609"/>
        <v>548.48277909738704</v>
      </c>
      <c r="H376" s="20">
        <f t="shared" si="609"/>
        <v>456.04647451547362</v>
      </c>
      <c r="I376" s="20">
        <f t="shared" si="609"/>
        <v>403.13478719708445</v>
      </c>
      <c r="J376" s="20">
        <f t="shared" si="609"/>
        <v>666.04370215182189</v>
      </c>
      <c r="K376" s="20">
        <f t="shared" si="609"/>
        <v>283.42666133363809</v>
      </c>
      <c r="L376" s="19"/>
      <c r="M376" s="19"/>
      <c r="N376" s="19"/>
      <c r="O376" s="19"/>
      <c r="P376" s="19"/>
      <c r="Q376" s="3"/>
      <c r="R376" s="20">
        <f t="shared" ref="R376:BA376" si="610">R328/R375*1000</f>
        <v>8.7563138941924255</v>
      </c>
      <c r="S376" s="20">
        <f t="shared" si="610"/>
        <v>23.564793093741205</v>
      </c>
      <c r="T376" s="20">
        <f t="shared" si="610"/>
        <v>25.248582355268365</v>
      </c>
      <c r="U376" s="20">
        <f t="shared" si="610"/>
        <v>13.565504427167127</v>
      </c>
      <c r="V376" s="20">
        <f t="shared" si="610"/>
        <v>12.446396280030999</v>
      </c>
      <c r="W376" s="20">
        <f t="shared" si="610"/>
        <v>18.720825485218249</v>
      </c>
      <c r="X376" s="20">
        <f t="shared" si="610"/>
        <v>28.797678776521792</v>
      </c>
      <c r="Y376" s="20">
        <f t="shared" si="610"/>
        <v>39.965922409462927</v>
      </c>
      <c r="Z376" s="20">
        <f t="shared" si="610"/>
        <v>31.699241070120433</v>
      </c>
      <c r="AA376" s="20">
        <f t="shared" si="610"/>
        <v>19.82416369335094</v>
      </c>
      <c r="AB376" s="20">
        <f t="shared" si="610"/>
        <v>18.603765443100908</v>
      </c>
      <c r="AC376" s="20">
        <f t="shared" si="610"/>
        <v>19.441320066744947</v>
      </c>
      <c r="AD376" s="20">
        <f t="shared" si="610"/>
        <v>32.649359233283143</v>
      </c>
      <c r="AE376" s="20">
        <f t="shared" si="610"/>
        <v>75.077271709200147</v>
      </c>
      <c r="AF376" s="20">
        <f t="shared" si="610"/>
        <v>112.55899258811074</v>
      </c>
      <c r="AG376" s="20">
        <f t="shared" si="610"/>
        <v>115.25433412487278</v>
      </c>
      <c r="AH376" s="20">
        <f t="shared" si="610"/>
        <v>135.3880977081958</v>
      </c>
      <c r="AI376" s="20">
        <f t="shared" si="610"/>
        <v>134.37044542301547</v>
      </c>
      <c r="AJ376" s="20">
        <f t="shared" si="610"/>
        <v>142.47250733137832</v>
      </c>
      <c r="AK376" s="20">
        <f t="shared" si="610"/>
        <v>135.59870482338022</v>
      </c>
      <c r="AL376" s="20">
        <f t="shared" si="610"/>
        <v>132.60679611650485</v>
      </c>
      <c r="AM376" s="20">
        <f t="shared" si="610"/>
        <v>123.49810869998008</v>
      </c>
      <c r="AN376" s="20">
        <f t="shared" si="610"/>
        <v>111.67443427480488</v>
      </c>
      <c r="AO376" s="20">
        <f t="shared" si="610"/>
        <v>91.644801098117895</v>
      </c>
      <c r="AP376" s="20">
        <f t="shared" si="610"/>
        <v>107.71308548982184</v>
      </c>
      <c r="AQ376" s="20">
        <f t="shared" si="610"/>
        <v>104.40760503548672</v>
      </c>
      <c r="AR376" s="20">
        <f t="shared" si="610"/>
        <v>96.188299577061514</v>
      </c>
      <c r="AS376" s="20">
        <f t="shared" si="610"/>
        <v>94.363502842274187</v>
      </c>
      <c r="AT376" s="20">
        <f t="shared" si="610"/>
        <v>120.98836209367656</v>
      </c>
      <c r="AU376" s="20">
        <f t="shared" si="610"/>
        <v>158.40781488973309</v>
      </c>
      <c r="AV376" s="20">
        <f t="shared" si="610"/>
        <v>186.39581275923365</v>
      </c>
      <c r="AW376" s="20">
        <f t="shared" si="610"/>
        <v>201.76488585781823</v>
      </c>
      <c r="AX376" s="20">
        <f t="shared" si="610"/>
        <v>119.8316361436943</v>
      </c>
      <c r="AY376" s="20">
        <f t="shared" si="610"/>
        <v>46.497540215523976</v>
      </c>
      <c r="AZ376" s="20">
        <f t="shared" si="610"/>
        <v>67.682854978537151</v>
      </c>
      <c r="BA376" s="20">
        <f t="shared" si="610"/>
        <v>51.690256298158367</v>
      </c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  <c r="BM376" s="18"/>
      <c r="BN376" s="18"/>
      <c r="BO376" s="18"/>
      <c r="BP376" s="18"/>
      <c r="BQ376" s="18"/>
      <c r="BR376" s="18"/>
      <c r="BS376" s="18"/>
      <c r="BT376" s="18"/>
      <c r="BU376" s="18"/>
      <c r="BX376" s="221">
        <f t="shared" si="559"/>
        <v>368</v>
      </c>
    </row>
    <row r="377" spans="1:76" ht="11.25" hidden="1" customHeight="1" outlineLevel="2">
      <c r="A377" s="180"/>
      <c r="B377" s="17" t="s">
        <v>5</v>
      </c>
      <c r="C377" s="15"/>
      <c r="D377" s="15">
        <f t="shared" ref="D377:K377" si="611">D375/C375-1</f>
        <v>0.11231683190607411</v>
      </c>
      <c r="E377" s="15">
        <f t="shared" si="611"/>
        <v>7.198662126126476E-2</v>
      </c>
      <c r="F377" s="15">
        <f t="shared" si="611"/>
        <v>-0.30676151208264202</v>
      </c>
      <c r="G377" s="15">
        <f t="shared" si="611"/>
        <v>0.10076600960065396</v>
      </c>
      <c r="H377" s="15">
        <f t="shared" si="611"/>
        <v>0.298504923792557</v>
      </c>
      <c r="I377" s="15">
        <f t="shared" si="611"/>
        <v>9.0114638090905474E-2</v>
      </c>
      <c r="J377" s="15">
        <f t="shared" si="611"/>
        <v>-0.10726560434542254</v>
      </c>
      <c r="K377" s="15">
        <f t="shared" si="611"/>
        <v>2.7999138488046471E-2</v>
      </c>
      <c r="L377" s="19"/>
      <c r="M377" s="19"/>
      <c r="N377" s="19"/>
      <c r="O377" s="19"/>
      <c r="P377" s="19"/>
      <c r="Q377" s="3"/>
      <c r="R377" s="15"/>
      <c r="S377" s="15">
        <f t="shared" ref="S377:BA377" si="612">S375/R375-1</f>
        <v>3.0234188075500601E-2</v>
      </c>
      <c r="T377" s="15">
        <f t="shared" si="612"/>
        <v>6.7326639767289143E-2</v>
      </c>
      <c r="U377" s="15">
        <f t="shared" si="612"/>
        <v>5.8694887687370967E-2</v>
      </c>
      <c r="V377" s="15">
        <f t="shared" si="612"/>
        <v>4.5465397510822125E-3</v>
      </c>
      <c r="W377" s="15">
        <f t="shared" si="612"/>
        <v>9.4342547145438438E-3</v>
      </c>
      <c r="X377" s="15">
        <f t="shared" si="612"/>
        <v>1.6071574809597866E-2</v>
      </c>
      <c r="Y377" s="15">
        <f t="shared" si="612"/>
        <v>2.2920066896371161E-2</v>
      </c>
      <c r="Z377" s="15">
        <f t="shared" si="612"/>
        <v>8.3519643859630843E-3</v>
      </c>
      <c r="AA377" s="15">
        <f t="shared" si="612"/>
        <v>-9.0153446440256468E-3</v>
      </c>
      <c r="AB377" s="15">
        <f t="shared" si="612"/>
        <v>5.0690926294624239E-2</v>
      </c>
      <c r="AC377" s="15">
        <f t="shared" si="612"/>
        <v>6.2532246414198855E-2</v>
      </c>
      <c r="AD377" s="15">
        <f t="shared" si="612"/>
        <v>-3.8272400610945723E-2</v>
      </c>
      <c r="AE377" s="15">
        <f t="shared" si="612"/>
        <v>-0.30322586567767051</v>
      </c>
      <c r="AF377" s="15">
        <f t="shared" si="612"/>
        <v>-0.30319758632956095</v>
      </c>
      <c r="AG377" s="15">
        <f t="shared" si="612"/>
        <v>5.9011495991529328E-2</v>
      </c>
      <c r="AH377" s="15">
        <f t="shared" si="612"/>
        <v>0.13585316645539103</v>
      </c>
      <c r="AI377" s="15">
        <f t="shared" si="612"/>
        <v>0.2100820522493636</v>
      </c>
      <c r="AJ377" s="15">
        <f t="shared" si="612"/>
        <v>0.13396464154423682</v>
      </c>
      <c r="AK377" s="15">
        <f t="shared" si="612"/>
        <v>9.3188691348973673E-2</v>
      </c>
      <c r="AL377" s="15">
        <f t="shared" si="612"/>
        <v>3.6141295805346196E-2</v>
      </c>
      <c r="AM377" s="15">
        <f t="shared" si="612"/>
        <v>1.5978964401294427E-2</v>
      </c>
      <c r="AN377" s="15">
        <f t="shared" si="612"/>
        <v>6.3647222775233825E-2</v>
      </c>
      <c r="AO377" s="15">
        <f t="shared" si="612"/>
        <v>6.359144252905824E-2</v>
      </c>
      <c r="AP377" s="15">
        <f t="shared" si="612"/>
        <v>3.2644369946062124E-2</v>
      </c>
      <c r="AQ377" s="15">
        <f t="shared" si="612"/>
        <v>-1.3130650397498278E-2</v>
      </c>
      <c r="AR377" s="15">
        <f t="shared" si="612"/>
        <v>-1.3961560379215698E-2</v>
      </c>
      <c r="AS377" s="15">
        <f t="shared" si="612"/>
        <v>-3.4167826901690845E-2</v>
      </c>
      <c r="AT377" s="15">
        <f t="shared" si="612"/>
        <v>-5.1142802745265281E-2</v>
      </c>
      <c r="AU377" s="15">
        <f t="shared" si="612"/>
        <v>-3.1655487397045379E-2</v>
      </c>
      <c r="AV377" s="15">
        <f t="shared" si="612"/>
        <v>-8.3871922640488261E-4</v>
      </c>
      <c r="AW377" s="15">
        <f t="shared" si="612"/>
        <v>6.0240963855417995E-4</v>
      </c>
      <c r="AX377" s="15">
        <f t="shared" si="612"/>
        <v>-4.6189832315116641E-3</v>
      </c>
      <c r="AY377" s="15">
        <f t="shared" si="612"/>
        <v>1.5815097220707397E-2</v>
      </c>
      <c r="AZ377" s="15">
        <f t="shared" si="612"/>
        <v>4.3739262845541305E-2</v>
      </c>
      <c r="BA377" s="15">
        <f t="shared" si="612"/>
        <v>2.6793479785651941E-2</v>
      </c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  <c r="BM377" s="18"/>
      <c r="BN377" s="18"/>
      <c r="BO377" s="18"/>
      <c r="BP377" s="18"/>
      <c r="BQ377" s="18"/>
      <c r="BR377" s="18"/>
      <c r="BS377" s="18"/>
      <c r="BT377" s="18"/>
      <c r="BU377" s="18"/>
      <c r="BX377" s="221">
        <f t="shared" si="559"/>
        <v>369</v>
      </c>
    </row>
    <row r="378" spans="1:76" ht="11.25" hidden="1" customHeight="1" outlineLevel="2">
      <c r="A378" s="180"/>
      <c r="B378" s="17"/>
      <c r="C378" s="16"/>
      <c r="D378" s="16"/>
      <c r="E378" s="16"/>
      <c r="F378" s="16"/>
      <c r="G378" s="16"/>
      <c r="H378" s="16"/>
      <c r="I378" s="16"/>
      <c r="J378" s="16"/>
      <c r="K378" s="16"/>
      <c r="L378" s="3"/>
      <c r="M378" s="3"/>
      <c r="N378" s="3"/>
      <c r="O378" s="3"/>
      <c r="P378" s="3"/>
      <c r="Q378" s="3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X378" s="221">
        <f t="shared" si="559"/>
        <v>370</v>
      </c>
    </row>
    <row r="379" spans="1:76" ht="11.25" customHeight="1" outlineLevel="1" collapsed="1">
      <c r="A379" s="180" t="s">
        <v>0</v>
      </c>
      <c r="B379" s="52" t="s">
        <v>297</v>
      </c>
      <c r="C379" s="3"/>
      <c r="D379" s="3"/>
      <c r="E379" s="3"/>
      <c r="F379" s="3"/>
      <c r="G379" s="3"/>
      <c r="H379" s="3"/>
      <c r="I379" s="3"/>
      <c r="J379" s="3"/>
      <c r="K379" s="40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51"/>
      <c r="AW379" s="51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X379" s="221">
        <f t="shared" si="559"/>
        <v>371</v>
      </c>
    </row>
    <row r="380" spans="1:76" ht="11.25" hidden="1" customHeight="1" outlineLevel="2">
      <c r="A380" s="180"/>
      <c r="B380" s="48" t="s">
        <v>37</v>
      </c>
      <c r="C380" s="211"/>
      <c r="D380" s="211"/>
      <c r="E380" s="211"/>
      <c r="F380" s="211"/>
      <c r="G380" s="211"/>
      <c r="H380" s="211"/>
      <c r="I380" s="211"/>
      <c r="J380" s="40">
        <f t="shared" ref="J380:P380" si="613">+J11+J328</f>
        <v>1517.06752383</v>
      </c>
      <c r="K380" s="40">
        <f t="shared" si="613"/>
        <v>859.03262629999995</v>
      </c>
      <c r="L380" s="40">
        <f t="shared" si="613"/>
        <v>471.10247824000004</v>
      </c>
      <c r="M380" s="40">
        <f t="shared" si="613"/>
        <v>1527.287</v>
      </c>
      <c r="N380" s="40">
        <f t="shared" si="613"/>
        <v>2208.6841784423077</v>
      </c>
      <c r="O380" s="40">
        <f t="shared" si="613"/>
        <v>2471.5386741692309</v>
      </c>
      <c r="P380" s="40">
        <f t="shared" si="613"/>
        <v>2471.5386741692309</v>
      </c>
      <c r="Q380" s="3"/>
      <c r="R380" s="211"/>
      <c r="S380" s="211"/>
      <c r="T380" s="211"/>
      <c r="U380" s="211"/>
      <c r="V380" s="211"/>
      <c r="W380" s="211"/>
      <c r="X380" s="211"/>
      <c r="Y380" s="211"/>
      <c r="Z380" s="211"/>
      <c r="AA380" s="211"/>
      <c r="AB380" s="211"/>
      <c r="AC380" s="211"/>
      <c r="AD380" s="211"/>
      <c r="AE380" s="211"/>
      <c r="AF380" s="211"/>
      <c r="AG380" s="211"/>
      <c r="AH380" s="211"/>
      <c r="AI380" s="211"/>
      <c r="AJ380" s="211"/>
      <c r="AK380" s="211"/>
      <c r="AL380" s="211"/>
      <c r="AM380" s="211"/>
      <c r="AN380" s="211"/>
      <c r="AO380" s="211"/>
      <c r="AP380" s="211"/>
      <c r="AQ380" s="211"/>
      <c r="AR380" s="211"/>
      <c r="AS380" s="211"/>
      <c r="AT380" s="211"/>
      <c r="AU380" s="211"/>
      <c r="AV380" s="211"/>
      <c r="AW380" s="211"/>
      <c r="AX380" s="211"/>
      <c r="AY380" s="211"/>
      <c r="AZ380" s="211"/>
      <c r="BA380" s="211"/>
      <c r="BB380" s="40">
        <f t="shared" ref="BB380:BU380" si="614">+BB11+BB328</f>
        <v>119.12</v>
      </c>
      <c r="BC380" s="40">
        <f t="shared" si="614"/>
        <v>88.315478240000004</v>
      </c>
      <c r="BD380" s="40">
        <f t="shared" si="614"/>
        <v>115.69400000000002</v>
      </c>
      <c r="BE380" s="40">
        <f t="shared" si="614"/>
        <v>147.97300000000001</v>
      </c>
      <c r="BF380" s="40">
        <f t="shared" si="614"/>
        <v>240.15299999999999</v>
      </c>
      <c r="BG380" s="40">
        <f t="shared" si="614"/>
        <v>323.13600000000002</v>
      </c>
      <c r="BH380" s="40">
        <f t="shared" si="614"/>
        <v>468.47899999999998</v>
      </c>
      <c r="BI380" s="40">
        <f t="shared" si="614"/>
        <v>495.51900000000001</v>
      </c>
      <c r="BJ380" s="40">
        <f t="shared" si="614"/>
        <v>493.73045000000002</v>
      </c>
      <c r="BK380" s="40">
        <f t="shared" si="614"/>
        <v>543.10349500000007</v>
      </c>
      <c r="BL380" s="40">
        <f t="shared" si="614"/>
        <v>575.27193278076925</v>
      </c>
      <c r="BM380" s="40">
        <f t="shared" si="614"/>
        <v>596.57830066153849</v>
      </c>
      <c r="BN380" s="40">
        <f t="shared" si="614"/>
        <v>617.88466854230774</v>
      </c>
      <c r="BO380" s="40">
        <f t="shared" si="614"/>
        <v>617.88466854230774</v>
      </c>
      <c r="BP380" s="40">
        <f t="shared" si="614"/>
        <v>617.88466854230774</v>
      </c>
      <c r="BQ380" s="40">
        <f t="shared" si="614"/>
        <v>617.88466854230774</v>
      </c>
      <c r="BR380" s="40">
        <f t="shared" si="614"/>
        <v>617.88466854230774</v>
      </c>
      <c r="BS380" s="40">
        <f t="shared" si="614"/>
        <v>617.88466854230774</v>
      </c>
      <c r="BT380" s="40">
        <f t="shared" si="614"/>
        <v>617.88466854230774</v>
      </c>
      <c r="BU380" s="40">
        <f t="shared" si="614"/>
        <v>617.88466854230774</v>
      </c>
      <c r="BX380" s="221">
        <f t="shared" si="559"/>
        <v>372</v>
      </c>
    </row>
    <row r="381" spans="1:76" ht="11.25" hidden="1" customHeight="1" outlineLevel="2">
      <c r="A381" s="180"/>
      <c r="B381" s="24" t="s">
        <v>36</v>
      </c>
      <c r="C381" s="211"/>
      <c r="D381" s="211"/>
      <c r="E381" s="211"/>
      <c r="F381" s="211"/>
      <c r="G381" s="211"/>
      <c r="H381" s="211"/>
      <c r="I381" s="211"/>
      <c r="J381" s="40">
        <f t="shared" ref="J381:P381" si="615">+J19+J329</f>
        <v>-1361.1526216699999</v>
      </c>
      <c r="K381" s="40">
        <f t="shared" si="615"/>
        <v>-840.96108623999999</v>
      </c>
      <c r="L381" s="40">
        <f t="shared" si="615"/>
        <v>-484.91634831427484</v>
      </c>
      <c r="M381" s="40">
        <f t="shared" si="615"/>
        <v>-1279.4460000000001</v>
      </c>
      <c r="N381" s="40">
        <f t="shared" si="615"/>
        <v>-1730.1821672220385</v>
      </c>
      <c r="O381" s="40">
        <f t="shared" si="615"/>
        <v>-1920.6627825844662</v>
      </c>
      <c r="P381" s="40">
        <f t="shared" si="615"/>
        <v>-1923.7098025474077</v>
      </c>
      <c r="Q381" s="3"/>
      <c r="R381" s="211"/>
      <c r="S381" s="211"/>
      <c r="T381" s="211"/>
      <c r="U381" s="211"/>
      <c r="V381" s="211"/>
      <c r="W381" s="211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1"/>
      <c r="AH381" s="211"/>
      <c r="AI381" s="211"/>
      <c r="AJ381" s="211"/>
      <c r="AK381" s="211"/>
      <c r="AL381" s="211"/>
      <c r="AM381" s="211"/>
      <c r="AN381" s="211"/>
      <c r="AO381" s="211"/>
      <c r="AP381" s="211"/>
      <c r="AQ381" s="211"/>
      <c r="AR381" s="211"/>
      <c r="AS381" s="211"/>
      <c r="AT381" s="211"/>
      <c r="AU381" s="211"/>
      <c r="AV381" s="211"/>
      <c r="AW381" s="211"/>
      <c r="AX381" s="211"/>
      <c r="AY381" s="211"/>
      <c r="AZ381" s="211"/>
      <c r="BA381" s="211"/>
      <c r="BB381" s="40">
        <f t="shared" ref="BB381:BU381" si="616">+BB19+BB329</f>
        <v>-139.15411768000001</v>
      </c>
      <c r="BC381" s="40">
        <f t="shared" si="616"/>
        <v>-81.366975170000046</v>
      </c>
      <c r="BD381" s="40">
        <f t="shared" si="616"/>
        <v>-121.63525546427476</v>
      </c>
      <c r="BE381" s="40">
        <f t="shared" si="616"/>
        <v>-142.76000000000002</v>
      </c>
      <c r="BF381" s="40">
        <f t="shared" si="616"/>
        <v>-222.68299999999999</v>
      </c>
      <c r="BG381" s="40">
        <f t="shared" si="616"/>
        <v>-278.38400000000001</v>
      </c>
      <c r="BH381" s="40">
        <f t="shared" si="616"/>
        <v>-389.197</v>
      </c>
      <c r="BI381" s="40">
        <f t="shared" si="616"/>
        <v>-389.18200000000002</v>
      </c>
      <c r="BJ381" s="40">
        <f t="shared" si="616"/>
        <v>-395.95834550000001</v>
      </c>
      <c r="BK381" s="40">
        <f t="shared" si="616"/>
        <v>-425.16829740000003</v>
      </c>
      <c r="BL381" s="40">
        <f t="shared" si="616"/>
        <v>-447.87360391338467</v>
      </c>
      <c r="BM381" s="40">
        <f t="shared" si="616"/>
        <v>-461.18192040865392</v>
      </c>
      <c r="BN381" s="40">
        <f t="shared" si="616"/>
        <v>-480.34270925048082</v>
      </c>
      <c r="BO381" s="40">
        <f t="shared" si="616"/>
        <v>-479.29916964266829</v>
      </c>
      <c r="BP381" s="40">
        <f t="shared" si="616"/>
        <v>-480.09345305446516</v>
      </c>
      <c r="BQ381" s="40">
        <f t="shared" si="616"/>
        <v>-480.92745063685192</v>
      </c>
      <c r="BR381" s="40">
        <f t="shared" si="616"/>
        <v>-480.92745063685192</v>
      </c>
      <c r="BS381" s="40">
        <f t="shared" si="616"/>
        <v>-480.92745063685192</v>
      </c>
      <c r="BT381" s="40">
        <f t="shared" si="616"/>
        <v>-480.92745063685192</v>
      </c>
      <c r="BU381" s="40">
        <f t="shared" si="616"/>
        <v>-480.92745063685192</v>
      </c>
      <c r="BX381" s="221">
        <f t="shared" si="559"/>
        <v>373</v>
      </c>
    </row>
    <row r="382" spans="1:76" ht="11.25" hidden="1" customHeight="1" outlineLevel="2">
      <c r="A382" s="180"/>
      <c r="B382" s="24" t="s">
        <v>35</v>
      </c>
      <c r="C382" s="211"/>
      <c r="D382" s="211"/>
      <c r="E382" s="211"/>
      <c r="F382" s="211"/>
      <c r="G382" s="211"/>
      <c r="H382" s="211"/>
      <c r="I382" s="211"/>
      <c r="J382" s="40">
        <f t="shared" ref="J382:P382" si="617">+J26+J330</f>
        <v>-53.373564098396997</v>
      </c>
      <c r="K382" s="40">
        <f t="shared" si="617"/>
        <v>-42.134038384196799</v>
      </c>
      <c r="L382" s="40">
        <f t="shared" si="617"/>
        <v>-29.169720128274101</v>
      </c>
      <c r="M382" s="40">
        <f t="shared" si="617"/>
        <v>-73.775000000000006</v>
      </c>
      <c r="N382" s="40">
        <f t="shared" si="617"/>
        <v>-84</v>
      </c>
      <c r="O382" s="40">
        <f t="shared" si="617"/>
        <v>-88</v>
      </c>
      <c r="P382" s="40">
        <f t="shared" si="617"/>
        <v>-82</v>
      </c>
      <c r="Q382" s="3"/>
      <c r="R382" s="211"/>
      <c r="S382" s="211"/>
      <c r="T382" s="211"/>
      <c r="U382" s="211"/>
      <c r="V382" s="211"/>
      <c r="W382" s="211"/>
      <c r="X382" s="211"/>
      <c r="Y382" s="211"/>
      <c r="Z382" s="211"/>
      <c r="AA382" s="211"/>
      <c r="AB382" s="211"/>
      <c r="AC382" s="211"/>
      <c r="AD382" s="211"/>
      <c r="AE382" s="211"/>
      <c r="AF382" s="211"/>
      <c r="AG382" s="211"/>
      <c r="AH382" s="211"/>
      <c r="AI382" s="211"/>
      <c r="AJ382" s="211"/>
      <c r="AK382" s="211"/>
      <c r="AL382" s="211"/>
      <c r="AM382" s="211"/>
      <c r="AN382" s="211"/>
      <c r="AO382" s="211"/>
      <c r="AP382" s="211"/>
      <c r="AQ382" s="211"/>
      <c r="AR382" s="211"/>
      <c r="AS382" s="211"/>
      <c r="AT382" s="211"/>
      <c r="AU382" s="211"/>
      <c r="AV382" s="211"/>
      <c r="AW382" s="211"/>
      <c r="AX382" s="211"/>
      <c r="AY382" s="211"/>
      <c r="AZ382" s="211"/>
      <c r="BA382" s="211"/>
      <c r="BB382" s="40">
        <f t="shared" ref="BB382:BU382" si="618">+BB26+BB330</f>
        <v>-6.9761204601230187</v>
      </c>
      <c r="BC382" s="40">
        <f t="shared" si="618"/>
        <v>-7.6253364622685353</v>
      </c>
      <c r="BD382" s="40">
        <f t="shared" si="618"/>
        <v>-7.0462632058825498</v>
      </c>
      <c r="BE382" s="40">
        <f t="shared" si="618"/>
        <v>-7.5219999999999994</v>
      </c>
      <c r="BF382" s="40">
        <f t="shared" si="618"/>
        <v>-12.571999999999999</v>
      </c>
      <c r="BG382" s="40">
        <f t="shared" si="618"/>
        <v>-18.446999999999999</v>
      </c>
      <c r="BH382" s="40">
        <f t="shared" si="618"/>
        <v>-20.773000000000003</v>
      </c>
      <c r="BI382" s="40">
        <f t="shared" si="618"/>
        <v>-21.983000000000001</v>
      </c>
      <c r="BJ382" s="40">
        <f t="shared" si="618"/>
        <v>-21</v>
      </c>
      <c r="BK382" s="40">
        <f t="shared" si="618"/>
        <v>-21</v>
      </c>
      <c r="BL382" s="40">
        <f t="shared" si="618"/>
        <v>-21</v>
      </c>
      <c r="BM382" s="40">
        <f t="shared" si="618"/>
        <v>-21</v>
      </c>
      <c r="BN382" s="40">
        <f t="shared" si="618"/>
        <v>-22</v>
      </c>
      <c r="BO382" s="40">
        <f t="shared" si="618"/>
        <v>-22</v>
      </c>
      <c r="BP382" s="40">
        <f t="shared" si="618"/>
        <v>-22</v>
      </c>
      <c r="BQ382" s="40">
        <f t="shared" si="618"/>
        <v>-22</v>
      </c>
      <c r="BR382" s="40">
        <f t="shared" si="618"/>
        <v>-22</v>
      </c>
      <c r="BS382" s="40">
        <f t="shared" si="618"/>
        <v>-20</v>
      </c>
      <c r="BT382" s="40">
        <f t="shared" si="618"/>
        <v>-20</v>
      </c>
      <c r="BU382" s="40">
        <f t="shared" si="618"/>
        <v>-20</v>
      </c>
      <c r="BX382" s="221">
        <f t="shared" si="559"/>
        <v>374</v>
      </c>
    </row>
    <row r="383" spans="1:76" ht="11.25" hidden="1" customHeight="1" outlineLevel="2">
      <c r="A383" s="180"/>
      <c r="B383" s="48" t="s">
        <v>226</v>
      </c>
      <c r="C383" s="212"/>
      <c r="D383" s="212"/>
      <c r="E383" s="212"/>
      <c r="F383" s="212"/>
      <c r="G383" s="212"/>
      <c r="H383" s="212"/>
      <c r="I383" s="212"/>
      <c r="J383" s="40">
        <f t="shared" ref="J383:O383" si="619">SUM(J380:J382)</f>
        <v>102.54133806160311</v>
      </c>
      <c r="K383" s="40">
        <f t="shared" si="619"/>
        <v>-24.062498324196838</v>
      </c>
      <c r="L383" s="40">
        <f t="shared" si="619"/>
        <v>-42.983590202548903</v>
      </c>
      <c r="M383" s="40">
        <f t="shared" si="619"/>
        <v>174.06599999999989</v>
      </c>
      <c r="N383" s="40">
        <f t="shared" si="619"/>
        <v>394.5020112202692</v>
      </c>
      <c r="O383" s="40">
        <f t="shared" si="619"/>
        <v>462.87589158476476</v>
      </c>
      <c r="P383" s="40">
        <f t="shared" ref="P383" si="620">SUM(P380:P382)</f>
        <v>465.82887162182328</v>
      </c>
      <c r="Q383" s="3"/>
      <c r="R383" s="212"/>
      <c r="S383" s="212"/>
      <c r="T383" s="212"/>
      <c r="U383" s="212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12"/>
      <c r="AF383" s="212"/>
      <c r="AG383" s="212"/>
      <c r="AH383" s="212"/>
      <c r="AI383" s="212"/>
      <c r="AJ383" s="212"/>
      <c r="AK383" s="212"/>
      <c r="AL383" s="212"/>
      <c r="AM383" s="212"/>
      <c r="AN383" s="212"/>
      <c r="AO383" s="212"/>
      <c r="AP383" s="212"/>
      <c r="AQ383" s="212"/>
      <c r="AR383" s="212"/>
      <c r="AS383" s="212"/>
      <c r="AT383" s="212"/>
      <c r="AU383" s="212"/>
      <c r="AV383" s="212"/>
      <c r="AW383" s="212"/>
      <c r="AX383" s="212"/>
      <c r="AY383" s="212"/>
      <c r="AZ383" s="212"/>
      <c r="BA383" s="212"/>
      <c r="BB383" s="40">
        <f t="shared" ref="BB383:BQ383" si="621">SUM(BB380:BB382)</f>
        <v>-27.010238140123029</v>
      </c>
      <c r="BC383" s="40">
        <f t="shared" si="621"/>
        <v>-0.67683339226857697</v>
      </c>
      <c r="BD383" s="40">
        <f t="shared" si="621"/>
        <v>-12.987518670157296</v>
      </c>
      <c r="BE383" s="40">
        <f t="shared" si="621"/>
        <v>-2.3090000000000055</v>
      </c>
      <c r="BF383" s="40">
        <f t="shared" si="621"/>
        <v>4.8979999999999997</v>
      </c>
      <c r="BG383" s="40">
        <f t="shared" ref="BG383:BH383" si="622">SUM(BG380:BG382)</f>
        <v>26.30500000000001</v>
      </c>
      <c r="BH383" s="40">
        <f t="shared" si="622"/>
        <v>58.508999999999979</v>
      </c>
      <c r="BI383" s="40">
        <f t="shared" ref="BI383" si="623">SUM(BI380:BI382)</f>
        <v>84.353999999999985</v>
      </c>
      <c r="BJ383" s="40">
        <f t="shared" si="621"/>
        <v>76.772104500000012</v>
      </c>
      <c r="BK383" s="40">
        <f t="shared" si="621"/>
        <v>96.935197600000038</v>
      </c>
      <c r="BL383" s="40">
        <f t="shared" si="621"/>
        <v>106.39832886738458</v>
      </c>
      <c r="BM383" s="40">
        <f t="shared" si="621"/>
        <v>114.39638025288457</v>
      </c>
      <c r="BN383" s="40">
        <f t="shared" si="621"/>
        <v>115.54195929182691</v>
      </c>
      <c r="BO383" s="40">
        <f t="shared" si="621"/>
        <v>116.58549889963945</v>
      </c>
      <c r="BP383" s="40">
        <f t="shared" si="621"/>
        <v>115.79121548784258</v>
      </c>
      <c r="BQ383" s="40">
        <f t="shared" si="621"/>
        <v>114.95721790545582</v>
      </c>
      <c r="BR383" s="40">
        <f t="shared" ref="BR383:BU383" si="624">SUM(BR380:BR382)</f>
        <v>114.95721790545582</v>
      </c>
      <c r="BS383" s="40">
        <f t="shared" si="624"/>
        <v>116.95721790545582</v>
      </c>
      <c r="BT383" s="40">
        <f t="shared" si="624"/>
        <v>116.95721790545582</v>
      </c>
      <c r="BU383" s="40">
        <f t="shared" si="624"/>
        <v>116.95721790545582</v>
      </c>
      <c r="BX383" s="221">
        <f t="shared" si="559"/>
        <v>375</v>
      </c>
    </row>
    <row r="384" spans="1:76" ht="11.25" hidden="1" customHeight="1" outlineLevel="2">
      <c r="A384" s="180"/>
      <c r="B384" s="48" t="s">
        <v>292</v>
      </c>
      <c r="C384" s="211"/>
      <c r="D384" s="211"/>
      <c r="E384" s="211"/>
      <c r="F384" s="211"/>
      <c r="G384" s="211"/>
      <c r="H384" s="211"/>
      <c r="I384" s="211"/>
      <c r="J384" s="40">
        <f t="shared" ref="J384:P384" si="625">+J27+J332</f>
        <v>124.02493590160307</v>
      </c>
      <c r="K384" s="40">
        <f t="shared" si="625"/>
        <v>-10.438424804196728</v>
      </c>
      <c r="L384" s="40">
        <f t="shared" si="625"/>
        <v>-33.268082882548903</v>
      </c>
      <c r="M384" s="40">
        <f t="shared" si="625"/>
        <v>188.85999999999993</v>
      </c>
      <c r="N384" s="40">
        <f t="shared" si="625"/>
        <v>435.88104122026925</v>
      </c>
      <c r="O384" s="40">
        <f t="shared" si="625"/>
        <v>549.82092752815549</v>
      </c>
      <c r="P384" s="40">
        <f t="shared" si="625"/>
        <v>559.23660084913581</v>
      </c>
      <c r="Q384" s="3"/>
      <c r="R384" s="211"/>
      <c r="S384" s="211"/>
      <c r="T384" s="211"/>
      <c r="U384" s="211"/>
      <c r="V384" s="211"/>
      <c r="W384" s="211"/>
      <c r="X384" s="211"/>
      <c r="Y384" s="211"/>
      <c r="Z384" s="211"/>
      <c r="AA384" s="211"/>
      <c r="AB384" s="211"/>
      <c r="AC384" s="211"/>
      <c r="AD384" s="211"/>
      <c r="AE384" s="211"/>
      <c r="AF384" s="211"/>
      <c r="AG384" s="211"/>
      <c r="AH384" s="211"/>
      <c r="AI384" s="211"/>
      <c r="AJ384" s="211"/>
      <c r="AK384" s="211"/>
      <c r="AL384" s="211"/>
      <c r="AM384" s="211"/>
      <c r="AN384" s="211"/>
      <c r="AO384" s="211"/>
      <c r="AP384" s="211"/>
      <c r="AQ384" s="211"/>
      <c r="AR384" s="211"/>
      <c r="AS384" s="211"/>
      <c r="AT384" s="211"/>
      <c r="AU384" s="211"/>
      <c r="AV384" s="211"/>
      <c r="AW384" s="211"/>
      <c r="AX384" s="211"/>
      <c r="AY384" s="211"/>
      <c r="AZ384" s="211"/>
      <c r="BA384" s="211"/>
      <c r="BB384" s="40">
        <f t="shared" ref="BB384:BU384" si="626">+BB27+BB332</f>
        <v>-24.687175140123035</v>
      </c>
      <c r="BC384" s="40">
        <f t="shared" si="626"/>
        <v>2.5970600177314296</v>
      </c>
      <c r="BD384" s="40">
        <f t="shared" si="626"/>
        <v>-11.928967760157299</v>
      </c>
      <c r="BE384" s="40">
        <f t="shared" si="626"/>
        <v>0.75100000000000033</v>
      </c>
      <c r="BF384" s="40">
        <f t="shared" si="626"/>
        <v>4.8979999999999926</v>
      </c>
      <c r="BG384" s="40">
        <f t="shared" si="626"/>
        <v>26.305000000000017</v>
      </c>
      <c r="BH384" s="40">
        <f t="shared" si="626"/>
        <v>67.331999999999994</v>
      </c>
      <c r="BI384" s="40">
        <f t="shared" si="626"/>
        <v>90.325000000000003</v>
      </c>
      <c r="BJ384" s="40">
        <f t="shared" si="626"/>
        <v>83.340204499999999</v>
      </c>
      <c r="BK384" s="40">
        <f t="shared" si="626"/>
        <v>105.14532260000003</v>
      </c>
      <c r="BL384" s="40">
        <f t="shared" si="626"/>
        <v>117.48199761738459</v>
      </c>
      <c r="BM384" s="40">
        <f t="shared" si="626"/>
        <v>129.91351650288462</v>
      </c>
      <c r="BN384" s="40">
        <f t="shared" si="626"/>
        <v>135.71423641682694</v>
      </c>
      <c r="BO384" s="40">
        <f t="shared" si="626"/>
        <v>137.76638988088945</v>
      </c>
      <c r="BP384" s="40">
        <f t="shared" si="626"/>
        <v>138.03115101815507</v>
      </c>
      <c r="BQ384" s="40">
        <f t="shared" si="626"/>
        <v>138.30915021228395</v>
      </c>
      <c r="BR384" s="40">
        <f t="shared" si="626"/>
        <v>138.30915021228395</v>
      </c>
      <c r="BS384" s="40">
        <f t="shared" si="626"/>
        <v>140.30915021228395</v>
      </c>
      <c r="BT384" s="40">
        <f t="shared" si="626"/>
        <v>140.30915021228395</v>
      </c>
      <c r="BU384" s="40">
        <f t="shared" si="626"/>
        <v>140.30915021228395</v>
      </c>
      <c r="BX384" s="221">
        <f t="shared" si="559"/>
        <v>376</v>
      </c>
    </row>
    <row r="385" spans="1:82" s="214" customFormat="1" ht="11.25" hidden="1" customHeight="1" outlineLevel="2">
      <c r="A385" s="180"/>
      <c r="B385" s="49"/>
      <c r="C385" s="16"/>
      <c r="D385" s="16"/>
      <c r="E385" s="16"/>
      <c r="F385" s="16"/>
      <c r="G385" s="16"/>
      <c r="H385" s="16"/>
      <c r="I385" s="16"/>
      <c r="J385" s="16"/>
      <c r="K385" s="16"/>
      <c r="L385" s="3"/>
      <c r="M385" s="3"/>
      <c r="N385" s="3"/>
      <c r="O385" s="3"/>
      <c r="P385" s="3"/>
      <c r="Q385" s="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X385" s="221">
        <f t="shared" si="559"/>
        <v>377</v>
      </c>
      <c r="BY385"/>
      <c r="BZ385"/>
      <c r="CA385"/>
      <c r="CB385"/>
      <c r="CC385"/>
      <c r="CD385"/>
    </row>
    <row r="386" spans="1:82" ht="11.25" hidden="1" customHeight="1" outlineLevel="2">
      <c r="A386" s="180"/>
      <c r="B386" s="48" t="s">
        <v>32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3"/>
      <c r="M386" s="3"/>
      <c r="N386" s="3"/>
      <c r="O386" s="3"/>
      <c r="P386" s="3"/>
      <c r="Q386" s="3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5"/>
      <c r="BA386" s="25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X386" s="221">
        <f t="shared" si="559"/>
        <v>378</v>
      </c>
    </row>
    <row r="387" spans="1:82" ht="11.25" hidden="1" customHeight="1" outlineLevel="2">
      <c r="A387" s="180"/>
      <c r="B387" s="17" t="s">
        <v>31</v>
      </c>
      <c r="C387" s="19"/>
      <c r="D387" s="19"/>
      <c r="E387" s="19"/>
      <c r="F387" s="19"/>
      <c r="G387" s="19"/>
      <c r="H387" s="19"/>
      <c r="I387" s="19"/>
      <c r="J387" s="46"/>
      <c r="K387" s="46">
        <f t="shared" ref="K387:P387" si="627">+K380/J380-1</f>
        <v>-0.43375452126792635</v>
      </c>
      <c r="L387" s="46">
        <f t="shared" si="627"/>
        <v>-0.45158953942282876</v>
      </c>
      <c r="M387" s="46">
        <f t="shared" si="627"/>
        <v>2.241942189957943</v>
      </c>
      <c r="N387" s="46">
        <f t="shared" si="627"/>
        <v>0.44614874509002411</v>
      </c>
      <c r="O387" s="46">
        <f t="shared" si="627"/>
        <v>0.11900954346143933</v>
      </c>
      <c r="P387" s="46">
        <f t="shared" si="627"/>
        <v>0</v>
      </c>
      <c r="Q387" s="3"/>
      <c r="R387" s="213"/>
      <c r="S387" s="213"/>
      <c r="T387" s="213"/>
      <c r="U387" s="21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13"/>
      <c r="AF387" s="213"/>
      <c r="AG387" s="213"/>
      <c r="AH387" s="213"/>
      <c r="AI387" s="213"/>
      <c r="AJ387" s="213"/>
      <c r="AK387" s="213"/>
      <c r="AL387" s="213"/>
      <c r="AM387" s="213"/>
      <c r="AN387" s="213"/>
      <c r="AO387" s="213"/>
      <c r="AP387" s="213"/>
      <c r="AQ387" s="213"/>
      <c r="AR387" s="213"/>
      <c r="AS387" s="213"/>
      <c r="AT387" s="213"/>
      <c r="AU387" s="213"/>
      <c r="AV387" s="213"/>
      <c r="AW387" s="213"/>
      <c r="AX387" s="213"/>
      <c r="AY387" s="213"/>
      <c r="AZ387" s="213"/>
      <c r="BA387" s="213"/>
      <c r="BB387" s="46"/>
      <c r="BC387" s="46">
        <f t="shared" ref="BC387:BQ387" si="628">+BC380/BB380-1</f>
        <v>-0.25860075352585632</v>
      </c>
      <c r="BD387" s="46">
        <f t="shared" si="628"/>
        <v>0.31000819228536636</v>
      </c>
      <c r="BE387" s="46">
        <f t="shared" si="628"/>
        <v>0.27900323266547966</v>
      </c>
      <c r="BF387" s="46">
        <f t="shared" si="628"/>
        <v>0.62295148439242265</v>
      </c>
      <c r="BG387" s="46">
        <f t="shared" si="628"/>
        <v>0.34554221683676678</v>
      </c>
      <c r="BH387" s="46">
        <f t="shared" si="628"/>
        <v>0.44978894335511965</v>
      </c>
      <c r="BI387" s="46">
        <f t="shared" si="628"/>
        <v>5.7718702439170322E-2</v>
      </c>
      <c r="BJ387" s="46">
        <f t="shared" si="628"/>
        <v>-3.6094478718272649E-3</v>
      </c>
      <c r="BK387" s="46">
        <f t="shared" si="628"/>
        <v>0.10000000000000009</v>
      </c>
      <c r="BL387" s="46">
        <f t="shared" si="628"/>
        <v>5.9230769230769198E-2</v>
      </c>
      <c r="BM387" s="46">
        <f t="shared" si="628"/>
        <v>3.7037037037036979E-2</v>
      </c>
      <c r="BN387" s="46">
        <f t="shared" si="628"/>
        <v>3.5714285714285809E-2</v>
      </c>
      <c r="BO387" s="46">
        <f t="shared" si="628"/>
        <v>0</v>
      </c>
      <c r="BP387" s="46">
        <f t="shared" si="628"/>
        <v>0</v>
      </c>
      <c r="BQ387" s="46">
        <f t="shared" si="628"/>
        <v>0</v>
      </c>
      <c r="BR387" s="46">
        <f t="shared" ref="BR387" si="629">+BR380/BQ380-1</f>
        <v>0</v>
      </c>
      <c r="BS387" s="46">
        <f t="shared" ref="BS387" si="630">+BS380/BR380-1</f>
        <v>0</v>
      </c>
      <c r="BT387" s="46">
        <f t="shared" ref="BT387" si="631">+BT380/BS380-1</f>
        <v>0</v>
      </c>
      <c r="BU387" s="46">
        <f t="shared" ref="BU387" si="632">+BU380/BT380-1</f>
        <v>0</v>
      </c>
      <c r="BX387" s="221">
        <f t="shared" si="559"/>
        <v>379</v>
      </c>
    </row>
    <row r="388" spans="1:82" ht="11.25" hidden="1" customHeight="1" outlineLevel="2">
      <c r="A388" s="180"/>
      <c r="B388" s="17" t="s">
        <v>30</v>
      </c>
      <c r="C388" s="19"/>
      <c r="D388" s="19"/>
      <c r="E388" s="19"/>
      <c r="F388" s="19"/>
      <c r="G388" s="19"/>
      <c r="H388" s="19"/>
      <c r="I388" s="19"/>
      <c r="J388" s="46">
        <f t="shared" ref="J388:O388" si="633">-J381/J$380</f>
        <v>0.89722612888951958</v>
      </c>
      <c r="K388" s="46">
        <f t="shared" si="633"/>
        <v>0.97896291769750687</v>
      </c>
      <c r="L388" s="46">
        <f t="shared" si="633"/>
        <v>1.0293224313441998</v>
      </c>
      <c r="M388" s="46">
        <f t="shared" si="633"/>
        <v>0.83772467126348882</v>
      </c>
      <c r="N388" s="46">
        <f t="shared" si="633"/>
        <v>0.7833542631895265</v>
      </c>
      <c r="O388" s="46">
        <f t="shared" si="633"/>
        <v>0.77711217010596323</v>
      </c>
      <c r="P388" s="46">
        <f t="shared" ref="P388" si="634">-P381/P$380</f>
        <v>0.7783450134333959</v>
      </c>
      <c r="Q388" s="3"/>
      <c r="R388" s="213"/>
      <c r="S388" s="213"/>
      <c r="T388" s="213"/>
      <c r="U388" s="21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13"/>
      <c r="AF388" s="213"/>
      <c r="AG388" s="213"/>
      <c r="AH388" s="213"/>
      <c r="AI388" s="213"/>
      <c r="AJ388" s="213"/>
      <c r="AK388" s="213"/>
      <c r="AL388" s="213"/>
      <c r="AM388" s="213"/>
      <c r="AN388" s="213"/>
      <c r="AO388" s="213"/>
      <c r="AP388" s="213"/>
      <c r="AQ388" s="213"/>
      <c r="AR388" s="213"/>
      <c r="AS388" s="213"/>
      <c r="AT388" s="213"/>
      <c r="AU388" s="213"/>
      <c r="AV388" s="213"/>
      <c r="AW388" s="213"/>
      <c r="AX388" s="213"/>
      <c r="AY388" s="213"/>
      <c r="AZ388" s="213"/>
      <c r="BA388" s="213"/>
      <c r="BB388" s="46">
        <f t="shared" ref="BB388:BG388" si="635">-BB381/BB$380</f>
        <v>1.1681843324378778</v>
      </c>
      <c r="BC388" s="46">
        <f t="shared" si="635"/>
        <v>0.92132179762286759</v>
      </c>
      <c r="BD388" s="46">
        <f t="shared" si="635"/>
        <v>1.0513531856818397</v>
      </c>
      <c r="BE388" s="46">
        <f t="shared" si="635"/>
        <v>0.96477060004189963</v>
      </c>
      <c r="BF388" s="46">
        <f t="shared" si="635"/>
        <v>0.92725470845669222</v>
      </c>
      <c r="BG388" s="46">
        <f t="shared" si="635"/>
        <v>0.86150722915428801</v>
      </c>
      <c r="BH388" s="46">
        <f t="shared" ref="BH388:BI388" si="636">-BH381/BH$380</f>
        <v>0.83076722755982657</v>
      </c>
      <c r="BI388" s="46">
        <f t="shared" si="636"/>
        <v>0.78540277971177697</v>
      </c>
      <c r="BJ388" s="46">
        <f t="shared" ref="BJ388:BQ388" si="637">-BJ381/BJ$380</f>
        <v>0.80197270696996714</v>
      </c>
      <c r="BK388" s="46">
        <f t="shared" si="637"/>
        <v>0.78284949611675758</v>
      </c>
      <c r="BL388" s="46">
        <f t="shared" si="637"/>
        <v>0.77854242210016722</v>
      </c>
      <c r="BM388" s="46">
        <f t="shared" si="637"/>
        <v>0.77304508041485054</v>
      </c>
      <c r="BN388" s="46">
        <f t="shared" si="637"/>
        <v>0.77739865335012892</v>
      </c>
      <c r="BO388" s="46">
        <f t="shared" si="637"/>
        <v>0.77570976275137948</v>
      </c>
      <c r="BP388" s="46">
        <f t="shared" si="637"/>
        <v>0.7769952508889485</v>
      </c>
      <c r="BQ388" s="46">
        <f t="shared" si="637"/>
        <v>0.7783450134333959</v>
      </c>
      <c r="BR388" s="46">
        <f t="shared" ref="BR388:BU388" si="638">-BR381/BR$380</f>
        <v>0.7783450134333959</v>
      </c>
      <c r="BS388" s="46">
        <f t="shared" si="638"/>
        <v>0.7783450134333959</v>
      </c>
      <c r="BT388" s="46">
        <f t="shared" si="638"/>
        <v>0.7783450134333959</v>
      </c>
      <c r="BU388" s="46">
        <f t="shared" si="638"/>
        <v>0.7783450134333959</v>
      </c>
      <c r="BX388" s="221">
        <f t="shared" si="559"/>
        <v>380</v>
      </c>
    </row>
    <row r="389" spans="1:82" ht="11.25" hidden="1" customHeight="1" outlineLevel="2">
      <c r="A389" s="180"/>
      <c r="B389" s="17" t="s">
        <v>29</v>
      </c>
      <c r="C389" s="19"/>
      <c r="D389" s="19"/>
      <c r="E389" s="19"/>
      <c r="F389" s="19"/>
      <c r="G389" s="19"/>
      <c r="H389" s="19"/>
      <c r="I389" s="19"/>
      <c r="J389" s="46">
        <f t="shared" ref="J389:O389" si="639">(1-J388)</f>
        <v>0.10277387111048042</v>
      </c>
      <c r="K389" s="46">
        <f t="shared" si="639"/>
        <v>2.1037082302493126E-2</v>
      </c>
      <c r="L389" s="46">
        <f t="shared" si="639"/>
        <v>-2.9322431344199762E-2</v>
      </c>
      <c r="M389" s="46">
        <f t="shared" si="639"/>
        <v>0.16227532873651118</v>
      </c>
      <c r="N389" s="46">
        <f t="shared" si="639"/>
        <v>0.2166457368104735</v>
      </c>
      <c r="O389" s="46">
        <f t="shared" si="639"/>
        <v>0.22288782989403677</v>
      </c>
      <c r="P389" s="46">
        <f t="shared" ref="P389" si="640">(1-P388)</f>
        <v>0.2216549865666041</v>
      </c>
      <c r="Q389" s="3"/>
      <c r="R389" s="213"/>
      <c r="S389" s="213"/>
      <c r="T389" s="213"/>
      <c r="U389" s="21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13"/>
      <c r="AF389" s="213"/>
      <c r="AG389" s="213"/>
      <c r="AH389" s="213"/>
      <c r="AI389" s="213"/>
      <c r="AJ389" s="213"/>
      <c r="AK389" s="213"/>
      <c r="AL389" s="213"/>
      <c r="AM389" s="213"/>
      <c r="AN389" s="213"/>
      <c r="AO389" s="213"/>
      <c r="AP389" s="213"/>
      <c r="AQ389" s="213"/>
      <c r="AR389" s="213"/>
      <c r="AS389" s="213"/>
      <c r="AT389" s="213"/>
      <c r="AU389" s="213"/>
      <c r="AV389" s="213"/>
      <c r="AW389" s="213"/>
      <c r="AX389" s="213"/>
      <c r="AY389" s="213"/>
      <c r="AZ389" s="213"/>
      <c r="BA389" s="213"/>
      <c r="BB389" s="46">
        <f t="shared" ref="BB389:BQ389" si="641">(1-BB388)</f>
        <v>-0.16818433243787778</v>
      </c>
      <c r="BC389" s="46">
        <f t="shared" si="641"/>
        <v>7.8678202377132411E-2</v>
      </c>
      <c r="BD389" s="46">
        <f t="shared" si="641"/>
        <v>-5.1353185681839664E-2</v>
      </c>
      <c r="BE389" s="46">
        <f t="shared" si="641"/>
        <v>3.5229399958100371E-2</v>
      </c>
      <c r="BF389" s="46">
        <f t="shared" si="641"/>
        <v>7.2745291543307777E-2</v>
      </c>
      <c r="BG389" s="46">
        <f t="shared" ref="BG389:BH389" si="642">(1-BG388)</f>
        <v>0.13849277084571199</v>
      </c>
      <c r="BH389" s="46">
        <f t="shared" si="642"/>
        <v>0.16923277244017343</v>
      </c>
      <c r="BI389" s="46">
        <f t="shared" ref="BI389" si="643">(1-BI388)</f>
        <v>0.21459722028822303</v>
      </c>
      <c r="BJ389" s="46">
        <f t="shared" si="641"/>
        <v>0.19802729303003286</v>
      </c>
      <c r="BK389" s="46">
        <f t="shared" si="641"/>
        <v>0.21715050388324242</v>
      </c>
      <c r="BL389" s="46">
        <f t="shared" si="641"/>
        <v>0.22145757789983278</v>
      </c>
      <c r="BM389" s="46">
        <f t="shared" si="641"/>
        <v>0.22695491958514946</v>
      </c>
      <c r="BN389" s="46">
        <f t="shared" si="641"/>
        <v>0.22260134664987108</v>
      </c>
      <c r="BO389" s="46">
        <f t="shared" si="641"/>
        <v>0.22429023724862052</v>
      </c>
      <c r="BP389" s="46">
        <f t="shared" si="641"/>
        <v>0.2230047491110515</v>
      </c>
      <c r="BQ389" s="46">
        <f t="shared" si="641"/>
        <v>0.2216549865666041</v>
      </c>
      <c r="BR389" s="46">
        <f t="shared" ref="BR389:BU389" si="644">(1-BR388)</f>
        <v>0.2216549865666041</v>
      </c>
      <c r="BS389" s="46">
        <f t="shared" si="644"/>
        <v>0.2216549865666041</v>
      </c>
      <c r="BT389" s="46">
        <f t="shared" si="644"/>
        <v>0.2216549865666041</v>
      </c>
      <c r="BU389" s="46">
        <f t="shared" si="644"/>
        <v>0.2216549865666041</v>
      </c>
      <c r="BX389" s="221">
        <f t="shared" si="559"/>
        <v>381</v>
      </c>
    </row>
    <row r="390" spans="1:82" ht="11.25" hidden="1" customHeight="1" outlineLevel="2">
      <c r="A390" s="180"/>
      <c r="B390" s="17" t="s">
        <v>28</v>
      </c>
      <c r="C390" s="19"/>
      <c r="D390" s="19"/>
      <c r="E390" s="19"/>
      <c r="F390" s="19"/>
      <c r="G390" s="19"/>
      <c r="H390" s="19"/>
      <c r="I390" s="19"/>
      <c r="J390" s="46">
        <f t="shared" ref="J390:O390" si="645">-J382/J$380</f>
        <v>3.5182062274756037E-2</v>
      </c>
      <c r="K390" s="46">
        <f t="shared" si="645"/>
        <v>4.9048239955303316E-2</v>
      </c>
      <c r="L390" s="46">
        <f t="shared" si="645"/>
        <v>6.1917993378531495E-2</v>
      </c>
      <c r="M390" s="46">
        <f t="shared" si="645"/>
        <v>4.8304608105745682E-2</v>
      </c>
      <c r="N390" s="46">
        <f t="shared" si="645"/>
        <v>3.8031693630024406E-2</v>
      </c>
      <c r="O390" s="46">
        <f t="shared" si="645"/>
        <v>3.5605350189221625E-2</v>
      </c>
      <c r="P390" s="46">
        <f t="shared" ref="P390" si="646">-P382/P$380</f>
        <v>3.3177712676320151E-2</v>
      </c>
      <c r="Q390" s="3"/>
      <c r="R390" s="213"/>
      <c r="S390" s="213"/>
      <c r="T390" s="213"/>
      <c r="U390" s="21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13"/>
      <c r="AF390" s="213"/>
      <c r="AG390" s="213"/>
      <c r="AH390" s="213"/>
      <c r="AI390" s="213"/>
      <c r="AJ390" s="213"/>
      <c r="AK390" s="213"/>
      <c r="AL390" s="213"/>
      <c r="AM390" s="213"/>
      <c r="AN390" s="213"/>
      <c r="AO390" s="213"/>
      <c r="AP390" s="213"/>
      <c r="AQ390" s="213"/>
      <c r="AR390" s="213"/>
      <c r="AS390" s="213"/>
      <c r="AT390" s="213"/>
      <c r="AU390" s="213"/>
      <c r="AV390" s="213"/>
      <c r="AW390" s="213"/>
      <c r="AX390" s="213"/>
      <c r="AY390" s="213"/>
      <c r="AZ390" s="213"/>
      <c r="BA390" s="213"/>
      <c r="BB390" s="46">
        <f t="shared" ref="BB390:BG390" si="647">-BB382/BB$380</f>
        <v>5.8563805071549853E-2</v>
      </c>
      <c r="BC390" s="46">
        <f t="shared" si="647"/>
        <v>8.6342016305980374E-2</v>
      </c>
      <c r="BD390" s="46">
        <f t="shared" si="647"/>
        <v>6.0904309695252554E-2</v>
      </c>
      <c r="BE390" s="46">
        <f t="shared" si="647"/>
        <v>5.0833598021260626E-2</v>
      </c>
      <c r="BF390" s="46">
        <f t="shared" si="647"/>
        <v>5.2349960233684358E-2</v>
      </c>
      <c r="BG390" s="46">
        <f t="shared" si="647"/>
        <v>5.7087418300653586E-2</v>
      </c>
      <c r="BH390" s="46">
        <f t="shared" ref="BH390:BI390" si="648">-BH382/BH$380</f>
        <v>4.4341368556541499E-2</v>
      </c>
      <c r="BI390" s="46">
        <f t="shared" si="648"/>
        <v>4.4363586461871288E-2</v>
      </c>
      <c r="BJ390" s="46">
        <f t="shared" ref="BJ390:BQ390" si="649">-BJ382/BJ$380</f>
        <v>4.2533329674116716E-2</v>
      </c>
      <c r="BK390" s="46">
        <f t="shared" si="649"/>
        <v>3.86666633401061E-2</v>
      </c>
      <c r="BL390" s="46">
        <f t="shared" si="649"/>
        <v>3.6504475193999956E-2</v>
      </c>
      <c r="BM390" s="46">
        <f t="shared" si="649"/>
        <v>3.5200743937071385E-2</v>
      </c>
      <c r="BN390" s="46">
        <f t="shared" si="649"/>
        <v>3.5605350189221625E-2</v>
      </c>
      <c r="BO390" s="46">
        <f t="shared" si="649"/>
        <v>3.5605350189221625E-2</v>
      </c>
      <c r="BP390" s="46">
        <f t="shared" si="649"/>
        <v>3.5605350189221625E-2</v>
      </c>
      <c r="BQ390" s="46">
        <f t="shared" si="649"/>
        <v>3.5605350189221625E-2</v>
      </c>
      <c r="BR390" s="46">
        <f t="shared" ref="BR390:BU390" si="650">-BR382/BR$380</f>
        <v>3.5605350189221625E-2</v>
      </c>
      <c r="BS390" s="46">
        <f t="shared" si="650"/>
        <v>3.2368500172019664E-2</v>
      </c>
      <c r="BT390" s="46">
        <f t="shared" si="650"/>
        <v>3.2368500172019664E-2</v>
      </c>
      <c r="BU390" s="46">
        <f t="shared" si="650"/>
        <v>3.2368500172019664E-2</v>
      </c>
      <c r="BX390" s="221">
        <f t="shared" si="559"/>
        <v>382</v>
      </c>
    </row>
    <row r="391" spans="1:82" ht="11.25" hidden="1" customHeight="1" outlineLevel="2">
      <c r="A391" s="180"/>
      <c r="B391" s="17" t="s">
        <v>203</v>
      </c>
      <c r="C391" s="19"/>
      <c r="D391" s="19"/>
      <c r="E391" s="19"/>
      <c r="F391" s="19"/>
      <c r="G391" s="19"/>
      <c r="H391" s="19"/>
      <c r="I391" s="19"/>
      <c r="J391" s="46">
        <f t="shared" ref="J391:O392" si="651">J383/J$380</f>
        <v>6.7591808835724382E-2</v>
      </c>
      <c r="K391" s="46">
        <f t="shared" si="651"/>
        <v>-2.8011157652810141E-2</v>
      </c>
      <c r="L391" s="46">
        <f t="shared" si="651"/>
        <v>-9.1240424722731348E-2</v>
      </c>
      <c r="M391" s="46">
        <f t="shared" si="651"/>
        <v>0.11397072063076547</v>
      </c>
      <c r="N391" s="46">
        <f t="shared" si="651"/>
        <v>0.17861404318044916</v>
      </c>
      <c r="O391" s="46">
        <f t="shared" si="651"/>
        <v>0.18728247970481515</v>
      </c>
      <c r="P391" s="46">
        <f t="shared" ref="P391" si="652">P383/P$380</f>
        <v>0.1884772738902839</v>
      </c>
      <c r="Q391" s="3"/>
      <c r="R391" s="213"/>
      <c r="S391" s="213"/>
      <c r="T391" s="213"/>
      <c r="U391" s="21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13"/>
      <c r="AF391" s="213"/>
      <c r="AG391" s="213"/>
      <c r="AH391" s="213"/>
      <c r="AI391" s="213"/>
      <c r="AJ391" s="213"/>
      <c r="AK391" s="213"/>
      <c r="AL391" s="213"/>
      <c r="AM391" s="213"/>
      <c r="AN391" s="213"/>
      <c r="AO391" s="213"/>
      <c r="AP391" s="213"/>
      <c r="AQ391" s="213"/>
      <c r="AR391" s="213"/>
      <c r="AS391" s="213"/>
      <c r="AT391" s="213"/>
      <c r="AU391" s="213"/>
      <c r="AV391" s="213"/>
      <c r="AW391" s="213"/>
      <c r="AX391" s="213"/>
      <c r="AY391" s="213"/>
      <c r="AZ391" s="213"/>
      <c r="BA391" s="213"/>
      <c r="BB391" s="46">
        <f t="shared" ref="BB391:BD392" si="653">BB383/BB$380</f>
        <v>-0.22674813750942771</v>
      </c>
      <c r="BC391" s="46">
        <f t="shared" si="653"/>
        <v>-7.6638139288479146E-3</v>
      </c>
      <c r="BD391" s="46">
        <f t="shared" si="653"/>
        <v>-0.11225749537709211</v>
      </c>
      <c r="BE391" s="46">
        <f t="shared" ref="BE391:BG392" si="654">BE383/BE$380</f>
        <v>-1.5604198063160208E-2</v>
      </c>
      <c r="BF391" s="46">
        <f t="shared" si="654"/>
        <v>2.0395331309623448E-2</v>
      </c>
      <c r="BG391" s="46">
        <f t="shared" si="654"/>
        <v>8.1405352545058457E-2</v>
      </c>
      <c r="BH391" s="46">
        <f t="shared" ref="BH391:BI391" si="655">BH383/BH$380</f>
        <v>0.12489140388363189</v>
      </c>
      <c r="BI391" s="46">
        <f t="shared" si="655"/>
        <v>0.17023363382635173</v>
      </c>
      <c r="BJ391" s="46">
        <f t="shared" ref="BJ391:BQ391" si="656">BJ383/BJ$380</f>
        <v>0.1554939633559162</v>
      </c>
      <c r="BK391" s="46">
        <f t="shared" si="656"/>
        <v>0.17848384054313632</v>
      </c>
      <c r="BL391" s="46">
        <f t="shared" si="656"/>
        <v>0.18495310270583284</v>
      </c>
      <c r="BM391" s="46">
        <f t="shared" si="656"/>
        <v>0.19175417564807806</v>
      </c>
      <c r="BN391" s="46">
        <f t="shared" si="656"/>
        <v>0.18699599646064941</v>
      </c>
      <c r="BO391" s="46">
        <f t="shared" si="656"/>
        <v>0.18868488705939887</v>
      </c>
      <c r="BP391" s="46">
        <f t="shared" si="656"/>
        <v>0.18739939892182991</v>
      </c>
      <c r="BQ391" s="46">
        <f t="shared" si="656"/>
        <v>0.18604963637738242</v>
      </c>
      <c r="BR391" s="46">
        <f t="shared" ref="BR391:BU391" si="657">BR383/BR$380</f>
        <v>0.18604963637738242</v>
      </c>
      <c r="BS391" s="46">
        <f t="shared" si="657"/>
        <v>0.1892864863945844</v>
      </c>
      <c r="BT391" s="46">
        <f t="shared" si="657"/>
        <v>0.1892864863945844</v>
      </c>
      <c r="BU391" s="46">
        <f t="shared" si="657"/>
        <v>0.1892864863945844</v>
      </c>
      <c r="BX391" s="221">
        <f t="shared" si="559"/>
        <v>383</v>
      </c>
    </row>
    <row r="392" spans="1:82" ht="11.25" hidden="1" customHeight="1" outlineLevel="2">
      <c r="A392" s="180"/>
      <c r="B392" s="17" t="s">
        <v>298</v>
      </c>
      <c r="C392" s="19"/>
      <c r="D392" s="19"/>
      <c r="E392" s="19"/>
      <c r="F392" s="19"/>
      <c r="G392" s="19"/>
      <c r="H392" s="19"/>
      <c r="I392" s="19"/>
      <c r="J392" s="46">
        <f t="shared" si="651"/>
        <v>8.1753075557565683E-2</v>
      </c>
      <c r="K392" s="46">
        <f t="shared" si="651"/>
        <v>-1.2151371769378312E-2</v>
      </c>
      <c r="L392" s="46">
        <f t="shared" si="651"/>
        <v>-7.0617507695641332E-2</v>
      </c>
      <c r="M392" s="46">
        <f t="shared" si="651"/>
        <v>0.12365717772756524</v>
      </c>
      <c r="N392" s="46">
        <f t="shared" si="651"/>
        <v>0.19734874070030142</v>
      </c>
      <c r="O392" s="46">
        <f t="shared" si="651"/>
        <v>0.2224609848409389</v>
      </c>
      <c r="P392" s="46">
        <f t="shared" ref="P392" si="658">P384/P$380</f>
        <v>0.2262706251348118</v>
      </c>
      <c r="Q392" s="3"/>
      <c r="R392" s="213"/>
      <c r="S392" s="213"/>
      <c r="T392" s="213"/>
      <c r="U392" s="21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13"/>
      <c r="AF392" s="213"/>
      <c r="AG392" s="213"/>
      <c r="AH392" s="213"/>
      <c r="AI392" s="213"/>
      <c r="AJ392" s="213"/>
      <c r="AK392" s="213"/>
      <c r="AL392" s="213"/>
      <c r="AM392" s="213"/>
      <c r="AN392" s="213"/>
      <c r="AO392" s="213"/>
      <c r="AP392" s="213"/>
      <c r="AQ392" s="213"/>
      <c r="AR392" s="213"/>
      <c r="AS392" s="213"/>
      <c r="AT392" s="213"/>
      <c r="AU392" s="213"/>
      <c r="AV392" s="213"/>
      <c r="AW392" s="213"/>
      <c r="AX392" s="213"/>
      <c r="AY392" s="213"/>
      <c r="AZ392" s="213"/>
      <c r="BA392" s="213"/>
      <c r="BB392" s="46">
        <f t="shared" si="653"/>
        <v>-0.20724626544764133</v>
      </c>
      <c r="BC392" s="46">
        <f t="shared" si="653"/>
        <v>2.9406623498927784E-2</v>
      </c>
      <c r="BD392" s="46">
        <f t="shared" si="653"/>
        <v>-0.10310792055039412</v>
      </c>
      <c r="BE392" s="46">
        <f t="shared" si="654"/>
        <v>5.0752502145661729E-3</v>
      </c>
      <c r="BF392" s="46">
        <f t="shared" si="654"/>
        <v>2.039533130962342E-2</v>
      </c>
      <c r="BG392" s="46">
        <f t="shared" si="654"/>
        <v>8.1405352545058471E-2</v>
      </c>
      <c r="BH392" s="46">
        <f t="shared" ref="BH392:BI392" si="659">BH384/BH$380</f>
        <v>0.14372469203528865</v>
      </c>
      <c r="BI392" s="46">
        <f t="shared" si="659"/>
        <v>0.18228362585491173</v>
      </c>
      <c r="BJ392" s="46">
        <f t="shared" ref="BJ392:BQ392" si="660">BJ384/BJ$380</f>
        <v>0.16879697110032407</v>
      </c>
      <c r="BK392" s="46">
        <f t="shared" si="660"/>
        <v>0.19360089479814527</v>
      </c>
      <c r="BL392" s="46">
        <f t="shared" si="660"/>
        <v>0.20421993656025608</v>
      </c>
      <c r="BM392" s="46">
        <f t="shared" si="660"/>
        <v>0.21776440135154948</v>
      </c>
      <c r="BN392" s="46">
        <f t="shared" si="660"/>
        <v>0.21964331424017899</v>
      </c>
      <c r="BO392" s="46">
        <f t="shared" si="660"/>
        <v>0.2229645707279049</v>
      </c>
      <c r="BP392" s="46">
        <f t="shared" si="660"/>
        <v>0.22339306677376122</v>
      </c>
      <c r="BQ392" s="46">
        <f t="shared" si="660"/>
        <v>0.22384298762191032</v>
      </c>
      <c r="BR392" s="46">
        <f t="shared" ref="BR392:BU392" si="661">BR384/BR$380</f>
        <v>0.22384298762191032</v>
      </c>
      <c r="BS392" s="46">
        <f t="shared" si="661"/>
        <v>0.2270798376391123</v>
      </c>
      <c r="BT392" s="46">
        <f t="shared" si="661"/>
        <v>0.2270798376391123</v>
      </c>
      <c r="BU392" s="46">
        <f t="shared" si="661"/>
        <v>0.2270798376391123</v>
      </c>
      <c r="BX392" s="221">
        <f t="shared" si="559"/>
        <v>384</v>
      </c>
    </row>
    <row r="393" spans="1:82" ht="11.25" hidden="1" customHeight="1" outlineLevel="2">
      <c r="A393" s="180"/>
      <c r="B393" s="17"/>
      <c r="C393" s="16"/>
      <c r="D393" s="16"/>
      <c r="E393" s="16"/>
      <c r="F393" s="16"/>
      <c r="G393" s="16"/>
      <c r="H393" s="16"/>
      <c r="I393" s="16"/>
      <c r="J393" s="16"/>
      <c r="K393" s="16"/>
      <c r="L393" s="3"/>
      <c r="M393" s="3"/>
      <c r="N393" s="3"/>
      <c r="O393" s="3"/>
      <c r="P393" s="3"/>
      <c r="Q393" s="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X393" s="221">
        <f t="shared" si="559"/>
        <v>385</v>
      </c>
    </row>
    <row r="394" spans="1:82" ht="11.25" hidden="1" customHeight="1" outlineLevel="2">
      <c r="A394" s="180"/>
      <c r="B394" s="17" t="s">
        <v>299</v>
      </c>
      <c r="C394" s="16"/>
      <c r="D394" s="16"/>
      <c r="E394" s="16"/>
      <c r="F394" s="16"/>
      <c r="G394" s="16"/>
      <c r="H394" s="16"/>
      <c r="I394" s="16"/>
      <c r="J394" s="16">
        <f t="shared" ref="J394:P394" si="662">+J82+J355</f>
        <v>873.33333333333337</v>
      </c>
      <c r="K394" s="16">
        <f t="shared" si="662"/>
        <v>965</v>
      </c>
      <c r="L394" s="16">
        <f t="shared" si="662"/>
        <v>944.25</v>
      </c>
      <c r="M394" s="16">
        <f t="shared" si="662"/>
        <v>1059.25</v>
      </c>
      <c r="N394" s="16">
        <f t="shared" si="662"/>
        <v>1289.25</v>
      </c>
      <c r="O394" s="16">
        <f t="shared" si="662"/>
        <v>1339.25</v>
      </c>
      <c r="P394" s="16">
        <f t="shared" si="662"/>
        <v>1339.25</v>
      </c>
      <c r="Q394" s="3"/>
      <c r="R394" s="213"/>
      <c r="S394" s="213"/>
      <c r="T394" s="213"/>
      <c r="U394" s="21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13"/>
      <c r="AF394" s="213"/>
      <c r="AG394" s="213"/>
      <c r="AH394" s="213"/>
      <c r="AI394" s="213"/>
      <c r="AJ394" s="213"/>
      <c r="AK394" s="213"/>
      <c r="AL394" s="213"/>
      <c r="AM394" s="213"/>
      <c r="AN394" s="213"/>
      <c r="AO394" s="213"/>
      <c r="AP394" s="213"/>
      <c r="AQ394" s="213"/>
      <c r="AR394" s="213"/>
      <c r="AS394" s="213"/>
      <c r="AT394" s="213"/>
      <c r="AU394" s="213"/>
      <c r="AV394" s="213"/>
      <c r="AW394" s="213"/>
      <c r="AX394" s="213"/>
      <c r="AY394" s="213"/>
      <c r="AZ394" s="213"/>
      <c r="BA394" s="213"/>
      <c r="BB394" s="16">
        <f t="shared" ref="BB394:BU394" si="663">+BB82+BB355</f>
        <v>944.25</v>
      </c>
      <c r="BC394" s="16">
        <f t="shared" si="663"/>
        <v>944.25</v>
      </c>
      <c r="BD394" s="16">
        <f t="shared" si="663"/>
        <v>944.25</v>
      </c>
      <c r="BE394" s="16">
        <f t="shared" si="663"/>
        <v>944.25</v>
      </c>
      <c r="BF394" s="16">
        <f t="shared" si="663"/>
        <v>944.25</v>
      </c>
      <c r="BG394" s="16">
        <f t="shared" si="663"/>
        <v>944.25</v>
      </c>
      <c r="BH394" s="16">
        <f t="shared" si="663"/>
        <v>1159.25</v>
      </c>
      <c r="BI394" s="16">
        <f t="shared" si="663"/>
        <v>1189.25</v>
      </c>
      <c r="BJ394" s="16">
        <f t="shared" si="663"/>
        <v>1189.25</v>
      </c>
      <c r="BK394" s="16">
        <f t="shared" si="663"/>
        <v>1289.25</v>
      </c>
      <c r="BL394" s="16">
        <f t="shared" si="663"/>
        <v>1339.25</v>
      </c>
      <c r="BM394" s="16">
        <f t="shared" si="663"/>
        <v>1339.25</v>
      </c>
      <c r="BN394" s="16">
        <f t="shared" si="663"/>
        <v>1339.25</v>
      </c>
      <c r="BO394" s="16">
        <f t="shared" si="663"/>
        <v>1339.25</v>
      </c>
      <c r="BP394" s="16">
        <f t="shared" si="663"/>
        <v>1339.25</v>
      </c>
      <c r="BQ394" s="16">
        <f t="shared" si="663"/>
        <v>1339.25</v>
      </c>
      <c r="BR394" s="16">
        <f t="shared" si="663"/>
        <v>1339.25</v>
      </c>
      <c r="BS394" s="16">
        <f t="shared" si="663"/>
        <v>1339.25</v>
      </c>
      <c r="BT394" s="16">
        <f t="shared" si="663"/>
        <v>1339.25</v>
      </c>
      <c r="BU394" s="16">
        <f t="shared" si="663"/>
        <v>1339.25</v>
      </c>
      <c r="BX394" s="221">
        <f t="shared" si="559"/>
        <v>386</v>
      </c>
    </row>
    <row r="395" spans="1:82" ht="11.25" hidden="1" customHeight="1" outlineLevel="2">
      <c r="A395" s="180"/>
      <c r="B395" s="17"/>
      <c r="C395" s="16"/>
      <c r="D395" s="16"/>
      <c r="E395" s="16"/>
      <c r="F395" s="16"/>
      <c r="G395" s="16"/>
      <c r="H395" s="16"/>
      <c r="I395" s="16"/>
      <c r="J395" s="16"/>
      <c r="K395" s="16"/>
      <c r="L395" s="3"/>
      <c r="M395" s="3"/>
      <c r="N395" s="3"/>
      <c r="O395" s="3"/>
      <c r="P395" s="3"/>
      <c r="Q395" s="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X395" s="221">
        <f t="shared" ref="BX395:BX429" si="664">+BX394+1</f>
        <v>387</v>
      </c>
    </row>
    <row r="396" spans="1:82" ht="11.25" hidden="1" customHeight="1" outlineLevel="2">
      <c r="A396" s="180"/>
      <c r="B396" s="28" t="s">
        <v>10</v>
      </c>
      <c r="C396" s="27"/>
      <c r="D396" s="27"/>
      <c r="E396" s="27"/>
      <c r="F396" s="27"/>
      <c r="G396" s="27"/>
      <c r="H396" s="27"/>
      <c r="I396" s="27"/>
      <c r="J396" s="26">
        <f t="shared" ref="J396:O396" si="665">+J380*1000/J$394</f>
        <v>1737.1002181259541</v>
      </c>
      <c r="K396" s="26">
        <f t="shared" si="665"/>
        <v>890.18925005181347</v>
      </c>
      <c r="L396" s="26">
        <f t="shared" si="665"/>
        <v>498.91710695260792</v>
      </c>
      <c r="M396" s="26">
        <f t="shared" si="665"/>
        <v>1441.8569742742507</v>
      </c>
      <c r="N396" s="26">
        <f t="shared" si="665"/>
        <v>1713.1542978028372</v>
      </c>
      <c r="O396" s="26">
        <f t="shared" si="665"/>
        <v>1845.4647557731796</v>
      </c>
      <c r="P396" s="26">
        <f t="shared" ref="P396" si="666">+P380*1000/P$394</f>
        <v>1845.4647557731796</v>
      </c>
      <c r="Q396" s="3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6">
        <f t="shared" ref="BB396:BG396" si="667">+BB380*1000/BB$394</f>
        <v>126.15303150648663</v>
      </c>
      <c r="BC396" s="26">
        <f t="shared" si="667"/>
        <v>93.529762499338105</v>
      </c>
      <c r="BD396" s="26">
        <f t="shared" si="667"/>
        <v>122.52475509663756</v>
      </c>
      <c r="BE396" s="26">
        <f t="shared" si="667"/>
        <v>156.70955785014561</v>
      </c>
      <c r="BF396" s="26">
        <f t="shared" si="667"/>
        <v>254.3320095313741</v>
      </c>
      <c r="BG396" s="26">
        <f t="shared" si="667"/>
        <v>342.21445591739473</v>
      </c>
      <c r="BH396" s="26">
        <f t="shared" ref="BH396:BI396" si="668">+BH380*1000/BH$394</f>
        <v>404.12249299115808</v>
      </c>
      <c r="BI396" s="26">
        <f t="shared" si="668"/>
        <v>416.66512507883118</v>
      </c>
      <c r="BJ396" s="26">
        <f t="shared" ref="BJ396:BQ396" si="669">+BJ380*1000/BJ$394</f>
        <v>415.16119402985078</v>
      </c>
      <c r="BK396" s="26">
        <f t="shared" si="669"/>
        <v>421.25537715726205</v>
      </c>
      <c r="BL396" s="26">
        <f t="shared" si="669"/>
        <v>429.54783108513669</v>
      </c>
      <c r="BM396" s="26">
        <f t="shared" si="669"/>
        <v>445.45701001421577</v>
      </c>
      <c r="BN396" s="26">
        <f t="shared" si="669"/>
        <v>461.3661889432949</v>
      </c>
      <c r="BO396" s="26">
        <f t="shared" si="669"/>
        <v>461.3661889432949</v>
      </c>
      <c r="BP396" s="26">
        <f t="shared" si="669"/>
        <v>461.3661889432949</v>
      </c>
      <c r="BQ396" s="26">
        <f t="shared" si="669"/>
        <v>461.3661889432949</v>
      </c>
      <c r="BR396" s="26">
        <f t="shared" ref="BR396:BU396" si="670">+BR380*1000/BR$394</f>
        <v>461.3661889432949</v>
      </c>
      <c r="BS396" s="26">
        <f t="shared" si="670"/>
        <v>461.3661889432949</v>
      </c>
      <c r="BT396" s="26">
        <f t="shared" si="670"/>
        <v>461.3661889432949</v>
      </c>
      <c r="BU396" s="26">
        <f t="shared" si="670"/>
        <v>461.3661889432949</v>
      </c>
      <c r="BX396" s="221">
        <f t="shared" si="664"/>
        <v>388</v>
      </c>
    </row>
    <row r="397" spans="1:82" ht="11.25" hidden="1" customHeight="1" outlineLevel="2">
      <c r="A397" s="180"/>
      <c r="B397" s="28" t="s">
        <v>9</v>
      </c>
      <c r="C397" s="27"/>
      <c r="D397" s="27"/>
      <c r="E397" s="27"/>
      <c r="F397" s="27"/>
      <c r="G397" s="27"/>
      <c r="H397" s="27"/>
      <c r="I397" s="27"/>
      <c r="J397" s="26">
        <f t="shared" ref="J397:O397" si="671">+(J380+J381)*1000/J$394</f>
        <v>178.52851392366424</v>
      </c>
      <c r="K397" s="26">
        <f t="shared" si="671"/>
        <v>18.726984518134678</v>
      </c>
      <c r="L397" s="26">
        <f t="shared" si="671"/>
        <v>-14.629462615064657</v>
      </c>
      <c r="M397" s="26">
        <f t="shared" si="671"/>
        <v>233.97781449138532</v>
      </c>
      <c r="N397" s="26">
        <f t="shared" si="671"/>
        <v>371.14757511752509</v>
      </c>
      <c r="O397" s="26">
        <f t="shared" si="671"/>
        <v>411.33163456021259</v>
      </c>
      <c r="P397" s="26">
        <f t="shared" ref="P397" si="672">+(P380+P381)*1000/P$394</f>
        <v>409.05646565004537</v>
      </c>
      <c r="Q397" s="3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6">
        <f t="shared" ref="BB397:BG397" si="673">+(BB380+BB381)*1000/BB$394</f>
        <v>-21.216963388933028</v>
      </c>
      <c r="BC397" s="26">
        <f t="shared" si="673"/>
        <v>7.3587535822080579</v>
      </c>
      <c r="BD397" s="26">
        <f t="shared" si="673"/>
        <v>-6.2920364990995461</v>
      </c>
      <c r="BE397" s="26">
        <f t="shared" si="673"/>
        <v>5.5207836907598553</v>
      </c>
      <c r="BF397" s="26">
        <f t="shared" si="673"/>
        <v>18.501456182155149</v>
      </c>
      <c r="BG397" s="26">
        <f t="shared" si="673"/>
        <v>47.39422822345778</v>
      </c>
      <c r="BH397" s="26">
        <f t="shared" ref="BH397:BI397" si="674">+(BH380+BH381)*1000/BH$394</f>
        <v>68.390769894328216</v>
      </c>
      <c r="BI397" s="26">
        <f t="shared" si="674"/>
        <v>89.415177632961942</v>
      </c>
      <c r="BJ397" s="26">
        <f t="shared" ref="BJ397:BQ397" si="675">+(BJ380+BJ381)*1000/BJ$394</f>
        <v>82.213247424847609</v>
      </c>
      <c r="BK397" s="26">
        <f t="shared" si="675"/>
        <v>91.475817413224775</v>
      </c>
      <c r="BL397" s="26">
        <f t="shared" si="675"/>
        <v>95.126622264240865</v>
      </c>
      <c r="BM397" s="26">
        <f t="shared" si="675"/>
        <v>101.09865988641744</v>
      </c>
      <c r="BN397" s="26">
        <f t="shared" si="675"/>
        <v>102.70073495749629</v>
      </c>
      <c r="BO397" s="26">
        <f t="shared" si="675"/>
        <v>103.47993197658349</v>
      </c>
      <c r="BP397" s="26">
        <f t="shared" si="675"/>
        <v>102.88685121362148</v>
      </c>
      <c r="BQ397" s="26">
        <f t="shared" si="675"/>
        <v>102.26411641251134</v>
      </c>
      <c r="BR397" s="26">
        <f t="shared" ref="BR397:BU397" si="676">+(BR380+BR381)*1000/BR$394</f>
        <v>102.26411641251134</v>
      </c>
      <c r="BS397" s="26">
        <f t="shared" si="676"/>
        <v>102.26411641251134</v>
      </c>
      <c r="BT397" s="26">
        <f t="shared" si="676"/>
        <v>102.26411641251134</v>
      </c>
      <c r="BU397" s="26">
        <f t="shared" si="676"/>
        <v>102.26411641251134</v>
      </c>
      <c r="BX397" s="221">
        <f t="shared" si="664"/>
        <v>389</v>
      </c>
    </row>
    <row r="398" spans="1:82" ht="11.25" hidden="1" customHeight="1" outlineLevel="2">
      <c r="A398" s="180"/>
      <c r="B398" s="28" t="s">
        <v>8</v>
      </c>
      <c r="C398" s="27"/>
      <c r="D398" s="27"/>
      <c r="E398" s="27"/>
      <c r="F398" s="27"/>
      <c r="G398" s="27"/>
      <c r="H398" s="27"/>
      <c r="I398" s="27"/>
      <c r="J398" s="26">
        <f t="shared" ref="J398:O398" si="677">+J384*1000/J$394</f>
        <v>142.01328538351498</v>
      </c>
      <c r="K398" s="26">
        <f t="shared" si="677"/>
        <v>-10.817020522483656</v>
      </c>
      <c r="L398" s="26">
        <f t="shared" si="677"/>
        <v>-35.232282639712892</v>
      </c>
      <c r="M398" s="26">
        <f t="shared" si="677"/>
        <v>178.29596412556049</v>
      </c>
      <c r="N398" s="26">
        <f t="shared" si="677"/>
        <v>338.08884329669905</v>
      </c>
      <c r="O398" s="26">
        <f t="shared" si="677"/>
        <v>410.54390705854433</v>
      </c>
      <c r="P398" s="26">
        <f t="shared" ref="P398" si="678">+P384*1000/P$394</f>
        <v>417.5744639530601</v>
      </c>
      <c r="Q398" s="3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6">
        <f t="shared" ref="BB398:BG398" si="679">+BB384*1000/BB$394</f>
        <v>-26.144744654617988</v>
      </c>
      <c r="BC398" s="26">
        <f t="shared" si="679"/>
        <v>2.7503945117621704</v>
      </c>
      <c r="BD398" s="26">
        <f t="shared" si="679"/>
        <v>-12.633272713960602</v>
      </c>
      <c r="BE398" s="26">
        <f t="shared" si="679"/>
        <v>0.79534021710352165</v>
      </c>
      <c r="BF398" s="26">
        <f t="shared" si="679"/>
        <v>5.1871855970346763</v>
      </c>
      <c r="BG398" s="26">
        <f t="shared" si="679"/>
        <v>27.858088429970895</v>
      </c>
      <c r="BH398" s="26">
        <f t="shared" ref="BH398:BI398" si="680">+BH384*1000/BH$394</f>
        <v>58.082380849687297</v>
      </c>
      <c r="BI398" s="26">
        <f t="shared" si="680"/>
        <v>75.951229766659665</v>
      </c>
      <c r="BJ398" s="26">
        <f t="shared" ref="BJ398:BQ398" si="681">+BJ384*1000/BJ$394</f>
        <v>70.077952070632747</v>
      </c>
      <c r="BK398" s="26">
        <f t="shared" si="681"/>
        <v>81.5554179561761</v>
      </c>
      <c r="BL398" s="26">
        <f t="shared" si="681"/>
        <v>87.722230813802199</v>
      </c>
      <c r="BM398" s="26">
        <f t="shared" si="681"/>
        <v>97.004679113596879</v>
      </c>
      <c r="BN398" s="26">
        <f t="shared" si="681"/>
        <v>101.33599881786591</v>
      </c>
      <c r="BO398" s="26">
        <f t="shared" si="681"/>
        <v>102.86831426611121</v>
      </c>
      <c r="BP398" s="26">
        <f t="shared" si="681"/>
        <v>103.06600785376521</v>
      </c>
      <c r="BQ398" s="26">
        <f t="shared" si="681"/>
        <v>103.27358612080189</v>
      </c>
      <c r="BR398" s="26">
        <f t="shared" ref="BR398:BU398" si="682">+BR384*1000/BR$394</f>
        <v>103.27358612080189</v>
      </c>
      <c r="BS398" s="26">
        <f t="shared" si="682"/>
        <v>104.7669592774194</v>
      </c>
      <c r="BT398" s="26">
        <f t="shared" si="682"/>
        <v>104.7669592774194</v>
      </c>
      <c r="BU398" s="26">
        <f t="shared" si="682"/>
        <v>104.7669592774194</v>
      </c>
      <c r="BX398" s="221">
        <f t="shared" si="664"/>
        <v>390</v>
      </c>
    </row>
    <row r="399" spans="1:82" ht="11.25" hidden="1" customHeight="1" outlineLevel="2">
      <c r="A399" s="180"/>
      <c r="B399" s="24"/>
      <c r="C399" s="16"/>
      <c r="D399" s="16"/>
      <c r="E399" s="16"/>
      <c r="F399" s="16"/>
      <c r="G399" s="16"/>
      <c r="H399" s="16"/>
      <c r="I399" s="16"/>
      <c r="J399" s="16"/>
      <c r="K399" s="16"/>
      <c r="L399" s="3"/>
      <c r="M399" s="3"/>
      <c r="N399" s="3"/>
      <c r="O399" s="3"/>
      <c r="P399" s="3"/>
      <c r="Q399" s="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X399" s="221">
        <f t="shared" si="664"/>
        <v>391</v>
      </c>
    </row>
    <row r="400" spans="1:82" ht="11.25" hidden="1" customHeight="1" outlineLevel="2">
      <c r="A400" s="180"/>
      <c r="B400" s="17" t="s">
        <v>7</v>
      </c>
      <c r="C400" s="120">
        <f t="shared" ref="C400:P400" si="683">C150</f>
        <v>1670.2499999999998</v>
      </c>
      <c r="D400" s="120">
        <f t="shared" si="683"/>
        <v>1792.7416666666663</v>
      </c>
      <c r="E400" s="120">
        <f t="shared" si="683"/>
        <v>1035.0666666666666</v>
      </c>
      <c r="F400" s="120">
        <f t="shared" si="683"/>
        <v>1494.1250000000002</v>
      </c>
      <c r="G400" s="120">
        <f t="shared" si="683"/>
        <v>1826.3416666666665</v>
      </c>
      <c r="H400" s="120">
        <f t="shared" si="683"/>
        <v>1854.0666666666668</v>
      </c>
      <c r="I400" s="120">
        <f t="shared" si="683"/>
        <v>1686.5791666666667</v>
      </c>
      <c r="J400" s="120">
        <f t="shared" si="683"/>
        <v>1790.8291666666664</v>
      </c>
      <c r="K400" s="120">
        <f t="shared" si="683"/>
        <v>937.77500000000009</v>
      </c>
      <c r="L400" s="120">
        <f t="shared" si="683"/>
        <v>484.89166666666665</v>
      </c>
      <c r="M400" s="120">
        <f t="shared" si="683"/>
        <v>851.9</v>
      </c>
      <c r="N400" s="120">
        <f t="shared" si="683"/>
        <v>1053.6538461538462</v>
      </c>
      <c r="O400" s="120">
        <f t="shared" si="683"/>
        <v>1132.5</v>
      </c>
      <c r="P400" s="120">
        <f t="shared" si="683"/>
        <v>1150</v>
      </c>
      <c r="Q400" s="3"/>
      <c r="R400" s="120">
        <f t="shared" ref="R400:AW400" si="684">R150</f>
        <v>1628.1333333333332</v>
      </c>
      <c r="S400" s="120">
        <f t="shared" si="684"/>
        <v>1654.3</v>
      </c>
      <c r="T400" s="120">
        <f t="shared" si="684"/>
        <v>1692.2166666666667</v>
      </c>
      <c r="U400" s="120">
        <f t="shared" si="684"/>
        <v>1706.35</v>
      </c>
      <c r="V400" s="120">
        <f t="shared" si="684"/>
        <v>1690.9666666666667</v>
      </c>
      <c r="W400" s="120">
        <f t="shared" si="684"/>
        <v>1776.6833333333332</v>
      </c>
      <c r="X400" s="120">
        <f t="shared" si="684"/>
        <v>1887.7833333333333</v>
      </c>
      <c r="Y400" s="120">
        <f t="shared" si="684"/>
        <v>1815.5333333333335</v>
      </c>
      <c r="Z400" s="120">
        <f t="shared" si="684"/>
        <v>1265.0166666666667</v>
      </c>
      <c r="AA400" s="120">
        <f t="shared" si="684"/>
        <v>881.46666666666658</v>
      </c>
      <c r="AB400" s="120">
        <f t="shared" si="684"/>
        <v>933.48333333333335</v>
      </c>
      <c r="AC400" s="120">
        <f t="shared" si="684"/>
        <v>1060.3</v>
      </c>
      <c r="AD400" s="120">
        <f t="shared" si="684"/>
        <v>1283.0500000000002</v>
      </c>
      <c r="AE400" s="120">
        <f t="shared" si="684"/>
        <v>1454.9333333333334</v>
      </c>
      <c r="AF400" s="120">
        <f t="shared" si="684"/>
        <v>1590.5166666666669</v>
      </c>
      <c r="AG400" s="120">
        <f t="shared" si="684"/>
        <v>1648</v>
      </c>
      <c r="AH400" s="120">
        <f t="shared" si="684"/>
        <v>1674.3333333333333</v>
      </c>
      <c r="AI400" s="120">
        <f t="shared" si="684"/>
        <v>1780.8999999999999</v>
      </c>
      <c r="AJ400" s="120">
        <f t="shared" si="684"/>
        <v>1894.1499999999996</v>
      </c>
      <c r="AK400" s="120">
        <f t="shared" si="684"/>
        <v>1955.9833333333333</v>
      </c>
      <c r="AL400" s="120">
        <f t="shared" si="684"/>
        <v>1930.3</v>
      </c>
      <c r="AM400" s="120">
        <f t="shared" si="684"/>
        <v>1903.35</v>
      </c>
      <c r="AN400" s="120">
        <f t="shared" si="684"/>
        <v>1838.3166666666666</v>
      </c>
      <c r="AO400" s="120">
        <f t="shared" si="684"/>
        <v>1744.2999999999997</v>
      </c>
      <c r="AP400" s="120">
        <f t="shared" si="684"/>
        <v>1689.0833333333335</v>
      </c>
      <c r="AQ400" s="120">
        <f t="shared" si="684"/>
        <v>1687.6666666666667</v>
      </c>
      <c r="AR400" s="120">
        <f t="shared" si="684"/>
        <v>1688.6833333333332</v>
      </c>
      <c r="AS400" s="120">
        <f t="shared" si="684"/>
        <v>1680.8833333333332</v>
      </c>
      <c r="AT400" s="120">
        <f t="shared" si="684"/>
        <v>1707.4666666666665</v>
      </c>
      <c r="AU400" s="120">
        <f t="shared" si="684"/>
        <v>1782.15</v>
      </c>
      <c r="AV400" s="120">
        <f t="shared" si="684"/>
        <v>1829.8999999999999</v>
      </c>
      <c r="AW400" s="120">
        <f t="shared" si="684"/>
        <v>1843.8</v>
      </c>
      <c r="AX400" s="120">
        <f t="shared" ref="AX400:BQ400" si="685">AX150</f>
        <v>1323.7666666666669</v>
      </c>
      <c r="AY400" s="120">
        <f t="shared" si="685"/>
        <v>874.48333333333335</v>
      </c>
      <c r="AZ400" s="120">
        <f t="shared" si="685"/>
        <v>829.58333333333337</v>
      </c>
      <c r="BA400" s="120">
        <f t="shared" si="685"/>
        <v>723.26666666666688</v>
      </c>
      <c r="BB400" s="120">
        <f t="shared" si="685"/>
        <v>526.04999999999995</v>
      </c>
      <c r="BC400" s="120">
        <f t="shared" si="685"/>
        <v>393.73333333333335</v>
      </c>
      <c r="BD400" s="120">
        <f t="shared" si="685"/>
        <v>457.90000000000003</v>
      </c>
      <c r="BE400" s="120">
        <f t="shared" si="685"/>
        <v>561.88333333333321</v>
      </c>
      <c r="BF400" s="120">
        <f t="shared" si="685"/>
        <v>715.55000000000018</v>
      </c>
      <c r="BG400" s="120">
        <f t="shared" si="685"/>
        <v>867.88333333333321</v>
      </c>
      <c r="BH400" s="120">
        <f t="shared" si="685"/>
        <v>924.49999999999989</v>
      </c>
      <c r="BI400" s="120">
        <f t="shared" ref="BI400" si="686">BI150</f>
        <v>899.66666666666663</v>
      </c>
      <c r="BJ400" s="120">
        <f t="shared" si="685"/>
        <v>984.61538461538464</v>
      </c>
      <c r="BK400" s="120">
        <f t="shared" si="685"/>
        <v>1045</v>
      </c>
      <c r="BL400" s="120">
        <f t="shared" si="685"/>
        <v>1080</v>
      </c>
      <c r="BM400" s="120">
        <f t="shared" si="685"/>
        <v>1105</v>
      </c>
      <c r="BN400" s="120">
        <f t="shared" si="685"/>
        <v>1115</v>
      </c>
      <c r="BO400" s="120">
        <f t="shared" si="685"/>
        <v>1125</v>
      </c>
      <c r="BP400" s="120">
        <f t="shared" si="685"/>
        <v>1140</v>
      </c>
      <c r="BQ400" s="120">
        <f t="shared" si="685"/>
        <v>1150</v>
      </c>
      <c r="BR400" s="120">
        <f t="shared" ref="BR400:BU400" si="687">BR150</f>
        <v>1150</v>
      </c>
      <c r="BS400" s="120">
        <f t="shared" si="687"/>
        <v>1150</v>
      </c>
      <c r="BT400" s="120">
        <f t="shared" si="687"/>
        <v>1150</v>
      </c>
      <c r="BU400" s="120">
        <f t="shared" si="687"/>
        <v>1150</v>
      </c>
      <c r="BX400" s="221">
        <f t="shared" si="664"/>
        <v>392</v>
      </c>
    </row>
    <row r="401" spans="1:82" ht="11.25" hidden="1" customHeight="1" outlineLevel="2">
      <c r="A401" s="180"/>
      <c r="B401" s="17" t="s">
        <v>6</v>
      </c>
      <c r="C401" s="20">
        <f t="shared" ref="C401:K401" si="688">C380/C400*1000</f>
        <v>0</v>
      </c>
      <c r="D401" s="20">
        <f t="shared" si="688"/>
        <v>0</v>
      </c>
      <c r="E401" s="20">
        <f t="shared" si="688"/>
        <v>0</v>
      </c>
      <c r="F401" s="20">
        <f t="shared" si="688"/>
        <v>0</v>
      </c>
      <c r="G401" s="20">
        <f t="shared" si="688"/>
        <v>0</v>
      </c>
      <c r="H401" s="20">
        <f t="shared" si="688"/>
        <v>0</v>
      </c>
      <c r="I401" s="20">
        <f t="shared" si="688"/>
        <v>0</v>
      </c>
      <c r="J401" s="20">
        <f t="shared" si="688"/>
        <v>847.13134679047664</v>
      </c>
      <c r="K401" s="20">
        <f t="shared" si="688"/>
        <v>916.03276510890123</v>
      </c>
      <c r="L401" s="20">
        <f>L380/L400*1000</f>
        <v>971.56233159984197</v>
      </c>
      <c r="M401" s="20">
        <f>M380/M400*1000</f>
        <v>1792.8007982157533</v>
      </c>
      <c r="N401" s="20">
        <f>N380/N400*1000</f>
        <v>2096.2142230151489</v>
      </c>
      <c r="O401" s="20">
        <f>O380/O400*1000</f>
        <v>2182.3741052266937</v>
      </c>
      <c r="P401" s="20">
        <f>P380/P400*1000</f>
        <v>2149.1640644949834</v>
      </c>
      <c r="Q401" s="3"/>
      <c r="R401" s="20">
        <f t="shared" ref="R401:BA401" si="689">R380/R400*1000</f>
        <v>0</v>
      </c>
      <c r="S401" s="20">
        <f t="shared" si="689"/>
        <v>0</v>
      </c>
      <c r="T401" s="20">
        <f t="shared" si="689"/>
        <v>0</v>
      </c>
      <c r="U401" s="20">
        <f t="shared" si="689"/>
        <v>0</v>
      </c>
      <c r="V401" s="20">
        <f t="shared" si="689"/>
        <v>0</v>
      </c>
      <c r="W401" s="20">
        <f t="shared" si="689"/>
        <v>0</v>
      </c>
      <c r="X401" s="20">
        <f t="shared" si="689"/>
        <v>0</v>
      </c>
      <c r="Y401" s="20">
        <f t="shared" si="689"/>
        <v>0</v>
      </c>
      <c r="Z401" s="20">
        <f t="shared" si="689"/>
        <v>0</v>
      </c>
      <c r="AA401" s="20">
        <f t="shared" si="689"/>
        <v>0</v>
      </c>
      <c r="AB401" s="20">
        <f t="shared" si="689"/>
        <v>0</v>
      </c>
      <c r="AC401" s="20">
        <f t="shared" si="689"/>
        <v>0</v>
      </c>
      <c r="AD401" s="20">
        <f t="shared" si="689"/>
        <v>0</v>
      </c>
      <c r="AE401" s="20">
        <f t="shared" si="689"/>
        <v>0</v>
      </c>
      <c r="AF401" s="20">
        <f t="shared" si="689"/>
        <v>0</v>
      </c>
      <c r="AG401" s="20">
        <f t="shared" si="689"/>
        <v>0</v>
      </c>
      <c r="AH401" s="20">
        <f t="shared" si="689"/>
        <v>0</v>
      </c>
      <c r="AI401" s="20">
        <f t="shared" si="689"/>
        <v>0</v>
      </c>
      <c r="AJ401" s="20">
        <f t="shared" si="689"/>
        <v>0</v>
      </c>
      <c r="AK401" s="20">
        <f t="shared" si="689"/>
        <v>0</v>
      </c>
      <c r="AL401" s="20">
        <f t="shared" si="689"/>
        <v>0</v>
      </c>
      <c r="AM401" s="20">
        <f t="shared" si="689"/>
        <v>0</v>
      </c>
      <c r="AN401" s="20">
        <f t="shared" si="689"/>
        <v>0</v>
      </c>
      <c r="AO401" s="20">
        <f t="shared" si="689"/>
        <v>0</v>
      </c>
      <c r="AP401" s="20">
        <f t="shared" si="689"/>
        <v>0</v>
      </c>
      <c r="AQ401" s="20">
        <f t="shared" si="689"/>
        <v>0</v>
      </c>
      <c r="AR401" s="20">
        <f t="shared" si="689"/>
        <v>0</v>
      </c>
      <c r="AS401" s="20">
        <f t="shared" si="689"/>
        <v>0</v>
      </c>
      <c r="AT401" s="20">
        <f t="shared" si="689"/>
        <v>0</v>
      </c>
      <c r="AU401" s="20">
        <f t="shared" si="689"/>
        <v>0</v>
      </c>
      <c r="AV401" s="20">
        <f t="shared" si="689"/>
        <v>0</v>
      </c>
      <c r="AW401" s="20">
        <f t="shared" si="689"/>
        <v>0</v>
      </c>
      <c r="AX401" s="20">
        <f t="shared" si="689"/>
        <v>0</v>
      </c>
      <c r="AY401" s="20">
        <f t="shared" si="689"/>
        <v>0</v>
      </c>
      <c r="AZ401" s="20">
        <f t="shared" si="689"/>
        <v>0</v>
      </c>
      <c r="BA401" s="20">
        <f t="shared" si="689"/>
        <v>0</v>
      </c>
      <c r="BB401" s="20">
        <f>BB380/BB400*1000</f>
        <v>226.44235338846119</v>
      </c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X401" s="221">
        <f t="shared" si="664"/>
        <v>393</v>
      </c>
    </row>
    <row r="402" spans="1:82" ht="11.25" hidden="1" customHeight="1" outlineLevel="2">
      <c r="A402" s="180"/>
      <c r="B402" s="17" t="s">
        <v>5</v>
      </c>
      <c r="C402" s="15"/>
      <c r="D402" s="15">
        <f t="shared" ref="D402:P402" si="690">D400/C400-1</f>
        <v>7.3337324751783672E-2</v>
      </c>
      <c r="E402" s="15">
        <f t="shared" si="690"/>
        <v>-0.42263479121829217</v>
      </c>
      <c r="F402" s="15">
        <f t="shared" si="690"/>
        <v>0.44350605436042789</v>
      </c>
      <c r="G402" s="15">
        <f t="shared" si="690"/>
        <v>0.22234864329735871</v>
      </c>
      <c r="H402" s="15">
        <f t="shared" si="690"/>
        <v>1.5180620639621223E-2</v>
      </c>
      <c r="I402" s="15">
        <f t="shared" si="690"/>
        <v>-9.0335209089928536E-2</v>
      </c>
      <c r="J402" s="15">
        <f t="shared" si="690"/>
        <v>6.1811507019879919E-2</v>
      </c>
      <c r="K402" s="15">
        <f t="shared" si="690"/>
        <v>-0.47634591983694696</v>
      </c>
      <c r="L402" s="15">
        <f t="shared" si="690"/>
        <v>-0.4829338949463714</v>
      </c>
      <c r="M402" s="15">
        <f t="shared" si="690"/>
        <v>0.75688727722687199</v>
      </c>
      <c r="N402" s="15">
        <f t="shared" si="690"/>
        <v>0.23682808563663138</v>
      </c>
      <c r="O402" s="15">
        <f t="shared" si="690"/>
        <v>7.4831173571819676E-2</v>
      </c>
      <c r="P402" s="15">
        <f t="shared" si="690"/>
        <v>1.5452538631346657E-2</v>
      </c>
      <c r="Q402" s="3"/>
      <c r="R402" s="15"/>
      <c r="S402" s="15">
        <f t="shared" ref="S402:BB402" si="691">S400/R400-1</f>
        <v>1.6071574809597866E-2</v>
      </c>
      <c r="T402" s="15">
        <f t="shared" si="691"/>
        <v>2.2920066896371161E-2</v>
      </c>
      <c r="U402" s="15">
        <f t="shared" si="691"/>
        <v>8.3519643859630843E-3</v>
      </c>
      <c r="V402" s="15">
        <f t="shared" si="691"/>
        <v>-9.0153446440256468E-3</v>
      </c>
      <c r="W402" s="15">
        <f t="shared" si="691"/>
        <v>5.0690926294624239E-2</v>
      </c>
      <c r="X402" s="15">
        <f t="shared" si="691"/>
        <v>6.2532246414198855E-2</v>
      </c>
      <c r="Y402" s="15">
        <f t="shared" si="691"/>
        <v>-3.8272400610945723E-2</v>
      </c>
      <c r="Z402" s="15">
        <f t="shared" si="691"/>
        <v>-0.30322586567767051</v>
      </c>
      <c r="AA402" s="15">
        <f t="shared" si="691"/>
        <v>-0.30319758632956095</v>
      </c>
      <c r="AB402" s="15">
        <f t="shared" si="691"/>
        <v>5.9011495991529328E-2</v>
      </c>
      <c r="AC402" s="15">
        <f t="shared" si="691"/>
        <v>0.13585316645539103</v>
      </c>
      <c r="AD402" s="15">
        <f t="shared" si="691"/>
        <v>0.2100820522493636</v>
      </c>
      <c r="AE402" s="15">
        <f t="shared" si="691"/>
        <v>0.13396464154423682</v>
      </c>
      <c r="AF402" s="15">
        <f t="shared" si="691"/>
        <v>9.3188691348973673E-2</v>
      </c>
      <c r="AG402" s="15">
        <f t="shared" si="691"/>
        <v>3.6141295805346196E-2</v>
      </c>
      <c r="AH402" s="15">
        <f t="shared" si="691"/>
        <v>1.5978964401294427E-2</v>
      </c>
      <c r="AI402" s="15">
        <f t="shared" si="691"/>
        <v>6.3647222775233825E-2</v>
      </c>
      <c r="AJ402" s="15">
        <f t="shared" si="691"/>
        <v>6.359144252905824E-2</v>
      </c>
      <c r="AK402" s="15">
        <f t="shared" si="691"/>
        <v>3.2644369946062124E-2</v>
      </c>
      <c r="AL402" s="15">
        <f t="shared" si="691"/>
        <v>-1.3130650397498278E-2</v>
      </c>
      <c r="AM402" s="15">
        <f t="shared" si="691"/>
        <v>-1.3961560379215698E-2</v>
      </c>
      <c r="AN402" s="15">
        <f t="shared" si="691"/>
        <v>-3.4167826901690845E-2</v>
      </c>
      <c r="AO402" s="15">
        <f t="shared" si="691"/>
        <v>-5.1142802745265281E-2</v>
      </c>
      <c r="AP402" s="15">
        <f t="shared" si="691"/>
        <v>-3.1655487397045379E-2</v>
      </c>
      <c r="AQ402" s="15">
        <f t="shared" si="691"/>
        <v>-8.3871922640488261E-4</v>
      </c>
      <c r="AR402" s="15">
        <f t="shared" si="691"/>
        <v>6.0240963855417995E-4</v>
      </c>
      <c r="AS402" s="15">
        <f t="shared" si="691"/>
        <v>-4.6189832315116641E-3</v>
      </c>
      <c r="AT402" s="15">
        <f t="shared" si="691"/>
        <v>1.5815097220707397E-2</v>
      </c>
      <c r="AU402" s="15">
        <f t="shared" si="691"/>
        <v>4.3739262845541305E-2</v>
      </c>
      <c r="AV402" s="15">
        <f t="shared" si="691"/>
        <v>2.6793479785651941E-2</v>
      </c>
      <c r="AW402" s="15">
        <f t="shared" si="691"/>
        <v>7.5960434996449333E-3</v>
      </c>
      <c r="AX402" s="15">
        <f t="shared" si="691"/>
        <v>-0.28204432874136731</v>
      </c>
      <c r="AY402" s="15">
        <f t="shared" si="691"/>
        <v>-0.33939767834210466</v>
      </c>
      <c r="AZ402" s="15">
        <f t="shared" si="691"/>
        <v>-5.1344603480150131E-2</v>
      </c>
      <c r="BA402" s="15">
        <f t="shared" si="691"/>
        <v>-0.12815670517327959</v>
      </c>
      <c r="BB402" s="15">
        <f t="shared" si="691"/>
        <v>-0.27267490091252677</v>
      </c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X402" s="221">
        <f t="shared" si="664"/>
        <v>394</v>
      </c>
    </row>
    <row r="403" spans="1:82" ht="11.25" hidden="1" customHeight="1" outlineLevel="2">
      <c r="A403" s="180"/>
      <c r="B403" s="17"/>
      <c r="C403" s="16"/>
      <c r="D403" s="16"/>
      <c r="E403" s="16"/>
      <c r="F403" s="16"/>
      <c r="G403" s="16"/>
      <c r="H403" s="16"/>
      <c r="I403" s="16"/>
      <c r="J403" s="16"/>
      <c r="K403" s="16"/>
      <c r="L403" s="3"/>
      <c r="M403" s="3"/>
      <c r="N403" s="3"/>
      <c r="O403" s="3"/>
      <c r="P403" s="3"/>
      <c r="Q403" s="3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X403" s="221">
        <f t="shared" si="664"/>
        <v>395</v>
      </c>
    </row>
    <row r="404" spans="1:82" ht="11.25" hidden="1" customHeight="1" outlineLevel="2">
      <c r="A404" s="180"/>
      <c r="B404" s="223" t="s">
        <v>321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3"/>
      <c r="M404" s="3"/>
      <c r="N404" s="3"/>
      <c r="O404" s="3"/>
      <c r="P404" s="3"/>
      <c r="Q404" s="3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X404" s="221">
        <f t="shared" si="664"/>
        <v>396</v>
      </c>
    </row>
    <row r="405" spans="1:82" ht="11.25" hidden="1" customHeight="1" outlineLevel="2">
      <c r="A405" s="180"/>
      <c r="B405" s="48" t="s">
        <v>37</v>
      </c>
      <c r="C405" s="211"/>
      <c r="D405" s="211"/>
      <c r="E405" s="211"/>
      <c r="F405" s="211"/>
      <c r="G405" s="211"/>
      <c r="H405" s="211"/>
      <c r="I405" s="211"/>
      <c r="J405" s="211"/>
      <c r="K405" s="40">
        <v>738.12800000000004</v>
      </c>
      <c r="L405" s="40">
        <f>L380</f>
        <v>471.10247824000004</v>
      </c>
      <c r="M405" s="40">
        <f>M380</f>
        <v>1527.287</v>
      </c>
      <c r="N405" s="40">
        <f>N380</f>
        <v>2208.6841784423077</v>
      </c>
      <c r="O405" s="40">
        <f>O380</f>
        <v>2471.5386741692309</v>
      </c>
      <c r="P405" s="40">
        <f>P380</f>
        <v>2471.5386741692309</v>
      </c>
      <c r="Q405" s="3"/>
      <c r="R405" s="211"/>
      <c r="S405" s="211"/>
      <c r="T405" s="211"/>
      <c r="U405" s="211"/>
      <c r="V405" s="211"/>
      <c r="W405" s="211"/>
      <c r="X405" s="211"/>
      <c r="Y405" s="211"/>
      <c r="Z405" s="211"/>
      <c r="AA405" s="211"/>
      <c r="AB405" s="211"/>
      <c r="AC405" s="211"/>
      <c r="AD405" s="211"/>
      <c r="AE405" s="211"/>
      <c r="AF405" s="211"/>
      <c r="AG405" s="211"/>
      <c r="AH405" s="211"/>
      <c r="AI405" s="211"/>
      <c r="AJ405" s="211"/>
      <c r="AK405" s="211"/>
      <c r="AL405" s="211"/>
      <c r="AM405" s="211"/>
      <c r="AN405" s="211"/>
      <c r="AO405" s="211"/>
      <c r="AP405" s="211"/>
      <c r="AQ405" s="211"/>
      <c r="AR405" s="211"/>
      <c r="AS405" s="211"/>
      <c r="AT405" s="211"/>
      <c r="AU405" s="211"/>
      <c r="AV405" s="211"/>
      <c r="AW405" s="211"/>
      <c r="AX405" s="211"/>
      <c r="AY405" s="211"/>
      <c r="AZ405" s="211"/>
      <c r="BA405" s="211"/>
      <c r="BB405" s="211"/>
      <c r="BC405" s="211"/>
      <c r="BD405" s="211"/>
      <c r="BE405" s="211"/>
      <c r="BF405" s="211"/>
      <c r="BG405" s="211"/>
      <c r="BH405" s="211"/>
      <c r="BI405" s="211"/>
      <c r="BJ405" s="211"/>
      <c r="BK405" s="211"/>
      <c r="BL405" s="211"/>
      <c r="BM405" s="211"/>
      <c r="BN405" s="211"/>
      <c r="BO405" s="211"/>
      <c r="BP405" s="211"/>
      <c r="BQ405" s="211"/>
      <c r="BR405" s="18"/>
      <c r="BS405" s="18"/>
      <c r="BT405" s="18"/>
      <c r="BU405" s="18"/>
      <c r="BX405" s="221">
        <f t="shared" si="664"/>
        <v>397</v>
      </c>
    </row>
    <row r="406" spans="1:82" ht="11.25" hidden="1" customHeight="1" outlineLevel="2">
      <c r="A406" s="180"/>
      <c r="B406" s="24" t="s">
        <v>36</v>
      </c>
      <c r="C406" s="211"/>
      <c r="D406" s="211"/>
      <c r="E406" s="211"/>
      <c r="F406" s="211"/>
      <c r="G406" s="211"/>
      <c r="H406" s="211"/>
      <c r="I406" s="211"/>
      <c r="J406" s="211"/>
      <c r="K406" s="59">
        <v>-522.79200000000003</v>
      </c>
      <c r="L406" s="40">
        <f t="shared" ref="L406:O409" si="692">L381</f>
        <v>-484.91634831427484</v>
      </c>
      <c r="M406" s="40">
        <f t="shared" si="692"/>
        <v>-1279.4460000000001</v>
      </c>
      <c r="N406" s="40">
        <f t="shared" si="692"/>
        <v>-1730.1821672220385</v>
      </c>
      <c r="O406" s="40">
        <f t="shared" si="692"/>
        <v>-1920.6627825844662</v>
      </c>
      <c r="P406" s="40">
        <f t="shared" ref="P406" si="693">P381</f>
        <v>-1923.7098025474077</v>
      </c>
      <c r="Q406" s="3"/>
      <c r="R406" s="211"/>
      <c r="S406" s="211"/>
      <c r="T406" s="211"/>
      <c r="U406" s="211"/>
      <c r="V406" s="211"/>
      <c r="W406" s="211"/>
      <c r="X406" s="211"/>
      <c r="Y406" s="211"/>
      <c r="Z406" s="211"/>
      <c r="AA406" s="211"/>
      <c r="AB406" s="211"/>
      <c r="AC406" s="211"/>
      <c r="AD406" s="211"/>
      <c r="AE406" s="211"/>
      <c r="AF406" s="211"/>
      <c r="AG406" s="211"/>
      <c r="AH406" s="211"/>
      <c r="AI406" s="211"/>
      <c r="AJ406" s="211"/>
      <c r="AK406" s="211"/>
      <c r="AL406" s="211"/>
      <c r="AM406" s="211"/>
      <c r="AN406" s="211"/>
      <c r="AO406" s="211"/>
      <c r="AP406" s="211"/>
      <c r="AQ406" s="211"/>
      <c r="AR406" s="211"/>
      <c r="AS406" s="211"/>
      <c r="AT406" s="211"/>
      <c r="AU406" s="211"/>
      <c r="AV406" s="211"/>
      <c r="AW406" s="211"/>
      <c r="AX406" s="211"/>
      <c r="AY406" s="211"/>
      <c r="AZ406" s="211"/>
      <c r="BA406" s="211"/>
      <c r="BB406" s="211"/>
      <c r="BC406" s="211"/>
      <c r="BD406" s="211"/>
      <c r="BE406" s="211"/>
      <c r="BF406" s="211"/>
      <c r="BG406" s="211"/>
      <c r="BH406" s="211"/>
      <c r="BI406" s="211"/>
      <c r="BJ406" s="211"/>
      <c r="BK406" s="211"/>
      <c r="BL406" s="211"/>
      <c r="BM406" s="211"/>
      <c r="BN406" s="211"/>
      <c r="BO406" s="211"/>
      <c r="BP406" s="211"/>
      <c r="BQ406" s="211"/>
      <c r="BR406" s="18"/>
      <c r="BS406" s="18"/>
      <c r="BT406" s="18"/>
      <c r="BU406" s="18"/>
      <c r="BX406" s="221">
        <f t="shared" si="664"/>
        <v>398</v>
      </c>
    </row>
    <row r="407" spans="1:82" ht="11.25" hidden="1" customHeight="1" outlineLevel="2">
      <c r="A407" s="180"/>
      <c r="B407" s="24" t="s">
        <v>35</v>
      </c>
      <c r="C407" s="211"/>
      <c r="D407" s="211"/>
      <c r="E407" s="211"/>
      <c r="F407" s="211"/>
      <c r="G407" s="211"/>
      <c r="H407" s="211"/>
      <c r="I407" s="211"/>
      <c r="J407" s="211"/>
      <c r="K407" s="59">
        <v>-238.31</v>
      </c>
      <c r="L407" s="40">
        <f t="shared" si="692"/>
        <v>-29.169720128274101</v>
      </c>
      <c r="M407" s="40">
        <f t="shared" si="692"/>
        <v>-73.775000000000006</v>
      </c>
      <c r="N407" s="40">
        <f t="shared" si="692"/>
        <v>-84</v>
      </c>
      <c r="O407" s="40">
        <f t="shared" si="692"/>
        <v>-88</v>
      </c>
      <c r="P407" s="40">
        <f t="shared" ref="P407" si="694">P382</f>
        <v>-82</v>
      </c>
      <c r="Q407" s="3"/>
      <c r="R407" s="211"/>
      <c r="S407" s="211"/>
      <c r="T407" s="211"/>
      <c r="U407" s="211"/>
      <c r="V407" s="211"/>
      <c r="W407" s="211"/>
      <c r="X407" s="211"/>
      <c r="Y407" s="211"/>
      <c r="Z407" s="211"/>
      <c r="AA407" s="211"/>
      <c r="AB407" s="211"/>
      <c r="AC407" s="211"/>
      <c r="AD407" s="211"/>
      <c r="AE407" s="211"/>
      <c r="AF407" s="211"/>
      <c r="AG407" s="211"/>
      <c r="AH407" s="211"/>
      <c r="AI407" s="211"/>
      <c r="AJ407" s="211"/>
      <c r="AK407" s="211"/>
      <c r="AL407" s="211"/>
      <c r="AM407" s="211"/>
      <c r="AN407" s="211"/>
      <c r="AO407" s="211"/>
      <c r="AP407" s="211"/>
      <c r="AQ407" s="211"/>
      <c r="AR407" s="211"/>
      <c r="AS407" s="211"/>
      <c r="AT407" s="211"/>
      <c r="AU407" s="211"/>
      <c r="AV407" s="211"/>
      <c r="AW407" s="211"/>
      <c r="AX407" s="211"/>
      <c r="AY407" s="211"/>
      <c r="AZ407" s="211"/>
      <c r="BA407" s="211"/>
      <c r="BB407" s="211"/>
      <c r="BC407" s="211"/>
      <c r="BD407" s="211"/>
      <c r="BE407" s="211"/>
      <c r="BF407" s="211"/>
      <c r="BG407" s="211"/>
      <c r="BH407" s="211"/>
      <c r="BI407" s="211"/>
      <c r="BJ407" s="211"/>
      <c r="BK407" s="211"/>
      <c r="BL407" s="211"/>
      <c r="BM407" s="211"/>
      <c r="BN407" s="211"/>
      <c r="BO407" s="211"/>
      <c r="BP407" s="211"/>
      <c r="BQ407" s="211"/>
      <c r="BR407" s="18"/>
      <c r="BS407" s="18"/>
      <c r="BT407" s="18"/>
      <c r="BU407" s="18"/>
      <c r="BX407" s="221">
        <f t="shared" si="664"/>
        <v>399</v>
      </c>
    </row>
    <row r="408" spans="1:82" ht="11.25" hidden="1" customHeight="1" outlineLevel="2">
      <c r="A408" s="180"/>
      <c r="B408" s="48" t="s">
        <v>226</v>
      </c>
      <c r="C408" s="212"/>
      <c r="D408" s="212"/>
      <c r="E408" s="212"/>
      <c r="F408" s="212"/>
      <c r="G408" s="212"/>
      <c r="H408" s="212"/>
      <c r="I408" s="212"/>
      <c r="J408" s="212"/>
      <c r="K408" s="40">
        <f>SUM(K405:K407)</f>
        <v>-22.97399999999999</v>
      </c>
      <c r="L408" s="40">
        <f t="shared" si="692"/>
        <v>-42.983590202548903</v>
      </c>
      <c r="M408" s="40">
        <f t="shared" si="692"/>
        <v>174.06599999999989</v>
      </c>
      <c r="N408" s="40">
        <f t="shared" si="692"/>
        <v>394.5020112202692</v>
      </c>
      <c r="O408" s="40">
        <f t="shared" si="692"/>
        <v>462.87589158476476</v>
      </c>
      <c r="P408" s="40">
        <f t="shared" ref="P408" si="695">P383</f>
        <v>465.82887162182328</v>
      </c>
      <c r="Q408" s="3"/>
      <c r="R408" s="212"/>
      <c r="S408" s="212"/>
      <c r="T408" s="212"/>
      <c r="U408" s="212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12"/>
      <c r="AF408" s="212"/>
      <c r="AG408" s="212"/>
      <c r="AH408" s="212"/>
      <c r="AI408" s="212"/>
      <c r="AJ408" s="212"/>
      <c r="AK408" s="212"/>
      <c r="AL408" s="212"/>
      <c r="AM408" s="212"/>
      <c r="AN408" s="212"/>
      <c r="AO408" s="212"/>
      <c r="AP408" s="212"/>
      <c r="AQ408" s="212"/>
      <c r="AR408" s="212"/>
      <c r="AS408" s="212"/>
      <c r="AT408" s="212"/>
      <c r="AU408" s="212"/>
      <c r="AV408" s="212"/>
      <c r="AW408" s="212"/>
      <c r="AX408" s="212"/>
      <c r="AY408" s="212"/>
      <c r="AZ408" s="212"/>
      <c r="BA408" s="212"/>
      <c r="BB408" s="212"/>
      <c r="BC408" s="212"/>
      <c r="BD408" s="212"/>
      <c r="BE408" s="212"/>
      <c r="BF408" s="212"/>
      <c r="BG408" s="212"/>
      <c r="BH408" s="212"/>
      <c r="BI408" s="212"/>
      <c r="BJ408" s="212"/>
      <c r="BK408" s="212"/>
      <c r="BL408" s="212"/>
      <c r="BM408" s="212"/>
      <c r="BN408" s="212"/>
      <c r="BO408" s="212"/>
      <c r="BP408" s="212"/>
      <c r="BQ408" s="212"/>
      <c r="BR408" s="18"/>
      <c r="BS408" s="18"/>
      <c r="BT408" s="18"/>
      <c r="BU408" s="18"/>
      <c r="BX408" s="221">
        <f t="shared" si="664"/>
        <v>400</v>
      </c>
    </row>
    <row r="409" spans="1:82" ht="11.25" hidden="1" customHeight="1" outlineLevel="2">
      <c r="A409" s="180"/>
      <c r="B409" s="48" t="s">
        <v>292</v>
      </c>
      <c r="C409" s="211"/>
      <c r="D409" s="211"/>
      <c r="E409" s="211"/>
      <c r="F409" s="211"/>
      <c r="G409" s="211"/>
      <c r="H409" s="211"/>
      <c r="I409" s="211"/>
      <c r="J409" s="211"/>
      <c r="K409" s="59">
        <v>-10.638999999999999</v>
      </c>
      <c r="L409" s="40">
        <f t="shared" si="692"/>
        <v>-33.268082882548903</v>
      </c>
      <c r="M409" s="40">
        <f t="shared" si="692"/>
        <v>188.85999999999993</v>
      </c>
      <c r="N409" s="40">
        <f t="shared" si="692"/>
        <v>435.88104122026925</v>
      </c>
      <c r="O409" s="40">
        <f t="shared" si="692"/>
        <v>549.82092752815549</v>
      </c>
      <c r="P409" s="40">
        <f t="shared" ref="P409" si="696">P384</f>
        <v>559.23660084913581</v>
      </c>
      <c r="Q409" s="3"/>
      <c r="R409" s="211"/>
      <c r="S409" s="211"/>
      <c r="T409" s="211"/>
      <c r="U409" s="211"/>
      <c r="V409" s="211"/>
      <c r="W409" s="211"/>
      <c r="X409" s="211"/>
      <c r="Y409" s="211"/>
      <c r="Z409" s="211"/>
      <c r="AA409" s="211"/>
      <c r="AB409" s="211"/>
      <c r="AC409" s="211"/>
      <c r="AD409" s="211"/>
      <c r="AE409" s="211"/>
      <c r="AF409" s="211"/>
      <c r="AG409" s="211"/>
      <c r="AH409" s="211"/>
      <c r="AI409" s="211"/>
      <c r="AJ409" s="211"/>
      <c r="AK409" s="211"/>
      <c r="AL409" s="211"/>
      <c r="AM409" s="211"/>
      <c r="AN409" s="211"/>
      <c r="AO409" s="211"/>
      <c r="AP409" s="211"/>
      <c r="AQ409" s="211"/>
      <c r="AR409" s="211"/>
      <c r="AS409" s="211"/>
      <c r="AT409" s="211"/>
      <c r="AU409" s="211"/>
      <c r="AV409" s="211"/>
      <c r="AW409" s="211"/>
      <c r="AX409" s="211"/>
      <c r="AY409" s="211"/>
      <c r="AZ409" s="211"/>
      <c r="BA409" s="211"/>
      <c r="BB409" s="211"/>
      <c r="BC409" s="211"/>
      <c r="BD409" s="211"/>
      <c r="BE409" s="211"/>
      <c r="BF409" s="211"/>
      <c r="BG409" s="211"/>
      <c r="BH409" s="211"/>
      <c r="BI409" s="211"/>
      <c r="BJ409" s="211"/>
      <c r="BK409" s="211"/>
      <c r="BL409" s="211"/>
      <c r="BM409" s="211"/>
      <c r="BN409" s="211"/>
      <c r="BO409" s="211"/>
      <c r="BP409" s="211"/>
      <c r="BQ409" s="211"/>
      <c r="BR409" s="18"/>
      <c r="BS409" s="18"/>
      <c r="BT409" s="18"/>
      <c r="BU409" s="18"/>
      <c r="BX409" s="221">
        <f t="shared" si="664"/>
        <v>401</v>
      </c>
    </row>
    <row r="410" spans="1:82" s="214" customFormat="1" ht="11.25" hidden="1" customHeight="1" outlineLevel="2">
      <c r="A410" s="180"/>
      <c r="B410" s="49"/>
      <c r="C410" s="16"/>
      <c r="D410" s="16"/>
      <c r="E410" s="16"/>
      <c r="F410" s="16"/>
      <c r="G410" s="16"/>
      <c r="H410" s="16"/>
      <c r="I410" s="16"/>
      <c r="J410" s="16"/>
      <c r="K410" s="16"/>
      <c r="L410" s="3"/>
      <c r="M410" s="16"/>
      <c r="N410" s="16"/>
      <c r="O410" s="16"/>
      <c r="P410" s="16"/>
      <c r="Q410" s="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3"/>
      <c r="BS410" s="3"/>
      <c r="BT410" s="3"/>
      <c r="BU410" s="3"/>
      <c r="BX410" s="221">
        <f t="shared" si="664"/>
        <v>402</v>
      </c>
      <c r="BY410"/>
      <c r="BZ410"/>
      <c r="CA410"/>
      <c r="CB410"/>
      <c r="CC410"/>
      <c r="CD410"/>
    </row>
    <row r="411" spans="1:82" ht="11.25" hidden="1" customHeight="1" outlineLevel="2">
      <c r="A411" s="180"/>
      <c r="B411" s="48" t="s">
        <v>32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3"/>
      <c r="M411" s="16"/>
      <c r="N411" s="16"/>
      <c r="O411" s="16"/>
      <c r="P411" s="16"/>
      <c r="Q411" s="3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18"/>
      <c r="BS411" s="18"/>
      <c r="BT411" s="18"/>
      <c r="BU411" s="18"/>
      <c r="BX411" s="221">
        <f t="shared" si="664"/>
        <v>403</v>
      </c>
    </row>
    <row r="412" spans="1:82" ht="11.25" hidden="1" customHeight="1" outlineLevel="2">
      <c r="A412" s="180"/>
      <c r="B412" s="17" t="s">
        <v>31</v>
      </c>
      <c r="C412" s="19"/>
      <c r="D412" s="19"/>
      <c r="E412" s="19"/>
      <c r="F412" s="19"/>
      <c r="G412" s="19"/>
      <c r="H412" s="19"/>
      <c r="I412" s="19"/>
      <c r="J412" s="19"/>
      <c r="K412" s="19"/>
      <c r="L412" s="46">
        <f>+L405/K405-1</f>
        <v>-0.36176045585589489</v>
      </c>
      <c r="M412" s="46">
        <f>+M405/L405-1</f>
        <v>2.241942189957943</v>
      </c>
      <c r="N412" s="46">
        <f>+N405/M405-1</f>
        <v>0.44614874509002411</v>
      </c>
      <c r="O412" s="46">
        <f>+O405/N405-1</f>
        <v>0.11900954346143933</v>
      </c>
      <c r="P412" s="46">
        <f>+P405/O405-1</f>
        <v>0</v>
      </c>
      <c r="Q412" s="3"/>
      <c r="R412" s="213"/>
      <c r="S412" s="213"/>
      <c r="T412" s="213"/>
      <c r="U412" s="21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13"/>
      <c r="AF412" s="213"/>
      <c r="AG412" s="213"/>
      <c r="AH412" s="213"/>
      <c r="AI412" s="213"/>
      <c r="AJ412" s="213"/>
      <c r="AK412" s="213"/>
      <c r="AL412" s="213"/>
      <c r="AM412" s="213"/>
      <c r="AN412" s="213"/>
      <c r="AO412" s="213"/>
      <c r="AP412" s="213"/>
      <c r="AQ412" s="213"/>
      <c r="AR412" s="213"/>
      <c r="AS412" s="213"/>
      <c r="AT412" s="213"/>
      <c r="AU412" s="213"/>
      <c r="AV412" s="213"/>
      <c r="AW412" s="213"/>
      <c r="AX412" s="213"/>
      <c r="AY412" s="213"/>
      <c r="AZ412" s="213"/>
      <c r="BA412" s="213"/>
      <c r="BB412" s="213"/>
      <c r="BC412" s="213"/>
      <c r="BD412" s="213"/>
      <c r="BE412" s="213"/>
      <c r="BF412" s="213"/>
      <c r="BG412" s="213"/>
      <c r="BH412" s="213"/>
      <c r="BI412" s="213"/>
      <c r="BJ412" s="213"/>
      <c r="BK412" s="213"/>
      <c r="BL412" s="213"/>
      <c r="BM412" s="213"/>
      <c r="BN412" s="213"/>
      <c r="BO412" s="213"/>
      <c r="BP412" s="213"/>
      <c r="BQ412" s="213"/>
      <c r="BR412" s="18"/>
      <c r="BS412" s="18"/>
      <c r="BT412" s="18"/>
      <c r="BU412" s="18"/>
      <c r="BX412" s="221">
        <f t="shared" si="664"/>
        <v>404</v>
      </c>
    </row>
    <row r="413" spans="1:82" ht="11.25" hidden="1" customHeight="1" outlineLevel="2">
      <c r="A413" s="180"/>
      <c r="B413" s="17" t="s">
        <v>30</v>
      </c>
      <c r="C413" s="19"/>
      <c r="D413" s="19"/>
      <c r="E413" s="19"/>
      <c r="F413" s="19"/>
      <c r="G413" s="19"/>
      <c r="H413" s="19"/>
      <c r="I413" s="19"/>
      <c r="J413" s="19"/>
      <c r="K413" s="46">
        <f t="shared" ref="K413:O413" si="697">-K406/K$380</f>
        <v>0.60858224006200368</v>
      </c>
      <c r="L413" s="46">
        <f t="shared" si="697"/>
        <v>1.0293224313441998</v>
      </c>
      <c r="M413" s="46">
        <f t="shared" si="697"/>
        <v>0.83772467126348882</v>
      </c>
      <c r="N413" s="46">
        <f t="shared" si="697"/>
        <v>0.7833542631895265</v>
      </c>
      <c r="O413" s="46">
        <f t="shared" si="697"/>
        <v>0.77711217010596323</v>
      </c>
      <c r="P413" s="46">
        <f t="shared" ref="P413" si="698">-P406/P$380</f>
        <v>0.7783450134333959</v>
      </c>
      <c r="Q413" s="3"/>
      <c r="R413" s="213"/>
      <c r="S413" s="213"/>
      <c r="T413" s="213"/>
      <c r="U413" s="21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13"/>
      <c r="AF413" s="213"/>
      <c r="AG413" s="213"/>
      <c r="AH413" s="213"/>
      <c r="AI413" s="213"/>
      <c r="AJ413" s="213"/>
      <c r="AK413" s="213"/>
      <c r="AL413" s="213"/>
      <c r="AM413" s="213"/>
      <c r="AN413" s="213"/>
      <c r="AO413" s="213"/>
      <c r="AP413" s="213"/>
      <c r="AQ413" s="213"/>
      <c r="AR413" s="213"/>
      <c r="AS413" s="213"/>
      <c r="AT413" s="213"/>
      <c r="AU413" s="213"/>
      <c r="AV413" s="213"/>
      <c r="AW413" s="213"/>
      <c r="AX413" s="213"/>
      <c r="AY413" s="213"/>
      <c r="AZ413" s="213"/>
      <c r="BA413" s="213"/>
      <c r="BB413" s="213"/>
      <c r="BC413" s="213"/>
      <c r="BD413" s="213"/>
      <c r="BE413" s="213"/>
      <c r="BF413" s="213"/>
      <c r="BG413" s="213"/>
      <c r="BH413" s="213"/>
      <c r="BI413" s="213"/>
      <c r="BJ413" s="213"/>
      <c r="BK413" s="213"/>
      <c r="BL413" s="213"/>
      <c r="BM413" s="213"/>
      <c r="BN413" s="213"/>
      <c r="BO413" s="213"/>
      <c r="BP413" s="213"/>
      <c r="BQ413" s="213"/>
      <c r="BR413" s="18"/>
      <c r="BS413" s="18"/>
      <c r="BT413" s="18"/>
      <c r="BU413" s="18"/>
      <c r="BX413" s="221">
        <f t="shared" si="664"/>
        <v>405</v>
      </c>
    </row>
    <row r="414" spans="1:82" ht="11.25" hidden="1" customHeight="1" outlineLevel="2">
      <c r="A414" s="180"/>
      <c r="B414" s="17" t="s">
        <v>29</v>
      </c>
      <c r="C414" s="19"/>
      <c r="D414" s="19"/>
      <c r="E414" s="19"/>
      <c r="F414" s="19"/>
      <c r="G414" s="19"/>
      <c r="H414" s="19"/>
      <c r="I414" s="19"/>
      <c r="J414" s="19"/>
      <c r="K414" s="46">
        <f t="shared" ref="K414:O414" si="699">(1-K413)</f>
        <v>0.39141775993799632</v>
      </c>
      <c r="L414" s="46">
        <f t="shared" si="699"/>
        <v>-2.9322431344199762E-2</v>
      </c>
      <c r="M414" s="46">
        <f t="shared" si="699"/>
        <v>0.16227532873651118</v>
      </c>
      <c r="N414" s="46">
        <f t="shared" si="699"/>
        <v>0.2166457368104735</v>
      </c>
      <c r="O414" s="46">
        <f t="shared" si="699"/>
        <v>0.22288782989403677</v>
      </c>
      <c r="P414" s="46">
        <f t="shared" ref="P414" si="700">(1-P413)</f>
        <v>0.2216549865666041</v>
      </c>
      <c r="Q414" s="3"/>
      <c r="R414" s="213"/>
      <c r="S414" s="213"/>
      <c r="T414" s="213"/>
      <c r="U414" s="21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13"/>
      <c r="AF414" s="213"/>
      <c r="AG414" s="213"/>
      <c r="AH414" s="213"/>
      <c r="AI414" s="213"/>
      <c r="AJ414" s="213"/>
      <c r="AK414" s="213"/>
      <c r="AL414" s="213"/>
      <c r="AM414" s="213"/>
      <c r="AN414" s="213"/>
      <c r="AO414" s="213"/>
      <c r="AP414" s="213"/>
      <c r="AQ414" s="213"/>
      <c r="AR414" s="213"/>
      <c r="AS414" s="213"/>
      <c r="AT414" s="213"/>
      <c r="AU414" s="213"/>
      <c r="AV414" s="213"/>
      <c r="AW414" s="213"/>
      <c r="AX414" s="213"/>
      <c r="AY414" s="213"/>
      <c r="AZ414" s="213"/>
      <c r="BA414" s="213"/>
      <c r="BB414" s="213"/>
      <c r="BC414" s="213"/>
      <c r="BD414" s="213"/>
      <c r="BE414" s="213"/>
      <c r="BF414" s="213"/>
      <c r="BG414" s="213"/>
      <c r="BH414" s="213"/>
      <c r="BI414" s="213"/>
      <c r="BJ414" s="213"/>
      <c r="BK414" s="213"/>
      <c r="BL414" s="213"/>
      <c r="BM414" s="213"/>
      <c r="BN414" s="213"/>
      <c r="BO414" s="213"/>
      <c r="BP414" s="213"/>
      <c r="BQ414" s="213"/>
      <c r="BR414" s="18"/>
      <c r="BS414" s="18"/>
      <c r="BT414" s="18"/>
      <c r="BU414" s="18"/>
      <c r="BX414" s="221">
        <f t="shared" si="664"/>
        <v>406</v>
      </c>
    </row>
    <row r="415" spans="1:82" ht="11.25" hidden="1" customHeight="1" outlineLevel="2">
      <c r="A415" s="180"/>
      <c r="B415" s="17" t="s">
        <v>28</v>
      </c>
      <c r="C415" s="19"/>
      <c r="D415" s="19"/>
      <c r="E415" s="19"/>
      <c r="F415" s="19"/>
      <c r="G415" s="19"/>
      <c r="H415" s="19"/>
      <c r="I415" s="19"/>
      <c r="J415" s="19"/>
      <c r="K415" s="46">
        <f t="shared" ref="K415:O415" si="701">-K407/K$380</f>
        <v>0.27741670421348469</v>
      </c>
      <c r="L415" s="46">
        <f t="shared" si="701"/>
        <v>6.1917993378531495E-2</v>
      </c>
      <c r="M415" s="46">
        <f t="shared" si="701"/>
        <v>4.8304608105745682E-2</v>
      </c>
      <c r="N415" s="46">
        <f t="shared" si="701"/>
        <v>3.8031693630024406E-2</v>
      </c>
      <c r="O415" s="46">
        <f t="shared" si="701"/>
        <v>3.5605350189221625E-2</v>
      </c>
      <c r="P415" s="46">
        <f t="shared" ref="P415" si="702">-P407/P$380</f>
        <v>3.3177712676320151E-2</v>
      </c>
      <c r="Q415" s="3"/>
      <c r="R415" s="213"/>
      <c r="S415" s="213"/>
      <c r="T415" s="213"/>
      <c r="U415" s="21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13"/>
      <c r="AF415" s="213"/>
      <c r="AG415" s="213"/>
      <c r="AH415" s="213"/>
      <c r="AI415" s="213"/>
      <c r="AJ415" s="213"/>
      <c r="AK415" s="213"/>
      <c r="AL415" s="213"/>
      <c r="AM415" s="213"/>
      <c r="AN415" s="213"/>
      <c r="AO415" s="213"/>
      <c r="AP415" s="213"/>
      <c r="AQ415" s="213"/>
      <c r="AR415" s="213"/>
      <c r="AS415" s="213"/>
      <c r="AT415" s="213"/>
      <c r="AU415" s="213"/>
      <c r="AV415" s="213"/>
      <c r="AW415" s="213"/>
      <c r="AX415" s="213"/>
      <c r="AY415" s="213"/>
      <c r="AZ415" s="213"/>
      <c r="BA415" s="213"/>
      <c r="BB415" s="213"/>
      <c r="BC415" s="213"/>
      <c r="BD415" s="213"/>
      <c r="BE415" s="213"/>
      <c r="BF415" s="213"/>
      <c r="BG415" s="213"/>
      <c r="BH415" s="213"/>
      <c r="BI415" s="213"/>
      <c r="BJ415" s="213"/>
      <c r="BK415" s="213"/>
      <c r="BL415" s="213"/>
      <c r="BM415" s="213"/>
      <c r="BN415" s="213"/>
      <c r="BO415" s="213"/>
      <c r="BP415" s="213"/>
      <c r="BQ415" s="213"/>
      <c r="BR415" s="18"/>
      <c r="BS415" s="18"/>
      <c r="BT415" s="18"/>
      <c r="BU415" s="18"/>
      <c r="BX415" s="221">
        <f t="shared" si="664"/>
        <v>407</v>
      </c>
    </row>
    <row r="416" spans="1:82" ht="11.25" hidden="1" customHeight="1" outlineLevel="2">
      <c r="A416" s="180"/>
      <c r="B416" s="17" t="s">
        <v>203</v>
      </c>
      <c r="C416" s="19"/>
      <c r="D416" s="19"/>
      <c r="E416" s="19"/>
      <c r="F416" s="19"/>
      <c r="G416" s="19"/>
      <c r="H416" s="19"/>
      <c r="I416" s="19"/>
      <c r="J416" s="19"/>
      <c r="K416" s="46">
        <f t="shared" ref="K416:O417" si="703">K408/K$380</f>
        <v>-2.6744036601907575E-2</v>
      </c>
      <c r="L416" s="46">
        <f t="shared" si="703"/>
        <v>-9.1240424722731348E-2</v>
      </c>
      <c r="M416" s="46">
        <f t="shared" si="703"/>
        <v>0.11397072063076547</v>
      </c>
      <c r="N416" s="46">
        <f t="shared" si="703"/>
        <v>0.17861404318044916</v>
      </c>
      <c r="O416" s="46">
        <f t="shared" si="703"/>
        <v>0.18728247970481515</v>
      </c>
      <c r="P416" s="46">
        <f t="shared" ref="P416" si="704">P408/P$380</f>
        <v>0.1884772738902839</v>
      </c>
      <c r="Q416" s="3"/>
      <c r="R416" s="213"/>
      <c r="S416" s="213"/>
      <c r="T416" s="213"/>
      <c r="U416" s="21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13"/>
      <c r="AF416" s="213"/>
      <c r="AG416" s="213"/>
      <c r="AH416" s="213"/>
      <c r="AI416" s="213"/>
      <c r="AJ416" s="213"/>
      <c r="AK416" s="213"/>
      <c r="AL416" s="213"/>
      <c r="AM416" s="213"/>
      <c r="AN416" s="213"/>
      <c r="AO416" s="213"/>
      <c r="AP416" s="213"/>
      <c r="AQ416" s="213"/>
      <c r="AR416" s="213"/>
      <c r="AS416" s="213"/>
      <c r="AT416" s="213"/>
      <c r="AU416" s="213"/>
      <c r="AV416" s="213"/>
      <c r="AW416" s="213"/>
      <c r="AX416" s="213"/>
      <c r="AY416" s="213"/>
      <c r="AZ416" s="213"/>
      <c r="BA416" s="213"/>
      <c r="BB416" s="213"/>
      <c r="BC416" s="213"/>
      <c r="BD416" s="213"/>
      <c r="BE416" s="213"/>
      <c r="BF416" s="213"/>
      <c r="BG416" s="213"/>
      <c r="BH416" s="213"/>
      <c r="BI416" s="213"/>
      <c r="BJ416" s="213"/>
      <c r="BK416" s="213"/>
      <c r="BL416" s="213"/>
      <c r="BM416" s="213"/>
      <c r="BN416" s="213"/>
      <c r="BO416" s="213"/>
      <c r="BP416" s="213"/>
      <c r="BQ416" s="213"/>
      <c r="BR416" s="18"/>
      <c r="BS416" s="18"/>
      <c r="BT416" s="18"/>
      <c r="BU416" s="18"/>
      <c r="BX416" s="221">
        <f t="shared" si="664"/>
        <v>408</v>
      </c>
    </row>
    <row r="417" spans="1:76" ht="11.25" hidden="1" customHeight="1" outlineLevel="2">
      <c r="A417" s="180"/>
      <c r="B417" s="17" t="s">
        <v>298</v>
      </c>
      <c r="C417" s="19"/>
      <c r="D417" s="19"/>
      <c r="E417" s="19"/>
      <c r="F417" s="19"/>
      <c r="G417" s="19"/>
      <c r="H417" s="19"/>
      <c r="I417" s="19"/>
      <c r="J417" s="19"/>
      <c r="K417" s="46">
        <f t="shared" si="703"/>
        <v>-1.2384861382767249E-2</v>
      </c>
      <c r="L417" s="46">
        <f t="shared" si="703"/>
        <v>-7.0617507695641332E-2</v>
      </c>
      <c r="M417" s="46">
        <f t="shared" si="703"/>
        <v>0.12365717772756524</v>
      </c>
      <c r="N417" s="46">
        <f t="shared" si="703"/>
        <v>0.19734874070030142</v>
      </c>
      <c r="O417" s="46">
        <f t="shared" si="703"/>
        <v>0.2224609848409389</v>
      </c>
      <c r="P417" s="46">
        <f t="shared" ref="P417" si="705">P409/P$380</f>
        <v>0.2262706251348118</v>
      </c>
      <c r="Q417" s="3"/>
      <c r="R417" s="213"/>
      <c r="S417" s="213"/>
      <c r="T417" s="213"/>
      <c r="U417" s="21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13"/>
      <c r="AF417" s="213"/>
      <c r="AG417" s="213"/>
      <c r="AH417" s="213"/>
      <c r="AI417" s="213"/>
      <c r="AJ417" s="213"/>
      <c r="AK417" s="213"/>
      <c r="AL417" s="213"/>
      <c r="AM417" s="213"/>
      <c r="AN417" s="213"/>
      <c r="AO417" s="213"/>
      <c r="AP417" s="213"/>
      <c r="AQ417" s="213"/>
      <c r="AR417" s="213"/>
      <c r="AS417" s="213"/>
      <c r="AT417" s="213"/>
      <c r="AU417" s="213"/>
      <c r="AV417" s="213"/>
      <c r="AW417" s="213"/>
      <c r="AX417" s="213"/>
      <c r="AY417" s="213"/>
      <c r="AZ417" s="213"/>
      <c r="BA417" s="213"/>
      <c r="BB417" s="213"/>
      <c r="BC417" s="213"/>
      <c r="BD417" s="213"/>
      <c r="BE417" s="213"/>
      <c r="BF417" s="213"/>
      <c r="BG417" s="213"/>
      <c r="BH417" s="213"/>
      <c r="BI417" s="213"/>
      <c r="BJ417" s="213"/>
      <c r="BK417" s="213"/>
      <c r="BL417" s="213"/>
      <c r="BM417" s="213"/>
      <c r="BN417" s="213"/>
      <c r="BO417" s="213"/>
      <c r="BP417" s="213"/>
      <c r="BQ417" s="213"/>
      <c r="BR417" s="18"/>
      <c r="BS417" s="18"/>
      <c r="BT417" s="18"/>
      <c r="BU417" s="18"/>
      <c r="BX417" s="221">
        <f t="shared" si="664"/>
        <v>409</v>
      </c>
    </row>
    <row r="418" spans="1:76" ht="11.25" hidden="1" customHeight="1" outlineLevel="2">
      <c r="A418" s="180"/>
      <c r="B418" s="17"/>
      <c r="C418" s="16"/>
      <c r="D418" s="16"/>
      <c r="E418" s="16"/>
      <c r="F418" s="16"/>
      <c r="G418" s="16"/>
      <c r="H418" s="16"/>
      <c r="I418" s="16"/>
      <c r="J418" s="16"/>
      <c r="K418" s="16"/>
      <c r="L418" s="3"/>
      <c r="M418" s="3"/>
      <c r="N418" s="3"/>
      <c r="O418" s="3"/>
      <c r="P418" s="3"/>
      <c r="Q418" s="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3"/>
      <c r="BS418" s="3"/>
      <c r="BT418" s="3"/>
      <c r="BU418" s="3"/>
      <c r="BX418" s="221">
        <f t="shared" si="664"/>
        <v>410</v>
      </c>
    </row>
    <row r="419" spans="1:76" ht="11.25" hidden="1" customHeight="1" outlineLevel="2">
      <c r="A419" s="180"/>
      <c r="B419" s="17" t="s">
        <v>299</v>
      </c>
      <c r="C419" s="16"/>
      <c r="D419" s="16"/>
      <c r="E419" s="16"/>
      <c r="F419" s="16"/>
      <c r="G419" s="16"/>
      <c r="H419" s="16"/>
      <c r="I419" s="16"/>
      <c r="J419" s="16">
        <f t="shared" ref="J419:O419" si="706">J394</f>
        <v>873.33333333333337</v>
      </c>
      <c r="K419" s="16">
        <f t="shared" si="706"/>
        <v>965</v>
      </c>
      <c r="L419" s="16">
        <f t="shared" si="706"/>
        <v>944.25</v>
      </c>
      <c r="M419" s="16">
        <f t="shared" si="706"/>
        <v>1059.25</v>
      </c>
      <c r="N419" s="16">
        <f t="shared" si="706"/>
        <v>1289.25</v>
      </c>
      <c r="O419" s="16">
        <f t="shared" si="706"/>
        <v>1339.25</v>
      </c>
      <c r="P419" s="16">
        <f t="shared" ref="P419" si="707">P394</f>
        <v>1339.25</v>
      </c>
      <c r="Q419" s="3"/>
      <c r="R419" s="213"/>
      <c r="S419" s="213"/>
      <c r="T419" s="213"/>
      <c r="U419" s="21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13"/>
      <c r="AF419" s="213"/>
      <c r="AG419" s="213"/>
      <c r="AH419" s="213"/>
      <c r="AI419" s="213"/>
      <c r="AJ419" s="213"/>
      <c r="AK419" s="213"/>
      <c r="AL419" s="213"/>
      <c r="AM419" s="213"/>
      <c r="AN419" s="213"/>
      <c r="AO419" s="213"/>
      <c r="AP419" s="213"/>
      <c r="AQ419" s="213"/>
      <c r="AR419" s="213"/>
      <c r="AS419" s="213"/>
      <c r="AT419" s="213"/>
      <c r="AU419" s="213"/>
      <c r="AV419" s="213"/>
      <c r="AW419" s="213"/>
      <c r="AX419" s="213"/>
      <c r="AY419" s="213"/>
      <c r="AZ419" s="213"/>
      <c r="BA419" s="213"/>
      <c r="BB419" s="213"/>
      <c r="BC419" s="213"/>
      <c r="BD419" s="213"/>
      <c r="BE419" s="213"/>
      <c r="BF419" s="213"/>
      <c r="BG419" s="213"/>
      <c r="BH419" s="213"/>
      <c r="BI419" s="213"/>
      <c r="BJ419" s="213"/>
      <c r="BK419" s="213"/>
      <c r="BL419" s="213"/>
      <c r="BM419" s="213"/>
      <c r="BN419" s="213"/>
      <c r="BO419" s="213"/>
      <c r="BP419" s="213"/>
      <c r="BQ419" s="213"/>
      <c r="BR419" s="213"/>
      <c r="BS419" s="213"/>
      <c r="BT419" s="213"/>
      <c r="BU419" s="213"/>
      <c r="BX419" s="221">
        <f t="shared" si="664"/>
        <v>411</v>
      </c>
    </row>
    <row r="420" spans="1:76" ht="11.25" hidden="1" customHeight="1" outlineLevel="2">
      <c r="A420" s="180"/>
      <c r="B420" s="17"/>
      <c r="C420" s="16"/>
      <c r="D420" s="16"/>
      <c r="E420" s="16"/>
      <c r="F420" s="16"/>
      <c r="G420" s="16"/>
      <c r="H420" s="16"/>
      <c r="I420" s="16"/>
      <c r="J420" s="16"/>
      <c r="K420" s="16"/>
      <c r="L420" s="3"/>
      <c r="M420" s="3"/>
      <c r="N420" s="3"/>
      <c r="O420" s="3"/>
      <c r="P420" s="3"/>
      <c r="Q420" s="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3"/>
      <c r="BS420" s="3"/>
      <c r="BT420" s="3"/>
      <c r="BU420" s="3"/>
      <c r="BX420" s="221">
        <f t="shared" si="664"/>
        <v>412</v>
      </c>
    </row>
    <row r="421" spans="1:76" ht="11.25" hidden="1" customHeight="1" outlineLevel="2">
      <c r="A421" s="180"/>
      <c r="B421" s="28" t="s">
        <v>10</v>
      </c>
      <c r="C421" s="27"/>
      <c r="D421" s="27"/>
      <c r="E421" s="27"/>
      <c r="F421" s="27"/>
      <c r="G421" s="27"/>
      <c r="H421" s="27"/>
      <c r="I421" s="27"/>
      <c r="J421" s="27"/>
      <c r="K421" s="26">
        <f t="shared" ref="K421:O421" si="708">+K405*1000/K$394</f>
        <v>764.899481865285</v>
      </c>
      <c r="L421" s="26">
        <f t="shared" si="708"/>
        <v>498.91710695260792</v>
      </c>
      <c r="M421" s="26">
        <f t="shared" si="708"/>
        <v>1441.8569742742507</v>
      </c>
      <c r="N421" s="26">
        <f t="shared" si="708"/>
        <v>1713.1542978028372</v>
      </c>
      <c r="O421" s="26">
        <f t="shared" si="708"/>
        <v>1845.4647557731796</v>
      </c>
      <c r="P421" s="26">
        <f t="shared" ref="P421" si="709">+P405*1000/P$394</f>
        <v>1845.4647557731796</v>
      </c>
      <c r="Q421" s="3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18"/>
      <c r="BS421" s="18"/>
      <c r="BT421" s="18"/>
      <c r="BU421" s="18"/>
      <c r="BX421" s="221">
        <f t="shared" si="664"/>
        <v>413</v>
      </c>
    </row>
    <row r="422" spans="1:76" ht="11.25" hidden="1" customHeight="1" outlineLevel="2">
      <c r="A422" s="180"/>
      <c r="B422" s="28" t="s">
        <v>9</v>
      </c>
      <c r="C422" s="27"/>
      <c r="D422" s="27"/>
      <c r="E422" s="27"/>
      <c r="F422" s="27"/>
      <c r="G422" s="27"/>
      <c r="H422" s="27"/>
      <c r="I422" s="27"/>
      <c r="J422" s="27"/>
      <c r="K422" s="26">
        <f t="shared" ref="K422:O422" si="710">+(K405+K406)*1000/K$394</f>
        <v>223.14611398963731</v>
      </c>
      <c r="L422" s="26">
        <f t="shared" si="710"/>
        <v>-14.629462615064657</v>
      </c>
      <c r="M422" s="26">
        <f t="shared" si="710"/>
        <v>233.97781449138532</v>
      </c>
      <c r="N422" s="26">
        <f t="shared" si="710"/>
        <v>371.14757511752509</v>
      </c>
      <c r="O422" s="26">
        <f t="shared" si="710"/>
        <v>411.33163456021259</v>
      </c>
      <c r="P422" s="26">
        <f t="shared" ref="P422" si="711">+(P405+P406)*1000/P$394</f>
        <v>409.05646565004537</v>
      </c>
      <c r="Q422" s="3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18"/>
      <c r="BS422" s="18"/>
      <c r="BT422" s="18"/>
      <c r="BU422" s="18"/>
      <c r="BX422" s="221">
        <f t="shared" si="664"/>
        <v>414</v>
      </c>
    </row>
    <row r="423" spans="1:76" ht="11.25" hidden="1" customHeight="1" outlineLevel="2">
      <c r="A423" s="180"/>
      <c r="B423" s="28" t="s">
        <v>8</v>
      </c>
      <c r="C423" s="27"/>
      <c r="D423" s="27"/>
      <c r="E423" s="27"/>
      <c r="F423" s="27"/>
      <c r="G423" s="27"/>
      <c r="H423" s="27"/>
      <c r="I423" s="27"/>
      <c r="J423" s="27"/>
      <c r="K423" s="26">
        <f t="shared" ref="K423:O423" si="712">+K409*1000/K$394</f>
        <v>-11.024870466321243</v>
      </c>
      <c r="L423" s="26">
        <f t="shared" si="712"/>
        <v>-35.232282639712892</v>
      </c>
      <c r="M423" s="26">
        <f t="shared" si="712"/>
        <v>178.29596412556049</v>
      </c>
      <c r="N423" s="26">
        <f t="shared" si="712"/>
        <v>338.08884329669905</v>
      </c>
      <c r="O423" s="26">
        <f t="shared" si="712"/>
        <v>410.54390705854433</v>
      </c>
      <c r="P423" s="26">
        <f t="shared" ref="P423" si="713">+P409*1000/P$394</f>
        <v>417.5744639530601</v>
      </c>
      <c r="Q423" s="3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18"/>
      <c r="BS423" s="18"/>
      <c r="BT423" s="18"/>
      <c r="BU423" s="18"/>
      <c r="BX423" s="221">
        <f t="shared" si="664"/>
        <v>415</v>
      </c>
    </row>
    <row r="424" spans="1:76" ht="11.25" hidden="1" customHeight="1" outlineLevel="2">
      <c r="A424" s="180"/>
      <c r="B424" s="17"/>
      <c r="C424" s="16"/>
      <c r="D424" s="16"/>
      <c r="E424" s="16"/>
      <c r="F424" s="16"/>
      <c r="G424" s="16"/>
      <c r="H424" s="16"/>
      <c r="I424" s="16"/>
      <c r="J424" s="16"/>
      <c r="K424" s="16"/>
      <c r="L424" s="3"/>
      <c r="M424" s="3"/>
      <c r="N424" s="3"/>
      <c r="O424" s="3"/>
      <c r="P424" s="3"/>
      <c r="Q424" s="3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X424" s="221">
        <f t="shared" si="664"/>
        <v>416</v>
      </c>
    </row>
    <row r="425" spans="1:76" ht="11.25" customHeight="1" outlineLevel="1" collapsed="1">
      <c r="A425" s="180" t="s">
        <v>0</v>
      </c>
      <c r="B425" s="14" t="s">
        <v>4</v>
      </c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/>
      <c r="BC425" s="12"/>
      <c r="BD425" s="12"/>
      <c r="BE425" s="12"/>
      <c r="BF425" s="12"/>
      <c r="BG425" s="12"/>
      <c r="BH425" s="12"/>
      <c r="BI425" s="12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X425" s="221">
        <f t="shared" si="664"/>
        <v>417</v>
      </c>
    </row>
    <row r="426" spans="1:76" ht="11.25" hidden="1" customHeight="1" outlineLevel="2">
      <c r="A426" s="180"/>
      <c r="B426" s="3" t="s">
        <v>3</v>
      </c>
      <c r="C426" s="11">
        <v>0</v>
      </c>
      <c r="D426" s="11">
        <v>0</v>
      </c>
      <c r="E426" s="11">
        <v>0</v>
      </c>
      <c r="F426" s="11">
        <v>0</v>
      </c>
      <c r="G426" s="11">
        <v>0</v>
      </c>
      <c r="H426" s="11">
        <v>0</v>
      </c>
      <c r="I426" s="11">
        <v>0</v>
      </c>
      <c r="J426" s="11">
        <v>0</v>
      </c>
      <c r="K426" s="11">
        <v>0</v>
      </c>
      <c r="L426" s="11">
        <v>0</v>
      </c>
      <c r="M426" s="11">
        <v>0</v>
      </c>
      <c r="N426" s="11">
        <v>0</v>
      </c>
      <c r="O426" s="11">
        <v>0</v>
      </c>
      <c r="P426" s="11">
        <v>0</v>
      </c>
      <c r="Q426" s="3"/>
      <c r="R426" s="11">
        <v>0</v>
      </c>
      <c r="S426" s="11">
        <v>0</v>
      </c>
      <c r="T426" s="11">
        <v>0</v>
      </c>
      <c r="U426" s="11">
        <v>0</v>
      </c>
      <c r="V426" s="11">
        <v>0</v>
      </c>
      <c r="W426" s="11">
        <v>0</v>
      </c>
      <c r="X426" s="11">
        <v>0</v>
      </c>
      <c r="Y426" s="11">
        <v>0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0</v>
      </c>
      <c r="AG426" s="11">
        <v>0</v>
      </c>
      <c r="AH426" s="11">
        <v>0</v>
      </c>
      <c r="AI426" s="11">
        <v>0</v>
      </c>
      <c r="AJ426" s="11">
        <v>0</v>
      </c>
      <c r="AK426" s="11">
        <v>0</v>
      </c>
      <c r="AL426" s="11">
        <v>0</v>
      </c>
      <c r="AM426" s="11">
        <v>0</v>
      </c>
      <c r="AN426" s="11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1">
        <v>0</v>
      </c>
      <c r="AV426" s="11">
        <v>0</v>
      </c>
      <c r="AW426" s="11">
        <v>0</v>
      </c>
      <c r="AX426" s="11">
        <v>0</v>
      </c>
      <c r="AY426" s="11">
        <v>0</v>
      </c>
      <c r="AZ426" s="11">
        <v>0</v>
      </c>
      <c r="BA426" s="11">
        <v>0</v>
      </c>
      <c r="BB426" s="11">
        <v>0</v>
      </c>
      <c r="BC426" s="11">
        <v>0</v>
      </c>
      <c r="BD426" s="11">
        <v>0</v>
      </c>
      <c r="BE426" s="11">
        <v>0</v>
      </c>
      <c r="BF426" s="11">
        <v>0</v>
      </c>
      <c r="BG426" s="11">
        <v>0</v>
      </c>
      <c r="BH426" s="11">
        <v>0</v>
      </c>
      <c r="BI426" s="11">
        <v>0</v>
      </c>
      <c r="BJ426" s="11">
        <v>0</v>
      </c>
      <c r="BK426" s="11">
        <v>0</v>
      </c>
      <c r="BL426" s="11">
        <v>0</v>
      </c>
      <c r="BM426" s="11">
        <v>0</v>
      </c>
      <c r="BN426" s="11">
        <v>0</v>
      </c>
      <c r="BO426" s="11">
        <v>0</v>
      </c>
      <c r="BP426" s="11">
        <v>0</v>
      </c>
      <c r="BQ426" s="11">
        <v>0</v>
      </c>
      <c r="BR426" s="11">
        <v>0</v>
      </c>
      <c r="BS426" s="11">
        <v>0</v>
      </c>
      <c r="BT426" s="11">
        <v>0</v>
      </c>
      <c r="BU426" s="11">
        <v>0</v>
      </c>
      <c r="BX426" s="221">
        <f t="shared" si="664"/>
        <v>418</v>
      </c>
    </row>
    <row r="427" spans="1:76" ht="11.25" hidden="1" customHeight="1" outlineLevel="2">
      <c r="A427" s="180"/>
      <c r="B427" s="3" t="s">
        <v>2</v>
      </c>
      <c r="C427" s="10"/>
      <c r="D427" s="9">
        <f t="shared" ref="D427:O427" si="714">D177+D178</f>
        <v>0</v>
      </c>
      <c r="E427" s="9">
        <f t="shared" si="714"/>
        <v>0</v>
      </c>
      <c r="F427" s="9">
        <f t="shared" si="714"/>
        <v>0</v>
      </c>
      <c r="G427" s="9">
        <f t="shared" si="714"/>
        <v>0</v>
      </c>
      <c r="H427" s="9">
        <f t="shared" si="714"/>
        <v>0</v>
      </c>
      <c r="I427" s="9">
        <f t="shared" si="714"/>
        <v>0</v>
      </c>
      <c r="J427" s="9">
        <f t="shared" si="714"/>
        <v>0</v>
      </c>
      <c r="K427" s="9">
        <f t="shared" si="714"/>
        <v>0</v>
      </c>
      <c r="L427" s="9">
        <f t="shared" si="714"/>
        <v>200</v>
      </c>
      <c r="M427" s="9">
        <f t="shared" si="714"/>
        <v>255.494</v>
      </c>
      <c r="N427" s="9">
        <f t="shared" si="714"/>
        <v>0</v>
      </c>
      <c r="O427" s="9">
        <f t="shared" si="714"/>
        <v>0</v>
      </c>
      <c r="P427" s="9">
        <f t="shared" ref="P427" si="715">P177+P178</f>
        <v>0</v>
      </c>
      <c r="Q427" s="3"/>
      <c r="R427" s="10"/>
      <c r="S427" s="9">
        <f t="shared" ref="S427:BU427" si="716">S177+S178</f>
        <v>0</v>
      </c>
      <c r="T427" s="9">
        <f t="shared" si="716"/>
        <v>0</v>
      </c>
      <c r="U427" s="9">
        <f t="shared" si="716"/>
        <v>0</v>
      </c>
      <c r="V427" s="9">
        <f t="shared" si="716"/>
        <v>0</v>
      </c>
      <c r="W427" s="9">
        <f t="shared" si="716"/>
        <v>0</v>
      </c>
      <c r="X427" s="9">
        <f t="shared" si="716"/>
        <v>0</v>
      </c>
      <c r="Y427" s="9">
        <f t="shared" si="716"/>
        <v>0</v>
      </c>
      <c r="Z427" s="9">
        <f t="shared" si="716"/>
        <v>0</v>
      </c>
      <c r="AA427" s="9">
        <f t="shared" si="716"/>
        <v>0</v>
      </c>
      <c r="AB427" s="9">
        <f t="shared" si="716"/>
        <v>0</v>
      </c>
      <c r="AC427" s="9">
        <f t="shared" si="716"/>
        <v>0</v>
      </c>
      <c r="AD427" s="9">
        <f t="shared" si="716"/>
        <v>0</v>
      </c>
      <c r="AE427" s="9">
        <f t="shared" si="716"/>
        <v>0</v>
      </c>
      <c r="AF427" s="9">
        <f t="shared" si="716"/>
        <v>0</v>
      </c>
      <c r="AG427" s="9">
        <f t="shared" si="716"/>
        <v>0</v>
      </c>
      <c r="AH427" s="9">
        <f t="shared" si="716"/>
        <v>0</v>
      </c>
      <c r="AI427" s="9">
        <f t="shared" si="716"/>
        <v>0</v>
      </c>
      <c r="AJ427" s="9">
        <f t="shared" si="716"/>
        <v>0</v>
      </c>
      <c r="AK427" s="9">
        <f t="shared" si="716"/>
        <v>0</v>
      </c>
      <c r="AL427" s="9">
        <f t="shared" si="716"/>
        <v>0</v>
      </c>
      <c r="AM427" s="9">
        <f t="shared" si="716"/>
        <v>0</v>
      </c>
      <c r="AN427" s="9">
        <f t="shared" si="716"/>
        <v>0</v>
      </c>
      <c r="AO427" s="9">
        <f t="shared" si="716"/>
        <v>0</v>
      </c>
      <c r="AP427" s="9">
        <f t="shared" si="716"/>
        <v>0</v>
      </c>
      <c r="AQ427" s="9">
        <f t="shared" si="716"/>
        <v>0</v>
      </c>
      <c r="AR427" s="9">
        <f t="shared" si="716"/>
        <v>0</v>
      </c>
      <c r="AS427" s="9">
        <f t="shared" si="716"/>
        <v>0</v>
      </c>
      <c r="AT427" s="9">
        <f t="shared" si="716"/>
        <v>0</v>
      </c>
      <c r="AU427" s="9">
        <f t="shared" si="716"/>
        <v>0</v>
      </c>
      <c r="AV427" s="9">
        <f t="shared" si="716"/>
        <v>0</v>
      </c>
      <c r="AW427" s="9">
        <f t="shared" si="716"/>
        <v>0</v>
      </c>
      <c r="AX427" s="9">
        <f t="shared" si="716"/>
        <v>0</v>
      </c>
      <c r="AY427" s="9">
        <f t="shared" si="716"/>
        <v>0</v>
      </c>
      <c r="AZ427" s="9">
        <f t="shared" si="716"/>
        <v>0</v>
      </c>
      <c r="BA427" s="9">
        <f t="shared" si="716"/>
        <v>0</v>
      </c>
      <c r="BB427" s="9">
        <f t="shared" si="716"/>
        <v>0</v>
      </c>
      <c r="BC427" s="9">
        <f t="shared" si="716"/>
        <v>0</v>
      </c>
      <c r="BD427" s="9">
        <f t="shared" si="716"/>
        <v>200</v>
      </c>
      <c r="BE427" s="9">
        <f>BE177+BE178</f>
        <v>0</v>
      </c>
      <c r="BF427" s="9">
        <f>BF177+BF178</f>
        <v>255.494</v>
      </c>
      <c r="BG427" s="9">
        <f>BG177+BG178</f>
        <v>0</v>
      </c>
      <c r="BH427" s="9">
        <f>BH177+BH178</f>
        <v>0</v>
      </c>
      <c r="BI427" s="9">
        <f>BI177+BI178</f>
        <v>0</v>
      </c>
      <c r="BJ427" s="9">
        <f t="shared" si="716"/>
        <v>0</v>
      </c>
      <c r="BK427" s="9">
        <f t="shared" si="716"/>
        <v>0</v>
      </c>
      <c r="BL427" s="9">
        <f t="shared" si="716"/>
        <v>0</v>
      </c>
      <c r="BM427" s="9">
        <f t="shared" si="716"/>
        <v>0</v>
      </c>
      <c r="BN427" s="9">
        <f t="shared" si="716"/>
        <v>0</v>
      </c>
      <c r="BO427" s="9">
        <f t="shared" si="716"/>
        <v>0</v>
      </c>
      <c r="BP427" s="9">
        <f t="shared" si="716"/>
        <v>0</v>
      </c>
      <c r="BQ427" s="9">
        <f t="shared" si="716"/>
        <v>0</v>
      </c>
      <c r="BR427" s="9">
        <f t="shared" si="716"/>
        <v>0</v>
      </c>
      <c r="BS427" s="9">
        <f t="shared" si="716"/>
        <v>0</v>
      </c>
      <c r="BT427" s="9">
        <f t="shared" si="716"/>
        <v>0</v>
      </c>
      <c r="BU427" s="9">
        <f t="shared" si="716"/>
        <v>0</v>
      </c>
      <c r="BX427" s="221">
        <f t="shared" si="664"/>
        <v>419</v>
      </c>
    </row>
    <row r="428" spans="1:76" ht="11.25" hidden="1" customHeight="1" outlineLevel="2">
      <c r="A428" s="180"/>
      <c r="B428" s="8" t="s">
        <v>1</v>
      </c>
      <c r="C428" s="7">
        <f>AVERAGE(R428:U428)</f>
        <v>0.35</v>
      </c>
      <c r="D428" s="7">
        <f>AVERAGE(V428:Y428)</f>
        <v>0.35</v>
      </c>
      <c r="E428" s="7">
        <f>AVERAGE(Z428:AC428)</f>
        <v>0.35</v>
      </c>
      <c r="F428" s="7">
        <f>AVERAGE(AD428:AG428)</f>
        <v>0.35</v>
      </c>
      <c r="G428" s="7">
        <f>AVERAGE(AH428:AK428)</f>
        <v>0.35</v>
      </c>
      <c r="H428" s="7">
        <f>AVERAGE(AL428:AO428)</f>
        <v>0.35</v>
      </c>
      <c r="I428" s="7">
        <f>AVERAGE(AP428:AS428)</f>
        <v>0.35</v>
      </c>
      <c r="J428" s="7">
        <f>AVERAGE(AT428:AW428)</f>
        <v>0.35</v>
      </c>
      <c r="K428" s="7">
        <f>AVERAGE(AX428:BA428)</f>
        <v>0.35</v>
      </c>
      <c r="L428" s="7">
        <f>AVERAGE(BB428:BE428)</f>
        <v>0.35</v>
      </c>
      <c r="M428" s="7">
        <f>AVERAGE(BF428:BI428)</f>
        <v>0.35</v>
      </c>
      <c r="N428" s="7">
        <v>0.24</v>
      </c>
      <c r="O428" s="7">
        <v>0.24</v>
      </c>
      <c r="P428" s="7">
        <v>0.24</v>
      </c>
      <c r="Q428" s="7"/>
      <c r="R428" s="7">
        <v>0.35</v>
      </c>
      <c r="S428" s="7">
        <v>0.35</v>
      </c>
      <c r="T428" s="7">
        <v>0.35</v>
      </c>
      <c r="U428" s="7">
        <v>0.35</v>
      </c>
      <c r="V428" s="7">
        <v>0.35</v>
      </c>
      <c r="W428" s="7">
        <v>0.35</v>
      </c>
      <c r="X428" s="7">
        <v>0.35</v>
      </c>
      <c r="Y428" s="7">
        <v>0.35</v>
      </c>
      <c r="Z428" s="7">
        <v>0.35</v>
      </c>
      <c r="AA428" s="7">
        <v>0.35</v>
      </c>
      <c r="AB428" s="7">
        <v>0.35</v>
      </c>
      <c r="AC428" s="7">
        <v>0.35</v>
      </c>
      <c r="AD428" s="7">
        <v>0.35</v>
      </c>
      <c r="AE428" s="7">
        <v>0.35</v>
      </c>
      <c r="AF428" s="7">
        <v>0.35</v>
      </c>
      <c r="AG428" s="7">
        <v>0.35</v>
      </c>
      <c r="AH428" s="7">
        <v>0.35</v>
      </c>
      <c r="AI428" s="7">
        <v>0.35</v>
      </c>
      <c r="AJ428" s="7">
        <v>0.35</v>
      </c>
      <c r="AK428" s="7">
        <v>0.35</v>
      </c>
      <c r="AL428" s="7">
        <v>0.35</v>
      </c>
      <c r="AM428" s="7">
        <v>0.35</v>
      </c>
      <c r="AN428" s="7">
        <v>0.35</v>
      </c>
      <c r="AO428" s="7">
        <v>0.35</v>
      </c>
      <c r="AP428" s="7">
        <v>0.35</v>
      </c>
      <c r="AQ428" s="7">
        <v>0.35</v>
      </c>
      <c r="AR428" s="7">
        <v>0.35</v>
      </c>
      <c r="AS428" s="7">
        <v>0.35</v>
      </c>
      <c r="AT428" s="6">
        <v>0.35</v>
      </c>
      <c r="AU428" s="6">
        <v>0.35</v>
      </c>
      <c r="AV428" s="6">
        <v>0.35</v>
      </c>
      <c r="AW428" s="6">
        <v>0.35</v>
      </c>
      <c r="AX428" s="6">
        <v>0.35</v>
      </c>
      <c r="AY428" s="6">
        <v>0.35</v>
      </c>
      <c r="AZ428" s="6">
        <v>0.35</v>
      </c>
      <c r="BA428" s="6">
        <v>0.35</v>
      </c>
      <c r="BB428" s="6">
        <v>0.35</v>
      </c>
      <c r="BC428" s="6">
        <v>0.35</v>
      </c>
      <c r="BD428" s="6">
        <v>0.35</v>
      </c>
      <c r="BE428" s="6">
        <v>0.35</v>
      </c>
      <c r="BF428" s="6">
        <v>0.35</v>
      </c>
      <c r="BG428" s="6">
        <v>0.35</v>
      </c>
      <c r="BH428" s="6">
        <v>0.35</v>
      </c>
      <c r="BI428" s="6">
        <v>0.35</v>
      </c>
      <c r="BJ428" s="244">
        <v>0.24</v>
      </c>
      <c r="BK428" s="244">
        <v>0.24</v>
      </c>
      <c r="BL428" s="244">
        <v>0.24</v>
      </c>
      <c r="BM428" s="244">
        <v>0.24</v>
      </c>
      <c r="BN428" s="244">
        <v>0.24</v>
      </c>
      <c r="BO428" s="244">
        <v>0.24</v>
      </c>
      <c r="BP428" s="244">
        <v>0.24</v>
      </c>
      <c r="BQ428" s="244">
        <v>0.24</v>
      </c>
      <c r="BR428" s="244">
        <v>0.24</v>
      </c>
      <c r="BS428" s="244">
        <v>0.24</v>
      </c>
      <c r="BT428" s="244">
        <v>0.24</v>
      </c>
      <c r="BU428" s="244">
        <v>0.24</v>
      </c>
      <c r="BX428" s="221">
        <f t="shared" si="664"/>
        <v>420</v>
      </c>
    </row>
    <row r="429" spans="1:76" ht="11.25" customHeight="1" outlineLevel="1" collapsed="1">
      <c r="A429" s="180" t="s">
        <v>0</v>
      </c>
      <c r="B429" s="3"/>
      <c r="C429" s="5"/>
      <c r="D429" s="5"/>
      <c r="E429" s="5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3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X429" s="221">
        <f t="shared" si="664"/>
        <v>421</v>
      </c>
    </row>
  </sheetData>
  <conditionalFormatting sqref="C182:BU182">
    <cfRule type="cellIs" dxfId="3" priority="4" stopIfTrue="1" operator="notBetween">
      <formula>-0.01</formula>
      <formula>0.01</formula>
    </cfRule>
  </conditionalFormatting>
  <conditionalFormatting sqref="G2:BU2 G215:I215 AX215:BU215 K215:AV215">
    <cfRule type="cellIs" dxfId="2" priority="3" stopIfTrue="1" operator="equal">
      <formula>0</formula>
    </cfRule>
  </conditionalFormatting>
  <conditionalFormatting sqref="AW215">
    <cfRule type="cellIs" dxfId="1" priority="2" stopIfTrue="1" operator="equal">
      <formula>0</formula>
    </cfRule>
  </conditionalFormatting>
  <conditionalFormatting sqref="J215">
    <cfRule type="cellIs" dxfId="0" priority="1" stopIfTrue="1" operator="equal">
      <formula>0</formula>
    </cfRule>
  </conditionalFormatting>
  <pageMargins left="0" right="0" top="0" bottom="0" header="0" footer="0"/>
  <pageSetup paperSize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34.5" style="238" bestFit="1" customWidth="1"/>
    <col min="2" max="2" width="23.1640625" style="270" customWidth="1"/>
    <col min="3" max="3" width="14" style="238" bestFit="1" customWidth="1"/>
    <col min="4" max="256" width="9.33203125" style="238"/>
    <col min="257" max="257" width="34.5" style="238" bestFit="1" customWidth="1"/>
    <col min="258" max="258" width="23.1640625" style="238" customWidth="1"/>
    <col min="259" max="259" width="14" style="238" bestFit="1" customWidth="1"/>
    <col min="260" max="512" width="9.33203125" style="238"/>
    <col min="513" max="513" width="34.5" style="238" bestFit="1" customWidth="1"/>
    <col min="514" max="514" width="23.1640625" style="238" customWidth="1"/>
    <col min="515" max="515" width="14" style="238" bestFit="1" customWidth="1"/>
    <col min="516" max="768" width="9.33203125" style="238"/>
    <col min="769" max="769" width="34.5" style="238" bestFit="1" customWidth="1"/>
    <col min="770" max="770" width="23.1640625" style="238" customWidth="1"/>
    <col min="771" max="771" width="14" style="238" bestFit="1" customWidth="1"/>
    <col min="772" max="1024" width="9.33203125" style="238"/>
    <col min="1025" max="1025" width="34.5" style="238" bestFit="1" customWidth="1"/>
    <col min="1026" max="1026" width="23.1640625" style="238" customWidth="1"/>
    <col min="1027" max="1027" width="14" style="238" bestFit="1" customWidth="1"/>
    <col min="1028" max="1280" width="9.33203125" style="238"/>
    <col min="1281" max="1281" width="34.5" style="238" bestFit="1" customWidth="1"/>
    <col min="1282" max="1282" width="23.1640625" style="238" customWidth="1"/>
    <col min="1283" max="1283" width="14" style="238" bestFit="1" customWidth="1"/>
    <col min="1284" max="1536" width="9.33203125" style="238"/>
    <col min="1537" max="1537" width="34.5" style="238" bestFit="1" customWidth="1"/>
    <col min="1538" max="1538" width="23.1640625" style="238" customWidth="1"/>
    <col min="1539" max="1539" width="14" style="238" bestFit="1" customWidth="1"/>
    <col min="1540" max="1792" width="9.33203125" style="238"/>
    <col min="1793" max="1793" width="34.5" style="238" bestFit="1" customWidth="1"/>
    <col min="1794" max="1794" width="23.1640625" style="238" customWidth="1"/>
    <col min="1795" max="1795" width="14" style="238" bestFit="1" customWidth="1"/>
    <col min="1796" max="2048" width="9.33203125" style="238"/>
    <col min="2049" max="2049" width="34.5" style="238" bestFit="1" customWidth="1"/>
    <col min="2050" max="2050" width="23.1640625" style="238" customWidth="1"/>
    <col min="2051" max="2051" width="14" style="238" bestFit="1" customWidth="1"/>
    <col min="2052" max="2304" width="9.33203125" style="238"/>
    <col min="2305" max="2305" width="34.5" style="238" bestFit="1" customWidth="1"/>
    <col min="2306" max="2306" width="23.1640625" style="238" customWidth="1"/>
    <col min="2307" max="2307" width="14" style="238" bestFit="1" customWidth="1"/>
    <col min="2308" max="2560" width="9.33203125" style="238"/>
    <col min="2561" max="2561" width="34.5" style="238" bestFit="1" customWidth="1"/>
    <col min="2562" max="2562" width="23.1640625" style="238" customWidth="1"/>
    <col min="2563" max="2563" width="14" style="238" bestFit="1" customWidth="1"/>
    <col min="2564" max="2816" width="9.33203125" style="238"/>
    <col min="2817" max="2817" width="34.5" style="238" bestFit="1" customWidth="1"/>
    <col min="2818" max="2818" width="23.1640625" style="238" customWidth="1"/>
    <col min="2819" max="2819" width="14" style="238" bestFit="1" customWidth="1"/>
    <col min="2820" max="3072" width="9.33203125" style="238"/>
    <col min="3073" max="3073" width="34.5" style="238" bestFit="1" customWidth="1"/>
    <col min="3074" max="3074" width="23.1640625" style="238" customWidth="1"/>
    <col min="3075" max="3075" width="14" style="238" bestFit="1" customWidth="1"/>
    <col min="3076" max="3328" width="9.33203125" style="238"/>
    <col min="3329" max="3329" width="34.5" style="238" bestFit="1" customWidth="1"/>
    <col min="3330" max="3330" width="23.1640625" style="238" customWidth="1"/>
    <col min="3331" max="3331" width="14" style="238" bestFit="1" customWidth="1"/>
    <col min="3332" max="3584" width="9.33203125" style="238"/>
    <col min="3585" max="3585" width="34.5" style="238" bestFit="1" customWidth="1"/>
    <col min="3586" max="3586" width="23.1640625" style="238" customWidth="1"/>
    <col min="3587" max="3587" width="14" style="238" bestFit="1" customWidth="1"/>
    <col min="3588" max="3840" width="9.33203125" style="238"/>
    <col min="3841" max="3841" width="34.5" style="238" bestFit="1" customWidth="1"/>
    <col min="3842" max="3842" width="23.1640625" style="238" customWidth="1"/>
    <col min="3843" max="3843" width="14" style="238" bestFit="1" customWidth="1"/>
    <col min="3844" max="4096" width="9.33203125" style="238"/>
    <col min="4097" max="4097" width="34.5" style="238" bestFit="1" customWidth="1"/>
    <col min="4098" max="4098" width="23.1640625" style="238" customWidth="1"/>
    <col min="4099" max="4099" width="14" style="238" bestFit="1" customWidth="1"/>
    <col min="4100" max="4352" width="9.33203125" style="238"/>
    <col min="4353" max="4353" width="34.5" style="238" bestFit="1" customWidth="1"/>
    <col min="4354" max="4354" width="23.1640625" style="238" customWidth="1"/>
    <col min="4355" max="4355" width="14" style="238" bestFit="1" customWidth="1"/>
    <col min="4356" max="4608" width="9.33203125" style="238"/>
    <col min="4609" max="4609" width="34.5" style="238" bestFit="1" customWidth="1"/>
    <col min="4610" max="4610" width="23.1640625" style="238" customWidth="1"/>
    <col min="4611" max="4611" width="14" style="238" bestFit="1" customWidth="1"/>
    <col min="4612" max="4864" width="9.33203125" style="238"/>
    <col min="4865" max="4865" width="34.5" style="238" bestFit="1" customWidth="1"/>
    <col min="4866" max="4866" width="23.1640625" style="238" customWidth="1"/>
    <col min="4867" max="4867" width="14" style="238" bestFit="1" customWidth="1"/>
    <col min="4868" max="5120" width="9.33203125" style="238"/>
    <col min="5121" max="5121" width="34.5" style="238" bestFit="1" customWidth="1"/>
    <col min="5122" max="5122" width="23.1640625" style="238" customWidth="1"/>
    <col min="5123" max="5123" width="14" style="238" bestFit="1" customWidth="1"/>
    <col min="5124" max="5376" width="9.33203125" style="238"/>
    <col min="5377" max="5377" width="34.5" style="238" bestFit="1" customWidth="1"/>
    <col min="5378" max="5378" width="23.1640625" style="238" customWidth="1"/>
    <col min="5379" max="5379" width="14" style="238" bestFit="1" customWidth="1"/>
    <col min="5380" max="5632" width="9.33203125" style="238"/>
    <col min="5633" max="5633" width="34.5" style="238" bestFit="1" customWidth="1"/>
    <col min="5634" max="5634" width="23.1640625" style="238" customWidth="1"/>
    <col min="5635" max="5635" width="14" style="238" bestFit="1" customWidth="1"/>
    <col min="5636" max="5888" width="9.33203125" style="238"/>
    <col min="5889" max="5889" width="34.5" style="238" bestFit="1" customWidth="1"/>
    <col min="5890" max="5890" width="23.1640625" style="238" customWidth="1"/>
    <col min="5891" max="5891" width="14" style="238" bestFit="1" customWidth="1"/>
    <col min="5892" max="6144" width="9.33203125" style="238"/>
    <col min="6145" max="6145" width="34.5" style="238" bestFit="1" customWidth="1"/>
    <col min="6146" max="6146" width="23.1640625" style="238" customWidth="1"/>
    <col min="6147" max="6147" width="14" style="238" bestFit="1" customWidth="1"/>
    <col min="6148" max="6400" width="9.33203125" style="238"/>
    <col min="6401" max="6401" width="34.5" style="238" bestFit="1" customWidth="1"/>
    <col min="6402" max="6402" width="23.1640625" style="238" customWidth="1"/>
    <col min="6403" max="6403" width="14" style="238" bestFit="1" customWidth="1"/>
    <col min="6404" max="6656" width="9.33203125" style="238"/>
    <col min="6657" max="6657" width="34.5" style="238" bestFit="1" customWidth="1"/>
    <col min="6658" max="6658" width="23.1640625" style="238" customWidth="1"/>
    <col min="6659" max="6659" width="14" style="238" bestFit="1" customWidth="1"/>
    <col min="6660" max="6912" width="9.33203125" style="238"/>
    <col min="6913" max="6913" width="34.5" style="238" bestFit="1" customWidth="1"/>
    <col min="6914" max="6914" width="23.1640625" style="238" customWidth="1"/>
    <col min="6915" max="6915" width="14" style="238" bestFit="1" customWidth="1"/>
    <col min="6916" max="7168" width="9.33203125" style="238"/>
    <col min="7169" max="7169" width="34.5" style="238" bestFit="1" customWidth="1"/>
    <col min="7170" max="7170" width="23.1640625" style="238" customWidth="1"/>
    <col min="7171" max="7171" width="14" style="238" bestFit="1" customWidth="1"/>
    <col min="7172" max="7424" width="9.33203125" style="238"/>
    <col min="7425" max="7425" width="34.5" style="238" bestFit="1" customWidth="1"/>
    <col min="7426" max="7426" width="23.1640625" style="238" customWidth="1"/>
    <col min="7427" max="7427" width="14" style="238" bestFit="1" customWidth="1"/>
    <col min="7428" max="7680" width="9.33203125" style="238"/>
    <col min="7681" max="7681" width="34.5" style="238" bestFit="1" customWidth="1"/>
    <col min="7682" max="7682" width="23.1640625" style="238" customWidth="1"/>
    <col min="7683" max="7683" width="14" style="238" bestFit="1" customWidth="1"/>
    <col min="7684" max="7936" width="9.33203125" style="238"/>
    <col min="7937" max="7937" width="34.5" style="238" bestFit="1" customWidth="1"/>
    <col min="7938" max="7938" width="23.1640625" style="238" customWidth="1"/>
    <col min="7939" max="7939" width="14" style="238" bestFit="1" customWidth="1"/>
    <col min="7940" max="8192" width="9.33203125" style="238"/>
    <col min="8193" max="8193" width="34.5" style="238" bestFit="1" customWidth="1"/>
    <col min="8194" max="8194" width="23.1640625" style="238" customWidth="1"/>
    <col min="8195" max="8195" width="14" style="238" bestFit="1" customWidth="1"/>
    <col min="8196" max="8448" width="9.33203125" style="238"/>
    <col min="8449" max="8449" width="34.5" style="238" bestFit="1" customWidth="1"/>
    <col min="8450" max="8450" width="23.1640625" style="238" customWidth="1"/>
    <col min="8451" max="8451" width="14" style="238" bestFit="1" customWidth="1"/>
    <col min="8452" max="8704" width="9.33203125" style="238"/>
    <col min="8705" max="8705" width="34.5" style="238" bestFit="1" customWidth="1"/>
    <col min="8706" max="8706" width="23.1640625" style="238" customWidth="1"/>
    <col min="8707" max="8707" width="14" style="238" bestFit="1" customWidth="1"/>
    <col min="8708" max="8960" width="9.33203125" style="238"/>
    <col min="8961" max="8961" width="34.5" style="238" bestFit="1" customWidth="1"/>
    <col min="8962" max="8962" width="23.1640625" style="238" customWidth="1"/>
    <col min="8963" max="8963" width="14" style="238" bestFit="1" customWidth="1"/>
    <col min="8964" max="9216" width="9.33203125" style="238"/>
    <col min="9217" max="9217" width="34.5" style="238" bestFit="1" customWidth="1"/>
    <col min="9218" max="9218" width="23.1640625" style="238" customWidth="1"/>
    <col min="9219" max="9219" width="14" style="238" bestFit="1" customWidth="1"/>
    <col min="9220" max="9472" width="9.33203125" style="238"/>
    <col min="9473" max="9473" width="34.5" style="238" bestFit="1" customWidth="1"/>
    <col min="9474" max="9474" width="23.1640625" style="238" customWidth="1"/>
    <col min="9475" max="9475" width="14" style="238" bestFit="1" customWidth="1"/>
    <col min="9476" max="9728" width="9.33203125" style="238"/>
    <col min="9729" max="9729" width="34.5" style="238" bestFit="1" customWidth="1"/>
    <col min="9730" max="9730" width="23.1640625" style="238" customWidth="1"/>
    <col min="9731" max="9731" width="14" style="238" bestFit="1" customWidth="1"/>
    <col min="9732" max="9984" width="9.33203125" style="238"/>
    <col min="9985" max="9985" width="34.5" style="238" bestFit="1" customWidth="1"/>
    <col min="9986" max="9986" width="23.1640625" style="238" customWidth="1"/>
    <col min="9987" max="9987" width="14" style="238" bestFit="1" customWidth="1"/>
    <col min="9988" max="10240" width="9.33203125" style="238"/>
    <col min="10241" max="10241" width="34.5" style="238" bestFit="1" customWidth="1"/>
    <col min="10242" max="10242" width="23.1640625" style="238" customWidth="1"/>
    <col min="10243" max="10243" width="14" style="238" bestFit="1" customWidth="1"/>
    <col min="10244" max="10496" width="9.33203125" style="238"/>
    <col min="10497" max="10497" width="34.5" style="238" bestFit="1" customWidth="1"/>
    <col min="10498" max="10498" width="23.1640625" style="238" customWidth="1"/>
    <col min="10499" max="10499" width="14" style="238" bestFit="1" customWidth="1"/>
    <col min="10500" max="10752" width="9.33203125" style="238"/>
    <col min="10753" max="10753" width="34.5" style="238" bestFit="1" customWidth="1"/>
    <col min="10754" max="10754" width="23.1640625" style="238" customWidth="1"/>
    <col min="10755" max="10755" width="14" style="238" bestFit="1" customWidth="1"/>
    <col min="10756" max="11008" width="9.33203125" style="238"/>
    <col min="11009" max="11009" width="34.5" style="238" bestFit="1" customWidth="1"/>
    <col min="11010" max="11010" width="23.1640625" style="238" customWidth="1"/>
    <col min="11011" max="11011" width="14" style="238" bestFit="1" customWidth="1"/>
    <col min="11012" max="11264" width="9.33203125" style="238"/>
    <col min="11265" max="11265" width="34.5" style="238" bestFit="1" customWidth="1"/>
    <col min="11266" max="11266" width="23.1640625" style="238" customWidth="1"/>
    <col min="11267" max="11267" width="14" style="238" bestFit="1" customWidth="1"/>
    <col min="11268" max="11520" width="9.33203125" style="238"/>
    <col min="11521" max="11521" width="34.5" style="238" bestFit="1" customWidth="1"/>
    <col min="11522" max="11522" width="23.1640625" style="238" customWidth="1"/>
    <col min="11523" max="11523" width="14" style="238" bestFit="1" customWidth="1"/>
    <col min="11524" max="11776" width="9.33203125" style="238"/>
    <col min="11777" max="11777" width="34.5" style="238" bestFit="1" customWidth="1"/>
    <col min="11778" max="11778" width="23.1640625" style="238" customWidth="1"/>
    <col min="11779" max="11779" width="14" style="238" bestFit="1" customWidth="1"/>
    <col min="11780" max="12032" width="9.33203125" style="238"/>
    <col min="12033" max="12033" width="34.5" style="238" bestFit="1" customWidth="1"/>
    <col min="12034" max="12034" width="23.1640625" style="238" customWidth="1"/>
    <col min="12035" max="12035" width="14" style="238" bestFit="1" customWidth="1"/>
    <col min="12036" max="12288" width="9.33203125" style="238"/>
    <col min="12289" max="12289" width="34.5" style="238" bestFit="1" customWidth="1"/>
    <col min="12290" max="12290" width="23.1640625" style="238" customWidth="1"/>
    <col min="12291" max="12291" width="14" style="238" bestFit="1" customWidth="1"/>
    <col min="12292" max="12544" width="9.33203125" style="238"/>
    <col min="12545" max="12545" width="34.5" style="238" bestFit="1" customWidth="1"/>
    <col min="12546" max="12546" width="23.1640625" style="238" customWidth="1"/>
    <col min="12547" max="12547" width="14" style="238" bestFit="1" customWidth="1"/>
    <col min="12548" max="12800" width="9.33203125" style="238"/>
    <col min="12801" max="12801" width="34.5" style="238" bestFit="1" customWidth="1"/>
    <col min="12802" max="12802" width="23.1640625" style="238" customWidth="1"/>
    <col min="12803" max="12803" width="14" style="238" bestFit="1" customWidth="1"/>
    <col min="12804" max="13056" width="9.33203125" style="238"/>
    <col min="13057" max="13057" width="34.5" style="238" bestFit="1" customWidth="1"/>
    <col min="13058" max="13058" width="23.1640625" style="238" customWidth="1"/>
    <col min="13059" max="13059" width="14" style="238" bestFit="1" customWidth="1"/>
    <col min="13060" max="13312" width="9.33203125" style="238"/>
    <col min="13313" max="13313" width="34.5" style="238" bestFit="1" customWidth="1"/>
    <col min="13314" max="13314" width="23.1640625" style="238" customWidth="1"/>
    <col min="13315" max="13315" width="14" style="238" bestFit="1" customWidth="1"/>
    <col min="13316" max="13568" width="9.33203125" style="238"/>
    <col min="13569" max="13569" width="34.5" style="238" bestFit="1" customWidth="1"/>
    <col min="13570" max="13570" width="23.1640625" style="238" customWidth="1"/>
    <col min="13571" max="13571" width="14" style="238" bestFit="1" customWidth="1"/>
    <col min="13572" max="13824" width="9.33203125" style="238"/>
    <col min="13825" max="13825" width="34.5" style="238" bestFit="1" customWidth="1"/>
    <col min="13826" max="13826" width="23.1640625" style="238" customWidth="1"/>
    <col min="13827" max="13827" width="14" style="238" bestFit="1" customWidth="1"/>
    <col min="13828" max="14080" width="9.33203125" style="238"/>
    <col min="14081" max="14081" width="34.5" style="238" bestFit="1" customWidth="1"/>
    <col min="14082" max="14082" width="23.1640625" style="238" customWidth="1"/>
    <col min="14083" max="14083" width="14" style="238" bestFit="1" customWidth="1"/>
    <col min="14084" max="14336" width="9.33203125" style="238"/>
    <col min="14337" max="14337" width="34.5" style="238" bestFit="1" customWidth="1"/>
    <col min="14338" max="14338" width="23.1640625" style="238" customWidth="1"/>
    <col min="14339" max="14339" width="14" style="238" bestFit="1" customWidth="1"/>
    <col min="14340" max="14592" width="9.33203125" style="238"/>
    <col min="14593" max="14593" width="34.5" style="238" bestFit="1" customWidth="1"/>
    <col min="14594" max="14594" width="23.1640625" style="238" customWidth="1"/>
    <col min="14595" max="14595" width="14" style="238" bestFit="1" customWidth="1"/>
    <col min="14596" max="14848" width="9.33203125" style="238"/>
    <col min="14849" max="14849" width="34.5" style="238" bestFit="1" customWidth="1"/>
    <col min="14850" max="14850" width="23.1640625" style="238" customWidth="1"/>
    <col min="14851" max="14851" width="14" style="238" bestFit="1" customWidth="1"/>
    <col min="14852" max="15104" width="9.33203125" style="238"/>
    <col min="15105" max="15105" width="34.5" style="238" bestFit="1" customWidth="1"/>
    <col min="15106" max="15106" width="23.1640625" style="238" customWidth="1"/>
    <col min="15107" max="15107" width="14" style="238" bestFit="1" customWidth="1"/>
    <col min="15108" max="15360" width="9.33203125" style="238"/>
    <col min="15361" max="15361" width="34.5" style="238" bestFit="1" customWidth="1"/>
    <col min="15362" max="15362" width="23.1640625" style="238" customWidth="1"/>
    <col min="15363" max="15363" width="14" style="238" bestFit="1" customWidth="1"/>
    <col min="15364" max="15616" width="9.33203125" style="238"/>
    <col min="15617" max="15617" width="34.5" style="238" bestFit="1" customWidth="1"/>
    <col min="15618" max="15618" width="23.1640625" style="238" customWidth="1"/>
    <col min="15619" max="15619" width="14" style="238" bestFit="1" customWidth="1"/>
    <col min="15620" max="15872" width="9.33203125" style="238"/>
    <col min="15873" max="15873" width="34.5" style="238" bestFit="1" customWidth="1"/>
    <col min="15874" max="15874" width="23.1640625" style="238" customWidth="1"/>
    <col min="15875" max="15875" width="14" style="238" bestFit="1" customWidth="1"/>
    <col min="15876" max="16128" width="9.33203125" style="238"/>
    <col min="16129" max="16129" width="34.5" style="238" bestFit="1" customWidth="1"/>
    <col min="16130" max="16130" width="23.1640625" style="238" customWidth="1"/>
    <col min="16131" max="16131" width="14" style="238" bestFit="1" customWidth="1"/>
    <col min="16132" max="16384" width="9.33203125" style="238"/>
  </cols>
  <sheetData>
    <row r="1" spans="1:2">
      <c r="A1" s="238" t="s">
        <v>660</v>
      </c>
      <c r="B1" s="269">
        <v>6.1</v>
      </c>
    </row>
    <row r="2" spans="1:2">
      <c r="A2" s="238" t="s">
        <v>661</v>
      </c>
      <c r="B2" s="273">
        <v>43201.408159722225</v>
      </c>
    </row>
    <row r="3" spans="1:2">
      <c r="A3" s="238" t="s">
        <v>662</v>
      </c>
      <c r="B3" s="270" t="s">
        <v>365</v>
      </c>
    </row>
    <row r="4" spans="1:2">
      <c r="A4" s="238" t="s">
        <v>663</v>
      </c>
      <c r="B4" s="270" t="s">
        <v>664</v>
      </c>
    </row>
    <row r="5" spans="1:2">
      <c r="A5" s="238" t="s">
        <v>665</v>
      </c>
      <c r="B5" s="270" t="s">
        <v>666</v>
      </c>
    </row>
    <row r="6" spans="1:2">
      <c r="A6" s="238" t="s">
        <v>667</v>
      </c>
    </row>
    <row r="7" spans="1:2">
      <c r="A7" s="238" t="s">
        <v>668</v>
      </c>
      <c r="B7" s="270" t="s">
        <v>309</v>
      </c>
    </row>
    <row r="8" spans="1:2">
      <c r="A8" s="238" t="s">
        <v>669</v>
      </c>
      <c r="B8" s="270" t="s">
        <v>670</v>
      </c>
    </row>
    <row r="9" spans="1:2">
      <c r="A9" s="238" t="s">
        <v>671</v>
      </c>
      <c r="B9" s="270" t="s">
        <v>709</v>
      </c>
    </row>
    <row r="10" spans="1:2">
      <c r="A10" s="238" t="s">
        <v>672</v>
      </c>
    </row>
    <row r="11" spans="1:2">
      <c r="A11" s="238" t="s">
        <v>673</v>
      </c>
    </row>
    <row r="12" spans="1:2">
      <c r="A12" s="238" t="s">
        <v>674</v>
      </c>
    </row>
    <row r="13" spans="1:2">
      <c r="A13" s="238" t="s">
        <v>675</v>
      </c>
    </row>
    <row r="14" spans="1:2">
      <c r="A14" s="238" t="s">
        <v>676</v>
      </c>
    </row>
    <row r="15" spans="1:2">
      <c r="A15" s="238" t="s">
        <v>677</v>
      </c>
    </row>
    <row r="16" spans="1:2">
      <c r="A16" s="238" t="s">
        <v>678</v>
      </c>
    </row>
    <row r="17" spans="1:4">
      <c r="A17" s="238" t="s">
        <v>679</v>
      </c>
      <c r="B17" s="270" t="s">
        <v>710</v>
      </c>
    </row>
    <row r="18" spans="1:4">
      <c r="A18" s="238" t="s">
        <v>680</v>
      </c>
      <c r="B18" s="270" t="s">
        <v>366</v>
      </c>
    </row>
    <row r="19" spans="1:4">
      <c r="A19" s="238" t="s">
        <v>681</v>
      </c>
      <c r="B19" s="270" t="s">
        <v>308</v>
      </c>
    </row>
    <row r="20" spans="1:4">
      <c r="A20" s="238" t="s">
        <v>682</v>
      </c>
      <c r="B20" s="271" t="s">
        <v>713</v>
      </c>
    </row>
    <row r="21" spans="1:4">
      <c r="A21" s="238" t="s">
        <v>683</v>
      </c>
      <c r="B21" s="270" t="s">
        <v>308</v>
      </c>
    </row>
    <row r="22" spans="1:4">
      <c r="A22" s="238" t="s">
        <v>684</v>
      </c>
      <c r="B22" s="271" t="s">
        <v>334</v>
      </c>
    </row>
    <row r="23" spans="1:4">
      <c r="A23" s="238" t="s">
        <v>311</v>
      </c>
      <c r="B23" s="269">
        <v>16.170000000000002</v>
      </c>
    </row>
    <row r="24" spans="1:4">
      <c r="A24" s="238" t="s">
        <v>310</v>
      </c>
      <c r="B24" s="270" t="s">
        <v>307</v>
      </c>
      <c r="D24" s="238" t="s">
        <v>685</v>
      </c>
    </row>
    <row r="25" spans="1:4">
      <c r="A25" s="238" t="s">
        <v>686</v>
      </c>
      <c r="B25" s="270" t="s">
        <v>714</v>
      </c>
    </row>
    <row r="26" spans="1:4">
      <c r="A26" s="238" t="s">
        <v>687</v>
      </c>
      <c r="B26" s="270">
        <v>0</v>
      </c>
    </row>
    <row r="27" spans="1:4">
      <c r="A27" s="238" t="s">
        <v>688</v>
      </c>
      <c r="B27" s="270" t="s">
        <v>689</v>
      </c>
    </row>
    <row r="28" spans="1:4">
      <c r="A28" s="238" t="s">
        <v>690</v>
      </c>
      <c r="B28" s="270" t="s">
        <v>691</v>
      </c>
    </row>
    <row r="29" spans="1:4">
      <c r="A29" s="238" t="s">
        <v>692</v>
      </c>
    </row>
    <row r="30" spans="1:4">
      <c r="A30" s="238" t="s">
        <v>693</v>
      </c>
    </row>
    <row r="31" spans="1:4">
      <c r="A31" s="238" t="s">
        <v>694</v>
      </c>
    </row>
    <row r="32" spans="1:4">
      <c r="A32" s="238" t="s">
        <v>695</v>
      </c>
      <c r="B32" s="269"/>
    </row>
    <row r="33" spans="1:2">
      <c r="A33" s="238" t="s">
        <v>696</v>
      </c>
      <c r="B33" s="269"/>
    </row>
    <row r="34" spans="1:2">
      <c r="A34" s="238" t="s">
        <v>697</v>
      </c>
      <c r="B34" s="269"/>
    </row>
    <row r="35" spans="1:2">
      <c r="A35" s="238" t="s">
        <v>698</v>
      </c>
      <c r="B35" s="270">
        <v>1000000</v>
      </c>
    </row>
    <row r="36" spans="1:2">
      <c r="A36" s="238" t="s">
        <v>699</v>
      </c>
      <c r="B36" s="270" t="s">
        <v>711</v>
      </c>
    </row>
    <row r="37" spans="1:2">
      <c r="A37" s="238" t="s">
        <v>700</v>
      </c>
      <c r="B37" s="270" t="s">
        <v>701</v>
      </c>
    </row>
    <row r="38" spans="1:2">
      <c r="A38" s="238" t="s">
        <v>702</v>
      </c>
      <c r="B38" s="270" t="s">
        <v>703</v>
      </c>
    </row>
    <row r="39" spans="1:2">
      <c r="A39" s="238" t="s">
        <v>704</v>
      </c>
      <c r="B39" s="270" t="s">
        <v>712</v>
      </c>
    </row>
    <row r="40" spans="1:2">
      <c r="A40" s="238" t="s">
        <v>705</v>
      </c>
      <c r="B40" s="270">
        <v>1500000135</v>
      </c>
    </row>
    <row r="41" spans="1:2">
      <c r="A41" s="238" t="s">
        <v>706</v>
      </c>
      <c r="B41" s="270">
        <v>1</v>
      </c>
    </row>
    <row r="42" spans="1:2">
      <c r="A42" s="272" t="s">
        <v>707</v>
      </c>
    </row>
    <row r="43" spans="1:2">
      <c r="A43" s="238" t="s">
        <v>708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238" bestFit="1" customWidth="1"/>
    <col min="2" max="256" width="9.33203125" style="238"/>
    <col min="257" max="257" width="33.33203125" style="238" bestFit="1" customWidth="1"/>
    <col min="258" max="512" width="9.33203125" style="238"/>
    <col min="513" max="513" width="33.33203125" style="238" bestFit="1" customWidth="1"/>
    <col min="514" max="768" width="9.33203125" style="238"/>
    <col min="769" max="769" width="33.33203125" style="238" bestFit="1" customWidth="1"/>
    <col min="770" max="1024" width="9.33203125" style="238"/>
    <col min="1025" max="1025" width="33.33203125" style="238" bestFit="1" customWidth="1"/>
    <col min="1026" max="1280" width="9.33203125" style="238"/>
    <col min="1281" max="1281" width="33.33203125" style="238" bestFit="1" customWidth="1"/>
    <col min="1282" max="1536" width="9.33203125" style="238"/>
    <col min="1537" max="1537" width="33.33203125" style="238" bestFit="1" customWidth="1"/>
    <col min="1538" max="1792" width="9.33203125" style="238"/>
    <col min="1793" max="1793" width="33.33203125" style="238" bestFit="1" customWidth="1"/>
    <col min="1794" max="2048" width="9.33203125" style="238"/>
    <col min="2049" max="2049" width="33.33203125" style="238" bestFit="1" customWidth="1"/>
    <col min="2050" max="2304" width="9.33203125" style="238"/>
    <col min="2305" max="2305" width="33.33203125" style="238" bestFit="1" customWidth="1"/>
    <col min="2306" max="2560" width="9.33203125" style="238"/>
    <col min="2561" max="2561" width="33.33203125" style="238" bestFit="1" customWidth="1"/>
    <col min="2562" max="2816" width="9.33203125" style="238"/>
    <col min="2817" max="2817" width="33.33203125" style="238" bestFit="1" customWidth="1"/>
    <col min="2818" max="3072" width="9.33203125" style="238"/>
    <col min="3073" max="3073" width="33.33203125" style="238" bestFit="1" customWidth="1"/>
    <col min="3074" max="3328" width="9.33203125" style="238"/>
    <col min="3329" max="3329" width="33.33203125" style="238" bestFit="1" customWidth="1"/>
    <col min="3330" max="3584" width="9.33203125" style="238"/>
    <col min="3585" max="3585" width="33.33203125" style="238" bestFit="1" customWidth="1"/>
    <col min="3586" max="3840" width="9.33203125" style="238"/>
    <col min="3841" max="3841" width="33.33203125" style="238" bestFit="1" customWidth="1"/>
    <col min="3842" max="4096" width="9.33203125" style="238"/>
    <col min="4097" max="4097" width="33.33203125" style="238" bestFit="1" customWidth="1"/>
    <col min="4098" max="4352" width="9.33203125" style="238"/>
    <col min="4353" max="4353" width="33.33203125" style="238" bestFit="1" customWidth="1"/>
    <col min="4354" max="4608" width="9.33203125" style="238"/>
    <col min="4609" max="4609" width="33.33203125" style="238" bestFit="1" customWidth="1"/>
    <col min="4610" max="4864" width="9.33203125" style="238"/>
    <col min="4865" max="4865" width="33.33203125" style="238" bestFit="1" customWidth="1"/>
    <col min="4866" max="5120" width="9.33203125" style="238"/>
    <col min="5121" max="5121" width="33.33203125" style="238" bestFit="1" customWidth="1"/>
    <col min="5122" max="5376" width="9.33203125" style="238"/>
    <col min="5377" max="5377" width="33.33203125" style="238" bestFit="1" customWidth="1"/>
    <col min="5378" max="5632" width="9.33203125" style="238"/>
    <col min="5633" max="5633" width="33.33203125" style="238" bestFit="1" customWidth="1"/>
    <col min="5634" max="5888" width="9.33203125" style="238"/>
    <col min="5889" max="5889" width="33.33203125" style="238" bestFit="1" customWidth="1"/>
    <col min="5890" max="6144" width="9.33203125" style="238"/>
    <col min="6145" max="6145" width="33.33203125" style="238" bestFit="1" customWidth="1"/>
    <col min="6146" max="6400" width="9.33203125" style="238"/>
    <col min="6401" max="6401" width="33.33203125" style="238" bestFit="1" customWidth="1"/>
    <col min="6402" max="6656" width="9.33203125" style="238"/>
    <col min="6657" max="6657" width="33.33203125" style="238" bestFit="1" customWidth="1"/>
    <col min="6658" max="6912" width="9.33203125" style="238"/>
    <col min="6913" max="6913" width="33.33203125" style="238" bestFit="1" customWidth="1"/>
    <col min="6914" max="7168" width="9.33203125" style="238"/>
    <col min="7169" max="7169" width="33.33203125" style="238" bestFit="1" customWidth="1"/>
    <col min="7170" max="7424" width="9.33203125" style="238"/>
    <col min="7425" max="7425" width="33.33203125" style="238" bestFit="1" customWidth="1"/>
    <col min="7426" max="7680" width="9.33203125" style="238"/>
    <col min="7681" max="7681" width="33.33203125" style="238" bestFit="1" customWidth="1"/>
    <col min="7682" max="7936" width="9.33203125" style="238"/>
    <col min="7937" max="7937" width="33.33203125" style="238" bestFit="1" customWidth="1"/>
    <col min="7938" max="8192" width="9.33203125" style="238"/>
    <col min="8193" max="8193" width="33.33203125" style="238" bestFit="1" customWidth="1"/>
    <col min="8194" max="8448" width="9.33203125" style="238"/>
    <col min="8449" max="8449" width="33.33203125" style="238" bestFit="1" customWidth="1"/>
    <col min="8450" max="8704" width="9.33203125" style="238"/>
    <col min="8705" max="8705" width="33.33203125" style="238" bestFit="1" customWidth="1"/>
    <col min="8706" max="8960" width="9.33203125" style="238"/>
    <col min="8961" max="8961" width="33.33203125" style="238" bestFit="1" customWidth="1"/>
    <col min="8962" max="9216" width="9.33203125" style="238"/>
    <col min="9217" max="9217" width="33.33203125" style="238" bestFit="1" customWidth="1"/>
    <col min="9218" max="9472" width="9.33203125" style="238"/>
    <col min="9473" max="9473" width="33.33203125" style="238" bestFit="1" customWidth="1"/>
    <col min="9474" max="9728" width="9.33203125" style="238"/>
    <col min="9729" max="9729" width="33.33203125" style="238" bestFit="1" customWidth="1"/>
    <col min="9730" max="9984" width="9.33203125" style="238"/>
    <col min="9985" max="9985" width="33.33203125" style="238" bestFit="1" customWidth="1"/>
    <col min="9986" max="10240" width="9.33203125" style="238"/>
    <col min="10241" max="10241" width="33.33203125" style="238" bestFit="1" customWidth="1"/>
    <col min="10242" max="10496" width="9.33203125" style="238"/>
    <col min="10497" max="10497" width="33.33203125" style="238" bestFit="1" customWidth="1"/>
    <col min="10498" max="10752" width="9.33203125" style="238"/>
    <col min="10753" max="10753" width="33.33203125" style="238" bestFit="1" customWidth="1"/>
    <col min="10754" max="11008" width="9.33203125" style="238"/>
    <col min="11009" max="11009" width="33.33203125" style="238" bestFit="1" customWidth="1"/>
    <col min="11010" max="11264" width="9.33203125" style="238"/>
    <col min="11265" max="11265" width="33.33203125" style="238" bestFit="1" customWidth="1"/>
    <col min="11266" max="11520" width="9.33203125" style="238"/>
    <col min="11521" max="11521" width="33.33203125" style="238" bestFit="1" customWidth="1"/>
    <col min="11522" max="11776" width="9.33203125" style="238"/>
    <col min="11777" max="11777" width="33.33203125" style="238" bestFit="1" customWidth="1"/>
    <col min="11778" max="12032" width="9.33203125" style="238"/>
    <col min="12033" max="12033" width="33.33203125" style="238" bestFit="1" customWidth="1"/>
    <col min="12034" max="12288" width="9.33203125" style="238"/>
    <col min="12289" max="12289" width="33.33203125" style="238" bestFit="1" customWidth="1"/>
    <col min="12290" max="12544" width="9.33203125" style="238"/>
    <col min="12545" max="12545" width="33.33203125" style="238" bestFit="1" customWidth="1"/>
    <col min="12546" max="12800" width="9.33203125" style="238"/>
    <col min="12801" max="12801" width="33.33203125" style="238" bestFit="1" customWidth="1"/>
    <col min="12802" max="13056" width="9.33203125" style="238"/>
    <col min="13057" max="13057" width="33.33203125" style="238" bestFit="1" customWidth="1"/>
    <col min="13058" max="13312" width="9.33203125" style="238"/>
    <col min="13313" max="13313" width="33.33203125" style="238" bestFit="1" customWidth="1"/>
    <col min="13314" max="13568" width="9.33203125" style="238"/>
    <col min="13569" max="13569" width="33.33203125" style="238" bestFit="1" customWidth="1"/>
    <col min="13570" max="13824" width="9.33203125" style="238"/>
    <col min="13825" max="13825" width="33.33203125" style="238" bestFit="1" customWidth="1"/>
    <col min="13826" max="14080" width="9.33203125" style="238"/>
    <col min="14081" max="14081" width="33.33203125" style="238" bestFit="1" customWidth="1"/>
    <col min="14082" max="14336" width="9.33203125" style="238"/>
    <col min="14337" max="14337" width="33.33203125" style="238" bestFit="1" customWidth="1"/>
    <col min="14338" max="14592" width="9.33203125" style="238"/>
    <col min="14593" max="14593" width="33.33203125" style="238" bestFit="1" customWidth="1"/>
    <col min="14594" max="14848" width="9.33203125" style="238"/>
    <col min="14849" max="14849" width="33.33203125" style="238" bestFit="1" customWidth="1"/>
    <col min="14850" max="15104" width="9.33203125" style="238"/>
    <col min="15105" max="15105" width="33.33203125" style="238" bestFit="1" customWidth="1"/>
    <col min="15106" max="15360" width="9.33203125" style="238"/>
    <col min="15361" max="15361" width="33.33203125" style="238" bestFit="1" customWidth="1"/>
    <col min="15362" max="15616" width="9.33203125" style="238"/>
    <col min="15617" max="15617" width="33.33203125" style="238" bestFit="1" customWidth="1"/>
    <col min="15618" max="15872" width="9.33203125" style="238"/>
    <col min="15873" max="15873" width="33.33203125" style="238" bestFit="1" customWidth="1"/>
    <col min="15874" max="16128" width="9.33203125" style="238"/>
    <col min="16129" max="16129" width="33.33203125" style="238" bestFit="1" customWidth="1"/>
    <col min="16130" max="16384" width="9.33203125" style="238"/>
  </cols>
  <sheetData>
    <row r="1" spans="1:1">
      <c r="A1" s="274" t="s">
        <v>715</v>
      </c>
    </row>
    <row r="2" spans="1:1">
      <c r="A2" s="274" t="s">
        <v>720</v>
      </c>
    </row>
    <row r="3" spans="1:1">
      <c r="A3" s="274" t="s">
        <v>721</v>
      </c>
    </row>
    <row r="4" spans="1:1">
      <c r="A4" s="274" t="s">
        <v>722</v>
      </c>
    </row>
    <row r="5" spans="1:1">
      <c r="A5" s="274" t="s">
        <v>723</v>
      </c>
    </row>
    <row r="6" spans="1:1">
      <c r="A6" s="274" t="s">
        <v>716</v>
      </c>
    </row>
    <row r="7" spans="1:1">
      <c r="A7" s="274" t="s">
        <v>724</v>
      </c>
    </row>
    <row r="8" spans="1:1">
      <c r="A8" s="274" t="s">
        <v>725</v>
      </c>
    </row>
    <row r="9" spans="1:1">
      <c r="A9" s="274" t="s">
        <v>726</v>
      </c>
    </row>
    <row r="10" spans="1:1">
      <c r="A10" s="274" t="s">
        <v>717</v>
      </c>
    </row>
    <row r="11" spans="1:1">
      <c r="A11" s="274" t="s">
        <v>727</v>
      </c>
    </row>
    <row r="12" spans="1:1">
      <c r="A12" s="274" t="s">
        <v>718</v>
      </c>
    </row>
    <row r="13" spans="1:1">
      <c r="A13" s="274" t="s">
        <v>719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"/>
  <sheetViews>
    <sheetView workbookViewId="0"/>
  </sheetViews>
  <sheetFormatPr defaultRowHeight="11.25"/>
  <sheetData>
    <row r="1" spans="1:6">
      <c r="A1" t="s">
        <v>316</v>
      </c>
    </row>
    <row r="2" spans="1:6">
      <c r="A2" s="220" t="s">
        <v>315</v>
      </c>
      <c r="B2" s="220" t="s">
        <v>307</v>
      </c>
      <c r="C2" s="220" t="s">
        <v>314</v>
      </c>
      <c r="D2" s="220" t="s">
        <v>357</v>
      </c>
      <c r="E2" s="220" t="s">
        <v>313</v>
      </c>
      <c r="F2" s="220" t="s">
        <v>334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Model!Print_Titles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2016-12-27T20:40:15Z</dcterms:created>
  <dc:creator>Lynagh, Connor J (Research)</dc:creator>
  <cp:lastModifiedBy>Ozier, Alex (Research)</cp:lastModifiedBy>
  <cp:lastPrinted>2017-08-01T16:32:12Z</cp:lastPrinted>
  <dcterms:modified xsi:type="dcterms:W3CDTF">2018-04-11T13:47:46Z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29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760971</vt:lpwstr>
  </property>
  <property fmtid="{D5CDD505-2E9C-101B-9397-08002B2CF9AE}" name="ERModPubCompanyName" pid="6">
    <vt:lpwstr>Keane Group Inc</vt:lpwstr>
  </property>
  <property fmtid="{D5CDD505-2E9C-101B-9397-08002B2CF9AE}" name="MSDH34TAG" pid="7">
    <vt:lpwstr>.TEZUF76X5TAHATHESADREYAK-00-INB160+*94600-06=ee4af23c/-3d8e/-11e8/-b3f7/-7a79cfe26848,MD=20180411100048/-0400,ZZ=000Z-2b39.</vt:lpwstr>
  </property>
</Properties>
</file>